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Sclerocronology\"/>
    </mc:Choice>
  </mc:AlternateContent>
  <xr:revisionPtr revIDLastSave="0" documentId="13_ncr:1_{1F835AA6-9866-4033-991E-F1A639E2732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rosor Lajas" sheetId="13" r:id="rId1"/>
    <sheet name="Cuña" sheetId="1" r:id="rId2"/>
    <sheet name="Varadero" sheetId="3" r:id="rId3"/>
    <sheet name="Rates" sheetId="8" r:id="rId4"/>
    <sheet name="Disepimentos" sheetId="16" r:id="rId5"/>
    <sheet name="Hoja2" sheetId="15" r:id="rId6"/>
    <sheet name="monthly" sheetId="17" r:id="rId7"/>
  </sheets>
  <externalReferences>
    <externalReference r:id="rId8"/>
    <externalReference r:id="rId9"/>
  </externalReferences>
  <definedNames>
    <definedName name="_xlnm._FilterDatabase" localSheetId="5" hidden="1">Hoja2!$T$1:$W$2998</definedName>
    <definedName name="_xlnm._FilterDatabase" localSheetId="2" hidden="1">Varadero!$A$121:$R$3251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3" l="1"/>
  <c r="R22" i="16"/>
  <c r="K33" i="17"/>
  <c r="L33" i="17" s="1"/>
  <c r="K2" i="17" l="1"/>
  <c r="L2" i="17" s="1"/>
  <c r="K3" i="17" l="1"/>
  <c r="L3" i="17" s="1"/>
  <c r="K4" i="17"/>
  <c r="L4" i="17" s="1"/>
  <c r="K5" i="17"/>
  <c r="L5" i="17" s="1"/>
  <c r="K6" i="17"/>
  <c r="L6" i="17" s="1"/>
  <c r="K7" i="17"/>
  <c r="L7" i="17" s="1"/>
  <c r="K8" i="17"/>
  <c r="L8" i="17" s="1"/>
  <c r="K9" i="17"/>
  <c r="L9" i="17" s="1"/>
  <c r="K10" i="17"/>
  <c r="L10" i="17" s="1"/>
  <c r="K11" i="17"/>
  <c r="L11" i="17" s="1"/>
  <c r="K12" i="17"/>
  <c r="L12" i="17" s="1"/>
  <c r="K13" i="17"/>
  <c r="L13" i="17" s="1"/>
  <c r="K14" i="17"/>
  <c r="L14" i="17" s="1"/>
  <c r="K15" i="17"/>
  <c r="L15" i="17" s="1"/>
  <c r="K16" i="17"/>
  <c r="L16" i="17" s="1"/>
  <c r="K17" i="17"/>
  <c r="L17" i="17" s="1"/>
  <c r="K18" i="17"/>
  <c r="L18" i="17" s="1"/>
  <c r="K19" i="17"/>
  <c r="L19" i="17" s="1"/>
  <c r="K20" i="17"/>
  <c r="L20" i="17" s="1"/>
  <c r="K21" i="17"/>
  <c r="L21" i="17" s="1"/>
  <c r="K22" i="17"/>
  <c r="L22" i="17" s="1"/>
  <c r="K23" i="17"/>
  <c r="L23" i="17" s="1"/>
  <c r="K24" i="17"/>
  <c r="L24" i="17" s="1"/>
  <c r="K25" i="17"/>
  <c r="L25" i="17" s="1"/>
  <c r="K26" i="17"/>
  <c r="L26" i="17" s="1"/>
  <c r="K27" i="17"/>
  <c r="L27" i="17" s="1"/>
  <c r="K28" i="17"/>
  <c r="L28" i="17" s="1"/>
  <c r="K29" i="17"/>
  <c r="L29" i="17" s="1"/>
  <c r="K30" i="17"/>
  <c r="L30" i="17" s="1"/>
  <c r="K31" i="17"/>
  <c r="L31" i="17" s="1"/>
  <c r="K32" i="17"/>
  <c r="L32" i="17" s="1"/>
  <c r="K34" i="17"/>
  <c r="L34" i="17" s="1"/>
  <c r="K35" i="17"/>
  <c r="L35" i="17" s="1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M3" i="17"/>
  <c r="J36" i="17" l="1"/>
  <c r="L36" i="17" s="1"/>
  <c r="J37" i="17"/>
  <c r="L37" i="17" s="1"/>
  <c r="J38" i="17"/>
  <c r="L38" i="17" s="1"/>
  <c r="J39" i="17"/>
  <c r="L39" i="17" s="1"/>
  <c r="J40" i="17"/>
  <c r="L40" i="17" s="1"/>
  <c r="J41" i="17"/>
  <c r="L41" i="17" s="1"/>
  <c r="J42" i="17"/>
  <c r="L42" i="17" s="1"/>
  <c r="J43" i="17"/>
  <c r="L43" i="17" s="1"/>
  <c r="J44" i="17"/>
  <c r="L44" i="17" s="1"/>
  <c r="J45" i="17"/>
  <c r="L45" i="17" s="1"/>
  <c r="J46" i="17"/>
  <c r="L46" i="17" s="1"/>
  <c r="J47" i="17"/>
  <c r="L47" i="17" s="1"/>
  <c r="J48" i="17"/>
  <c r="L48" i="17" s="1"/>
  <c r="J49" i="17"/>
  <c r="L49" i="17" s="1"/>
  <c r="J50" i="17"/>
  <c r="L50" i="17" s="1"/>
  <c r="J51" i="17"/>
  <c r="L51" i="17" s="1"/>
  <c r="J52" i="17"/>
  <c r="L52" i="17" s="1"/>
  <c r="J53" i="17"/>
  <c r="L53" i="17" s="1"/>
  <c r="J54" i="17"/>
  <c r="L54" i="17" s="1"/>
  <c r="J55" i="17"/>
  <c r="L55" i="17" s="1"/>
  <c r="J56" i="17"/>
  <c r="L56" i="17" s="1"/>
  <c r="J57" i="17"/>
  <c r="L57" i="17" s="1"/>
  <c r="J58" i="17"/>
  <c r="L58" i="17" s="1"/>
  <c r="J59" i="17"/>
  <c r="L59" i="17" s="1"/>
  <c r="J60" i="17"/>
  <c r="L60" i="17" s="1"/>
  <c r="J61" i="17"/>
  <c r="L61" i="17" s="1"/>
  <c r="J62" i="17"/>
  <c r="L62" i="17" s="1"/>
  <c r="J63" i="17"/>
  <c r="L63" i="17" s="1"/>
  <c r="J64" i="17"/>
  <c r="L64" i="17" s="1"/>
  <c r="J65" i="17"/>
  <c r="L65" i="17" s="1"/>
  <c r="J66" i="17"/>
  <c r="L66" i="17" s="1"/>
  <c r="J67" i="17"/>
  <c r="L67" i="17" s="1"/>
  <c r="J68" i="17"/>
  <c r="L68" i="17" s="1"/>
  <c r="J69" i="17"/>
  <c r="L69" i="17" s="1"/>
  <c r="J70" i="17"/>
  <c r="L70" i="17" s="1"/>
  <c r="J71" i="17"/>
  <c r="L71" i="17" s="1"/>
  <c r="J72" i="17"/>
  <c r="L72" i="17" s="1"/>
  <c r="J73" i="17"/>
  <c r="L73" i="17" s="1"/>
  <c r="J74" i="17"/>
  <c r="L74" i="17" s="1"/>
  <c r="J75" i="17"/>
  <c r="L75" i="17" s="1"/>
  <c r="J76" i="17"/>
  <c r="L76" i="17" s="1"/>
  <c r="J77" i="17"/>
  <c r="L77" i="17" s="1"/>
  <c r="J78" i="17"/>
  <c r="L78" i="17" s="1"/>
  <c r="J79" i="17"/>
  <c r="L79" i="17" s="1"/>
  <c r="J80" i="17"/>
  <c r="L80" i="17" s="1"/>
  <c r="J81" i="17"/>
  <c r="L81" i="17" s="1"/>
  <c r="J82" i="17"/>
  <c r="L82" i="17" s="1"/>
  <c r="J83" i="17"/>
  <c r="L83" i="17" s="1"/>
  <c r="J84" i="17"/>
  <c r="L84" i="17" s="1"/>
  <c r="J85" i="17"/>
  <c r="L85" i="17" s="1"/>
  <c r="J86" i="17"/>
  <c r="L86" i="17" s="1"/>
  <c r="J87" i="17"/>
  <c r="L87" i="17" s="1"/>
  <c r="J88" i="17"/>
  <c r="L88" i="17" s="1"/>
  <c r="J89" i="17"/>
  <c r="L89" i="17" s="1"/>
  <c r="J90" i="17"/>
  <c r="L90" i="17" s="1"/>
  <c r="J91" i="17"/>
  <c r="L91" i="17" s="1"/>
  <c r="J92" i="17"/>
  <c r="L92" i="17" s="1"/>
  <c r="J93" i="17"/>
  <c r="L93" i="17" s="1"/>
  <c r="J94" i="17"/>
  <c r="L94" i="17" s="1"/>
  <c r="J95" i="17"/>
  <c r="L95" i="17" s="1"/>
  <c r="J96" i="17"/>
  <c r="L96" i="17" s="1"/>
  <c r="J97" i="17"/>
  <c r="L97" i="17" s="1"/>
  <c r="J98" i="17"/>
  <c r="L98" i="17" s="1"/>
  <c r="J99" i="17"/>
  <c r="L99" i="17" s="1"/>
  <c r="J100" i="17"/>
  <c r="L100" i="17" s="1"/>
  <c r="J101" i="17"/>
  <c r="L101" i="17" s="1"/>
  <c r="J102" i="17"/>
  <c r="L102" i="17" s="1"/>
  <c r="J103" i="17"/>
  <c r="L103" i="17" s="1"/>
  <c r="J104" i="17"/>
  <c r="L104" i="17" s="1"/>
  <c r="J105" i="17"/>
  <c r="L105" i="17" s="1"/>
  <c r="J106" i="17"/>
  <c r="L106" i="17" s="1"/>
  <c r="J107" i="17"/>
  <c r="L107" i="17" s="1"/>
  <c r="J108" i="17"/>
  <c r="L108" i="17" s="1"/>
  <c r="J109" i="17"/>
  <c r="L109" i="17" s="1"/>
  <c r="J110" i="17"/>
  <c r="L110" i="17" s="1"/>
  <c r="J111" i="17"/>
  <c r="L111" i="17" s="1"/>
  <c r="J112" i="17"/>
  <c r="L112" i="17" s="1"/>
  <c r="J113" i="17"/>
  <c r="L113" i="17" s="1"/>
  <c r="J114" i="17"/>
  <c r="L114" i="17" s="1"/>
  <c r="J115" i="17"/>
  <c r="L115" i="17" s="1"/>
  <c r="J116" i="17"/>
  <c r="L116" i="17" s="1"/>
  <c r="J117" i="17"/>
  <c r="L117" i="17" s="1"/>
  <c r="J118" i="17"/>
  <c r="L118" i="17" s="1"/>
  <c r="J119" i="17"/>
  <c r="L119" i="17" s="1"/>
  <c r="J120" i="17"/>
  <c r="L120" i="17" s="1"/>
  <c r="J121" i="17"/>
  <c r="L121" i="17" s="1"/>
  <c r="J122" i="17"/>
  <c r="L122" i="17" s="1"/>
  <c r="J123" i="17"/>
  <c r="L123" i="17" s="1"/>
  <c r="J124" i="17"/>
  <c r="L124" i="17" s="1"/>
  <c r="J125" i="17"/>
  <c r="L125" i="17" s="1"/>
  <c r="J126" i="17"/>
  <c r="L126" i="17" s="1"/>
  <c r="J127" i="17"/>
  <c r="L127" i="17" s="1"/>
  <c r="J128" i="17"/>
  <c r="L128" i="17" s="1"/>
  <c r="J129" i="17"/>
  <c r="L129" i="17" s="1"/>
  <c r="J130" i="17"/>
  <c r="L130" i="17" s="1"/>
  <c r="J131" i="17"/>
  <c r="L131" i="17" s="1"/>
  <c r="J132" i="17"/>
  <c r="L132" i="17" s="1"/>
  <c r="J133" i="17"/>
  <c r="L133" i="17" s="1"/>
  <c r="J134" i="17"/>
  <c r="L134" i="17" s="1"/>
  <c r="J135" i="17"/>
  <c r="L135" i="17" s="1"/>
  <c r="J136" i="17"/>
  <c r="L136" i="17" s="1"/>
  <c r="J137" i="17"/>
  <c r="L137" i="17" s="1"/>
  <c r="J138" i="17"/>
  <c r="L138" i="17" s="1"/>
  <c r="J139" i="17"/>
  <c r="L139" i="17" s="1"/>
  <c r="J140" i="17"/>
  <c r="L140" i="17" s="1"/>
  <c r="J141" i="17"/>
  <c r="L141" i="17" s="1"/>
  <c r="J142" i="17"/>
  <c r="L142" i="17" s="1"/>
  <c r="J143" i="17"/>
  <c r="L143" i="17" s="1"/>
  <c r="J144" i="17"/>
  <c r="L144" i="17" s="1"/>
  <c r="J145" i="17"/>
  <c r="L145" i="17" s="1"/>
  <c r="J146" i="17"/>
  <c r="L146" i="17" s="1"/>
  <c r="J147" i="17"/>
  <c r="L147" i="17" s="1"/>
  <c r="J148" i="17"/>
  <c r="L148" i="17" s="1"/>
  <c r="J149" i="17"/>
  <c r="L149" i="17" s="1"/>
  <c r="J150" i="17"/>
  <c r="L150" i="17" s="1"/>
  <c r="J151" i="17"/>
  <c r="L151" i="17" s="1"/>
  <c r="J152" i="17"/>
  <c r="L152" i="17" s="1"/>
  <c r="J153" i="17"/>
  <c r="L153" i="17" s="1"/>
  <c r="J154" i="17"/>
  <c r="L154" i="17" s="1"/>
  <c r="J155" i="17"/>
  <c r="L155" i="17" s="1"/>
  <c r="J156" i="17"/>
  <c r="L156" i="17" s="1"/>
  <c r="J157" i="17"/>
  <c r="L157" i="17" s="1"/>
  <c r="J158" i="17"/>
  <c r="L158" i="17" s="1"/>
  <c r="J159" i="17"/>
  <c r="L159" i="17" s="1"/>
  <c r="J160" i="17"/>
  <c r="L160" i="17" s="1"/>
  <c r="J161" i="17"/>
  <c r="L161" i="17" s="1"/>
  <c r="J162" i="17"/>
  <c r="L162" i="17" s="1"/>
  <c r="J163" i="17"/>
  <c r="L163" i="17" s="1"/>
  <c r="J164" i="17"/>
  <c r="L164" i="17" s="1"/>
  <c r="J165" i="17"/>
  <c r="L165" i="17" s="1"/>
  <c r="J166" i="17"/>
  <c r="L166" i="17" s="1"/>
  <c r="J167" i="17"/>
  <c r="L167" i="17" s="1"/>
  <c r="J168" i="17"/>
  <c r="L168" i="17" s="1"/>
  <c r="J169" i="17"/>
  <c r="L169" i="17" s="1"/>
  <c r="J170" i="17"/>
  <c r="L170" i="17" s="1"/>
  <c r="J171" i="17"/>
  <c r="L171" i="17" s="1"/>
  <c r="J172" i="17"/>
  <c r="L172" i="17" s="1"/>
  <c r="J173" i="17"/>
  <c r="L173" i="17" s="1"/>
  <c r="J174" i="17"/>
  <c r="L174" i="17" s="1"/>
  <c r="J175" i="17"/>
  <c r="L175" i="17" s="1"/>
  <c r="J176" i="17"/>
  <c r="L176" i="17" s="1"/>
  <c r="J177" i="17"/>
  <c r="L177" i="17" s="1"/>
  <c r="J178" i="17"/>
  <c r="L178" i="17" s="1"/>
  <c r="J179" i="17"/>
  <c r="L179" i="17" s="1"/>
  <c r="J180" i="17"/>
  <c r="L180" i="17" s="1"/>
  <c r="J181" i="17"/>
  <c r="L181" i="17" s="1"/>
  <c r="J182" i="17"/>
  <c r="L182" i="17" s="1"/>
  <c r="J183" i="17"/>
  <c r="L183" i="17" s="1"/>
  <c r="J184" i="17"/>
  <c r="L184" i="17" s="1"/>
  <c r="J185" i="17"/>
  <c r="L185" i="17" s="1"/>
  <c r="J186" i="17"/>
  <c r="L186" i="17" s="1"/>
  <c r="J187" i="17"/>
  <c r="L187" i="17" s="1"/>
  <c r="J188" i="17"/>
  <c r="L188" i="17" s="1"/>
  <c r="J189" i="17"/>
  <c r="L189" i="17" s="1"/>
  <c r="J190" i="17"/>
  <c r="L190" i="17" s="1"/>
  <c r="J191" i="17"/>
  <c r="L191" i="17" s="1"/>
  <c r="J192" i="17"/>
  <c r="L192" i="17" s="1"/>
  <c r="J193" i="17"/>
  <c r="L193" i="17" s="1"/>
  <c r="J194" i="17"/>
  <c r="L194" i="17" s="1"/>
  <c r="J195" i="17"/>
  <c r="L195" i="17" s="1"/>
  <c r="J196" i="17"/>
  <c r="L196" i="17" s="1"/>
  <c r="J197" i="17"/>
  <c r="L197" i="17" s="1"/>
  <c r="J198" i="17"/>
  <c r="L198" i="17" s="1"/>
  <c r="J199" i="17"/>
  <c r="L199" i="17" s="1"/>
  <c r="J200" i="17"/>
  <c r="L200" i="17" s="1"/>
  <c r="J201" i="17"/>
  <c r="L201" i="17" s="1"/>
  <c r="J202" i="17"/>
  <c r="L202" i="17" s="1"/>
  <c r="J203" i="17"/>
  <c r="L203" i="17" s="1"/>
  <c r="J204" i="17"/>
  <c r="L204" i="17" s="1"/>
  <c r="J205" i="17"/>
  <c r="L205" i="17" s="1"/>
  <c r="J206" i="17"/>
  <c r="L206" i="17" s="1"/>
  <c r="J207" i="17"/>
  <c r="L207" i="17" s="1"/>
  <c r="J208" i="17"/>
  <c r="L208" i="17" s="1"/>
  <c r="J209" i="17"/>
  <c r="L209" i="17" s="1"/>
  <c r="J210" i="17"/>
  <c r="L210" i="17" s="1"/>
  <c r="J211" i="17"/>
  <c r="L211" i="17" s="1"/>
  <c r="J212" i="17"/>
  <c r="L212" i="17" s="1"/>
  <c r="J213" i="17"/>
  <c r="L213" i="17" s="1"/>
  <c r="J214" i="17"/>
  <c r="L214" i="17" s="1"/>
  <c r="J215" i="17"/>
  <c r="L215" i="17" s="1"/>
  <c r="J216" i="17"/>
  <c r="L216" i="17" s="1"/>
  <c r="J217" i="17"/>
  <c r="L217" i="17" s="1"/>
  <c r="J218" i="17"/>
  <c r="L218" i="17" s="1"/>
  <c r="J219" i="17"/>
  <c r="L219" i="17" s="1"/>
  <c r="J220" i="17"/>
  <c r="L220" i="17" s="1"/>
  <c r="J221" i="17"/>
  <c r="L221" i="17" s="1"/>
  <c r="J222" i="17"/>
  <c r="L222" i="17" s="1"/>
  <c r="J223" i="17"/>
  <c r="L223" i="17" s="1"/>
  <c r="J224" i="17"/>
  <c r="L224" i="17" s="1"/>
  <c r="J225" i="17"/>
  <c r="L225" i="17" s="1"/>
  <c r="J226" i="17"/>
  <c r="L226" i="17" s="1"/>
  <c r="J227" i="17"/>
  <c r="L227" i="17" s="1"/>
  <c r="J228" i="17"/>
  <c r="L228" i="17" s="1"/>
  <c r="J229" i="17"/>
  <c r="L229" i="17" s="1"/>
  <c r="J230" i="17"/>
  <c r="L230" i="17" s="1"/>
  <c r="J231" i="17"/>
  <c r="L231" i="17" s="1"/>
  <c r="J232" i="17"/>
  <c r="L232" i="17" s="1"/>
  <c r="J233" i="17"/>
  <c r="L233" i="17" s="1"/>
  <c r="J234" i="17"/>
  <c r="L234" i="17" s="1"/>
  <c r="J235" i="17"/>
  <c r="L235" i="17" s="1"/>
  <c r="J236" i="17"/>
  <c r="L236" i="17" s="1"/>
  <c r="J237" i="17"/>
  <c r="L237" i="17" s="1"/>
  <c r="J238" i="17"/>
  <c r="L238" i="17" s="1"/>
  <c r="J239" i="17"/>
  <c r="L239" i="17" s="1"/>
  <c r="J240" i="17"/>
  <c r="L240" i="17" s="1"/>
  <c r="J241" i="17"/>
  <c r="L241" i="17" s="1"/>
  <c r="J242" i="17"/>
  <c r="L242" i="17" s="1"/>
  <c r="J243" i="17"/>
  <c r="L243" i="17" s="1"/>
  <c r="J244" i="17"/>
  <c r="L244" i="17" s="1"/>
  <c r="J245" i="17"/>
  <c r="L245" i="17" s="1"/>
  <c r="J246" i="17"/>
  <c r="L246" i="17" s="1"/>
  <c r="J247" i="17"/>
  <c r="L247" i="17" s="1"/>
  <c r="J248" i="17"/>
  <c r="L248" i="17" s="1"/>
  <c r="J249" i="17"/>
  <c r="L249" i="17" s="1"/>
  <c r="J250" i="17"/>
  <c r="L250" i="17" s="1"/>
  <c r="J251" i="17"/>
  <c r="L251" i="17" s="1"/>
  <c r="J252" i="17"/>
  <c r="L252" i="17" s="1"/>
  <c r="J253" i="17"/>
  <c r="L253" i="17" s="1"/>
  <c r="J254" i="17"/>
  <c r="L254" i="17" s="1"/>
  <c r="J255" i="17"/>
  <c r="L255" i="17" s="1"/>
  <c r="J256" i="17"/>
  <c r="L256" i="17" s="1"/>
  <c r="J257" i="17"/>
  <c r="L257" i="17" s="1"/>
  <c r="J258" i="17"/>
  <c r="L258" i="17" s="1"/>
  <c r="J259" i="17"/>
  <c r="L259" i="17" s="1"/>
  <c r="J260" i="17"/>
  <c r="L260" i="17" s="1"/>
  <c r="J261" i="17"/>
  <c r="L261" i="17" s="1"/>
  <c r="J262" i="17"/>
  <c r="L262" i="17" s="1"/>
  <c r="J263" i="17"/>
  <c r="L263" i="17" s="1"/>
  <c r="J264" i="17"/>
  <c r="L264" i="17" s="1"/>
  <c r="J265" i="17"/>
  <c r="L265" i="17" s="1"/>
  <c r="J266" i="17"/>
  <c r="L266" i="17" s="1"/>
  <c r="J267" i="17"/>
  <c r="L267" i="17" s="1"/>
  <c r="J268" i="17"/>
  <c r="L268" i="17" s="1"/>
  <c r="J269" i="17"/>
  <c r="L269" i="17" s="1"/>
  <c r="J270" i="17"/>
  <c r="L270" i="17" s="1"/>
  <c r="J271" i="17"/>
  <c r="L271" i="17" s="1"/>
  <c r="J272" i="17"/>
  <c r="L272" i="17" s="1"/>
  <c r="J273" i="17"/>
  <c r="L273" i="17" s="1"/>
  <c r="J274" i="17"/>
  <c r="L274" i="17" s="1"/>
  <c r="J275" i="17"/>
  <c r="L275" i="17" s="1"/>
  <c r="J276" i="17"/>
  <c r="L276" i="17" s="1"/>
  <c r="J277" i="17"/>
  <c r="L277" i="17" s="1"/>
  <c r="J278" i="17"/>
  <c r="L278" i="17" s="1"/>
  <c r="J279" i="17"/>
  <c r="L279" i="17" s="1"/>
  <c r="J280" i="17"/>
  <c r="L280" i="17" s="1"/>
  <c r="J281" i="17"/>
  <c r="L281" i="17" s="1"/>
  <c r="J282" i="17"/>
  <c r="L282" i="17" s="1"/>
  <c r="J283" i="17"/>
  <c r="L283" i="17" s="1"/>
  <c r="J284" i="17"/>
  <c r="L284" i="17" s="1"/>
  <c r="J285" i="17"/>
  <c r="L285" i="17" s="1"/>
  <c r="J286" i="17"/>
  <c r="L286" i="17" s="1"/>
  <c r="J287" i="17"/>
  <c r="L287" i="17" s="1"/>
  <c r="J288" i="17"/>
  <c r="L288" i="17" s="1"/>
  <c r="J289" i="17"/>
  <c r="L289" i="17" s="1"/>
  <c r="J290" i="17"/>
  <c r="L290" i="17" s="1"/>
  <c r="J291" i="17"/>
  <c r="L291" i="17" s="1"/>
  <c r="J292" i="17"/>
  <c r="L292" i="17" s="1"/>
  <c r="J293" i="17"/>
  <c r="L293" i="17" s="1"/>
  <c r="J294" i="17"/>
  <c r="L294" i="17" s="1"/>
  <c r="J295" i="17"/>
  <c r="L295" i="17" s="1"/>
  <c r="J296" i="17"/>
  <c r="L296" i="17" s="1"/>
  <c r="J297" i="17"/>
  <c r="L297" i="17" s="1"/>
  <c r="J298" i="17"/>
  <c r="L298" i="17" s="1"/>
  <c r="J299" i="17"/>
  <c r="L299" i="17" s="1"/>
  <c r="J300" i="17"/>
  <c r="L300" i="17" s="1"/>
  <c r="J301" i="17"/>
  <c r="L301" i="17" s="1"/>
  <c r="J302" i="17"/>
  <c r="L302" i="17" s="1"/>
  <c r="J303" i="17"/>
  <c r="L303" i="17" s="1"/>
  <c r="J304" i="17"/>
  <c r="L304" i="17" s="1"/>
  <c r="J305" i="17"/>
  <c r="L305" i="17" s="1"/>
  <c r="J306" i="17"/>
  <c r="L306" i="17" s="1"/>
  <c r="J307" i="17"/>
  <c r="L307" i="17" s="1"/>
  <c r="J308" i="17"/>
  <c r="L308" i="17" s="1"/>
  <c r="J309" i="17"/>
  <c r="L309" i="17" s="1"/>
  <c r="J310" i="17"/>
  <c r="L310" i="17" s="1"/>
  <c r="J311" i="17"/>
  <c r="L311" i="17" s="1"/>
  <c r="J312" i="17"/>
  <c r="L312" i="17" s="1"/>
  <c r="J313" i="17"/>
  <c r="L313" i="17" s="1"/>
  <c r="J314" i="17"/>
  <c r="L314" i="17" s="1"/>
  <c r="J315" i="17"/>
  <c r="L315" i="17" s="1"/>
  <c r="J316" i="17"/>
  <c r="L316" i="17" s="1"/>
  <c r="J317" i="17"/>
  <c r="L317" i="17" s="1"/>
  <c r="J318" i="17"/>
  <c r="L318" i="17" s="1"/>
  <c r="J319" i="17"/>
  <c r="L319" i="17" s="1"/>
  <c r="J320" i="17"/>
  <c r="L320" i="17" s="1"/>
  <c r="J321" i="17"/>
  <c r="L321" i="17" s="1"/>
  <c r="J322" i="17"/>
  <c r="L322" i="17" s="1"/>
  <c r="J323" i="17"/>
  <c r="L323" i="17" s="1"/>
  <c r="J324" i="17"/>
  <c r="L324" i="17" s="1"/>
  <c r="J325" i="17"/>
  <c r="L325" i="17" s="1"/>
  <c r="J326" i="17"/>
  <c r="L326" i="17" s="1"/>
  <c r="J327" i="17"/>
  <c r="L327" i="17" s="1"/>
  <c r="J328" i="17"/>
  <c r="L328" i="17" s="1"/>
  <c r="J329" i="17"/>
  <c r="L329" i="17" s="1"/>
  <c r="J330" i="17"/>
  <c r="L330" i="17" s="1"/>
  <c r="J331" i="17"/>
  <c r="L331" i="17" s="1"/>
  <c r="J332" i="17"/>
  <c r="L332" i="17" s="1"/>
  <c r="J333" i="17"/>
  <c r="L333" i="17" s="1"/>
  <c r="J334" i="17"/>
  <c r="L334" i="17" s="1"/>
  <c r="J335" i="17"/>
  <c r="L335" i="17" s="1"/>
  <c r="J336" i="17"/>
  <c r="L336" i="17" s="1"/>
  <c r="J337" i="17"/>
  <c r="L337" i="17" s="1"/>
  <c r="J338" i="17"/>
  <c r="L338" i="17" s="1"/>
  <c r="J339" i="17"/>
  <c r="L339" i="17" s="1"/>
  <c r="J340" i="17"/>
  <c r="L340" i="17" s="1"/>
  <c r="J341" i="17"/>
  <c r="L341" i="17" s="1"/>
  <c r="J342" i="17"/>
  <c r="L342" i="17" s="1"/>
  <c r="J343" i="17"/>
  <c r="L343" i="17" s="1"/>
  <c r="J344" i="17"/>
  <c r="L344" i="17" s="1"/>
  <c r="J345" i="17"/>
  <c r="L345" i="17" s="1"/>
  <c r="J346" i="17"/>
  <c r="L346" i="17" s="1"/>
  <c r="J347" i="17"/>
  <c r="L347" i="17" s="1"/>
  <c r="J348" i="17"/>
  <c r="L348" i="17" s="1"/>
  <c r="J349" i="17"/>
  <c r="L349" i="17" s="1"/>
  <c r="J350" i="17"/>
  <c r="L350" i="17" s="1"/>
  <c r="J351" i="17"/>
  <c r="L351" i="17" s="1"/>
  <c r="J352" i="17"/>
  <c r="L352" i="17" s="1"/>
  <c r="J353" i="17"/>
  <c r="L353" i="17" s="1"/>
  <c r="J354" i="17"/>
  <c r="L354" i="17" s="1"/>
  <c r="J355" i="17"/>
  <c r="L355" i="17" s="1"/>
  <c r="J356" i="17"/>
  <c r="L356" i="17" s="1"/>
  <c r="J357" i="17"/>
  <c r="L357" i="17" s="1"/>
  <c r="J358" i="17"/>
  <c r="L358" i="17" s="1"/>
  <c r="J359" i="17"/>
  <c r="L359" i="17" s="1"/>
  <c r="J360" i="17"/>
  <c r="L360" i="17" s="1"/>
  <c r="J361" i="17"/>
  <c r="L361" i="17" s="1"/>
  <c r="J362" i="17"/>
  <c r="L362" i="17" s="1"/>
  <c r="J363" i="17"/>
  <c r="L363" i="17" s="1"/>
  <c r="J364" i="17"/>
  <c r="L364" i="17" s="1"/>
  <c r="J365" i="17"/>
  <c r="L365" i="17" s="1"/>
  <c r="J366" i="17"/>
  <c r="L366" i="17" s="1"/>
  <c r="J367" i="17"/>
  <c r="L367" i="17" s="1"/>
  <c r="J368" i="17"/>
  <c r="L368" i="17" s="1"/>
  <c r="J369" i="17"/>
  <c r="L369" i="17" s="1"/>
  <c r="J370" i="17"/>
  <c r="L370" i="17" s="1"/>
  <c r="J371" i="17"/>
  <c r="L371" i="17" s="1"/>
  <c r="J372" i="17"/>
  <c r="L372" i="17" s="1"/>
  <c r="J373" i="17"/>
  <c r="L373" i="17" s="1"/>
  <c r="J374" i="17"/>
  <c r="L374" i="17" s="1"/>
  <c r="J375" i="17"/>
  <c r="L375" i="17" s="1"/>
  <c r="J376" i="17"/>
  <c r="L376" i="17" s="1"/>
  <c r="J377" i="17"/>
  <c r="L377" i="17" s="1"/>
  <c r="J378" i="17"/>
  <c r="L378" i="17" s="1"/>
  <c r="J379" i="17"/>
  <c r="L379" i="17" s="1"/>
  <c r="J380" i="17"/>
  <c r="L380" i="17" s="1"/>
  <c r="J381" i="17"/>
  <c r="L381" i="17" s="1"/>
  <c r="J382" i="17"/>
  <c r="L382" i="17" s="1"/>
  <c r="J383" i="17"/>
  <c r="L383" i="17" s="1"/>
  <c r="J384" i="17"/>
  <c r="L384" i="17" s="1"/>
  <c r="J385" i="17"/>
  <c r="L385" i="17" s="1"/>
  <c r="J386" i="17"/>
  <c r="L386" i="17" s="1"/>
  <c r="J387" i="17"/>
  <c r="L387" i="17" s="1"/>
  <c r="J388" i="17"/>
  <c r="L388" i="17" s="1"/>
  <c r="J389" i="17"/>
  <c r="L389" i="17" s="1"/>
  <c r="J390" i="17"/>
  <c r="L390" i="17" s="1"/>
  <c r="J391" i="17"/>
  <c r="L391" i="17" s="1"/>
  <c r="J392" i="17"/>
  <c r="L392" i="17" s="1"/>
  <c r="J393" i="17"/>
  <c r="L393" i="17" s="1"/>
  <c r="J394" i="17"/>
  <c r="L394" i="17" s="1"/>
  <c r="J395" i="17"/>
  <c r="L395" i="17" s="1"/>
  <c r="J396" i="17"/>
  <c r="L396" i="17" s="1"/>
  <c r="J397" i="17"/>
  <c r="L397" i="17" s="1"/>
  <c r="J398" i="17"/>
  <c r="L398" i="17" s="1"/>
  <c r="J399" i="17"/>
  <c r="L399" i="17" s="1"/>
  <c r="J400" i="17"/>
  <c r="L400" i="17" s="1"/>
  <c r="J401" i="17"/>
  <c r="L401" i="17" s="1"/>
  <c r="J402" i="17"/>
  <c r="L402" i="17" s="1"/>
  <c r="J403" i="17"/>
  <c r="L403" i="17" s="1"/>
  <c r="J404" i="17"/>
  <c r="L404" i="17" s="1"/>
  <c r="J405" i="17"/>
  <c r="L405" i="17" s="1"/>
  <c r="J406" i="17"/>
  <c r="L406" i="17" s="1"/>
  <c r="J407" i="17"/>
  <c r="L407" i="17" s="1"/>
  <c r="J408" i="17"/>
  <c r="L408" i="17" s="1"/>
  <c r="J409" i="17"/>
  <c r="L409" i="17" s="1"/>
  <c r="F3010" i="17"/>
  <c r="F3009" i="17"/>
  <c r="F3008" i="17"/>
  <c r="F3007" i="17"/>
  <c r="F3006" i="17"/>
  <c r="F3005" i="17"/>
  <c r="F3004" i="17"/>
  <c r="F3003" i="17"/>
  <c r="F3002" i="17"/>
  <c r="F3001" i="17"/>
  <c r="F3000" i="17"/>
  <c r="F2999" i="17"/>
  <c r="F2998" i="17"/>
  <c r="F2997" i="17"/>
  <c r="F2996" i="17"/>
  <c r="F2995" i="17"/>
  <c r="F2994" i="17"/>
  <c r="F2993" i="17"/>
  <c r="F2992" i="17"/>
  <c r="F2991" i="17"/>
  <c r="F2990" i="17"/>
  <c r="F2989" i="17"/>
  <c r="F2988" i="17"/>
  <c r="F2987" i="17"/>
  <c r="F2986" i="17"/>
  <c r="F2985" i="17"/>
  <c r="F2984" i="17"/>
  <c r="F2983" i="17"/>
  <c r="F2982" i="17"/>
  <c r="F2981" i="17"/>
  <c r="F2980" i="17"/>
  <c r="F2979" i="17"/>
  <c r="F2978" i="17"/>
  <c r="F2977" i="17"/>
  <c r="F2976" i="17"/>
  <c r="F2975" i="17"/>
  <c r="F2974" i="17"/>
  <c r="F2973" i="17"/>
  <c r="F2972" i="17"/>
  <c r="F2971" i="17"/>
  <c r="F2970" i="17"/>
  <c r="F2969" i="17"/>
  <c r="F2968" i="17"/>
  <c r="F2967" i="17"/>
  <c r="F2966" i="17"/>
  <c r="F2965" i="17"/>
  <c r="F2964" i="17"/>
  <c r="F2963" i="17"/>
  <c r="F2962" i="17"/>
  <c r="F2961" i="17"/>
  <c r="F2960" i="17"/>
  <c r="F2959" i="17"/>
  <c r="F2958" i="17"/>
  <c r="F2957" i="17"/>
  <c r="F2956" i="17"/>
  <c r="F2955" i="17"/>
  <c r="F2954" i="17"/>
  <c r="F2953" i="17"/>
  <c r="F2952" i="17"/>
  <c r="F2951" i="17"/>
  <c r="F2950" i="17"/>
  <c r="F2949" i="17"/>
  <c r="F2948" i="17"/>
  <c r="F2947" i="17"/>
  <c r="F2946" i="17"/>
  <c r="F2945" i="17"/>
  <c r="F2944" i="17"/>
  <c r="F2943" i="17"/>
  <c r="F2942" i="17"/>
  <c r="F2941" i="17"/>
  <c r="F2940" i="17"/>
  <c r="F2939" i="17"/>
  <c r="F2938" i="17"/>
  <c r="F2937" i="17"/>
  <c r="F2936" i="17"/>
  <c r="F2935" i="17"/>
  <c r="F2934" i="17"/>
  <c r="F2933" i="17"/>
  <c r="F2932" i="17"/>
  <c r="F2931" i="17"/>
  <c r="F2930" i="17"/>
  <c r="F2929" i="17"/>
  <c r="F2928" i="17"/>
  <c r="F2927" i="17"/>
  <c r="F2926" i="17"/>
  <c r="F2925" i="17"/>
  <c r="F2924" i="17"/>
  <c r="F2923" i="17"/>
  <c r="F2922" i="17"/>
  <c r="F2921" i="17"/>
  <c r="F2920" i="17"/>
  <c r="F2919" i="17"/>
  <c r="F2918" i="17"/>
  <c r="F2917" i="17"/>
  <c r="F2916" i="17"/>
  <c r="F2915" i="17"/>
  <c r="F2914" i="17"/>
  <c r="F2913" i="17"/>
  <c r="F2912" i="17"/>
  <c r="F2911" i="17"/>
  <c r="F2910" i="17"/>
  <c r="F2909" i="17"/>
  <c r="F2908" i="17"/>
  <c r="F2907" i="17"/>
  <c r="F2906" i="17"/>
  <c r="F2905" i="17"/>
  <c r="F2904" i="17"/>
  <c r="F2903" i="17"/>
  <c r="F2902" i="17"/>
  <c r="F2901" i="17"/>
  <c r="F2900" i="17"/>
  <c r="F2899" i="17"/>
  <c r="F2898" i="17"/>
  <c r="F2897" i="17"/>
  <c r="F2896" i="17"/>
  <c r="F2895" i="17"/>
  <c r="F2894" i="17"/>
  <c r="F2893" i="17"/>
  <c r="F2892" i="17"/>
  <c r="F2891" i="17"/>
  <c r="F2890" i="17"/>
  <c r="F2889" i="17"/>
  <c r="F2888" i="17"/>
  <c r="F2887" i="17"/>
  <c r="F2886" i="17"/>
  <c r="F2885" i="17"/>
  <c r="F2884" i="17"/>
  <c r="F2883" i="17"/>
  <c r="F2882" i="17"/>
  <c r="F2881" i="17"/>
  <c r="F2880" i="17"/>
  <c r="F2879" i="17"/>
  <c r="F2878" i="17"/>
  <c r="F2877" i="17"/>
  <c r="F2876" i="17"/>
  <c r="F2875" i="17"/>
  <c r="F2874" i="17"/>
  <c r="F2873" i="17"/>
  <c r="F2872" i="17"/>
  <c r="F2871" i="17"/>
  <c r="F2870" i="17"/>
  <c r="F2869" i="17"/>
  <c r="F2868" i="17"/>
  <c r="F2867" i="17"/>
  <c r="F2866" i="17"/>
  <c r="F2865" i="17"/>
  <c r="F2864" i="17"/>
  <c r="F2863" i="17"/>
  <c r="F2862" i="17"/>
  <c r="F2861" i="17"/>
  <c r="F2860" i="17"/>
  <c r="F2859" i="17"/>
  <c r="F2858" i="17"/>
  <c r="F2857" i="17"/>
  <c r="F2856" i="17"/>
  <c r="F2855" i="17"/>
  <c r="F2854" i="17"/>
  <c r="F2853" i="17"/>
  <c r="F2852" i="17"/>
  <c r="F2851" i="17"/>
  <c r="F2850" i="17"/>
  <c r="F2849" i="17"/>
  <c r="F2848" i="17"/>
  <c r="F2847" i="17"/>
  <c r="F2846" i="17"/>
  <c r="F2845" i="17"/>
  <c r="F2844" i="17"/>
  <c r="F2843" i="17"/>
  <c r="F2842" i="17"/>
  <c r="F2841" i="17"/>
  <c r="F2840" i="17"/>
  <c r="F2839" i="17"/>
  <c r="F2838" i="17"/>
  <c r="F2837" i="17"/>
  <c r="F2836" i="17"/>
  <c r="F2835" i="17"/>
  <c r="F2834" i="17"/>
  <c r="F2833" i="17"/>
  <c r="F2832" i="17"/>
  <c r="F2831" i="17"/>
  <c r="F2830" i="17"/>
  <c r="F2829" i="17"/>
  <c r="F2828" i="17"/>
  <c r="F2827" i="17"/>
  <c r="F2826" i="17"/>
  <c r="F2825" i="17"/>
  <c r="F2824" i="17"/>
  <c r="F2823" i="17"/>
  <c r="F2822" i="17"/>
  <c r="F2821" i="17"/>
  <c r="F2820" i="17"/>
  <c r="F2819" i="17"/>
  <c r="F2818" i="17"/>
  <c r="F2817" i="17"/>
  <c r="F2816" i="17"/>
  <c r="F2815" i="17"/>
  <c r="F2814" i="17"/>
  <c r="F2813" i="17"/>
  <c r="F2812" i="17"/>
  <c r="F2811" i="17"/>
  <c r="F2810" i="17"/>
  <c r="F2809" i="17"/>
  <c r="F2808" i="17"/>
  <c r="F2807" i="17"/>
  <c r="F2806" i="17"/>
  <c r="F2805" i="17"/>
  <c r="F2804" i="17"/>
  <c r="F2803" i="17"/>
  <c r="F2802" i="17"/>
  <c r="F2801" i="17"/>
  <c r="F2800" i="17"/>
  <c r="F2799" i="17"/>
  <c r="F2798" i="17"/>
  <c r="F2797" i="17"/>
  <c r="F2796" i="17"/>
  <c r="F2795" i="17"/>
  <c r="F2794" i="17"/>
  <c r="F2793" i="17"/>
  <c r="F2792" i="17"/>
  <c r="F2791" i="17"/>
  <c r="F2790" i="17"/>
  <c r="F2789" i="17"/>
  <c r="F2788" i="17"/>
  <c r="F2787" i="17"/>
  <c r="F2786" i="17"/>
  <c r="F2785" i="17"/>
  <c r="F2784" i="17"/>
  <c r="F2783" i="17"/>
  <c r="F2782" i="17"/>
  <c r="F2781" i="17"/>
  <c r="F2780" i="17"/>
  <c r="F2779" i="17"/>
  <c r="F2778" i="17"/>
  <c r="F2777" i="17"/>
  <c r="F2776" i="17"/>
  <c r="F2775" i="17"/>
  <c r="F2774" i="17"/>
  <c r="F2773" i="17"/>
  <c r="F2772" i="17"/>
  <c r="F2771" i="17"/>
  <c r="F2770" i="17"/>
  <c r="F2769" i="17"/>
  <c r="F2768" i="17"/>
  <c r="F2767" i="17"/>
  <c r="F2766" i="17"/>
  <c r="F2765" i="17"/>
  <c r="F2764" i="17"/>
  <c r="F2763" i="17"/>
  <c r="F2762" i="17"/>
  <c r="F2761" i="17"/>
  <c r="F2760" i="17"/>
  <c r="F2759" i="17"/>
  <c r="F2758" i="17"/>
  <c r="F2757" i="17"/>
  <c r="F2756" i="17"/>
  <c r="F2755" i="17"/>
  <c r="F2754" i="17"/>
  <c r="F2753" i="17"/>
  <c r="F2752" i="17"/>
  <c r="F2751" i="17"/>
  <c r="F2750" i="17"/>
  <c r="F2749" i="17"/>
  <c r="F2748" i="17"/>
  <c r="F2747" i="17"/>
  <c r="F2746" i="17"/>
  <c r="F2745" i="17"/>
  <c r="F2744" i="17"/>
  <c r="F2743" i="17"/>
  <c r="F2742" i="17"/>
  <c r="F2741" i="17"/>
  <c r="F2740" i="17"/>
  <c r="F2739" i="17"/>
  <c r="F2738" i="17"/>
  <c r="F2737" i="17"/>
  <c r="F2736" i="17"/>
  <c r="F2735" i="17"/>
  <c r="F2734" i="17"/>
  <c r="F2733" i="17"/>
  <c r="F2732" i="17"/>
  <c r="F2731" i="17"/>
  <c r="F2730" i="17"/>
  <c r="F2729" i="17"/>
  <c r="F2728" i="17"/>
  <c r="F2727" i="17"/>
  <c r="F2726" i="17"/>
  <c r="F2725" i="17"/>
  <c r="F2724" i="17"/>
  <c r="F2723" i="17"/>
  <c r="F2722" i="17"/>
  <c r="F2721" i="17"/>
  <c r="F2720" i="17"/>
  <c r="F2719" i="17"/>
  <c r="F2718" i="17"/>
  <c r="F2717" i="17"/>
  <c r="F2716" i="17"/>
  <c r="F2715" i="17"/>
  <c r="F2714" i="17"/>
  <c r="F2713" i="17"/>
  <c r="F2712" i="17"/>
  <c r="F2711" i="17"/>
  <c r="F2710" i="17"/>
  <c r="F2709" i="17"/>
  <c r="F2708" i="17"/>
  <c r="F2707" i="17"/>
  <c r="F2706" i="17"/>
  <c r="F2705" i="17"/>
  <c r="F2704" i="17"/>
  <c r="F2703" i="17"/>
  <c r="F2702" i="17"/>
  <c r="F2701" i="17"/>
  <c r="F2700" i="17"/>
  <c r="F2699" i="17"/>
  <c r="F2698" i="17"/>
  <c r="F2697" i="17"/>
  <c r="F2696" i="17"/>
  <c r="F2695" i="17"/>
  <c r="F2694" i="17"/>
  <c r="F2693" i="17"/>
  <c r="F2692" i="17"/>
  <c r="F2691" i="17"/>
  <c r="F2690" i="17"/>
  <c r="F2689" i="17"/>
  <c r="F2688" i="17"/>
  <c r="F2687" i="17"/>
  <c r="F2686" i="17"/>
  <c r="F2685" i="17"/>
  <c r="F2684" i="17"/>
  <c r="F2683" i="17"/>
  <c r="F2682" i="17"/>
  <c r="F2681" i="17"/>
  <c r="F2680" i="17"/>
  <c r="F2679" i="17"/>
  <c r="F2678" i="17"/>
  <c r="F2677" i="17"/>
  <c r="F2676" i="17"/>
  <c r="F2675" i="17"/>
  <c r="F2674" i="17"/>
  <c r="F2673" i="17"/>
  <c r="F2672" i="17"/>
  <c r="F2671" i="17"/>
  <c r="F2670" i="17"/>
  <c r="F2669" i="17"/>
  <c r="F2668" i="17"/>
  <c r="F2667" i="17"/>
  <c r="F2666" i="17"/>
  <c r="F2665" i="17"/>
  <c r="F2664" i="17"/>
  <c r="F2663" i="17"/>
  <c r="F2662" i="17"/>
  <c r="F2661" i="17"/>
  <c r="F2660" i="17"/>
  <c r="F2659" i="17"/>
  <c r="F2658" i="17"/>
  <c r="F2657" i="17"/>
  <c r="F2656" i="17"/>
  <c r="F2655" i="17"/>
  <c r="F2654" i="17"/>
  <c r="F2653" i="17"/>
  <c r="F2652" i="17"/>
  <c r="F2651" i="17"/>
  <c r="F2650" i="17"/>
  <c r="F2649" i="17"/>
  <c r="F2648" i="17"/>
  <c r="F2647" i="17"/>
  <c r="F2646" i="17"/>
  <c r="F2645" i="17"/>
  <c r="F2644" i="17"/>
  <c r="F2643" i="17"/>
  <c r="F2642" i="17"/>
  <c r="F2641" i="17"/>
  <c r="F2640" i="17"/>
  <c r="F2639" i="17"/>
  <c r="F2638" i="17"/>
  <c r="F2637" i="17"/>
  <c r="F2636" i="17"/>
  <c r="F2635" i="17"/>
  <c r="F2634" i="17"/>
  <c r="F2633" i="17"/>
  <c r="F2632" i="17"/>
  <c r="F2631" i="17"/>
  <c r="F2630" i="17"/>
  <c r="F2629" i="17"/>
  <c r="F2628" i="17"/>
  <c r="F2627" i="17"/>
  <c r="F2626" i="17"/>
  <c r="F2625" i="17"/>
  <c r="F2624" i="17"/>
  <c r="F2623" i="17"/>
  <c r="F2622" i="17"/>
  <c r="F2621" i="17"/>
  <c r="F2620" i="17"/>
  <c r="F2619" i="17"/>
  <c r="F2618" i="17"/>
  <c r="F2617" i="17"/>
  <c r="F2616" i="17"/>
  <c r="F2615" i="17"/>
  <c r="F2614" i="17"/>
  <c r="F2613" i="17"/>
  <c r="F2612" i="17"/>
  <c r="F2611" i="17"/>
  <c r="F2610" i="17"/>
  <c r="F2609" i="17"/>
  <c r="F2608" i="17"/>
  <c r="F2607" i="17"/>
  <c r="F2606" i="17"/>
  <c r="F2605" i="17"/>
  <c r="F2604" i="17"/>
  <c r="F2603" i="17"/>
  <c r="F2602" i="17"/>
  <c r="F2601" i="17"/>
  <c r="F2600" i="17"/>
  <c r="F2599" i="17"/>
  <c r="F2598" i="17"/>
  <c r="F2597" i="17"/>
  <c r="F2596" i="17"/>
  <c r="F2595" i="17"/>
  <c r="F2594" i="17"/>
  <c r="F2593" i="17"/>
  <c r="F2592" i="17"/>
  <c r="F2591" i="17"/>
  <c r="F2590" i="17"/>
  <c r="F2589" i="17"/>
  <c r="F2588" i="17"/>
  <c r="F2587" i="17"/>
  <c r="F2586" i="17"/>
  <c r="F2585" i="17"/>
  <c r="F2584" i="17"/>
  <c r="F2583" i="17"/>
  <c r="F2582" i="17"/>
  <c r="F2581" i="17"/>
  <c r="F2580" i="17"/>
  <c r="F2579" i="17"/>
  <c r="F2578" i="17"/>
  <c r="F2577" i="17"/>
  <c r="F2576" i="17"/>
  <c r="F2575" i="17"/>
  <c r="F2574" i="17"/>
  <c r="F2573" i="17"/>
  <c r="F2572" i="17"/>
  <c r="F2571" i="17"/>
  <c r="F2570" i="17"/>
  <c r="F2569" i="17"/>
  <c r="F2568" i="17"/>
  <c r="F2567" i="17"/>
  <c r="F2566" i="17"/>
  <c r="F2565" i="17"/>
  <c r="F2564" i="17"/>
  <c r="F2563" i="17"/>
  <c r="F2562" i="17"/>
  <c r="F2561" i="17"/>
  <c r="F2560" i="17"/>
  <c r="F2559" i="17"/>
  <c r="F2558" i="17"/>
  <c r="F2557" i="17"/>
  <c r="F2556" i="17"/>
  <c r="F2555" i="17"/>
  <c r="F2554" i="17"/>
  <c r="F2553" i="17"/>
  <c r="F2552" i="17"/>
  <c r="F2551" i="17"/>
  <c r="F2550" i="17"/>
  <c r="F2549" i="17"/>
  <c r="F2548" i="17"/>
  <c r="F2547" i="17"/>
  <c r="F2546" i="17"/>
  <c r="F2545" i="17"/>
  <c r="F2544" i="17"/>
  <c r="F2543" i="17"/>
  <c r="F2542" i="17"/>
  <c r="F2541" i="17"/>
  <c r="F2540" i="17"/>
  <c r="F2539" i="17"/>
  <c r="F2538" i="17"/>
  <c r="F2537" i="17"/>
  <c r="F2536" i="17"/>
  <c r="F2535" i="17"/>
  <c r="F2534" i="17"/>
  <c r="F2533" i="17"/>
  <c r="F2532" i="17"/>
  <c r="F2531" i="17"/>
  <c r="F2530" i="17"/>
  <c r="F2529" i="17"/>
  <c r="F2528" i="17"/>
  <c r="F2527" i="17"/>
  <c r="F2526" i="17"/>
  <c r="F2525" i="17"/>
  <c r="F2524" i="17"/>
  <c r="F2523" i="17"/>
  <c r="F2522" i="17"/>
  <c r="F2521" i="17"/>
  <c r="F2520" i="17"/>
  <c r="F2519" i="17"/>
  <c r="F2518" i="17"/>
  <c r="F2517" i="17"/>
  <c r="F2516" i="17"/>
  <c r="F2515" i="17"/>
  <c r="F2514" i="17"/>
  <c r="F2513" i="17"/>
  <c r="F2512" i="17"/>
  <c r="F2511" i="17"/>
  <c r="F2510" i="17"/>
  <c r="F2509" i="17"/>
  <c r="F2508" i="17"/>
  <c r="F2507" i="17"/>
  <c r="F2506" i="17"/>
  <c r="F2505" i="17"/>
  <c r="F2504" i="17"/>
  <c r="F2503" i="17"/>
  <c r="F2502" i="17"/>
  <c r="F2501" i="17"/>
  <c r="F2500" i="17"/>
  <c r="F2499" i="17"/>
  <c r="F2498" i="17"/>
  <c r="F2497" i="17"/>
  <c r="F2496" i="17"/>
  <c r="F2495" i="17"/>
  <c r="F2494" i="17"/>
  <c r="F2493" i="17"/>
  <c r="F2492" i="17"/>
  <c r="F2491" i="17"/>
  <c r="F2490" i="17"/>
  <c r="F2489" i="17"/>
  <c r="F2488" i="17"/>
  <c r="F2487" i="17"/>
  <c r="F2486" i="17"/>
  <c r="F2485" i="17"/>
  <c r="F2484" i="17"/>
  <c r="F2483" i="17"/>
  <c r="F2482" i="17"/>
  <c r="F2481" i="17"/>
  <c r="F2480" i="17"/>
  <c r="F2479" i="17"/>
  <c r="F2478" i="17"/>
  <c r="F2477" i="17"/>
  <c r="F2476" i="17"/>
  <c r="F2475" i="17"/>
  <c r="F2474" i="17"/>
  <c r="F2473" i="17"/>
  <c r="F2472" i="17"/>
  <c r="F2471" i="17"/>
  <c r="F2470" i="17"/>
  <c r="F2469" i="17"/>
  <c r="F2468" i="17"/>
  <c r="F2467" i="17"/>
  <c r="F2466" i="17"/>
  <c r="F2465" i="17"/>
  <c r="F2464" i="17"/>
  <c r="F2463" i="17"/>
  <c r="F2462" i="17"/>
  <c r="F2461" i="17"/>
  <c r="F2460" i="17"/>
  <c r="F2459" i="17"/>
  <c r="F2458" i="17"/>
  <c r="F2457" i="17"/>
  <c r="F2456" i="17"/>
  <c r="F2455" i="17"/>
  <c r="F2454" i="17"/>
  <c r="F2453" i="17"/>
  <c r="F2452" i="17"/>
  <c r="F2451" i="17"/>
  <c r="F2450" i="17"/>
  <c r="F2449" i="17"/>
  <c r="F2448" i="17"/>
  <c r="F2447" i="17"/>
  <c r="F2446" i="17"/>
  <c r="F2445" i="17"/>
  <c r="F2444" i="17"/>
  <c r="F2443" i="17"/>
  <c r="F2442" i="17"/>
  <c r="F2441" i="17"/>
  <c r="F2440" i="17"/>
  <c r="F2439" i="17"/>
  <c r="F2438" i="17"/>
  <c r="F2437" i="17"/>
  <c r="F2436" i="17"/>
  <c r="F2435" i="17"/>
  <c r="F2434" i="17"/>
  <c r="F2433" i="17"/>
  <c r="F2432" i="17"/>
  <c r="F2431" i="17"/>
  <c r="F2430" i="17"/>
  <c r="F2429" i="17"/>
  <c r="F2428" i="17"/>
  <c r="F2427" i="17"/>
  <c r="F2426" i="17"/>
  <c r="F2425" i="17"/>
  <c r="F2424" i="17"/>
  <c r="F2423" i="17"/>
  <c r="F2422" i="17"/>
  <c r="F2421" i="17"/>
  <c r="F2420" i="17"/>
  <c r="F2419" i="17"/>
  <c r="F2418" i="17"/>
  <c r="F2417" i="17"/>
  <c r="F2416" i="17"/>
  <c r="F2415" i="17"/>
  <c r="F2414" i="17"/>
  <c r="F2413" i="17"/>
  <c r="F2412" i="17"/>
  <c r="F2411" i="17"/>
  <c r="F2410" i="17"/>
  <c r="F2409" i="17"/>
  <c r="F2408" i="17"/>
  <c r="F2407" i="17"/>
  <c r="F2406" i="17"/>
  <c r="F2405" i="17"/>
  <c r="F2404" i="17"/>
  <c r="F2403" i="17"/>
  <c r="F2402" i="17"/>
  <c r="F2401" i="17"/>
  <c r="F2400" i="17"/>
  <c r="F2399" i="17"/>
  <c r="F2398" i="17"/>
  <c r="F2397" i="17"/>
  <c r="F2396" i="17"/>
  <c r="F2395" i="17"/>
  <c r="F2394" i="17"/>
  <c r="F2393" i="17"/>
  <c r="F2392" i="17"/>
  <c r="F2391" i="17"/>
  <c r="F2390" i="17"/>
  <c r="F2389" i="17"/>
  <c r="F2388" i="17"/>
  <c r="F2387" i="17"/>
  <c r="F2386" i="17"/>
  <c r="F2385" i="17"/>
  <c r="F2384" i="17"/>
  <c r="F2383" i="17"/>
  <c r="F2382" i="17"/>
  <c r="F2381" i="17"/>
  <c r="F2380" i="17"/>
  <c r="F2379" i="17"/>
  <c r="F2378" i="17"/>
  <c r="F2377" i="17"/>
  <c r="F2376" i="17"/>
  <c r="F2375" i="17"/>
  <c r="F2374" i="17"/>
  <c r="F2373" i="17"/>
  <c r="F2372" i="17"/>
  <c r="F2371" i="17"/>
  <c r="F2370" i="17"/>
  <c r="F2369" i="17"/>
  <c r="F2368" i="17"/>
  <c r="F2367" i="17"/>
  <c r="F2366" i="17"/>
  <c r="F2365" i="17"/>
  <c r="F2364" i="17"/>
  <c r="F2363" i="17"/>
  <c r="F2362" i="17"/>
  <c r="F2361" i="17"/>
  <c r="F2360" i="17"/>
  <c r="F2359" i="17"/>
  <c r="F2358" i="17"/>
  <c r="F2357" i="17"/>
  <c r="F2356" i="17"/>
  <c r="F2355" i="17"/>
  <c r="F2354" i="17"/>
  <c r="F2353" i="17"/>
  <c r="F2352" i="17"/>
  <c r="F2351" i="17"/>
  <c r="F2350" i="17"/>
  <c r="F2349" i="17"/>
  <c r="F2348" i="17"/>
  <c r="F2347" i="17"/>
  <c r="F2346" i="17"/>
  <c r="F2345" i="17"/>
  <c r="F2344" i="17"/>
  <c r="F2343" i="17"/>
  <c r="F2342" i="17"/>
  <c r="F2341" i="17"/>
  <c r="F2340" i="17"/>
  <c r="F2339" i="17"/>
  <c r="F2338" i="17"/>
  <c r="F2337" i="17"/>
  <c r="F2336" i="17"/>
  <c r="F2335" i="17"/>
  <c r="F2334" i="17"/>
  <c r="F2333" i="17"/>
  <c r="F2332" i="17"/>
  <c r="F2331" i="17"/>
  <c r="F2330" i="17"/>
  <c r="F2329" i="17"/>
  <c r="F2328" i="17"/>
  <c r="F2327" i="17"/>
  <c r="F2326" i="17"/>
  <c r="F2325" i="17"/>
  <c r="F2324" i="17"/>
  <c r="F2323" i="17"/>
  <c r="F2322" i="17"/>
  <c r="F2321" i="17"/>
  <c r="F2320" i="17"/>
  <c r="F2319" i="17"/>
  <c r="F2318" i="17"/>
  <c r="F2317" i="17"/>
  <c r="F2316" i="17"/>
  <c r="F2315" i="17"/>
  <c r="F2314" i="17"/>
  <c r="F2313" i="17"/>
  <c r="F2312" i="17"/>
  <c r="F2311" i="17"/>
  <c r="F2310" i="17"/>
  <c r="F2309" i="17"/>
  <c r="F2308" i="17"/>
  <c r="F2307" i="17"/>
  <c r="F2306" i="17"/>
  <c r="F2305" i="17"/>
  <c r="F2304" i="17"/>
  <c r="F2303" i="17"/>
  <c r="F2302" i="17"/>
  <c r="F2301" i="17"/>
  <c r="F2300" i="17"/>
  <c r="F2299" i="17"/>
  <c r="F2298" i="17"/>
  <c r="F2297" i="17"/>
  <c r="F2296" i="17"/>
  <c r="F2295" i="17"/>
  <c r="F2294" i="17"/>
  <c r="F2293" i="17"/>
  <c r="F2292" i="17"/>
  <c r="F2291" i="17"/>
  <c r="F2290" i="17"/>
  <c r="F2289" i="17"/>
  <c r="F2288" i="17"/>
  <c r="F2287" i="17"/>
  <c r="F2286" i="17"/>
  <c r="F2285" i="17"/>
  <c r="F2284" i="17"/>
  <c r="F2283" i="17"/>
  <c r="F2282" i="17"/>
  <c r="F2281" i="17"/>
  <c r="F2280" i="17"/>
  <c r="F2279" i="17"/>
  <c r="F2278" i="17"/>
  <c r="F2277" i="17"/>
  <c r="F2276" i="17"/>
  <c r="F2275" i="17"/>
  <c r="F2274" i="17"/>
  <c r="F2273" i="17"/>
  <c r="F2272" i="17"/>
  <c r="F2271" i="17"/>
  <c r="F2270" i="17"/>
  <c r="F2269" i="17"/>
  <c r="F2268" i="17"/>
  <c r="F2267" i="17"/>
  <c r="F2266" i="17"/>
  <c r="F2265" i="17"/>
  <c r="F2264" i="17"/>
  <c r="F2263" i="17"/>
  <c r="F2262" i="17"/>
  <c r="F2261" i="17"/>
  <c r="F2260" i="17"/>
  <c r="F2259" i="17"/>
  <c r="F2258" i="17"/>
  <c r="F2257" i="17"/>
  <c r="F2256" i="17"/>
  <c r="F2255" i="17"/>
  <c r="F2254" i="17"/>
  <c r="F2253" i="17"/>
  <c r="F2252" i="17"/>
  <c r="F2251" i="17"/>
  <c r="F2250" i="17"/>
  <c r="F2249" i="17"/>
  <c r="F2248" i="17"/>
  <c r="F2247" i="17"/>
  <c r="F2246" i="17"/>
  <c r="F2245" i="17"/>
  <c r="F2244" i="17"/>
  <c r="F2243" i="17"/>
  <c r="F2242" i="17"/>
  <c r="F2241" i="17"/>
  <c r="F2240" i="17"/>
  <c r="F2239" i="17"/>
  <c r="F2238" i="17"/>
  <c r="F2237" i="17"/>
  <c r="F2236" i="17"/>
  <c r="F2235" i="17"/>
  <c r="F2234" i="17"/>
  <c r="F2233" i="17"/>
  <c r="F2232" i="17"/>
  <c r="F2231" i="17"/>
  <c r="F2230" i="17"/>
  <c r="F2229" i="17"/>
  <c r="F2228" i="17"/>
  <c r="F2227" i="17"/>
  <c r="F2226" i="17"/>
  <c r="F2225" i="17"/>
  <c r="F2224" i="17"/>
  <c r="F2223" i="17"/>
  <c r="F2222" i="17"/>
  <c r="F2221" i="17"/>
  <c r="F2220" i="17"/>
  <c r="F2219" i="17"/>
  <c r="F2218" i="17"/>
  <c r="F2217" i="17"/>
  <c r="F2216" i="17"/>
  <c r="F2215" i="17"/>
  <c r="F2214" i="17"/>
  <c r="F2213" i="17"/>
  <c r="F2212" i="17"/>
  <c r="F2211" i="17"/>
  <c r="F2210" i="17"/>
  <c r="F2209" i="17"/>
  <c r="F2208" i="17"/>
  <c r="F2207" i="17"/>
  <c r="F2206" i="17"/>
  <c r="F2205" i="17"/>
  <c r="F2204" i="17"/>
  <c r="F2203" i="17"/>
  <c r="F2202" i="17"/>
  <c r="F2201" i="17"/>
  <c r="F2200" i="17"/>
  <c r="F2199" i="17"/>
  <c r="F2198" i="17"/>
  <c r="F2197" i="17"/>
  <c r="F2196" i="17"/>
  <c r="F2195" i="17"/>
  <c r="F2194" i="17"/>
  <c r="F2193" i="17"/>
  <c r="F2192" i="17"/>
  <c r="F2191" i="17"/>
  <c r="F2190" i="17"/>
  <c r="F2189" i="17"/>
  <c r="F2188" i="17"/>
  <c r="F2187" i="17"/>
  <c r="F2186" i="17"/>
  <c r="F2185" i="17"/>
  <c r="F2184" i="17"/>
  <c r="F2183" i="17"/>
  <c r="F2182" i="17"/>
  <c r="F2181" i="17"/>
  <c r="F2180" i="17"/>
  <c r="F2179" i="17"/>
  <c r="F2178" i="17"/>
  <c r="F2177" i="17"/>
  <c r="F2176" i="17"/>
  <c r="F2175" i="17"/>
  <c r="F2174" i="17"/>
  <c r="F2173" i="17"/>
  <c r="F2172" i="17"/>
  <c r="F2171" i="17"/>
  <c r="F2170" i="17"/>
  <c r="F2169" i="17"/>
  <c r="F2168" i="17"/>
  <c r="F2167" i="17"/>
  <c r="F2166" i="17"/>
  <c r="F2165" i="17"/>
  <c r="F2164" i="17"/>
  <c r="F2163" i="17"/>
  <c r="F2162" i="17"/>
  <c r="F2161" i="17"/>
  <c r="F2160" i="17"/>
  <c r="F2159" i="17"/>
  <c r="F2158" i="17"/>
  <c r="F2157" i="17"/>
  <c r="F2156" i="17"/>
  <c r="F2155" i="17"/>
  <c r="F2154" i="17"/>
  <c r="F2153" i="17"/>
  <c r="F2152" i="17"/>
  <c r="F2151" i="17"/>
  <c r="F2150" i="17"/>
  <c r="F2149" i="17"/>
  <c r="F2148" i="17"/>
  <c r="F2147" i="17"/>
  <c r="F2146" i="17"/>
  <c r="F2145" i="17"/>
  <c r="F2144" i="17"/>
  <c r="F2143" i="17"/>
  <c r="F2142" i="17"/>
  <c r="F2141" i="17"/>
  <c r="F2140" i="17"/>
  <c r="F2139" i="17"/>
  <c r="F2138" i="17"/>
  <c r="F2137" i="17"/>
  <c r="F2136" i="17"/>
  <c r="F2135" i="17"/>
  <c r="F2134" i="17"/>
  <c r="F2133" i="17"/>
  <c r="F2132" i="17"/>
  <c r="F2131" i="17"/>
  <c r="F2130" i="17"/>
  <c r="F2129" i="17"/>
  <c r="F2128" i="17"/>
  <c r="F2127" i="17"/>
  <c r="F2126" i="17"/>
  <c r="F2125" i="17"/>
  <c r="F2124" i="17"/>
  <c r="F2123" i="17"/>
  <c r="F2122" i="17"/>
  <c r="F2121" i="17"/>
  <c r="F2120" i="17"/>
  <c r="F2119" i="17"/>
  <c r="F2118" i="17"/>
  <c r="F2117" i="17"/>
  <c r="F2116" i="17"/>
  <c r="F2115" i="17"/>
  <c r="F2114" i="17"/>
  <c r="F2113" i="17"/>
  <c r="F2112" i="17"/>
  <c r="F2111" i="17"/>
  <c r="F2110" i="17"/>
  <c r="F2109" i="17"/>
  <c r="F2108" i="17"/>
  <c r="F2107" i="17"/>
  <c r="F2106" i="17"/>
  <c r="F2105" i="17"/>
  <c r="F2104" i="17"/>
  <c r="F2103" i="17"/>
  <c r="F2102" i="17"/>
  <c r="F2101" i="17"/>
  <c r="F2100" i="17"/>
  <c r="F2099" i="17"/>
  <c r="F2098" i="17"/>
  <c r="F2097" i="17"/>
  <c r="F2096" i="17"/>
  <c r="F2095" i="17"/>
  <c r="F2094" i="17"/>
  <c r="F2093" i="17"/>
  <c r="F2092" i="17"/>
  <c r="F2091" i="17"/>
  <c r="F2090" i="17"/>
  <c r="F2089" i="17"/>
  <c r="F2088" i="17"/>
  <c r="F2087" i="17"/>
  <c r="F2086" i="17"/>
  <c r="F2085" i="17"/>
  <c r="F2084" i="17"/>
  <c r="F2083" i="17"/>
  <c r="F2082" i="17"/>
  <c r="F2081" i="17"/>
  <c r="F2080" i="17"/>
  <c r="F2079" i="17"/>
  <c r="F2078" i="17"/>
  <c r="F2077" i="17"/>
  <c r="F2076" i="17"/>
  <c r="F2075" i="17"/>
  <c r="F2074" i="17"/>
  <c r="F2073" i="17"/>
  <c r="F2072" i="17"/>
  <c r="F2071" i="17"/>
  <c r="F2070" i="17"/>
  <c r="F2069" i="17"/>
  <c r="F2068" i="17"/>
  <c r="F2067" i="17"/>
  <c r="F2066" i="17"/>
  <c r="F2065" i="17"/>
  <c r="F2064" i="17"/>
  <c r="F2063" i="17"/>
  <c r="F2062" i="17"/>
  <c r="F2061" i="17"/>
  <c r="F2060" i="17"/>
  <c r="F2059" i="17"/>
  <c r="F2058" i="17"/>
  <c r="F2057" i="17"/>
  <c r="F2056" i="17"/>
  <c r="F2055" i="17"/>
  <c r="F2054" i="17"/>
  <c r="F2053" i="17"/>
  <c r="F2052" i="17"/>
  <c r="F2051" i="17"/>
  <c r="F2050" i="17"/>
  <c r="F2049" i="17"/>
  <c r="F2048" i="17"/>
  <c r="F2047" i="17"/>
  <c r="F2046" i="17"/>
  <c r="F2045" i="17"/>
  <c r="F2044" i="17"/>
  <c r="F2043" i="17"/>
  <c r="F2042" i="17"/>
  <c r="F2041" i="17"/>
  <c r="F2040" i="17"/>
  <c r="F2039" i="17"/>
  <c r="F2038" i="17"/>
  <c r="F2037" i="17"/>
  <c r="F2036" i="17"/>
  <c r="F2035" i="17"/>
  <c r="F2034" i="17"/>
  <c r="F2033" i="17"/>
  <c r="F2032" i="17"/>
  <c r="F2031" i="17"/>
  <c r="F2030" i="17"/>
  <c r="F2029" i="17"/>
  <c r="F2028" i="17"/>
  <c r="F2027" i="17"/>
  <c r="F2026" i="17"/>
  <c r="F2025" i="17"/>
  <c r="F2024" i="17"/>
  <c r="F2023" i="17"/>
  <c r="F2022" i="17"/>
  <c r="F2021" i="17"/>
  <c r="F2020" i="17"/>
  <c r="F2019" i="17"/>
  <c r="F2018" i="17"/>
  <c r="F2017" i="17"/>
  <c r="F2016" i="17"/>
  <c r="F2015" i="17"/>
  <c r="F2014" i="17"/>
  <c r="F2013" i="17"/>
  <c r="F2012" i="17"/>
  <c r="F2011" i="17"/>
  <c r="F2010" i="17"/>
  <c r="F2009" i="17"/>
  <c r="F2008" i="17"/>
  <c r="F2007" i="17"/>
  <c r="F2006" i="17"/>
  <c r="F2005" i="17"/>
  <c r="F2004" i="17"/>
  <c r="F2003" i="17"/>
  <c r="F2002" i="17"/>
  <c r="F2001" i="17"/>
  <c r="F2000" i="17"/>
  <c r="F1999" i="17"/>
  <c r="F1998" i="17"/>
  <c r="F1997" i="17"/>
  <c r="F1996" i="17"/>
  <c r="F1995" i="17"/>
  <c r="F1994" i="17"/>
  <c r="F1993" i="17"/>
  <c r="F1992" i="17"/>
  <c r="F1991" i="17"/>
  <c r="F1990" i="17"/>
  <c r="F1989" i="17"/>
  <c r="F1988" i="17"/>
  <c r="F1987" i="17"/>
  <c r="F1986" i="17"/>
  <c r="F1985" i="17"/>
  <c r="F1984" i="17"/>
  <c r="F1983" i="17"/>
  <c r="F1982" i="17"/>
  <c r="F1981" i="17"/>
  <c r="F1980" i="17"/>
  <c r="F1979" i="17"/>
  <c r="F1978" i="17"/>
  <c r="F1977" i="17"/>
  <c r="F1976" i="17"/>
  <c r="F1975" i="17"/>
  <c r="F1974" i="17"/>
  <c r="F1973" i="17"/>
  <c r="F1972" i="17"/>
  <c r="F1971" i="17"/>
  <c r="F1970" i="17"/>
  <c r="F1969" i="17"/>
  <c r="F1968" i="17"/>
  <c r="F1967" i="17"/>
  <c r="F1966" i="17"/>
  <c r="F1965" i="17"/>
  <c r="F1964" i="17"/>
  <c r="F1963" i="17"/>
  <c r="F1962" i="17"/>
  <c r="F1961" i="17"/>
  <c r="F1960" i="17"/>
  <c r="F1959" i="17"/>
  <c r="F1958" i="17"/>
  <c r="F1957" i="17"/>
  <c r="F1956" i="17"/>
  <c r="F1955" i="17"/>
  <c r="F1954" i="17"/>
  <c r="F1953" i="17"/>
  <c r="F1952" i="17"/>
  <c r="F1951" i="17"/>
  <c r="F1950" i="17"/>
  <c r="F1949" i="17"/>
  <c r="F1948" i="17"/>
  <c r="F1947" i="17"/>
  <c r="F1946" i="17"/>
  <c r="F1945" i="17"/>
  <c r="F1944" i="17"/>
  <c r="F1943" i="17"/>
  <c r="F1942" i="17"/>
  <c r="F1941" i="17"/>
  <c r="F1940" i="17"/>
  <c r="F1939" i="17"/>
  <c r="F1938" i="17"/>
  <c r="F1937" i="17"/>
  <c r="F1936" i="17"/>
  <c r="F1935" i="17"/>
  <c r="F1934" i="17"/>
  <c r="F1933" i="17"/>
  <c r="F1932" i="17"/>
  <c r="F1931" i="17"/>
  <c r="F1930" i="17"/>
  <c r="F1929" i="17"/>
  <c r="F1928" i="17"/>
  <c r="F1927" i="17"/>
  <c r="F1926" i="17"/>
  <c r="F1925" i="17"/>
  <c r="F1924" i="17"/>
  <c r="F1923" i="17"/>
  <c r="F1922" i="17"/>
  <c r="F1921" i="17"/>
  <c r="F1920" i="17"/>
  <c r="F1919" i="17"/>
  <c r="F1918" i="17"/>
  <c r="F1917" i="17"/>
  <c r="F1916" i="17"/>
  <c r="F1915" i="17"/>
  <c r="F1914" i="17"/>
  <c r="F1913" i="17"/>
  <c r="F1912" i="17"/>
  <c r="F1911" i="17"/>
  <c r="F1910" i="17"/>
  <c r="F1909" i="17"/>
  <c r="F1908" i="17"/>
  <c r="F1907" i="17"/>
  <c r="F1906" i="17"/>
  <c r="F1905" i="17"/>
  <c r="F1904" i="17"/>
  <c r="F1903" i="17"/>
  <c r="F1902" i="17"/>
  <c r="F1901" i="17"/>
  <c r="F1900" i="17"/>
  <c r="F1899" i="17"/>
  <c r="F1898" i="17"/>
  <c r="F1897" i="17"/>
  <c r="F1896" i="17"/>
  <c r="F1895" i="17"/>
  <c r="F1894" i="17"/>
  <c r="F1893" i="17"/>
  <c r="F1892" i="17"/>
  <c r="F1891" i="17"/>
  <c r="F1890" i="17"/>
  <c r="F1889" i="17"/>
  <c r="F1888" i="17"/>
  <c r="F1887" i="17"/>
  <c r="F1886" i="17"/>
  <c r="F1885" i="17"/>
  <c r="F1884" i="17"/>
  <c r="F1883" i="17"/>
  <c r="F1882" i="17"/>
  <c r="F1881" i="17"/>
  <c r="F1880" i="17"/>
  <c r="F1879" i="17"/>
  <c r="F1878" i="17"/>
  <c r="F1877" i="17"/>
  <c r="F1876" i="17"/>
  <c r="F1875" i="17"/>
  <c r="F1874" i="17"/>
  <c r="F1873" i="17"/>
  <c r="F1872" i="17"/>
  <c r="F1871" i="17"/>
  <c r="F1870" i="17"/>
  <c r="F1869" i="17"/>
  <c r="F1868" i="17"/>
  <c r="F1867" i="17"/>
  <c r="F1866" i="17"/>
  <c r="F1865" i="17"/>
  <c r="F1864" i="17"/>
  <c r="F1863" i="17"/>
  <c r="F1862" i="17"/>
  <c r="F1861" i="17"/>
  <c r="F1860" i="17"/>
  <c r="F1859" i="17"/>
  <c r="F1858" i="17"/>
  <c r="F1857" i="17"/>
  <c r="F1856" i="17"/>
  <c r="F1855" i="17"/>
  <c r="F1854" i="17"/>
  <c r="F1853" i="17"/>
  <c r="F1852" i="17"/>
  <c r="F1851" i="17"/>
  <c r="F1850" i="17"/>
  <c r="F1849" i="17"/>
  <c r="F1848" i="17"/>
  <c r="F1847" i="17"/>
  <c r="F1846" i="17"/>
  <c r="F1845" i="17"/>
  <c r="F1844" i="17"/>
  <c r="F1843" i="17"/>
  <c r="F1842" i="17"/>
  <c r="F1841" i="17"/>
  <c r="F1840" i="17"/>
  <c r="F1839" i="17"/>
  <c r="F1838" i="17"/>
  <c r="F1837" i="17"/>
  <c r="F1836" i="17"/>
  <c r="F1835" i="17"/>
  <c r="F1834" i="17"/>
  <c r="F1833" i="17"/>
  <c r="F1832" i="17"/>
  <c r="F1831" i="17"/>
  <c r="F1830" i="17"/>
  <c r="F1829" i="17"/>
  <c r="F1828" i="17"/>
  <c r="F1827" i="17"/>
  <c r="F1826" i="17"/>
  <c r="F1825" i="17"/>
  <c r="F1824" i="17"/>
  <c r="F1823" i="17"/>
  <c r="F1822" i="17"/>
  <c r="F1821" i="17"/>
  <c r="F1820" i="17"/>
  <c r="F1819" i="17"/>
  <c r="F1818" i="17"/>
  <c r="F1817" i="17"/>
  <c r="F1816" i="17"/>
  <c r="F1815" i="17"/>
  <c r="F1814" i="17"/>
  <c r="F1813" i="17"/>
  <c r="F1812" i="17"/>
  <c r="F1811" i="17"/>
  <c r="F1810" i="17"/>
  <c r="F1809" i="17"/>
  <c r="F1808" i="17"/>
  <c r="F1807" i="17"/>
  <c r="F1806" i="17"/>
  <c r="F1805" i="17"/>
  <c r="F1804" i="17"/>
  <c r="F1803" i="17"/>
  <c r="F1802" i="17"/>
  <c r="F1801" i="17"/>
  <c r="F1800" i="17"/>
  <c r="F1799" i="17"/>
  <c r="F1798" i="17"/>
  <c r="F1797" i="17"/>
  <c r="F1796" i="17"/>
  <c r="F1795" i="17"/>
  <c r="F1794" i="17"/>
  <c r="F1793" i="17"/>
  <c r="F1792" i="17"/>
  <c r="F1791" i="17"/>
  <c r="F1790" i="17"/>
  <c r="F1789" i="17"/>
  <c r="F1788" i="17"/>
  <c r="F1787" i="17"/>
  <c r="F1786" i="17"/>
  <c r="F1785" i="17"/>
  <c r="F1784" i="17"/>
  <c r="F1783" i="17"/>
  <c r="F1782" i="17"/>
  <c r="F1781" i="17"/>
  <c r="F1780" i="17"/>
  <c r="F1779" i="17"/>
  <c r="F1778" i="17"/>
  <c r="F1777" i="17"/>
  <c r="F1776" i="17"/>
  <c r="F1775" i="17"/>
  <c r="F1774" i="17"/>
  <c r="F1773" i="17"/>
  <c r="F1772" i="17"/>
  <c r="F1771" i="17"/>
  <c r="F1770" i="17"/>
  <c r="F1769" i="17"/>
  <c r="F1768" i="17"/>
  <c r="F1767" i="17"/>
  <c r="F1766" i="17"/>
  <c r="F1765" i="17"/>
  <c r="F1764" i="17"/>
  <c r="F1763" i="17"/>
  <c r="F1762" i="17"/>
  <c r="F1761" i="17"/>
  <c r="F1760" i="17"/>
  <c r="F1759" i="17"/>
  <c r="F1758" i="17"/>
  <c r="F1757" i="17"/>
  <c r="F1756" i="17"/>
  <c r="F1755" i="17"/>
  <c r="F1754" i="17"/>
  <c r="F1753" i="17"/>
  <c r="F1752" i="17"/>
  <c r="F1751" i="17"/>
  <c r="F1750" i="17"/>
  <c r="F1749" i="17"/>
  <c r="F1748" i="17"/>
  <c r="F1747" i="17"/>
  <c r="F1746" i="17"/>
  <c r="F1745" i="17"/>
  <c r="F1744" i="17"/>
  <c r="F1743" i="17"/>
  <c r="F1742" i="17"/>
  <c r="F1741" i="17"/>
  <c r="F1740" i="17"/>
  <c r="F1739" i="17"/>
  <c r="F1738" i="17"/>
  <c r="F1737" i="17"/>
  <c r="F1736" i="17"/>
  <c r="F1735" i="17"/>
  <c r="F1734" i="17"/>
  <c r="F1733" i="17"/>
  <c r="F1732" i="17"/>
  <c r="F1731" i="17"/>
  <c r="F1730" i="17"/>
  <c r="F1729" i="17"/>
  <c r="F1728" i="17"/>
  <c r="F1727" i="17"/>
  <c r="F1726" i="17"/>
  <c r="F1725" i="17"/>
  <c r="F1724" i="17"/>
  <c r="F1723" i="17"/>
  <c r="F1722" i="17"/>
  <c r="F1721" i="17"/>
  <c r="F1720" i="17"/>
  <c r="F1719" i="17"/>
  <c r="F1718" i="17"/>
  <c r="F1717" i="17"/>
  <c r="F1716" i="17"/>
  <c r="F1715" i="17"/>
  <c r="F1714" i="17"/>
  <c r="F1713" i="17"/>
  <c r="F1712" i="17"/>
  <c r="F1711" i="17"/>
  <c r="F1710" i="17"/>
  <c r="F1709" i="17"/>
  <c r="F1708" i="17"/>
  <c r="F1707" i="17"/>
  <c r="F1706" i="17"/>
  <c r="F1705" i="17"/>
  <c r="F1704" i="17"/>
  <c r="F1703" i="17"/>
  <c r="F1702" i="17"/>
  <c r="F1701" i="17"/>
  <c r="F1700" i="17"/>
  <c r="F1699" i="17"/>
  <c r="F1698" i="17"/>
  <c r="F1697" i="17"/>
  <c r="F1696" i="17"/>
  <c r="F1695" i="17"/>
  <c r="F1694" i="17"/>
  <c r="F1693" i="17"/>
  <c r="F1692" i="17"/>
  <c r="F1691" i="17"/>
  <c r="F1690" i="17"/>
  <c r="F1689" i="17"/>
  <c r="F1688" i="17"/>
  <c r="F1687" i="17"/>
  <c r="F1686" i="17"/>
  <c r="F1685" i="17"/>
  <c r="F1684" i="17"/>
  <c r="F1683" i="17"/>
  <c r="F1682" i="17"/>
  <c r="F1681" i="17"/>
  <c r="F1680" i="17"/>
  <c r="F1679" i="17"/>
  <c r="F1678" i="17"/>
  <c r="F1677" i="17"/>
  <c r="F1676" i="17"/>
  <c r="F1675" i="17"/>
  <c r="F1674" i="17"/>
  <c r="F1673" i="17"/>
  <c r="F1672" i="17"/>
  <c r="F1671" i="17"/>
  <c r="F1670" i="17"/>
  <c r="F1669" i="17"/>
  <c r="F1668" i="17"/>
  <c r="F1667" i="17"/>
  <c r="F1666" i="17"/>
  <c r="F1665" i="17"/>
  <c r="F1664" i="17"/>
  <c r="F1663" i="17"/>
  <c r="F1662" i="17"/>
  <c r="F1661" i="17"/>
  <c r="F1660" i="17"/>
  <c r="F1659" i="17"/>
  <c r="F1658" i="17"/>
  <c r="F1657" i="17"/>
  <c r="F1656" i="17"/>
  <c r="F1655" i="17"/>
  <c r="F1654" i="17"/>
  <c r="F1653" i="17"/>
  <c r="F1652" i="17"/>
  <c r="F1651" i="17"/>
  <c r="F1650" i="17"/>
  <c r="F1649" i="17"/>
  <c r="F1648" i="17"/>
  <c r="F1647" i="17"/>
  <c r="F1646" i="17"/>
  <c r="F1645" i="17"/>
  <c r="F1644" i="17"/>
  <c r="F1643" i="17"/>
  <c r="F1642" i="17"/>
  <c r="F1641" i="17"/>
  <c r="F1640" i="17"/>
  <c r="F1639" i="17"/>
  <c r="F1638" i="17"/>
  <c r="F1637" i="17"/>
  <c r="F1636" i="17"/>
  <c r="F1635" i="17"/>
  <c r="F1634" i="17"/>
  <c r="F1633" i="17"/>
  <c r="F1632" i="17"/>
  <c r="F1631" i="17"/>
  <c r="F1630" i="17"/>
  <c r="F1629" i="17"/>
  <c r="F1628" i="17"/>
  <c r="F1627" i="17"/>
  <c r="F1626" i="17"/>
  <c r="F1625" i="17"/>
  <c r="F1624" i="17"/>
  <c r="F1623" i="17"/>
  <c r="F1622" i="17"/>
  <c r="F1621" i="17"/>
  <c r="F1620" i="17"/>
  <c r="F1619" i="17"/>
  <c r="F1618" i="17"/>
  <c r="F1617" i="17"/>
  <c r="F1616" i="17"/>
  <c r="F1615" i="17"/>
  <c r="F1614" i="17"/>
  <c r="F1613" i="17"/>
  <c r="F1612" i="17"/>
  <c r="F1611" i="17"/>
  <c r="F1610" i="17"/>
  <c r="F1609" i="17"/>
  <c r="F1608" i="17"/>
  <c r="F1607" i="17"/>
  <c r="F1606" i="17"/>
  <c r="F1605" i="17"/>
  <c r="F1604" i="17"/>
  <c r="F1603" i="17"/>
  <c r="F1602" i="17"/>
  <c r="F1601" i="17"/>
  <c r="F1600" i="17"/>
  <c r="F1599" i="17"/>
  <c r="F1598" i="17"/>
  <c r="F1597" i="17"/>
  <c r="F1596" i="17"/>
  <c r="F1595" i="17"/>
  <c r="F1594" i="17"/>
  <c r="F1593" i="17"/>
  <c r="F1592" i="17"/>
  <c r="F1591" i="17"/>
  <c r="F1590" i="17"/>
  <c r="F1589" i="17"/>
  <c r="F1588" i="17"/>
  <c r="F1587" i="17"/>
  <c r="F1586" i="17"/>
  <c r="F1585" i="17"/>
  <c r="F1584" i="17"/>
  <c r="F1583" i="17"/>
  <c r="F1582" i="17"/>
  <c r="F1581" i="17"/>
  <c r="F1580" i="17"/>
  <c r="F1579" i="17"/>
  <c r="F1578" i="17"/>
  <c r="F1577" i="17"/>
  <c r="F1576" i="17"/>
  <c r="F1575" i="17"/>
  <c r="F1574" i="17"/>
  <c r="F1573" i="17"/>
  <c r="F1572" i="17"/>
  <c r="F1571" i="17"/>
  <c r="F1570" i="17"/>
  <c r="F1569" i="17"/>
  <c r="F1568" i="17"/>
  <c r="F1567" i="17"/>
  <c r="F1566" i="17"/>
  <c r="F1565" i="17"/>
  <c r="F1564" i="17"/>
  <c r="F1563" i="17"/>
  <c r="F1562" i="17"/>
  <c r="F1561" i="17"/>
  <c r="F1560" i="17"/>
  <c r="F1559" i="17"/>
  <c r="F1558" i="17"/>
  <c r="F1557" i="17"/>
  <c r="F1556" i="17"/>
  <c r="F1555" i="17"/>
  <c r="F1554" i="17"/>
  <c r="F1553" i="17"/>
  <c r="F1552" i="17"/>
  <c r="F1551" i="17"/>
  <c r="F1550" i="17"/>
  <c r="F1549" i="17"/>
  <c r="F1548" i="17"/>
  <c r="F1547" i="17"/>
  <c r="F1546" i="17"/>
  <c r="F1545" i="17"/>
  <c r="F1544" i="17"/>
  <c r="F1543" i="17"/>
  <c r="F1542" i="17"/>
  <c r="F1541" i="17"/>
  <c r="F1540" i="17"/>
  <c r="F1539" i="17"/>
  <c r="F1538" i="17"/>
  <c r="F1537" i="17"/>
  <c r="F1536" i="17"/>
  <c r="F1535" i="17"/>
  <c r="F1534" i="17"/>
  <c r="F1533" i="17"/>
  <c r="F1532" i="17"/>
  <c r="F1531" i="17"/>
  <c r="F1530" i="17"/>
  <c r="F1529" i="17"/>
  <c r="F1528" i="17"/>
  <c r="F1527" i="17"/>
  <c r="F1526" i="17"/>
  <c r="F1525" i="17"/>
  <c r="F1524" i="17"/>
  <c r="F1523" i="17"/>
  <c r="F1522" i="17"/>
  <c r="F1521" i="17"/>
  <c r="F1520" i="17"/>
  <c r="F1519" i="17"/>
  <c r="F1518" i="17"/>
  <c r="F1517" i="17"/>
  <c r="F1516" i="17"/>
  <c r="F1515" i="17"/>
  <c r="F1514" i="17"/>
  <c r="F1513" i="17"/>
  <c r="F1512" i="17"/>
  <c r="F1511" i="17"/>
  <c r="F1510" i="17"/>
  <c r="F1509" i="17"/>
  <c r="F1508" i="17"/>
  <c r="F1507" i="17"/>
  <c r="F1506" i="17"/>
  <c r="F1505" i="17"/>
  <c r="F1504" i="17"/>
  <c r="F1503" i="17"/>
  <c r="F1502" i="17"/>
  <c r="F1501" i="17"/>
  <c r="F1500" i="17"/>
  <c r="F1499" i="17"/>
  <c r="F1498" i="17"/>
  <c r="F1497" i="17"/>
  <c r="F1496" i="17"/>
  <c r="F1495" i="17"/>
  <c r="F1494" i="17"/>
  <c r="F1493" i="17"/>
  <c r="F1492" i="17"/>
  <c r="F1491" i="17"/>
  <c r="F1490" i="17"/>
  <c r="F1489" i="17"/>
  <c r="F1488" i="17"/>
  <c r="F1487" i="17"/>
  <c r="F1486" i="17"/>
  <c r="F1485" i="17"/>
  <c r="F1484" i="17"/>
  <c r="F1483" i="17"/>
  <c r="F1482" i="17"/>
  <c r="F1481" i="17"/>
  <c r="F1480" i="17"/>
  <c r="F1479" i="17"/>
  <c r="F1478" i="17"/>
  <c r="F1477" i="17"/>
  <c r="F1476" i="17"/>
  <c r="F1475" i="17"/>
  <c r="F1474" i="17"/>
  <c r="F1473" i="17"/>
  <c r="F1472" i="17"/>
  <c r="F1471" i="17"/>
  <c r="F1470" i="17"/>
  <c r="F1469" i="17"/>
  <c r="F1468" i="17"/>
  <c r="F1467" i="17"/>
  <c r="F1466" i="17"/>
  <c r="F1465" i="17"/>
  <c r="F1464" i="17"/>
  <c r="F1463" i="17"/>
  <c r="F1462" i="17"/>
  <c r="F1461" i="17"/>
  <c r="F1460" i="17"/>
  <c r="F1459" i="17"/>
  <c r="F1458" i="17"/>
  <c r="F1457" i="17"/>
  <c r="F1456" i="17"/>
  <c r="F1455" i="17"/>
  <c r="F1454" i="17"/>
  <c r="F1453" i="17"/>
  <c r="F1452" i="17"/>
  <c r="F1451" i="17"/>
  <c r="F1450" i="17"/>
  <c r="F1449" i="17"/>
  <c r="F1448" i="17"/>
  <c r="F1447" i="17"/>
  <c r="F1446" i="17"/>
  <c r="F1445" i="17"/>
  <c r="F1444" i="17"/>
  <c r="F1443" i="17"/>
  <c r="F1442" i="17"/>
  <c r="F1441" i="17"/>
  <c r="F1440" i="17"/>
  <c r="F1439" i="17"/>
  <c r="F1438" i="17"/>
  <c r="F1437" i="17"/>
  <c r="F1436" i="17"/>
  <c r="F1435" i="17"/>
  <c r="F1434" i="17"/>
  <c r="F1433" i="17"/>
  <c r="F1432" i="17"/>
  <c r="F1431" i="17"/>
  <c r="F1430" i="17"/>
  <c r="F1429" i="17"/>
  <c r="F1428" i="17"/>
  <c r="F1427" i="17"/>
  <c r="F1426" i="17"/>
  <c r="F1425" i="17"/>
  <c r="F1424" i="17"/>
  <c r="F1423" i="17"/>
  <c r="F1422" i="17"/>
  <c r="F1421" i="17"/>
  <c r="F1420" i="17"/>
  <c r="F1419" i="17"/>
  <c r="F1418" i="17"/>
  <c r="F1417" i="17"/>
  <c r="F1416" i="17"/>
  <c r="F1415" i="17"/>
  <c r="F1414" i="17"/>
  <c r="F1413" i="17"/>
  <c r="F1412" i="17"/>
  <c r="F1411" i="17"/>
  <c r="F1410" i="17"/>
  <c r="F1409" i="17"/>
  <c r="F1408" i="17"/>
  <c r="F1407" i="17"/>
  <c r="F1406" i="17"/>
  <c r="F1405" i="17"/>
  <c r="F1404" i="17"/>
  <c r="F1403" i="17"/>
  <c r="F1402" i="17"/>
  <c r="F1401" i="17"/>
  <c r="F1400" i="17"/>
  <c r="F1399" i="17"/>
  <c r="F1398" i="17"/>
  <c r="F1397" i="17"/>
  <c r="F1396" i="17"/>
  <c r="F1395" i="17"/>
  <c r="F1394" i="17"/>
  <c r="F1393" i="17"/>
  <c r="F1392" i="17"/>
  <c r="F1391" i="17"/>
  <c r="F1390" i="17"/>
  <c r="F1389" i="17"/>
  <c r="F1388" i="17"/>
  <c r="F1387" i="17"/>
  <c r="F1386" i="17"/>
  <c r="F1385" i="17"/>
  <c r="F1384" i="17"/>
  <c r="F1383" i="17"/>
  <c r="F1382" i="17"/>
  <c r="F1381" i="17"/>
  <c r="F1380" i="17"/>
  <c r="F1379" i="17"/>
  <c r="F1378" i="17"/>
  <c r="F1377" i="17"/>
  <c r="F1376" i="17"/>
  <c r="F1375" i="17"/>
  <c r="F1374" i="17"/>
  <c r="F1373" i="17"/>
  <c r="F1372" i="17"/>
  <c r="F1371" i="17"/>
  <c r="F1370" i="17"/>
  <c r="F1369" i="17"/>
  <c r="F1368" i="17"/>
  <c r="F1367" i="17"/>
  <c r="F1366" i="17"/>
  <c r="F1365" i="17"/>
  <c r="F1364" i="17"/>
  <c r="F1363" i="17"/>
  <c r="F1362" i="17"/>
  <c r="F1361" i="17"/>
  <c r="F1360" i="17"/>
  <c r="F1359" i="17"/>
  <c r="F1358" i="17"/>
  <c r="F1357" i="17"/>
  <c r="F1356" i="17"/>
  <c r="F1355" i="17"/>
  <c r="F1354" i="17"/>
  <c r="F1353" i="17"/>
  <c r="F1352" i="17"/>
  <c r="F1351" i="17"/>
  <c r="F1350" i="17"/>
  <c r="F1349" i="17"/>
  <c r="F1348" i="17"/>
  <c r="F1347" i="17"/>
  <c r="F1346" i="17"/>
  <c r="F1345" i="17"/>
  <c r="F1344" i="17"/>
  <c r="F1343" i="17"/>
  <c r="F1342" i="17"/>
  <c r="F1341" i="17"/>
  <c r="F1340" i="17"/>
  <c r="F1339" i="17"/>
  <c r="F1338" i="17"/>
  <c r="F1337" i="17"/>
  <c r="F1336" i="17"/>
  <c r="F1335" i="17"/>
  <c r="F1334" i="17"/>
  <c r="F1333" i="17"/>
  <c r="F1332" i="17"/>
  <c r="F1331" i="17"/>
  <c r="F1330" i="17"/>
  <c r="F1329" i="17"/>
  <c r="F1328" i="17"/>
  <c r="F1327" i="17"/>
  <c r="F1326" i="17"/>
  <c r="F1325" i="17"/>
  <c r="F1324" i="17"/>
  <c r="F1323" i="17"/>
  <c r="F1322" i="17"/>
  <c r="F1321" i="17"/>
  <c r="F1320" i="17"/>
  <c r="F1319" i="17"/>
  <c r="F1318" i="17"/>
  <c r="F1317" i="17"/>
  <c r="F1316" i="17"/>
  <c r="F1315" i="17"/>
  <c r="F1314" i="17"/>
  <c r="F1313" i="17"/>
  <c r="F1312" i="17"/>
  <c r="F1311" i="17"/>
  <c r="F1310" i="17"/>
  <c r="F1309" i="17"/>
  <c r="F1308" i="17"/>
  <c r="F1307" i="17"/>
  <c r="F1306" i="17"/>
  <c r="F1305" i="17"/>
  <c r="F1304" i="17"/>
  <c r="F1303" i="17"/>
  <c r="F1302" i="17"/>
  <c r="F1301" i="17"/>
  <c r="F1300" i="17"/>
  <c r="F1299" i="17"/>
  <c r="F1298" i="17"/>
  <c r="F1297" i="17"/>
  <c r="F1296" i="17"/>
  <c r="F1295" i="17"/>
  <c r="F1294" i="17"/>
  <c r="F1293" i="17"/>
  <c r="F1292" i="17"/>
  <c r="F1291" i="17"/>
  <c r="F1290" i="17"/>
  <c r="F1289" i="17"/>
  <c r="F1288" i="17"/>
  <c r="F1287" i="17"/>
  <c r="F1286" i="17"/>
  <c r="F1285" i="17"/>
  <c r="F1284" i="17"/>
  <c r="F1283" i="17"/>
  <c r="F1282" i="17"/>
  <c r="F1281" i="17"/>
  <c r="F1280" i="17"/>
  <c r="F1279" i="17"/>
  <c r="F1278" i="17"/>
  <c r="F1277" i="17"/>
  <c r="F1276" i="17"/>
  <c r="F1275" i="17"/>
  <c r="F1274" i="17"/>
  <c r="F1273" i="17"/>
  <c r="F1272" i="17"/>
  <c r="F1271" i="17"/>
  <c r="F1270" i="17"/>
  <c r="F1269" i="17"/>
  <c r="F1268" i="17"/>
  <c r="F1267" i="17"/>
  <c r="F1266" i="17"/>
  <c r="F1265" i="17"/>
  <c r="F1264" i="17"/>
  <c r="F1263" i="17"/>
  <c r="F1262" i="17"/>
  <c r="F1261" i="17"/>
  <c r="F1260" i="17"/>
  <c r="F1259" i="17"/>
  <c r="F1258" i="17"/>
  <c r="F1257" i="17"/>
  <c r="F1256" i="17"/>
  <c r="F1255" i="17"/>
  <c r="F1254" i="17"/>
  <c r="F1253" i="17"/>
  <c r="F1252" i="17"/>
  <c r="F1251" i="17"/>
  <c r="F1250" i="17"/>
  <c r="F1249" i="17"/>
  <c r="F1248" i="17"/>
  <c r="F1247" i="17"/>
  <c r="F1246" i="17"/>
  <c r="F1245" i="17"/>
  <c r="F1244" i="17"/>
  <c r="F1243" i="17"/>
  <c r="F1242" i="17"/>
  <c r="F1241" i="17"/>
  <c r="F1240" i="17"/>
  <c r="F1239" i="17"/>
  <c r="F1238" i="17"/>
  <c r="F1237" i="17"/>
  <c r="F1236" i="17"/>
  <c r="F1235" i="17"/>
  <c r="F1234" i="17"/>
  <c r="F1233" i="17"/>
  <c r="F1232" i="17"/>
  <c r="F1231" i="17"/>
  <c r="F1230" i="17"/>
  <c r="F1229" i="17"/>
  <c r="F1228" i="17"/>
  <c r="F1227" i="17"/>
  <c r="F1226" i="17"/>
  <c r="F1225" i="17"/>
  <c r="F1224" i="17"/>
  <c r="F1223" i="17"/>
  <c r="F1222" i="17"/>
  <c r="F1221" i="17"/>
  <c r="F1220" i="17"/>
  <c r="F1219" i="17"/>
  <c r="F1218" i="17"/>
  <c r="F1217" i="17"/>
  <c r="F1216" i="17"/>
  <c r="F1215" i="17"/>
  <c r="F1214" i="17"/>
  <c r="F1213" i="17"/>
  <c r="F1212" i="17"/>
  <c r="F1211" i="17"/>
  <c r="F1210" i="17"/>
  <c r="F1209" i="17"/>
  <c r="F1208" i="17"/>
  <c r="F1207" i="17"/>
  <c r="F1206" i="17"/>
  <c r="F1205" i="17"/>
  <c r="F1204" i="17"/>
  <c r="F1203" i="17"/>
  <c r="F1202" i="17"/>
  <c r="F1201" i="17"/>
  <c r="F1200" i="17"/>
  <c r="F1199" i="17"/>
  <c r="F1198" i="17"/>
  <c r="F1197" i="17"/>
  <c r="F1196" i="17"/>
  <c r="F1195" i="17"/>
  <c r="F1194" i="17"/>
  <c r="F1193" i="17"/>
  <c r="F1192" i="17"/>
  <c r="F1191" i="17"/>
  <c r="F1190" i="17"/>
  <c r="F1189" i="17"/>
  <c r="F1188" i="17"/>
  <c r="F1187" i="17"/>
  <c r="F1186" i="17"/>
  <c r="F1185" i="17"/>
  <c r="F1184" i="17"/>
  <c r="F1183" i="17"/>
  <c r="F1182" i="17"/>
  <c r="F1181" i="17"/>
  <c r="F1180" i="17"/>
  <c r="F1179" i="17"/>
  <c r="F1178" i="17"/>
  <c r="F1177" i="17"/>
  <c r="F1176" i="17"/>
  <c r="F1175" i="17"/>
  <c r="F1174" i="17"/>
  <c r="F1173" i="17"/>
  <c r="F1172" i="17"/>
  <c r="F1171" i="17"/>
  <c r="F1170" i="17"/>
  <c r="F1169" i="17"/>
  <c r="F1168" i="17"/>
  <c r="F1167" i="17"/>
  <c r="F1166" i="17"/>
  <c r="F1165" i="17"/>
  <c r="F1164" i="17"/>
  <c r="F1163" i="17"/>
  <c r="F1162" i="17"/>
  <c r="F1161" i="17"/>
  <c r="F1160" i="17"/>
  <c r="F1159" i="17"/>
  <c r="F1158" i="17"/>
  <c r="F1157" i="17"/>
  <c r="F1156" i="17"/>
  <c r="F1155" i="17"/>
  <c r="F1154" i="17"/>
  <c r="F1153" i="17"/>
  <c r="F1152" i="17"/>
  <c r="F1151" i="17"/>
  <c r="F1150" i="17"/>
  <c r="F1149" i="17"/>
  <c r="F1148" i="17"/>
  <c r="F1147" i="17"/>
  <c r="F1146" i="17"/>
  <c r="F1145" i="17"/>
  <c r="F1144" i="17"/>
  <c r="F1143" i="17"/>
  <c r="F1142" i="17"/>
  <c r="F1141" i="17"/>
  <c r="F1140" i="17"/>
  <c r="F1139" i="17"/>
  <c r="F1138" i="17"/>
  <c r="F1137" i="17"/>
  <c r="F1136" i="17"/>
  <c r="F1135" i="17"/>
  <c r="F1134" i="17"/>
  <c r="F1133" i="17"/>
  <c r="F1132" i="17"/>
  <c r="F1131" i="17"/>
  <c r="F1130" i="17"/>
  <c r="F1129" i="17"/>
  <c r="F1128" i="17"/>
  <c r="F1127" i="17"/>
  <c r="F1126" i="17"/>
  <c r="F1125" i="17"/>
  <c r="F1124" i="17"/>
  <c r="F1123" i="17"/>
  <c r="F1122" i="17"/>
  <c r="F1121" i="17"/>
  <c r="F1120" i="17"/>
  <c r="F1119" i="17"/>
  <c r="F1118" i="17"/>
  <c r="F1117" i="17"/>
  <c r="F1116" i="17"/>
  <c r="F1115" i="17"/>
  <c r="F1114" i="17"/>
  <c r="F1113" i="17"/>
  <c r="F1112" i="17"/>
  <c r="F1111" i="17"/>
  <c r="F1110" i="17"/>
  <c r="F1109" i="17"/>
  <c r="F1108" i="17"/>
  <c r="F1107" i="17"/>
  <c r="F1106" i="17"/>
  <c r="F1105" i="17"/>
  <c r="F1104" i="17"/>
  <c r="F1103" i="17"/>
  <c r="F1102" i="17"/>
  <c r="F1101" i="17"/>
  <c r="F1100" i="17"/>
  <c r="F1099" i="17"/>
  <c r="F1098" i="17"/>
  <c r="F1097" i="17"/>
  <c r="F1096" i="17"/>
  <c r="F1095" i="17"/>
  <c r="F1094" i="17"/>
  <c r="F1093" i="17"/>
  <c r="F1092" i="17"/>
  <c r="F1091" i="17"/>
  <c r="F1090" i="17"/>
  <c r="F1089" i="17"/>
  <c r="F1088" i="17"/>
  <c r="F1087" i="17"/>
  <c r="F1086" i="17"/>
  <c r="F1085" i="17"/>
  <c r="F1084" i="17"/>
  <c r="F1083" i="17"/>
  <c r="F1082" i="17"/>
  <c r="F1081" i="17"/>
  <c r="F1080" i="17"/>
  <c r="F1079" i="17"/>
  <c r="F1078" i="17"/>
  <c r="F1077" i="17"/>
  <c r="F1076" i="17"/>
  <c r="F1075" i="17"/>
  <c r="F1074" i="17"/>
  <c r="F1073" i="17"/>
  <c r="F1072" i="17"/>
  <c r="F1071" i="17"/>
  <c r="F1070" i="17"/>
  <c r="F1069" i="17"/>
  <c r="F1068" i="17"/>
  <c r="F1067" i="17"/>
  <c r="F1066" i="17"/>
  <c r="F1065" i="17"/>
  <c r="F1064" i="17"/>
  <c r="F1063" i="17"/>
  <c r="F1062" i="17"/>
  <c r="F1061" i="17"/>
  <c r="F1060" i="17"/>
  <c r="F1059" i="17"/>
  <c r="F1058" i="17"/>
  <c r="F1057" i="17"/>
  <c r="F1056" i="17"/>
  <c r="F1055" i="17"/>
  <c r="F1054" i="17"/>
  <c r="F1053" i="17"/>
  <c r="F1052" i="17"/>
  <c r="F1051" i="17"/>
  <c r="F1050" i="17"/>
  <c r="F1049" i="17"/>
  <c r="F1048" i="17"/>
  <c r="F1047" i="17"/>
  <c r="F1046" i="17"/>
  <c r="F1045" i="17"/>
  <c r="F1044" i="17"/>
  <c r="F1043" i="17"/>
  <c r="F1042" i="17"/>
  <c r="F1041" i="17"/>
  <c r="F1040" i="17"/>
  <c r="F1039" i="17"/>
  <c r="F1038" i="17"/>
  <c r="F1037" i="17"/>
  <c r="F1036" i="17"/>
  <c r="F1035" i="17"/>
  <c r="F1034" i="17"/>
  <c r="F1033" i="17"/>
  <c r="F1032" i="17"/>
  <c r="F1031" i="17"/>
  <c r="F1030" i="17"/>
  <c r="F1029" i="17"/>
  <c r="F1028" i="17"/>
  <c r="F1027" i="17"/>
  <c r="F1026" i="17"/>
  <c r="F1025" i="17"/>
  <c r="F1024" i="17"/>
  <c r="F1023" i="17"/>
  <c r="F1022" i="17"/>
  <c r="F1021" i="17"/>
  <c r="F1020" i="17"/>
  <c r="F1019" i="17"/>
  <c r="F1018" i="17"/>
  <c r="F1017" i="17"/>
  <c r="F1016" i="17"/>
  <c r="F1015" i="17"/>
  <c r="F1014" i="17"/>
  <c r="F1013" i="17"/>
  <c r="F1012" i="17"/>
  <c r="F1011" i="17"/>
  <c r="F1010" i="17"/>
  <c r="F1009" i="17"/>
  <c r="F1008" i="17"/>
  <c r="F1007" i="17"/>
  <c r="F1006" i="17"/>
  <c r="F1005" i="17"/>
  <c r="F1004" i="17"/>
  <c r="F1003" i="17"/>
  <c r="F1002" i="17"/>
  <c r="F1001" i="17"/>
  <c r="F1000" i="17"/>
  <c r="F999" i="17"/>
  <c r="F998" i="17"/>
  <c r="F997" i="17"/>
  <c r="F996" i="17"/>
  <c r="F995" i="17"/>
  <c r="F994" i="17"/>
  <c r="F993" i="17"/>
  <c r="F992" i="17"/>
  <c r="F991" i="17"/>
  <c r="F990" i="17"/>
  <c r="F989" i="17"/>
  <c r="F988" i="17"/>
  <c r="F987" i="17"/>
  <c r="F986" i="17"/>
  <c r="F985" i="17"/>
  <c r="F984" i="17"/>
  <c r="F983" i="17"/>
  <c r="F982" i="17"/>
  <c r="F981" i="17"/>
  <c r="F980" i="17"/>
  <c r="F979" i="17"/>
  <c r="F978" i="17"/>
  <c r="F977" i="17"/>
  <c r="F976" i="17"/>
  <c r="F975" i="17"/>
  <c r="F974" i="17"/>
  <c r="F973" i="17"/>
  <c r="F972" i="17"/>
  <c r="F971" i="17"/>
  <c r="F970" i="17"/>
  <c r="F969" i="17"/>
  <c r="F968" i="17"/>
  <c r="F967" i="17"/>
  <c r="F966" i="17"/>
  <c r="F965" i="17"/>
  <c r="F964" i="17"/>
  <c r="F963" i="17"/>
  <c r="F962" i="17"/>
  <c r="F961" i="17"/>
  <c r="F960" i="17"/>
  <c r="F959" i="17"/>
  <c r="F958" i="17"/>
  <c r="F957" i="17"/>
  <c r="F956" i="17"/>
  <c r="F955" i="17"/>
  <c r="F954" i="17"/>
  <c r="F953" i="17"/>
  <c r="F952" i="17"/>
  <c r="F951" i="17"/>
  <c r="F950" i="17"/>
  <c r="F949" i="17"/>
  <c r="F948" i="17"/>
  <c r="F947" i="17"/>
  <c r="F946" i="17"/>
  <c r="F945" i="17"/>
  <c r="F944" i="17"/>
  <c r="F943" i="17"/>
  <c r="F942" i="17"/>
  <c r="F941" i="17"/>
  <c r="F940" i="17"/>
  <c r="F939" i="17"/>
  <c r="F938" i="17"/>
  <c r="F937" i="17"/>
  <c r="F936" i="17"/>
  <c r="F935" i="17"/>
  <c r="F934" i="17"/>
  <c r="F933" i="17"/>
  <c r="F932" i="17"/>
  <c r="F931" i="17"/>
  <c r="F930" i="17"/>
  <c r="F929" i="17"/>
  <c r="F928" i="17"/>
  <c r="F927" i="17"/>
  <c r="F926" i="17"/>
  <c r="F925" i="17"/>
  <c r="F924" i="17"/>
  <c r="F923" i="17"/>
  <c r="F922" i="17"/>
  <c r="F921" i="17"/>
  <c r="F920" i="17"/>
  <c r="F919" i="17"/>
  <c r="F918" i="17"/>
  <c r="F917" i="17"/>
  <c r="F916" i="17"/>
  <c r="F915" i="17"/>
  <c r="F914" i="17"/>
  <c r="F913" i="17"/>
  <c r="F912" i="17"/>
  <c r="F911" i="17"/>
  <c r="F910" i="17"/>
  <c r="F909" i="17"/>
  <c r="F908" i="17"/>
  <c r="F907" i="17"/>
  <c r="F906" i="17"/>
  <c r="F905" i="17"/>
  <c r="F904" i="17"/>
  <c r="F903" i="17"/>
  <c r="F902" i="17"/>
  <c r="F901" i="17"/>
  <c r="F900" i="17"/>
  <c r="F899" i="17"/>
  <c r="F898" i="17"/>
  <c r="F897" i="17"/>
  <c r="F896" i="17"/>
  <c r="F895" i="17"/>
  <c r="F894" i="17"/>
  <c r="F893" i="17"/>
  <c r="F892" i="17"/>
  <c r="F891" i="17"/>
  <c r="F890" i="17"/>
  <c r="F889" i="17"/>
  <c r="F888" i="17"/>
  <c r="F887" i="17"/>
  <c r="F886" i="17"/>
  <c r="F885" i="17"/>
  <c r="F884" i="17"/>
  <c r="F883" i="17"/>
  <c r="F882" i="17"/>
  <c r="F881" i="17"/>
  <c r="F880" i="17"/>
  <c r="F879" i="17"/>
  <c r="F878" i="17"/>
  <c r="F877" i="17"/>
  <c r="F876" i="17"/>
  <c r="F875" i="17"/>
  <c r="F874" i="17"/>
  <c r="F873" i="17"/>
  <c r="F872" i="17"/>
  <c r="F871" i="17"/>
  <c r="F870" i="17"/>
  <c r="F869" i="17"/>
  <c r="F868" i="17"/>
  <c r="F867" i="17"/>
  <c r="F866" i="17"/>
  <c r="F865" i="17"/>
  <c r="F864" i="17"/>
  <c r="F863" i="17"/>
  <c r="F862" i="17"/>
  <c r="F861" i="17"/>
  <c r="F860" i="17"/>
  <c r="F859" i="17"/>
  <c r="F858" i="17"/>
  <c r="F857" i="17"/>
  <c r="F856" i="17"/>
  <c r="F855" i="17"/>
  <c r="F854" i="17"/>
  <c r="F853" i="17"/>
  <c r="F852" i="17"/>
  <c r="F851" i="17"/>
  <c r="F850" i="17"/>
  <c r="F849" i="17"/>
  <c r="F848" i="17"/>
  <c r="F847" i="17"/>
  <c r="F846" i="17"/>
  <c r="F845" i="17"/>
  <c r="F844" i="17"/>
  <c r="F843" i="17"/>
  <c r="F842" i="17"/>
  <c r="F841" i="17"/>
  <c r="F840" i="17"/>
  <c r="F839" i="17"/>
  <c r="F838" i="17"/>
  <c r="F837" i="17"/>
  <c r="F836" i="17"/>
  <c r="F835" i="17"/>
  <c r="F834" i="17"/>
  <c r="F833" i="17"/>
  <c r="F832" i="17"/>
  <c r="F831" i="17"/>
  <c r="F830" i="17"/>
  <c r="F829" i="17"/>
  <c r="F828" i="17"/>
  <c r="F827" i="17"/>
  <c r="F826" i="17"/>
  <c r="F825" i="17"/>
  <c r="F824" i="17"/>
  <c r="F823" i="17"/>
  <c r="F822" i="17"/>
  <c r="F821" i="17"/>
  <c r="F820" i="17"/>
  <c r="F819" i="17"/>
  <c r="F818" i="17"/>
  <c r="F817" i="17"/>
  <c r="F816" i="17"/>
  <c r="F815" i="17"/>
  <c r="F814" i="17"/>
  <c r="F813" i="17"/>
  <c r="F812" i="17"/>
  <c r="F811" i="17"/>
  <c r="F810" i="17"/>
  <c r="F809" i="17"/>
  <c r="F808" i="17"/>
  <c r="F807" i="17"/>
  <c r="F806" i="17"/>
  <c r="F805" i="17"/>
  <c r="F804" i="17"/>
  <c r="F803" i="17"/>
  <c r="F802" i="17"/>
  <c r="F801" i="17"/>
  <c r="F800" i="17"/>
  <c r="F799" i="17"/>
  <c r="F798" i="17"/>
  <c r="F797" i="17"/>
  <c r="F796" i="17"/>
  <c r="F795" i="17"/>
  <c r="F794" i="17"/>
  <c r="F793" i="17"/>
  <c r="F792" i="17"/>
  <c r="F791" i="17"/>
  <c r="F790" i="17"/>
  <c r="F789" i="17"/>
  <c r="F788" i="17"/>
  <c r="F787" i="17"/>
  <c r="F786" i="17"/>
  <c r="F785" i="17"/>
  <c r="F784" i="17"/>
  <c r="F783" i="17"/>
  <c r="F782" i="17"/>
  <c r="F781" i="17"/>
  <c r="F780" i="17"/>
  <c r="F779" i="17"/>
  <c r="F778" i="17"/>
  <c r="F777" i="17"/>
  <c r="F776" i="17"/>
  <c r="F775" i="17"/>
  <c r="F774" i="17"/>
  <c r="F773" i="17"/>
  <c r="F772" i="17"/>
  <c r="F771" i="17"/>
  <c r="F770" i="17"/>
  <c r="F769" i="17"/>
  <c r="F768" i="17"/>
  <c r="F767" i="17"/>
  <c r="F766" i="17"/>
  <c r="F765" i="17"/>
  <c r="F764" i="17"/>
  <c r="F763" i="17"/>
  <c r="F762" i="17"/>
  <c r="F761" i="17"/>
  <c r="F760" i="17"/>
  <c r="F759" i="17"/>
  <c r="F758" i="17"/>
  <c r="F757" i="17"/>
  <c r="F756" i="17"/>
  <c r="F755" i="17"/>
  <c r="F754" i="17"/>
  <c r="F753" i="17"/>
  <c r="F752" i="17"/>
  <c r="F751" i="17"/>
  <c r="F750" i="17"/>
  <c r="F749" i="17"/>
  <c r="F748" i="17"/>
  <c r="F747" i="17"/>
  <c r="F746" i="17"/>
  <c r="F745" i="17"/>
  <c r="F744" i="17"/>
  <c r="F743" i="17"/>
  <c r="F742" i="17"/>
  <c r="F741" i="17"/>
  <c r="F740" i="17"/>
  <c r="F739" i="17"/>
  <c r="F738" i="17"/>
  <c r="F737" i="17"/>
  <c r="F736" i="17"/>
  <c r="F735" i="17"/>
  <c r="F734" i="17"/>
  <c r="F733" i="17"/>
  <c r="F732" i="17"/>
  <c r="F731" i="17"/>
  <c r="F730" i="17"/>
  <c r="F729" i="17"/>
  <c r="F728" i="17"/>
  <c r="F727" i="17"/>
  <c r="F726" i="17"/>
  <c r="F725" i="17"/>
  <c r="F724" i="17"/>
  <c r="F723" i="17"/>
  <c r="F722" i="17"/>
  <c r="F721" i="17"/>
  <c r="F720" i="17"/>
  <c r="F719" i="17"/>
  <c r="F718" i="17"/>
  <c r="F717" i="17"/>
  <c r="F716" i="17"/>
  <c r="F715" i="17"/>
  <c r="F714" i="17"/>
  <c r="F713" i="17"/>
  <c r="F712" i="17"/>
  <c r="F711" i="17"/>
  <c r="F710" i="17"/>
  <c r="F709" i="17"/>
  <c r="F708" i="17"/>
  <c r="F707" i="17"/>
  <c r="F706" i="17"/>
  <c r="F705" i="17"/>
  <c r="F704" i="17"/>
  <c r="F703" i="17"/>
  <c r="F702" i="17"/>
  <c r="F701" i="17"/>
  <c r="F700" i="17"/>
  <c r="F699" i="17"/>
  <c r="F698" i="17"/>
  <c r="F697" i="17"/>
  <c r="F696" i="17"/>
  <c r="F695" i="17"/>
  <c r="F694" i="17"/>
  <c r="F693" i="17"/>
  <c r="F692" i="17"/>
  <c r="F691" i="17"/>
  <c r="F690" i="17"/>
  <c r="F689" i="17"/>
  <c r="F688" i="17"/>
  <c r="F687" i="17"/>
  <c r="F686" i="17"/>
  <c r="F685" i="17"/>
  <c r="F684" i="17"/>
  <c r="F683" i="17"/>
  <c r="F682" i="17"/>
  <c r="F681" i="17"/>
  <c r="F680" i="17"/>
  <c r="F679" i="17"/>
  <c r="F678" i="17"/>
  <c r="F677" i="17"/>
  <c r="F676" i="17"/>
  <c r="F675" i="17"/>
  <c r="F674" i="17"/>
  <c r="F673" i="17"/>
  <c r="F672" i="17"/>
  <c r="F671" i="17"/>
  <c r="F670" i="17"/>
  <c r="F669" i="17"/>
  <c r="F668" i="17"/>
  <c r="F667" i="17"/>
  <c r="F666" i="17"/>
  <c r="F665" i="17"/>
  <c r="F664" i="17"/>
  <c r="F663" i="17"/>
  <c r="F662" i="17"/>
  <c r="F661" i="17"/>
  <c r="F660" i="17"/>
  <c r="F659" i="17"/>
  <c r="F658" i="17"/>
  <c r="F657" i="17"/>
  <c r="F656" i="17"/>
  <c r="F655" i="17"/>
  <c r="F654" i="17"/>
  <c r="F653" i="17"/>
  <c r="F652" i="17"/>
  <c r="F651" i="17"/>
  <c r="F650" i="17"/>
  <c r="F649" i="17"/>
  <c r="F648" i="17"/>
  <c r="F647" i="17"/>
  <c r="F646" i="17"/>
  <c r="F645" i="17"/>
  <c r="F644" i="17"/>
  <c r="F643" i="17"/>
  <c r="F642" i="17"/>
  <c r="F641" i="17"/>
  <c r="F640" i="17"/>
  <c r="F639" i="17"/>
  <c r="F638" i="17"/>
  <c r="F637" i="17"/>
  <c r="F636" i="17"/>
  <c r="F635" i="17"/>
  <c r="F634" i="17"/>
  <c r="F633" i="17"/>
  <c r="F632" i="17"/>
  <c r="F631" i="17"/>
  <c r="F630" i="17"/>
  <c r="F629" i="17"/>
  <c r="F628" i="17"/>
  <c r="F627" i="17"/>
  <c r="F626" i="17"/>
  <c r="F625" i="17"/>
  <c r="F624" i="17"/>
  <c r="F623" i="17"/>
  <c r="F622" i="17"/>
  <c r="F621" i="17"/>
  <c r="F620" i="17"/>
  <c r="F619" i="17"/>
  <c r="F618" i="17"/>
  <c r="F617" i="17"/>
  <c r="F616" i="17"/>
  <c r="F615" i="17"/>
  <c r="F614" i="17"/>
  <c r="F613" i="17"/>
  <c r="F612" i="17"/>
  <c r="F611" i="17"/>
  <c r="F610" i="17"/>
  <c r="F609" i="17"/>
  <c r="F608" i="17"/>
  <c r="F607" i="17"/>
  <c r="F606" i="17"/>
  <c r="F605" i="17"/>
  <c r="F604" i="17"/>
  <c r="F603" i="17"/>
  <c r="F602" i="17"/>
  <c r="F601" i="17"/>
  <c r="F600" i="17"/>
  <c r="F599" i="17"/>
  <c r="F598" i="17"/>
  <c r="F597" i="17"/>
  <c r="F596" i="17"/>
  <c r="F595" i="17"/>
  <c r="F594" i="17"/>
  <c r="F593" i="17"/>
  <c r="F592" i="17"/>
  <c r="F591" i="17"/>
  <c r="F590" i="17"/>
  <c r="F589" i="17"/>
  <c r="F588" i="17"/>
  <c r="F587" i="17"/>
  <c r="F586" i="17"/>
  <c r="F585" i="17"/>
  <c r="F584" i="17"/>
  <c r="F583" i="17"/>
  <c r="F582" i="17"/>
  <c r="F581" i="17"/>
  <c r="F580" i="17"/>
  <c r="F579" i="17"/>
  <c r="F578" i="17"/>
  <c r="F577" i="17"/>
  <c r="F576" i="17"/>
  <c r="F575" i="17"/>
  <c r="F574" i="17"/>
  <c r="F573" i="17"/>
  <c r="F572" i="17"/>
  <c r="F571" i="17"/>
  <c r="F570" i="17"/>
  <c r="F569" i="17"/>
  <c r="F568" i="17"/>
  <c r="F567" i="17"/>
  <c r="F566" i="17"/>
  <c r="F565" i="17"/>
  <c r="F564" i="17"/>
  <c r="F563" i="17"/>
  <c r="F562" i="17"/>
  <c r="F561" i="17"/>
  <c r="F560" i="17"/>
  <c r="F559" i="17"/>
  <c r="F558" i="17"/>
  <c r="F557" i="17"/>
  <c r="F556" i="17"/>
  <c r="F555" i="17"/>
  <c r="F554" i="17"/>
  <c r="F553" i="17"/>
  <c r="F552" i="17"/>
  <c r="F551" i="17"/>
  <c r="F550" i="17"/>
  <c r="F549" i="17"/>
  <c r="F548" i="17"/>
  <c r="F547" i="17"/>
  <c r="F546" i="17"/>
  <c r="F545" i="17"/>
  <c r="F544" i="17"/>
  <c r="F543" i="17"/>
  <c r="F542" i="17"/>
  <c r="F541" i="17"/>
  <c r="F540" i="17"/>
  <c r="F539" i="17"/>
  <c r="F538" i="17"/>
  <c r="F537" i="17"/>
  <c r="F536" i="17"/>
  <c r="F535" i="17"/>
  <c r="F534" i="17"/>
  <c r="F533" i="17"/>
  <c r="F532" i="17"/>
  <c r="F531" i="17"/>
  <c r="F530" i="17"/>
  <c r="F529" i="17"/>
  <c r="F528" i="17"/>
  <c r="F527" i="17"/>
  <c r="F526" i="17"/>
  <c r="F525" i="17"/>
  <c r="F524" i="17"/>
  <c r="F523" i="17"/>
  <c r="F522" i="17"/>
  <c r="F521" i="17"/>
  <c r="F520" i="17"/>
  <c r="F519" i="17"/>
  <c r="F518" i="17"/>
  <c r="F517" i="17"/>
  <c r="F516" i="17"/>
  <c r="F515" i="17"/>
  <c r="F514" i="17"/>
  <c r="F513" i="17"/>
  <c r="F512" i="17"/>
  <c r="F511" i="17"/>
  <c r="F510" i="17"/>
  <c r="F509" i="17"/>
  <c r="F508" i="17"/>
  <c r="F507" i="17"/>
  <c r="F506" i="17"/>
  <c r="F505" i="17"/>
  <c r="F504" i="17"/>
  <c r="F503" i="17"/>
  <c r="F502" i="17"/>
  <c r="F501" i="17"/>
  <c r="F500" i="17"/>
  <c r="F499" i="17"/>
  <c r="F498" i="17"/>
  <c r="F497" i="17"/>
  <c r="F496" i="17"/>
  <c r="F495" i="17"/>
  <c r="F494" i="17"/>
  <c r="F493" i="17"/>
  <c r="F492" i="17"/>
  <c r="F491" i="17"/>
  <c r="F490" i="17"/>
  <c r="F489" i="17"/>
  <c r="F488" i="17"/>
  <c r="F487" i="17"/>
  <c r="F486" i="17"/>
  <c r="F485" i="17"/>
  <c r="F484" i="17"/>
  <c r="F483" i="17"/>
  <c r="F482" i="17"/>
  <c r="F481" i="17"/>
  <c r="F480" i="17"/>
  <c r="F479" i="17"/>
  <c r="F478" i="17"/>
  <c r="F477" i="17"/>
  <c r="F476" i="17"/>
  <c r="F475" i="17"/>
  <c r="F474" i="17"/>
  <c r="F473" i="17"/>
  <c r="F472" i="17"/>
  <c r="F471" i="17"/>
  <c r="F470" i="17"/>
  <c r="F469" i="17"/>
  <c r="F468" i="17"/>
  <c r="F467" i="17"/>
  <c r="F466" i="17"/>
  <c r="F465" i="17"/>
  <c r="F464" i="17"/>
  <c r="F463" i="17"/>
  <c r="F462" i="17"/>
  <c r="F461" i="17"/>
  <c r="F460" i="17"/>
  <c r="F459" i="17"/>
  <c r="F458" i="17"/>
  <c r="F457" i="17"/>
  <c r="F456" i="17"/>
  <c r="F455" i="17"/>
  <c r="F454" i="17"/>
  <c r="F453" i="17"/>
  <c r="F452" i="17"/>
  <c r="F451" i="17"/>
  <c r="F450" i="17"/>
  <c r="F449" i="17"/>
  <c r="F448" i="17"/>
  <c r="F447" i="17"/>
  <c r="F446" i="17"/>
  <c r="F445" i="17"/>
  <c r="F444" i="17"/>
  <c r="F443" i="17"/>
  <c r="F442" i="17"/>
  <c r="F441" i="17"/>
  <c r="F440" i="17"/>
  <c r="F439" i="17"/>
  <c r="F438" i="17"/>
  <c r="F437" i="17"/>
  <c r="F436" i="17"/>
  <c r="F435" i="17"/>
  <c r="F434" i="17"/>
  <c r="F433" i="17"/>
  <c r="F432" i="17"/>
  <c r="F431" i="17"/>
  <c r="F430" i="17"/>
  <c r="F429" i="17"/>
  <c r="F428" i="17"/>
  <c r="F427" i="17"/>
  <c r="F426" i="17"/>
  <c r="F425" i="17"/>
  <c r="F424" i="17"/>
  <c r="F423" i="17"/>
  <c r="F422" i="17"/>
  <c r="F421" i="17"/>
  <c r="F420" i="17"/>
  <c r="F419" i="17"/>
  <c r="F418" i="17"/>
  <c r="F417" i="17"/>
  <c r="F416" i="17"/>
  <c r="F415" i="17"/>
  <c r="F414" i="17"/>
  <c r="F413" i="17"/>
  <c r="F412" i="17"/>
  <c r="F411" i="17"/>
  <c r="F410" i="17"/>
  <c r="F409" i="17"/>
  <c r="F408" i="17"/>
  <c r="F407" i="17"/>
  <c r="F406" i="17"/>
  <c r="F405" i="17"/>
  <c r="F404" i="17"/>
  <c r="F403" i="17"/>
  <c r="F402" i="17"/>
  <c r="F401" i="17"/>
  <c r="F400" i="17"/>
  <c r="F399" i="17"/>
  <c r="F398" i="17"/>
  <c r="F397" i="17"/>
  <c r="F396" i="17"/>
  <c r="F395" i="17"/>
  <c r="F394" i="17"/>
  <c r="F393" i="17"/>
  <c r="F392" i="17"/>
  <c r="F391" i="17"/>
  <c r="F390" i="17"/>
  <c r="F389" i="17"/>
  <c r="F388" i="17"/>
  <c r="F387" i="17"/>
  <c r="F386" i="17"/>
  <c r="F385" i="17"/>
  <c r="F384" i="17"/>
  <c r="F383" i="17"/>
  <c r="F382" i="17"/>
  <c r="F381" i="17"/>
  <c r="F380" i="17"/>
  <c r="F379" i="17"/>
  <c r="F378" i="17"/>
  <c r="F377" i="17"/>
  <c r="F376" i="17"/>
  <c r="F375" i="17"/>
  <c r="F374" i="17"/>
  <c r="F373" i="17"/>
  <c r="F372" i="17"/>
  <c r="F371" i="17"/>
  <c r="F370" i="17"/>
  <c r="F369" i="17"/>
  <c r="F368" i="17"/>
  <c r="F367" i="17"/>
  <c r="F366" i="17"/>
  <c r="F365" i="17"/>
  <c r="F364" i="17"/>
  <c r="F363" i="17"/>
  <c r="F362" i="17"/>
  <c r="F361" i="17"/>
  <c r="F360" i="17"/>
  <c r="F359" i="17"/>
  <c r="F358" i="17"/>
  <c r="F357" i="17"/>
  <c r="F356" i="17"/>
  <c r="F355" i="17"/>
  <c r="F354" i="17"/>
  <c r="F353" i="17"/>
  <c r="F352" i="17"/>
  <c r="F351" i="17"/>
  <c r="F350" i="17"/>
  <c r="F349" i="17"/>
  <c r="F348" i="17"/>
  <c r="F347" i="17"/>
  <c r="F346" i="17"/>
  <c r="F345" i="17"/>
  <c r="F344" i="17"/>
  <c r="F343" i="17"/>
  <c r="F342" i="17"/>
  <c r="F341" i="17"/>
  <c r="F340" i="17"/>
  <c r="F339" i="17"/>
  <c r="F338" i="17"/>
  <c r="F337" i="17"/>
  <c r="F336" i="17"/>
  <c r="F335" i="17"/>
  <c r="F334" i="17"/>
  <c r="F333" i="17"/>
  <c r="F332" i="17"/>
  <c r="F331" i="17"/>
  <c r="F330" i="17"/>
  <c r="F329" i="17"/>
  <c r="F328" i="17"/>
  <c r="F327" i="17"/>
  <c r="F326" i="17"/>
  <c r="F325" i="17"/>
  <c r="F324" i="17"/>
  <c r="F323" i="17"/>
  <c r="F322" i="17"/>
  <c r="F321" i="17"/>
  <c r="F320" i="17"/>
  <c r="F319" i="17"/>
  <c r="F318" i="17"/>
  <c r="F317" i="17"/>
  <c r="F316" i="17"/>
  <c r="F315" i="17"/>
  <c r="F314" i="17"/>
  <c r="F313" i="17"/>
  <c r="F312" i="17"/>
  <c r="F311" i="17"/>
  <c r="F310" i="17"/>
  <c r="F309" i="17"/>
  <c r="F308" i="17"/>
  <c r="F307" i="17"/>
  <c r="F306" i="17"/>
  <c r="F305" i="17"/>
  <c r="F304" i="17"/>
  <c r="F303" i="17"/>
  <c r="F302" i="17"/>
  <c r="F301" i="17"/>
  <c r="F300" i="17"/>
  <c r="F299" i="17"/>
  <c r="F298" i="17"/>
  <c r="F297" i="17"/>
  <c r="F296" i="17"/>
  <c r="F295" i="17"/>
  <c r="F294" i="17"/>
  <c r="F293" i="17"/>
  <c r="F292" i="17"/>
  <c r="F291" i="17"/>
  <c r="F290" i="17"/>
  <c r="F289" i="17"/>
  <c r="F288" i="17"/>
  <c r="F287" i="17"/>
  <c r="F286" i="17"/>
  <c r="F285" i="17"/>
  <c r="F284" i="17"/>
  <c r="F283" i="17"/>
  <c r="F282" i="17"/>
  <c r="F281" i="17"/>
  <c r="F280" i="17"/>
  <c r="F279" i="17"/>
  <c r="F278" i="17"/>
  <c r="F277" i="17"/>
  <c r="F276" i="17"/>
  <c r="F275" i="17"/>
  <c r="F274" i="17"/>
  <c r="F273" i="17"/>
  <c r="F272" i="17"/>
  <c r="F271" i="17"/>
  <c r="F270" i="17"/>
  <c r="F269" i="17"/>
  <c r="F268" i="17"/>
  <c r="F267" i="17"/>
  <c r="F266" i="17"/>
  <c r="F265" i="17"/>
  <c r="F264" i="17"/>
  <c r="F263" i="17"/>
  <c r="F262" i="17"/>
  <c r="F261" i="17"/>
  <c r="F260" i="17"/>
  <c r="F259" i="17"/>
  <c r="F258" i="17"/>
  <c r="F257" i="17"/>
  <c r="F256" i="17"/>
  <c r="F255" i="17"/>
  <c r="F254" i="17"/>
  <c r="F253" i="17"/>
  <c r="F252" i="17"/>
  <c r="F251" i="17"/>
  <c r="F250" i="17"/>
  <c r="F249" i="17"/>
  <c r="F248" i="17"/>
  <c r="F247" i="17"/>
  <c r="F246" i="17"/>
  <c r="F245" i="17"/>
  <c r="F244" i="17"/>
  <c r="F243" i="17"/>
  <c r="F242" i="17"/>
  <c r="F241" i="17"/>
  <c r="F240" i="17"/>
  <c r="F239" i="17"/>
  <c r="F238" i="17"/>
  <c r="F237" i="17"/>
  <c r="F236" i="17"/>
  <c r="F235" i="17"/>
  <c r="F234" i="17"/>
  <c r="F233" i="17"/>
  <c r="F232" i="17"/>
  <c r="F231" i="17"/>
  <c r="F230" i="17"/>
  <c r="F229" i="17"/>
  <c r="F228" i="17"/>
  <c r="F227" i="17"/>
  <c r="F226" i="17"/>
  <c r="F225" i="17"/>
  <c r="F224" i="17"/>
  <c r="F223" i="17"/>
  <c r="F222" i="17"/>
  <c r="F221" i="17"/>
  <c r="F220" i="17"/>
  <c r="F219" i="17"/>
  <c r="F218" i="17"/>
  <c r="F217" i="17"/>
  <c r="F216" i="17"/>
  <c r="F215" i="17"/>
  <c r="F214" i="17"/>
  <c r="F213" i="17"/>
  <c r="F212" i="17"/>
  <c r="F211" i="17"/>
  <c r="F210" i="17"/>
  <c r="F209" i="17"/>
  <c r="F208" i="17"/>
  <c r="F207" i="17"/>
  <c r="F206" i="17"/>
  <c r="F205" i="17"/>
  <c r="F204" i="17"/>
  <c r="F203" i="17"/>
  <c r="F202" i="17"/>
  <c r="F201" i="17"/>
  <c r="F200" i="17"/>
  <c r="F199" i="17"/>
  <c r="F198" i="17"/>
  <c r="F197" i="17"/>
  <c r="F196" i="17"/>
  <c r="F195" i="17"/>
  <c r="F194" i="17"/>
  <c r="F193" i="17"/>
  <c r="F192" i="17"/>
  <c r="F191" i="17"/>
  <c r="F190" i="17"/>
  <c r="F189" i="17"/>
  <c r="F188" i="17"/>
  <c r="F187" i="17"/>
  <c r="F186" i="17"/>
  <c r="F185" i="17"/>
  <c r="F184" i="17"/>
  <c r="F183" i="17"/>
  <c r="F182" i="17"/>
  <c r="F181" i="17"/>
  <c r="F180" i="17"/>
  <c r="F179" i="17"/>
  <c r="F178" i="17"/>
  <c r="F177" i="17"/>
  <c r="F176" i="17"/>
  <c r="F175" i="17"/>
  <c r="F174" i="17"/>
  <c r="F173" i="17"/>
  <c r="F172" i="17"/>
  <c r="F171" i="17"/>
  <c r="F170" i="17"/>
  <c r="F169" i="17"/>
  <c r="F168" i="17"/>
  <c r="F167" i="17"/>
  <c r="F166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52" i="17"/>
  <c r="F151" i="17"/>
  <c r="F150" i="17"/>
  <c r="F149" i="17"/>
  <c r="F148" i="17"/>
  <c r="F147" i="17"/>
  <c r="F146" i="17"/>
  <c r="F145" i="17"/>
  <c r="F144" i="17"/>
  <c r="F143" i="17"/>
  <c r="F142" i="17"/>
  <c r="F141" i="17"/>
  <c r="F140" i="17"/>
  <c r="F139" i="17"/>
  <c r="F138" i="17"/>
  <c r="F137" i="17"/>
  <c r="F136" i="17"/>
  <c r="F135" i="17"/>
  <c r="F134" i="17"/>
  <c r="F133" i="17"/>
  <c r="F132" i="17"/>
  <c r="F131" i="17"/>
  <c r="F130" i="17"/>
  <c r="F129" i="17"/>
  <c r="F128" i="17"/>
  <c r="F127" i="17"/>
  <c r="F126" i="17"/>
  <c r="F125" i="17"/>
  <c r="F124" i="17"/>
  <c r="F123" i="17"/>
  <c r="F122" i="17"/>
  <c r="F121" i="17"/>
  <c r="F120" i="17"/>
  <c r="F119" i="17"/>
  <c r="F118" i="17"/>
  <c r="F117" i="17"/>
  <c r="F116" i="17"/>
  <c r="F115" i="17"/>
  <c r="F114" i="17"/>
  <c r="F113" i="17"/>
  <c r="F112" i="17"/>
  <c r="F111" i="17"/>
  <c r="F110" i="17"/>
  <c r="F109" i="17"/>
  <c r="F108" i="17"/>
  <c r="F107" i="17"/>
  <c r="F106" i="17"/>
  <c r="F105" i="17"/>
  <c r="F104" i="17"/>
  <c r="F103" i="17"/>
  <c r="F102" i="17"/>
  <c r="F101" i="17"/>
  <c r="F100" i="17"/>
  <c r="F99" i="17"/>
  <c r="F98" i="17"/>
  <c r="F97" i="17"/>
  <c r="F96" i="17"/>
  <c r="F95" i="17"/>
  <c r="F94" i="17"/>
  <c r="F93" i="17"/>
  <c r="F92" i="17"/>
  <c r="F91" i="17"/>
  <c r="F90" i="17"/>
  <c r="F89" i="17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  <c r="Q94" i="3"/>
  <c r="Q190" i="3"/>
  <c r="Q298" i="3"/>
  <c r="Q406" i="3"/>
  <c r="Q535" i="3"/>
  <c r="Q626" i="3"/>
  <c r="Q725" i="3"/>
  <c r="Q798" i="3"/>
  <c r="Q880" i="3"/>
  <c r="Q976" i="3"/>
  <c r="Q1029" i="3"/>
  <c r="Q1162" i="3"/>
  <c r="Q1245" i="3"/>
  <c r="Q1323" i="3"/>
  <c r="Q1410" i="3"/>
  <c r="Q1537" i="3"/>
  <c r="Q1752" i="3"/>
  <c r="Q1847" i="3"/>
  <c r="Q1909" i="3"/>
  <c r="Q2006" i="3"/>
  <c r="Q2078" i="3"/>
  <c r="Q2163" i="3"/>
  <c r="Q2253" i="3"/>
  <c r="Q2344" i="3"/>
  <c r="Q2421" i="3"/>
  <c r="Q2497" i="3"/>
  <c r="Q2551" i="3"/>
  <c r="Q2666" i="3"/>
  <c r="Q2708" i="3"/>
  <c r="Q2830" i="3"/>
  <c r="Q2916" i="3"/>
  <c r="Q2989" i="3"/>
  <c r="Q3047" i="3"/>
  <c r="M2" i="17" l="1"/>
  <c r="M68" i="17" l="1"/>
  <c r="M56" i="17"/>
  <c r="M44" i="17"/>
  <c r="M32" i="17"/>
  <c r="M20" i="17"/>
  <c r="M8" i="17"/>
  <c r="M403" i="17"/>
  <c r="M391" i="17"/>
  <c r="M379" i="17"/>
  <c r="M367" i="17"/>
  <c r="M355" i="17"/>
  <c r="M343" i="17"/>
  <c r="M331" i="17"/>
  <c r="M319" i="17"/>
  <c r="M307" i="17"/>
  <c r="M295" i="17"/>
  <c r="M283" i="17"/>
  <c r="M271" i="17"/>
  <c r="M259" i="17"/>
  <c r="M247" i="17"/>
  <c r="M235" i="17"/>
  <c r="M223" i="17"/>
  <c r="M211" i="17"/>
  <c r="M199" i="17"/>
  <c r="M187" i="17"/>
  <c r="M175" i="17"/>
  <c r="M163" i="17"/>
  <c r="M151" i="17"/>
  <c r="M139" i="17"/>
  <c r="M127" i="17"/>
  <c r="M115" i="17"/>
  <c r="M103" i="17"/>
  <c r="M91" i="17"/>
  <c r="M79" i="17"/>
  <c r="M67" i="17"/>
  <c r="M55" i="17"/>
  <c r="M43" i="17"/>
  <c r="M31" i="17"/>
  <c r="M19" i="17"/>
  <c r="M7" i="17"/>
  <c r="M398" i="17"/>
  <c r="M386" i="17"/>
  <c r="M374" i="17"/>
  <c r="M362" i="17"/>
  <c r="M350" i="17"/>
  <c r="M338" i="17"/>
  <c r="M326" i="17"/>
  <c r="M314" i="17"/>
  <c r="M302" i="17"/>
  <c r="M290" i="17"/>
  <c r="M278" i="17"/>
  <c r="M266" i="17"/>
  <c r="M254" i="17"/>
  <c r="M242" i="17"/>
  <c r="M230" i="17"/>
  <c r="M218" i="17"/>
  <c r="M206" i="17"/>
  <c r="M194" i="17"/>
  <c r="M182" i="17"/>
  <c r="M170" i="17"/>
  <c r="M158" i="17"/>
  <c r="M146" i="17"/>
  <c r="M50" i="17"/>
  <c r="M38" i="17"/>
  <c r="M26" i="17"/>
  <c r="M14" i="17"/>
  <c r="M405" i="17"/>
  <c r="M393" i="17"/>
  <c r="M381" i="17"/>
  <c r="M369" i="17"/>
  <c r="M357" i="17"/>
  <c r="M345" i="17"/>
  <c r="M333" i="17"/>
  <c r="M321" i="17"/>
  <c r="M309" i="17"/>
  <c r="M297" i="17"/>
  <c r="M285" i="17"/>
  <c r="M273" i="17"/>
  <c r="M261" i="17"/>
  <c r="M249" i="17"/>
  <c r="M237" i="17"/>
  <c r="M225" i="17"/>
  <c r="M213" i="17"/>
  <c r="M201" i="17"/>
  <c r="M189" i="17"/>
  <c r="M177" i="17"/>
  <c r="M165" i="17"/>
  <c r="M153" i="17"/>
  <c r="M141" i="17"/>
  <c r="M129" i="17"/>
  <c r="M117" i="17"/>
  <c r="M105" i="17"/>
  <c r="M93" i="17"/>
  <c r="M81" i="17"/>
  <c r="M69" i="17"/>
  <c r="M402" i="17"/>
  <c r="M390" i="17"/>
  <c r="M378" i="17"/>
  <c r="M366" i="17"/>
  <c r="M354" i="17"/>
  <c r="M342" i="17"/>
  <c r="M330" i="17"/>
  <c r="M318" i="17"/>
  <c r="M306" i="17"/>
  <c r="M294" i="17"/>
  <c r="M282" i="17"/>
  <c r="M270" i="17"/>
  <c r="M258" i="17"/>
  <c r="M246" i="17"/>
  <c r="M234" i="17"/>
  <c r="M222" i="17"/>
  <c r="M210" i="17"/>
  <c r="M198" i="17"/>
  <c r="M186" i="17"/>
  <c r="M174" i="17"/>
  <c r="M162" i="17"/>
  <c r="M150" i="17"/>
  <c r="M138" i="17"/>
  <c r="M126" i="17"/>
  <c r="M114" i="17"/>
  <c r="M102" i="17"/>
  <c r="M90" i="17"/>
  <c r="M78" i="17"/>
  <c r="M66" i="17"/>
  <c r="M54" i="17"/>
  <c r="M42" i="17"/>
  <c r="M30" i="17"/>
  <c r="M18" i="17"/>
  <c r="M6" i="17"/>
  <c r="M401" i="17"/>
  <c r="M389" i="17"/>
  <c r="M377" i="17"/>
  <c r="M365" i="17"/>
  <c r="M353" i="17"/>
  <c r="M341" i="17"/>
  <c r="M329" i="17"/>
  <c r="M317" i="17"/>
  <c r="M305" i="17"/>
  <c r="M293" i="17"/>
  <c r="M281" i="17"/>
  <c r="M269" i="17"/>
  <c r="M257" i="17"/>
  <c r="M245" i="17"/>
  <c r="M233" i="17"/>
  <c r="M221" i="17"/>
  <c r="M209" i="17"/>
  <c r="M197" i="17"/>
  <c r="M185" i="17"/>
  <c r="M173" i="17"/>
  <c r="M161" i="17"/>
  <c r="M149" i="17"/>
  <c r="M137" i="17"/>
  <c r="M125" i="17"/>
  <c r="M113" i="17"/>
  <c r="M101" i="17"/>
  <c r="M89" i="17"/>
  <c r="M77" i="17"/>
  <c r="M65" i="17"/>
  <c r="M53" i="17"/>
  <c r="M41" i="17"/>
  <c r="M29" i="17"/>
  <c r="M17" i="17"/>
  <c r="M5" i="17"/>
  <c r="M400" i="17"/>
  <c r="M388" i="17"/>
  <c r="M376" i="17"/>
  <c r="M364" i="17"/>
  <c r="M352" i="17"/>
  <c r="M340" i="17"/>
  <c r="M328" i="17"/>
  <c r="M316" i="17"/>
  <c r="M304" i="17"/>
  <c r="M292" i="17"/>
  <c r="M280" i="17"/>
  <c r="M268" i="17"/>
  <c r="M256" i="17"/>
  <c r="M244" i="17"/>
  <c r="M232" i="17"/>
  <c r="M220" i="17"/>
  <c r="M208" i="17"/>
  <c r="M196" i="17"/>
  <c r="M184" i="17"/>
  <c r="M172" i="17"/>
  <c r="M160" i="17"/>
  <c r="M148" i="17"/>
  <c r="M136" i="17"/>
  <c r="M124" i="17"/>
  <c r="M112" i="17"/>
  <c r="M100" i="17"/>
  <c r="M88" i="17"/>
  <c r="M76" i="17"/>
  <c r="M64" i="17"/>
  <c r="M52" i="17"/>
  <c r="M40" i="17"/>
  <c r="M28" i="17"/>
  <c r="M16" i="17"/>
  <c r="M4" i="17"/>
  <c r="M399" i="17"/>
  <c r="M387" i="17"/>
  <c r="M375" i="17"/>
  <c r="M363" i="17"/>
  <c r="M351" i="17"/>
  <c r="M339" i="17"/>
  <c r="M327" i="17"/>
  <c r="M315" i="17"/>
  <c r="M303" i="17"/>
  <c r="M291" i="17"/>
  <c r="M279" i="17"/>
  <c r="M267" i="17"/>
  <c r="M255" i="17"/>
  <c r="M243" i="17"/>
  <c r="M231" i="17"/>
  <c r="M219" i="17"/>
  <c r="M207" i="17"/>
  <c r="M195" i="17"/>
  <c r="M183" i="17"/>
  <c r="M171" i="17"/>
  <c r="M159" i="17"/>
  <c r="M147" i="17"/>
  <c r="M135" i="17"/>
  <c r="M123" i="17"/>
  <c r="M111" i="17"/>
  <c r="M99" i="17"/>
  <c r="M87" i="17"/>
  <c r="M75" i="17"/>
  <c r="M63" i="17"/>
  <c r="M51" i="17"/>
  <c r="M39" i="17"/>
  <c r="M27" i="17"/>
  <c r="M15" i="17"/>
  <c r="M134" i="17"/>
  <c r="M122" i="17"/>
  <c r="M110" i="17"/>
  <c r="M98" i="17"/>
  <c r="M86" i="17"/>
  <c r="M74" i="17"/>
  <c r="M62" i="17"/>
  <c r="M409" i="17"/>
  <c r="M397" i="17"/>
  <c r="M385" i="17"/>
  <c r="M373" i="17"/>
  <c r="M361" i="17"/>
  <c r="M349" i="17"/>
  <c r="M337" i="17"/>
  <c r="M325" i="17"/>
  <c r="M313" i="17"/>
  <c r="M301" i="17"/>
  <c r="M289" i="17"/>
  <c r="M277" i="17"/>
  <c r="M265" i="17"/>
  <c r="M253" i="17"/>
  <c r="M241" i="17"/>
  <c r="M229" i="17"/>
  <c r="M217" i="17"/>
  <c r="M205" i="17"/>
  <c r="M193" i="17"/>
  <c r="M181" i="17"/>
  <c r="M169" i="17"/>
  <c r="M157" i="17"/>
  <c r="M145" i="17"/>
  <c r="M133" i="17"/>
  <c r="M121" i="17"/>
  <c r="M109" i="17"/>
  <c r="M97" i="17"/>
  <c r="M85" i="17"/>
  <c r="M73" i="17"/>
  <c r="M61" i="17"/>
  <c r="M49" i="17"/>
  <c r="M37" i="17"/>
  <c r="M25" i="17"/>
  <c r="M13" i="17"/>
  <c r="M408" i="17"/>
  <c r="M396" i="17"/>
  <c r="M384" i="17"/>
  <c r="M372" i="17"/>
  <c r="M360" i="17"/>
  <c r="M348" i="17"/>
  <c r="M336" i="17"/>
  <c r="M324" i="17"/>
  <c r="M312" i="17"/>
  <c r="M300" i="17"/>
  <c r="M288" i="17"/>
  <c r="M276" i="17"/>
  <c r="M264" i="17"/>
  <c r="M252" i="17"/>
  <c r="M240" i="17"/>
  <c r="M228" i="17"/>
  <c r="M216" i="17"/>
  <c r="M204" i="17"/>
  <c r="M192" i="17"/>
  <c r="M180" i="17"/>
  <c r="M168" i="17"/>
  <c r="M156" i="17"/>
  <c r="M144" i="17"/>
  <c r="M132" i="17"/>
  <c r="M120" i="17"/>
  <c r="M108" i="17"/>
  <c r="M96" i="17"/>
  <c r="M84" i="17"/>
  <c r="M72" i="17"/>
  <c r="M60" i="17"/>
  <c r="M48" i="17"/>
  <c r="M36" i="17"/>
  <c r="M24" i="17"/>
  <c r="M12" i="17"/>
  <c r="M407" i="17"/>
  <c r="M395" i="17"/>
  <c r="M383" i="17"/>
  <c r="M371" i="17"/>
  <c r="M359" i="17"/>
  <c r="M347" i="17"/>
  <c r="M335" i="17"/>
  <c r="M323" i="17"/>
  <c r="M311" i="17"/>
  <c r="M299" i="17"/>
  <c r="M287" i="17"/>
  <c r="M275" i="17"/>
  <c r="M263" i="17"/>
  <c r="M251" i="17"/>
  <c r="M239" i="17"/>
  <c r="M227" i="17"/>
  <c r="M215" i="17"/>
  <c r="M203" i="17"/>
  <c r="M191" i="17"/>
  <c r="M179" i="17"/>
  <c r="M167" i="17"/>
  <c r="M155" i="17"/>
  <c r="M143" i="17"/>
  <c r="M131" i="17"/>
  <c r="M119" i="17"/>
  <c r="M107" i="17"/>
  <c r="M95" i="17"/>
  <c r="M83" i="17"/>
  <c r="M71" i="17"/>
  <c r="M59" i="17"/>
  <c r="M47" i="17"/>
  <c r="M35" i="17"/>
  <c r="M23" i="17"/>
  <c r="M11" i="17"/>
  <c r="M406" i="17"/>
  <c r="M394" i="17"/>
  <c r="M382" i="17"/>
  <c r="M370" i="17"/>
  <c r="M358" i="17"/>
  <c r="M346" i="17"/>
  <c r="M334" i="17"/>
  <c r="M322" i="17"/>
  <c r="M310" i="17"/>
  <c r="M298" i="17"/>
  <c r="M286" i="17"/>
  <c r="M274" i="17"/>
  <c r="M262" i="17"/>
  <c r="M250" i="17"/>
  <c r="M238" i="17"/>
  <c r="M226" i="17"/>
  <c r="M214" i="17"/>
  <c r="M202" i="17"/>
  <c r="M190" i="17"/>
  <c r="M178" i="17"/>
  <c r="M166" i="17"/>
  <c r="M154" i="17"/>
  <c r="M142" i="17"/>
  <c r="M130" i="17"/>
  <c r="M118" i="17"/>
  <c r="M106" i="17"/>
  <c r="M94" i="17"/>
  <c r="M82" i="17"/>
  <c r="M70" i="17"/>
  <c r="M58" i="17"/>
  <c r="M46" i="17"/>
  <c r="M34" i="17"/>
  <c r="M22" i="17"/>
  <c r="M10" i="17"/>
  <c r="M57" i="17"/>
  <c r="M45" i="17"/>
  <c r="M33" i="17"/>
  <c r="M21" i="17"/>
  <c r="M9" i="17"/>
  <c r="M404" i="17"/>
  <c r="M392" i="17"/>
  <c r="M380" i="17"/>
  <c r="M368" i="17"/>
  <c r="M356" i="17"/>
  <c r="M344" i="17"/>
  <c r="M332" i="17"/>
  <c r="M320" i="17"/>
  <c r="M308" i="17"/>
  <c r="M296" i="17"/>
  <c r="M284" i="17"/>
  <c r="M272" i="17"/>
  <c r="M260" i="17"/>
  <c r="M248" i="17"/>
  <c r="M236" i="17"/>
  <c r="M224" i="17"/>
  <c r="M212" i="17"/>
  <c r="M200" i="17"/>
  <c r="M188" i="17"/>
  <c r="M176" i="17"/>
  <c r="M164" i="17"/>
  <c r="M152" i="17"/>
  <c r="M140" i="17"/>
  <c r="M128" i="17"/>
  <c r="M116" i="17"/>
  <c r="M104" i="17"/>
  <c r="M92" i="17"/>
  <c r="M80" i="17"/>
  <c r="AA39" i="8"/>
  <c r="Z39" i="8"/>
  <c r="Y39" i="8"/>
  <c r="V40" i="8" l="1"/>
  <c r="U40" i="8"/>
  <c r="T40" i="8"/>
  <c r="V39" i="8"/>
  <c r="U39" i="8"/>
  <c r="T39" i="8"/>
  <c r="Q1638" i="3"/>
  <c r="L122" i="3"/>
  <c r="K7" i="15"/>
  <c r="K6" i="15"/>
  <c r="K5" i="15"/>
  <c r="K4" i="15"/>
  <c r="K3" i="15"/>
  <c r="K2" i="15"/>
  <c r="P109" i="16" l="1"/>
  <c r="P108" i="16"/>
  <c r="P107" i="16"/>
  <c r="P106" i="16"/>
  <c r="P105" i="16"/>
  <c r="P104" i="16"/>
  <c r="P103" i="16"/>
  <c r="P102" i="16"/>
  <c r="P101" i="16"/>
  <c r="P100" i="16"/>
  <c r="P99" i="16"/>
  <c r="P98" i="16"/>
  <c r="P97" i="16"/>
  <c r="P96" i="16"/>
  <c r="P95" i="16"/>
  <c r="P94" i="16"/>
  <c r="P93" i="16"/>
  <c r="P92" i="16"/>
  <c r="P91" i="16"/>
  <c r="P90" i="16"/>
  <c r="P89" i="16"/>
  <c r="P88" i="16"/>
  <c r="P87" i="16"/>
  <c r="P86" i="16"/>
  <c r="P85" i="16"/>
  <c r="P84" i="16"/>
  <c r="P83" i="16"/>
  <c r="P82" i="16"/>
  <c r="P81" i="16"/>
  <c r="P80" i="16"/>
  <c r="P79" i="16"/>
  <c r="P78" i="16"/>
  <c r="P77" i="16"/>
  <c r="P76" i="16"/>
  <c r="P75" i="16"/>
  <c r="P74" i="16"/>
  <c r="P73" i="16"/>
  <c r="P72" i="16"/>
  <c r="P71" i="16"/>
  <c r="P70" i="16"/>
  <c r="P69" i="16"/>
  <c r="P68" i="16"/>
  <c r="P67" i="16"/>
  <c r="P66" i="16"/>
  <c r="P65" i="16"/>
  <c r="P64" i="16"/>
  <c r="P63" i="16"/>
  <c r="P62" i="16"/>
  <c r="P61" i="16"/>
  <c r="P60" i="16"/>
  <c r="P59" i="16"/>
  <c r="P58" i="16"/>
  <c r="P57" i="16"/>
  <c r="P56" i="16"/>
  <c r="P55" i="16"/>
  <c r="P54" i="16"/>
  <c r="P53" i="16"/>
  <c r="P52" i="16"/>
  <c r="P51" i="16"/>
  <c r="P50" i="16"/>
  <c r="P49" i="16"/>
  <c r="P48" i="16"/>
  <c r="P47" i="16"/>
  <c r="P46" i="16"/>
  <c r="P45" i="16"/>
  <c r="P44" i="16"/>
  <c r="P43" i="16"/>
  <c r="P42" i="16"/>
  <c r="P41" i="16"/>
  <c r="P40" i="16"/>
  <c r="P39" i="16"/>
  <c r="P38" i="16"/>
  <c r="P37" i="16"/>
  <c r="P36" i="16"/>
  <c r="P35" i="16"/>
  <c r="P34" i="16"/>
  <c r="P33" i="16"/>
  <c r="P32" i="16"/>
  <c r="P31" i="16"/>
  <c r="P30" i="16"/>
  <c r="P29" i="16"/>
  <c r="P28" i="16"/>
  <c r="P27" i="16"/>
  <c r="P26" i="16"/>
  <c r="P25" i="16"/>
  <c r="P24" i="16"/>
  <c r="P23" i="16"/>
  <c r="P22" i="16"/>
  <c r="P16" i="16"/>
  <c r="P17" i="16"/>
  <c r="P18" i="16"/>
  <c r="P19" i="16"/>
  <c r="P20" i="16"/>
  <c r="P21" i="16"/>
  <c r="P15" i="16"/>
  <c r="P10" i="16" l="1"/>
  <c r="P11" i="16"/>
  <c r="P12" i="16"/>
  <c r="P13" i="16"/>
  <c r="P14" i="16"/>
  <c r="R3" i="16"/>
  <c r="R4" i="16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P3" i="16"/>
  <c r="P4" i="16"/>
  <c r="P5" i="16"/>
  <c r="P6" i="16"/>
  <c r="P7" i="16"/>
  <c r="P8" i="16"/>
  <c r="P9" i="16"/>
  <c r="R2" i="16"/>
  <c r="P2" i="16"/>
  <c r="C3237" i="3" l="1"/>
  <c r="E3237" i="3" s="1"/>
  <c r="C3238" i="3"/>
  <c r="E3238" i="3" s="1"/>
  <c r="C3239" i="3"/>
  <c r="E3239" i="3" s="1"/>
  <c r="C3240" i="3"/>
  <c r="E3240" i="3" s="1"/>
  <c r="C3241" i="3"/>
  <c r="E3241" i="3" s="1"/>
  <c r="C3242" i="3"/>
  <c r="E3242" i="3" s="1"/>
  <c r="C3243" i="3"/>
  <c r="E3243" i="3" s="1"/>
  <c r="C3244" i="3"/>
  <c r="E3244" i="3" s="1"/>
  <c r="I3244" i="3" s="1"/>
  <c r="C3245" i="3"/>
  <c r="E3245" i="3" s="1"/>
  <c r="I3245" i="3" s="1"/>
  <c r="C3246" i="3"/>
  <c r="E3246" i="3" s="1"/>
  <c r="I3246" i="3" s="1"/>
  <c r="C3247" i="3"/>
  <c r="E3247" i="3" s="1"/>
  <c r="I3247" i="3" s="1"/>
  <c r="C3248" i="3"/>
  <c r="E3248" i="3" s="1"/>
  <c r="I3248" i="3" s="1"/>
  <c r="C3249" i="3"/>
  <c r="E3249" i="3" s="1"/>
  <c r="I3249" i="3" s="1"/>
  <c r="C3250" i="3"/>
  <c r="E3250" i="3" s="1"/>
  <c r="I3250" i="3" s="1"/>
  <c r="C3251" i="3"/>
  <c r="E3251" i="3" s="1"/>
  <c r="I3251" i="3" s="1"/>
  <c r="C3236" i="3"/>
  <c r="E3236" i="3" s="1"/>
  <c r="C39" i="8"/>
  <c r="D39" i="8"/>
  <c r="B39" i="8"/>
  <c r="C40" i="8"/>
  <c r="D40" i="8"/>
  <c r="B40" i="8"/>
  <c r="L1549" i="3"/>
  <c r="L1425" i="3"/>
  <c r="L1176" i="3"/>
  <c r="L1051" i="3"/>
  <c r="L991" i="3"/>
  <c r="L905" i="3"/>
  <c r="L823" i="3"/>
  <c r="L743" i="3"/>
  <c r="L657" i="3"/>
  <c r="L558" i="3"/>
  <c r="L457" i="3"/>
  <c r="L330" i="3"/>
  <c r="L227" i="3"/>
  <c r="J3" i="16" l="1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2" i="16"/>
  <c r="F2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3" i="16"/>
  <c r="I45" i="16" l="1"/>
  <c r="E45" i="16"/>
  <c r="I44" i="16"/>
  <c r="E44" i="16"/>
  <c r="I43" i="16"/>
  <c r="E43" i="16"/>
  <c r="B31" i="16"/>
  <c r="B30" i="16"/>
  <c r="B29" i="16"/>
  <c r="J45" i="16" l="1"/>
  <c r="J44" i="16"/>
  <c r="F44" i="16"/>
  <c r="F45" i="16"/>
  <c r="J43" i="16"/>
  <c r="F43" i="16"/>
  <c r="C5" i="3"/>
  <c r="C4" i="3"/>
  <c r="C3" i="3"/>
  <c r="I3236" i="3" l="1"/>
  <c r="I3237" i="3"/>
  <c r="I3238" i="3"/>
  <c r="I3239" i="3"/>
  <c r="I3240" i="3"/>
  <c r="I3241" i="3"/>
  <c r="E2" i="3"/>
  <c r="I2" i="3" s="1"/>
  <c r="G55" i="13"/>
  <c r="G54" i="13"/>
  <c r="G50" i="13"/>
  <c r="G46" i="13"/>
  <c r="G40" i="13"/>
  <c r="L1354" i="3" l="1"/>
  <c r="L1254" i="3"/>
  <c r="C1523" i="3"/>
  <c r="E1523" i="3" s="1"/>
  <c r="I1523" i="3" s="1"/>
  <c r="C1524" i="3"/>
  <c r="E1524" i="3" s="1"/>
  <c r="I1524" i="3" s="1"/>
  <c r="C1525" i="3"/>
  <c r="E1525" i="3" s="1"/>
  <c r="I1525" i="3" s="1"/>
  <c r="C1526" i="3"/>
  <c r="E1526" i="3" s="1"/>
  <c r="I1526" i="3" s="1"/>
  <c r="C1527" i="3"/>
  <c r="E1527" i="3" s="1"/>
  <c r="I1527" i="3" s="1"/>
  <c r="C1528" i="3"/>
  <c r="E1528" i="3" s="1"/>
  <c r="I1528" i="3" s="1"/>
  <c r="C1529" i="3"/>
  <c r="E1529" i="3" s="1"/>
  <c r="I1529" i="3" s="1"/>
  <c r="C1530" i="3"/>
  <c r="E1530" i="3" s="1"/>
  <c r="I1530" i="3" s="1"/>
  <c r="C1531" i="3"/>
  <c r="E1531" i="3" s="1"/>
  <c r="I1531" i="3" s="1"/>
  <c r="C1532" i="3"/>
  <c r="E1532" i="3" s="1"/>
  <c r="I1532" i="3" s="1"/>
  <c r="C1533" i="3"/>
  <c r="E1533" i="3" s="1"/>
  <c r="I1533" i="3" s="1"/>
  <c r="C1534" i="3"/>
  <c r="E1534" i="3" s="1"/>
  <c r="I1534" i="3" s="1"/>
  <c r="C1535" i="3"/>
  <c r="E1535" i="3" s="1"/>
  <c r="I1535" i="3" s="1"/>
  <c r="C1536" i="3"/>
  <c r="E1536" i="3" s="1"/>
  <c r="I1536" i="3" s="1"/>
  <c r="C1537" i="3"/>
  <c r="E1537" i="3" s="1"/>
  <c r="I1537" i="3" s="1"/>
  <c r="C1538" i="3"/>
  <c r="E1538" i="3" s="1"/>
  <c r="I1538" i="3" s="1"/>
  <c r="C1539" i="3"/>
  <c r="E1539" i="3" s="1"/>
  <c r="I1539" i="3" s="1"/>
  <c r="C1540" i="3"/>
  <c r="E1540" i="3" s="1"/>
  <c r="I1540" i="3" s="1"/>
  <c r="C1541" i="3"/>
  <c r="E1541" i="3" s="1"/>
  <c r="I1541" i="3" s="1"/>
  <c r="C1542" i="3"/>
  <c r="E1542" i="3" s="1"/>
  <c r="I1542" i="3" s="1"/>
  <c r="C1543" i="3"/>
  <c r="E1543" i="3" s="1"/>
  <c r="I1543" i="3" s="1"/>
  <c r="C1544" i="3"/>
  <c r="E1544" i="3" s="1"/>
  <c r="I1544" i="3" s="1"/>
  <c r="C1545" i="3"/>
  <c r="E1545" i="3" s="1"/>
  <c r="I1545" i="3" s="1"/>
  <c r="C1546" i="3"/>
  <c r="E1546" i="3" s="1"/>
  <c r="I1546" i="3" s="1"/>
  <c r="C1547" i="3"/>
  <c r="E1547" i="3" s="1"/>
  <c r="I1547" i="3" s="1"/>
  <c r="C1548" i="3"/>
  <c r="E1548" i="3" s="1"/>
  <c r="I1548" i="3" s="1"/>
  <c r="C1549" i="3"/>
  <c r="E1549" i="3" s="1"/>
  <c r="I1549" i="3" s="1"/>
  <c r="C1550" i="3"/>
  <c r="E1550" i="3" s="1"/>
  <c r="I1550" i="3" s="1"/>
  <c r="C1551" i="3"/>
  <c r="E1551" i="3" s="1"/>
  <c r="I1551" i="3" s="1"/>
  <c r="C1552" i="3"/>
  <c r="E1552" i="3" s="1"/>
  <c r="I1552" i="3" s="1"/>
  <c r="C1553" i="3"/>
  <c r="E1553" i="3" s="1"/>
  <c r="I1553" i="3" s="1"/>
  <c r="C1554" i="3"/>
  <c r="E1554" i="3" s="1"/>
  <c r="I1554" i="3" s="1"/>
  <c r="C1555" i="3"/>
  <c r="E1555" i="3" s="1"/>
  <c r="I1555" i="3" s="1"/>
  <c r="C1556" i="3"/>
  <c r="E1556" i="3" s="1"/>
  <c r="I1556" i="3" s="1"/>
  <c r="C1557" i="3"/>
  <c r="E1557" i="3" s="1"/>
  <c r="I1557" i="3" s="1"/>
  <c r="C1558" i="3"/>
  <c r="E1558" i="3" s="1"/>
  <c r="I1558" i="3" s="1"/>
  <c r="C1559" i="3"/>
  <c r="E1559" i="3" s="1"/>
  <c r="I1559" i="3" s="1"/>
  <c r="C1560" i="3"/>
  <c r="E1560" i="3" s="1"/>
  <c r="I1560" i="3" s="1"/>
  <c r="C1561" i="3"/>
  <c r="E1561" i="3" s="1"/>
  <c r="I1561" i="3" s="1"/>
  <c r="C1562" i="3"/>
  <c r="E1562" i="3" s="1"/>
  <c r="I1562" i="3" s="1"/>
  <c r="C1563" i="3"/>
  <c r="E1563" i="3" s="1"/>
  <c r="I1563" i="3" s="1"/>
  <c r="C1564" i="3"/>
  <c r="E1564" i="3" s="1"/>
  <c r="I1564" i="3" s="1"/>
  <c r="C1565" i="3"/>
  <c r="E1565" i="3" s="1"/>
  <c r="I1565" i="3" s="1"/>
  <c r="C1566" i="3"/>
  <c r="E1566" i="3" s="1"/>
  <c r="I1566" i="3" s="1"/>
  <c r="C1567" i="3"/>
  <c r="E1567" i="3" s="1"/>
  <c r="I1567" i="3" s="1"/>
  <c r="C1568" i="3"/>
  <c r="E1568" i="3" s="1"/>
  <c r="I1568" i="3" s="1"/>
  <c r="C1569" i="3"/>
  <c r="E1569" i="3" s="1"/>
  <c r="I1569" i="3" s="1"/>
  <c r="C1570" i="3"/>
  <c r="E1570" i="3" s="1"/>
  <c r="I1570" i="3" s="1"/>
  <c r="C1571" i="3"/>
  <c r="E1571" i="3" s="1"/>
  <c r="I1571" i="3" s="1"/>
  <c r="C1572" i="3"/>
  <c r="E1572" i="3" s="1"/>
  <c r="I1572" i="3" s="1"/>
  <c r="C1573" i="3"/>
  <c r="E1573" i="3" s="1"/>
  <c r="I1573" i="3" s="1"/>
  <c r="C1574" i="3"/>
  <c r="E1574" i="3" s="1"/>
  <c r="I1574" i="3" s="1"/>
  <c r="C1575" i="3"/>
  <c r="E1575" i="3" s="1"/>
  <c r="I1575" i="3" s="1"/>
  <c r="C1576" i="3"/>
  <c r="E1576" i="3" s="1"/>
  <c r="I1576" i="3" s="1"/>
  <c r="C1577" i="3"/>
  <c r="E1577" i="3" s="1"/>
  <c r="I1577" i="3" s="1"/>
  <c r="C1578" i="3"/>
  <c r="E1578" i="3" s="1"/>
  <c r="I1578" i="3" s="1"/>
  <c r="C1579" i="3"/>
  <c r="E1579" i="3" s="1"/>
  <c r="I1579" i="3" s="1"/>
  <c r="C1580" i="3"/>
  <c r="E1580" i="3" s="1"/>
  <c r="I1580" i="3" s="1"/>
  <c r="C1581" i="3"/>
  <c r="E1581" i="3" s="1"/>
  <c r="I1581" i="3" s="1"/>
  <c r="C1582" i="3"/>
  <c r="E1582" i="3" s="1"/>
  <c r="I1582" i="3" s="1"/>
  <c r="C1583" i="3"/>
  <c r="E1583" i="3" s="1"/>
  <c r="I1583" i="3" s="1"/>
  <c r="C1584" i="3"/>
  <c r="E1584" i="3" s="1"/>
  <c r="I1584" i="3" s="1"/>
  <c r="C1585" i="3"/>
  <c r="E1585" i="3" s="1"/>
  <c r="I1585" i="3" s="1"/>
  <c r="C1586" i="3"/>
  <c r="E1586" i="3" s="1"/>
  <c r="I1586" i="3" s="1"/>
  <c r="C1587" i="3"/>
  <c r="E1587" i="3" s="1"/>
  <c r="I1587" i="3" s="1"/>
  <c r="C1588" i="3"/>
  <c r="E1588" i="3" s="1"/>
  <c r="I1588" i="3" s="1"/>
  <c r="C1589" i="3"/>
  <c r="E1589" i="3" s="1"/>
  <c r="I1589" i="3" s="1"/>
  <c r="C1590" i="3"/>
  <c r="E1590" i="3" s="1"/>
  <c r="I1590" i="3" s="1"/>
  <c r="C1591" i="3"/>
  <c r="E1591" i="3" s="1"/>
  <c r="I1591" i="3" s="1"/>
  <c r="C1592" i="3"/>
  <c r="E1592" i="3" s="1"/>
  <c r="I1592" i="3" s="1"/>
  <c r="C1593" i="3"/>
  <c r="E1593" i="3" s="1"/>
  <c r="I1593" i="3" s="1"/>
  <c r="C1594" i="3"/>
  <c r="E1594" i="3" s="1"/>
  <c r="I1594" i="3" s="1"/>
  <c r="C1595" i="3"/>
  <c r="E1595" i="3" s="1"/>
  <c r="I1595" i="3" s="1"/>
  <c r="C1596" i="3"/>
  <c r="E1596" i="3" s="1"/>
  <c r="I1596" i="3" s="1"/>
  <c r="C1597" i="3"/>
  <c r="E1597" i="3" s="1"/>
  <c r="I1597" i="3" s="1"/>
  <c r="C1598" i="3"/>
  <c r="E1598" i="3" s="1"/>
  <c r="I1598" i="3" s="1"/>
  <c r="C1599" i="3"/>
  <c r="E1599" i="3" s="1"/>
  <c r="I1599" i="3" s="1"/>
  <c r="C1600" i="3"/>
  <c r="E1600" i="3" s="1"/>
  <c r="I1600" i="3" s="1"/>
  <c r="C1601" i="3"/>
  <c r="E1601" i="3" s="1"/>
  <c r="I1601" i="3" s="1"/>
  <c r="C1602" i="3"/>
  <c r="E1602" i="3" s="1"/>
  <c r="I1602" i="3" s="1"/>
  <c r="C1603" i="3"/>
  <c r="E1603" i="3" s="1"/>
  <c r="I1603" i="3" s="1"/>
  <c r="C1604" i="3"/>
  <c r="E1604" i="3" s="1"/>
  <c r="I1604" i="3" s="1"/>
  <c r="C1605" i="3"/>
  <c r="E1605" i="3" s="1"/>
  <c r="I1605" i="3" s="1"/>
  <c r="C1606" i="3"/>
  <c r="E1606" i="3" s="1"/>
  <c r="I1606" i="3" s="1"/>
  <c r="C1607" i="3"/>
  <c r="E1607" i="3" s="1"/>
  <c r="I1607" i="3" s="1"/>
  <c r="C1608" i="3"/>
  <c r="E1608" i="3" s="1"/>
  <c r="I1608" i="3" s="1"/>
  <c r="C1609" i="3"/>
  <c r="E1609" i="3" s="1"/>
  <c r="I1609" i="3" s="1"/>
  <c r="C1610" i="3"/>
  <c r="E1610" i="3" s="1"/>
  <c r="I1610" i="3" s="1"/>
  <c r="C1611" i="3"/>
  <c r="E1611" i="3" s="1"/>
  <c r="I1611" i="3" s="1"/>
  <c r="C1612" i="3"/>
  <c r="E1612" i="3" s="1"/>
  <c r="I1612" i="3" s="1"/>
  <c r="C1613" i="3"/>
  <c r="E1613" i="3" s="1"/>
  <c r="I1613" i="3" s="1"/>
  <c r="C1614" i="3"/>
  <c r="E1614" i="3" s="1"/>
  <c r="I1614" i="3" s="1"/>
  <c r="C1615" i="3"/>
  <c r="E1615" i="3" s="1"/>
  <c r="I1615" i="3" s="1"/>
  <c r="C1616" i="3"/>
  <c r="E1616" i="3" s="1"/>
  <c r="I1616" i="3" s="1"/>
  <c r="C1617" i="3"/>
  <c r="E1617" i="3" s="1"/>
  <c r="I1617" i="3" s="1"/>
  <c r="C1618" i="3"/>
  <c r="E1618" i="3" s="1"/>
  <c r="I1618" i="3" s="1"/>
  <c r="C1619" i="3"/>
  <c r="E1619" i="3" s="1"/>
  <c r="I1619" i="3" s="1"/>
  <c r="C1620" i="3"/>
  <c r="E1620" i="3" s="1"/>
  <c r="I1620" i="3" s="1"/>
  <c r="C1621" i="3"/>
  <c r="E1621" i="3" s="1"/>
  <c r="I1621" i="3" s="1"/>
  <c r="C1622" i="3"/>
  <c r="E1622" i="3" s="1"/>
  <c r="I1622" i="3" s="1"/>
  <c r="C1623" i="3"/>
  <c r="E1623" i="3" s="1"/>
  <c r="I1623" i="3" s="1"/>
  <c r="C1624" i="3"/>
  <c r="E1624" i="3" s="1"/>
  <c r="I1624" i="3" s="1"/>
  <c r="C1625" i="3"/>
  <c r="E1625" i="3" s="1"/>
  <c r="I1625" i="3" s="1"/>
  <c r="C1626" i="3"/>
  <c r="E1626" i="3" s="1"/>
  <c r="I1626" i="3" s="1"/>
  <c r="C1627" i="3"/>
  <c r="E1627" i="3" s="1"/>
  <c r="I1627" i="3" s="1"/>
  <c r="C1628" i="3"/>
  <c r="E1628" i="3" s="1"/>
  <c r="I1628" i="3" s="1"/>
  <c r="C1629" i="3"/>
  <c r="E1629" i="3" s="1"/>
  <c r="I1629" i="3" s="1"/>
  <c r="C1630" i="3"/>
  <c r="E1630" i="3" s="1"/>
  <c r="I1630" i="3" s="1"/>
  <c r="C1631" i="3"/>
  <c r="E1631" i="3" s="1"/>
  <c r="I1631" i="3" s="1"/>
  <c r="C1632" i="3"/>
  <c r="E1632" i="3" s="1"/>
  <c r="I1632" i="3" s="1"/>
  <c r="C1633" i="3"/>
  <c r="E1633" i="3" s="1"/>
  <c r="I1633" i="3" s="1"/>
  <c r="C1634" i="3"/>
  <c r="E1634" i="3" s="1"/>
  <c r="I1634" i="3" s="1"/>
  <c r="C1635" i="3"/>
  <c r="E1635" i="3" s="1"/>
  <c r="I1635" i="3" s="1"/>
  <c r="C1636" i="3"/>
  <c r="E1636" i="3" s="1"/>
  <c r="I1636" i="3" s="1"/>
  <c r="C1637" i="3"/>
  <c r="E1637" i="3" s="1"/>
  <c r="I1637" i="3" s="1"/>
  <c r="C1638" i="3"/>
  <c r="E1638" i="3" s="1"/>
  <c r="I1638" i="3" s="1"/>
  <c r="C1639" i="3"/>
  <c r="E1639" i="3" s="1"/>
  <c r="I1639" i="3" s="1"/>
  <c r="C1640" i="3"/>
  <c r="E1640" i="3" s="1"/>
  <c r="I1640" i="3" s="1"/>
  <c r="C1641" i="3"/>
  <c r="E1641" i="3" s="1"/>
  <c r="I1641" i="3" s="1"/>
  <c r="C1642" i="3"/>
  <c r="E1642" i="3" s="1"/>
  <c r="I1642" i="3" s="1"/>
  <c r="C1643" i="3"/>
  <c r="E1643" i="3" s="1"/>
  <c r="I1643" i="3" s="1"/>
  <c r="C1644" i="3"/>
  <c r="E1644" i="3" s="1"/>
  <c r="I1644" i="3" s="1"/>
  <c r="C1645" i="3"/>
  <c r="E1645" i="3" s="1"/>
  <c r="I1645" i="3" s="1"/>
  <c r="C1646" i="3"/>
  <c r="E1646" i="3" s="1"/>
  <c r="I1646" i="3" s="1"/>
  <c r="C1647" i="3"/>
  <c r="E1647" i="3" s="1"/>
  <c r="I1647" i="3" s="1"/>
  <c r="C1648" i="3"/>
  <c r="E1648" i="3" s="1"/>
  <c r="I1648" i="3" s="1"/>
  <c r="C1649" i="3"/>
  <c r="E1649" i="3" s="1"/>
  <c r="I1649" i="3" s="1"/>
  <c r="C1650" i="3"/>
  <c r="E1650" i="3" s="1"/>
  <c r="I1650" i="3" s="1"/>
  <c r="C1651" i="3"/>
  <c r="E1651" i="3" s="1"/>
  <c r="I1651" i="3" s="1"/>
  <c r="C1652" i="3"/>
  <c r="E1652" i="3" s="1"/>
  <c r="I1652" i="3" s="1"/>
  <c r="C1653" i="3"/>
  <c r="E1653" i="3" s="1"/>
  <c r="I1653" i="3" s="1"/>
  <c r="C1654" i="3"/>
  <c r="E1654" i="3" s="1"/>
  <c r="I1654" i="3" s="1"/>
  <c r="C1655" i="3"/>
  <c r="E1655" i="3" s="1"/>
  <c r="I1655" i="3" s="1"/>
  <c r="C1656" i="3"/>
  <c r="E1656" i="3" s="1"/>
  <c r="I1656" i="3" s="1"/>
  <c r="C1657" i="3"/>
  <c r="E1657" i="3" s="1"/>
  <c r="I1657" i="3" s="1"/>
  <c r="C1658" i="3"/>
  <c r="E1658" i="3" s="1"/>
  <c r="I1658" i="3" s="1"/>
  <c r="C1659" i="3"/>
  <c r="E1659" i="3" s="1"/>
  <c r="I1659" i="3" s="1"/>
  <c r="C1660" i="3"/>
  <c r="E1660" i="3" s="1"/>
  <c r="I1660" i="3" s="1"/>
  <c r="C1661" i="3"/>
  <c r="E1661" i="3" s="1"/>
  <c r="I1661" i="3" s="1"/>
  <c r="C1662" i="3"/>
  <c r="E1662" i="3" s="1"/>
  <c r="I1662" i="3" s="1"/>
  <c r="C1663" i="3"/>
  <c r="E1663" i="3" s="1"/>
  <c r="I1663" i="3" s="1"/>
  <c r="C1664" i="3"/>
  <c r="E1664" i="3" s="1"/>
  <c r="I1664" i="3" s="1"/>
  <c r="C1665" i="3"/>
  <c r="E1665" i="3" s="1"/>
  <c r="I1665" i="3" s="1"/>
  <c r="C1666" i="3"/>
  <c r="E1666" i="3" s="1"/>
  <c r="I1666" i="3" s="1"/>
  <c r="C1667" i="3"/>
  <c r="E1667" i="3" s="1"/>
  <c r="I1667" i="3" s="1"/>
  <c r="C1668" i="3"/>
  <c r="E1668" i="3" s="1"/>
  <c r="I1668" i="3" s="1"/>
  <c r="C1669" i="3"/>
  <c r="E1669" i="3" s="1"/>
  <c r="I1669" i="3" s="1"/>
  <c r="C1670" i="3"/>
  <c r="E1670" i="3" s="1"/>
  <c r="I1670" i="3" s="1"/>
  <c r="C1671" i="3"/>
  <c r="E1671" i="3" s="1"/>
  <c r="I1671" i="3" s="1"/>
  <c r="C1672" i="3"/>
  <c r="E1672" i="3" s="1"/>
  <c r="I1672" i="3" s="1"/>
  <c r="C1673" i="3"/>
  <c r="E1673" i="3" s="1"/>
  <c r="I1673" i="3" s="1"/>
  <c r="C1674" i="3"/>
  <c r="E1674" i="3" s="1"/>
  <c r="I1674" i="3" s="1"/>
  <c r="C1675" i="3"/>
  <c r="E1675" i="3" s="1"/>
  <c r="I1675" i="3" s="1"/>
  <c r="C1676" i="3"/>
  <c r="E1676" i="3" s="1"/>
  <c r="I1676" i="3" s="1"/>
  <c r="C1677" i="3"/>
  <c r="E1677" i="3" s="1"/>
  <c r="I1677" i="3" s="1"/>
  <c r="C1678" i="3"/>
  <c r="E1678" i="3" s="1"/>
  <c r="I1678" i="3" s="1"/>
  <c r="C1679" i="3"/>
  <c r="E1679" i="3" s="1"/>
  <c r="I1679" i="3" s="1"/>
  <c r="C1680" i="3"/>
  <c r="E1680" i="3" s="1"/>
  <c r="I1680" i="3" s="1"/>
  <c r="C1681" i="3"/>
  <c r="E1681" i="3" s="1"/>
  <c r="I1681" i="3" s="1"/>
  <c r="C1682" i="3"/>
  <c r="E1682" i="3" s="1"/>
  <c r="I1682" i="3" s="1"/>
  <c r="C1683" i="3"/>
  <c r="E1683" i="3" s="1"/>
  <c r="I1683" i="3" s="1"/>
  <c r="C1684" i="3"/>
  <c r="E1684" i="3" s="1"/>
  <c r="I1684" i="3" s="1"/>
  <c r="C1685" i="3"/>
  <c r="E1685" i="3" s="1"/>
  <c r="I1685" i="3" s="1"/>
  <c r="C1686" i="3"/>
  <c r="E1686" i="3" s="1"/>
  <c r="I1686" i="3" s="1"/>
  <c r="C1687" i="3"/>
  <c r="E1687" i="3" s="1"/>
  <c r="I1687" i="3" s="1"/>
  <c r="C1688" i="3"/>
  <c r="E1688" i="3" s="1"/>
  <c r="I1688" i="3" s="1"/>
  <c r="C1689" i="3"/>
  <c r="E1689" i="3" s="1"/>
  <c r="I1689" i="3" s="1"/>
  <c r="C1690" i="3"/>
  <c r="E1690" i="3" s="1"/>
  <c r="I1690" i="3" s="1"/>
  <c r="C1691" i="3"/>
  <c r="E1691" i="3" s="1"/>
  <c r="I1691" i="3" s="1"/>
  <c r="C1692" i="3"/>
  <c r="E1692" i="3" s="1"/>
  <c r="I1692" i="3" s="1"/>
  <c r="C1693" i="3"/>
  <c r="E1693" i="3" s="1"/>
  <c r="I1693" i="3" s="1"/>
  <c r="C1694" i="3"/>
  <c r="E1694" i="3" s="1"/>
  <c r="I1694" i="3" s="1"/>
  <c r="C1695" i="3"/>
  <c r="E1695" i="3" s="1"/>
  <c r="I1695" i="3" s="1"/>
  <c r="C1696" i="3"/>
  <c r="E1696" i="3" s="1"/>
  <c r="I1696" i="3" s="1"/>
  <c r="C1697" i="3"/>
  <c r="E1697" i="3" s="1"/>
  <c r="I1697" i="3" s="1"/>
  <c r="C1698" i="3"/>
  <c r="E1698" i="3" s="1"/>
  <c r="I1698" i="3" s="1"/>
  <c r="C1699" i="3"/>
  <c r="E1699" i="3" s="1"/>
  <c r="I1699" i="3" s="1"/>
  <c r="C1700" i="3"/>
  <c r="E1700" i="3" s="1"/>
  <c r="I1700" i="3" s="1"/>
  <c r="C1701" i="3"/>
  <c r="E1701" i="3" s="1"/>
  <c r="I1701" i="3" s="1"/>
  <c r="C1702" i="3"/>
  <c r="E1702" i="3" s="1"/>
  <c r="I1702" i="3" s="1"/>
  <c r="C1703" i="3"/>
  <c r="E1703" i="3" s="1"/>
  <c r="I1703" i="3" s="1"/>
  <c r="C1704" i="3"/>
  <c r="E1704" i="3" s="1"/>
  <c r="I1704" i="3" s="1"/>
  <c r="C1705" i="3"/>
  <c r="E1705" i="3" s="1"/>
  <c r="I1705" i="3" s="1"/>
  <c r="C1706" i="3"/>
  <c r="E1706" i="3" s="1"/>
  <c r="I1706" i="3" s="1"/>
  <c r="C1707" i="3"/>
  <c r="E1707" i="3" s="1"/>
  <c r="I1707" i="3" s="1"/>
  <c r="C1708" i="3"/>
  <c r="E1708" i="3" s="1"/>
  <c r="I1708" i="3" s="1"/>
  <c r="C1709" i="3"/>
  <c r="E1709" i="3" s="1"/>
  <c r="I1709" i="3" s="1"/>
  <c r="C1710" i="3"/>
  <c r="E1710" i="3" s="1"/>
  <c r="I1710" i="3" s="1"/>
  <c r="C1711" i="3"/>
  <c r="E1711" i="3" s="1"/>
  <c r="I1711" i="3" s="1"/>
  <c r="C1712" i="3"/>
  <c r="E1712" i="3" s="1"/>
  <c r="I1712" i="3" s="1"/>
  <c r="C1713" i="3"/>
  <c r="E1713" i="3" s="1"/>
  <c r="I1713" i="3" s="1"/>
  <c r="C1714" i="3"/>
  <c r="E1714" i="3" s="1"/>
  <c r="I1714" i="3" s="1"/>
  <c r="C1715" i="3"/>
  <c r="E1715" i="3" s="1"/>
  <c r="I1715" i="3" s="1"/>
  <c r="C1716" i="3"/>
  <c r="E1716" i="3" s="1"/>
  <c r="I1716" i="3" s="1"/>
  <c r="C1717" i="3"/>
  <c r="E1717" i="3" s="1"/>
  <c r="I1717" i="3" s="1"/>
  <c r="C1718" i="3"/>
  <c r="E1718" i="3" s="1"/>
  <c r="I1718" i="3" s="1"/>
  <c r="C1719" i="3"/>
  <c r="E1719" i="3" s="1"/>
  <c r="I1719" i="3" s="1"/>
  <c r="C1720" i="3"/>
  <c r="E1720" i="3" s="1"/>
  <c r="I1720" i="3" s="1"/>
  <c r="C1721" i="3"/>
  <c r="E1721" i="3" s="1"/>
  <c r="I1721" i="3" s="1"/>
  <c r="C1722" i="3"/>
  <c r="E1722" i="3" s="1"/>
  <c r="I1722" i="3" s="1"/>
  <c r="C1723" i="3"/>
  <c r="E1723" i="3" s="1"/>
  <c r="I1723" i="3" s="1"/>
  <c r="C1724" i="3"/>
  <c r="E1724" i="3" s="1"/>
  <c r="I1724" i="3" s="1"/>
  <c r="C1725" i="3"/>
  <c r="E1725" i="3" s="1"/>
  <c r="I1725" i="3" s="1"/>
  <c r="C1726" i="3"/>
  <c r="E1726" i="3" s="1"/>
  <c r="I1726" i="3" s="1"/>
  <c r="C1727" i="3"/>
  <c r="E1727" i="3" s="1"/>
  <c r="I1727" i="3" s="1"/>
  <c r="C1728" i="3"/>
  <c r="E1728" i="3" s="1"/>
  <c r="I1728" i="3" s="1"/>
  <c r="C1729" i="3"/>
  <c r="E1729" i="3" s="1"/>
  <c r="I1729" i="3" s="1"/>
  <c r="C1730" i="3"/>
  <c r="E1730" i="3" s="1"/>
  <c r="I1730" i="3" s="1"/>
  <c r="C1731" i="3"/>
  <c r="E1731" i="3" s="1"/>
  <c r="I1731" i="3" s="1"/>
  <c r="C1732" i="3"/>
  <c r="E1732" i="3" s="1"/>
  <c r="I1732" i="3" s="1"/>
  <c r="C1733" i="3"/>
  <c r="E1733" i="3" s="1"/>
  <c r="I1733" i="3" s="1"/>
  <c r="C1734" i="3"/>
  <c r="E1734" i="3" s="1"/>
  <c r="I1734" i="3" s="1"/>
  <c r="C1735" i="3"/>
  <c r="E1735" i="3" s="1"/>
  <c r="I1735" i="3" s="1"/>
  <c r="C1736" i="3"/>
  <c r="E1736" i="3" s="1"/>
  <c r="I1736" i="3" s="1"/>
  <c r="C1737" i="3"/>
  <c r="E1737" i="3" s="1"/>
  <c r="I1737" i="3" s="1"/>
  <c r="C1738" i="3"/>
  <c r="E1738" i="3" s="1"/>
  <c r="I1738" i="3" s="1"/>
  <c r="C1739" i="3"/>
  <c r="E1739" i="3" s="1"/>
  <c r="I1739" i="3" s="1"/>
  <c r="C1740" i="3"/>
  <c r="E1740" i="3" s="1"/>
  <c r="I1740" i="3" s="1"/>
  <c r="C1741" i="3"/>
  <c r="E1741" i="3" s="1"/>
  <c r="I1741" i="3" s="1"/>
  <c r="C1742" i="3"/>
  <c r="E1742" i="3" s="1"/>
  <c r="I1742" i="3" s="1"/>
  <c r="C1743" i="3"/>
  <c r="E1743" i="3" s="1"/>
  <c r="I1743" i="3" s="1"/>
  <c r="C1744" i="3"/>
  <c r="E1744" i="3" s="1"/>
  <c r="I1744" i="3" s="1"/>
  <c r="C1745" i="3"/>
  <c r="E1745" i="3" s="1"/>
  <c r="I1745" i="3" s="1"/>
  <c r="C1746" i="3"/>
  <c r="E1746" i="3" s="1"/>
  <c r="I1746" i="3" s="1"/>
  <c r="C1747" i="3"/>
  <c r="E1747" i="3" s="1"/>
  <c r="I1747" i="3" s="1"/>
  <c r="C1748" i="3"/>
  <c r="E1748" i="3" s="1"/>
  <c r="I1748" i="3" s="1"/>
  <c r="C1749" i="3"/>
  <c r="E1749" i="3" s="1"/>
  <c r="I1749" i="3" s="1"/>
  <c r="C1750" i="3"/>
  <c r="E1750" i="3" s="1"/>
  <c r="I1750" i="3" s="1"/>
  <c r="C1751" i="3"/>
  <c r="E1751" i="3" s="1"/>
  <c r="I1751" i="3" s="1"/>
  <c r="C1752" i="3"/>
  <c r="E1752" i="3" s="1"/>
  <c r="I1752" i="3" s="1"/>
  <c r="C1753" i="3"/>
  <c r="E1753" i="3" s="1"/>
  <c r="I1753" i="3" s="1"/>
  <c r="C1754" i="3"/>
  <c r="E1754" i="3" s="1"/>
  <c r="I1754" i="3" s="1"/>
  <c r="C1755" i="3"/>
  <c r="E1755" i="3" s="1"/>
  <c r="I1755" i="3" s="1"/>
  <c r="C1756" i="3"/>
  <c r="E1756" i="3" s="1"/>
  <c r="I1756" i="3" s="1"/>
  <c r="C1757" i="3"/>
  <c r="E1757" i="3" s="1"/>
  <c r="I1757" i="3" s="1"/>
  <c r="C1758" i="3"/>
  <c r="E1758" i="3" s="1"/>
  <c r="I1758" i="3" s="1"/>
  <c r="C1759" i="3"/>
  <c r="E1759" i="3" s="1"/>
  <c r="I1759" i="3" s="1"/>
  <c r="C1760" i="3"/>
  <c r="E1760" i="3" s="1"/>
  <c r="I1760" i="3" s="1"/>
  <c r="C1761" i="3"/>
  <c r="E1761" i="3" s="1"/>
  <c r="I1761" i="3" s="1"/>
  <c r="C1762" i="3"/>
  <c r="E1762" i="3" s="1"/>
  <c r="I1762" i="3" s="1"/>
  <c r="C1763" i="3"/>
  <c r="E1763" i="3" s="1"/>
  <c r="I1763" i="3" s="1"/>
  <c r="C1764" i="3"/>
  <c r="E1764" i="3" s="1"/>
  <c r="I1764" i="3" s="1"/>
  <c r="C1765" i="3"/>
  <c r="E1765" i="3" s="1"/>
  <c r="I1765" i="3" s="1"/>
  <c r="C1766" i="3"/>
  <c r="E1766" i="3" s="1"/>
  <c r="I1766" i="3" s="1"/>
  <c r="C1767" i="3"/>
  <c r="E1767" i="3" s="1"/>
  <c r="I1767" i="3" s="1"/>
  <c r="C1768" i="3"/>
  <c r="E1768" i="3" s="1"/>
  <c r="I1768" i="3" s="1"/>
  <c r="C1769" i="3"/>
  <c r="E1769" i="3" s="1"/>
  <c r="I1769" i="3" s="1"/>
  <c r="C1770" i="3"/>
  <c r="E1770" i="3" s="1"/>
  <c r="I1770" i="3" s="1"/>
  <c r="C1771" i="3"/>
  <c r="E1771" i="3" s="1"/>
  <c r="I1771" i="3" s="1"/>
  <c r="C1772" i="3"/>
  <c r="E1772" i="3" s="1"/>
  <c r="I1772" i="3" s="1"/>
  <c r="C1773" i="3"/>
  <c r="E1773" i="3" s="1"/>
  <c r="I1773" i="3" s="1"/>
  <c r="C1774" i="3"/>
  <c r="E1774" i="3" s="1"/>
  <c r="I1774" i="3" s="1"/>
  <c r="C1775" i="3"/>
  <c r="E1775" i="3" s="1"/>
  <c r="I1775" i="3" s="1"/>
  <c r="C1776" i="3"/>
  <c r="E1776" i="3" s="1"/>
  <c r="I1776" i="3" s="1"/>
  <c r="C1777" i="3"/>
  <c r="E1777" i="3" s="1"/>
  <c r="I1777" i="3" s="1"/>
  <c r="C1778" i="3"/>
  <c r="E1778" i="3" s="1"/>
  <c r="I1778" i="3" s="1"/>
  <c r="C1779" i="3"/>
  <c r="E1779" i="3" s="1"/>
  <c r="I1779" i="3" s="1"/>
  <c r="C1780" i="3"/>
  <c r="E1780" i="3" s="1"/>
  <c r="I1780" i="3" s="1"/>
  <c r="C1781" i="3"/>
  <c r="E1781" i="3" s="1"/>
  <c r="I1781" i="3" s="1"/>
  <c r="C1782" i="3"/>
  <c r="E1782" i="3" s="1"/>
  <c r="I1782" i="3" s="1"/>
  <c r="C1783" i="3"/>
  <c r="E1783" i="3" s="1"/>
  <c r="I1783" i="3" s="1"/>
  <c r="C1784" i="3"/>
  <c r="E1784" i="3" s="1"/>
  <c r="I1784" i="3" s="1"/>
  <c r="C1785" i="3"/>
  <c r="E1785" i="3" s="1"/>
  <c r="I1785" i="3" s="1"/>
  <c r="C1786" i="3"/>
  <c r="E1786" i="3" s="1"/>
  <c r="I1786" i="3" s="1"/>
  <c r="C1787" i="3"/>
  <c r="E1787" i="3" s="1"/>
  <c r="I1787" i="3" s="1"/>
  <c r="C1788" i="3"/>
  <c r="E1788" i="3" s="1"/>
  <c r="I1788" i="3" s="1"/>
  <c r="C1789" i="3"/>
  <c r="E1789" i="3" s="1"/>
  <c r="I1789" i="3" s="1"/>
  <c r="C1790" i="3"/>
  <c r="E1790" i="3" s="1"/>
  <c r="I1790" i="3" s="1"/>
  <c r="C1791" i="3"/>
  <c r="E1791" i="3" s="1"/>
  <c r="I1791" i="3" s="1"/>
  <c r="C1792" i="3"/>
  <c r="E1792" i="3" s="1"/>
  <c r="I1792" i="3" s="1"/>
  <c r="C1793" i="3"/>
  <c r="E1793" i="3" s="1"/>
  <c r="I1793" i="3" s="1"/>
  <c r="C1794" i="3"/>
  <c r="E1794" i="3" s="1"/>
  <c r="I1794" i="3" s="1"/>
  <c r="C1795" i="3"/>
  <c r="E1795" i="3" s="1"/>
  <c r="I1795" i="3" s="1"/>
  <c r="C1796" i="3"/>
  <c r="E1796" i="3" s="1"/>
  <c r="I1796" i="3" s="1"/>
  <c r="C1797" i="3"/>
  <c r="E1797" i="3" s="1"/>
  <c r="I1797" i="3" s="1"/>
  <c r="C1798" i="3"/>
  <c r="E1798" i="3" s="1"/>
  <c r="I1798" i="3" s="1"/>
  <c r="C1799" i="3"/>
  <c r="E1799" i="3" s="1"/>
  <c r="I1799" i="3" s="1"/>
  <c r="C1800" i="3"/>
  <c r="E1800" i="3" s="1"/>
  <c r="I1800" i="3" s="1"/>
  <c r="C1801" i="3"/>
  <c r="E1801" i="3" s="1"/>
  <c r="I1801" i="3" s="1"/>
  <c r="C1802" i="3"/>
  <c r="E1802" i="3" s="1"/>
  <c r="I1802" i="3" s="1"/>
  <c r="C1803" i="3"/>
  <c r="E1803" i="3" s="1"/>
  <c r="I1803" i="3" s="1"/>
  <c r="C1804" i="3"/>
  <c r="E1804" i="3" s="1"/>
  <c r="I1804" i="3" s="1"/>
  <c r="C1805" i="3"/>
  <c r="E1805" i="3" s="1"/>
  <c r="I1805" i="3" s="1"/>
  <c r="C1806" i="3"/>
  <c r="E1806" i="3" s="1"/>
  <c r="I1806" i="3" s="1"/>
  <c r="C1807" i="3"/>
  <c r="E1807" i="3" s="1"/>
  <c r="I1807" i="3" s="1"/>
  <c r="C1808" i="3"/>
  <c r="E1808" i="3" s="1"/>
  <c r="I1808" i="3" s="1"/>
  <c r="C1809" i="3"/>
  <c r="E1809" i="3" s="1"/>
  <c r="I1809" i="3" s="1"/>
  <c r="C1810" i="3"/>
  <c r="E1810" i="3" s="1"/>
  <c r="I1810" i="3" s="1"/>
  <c r="C1811" i="3"/>
  <c r="E1811" i="3" s="1"/>
  <c r="I1811" i="3" s="1"/>
  <c r="C1812" i="3"/>
  <c r="E1812" i="3" s="1"/>
  <c r="I1812" i="3" s="1"/>
  <c r="C1813" i="3"/>
  <c r="E1813" i="3" s="1"/>
  <c r="I1813" i="3" s="1"/>
  <c r="C1814" i="3"/>
  <c r="E1814" i="3" s="1"/>
  <c r="I1814" i="3" s="1"/>
  <c r="C1815" i="3"/>
  <c r="E1815" i="3" s="1"/>
  <c r="I1815" i="3" s="1"/>
  <c r="C1816" i="3"/>
  <c r="E1816" i="3" s="1"/>
  <c r="I1816" i="3" s="1"/>
  <c r="C1817" i="3"/>
  <c r="E1817" i="3" s="1"/>
  <c r="I1817" i="3" s="1"/>
  <c r="C1818" i="3"/>
  <c r="E1818" i="3" s="1"/>
  <c r="I1818" i="3" s="1"/>
  <c r="C1819" i="3"/>
  <c r="E1819" i="3" s="1"/>
  <c r="I1819" i="3" s="1"/>
  <c r="C1820" i="3"/>
  <c r="E1820" i="3" s="1"/>
  <c r="I1820" i="3" s="1"/>
  <c r="C1821" i="3"/>
  <c r="E1821" i="3" s="1"/>
  <c r="I1821" i="3" s="1"/>
  <c r="C1822" i="3"/>
  <c r="E1822" i="3" s="1"/>
  <c r="I1822" i="3" s="1"/>
  <c r="C1823" i="3"/>
  <c r="E1823" i="3" s="1"/>
  <c r="I1823" i="3" s="1"/>
  <c r="C1824" i="3"/>
  <c r="E1824" i="3" s="1"/>
  <c r="I1824" i="3" s="1"/>
  <c r="C1825" i="3"/>
  <c r="E1825" i="3" s="1"/>
  <c r="I1825" i="3" s="1"/>
  <c r="C1826" i="3"/>
  <c r="E1826" i="3" s="1"/>
  <c r="I1826" i="3" s="1"/>
  <c r="C1827" i="3"/>
  <c r="E1827" i="3" s="1"/>
  <c r="I1827" i="3" s="1"/>
  <c r="C1828" i="3"/>
  <c r="E1828" i="3" s="1"/>
  <c r="I1828" i="3" s="1"/>
  <c r="C1829" i="3"/>
  <c r="E1829" i="3" s="1"/>
  <c r="I1829" i="3" s="1"/>
  <c r="C1830" i="3"/>
  <c r="E1830" i="3" s="1"/>
  <c r="I1830" i="3" s="1"/>
  <c r="C1831" i="3"/>
  <c r="E1831" i="3" s="1"/>
  <c r="I1831" i="3" s="1"/>
  <c r="C1832" i="3"/>
  <c r="E1832" i="3" s="1"/>
  <c r="I1832" i="3" s="1"/>
  <c r="C1833" i="3"/>
  <c r="E1833" i="3" s="1"/>
  <c r="I1833" i="3" s="1"/>
  <c r="C1834" i="3"/>
  <c r="E1834" i="3" s="1"/>
  <c r="I1834" i="3" s="1"/>
  <c r="C1835" i="3"/>
  <c r="E1835" i="3" s="1"/>
  <c r="I1835" i="3" s="1"/>
  <c r="C1836" i="3"/>
  <c r="E1836" i="3" s="1"/>
  <c r="I1836" i="3" s="1"/>
  <c r="C1837" i="3"/>
  <c r="E1837" i="3" s="1"/>
  <c r="I1837" i="3" s="1"/>
  <c r="C1838" i="3"/>
  <c r="E1838" i="3" s="1"/>
  <c r="I1838" i="3" s="1"/>
  <c r="C1839" i="3"/>
  <c r="E1839" i="3" s="1"/>
  <c r="I1839" i="3" s="1"/>
  <c r="C1840" i="3"/>
  <c r="E1840" i="3" s="1"/>
  <c r="I1840" i="3" s="1"/>
  <c r="C1841" i="3"/>
  <c r="E1841" i="3" s="1"/>
  <c r="I1841" i="3" s="1"/>
  <c r="C1842" i="3"/>
  <c r="E1842" i="3" s="1"/>
  <c r="I1842" i="3" s="1"/>
  <c r="C1843" i="3"/>
  <c r="E1843" i="3" s="1"/>
  <c r="I1843" i="3" s="1"/>
  <c r="C1844" i="3"/>
  <c r="E1844" i="3" s="1"/>
  <c r="I1844" i="3" s="1"/>
  <c r="C1845" i="3"/>
  <c r="E1845" i="3" s="1"/>
  <c r="I1845" i="3" s="1"/>
  <c r="C1846" i="3"/>
  <c r="E1846" i="3" s="1"/>
  <c r="I1846" i="3" s="1"/>
  <c r="C1847" i="3"/>
  <c r="E1847" i="3" s="1"/>
  <c r="I1847" i="3" s="1"/>
  <c r="C1848" i="3"/>
  <c r="E1848" i="3" s="1"/>
  <c r="I1848" i="3" s="1"/>
  <c r="C1849" i="3"/>
  <c r="E1849" i="3" s="1"/>
  <c r="I1849" i="3" s="1"/>
  <c r="C1850" i="3"/>
  <c r="E1850" i="3" s="1"/>
  <c r="I1850" i="3" s="1"/>
  <c r="C1851" i="3"/>
  <c r="E1851" i="3" s="1"/>
  <c r="I1851" i="3" s="1"/>
  <c r="C1852" i="3"/>
  <c r="E1852" i="3" s="1"/>
  <c r="I1852" i="3" s="1"/>
  <c r="C1853" i="3"/>
  <c r="E1853" i="3" s="1"/>
  <c r="I1853" i="3" s="1"/>
  <c r="C1854" i="3"/>
  <c r="E1854" i="3" s="1"/>
  <c r="I1854" i="3" s="1"/>
  <c r="C1855" i="3"/>
  <c r="E1855" i="3" s="1"/>
  <c r="I1855" i="3" s="1"/>
  <c r="C1856" i="3"/>
  <c r="E1856" i="3" s="1"/>
  <c r="I1856" i="3" s="1"/>
  <c r="C1857" i="3"/>
  <c r="E1857" i="3" s="1"/>
  <c r="I1857" i="3" s="1"/>
  <c r="C1858" i="3"/>
  <c r="E1858" i="3" s="1"/>
  <c r="I1858" i="3" s="1"/>
  <c r="C1859" i="3"/>
  <c r="E1859" i="3" s="1"/>
  <c r="I1859" i="3" s="1"/>
  <c r="C1860" i="3"/>
  <c r="E1860" i="3" s="1"/>
  <c r="I1860" i="3" s="1"/>
  <c r="C1861" i="3"/>
  <c r="E1861" i="3" s="1"/>
  <c r="I1861" i="3" s="1"/>
  <c r="C1862" i="3"/>
  <c r="E1862" i="3" s="1"/>
  <c r="I1862" i="3" s="1"/>
  <c r="C1863" i="3"/>
  <c r="E1863" i="3" s="1"/>
  <c r="I1863" i="3" s="1"/>
  <c r="C1864" i="3"/>
  <c r="E1864" i="3" s="1"/>
  <c r="I1864" i="3" s="1"/>
  <c r="C1865" i="3"/>
  <c r="E1865" i="3" s="1"/>
  <c r="I1865" i="3" s="1"/>
  <c r="C1866" i="3"/>
  <c r="E1866" i="3" s="1"/>
  <c r="I1866" i="3" s="1"/>
  <c r="C1867" i="3"/>
  <c r="E1867" i="3" s="1"/>
  <c r="I1867" i="3" s="1"/>
  <c r="C1868" i="3"/>
  <c r="E1868" i="3" s="1"/>
  <c r="I1868" i="3" s="1"/>
  <c r="C1869" i="3"/>
  <c r="E1869" i="3" s="1"/>
  <c r="I1869" i="3" s="1"/>
  <c r="C1870" i="3"/>
  <c r="E1870" i="3" s="1"/>
  <c r="I1870" i="3" s="1"/>
  <c r="C1871" i="3"/>
  <c r="E1871" i="3" s="1"/>
  <c r="I1871" i="3" s="1"/>
  <c r="C1872" i="3"/>
  <c r="E1872" i="3" s="1"/>
  <c r="I1872" i="3" s="1"/>
  <c r="C1873" i="3"/>
  <c r="E1873" i="3" s="1"/>
  <c r="I1873" i="3" s="1"/>
  <c r="C1874" i="3"/>
  <c r="E1874" i="3" s="1"/>
  <c r="I1874" i="3" s="1"/>
  <c r="C1875" i="3"/>
  <c r="E1875" i="3" s="1"/>
  <c r="I1875" i="3" s="1"/>
  <c r="C1876" i="3"/>
  <c r="E1876" i="3" s="1"/>
  <c r="I1876" i="3" s="1"/>
  <c r="C1877" i="3"/>
  <c r="E1877" i="3" s="1"/>
  <c r="I1877" i="3" s="1"/>
  <c r="C1878" i="3"/>
  <c r="E1878" i="3" s="1"/>
  <c r="I1878" i="3" s="1"/>
  <c r="C1879" i="3"/>
  <c r="E1879" i="3" s="1"/>
  <c r="I1879" i="3" s="1"/>
  <c r="C1880" i="3"/>
  <c r="E1880" i="3" s="1"/>
  <c r="I1880" i="3" s="1"/>
  <c r="C1881" i="3"/>
  <c r="E1881" i="3" s="1"/>
  <c r="I1881" i="3" s="1"/>
  <c r="C1882" i="3"/>
  <c r="E1882" i="3" s="1"/>
  <c r="I1882" i="3" s="1"/>
  <c r="C1883" i="3"/>
  <c r="E1883" i="3" s="1"/>
  <c r="I1883" i="3" s="1"/>
  <c r="C1884" i="3"/>
  <c r="E1884" i="3" s="1"/>
  <c r="I1884" i="3" s="1"/>
  <c r="C1885" i="3"/>
  <c r="E1885" i="3" s="1"/>
  <c r="I1885" i="3" s="1"/>
  <c r="C1886" i="3"/>
  <c r="E1886" i="3" s="1"/>
  <c r="I1886" i="3" s="1"/>
  <c r="C1887" i="3"/>
  <c r="E1887" i="3" s="1"/>
  <c r="I1887" i="3" s="1"/>
  <c r="C1888" i="3"/>
  <c r="E1888" i="3" s="1"/>
  <c r="I1888" i="3" s="1"/>
  <c r="C1889" i="3"/>
  <c r="E1889" i="3" s="1"/>
  <c r="I1889" i="3" s="1"/>
  <c r="C1890" i="3"/>
  <c r="E1890" i="3" s="1"/>
  <c r="I1890" i="3" s="1"/>
  <c r="C1891" i="3"/>
  <c r="E1891" i="3" s="1"/>
  <c r="I1891" i="3" s="1"/>
  <c r="C1892" i="3"/>
  <c r="E1892" i="3" s="1"/>
  <c r="I1892" i="3" s="1"/>
  <c r="C1893" i="3"/>
  <c r="E1893" i="3" s="1"/>
  <c r="I1893" i="3" s="1"/>
  <c r="C1894" i="3"/>
  <c r="E1894" i="3" s="1"/>
  <c r="I1894" i="3" s="1"/>
  <c r="C1895" i="3"/>
  <c r="E1895" i="3" s="1"/>
  <c r="I1895" i="3" s="1"/>
  <c r="C1896" i="3"/>
  <c r="E1896" i="3" s="1"/>
  <c r="I1896" i="3" s="1"/>
  <c r="C1897" i="3"/>
  <c r="E1897" i="3" s="1"/>
  <c r="I1897" i="3" s="1"/>
  <c r="C1898" i="3"/>
  <c r="E1898" i="3" s="1"/>
  <c r="I1898" i="3" s="1"/>
  <c r="C1899" i="3"/>
  <c r="E1899" i="3" s="1"/>
  <c r="I1899" i="3" s="1"/>
  <c r="C1900" i="3"/>
  <c r="E1900" i="3" s="1"/>
  <c r="I1900" i="3" s="1"/>
  <c r="C1901" i="3"/>
  <c r="E1901" i="3" s="1"/>
  <c r="I1901" i="3" s="1"/>
  <c r="C1902" i="3"/>
  <c r="E1902" i="3" s="1"/>
  <c r="I1902" i="3" s="1"/>
  <c r="C1903" i="3"/>
  <c r="E1903" i="3" s="1"/>
  <c r="I1903" i="3" s="1"/>
  <c r="C1904" i="3"/>
  <c r="E1904" i="3" s="1"/>
  <c r="I1904" i="3" s="1"/>
  <c r="C1905" i="3"/>
  <c r="E1905" i="3" s="1"/>
  <c r="I1905" i="3" s="1"/>
  <c r="C1906" i="3"/>
  <c r="E1906" i="3" s="1"/>
  <c r="I1906" i="3" s="1"/>
  <c r="C1907" i="3"/>
  <c r="E1907" i="3" s="1"/>
  <c r="I1907" i="3" s="1"/>
  <c r="C1908" i="3"/>
  <c r="E1908" i="3" s="1"/>
  <c r="I1908" i="3" s="1"/>
  <c r="C1909" i="3"/>
  <c r="E1909" i="3" s="1"/>
  <c r="I1909" i="3" s="1"/>
  <c r="C1910" i="3"/>
  <c r="E1910" i="3" s="1"/>
  <c r="I1910" i="3" s="1"/>
  <c r="C1911" i="3"/>
  <c r="E1911" i="3" s="1"/>
  <c r="I1911" i="3" s="1"/>
  <c r="C1912" i="3"/>
  <c r="E1912" i="3" s="1"/>
  <c r="I1912" i="3" s="1"/>
  <c r="C1913" i="3"/>
  <c r="E1913" i="3" s="1"/>
  <c r="I1913" i="3" s="1"/>
  <c r="C1914" i="3"/>
  <c r="E1914" i="3" s="1"/>
  <c r="I1914" i="3" s="1"/>
  <c r="C1915" i="3"/>
  <c r="E1915" i="3" s="1"/>
  <c r="I1915" i="3" s="1"/>
  <c r="C1916" i="3"/>
  <c r="E1916" i="3" s="1"/>
  <c r="I1916" i="3" s="1"/>
  <c r="C1917" i="3"/>
  <c r="E1917" i="3" s="1"/>
  <c r="I1917" i="3" s="1"/>
  <c r="C1918" i="3"/>
  <c r="E1918" i="3" s="1"/>
  <c r="I1918" i="3" s="1"/>
  <c r="C1919" i="3"/>
  <c r="E1919" i="3" s="1"/>
  <c r="I1919" i="3" s="1"/>
  <c r="C1920" i="3"/>
  <c r="E1920" i="3" s="1"/>
  <c r="I1920" i="3" s="1"/>
  <c r="C1921" i="3"/>
  <c r="E1921" i="3" s="1"/>
  <c r="I1921" i="3" s="1"/>
  <c r="C1922" i="3"/>
  <c r="E1922" i="3" s="1"/>
  <c r="I1922" i="3" s="1"/>
  <c r="C1923" i="3"/>
  <c r="E1923" i="3" s="1"/>
  <c r="I1923" i="3" s="1"/>
  <c r="C1924" i="3"/>
  <c r="E1924" i="3" s="1"/>
  <c r="I1924" i="3" s="1"/>
  <c r="C1925" i="3"/>
  <c r="E1925" i="3" s="1"/>
  <c r="I1925" i="3" s="1"/>
  <c r="C1926" i="3"/>
  <c r="E1926" i="3" s="1"/>
  <c r="I1926" i="3" s="1"/>
  <c r="C1927" i="3"/>
  <c r="E1927" i="3" s="1"/>
  <c r="I1927" i="3" s="1"/>
  <c r="C1928" i="3"/>
  <c r="E1928" i="3" s="1"/>
  <c r="I1928" i="3" s="1"/>
  <c r="C1929" i="3"/>
  <c r="E1929" i="3" s="1"/>
  <c r="I1929" i="3" s="1"/>
  <c r="C1930" i="3"/>
  <c r="E1930" i="3" s="1"/>
  <c r="I1930" i="3" s="1"/>
  <c r="C1931" i="3"/>
  <c r="E1931" i="3" s="1"/>
  <c r="I1931" i="3" s="1"/>
  <c r="C1932" i="3"/>
  <c r="E1932" i="3" s="1"/>
  <c r="I1932" i="3" s="1"/>
  <c r="C1933" i="3"/>
  <c r="E1933" i="3" s="1"/>
  <c r="I1933" i="3" s="1"/>
  <c r="C1934" i="3"/>
  <c r="E1934" i="3" s="1"/>
  <c r="I1934" i="3" s="1"/>
  <c r="C1935" i="3"/>
  <c r="E1935" i="3" s="1"/>
  <c r="I1935" i="3" s="1"/>
  <c r="C1936" i="3"/>
  <c r="E1936" i="3" s="1"/>
  <c r="I1936" i="3" s="1"/>
  <c r="C1937" i="3"/>
  <c r="E1937" i="3" s="1"/>
  <c r="I1937" i="3" s="1"/>
  <c r="C1938" i="3"/>
  <c r="E1938" i="3" s="1"/>
  <c r="I1938" i="3" s="1"/>
  <c r="C1939" i="3"/>
  <c r="E1939" i="3" s="1"/>
  <c r="I1939" i="3" s="1"/>
  <c r="C1940" i="3"/>
  <c r="E1940" i="3" s="1"/>
  <c r="I1940" i="3" s="1"/>
  <c r="C1941" i="3"/>
  <c r="E1941" i="3" s="1"/>
  <c r="I1941" i="3" s="1"/>
  <c r="C1942" i="3"/>
  <c r="E1942" i="3" s="1"/>
  <c r="I1942" i="3" s="1"/>
  <c r="C1943" i="3"/>
  <c r="E1943" i="3" s="1"/>
  <c r="I1943" i="3" s="1"/>
  <c r="C1944" i="3"/>
  <c r="E1944" i="3" s="1"/>
  <c r="I1944" i="3" s="1"/>
  <c r="C1945" i="3"/>
  <c r="E1945" i="3" s="1"/>
  <c r="I1945" i="3" s="1"/>
  <c r="C1946" i="3"/>
  <c r="E1946" i="3" s="1"/>
  <c r="I1946" i="3" s="1"/>
  <c r="C1947" i="3"/>
  <c r="E1947" i="3" s="1"/>
  <c r="I1947" i="3" s="1"/>
  <c r="C1948" i="3"/>
  <c r="E1948" i="3" s="1"/>
  <c r="I1948" i="3" s="1"/>
  <c r="C1949" i="3"/>
  <c r="E1949" i="3" s="1"/>
  <c r="I1949" i="3" s="1"/>
  <c r="C1950" i="3"/>
  <c r="E1950" i="3" s="1"/>
  <c r="I1950" i="3" s="1"/>
  <c r="C1951" i="3"/>
  <c r="E1951" i="3" s="1"/>
  <c r="I1951" i="3" s="1"/>
  <c r="C1952" i="3"/>
  <c r="E1952" i="3" s="1"/>
  <c r="I1952" i="3" s="1"/>
  <c r="C1953" i="3"/>
  <c r="E1953" i="3" s="1"/>
  <c r="I1953" i="3" s="1"/>
  <c r="C1954" i="3"/>
  <c r="E1954" i="3" s="1"/>
  <c r="I1954" i="3" s="1"/>
  <c r="C1955" i="3"/>
  <c r="E1955" i="3" s="1"/>
  <c r="I1955" i="3" s="1"/>
  <c r="C1956" i="3"/>
  <c r="E1956" i="3" s="1"/>
  <c r="I1956" i="3" s="1"/>
  <c r="C1957" i="3"/>
  <c r="E1957" i="3" s="1"/>
  <c r="I1957" i="3" s="1"/>
  <c r="C1958" i="3"/>
  <c r="E1958" i="3" s="1"/>
  <c r="I1958" i="3" s="1"/>
  <c r="C1959" i="3"/>
  <c r="E1959" i="3" s="1"/>
  <c r="I1959" i="3" s="1"/>
  <c r="C1960" i="3"/>
  <c r="E1960" i="3" s="1"/>
  <c r="I1960" i="3" s="1"/>
  <c r="C1961" i="3"/>
  <c r="E1961" i="3" s="1"/>
  <c r="I1961" i="3" s="1"/>
  <c r="C1962" i="3"/>
  <c r="E1962" i="3" s="1"/>
  <c r="I1962" i="3" s="1"/>
  <c r="C1963" i="3"/>
  <c r="E1963" i="3" s="1"/>
  <c r="I1963" i="3" s="1"/>
  <c r="C1964" i="3"/>
  <c r="E1964" i="3" s="1"/>
  <c r="I1964" i="3" s="1"/>
  <c r="C1965" i="3"/>
  <c r="E1965" i="3" s="1"/>
  <c r="I1965" i="3" s="1"/>
  <c r="C1966" i="3"/>
  <c r="E1966" i="3" s="1"/>
  <c r="I1966" i="3" s="1"/>
  <c r="C1967" i="3"/>
  <c r="E1967" i="3" s="1"/>
  <c r="I1967" i="3" s="1"/>
  <c r="C1968" i="3"/>
  <c r="E1968" i="3" s="1"/>
  <c r="I1968" i="3" s="1"/>
  <c r="C1969" i="3"/>
  <c r="E1969" i="3" s="1"/>
  <c r="I1969" i="3" s="1"/>
  <c r="C1970" i="3"/>
  <c r="E1970" i="3" s="1"/>
  <c r="I1970" i="3" s="1"/>
  <c r="C1971" i="3"/>
  <c r="E1971" i="3" s="1"/>
  <c r="I1971" i="3" s="1"/>
  <c r="C1972" i="3"/>
  <c r="E1972" i="3" s="1"/>
  <c r="I1972" i="3" s="1"/>
  <c r="C1973" i="3"/>
  <c r="E1973" i="3" s="1"/>
  <c r="I1973" i="3" s="1"/>
  <c r="C1974" i="3"/>
  <c r="E1974" i="3" s="1"/>
  <c r="I1974" i="3" s="1"/>
  <c r="C1975" i="3"/>
  <c r="E1975" i="3" s="1"/>
  <c r="I1975" i="3" s="1"/>
  <c r="C1976" i="3"/>
  <c r="E1976" i="3" s="1"/>
  <c r="I1976" i="3" s="1"/>
  <c r="C1977" i="3"/>
  <c r="E1977" i="3" s="1"/>
  <c r="I1977" i="3" s="1"/>
  <c r="C1978" i="3"/>
  <c r="E1978" i="3" s="1"/>
  <c r="I1978" i="3" s="1"/>
  <c r="C1979" i="3"/>
  <c r="E1979" i="3" s="1"/>
  <c r="I1979" i="3" s="1"/>
  <c r="C1980" i="3"/>
  <c r="E1980" i="3" s="1"/>
  <c r="I1980" i="3" s="1"/>
  <c r="C1981" i="3"/>
  <c r="E1981" i="3" s="1"/>
  <c r="I1981" i="3" s="1"/>
  <c r="C1982" i="3"/>
  <c r="E1982" i="3" s="1"/>
  <c r="I1982" i="3" s="1"/>
  <c r="C1983" i="3"/>
  <c r="E1983" i="3" s="1"/>
  <c r="I1983" i="3" s="1"/>
  <c r="C1984" i="3"/>
  <c r="E1984" i="3" s="1"/>
  <c r="I1984" i="3" s="1"/>
  <c r="C1985" i="3"/>
  <c r="E1985" i="3" s="1"/>
  <c r="I1985" i="3" s="1"/>
  <c r="C1986" i="3"/>
  <c r="E1986" i="3" s="1"/>
  <c r="I1986" i="3" s="1"/>
  <c r="C1987" i="3"/>
  <c r="E1987" i="3" s="1"/>
  <c r="I1987" i="3" s="1"/>
  <c r="C1988" i="3"/>
  <c r="E1988" i="3" s="1"/>
  <c r="I1988" i="3" s="1"/>
  <c r="C1989" i="3"/>
  <c r="E1989" i="3" s="1"/>
  <c r="I1989" i="3" s="1"/>
  <c r="C1990" i="3"/>
  <c r="E1990" i="3" s="1"/>
  <c r="I1990" i="3" s="1"/>
  <c r="C1991" i="3"/>
  <c r="E1991" i="3" s="1"/>
  <c r="I1991" i="3" s="1"/>
  <c r="C1992" i="3"/>
  <c r="E1992" i="3" s="1"/>
  <c r="I1992" i="3" s="1"/>
  <c r="C1993" i="3"/>
  <c r="E1993" i="3" s="1"/>
  <c r="I1993" i="3" s="1"/>
  <c r="C1994" i="3"/>
  <c r="E1994" i="3" s="1"/>
  <c r="I1994" i="3" s="1"/>
  <c r="C1995" i="3"/>
  <c r="E1995" i="3" s="1"/>
  <c r="I1995" i="3" s="1"/>
  <c r="C1996" i="3"/>
  <c r="E1996" i="3" s="1"/>
  <c r="I1996" i="3" s="1"/>
  <c r="C1997" i="3"/>
  <c r="E1997" i="3" s="1"/>
  <c r="I1997" i="3" s="1"/>
  <c r="C1998" i="3"/>
  <c r="E1998" i="3" s="1"/>
  <c r="I1998" i="3" s="1"/>
  <c r="C1999" i="3"/>
  <c r="E1999" i="3" s="1"/>
  <c r="I1999" i="3" s="1"/>
  <c r="C2000" i="3"/>
  <c r="E2000" i="3" s="1"/>
  <c r="I2000" i="3" s="1"/>
  <c r="C2001" i="3"/>
  <c r="E2001" i="3" s="1"/>
  <c r="I2001" i="3" s="1"/>
  <c r="C2002" i="3"/>
  <c r="E2002" i="3" s="1"/>
  <c r="I2002" i="3" s="1"/>
  <c r="C2003" i="3"/>
  <c r="E2003" i="3" s="1"/>
  <c r="I2003" i="3" s="1"/>
  <c r="C2004" i="3"/>
  <c r="E2004" i="3" s="1"/>
  <c r="I2004" i="3" s="1"/>
  <c r="C2005" i="3"/>
  <c r="E2005" i="3" s="1"/>
  <c r="I2005" i="3" s="1"/>
  <c r="C2006" i="3"/>
  <c r="E2006" i="3" s="1"/>
  <c r="I2006" i="3" s="1"/>
  <c r="C2007" i="3"/>
  <c r="E2007" i="3" s="1"/>
  <c r="I2007" i="3" s="1"/>
  <c r="C2008" i="3"/>
  <c r="E2008" i="3" s="1"/>
  <c r="I2008" i="3" s="1"/>
  <c r="C2009" i="3"/>
  <c r="E2009" i="3" s="1"/>
  <c r="I2009" i="3" s="1"/>
  <c r="C2010" i="3"/>
  <c r="E2010" i="3" s="1"/>
  <c r="I2010" i="3" s="1"/>
  <c r="C2011" i="3"/>
  <c r="E2011" i="3" s="1"/>
  <c r="I2011" i="3" s="1"/>
  <c r="C2012" i="3"/>
  <c r="E2012" i="3" s="1"/>
  <c r="I2012" i="3" s="1"/>
  <c r="C2013" i="3"/>
  <c r="E2013" i="3" s="1"/>
  <c r="I2013" i="3" s="1"/>
  <c r="C2014" i="3"/>
  <c r="E2014" i="3" s="1"/>
  <c r="I2014" i="3" s="1"/>
  <c r="C2015" i="3"/>
  <c r="E2015" i="3" s="1"/>
  <c r="I2015" i="3" s="1"/>
  <c r="C2016" i="3"/>
  <c r="E2016" i="3" s="1"/>
  <c r="I2016" i="3" s="1"/>
  <c r="C2017" i="3"/>
  <c r="E2017" i="3" s="1"/>
  <c r="I2017" i="3" s="1"/>
  <c r="C2018" i="3"/>
  <c r="E2018" i="3" s="1"/>
  <c r="I2018" i="3" s="1"/>
  <c r="C2019" i="3"/>
  <c r="E2019" i="3" s="1"/>
  <c r="I2019" i="3" s="1"/>
  <c r="C2020" i="3"/>
  <c r="E2020" i="3" s="1"/>
  <c r="I2020" i="3" s="1"/>
  <c r="C2021" i="3"/>
  <c r="E2021" i="3" s="1"/>
  <c r="I2021" i="3" s="1"/>
  <c r="C2022" i="3"/>
  <c r="E2022" i="3" s="1"/>
  <c r="I2022" i="3" s="1"/>
  <c r="C2023" i="3"/>
  <c r="E2023" i="3" s="1"/>
  <c r="I2023" i="3" s="1"/>
  <c r="C2024" i="3"/>
  <c r="E2024" i="3" s="1"/>
  <c r="I2024" i="3" s="1"/>
  <c r="C2025" i="3"/>
  <c r="E2025" i="3" s="1"/>
  <c r="I2025" i="3" s="1"/>
  <c r="C2026" i="3"/>
  <c r="E2026" i="3" s="1"/>
  <c r="I2026" i="3" s="1"/>
  <c r="C2027" i="3"/>
  <c r="E2027" i="3" s="1"/>
  <c r="I2027" i="3" s="1"/>
  <c r="C2028" i="3"/>
  <c r="E2028" i="3" s="1"/>
  <c r="I2028" i="3" s="1"/>
  <c r="C2029" i="3"/>
  <c r="E2029" i="3" s="1"/>
  <c r="I2029" i="3" s="1"/>
  <c r="C2030" i="3"/>
  <c r="E2030" i="3" s="1"/>
  <c r="I2030" i="3" s="1"/>
  <c r="C2031" i="3"/>
  <c r="E2031" i="3" s="1"/>
  <c r="I2031" i="3" s="1"/>
  <c r="C2032" i="3"/>
  <c r="E2032" i="3" s="1"/>
  <c r="I2032" i="3" s="1"/>
  <c r="C2033" i="3"/>
  <c r="E2033" i="3" s="1"/>
  <c r="I2033" i="3" s="1"/>
  <c r="C2034" i="3"/>
  <c r="E2034" i="3" s="1"/>
  <c r="I2034" i="3" s="1"/>
  <c r="C2035" i="3"/>
  <c r="E2035" i="3" s="1"/>
  <c r="I2035" i="3" s="1"/>
  <c r="C2036" i="3"/>
  <c r="E2036" i="3" s="1"/>
  <c r="I2036" i="3" s="1"/>
  <c r="C2037" i="3"/>
  <c r="E2037" i="3" s="1"/>
  <c r="I2037" i="3" s="1"/>
  <c r="C2038" i="3"/>
  <c r="E2038" i="3" s="1"/>
  <c r="I2038" i="3" s="1"/>
  <c r="C2039" i="3"/>
  <c r="E2039" i="3" s="1"/>
  <c r="I2039" i="3" s="1"/>
  <c r="C2040" i="3"/>
  <c r="E2040" i="3" s="1"/>
  <c r="I2040" i="3" s="1"/>
  <c r="C2041" i="3"/>
  <c r="E2041" i="3" s="1"/>
  <c r="I2041" i="3" s="1"/>
  <c r="C2042" i="3"/>
  <c r="E2042" i="3" s="1"/>
  <c r="I2042" i="3" s="1"/>
  <c r="C2043" i="3"/>
  <c r="E2043" i="3" s="1"/>
  <c r="I2043" i="3" s="1"/>
  <c r="C2044" i="3"/>
  <c r="E2044" i="3" s="1"/>
  <c r="I2044" i="3" s="1"/>
  <c r="C2045" i="3"/>
  <c r="E2045" i="3" s="1"/>
  <c r="I2045" i="3" s="1"/>
  <c r="C2046" i="3"/>
  <c r="E2046" i="3" s="1"/>
  <c r="I2046" i="3" s="1"/>
  <c r="C2047" i="3"/>
  <c r="E2047" i="3" s="1"/>
  <c r="I2047" i="3" s="1"/>
  <c r="C2048" i="3"/>
  <c r="E2048" i="3" s="1"/>
  <c r="I2048" i="3" s="1"/>
  <c r="C2049" i="3"/>
  <c r="E2049" i="3" s="1"/>
  <c r="I2049" i="3" s="1"/>
  <c r="C2050" i="3"/>
  <c r="E2050" i="3" s="1"/>
  <c r="I2050" i="3" s="1"/>
  <c r="C2051" i="3"/>
  <c r="E2051" i="3" s="1"/>
  <c r="I2051" i="3" s="1"/>
  <c r="C2052" i="3"/>
  <c r="E2052" i="3" s="1"/>
  <c r="I2052" i="3" s="1"/>
  <c r="C2053" i="3"/>
  <c r="E2053" i="3" s="1"/>
  <c r="I2053" i="3" s="1"/>
  <c r="C2054" i="3"/>
  <c r="E2054" i="3" s="1"/>
  <c r="I2054" i="3" s="1"/>
  <c r="C2055" i="3"/>
  <c r="E2055" i="3" s="1"/>
  <c r="I2055" i="3" s="1"/>
  <c r="C2056" i="3"/>
  <c r="E2056" i="3" s="1"/>
  <c r="I2056" i="3" s="1"/>
  <c r="C2057" i="3"/>
  <c r="E2057" i="3" s="1"/>
  <c r="I2057" i="3" s="1"/>
  <c r="C2058" i="3"/>
  <c r="E2058" i="3" s="1"/>
  <c r="I2058" i="3" s="1"/>
  <c r="C2059" i="3"/>
  <c r="E2059" i="3" s="1"/>
  <c r="I2059" i="3" s="1"/>
  <c r="C2060" i="3"/>
  <c r="E2060" i="3" s="1"/>
  <c r="I2060" i="3" s="1"/>
  <c r="C2061" i="3"/>
  <c r="E2061" i="3" s="1"/>
  <c r="I2061" i="3" s="1"/>
  <c r="C2062" i="3"/>
  <c r="E2062" i="3" s="1"/>
  <c r="I2062" i="3" s="1"/>
  <c r="C2063" i="3"/>
  <c r="E2063" i="3" s="1"/>
  <c r="I2063" i="3" s="1"/>
  <c r="C2064" i="3"/>
  <c r="E2064" i="3" s="1"/>
  <c r="I2064" i="3" s="1"/>
  <c r="C2065" i="3"/>
  <c r="E2065" i="3" s="1"/>
  <c r="I2065" i="3" s="1"/>
  <c r="C2066" i="3"/>
  <c r="E2066" i="3" s="1"/>
  <c r="I2066" i="3" s="1"/>
  <c r="C2067" i="3"/>
  <c r="E2067" i="3" s="1"/>
  <c r="I2067" i="3" s="1"/>
  <c r="C2068" i="3"/>
  <c r="E2068" i="3" s="1"/>
  <c r="I2068" i="3" s="1"/>
  <c r="C2069" i="3"/>
  <c r="E2069" i="3" s="1"/>
  <c r="I2069" i="3" s="1"/>
  <c r="C2070" i="3"/>
  <c r="E2070" i="3" s="1"/>
  <c r="I2070" i="3" s="1"/>
  <c r="C2071" i="3"/>
  <c r="E2071" i="3" s="1"/>
  <c r="I2071" i="3" s="1"/>
  <c r="C2072" i="3"/>
  <c r="E2072" i="3" s="1"/>
  <c r="I2072" i="3" s="1"/>
  <c r="C2073" i="3"/>
  <c r="E2073" i="3" s="1"/>
  <c r="I2073" i="3" s="1"/>
  <c r="C2074" i="3"/>
  <c r="E2074" i="3" s="1"/>
  <c r="I2074" i="3" s="1"/>
  <c r="C2075" i="3"/>
  <c r="E2075" i="3" s="1"/>
  <c r="I2075" i="3" s="1"/>
  <c r="C2076" i="3"/>
  <c r="E2076" i="3" s="1"/>
  <c r="I2076" i="3" s="1"/>
  <c r="C2077" i="3"/>
  <c r="E2077" i="3" s="1"/>
  <c r="I2077" i="3" s="1"/>
  <c r="C2078" i="3"/>
  <c r="E2078" i="3" s="1"/>
  <c r="I2078" i="3" s="1"/>
  <c r="C2079" i="3"/>
  <c r="E2079" i="3" s="1"/>
  <c r="I2079" i="3" s="1"/>
  <c r="C2080" i="3"/>
  <c r="E2080" i="3" s="1"/>
  <c r="I2080" i="3" s="1"/>
  <c r="C2081" i="3"/>
  <c r="E2081" i="3" s="1"/>
  <c r="I2081" i="3" s="1"/>
  <c r="C2082" i="3"/>
  <c r="E2082" i="3" s="1"/>
  <c r="I2082" i="3" s="1"/>
  <c r="C2083" i="3"/>
  <c r="E2083" i="3" s="1"/>
  <c r="I2083" i="3" s="1"/>
  <c r="C2084" i="3"/>
  <c r="E2084" i="3" s="1"/>
  <c r="I2084" i="3" s="1"/>
  <c r="C2085" i="3"/>
  <c r="E2085" i="3" s="1"/>
  <c r="I2085" i="3" s="1"/>
  <c r="C2086" i="3"/>
  <c r="E2086" i="3" s="1"/>
  <c r="I2086" i="3" s="1"/>
  <c r="C2087" i="3"/>
  <c r="E2087" i="3" s="1"/>
  <c r="I2087" i="3" s="1"/>
  <c r="C2088" i="3"/>
  <c r="E2088" i="3" s="1"/>
  <c r="I2088" i="3" s="1"/>
  <c r="C2089" i="3"/>
  <c r="E2089" i="3" s="1"/>
  <c r="I2089" i="3" s="1"/>
  <c r="C2090" i="3"/>
  <c r="E2090" i="3" s="1"/>
  <c r="I2090" i="3" s="1"/>
  <c r="C2091" i="3"/>
  <c r="E2091" i="3" s="1"/>
  <c r="I2091" i="3" s="1"/>
  <c r="C2092" i="3"/>
  <c r="E2092" i="3" s="1"/>
  <c r="I2092" i="3" s="1"/>
  <c r="C2093" i="3"/>
  <c r="E2093" i="3" s="1"/>
  <c r="I2093" i="3" s="1"/>
  <c r="C2094" i="3"/>
  <c r="E2094" i="3" s="1"/>
  <c r="I2094" i="3" s="1"/>
  <c r="C2095" i="3"/>
  <c r="E2095" i="3" s="1"/>
  <c r="I2095" i="3" s="1"/>
  <c r="C2096" i="3"/>
  <c r="E2096" i="3" s="1"/>
  <c r="I2096" i="3" s="1"/>
  <c r="C2097" i="3"/>
  <c r="E2097" i="3" s="1"/>
  <c r="I2097" i="3" s="1"/>
  <c r="C2098" i="3"/>
  <c r="E2098" i="3" s="1"/>
  <c r="I2098" i="3" s="1"/>
  <c r="C2099" i="3"/>
  <c r="E2099" i="3" s="1"/>
  <c r="I2099" i="3" s="1"/>
  <c r="C2100" i="3"/>
  <c r="E2100" i="3" s="1"/>
  <c r="I2100" i="3" s="1"/>
  <c r="C2101" i="3"/>
  <c r="E2101" i="3" s="1"/>
  <c r="I2101" i="3" s="1"/>
  <c r="C2102" i="3"/>
  <c r="E2102" i="3" s="1"/>
  <c r="I2102" i="3" s="1"/>
  <c r="C2103" i="3"/>
  <c r="E2103" i="3" s="1"/>
  <c r="I2103" i="3" s="1"/>
  <c r="C2104" i="3"/>
  <c r="E2104" i="3" s="1"/>
  <c r="I2104" i="3" s="1"/>
  <c r="C2105" i="3"/>
  <c r="E2105" i="3" s="1"/>
  <c r="I2105" i="3" s="1"/>
  <c r="C2106" i="3"/>
  <c r="E2106" i="3" s="1"/>
  <c r="I2106" i="3" s="1"/>
  <c r="C2107" i="3"/>
  <c r="E2107" i="3" s="1"/>
  <c r="I2107" i="3" s="1"/>
  <c r="C2108" i="3"/>
  <c r="E2108" i="3" s="1"/>
  <c r="I2108" i="3" s="1"/>
  <c r="C2109" i="3"/>
  <c r="E2109" i="3" s="1"/>
  <c r="I2109" i="3" s="1"/>
  <c r="C2110" i="3"/>
  <c r="E2110" i="3" s="1"/>
  <c r="I2110" i="3" s="1"/>
  <c r="C2111" i="3"/>
  <c r="E2111" i="3" s="1"/>
  <c r="I2111" i="3" s="1"/>
  <c r="C2112" i="3"/>
  <c r="E2112" i="3" s="1"/>
  <c r="I2112" i="3" s="1"/>
  <c r="C2113" i="3"/>
  <c r="E2113" i="3" s="1"/>
  <c r="I2113" i="3" s="1"/>
  <c r="C2114" i="3"/>
  <c r="E2114" i="3" s="1"/>
  <c r="I2114" i="3" s="1"/>
  <c r="C2115" i="3"/>
  <c r="E2115" i="3" s="1"/>
  <c r="I2115" i="3" s="1"/>
  <c r="C2116" i="3"/>
  <c r="E2116" i="3" s="1"/>
  <c r="I2116" i="3" s="1"/>
  <c r="C2117" i="3"/>
  <c r="E2117" i="3" s="1"/>
  <c r="I2117" i="3" s="1"/>
  <c r="C2118" i="3"/>
  <c r="E2118" i="3" s="1"/>
  <c r="I2118" i="3" s="1"/>
  <c r="C2119" i="3"/>
  <c r="E2119" i="3" s="1"/>
  <c r="I2119" i="3" s="1"/>
  <c r="C2120" i="3"/>
  <c r="E2120" i="3" s="1"/>
  <c r="I2120" i="3" s="1"/>
  <c r="C2121" i="3"/>
  <c r="E2121" i="3" s="1"/>
  <c r="I2121" i="3" s="1"/>
  <c r="C2122" i="3"/>
  <c r="E2122" i="3" s="1"/>
  <c r="I2122" i="3" s="1"/>
  <c r="C2123" i="3"/>
  <c r="E2123" i="3" s="1"/>
  <c r="I2123" i="3" s="1"/>
  <c r="C2124" i="3"/>
  <c r="E2124" i="3" s="1"/>
  <c r="I2124" i="3" s="1"/>
  <c r="C2125" i="3"/>
  <c r="E2125" i="3" s="1"/>
  <c r="I2125" i="3" s="1"/>
  <c r="C2126" i="3"/>
  <c r="E2126" i="3" s="1"/>
  <c r="I2126" i="3" s="1"/>
  <c r="C2127" i="3"/>
  <c r="E2127" i="3" s="1"/>
  <c r="I2127" i="3" s="1"/>
  <c r="C2128" i="3"/>
  <c r="E2128" i="3" s="1"/>
  <c r="I2128" i="3" s="1"/>
  <c r="C2129" i="3"/>
  <c r="E2129" i="3" s="1"/>
  <c r="I2129" i="3" s="1"/>
  <c r="C2130" i="3"/>
  <c r="E2130" i="3" s="1"/>
  <c r="I2130" i="3" s="1"/>
  <c r="C2131" i="3"/>
  <c r="E2131" i="3" s="1"/>
  <c r="I2131" i="3" s="1"/>
  <c r="C2132" i="3"/>
  <c r="E2132" i="3" s="1"/>
  <c r="I2132" i="3" s="1"/>
  <c r="C2133" i="3"/>
  <c r="E2133" i="3" s="1"/>
  <c r="I2133" i="3" s="1"/>
  <c r="C2134" i="3"/>
  <c r="E2134" i="3" s="1"/>
  <c r="I2134" i="3" s="1"/>
  <c r="C2135" i="3"/>
  <c r="E2135" i="3" s="1"/>
  <c r="I2135" i="3" s="1"/>
  <c r="C2136" i="3"/>
  <c r="E2136" i="3" s="1"/>
  <c r="I2136" i="3" s="1"/>
  <c r="C2137" i="3"/>
  <c r="E2137" i="3" s="1"/>
  <c r="I2137" i="3" s="1"/>
  <c r="C2138" i="3"/>
  <c r="E2138" i="3" s="1"/>
  <c r="I2138" i="3" s="1"/>
  <c r="C2139" i="3"/>
  <c r="E2139" i="3" s="1"/>
  <c r="I2139" i="3" s="1"/>
  <c r="C2140" i="3"/>
  <c r="E2140" i="3" s="1"/>
  <c r="I2140" i="3" s="1"/>
  <c r="C2141" i="3"/>
  <c r="E2141" i="3" s="1"/>
  <c r="I2141" i="3" s="1"/>
  <c r="C2142" i="3"/>
  <c r="E2142" i="3" s="1"/>
  <c r="I2142" i="3" s="1"/>
  <c r="C2143" i="3"/>
  <c r="E2143" i="3" s="1"/>
  <c r="I2143" i="3" s="1"/>
  <c r="C2144" i="3"/>
  <c r="E2144" i="3" s="1"/>
  <c r="I2144" i="3" s="1"/>
  <c r="C2145" i="3"/>
  <c r="E2145" i="3" s="1"/>
  <c r="I2145" i="3" s="1"/>
  <c r="C2146" i="3"/>
  <c r="E2146" i="3" s="1"/>
  <c r="I2146" i="3" s="1"/>
  <c r="C2147" i="3"/>
  <c r="E2147" i="3" s="1"/>
  <c r="I2147" i="3" s="1"/>
  <c r="C2148" i="3"/>
  <c r="E2148" i="3" s="1"/>
  <c r="I2148" i="3" s="1"/>
  <c r="C2149" i="3"/>
  <c r="E2149" i="3" s="1"/>
  <c r="I2149" i="3" s="1"/>
  <c r="C2150" i="3"/>
  <c r="E2150" i="3" s="1"/>
  <c r="I2150" i="3" s="1"/>
  <c r="C2151" i="3"/>
  <c r="E2151" i="3" s="1"/>
  <c r="I2151" i="3" s="1"/>
  <c r="C2152" i="3"/>
  <c r="E2152" i="3" s="1"/>
  <c r="I2152" i="3" s="1"/>
  <c r="C2153" i="3"/>
  <c r="E2153" i="3" s="1"/>
  <c r="I2153" i="3" s="1"/>
  <c r="C2154" i="3"/>
  <c r="E2154" i="3" s="1"/>
  <c r="I2154" i="3" s="1"/>
  <c r="C2155" i="3"/>
  <c r="E2155" i="3" s="1"/>
  <c r="I2155" i="3" s="1"/>
  <c r="C2156" i="3"/>
  <c r="E2156" i="3" s="1"/>
  <c r="I2156" i="3" s="1"/>
  <c r="C2157" i="3"/>
  <c r="E2157" i="3" s="1"/>
  <c r="I2157" i="3" s="1"/>
  <c r="C2158" i="3"/>
  <c r="E2158" i="3" s="1"/>
  <c r="I2158" i="3" s="1"/>
  <c r="C2159" i="3"/>
  <c r="E2159" i="3" s="1"/>
  <c r="I2159" i="3" s="1"/>
  <c r="C2160" i="3"/>
  <c r="E2160" i="3" s="1"/>
  <c r="I2160" i="3" s="1"/>
  <c r="C2161" i="3"/>
  <c r="E2161" i="3" s="1"/>
  <c r="I2161" i="3" s="1"/>
  <c r="C2162" i="3"/>
  <c r="E2162" i="3" s="1"/>
  <c r="I2162" i="3" s="1"/>
  <c r="C2163" i="3"/>
  <c r="E2163" i="3" s="1"/>
  <c r="I2163" i="3" s="1"/>
  <c r="C2164" i="3"/>
  <c r="E2164" i="3" s="1"/>
  <c r="I2164" i="3" s="1"/>
  <c r="C2165" i="3"/>
  <c r="E2165" i="3" s="1"/>
  <c r="I2165" i="3" s="1"/>
  <c r="C2166" i="3"/>
  <c r="E2166" i="3" s="1"/>
  <c r="I2166" i="3" s="1"/>
  <c r="C2167" i="3"/>
  <c r="E2167" i="3" s="1"/>
  <c r="I2167" i="3" s="1"/>
  <c r="C2168" i="3"/>
  <c r="E2168" i="3" s="1"/>
  <c r="I2168" i="3" s="1"/>
  <c r="C2169" i="3"/>
  <c r="E2169" i="3" s="1"/>
  <c r="I2169" i="3" s="1"/>
  <c r="C2170" i="3"/>
  <c r="E2170" i="3" s="1"/>
  <c r="I2170" i="3" s="1"/>
  <c r="C2171" i="3"/>
  <c r="E2171" i="3" s="1"/>
  <c r="I2171" i="3" s="1"/>
  <c r="C2172" i="3"/>
  <c r="E2172" i="3" s="1"/>
  <c r="I2172" i="3" s="1"/>
  <c r="C2173" i="3"/>
  <c r="E2173" i="3" s="1"/>
  <c r="I2173" i="3" s="1"/>
  <c r="C2174" i="3"/>
  <c r="E2174" i="3" s="1"/>
  <c r="I2174" i="3" s="1"/>
  <c r="C2175" i="3"/>
  <c r="E2175" i="3" s="1"/>
  <c r="I2175" i="3" s="1"/>
  <c r="C2176" i="3"/>
  <c r="E2176" i="3" s="1"/>
  <c r="I2176" i="3" s="1"/>
  <c r="C2177" i="3"/>
  <c r="E2177" i="3" s="1"/>
  <c r="I2177" i="3" s="1"/>
  <c r="C2178" i="3"/>
  <c r="E2178" i="3" s="1"/>
  <c r="I2178" i="3" s="1"/>
  <c r="C2179" i="3"/>
  <c r="E2179" i="3" s="1"/>
  <c r="I2179" i="3" s="1"/>
  <c r="C2180" i="3"/>
  <c r="E2180" i="3" s="1"/>
  <c r="I2180" i="3" s="1"/>
  <c r="C2181" i="3"/>
  <c r="E2181" i="3" s="1"/>
  <c r="I2181" i="3" s="1"/>
  <c r="C2182" i="3"/>
  <c r="E2182" i="3" s="1"/>
  <c r="I2182" i="3" s="1"/>
  <c r="C2183" i="3"/>
  <c r="E2183" i="3" s="1"/>
  <c r="I2183" i="3" s="1"/>
  <c r="C2184" i="3"/>
  <c r="E2184" i="3" s="1"/>
  <c r="I2184" i="3" s="1"/>
  <c r="C2185" i="3"/>
  <c r="E2185" i="3" s="1"/>
  <c r="I2185" i="3" s="1"/>
  <c r="C2186" i="3"/>
  <c r="E2186" i="3" s="1"/>
  <c r="I2186" i="3" s="1"/>
  <c r="C2187" i="3"/>
  <c r="E2187" i="3" s="1"/>
  <c r="I2187" i="3" s="1"/>
  <c r="C2188" i="3"/>
  <c r="E2188" i="3" s="1"/>
  <c r="I2188" i="3" s="1"/>
  <c r="C2189" i="3"/>
  <c r="E2189" i="3" s="1"/>
  <c r="I2189" i="3" s="1"/>
  <c r="C2190" i="3"/>
  <c r="E2190" i="3" s="1"/>
  <c r="I2190" i="3" s="1"/>
  <c r="C2191" i="3"/>
  <c r="E2191" i="3" s="1"/>
  <c r="I2191" i="3" s="1"/>
  <c r="C2192" i="3"/>
  <c r="E2192" i="3" s="1"/>
  <c r="I2192" i="3" s="1"/>
  <c r="C2193" i="3"/>
  <c r="E2193" i="3" s="1"/>
  <c r="I2193" i="3" s="1"/>
  <c r="C2194" i="3"/>
  <c r="E2194" i="3" s="1"/>
  <c r="I2194" i="3" s="1"/>
  <c r="C2195" i="3"/>
  <c r="E2195" i="3" s="1"/>
  <c r="I2195" i="3" s="1"/>
  <c r="C2196" i="3"/>
  <c r="E2196" i="3" s="1"/>
  <c r="I2196" i="3" s="1"/>
  <c r="C2197" i="3"/>
  <c r="E2197" i="3" s="1"/>
  <c r="I2197" i="3" s="1"/>
  <c r="C2198" i="3"/>
  <c r="E2198" i="3" s="1"/>
  <c r="I2198" i="3" s="1"/>
  <c r="C2199" i="3"/>
  <c r="E2199" i="3" s="1"/>
  <c r="I2199" i="3" s="1"/>
  <c r="C2200" i="3"/>
  <c r="E2200" i="3" s="1"/>
  <c r="I2200" i="3" s="1"/>
  <c r="C2201" i="3"/>
  <c r="E2201" i="3" s="1"/>
  <c r="I2201" i="3" s="1"/>
  <c r="C2202" i="3"/>
  <c r="E2202" i="3" s="1"/>
  <c r="I2202" i="3" s="1"/>
  <c r="C2203" i="3"/>
  <c r="E2203" i="3" s="1"/>
  <c r="I2203" i="3" s="1"/>
  <c r="C2204" i="3"/>
  <c r="E2204" i="3" s="1"/>
  <c r="I2204" i="3" s="1"/>
  <c r="C2205" i="3"/>
  <c r="E2205" i="3" s="1"/>
  <c r="I2205" i="3" s="1"/>
  <c r="C2206" i="3"/>
  <c r="E2206" i="3" s="1"/>
  <c r="I2206" i="3" s="1"/>
  <c r="C2207" i="3"/>
  <c r="E2207" i="3" s="1"/>
  <c r="I2207" i="3" s="1"/>
  <c r="C2208" i="3"/>
  <c r="E2208" i="3" s="1"/>
  <c r="I2208" i="3" s="1"/>
  <c r="C2209" i="3"/>
  <c r="E2209" i="3" s="1"/>
  <c r="I2209" i="3" s="1"/>
  <c r="C2210" i="3"/>
  <c r="E2210" i="3" s="1"/>
  <c r="I2210" i="3" s="1"/>
  <c r="C2211" i="3"/>
  <c r="E2211" i="3" s="1"/>
  <c r="I2211" i="3" s="1"/>
  <c r="C2212" i="3"/>
  <c r="E2212" i="3" s="1"/>
  <c r="I2212" i="3" s="1"/>
  <c r="C2213" i="3"/>
  <c r="E2213" i="3" s="1"/>
  <c r="I2213" i="3" s="1"/>
  <c r="C2214" i="3"/>
  <c r="E2214" i="3" s="1"/>
  <c r="I2214" i="3" s="1"/>
  <c r="C2215" i="3"/>
  <c r="E2215" i="3" s="1"/>
  <c r="I2215" i="3" s="1"/>
  <c r="C2216" i="3"/>
  <c r="E2216" i="3" s="1"/>
  <c r="I2216" i="3" s="1"/>
  <c r="C2217" i="3"/>
  <c r="E2217" i="3" s="1"/>
  <c r="I2217" i="3" s="1"/>
  <c r="C2218" i="3"/>
  <c r="E2218" i="3" s="1"/>
  <c r="I2218" i="3" s="1"/>
  <c r="C2219" i="3"/>
  <c r="E2219" i="3" s="1"/>
  <c r="I2219" i="3" s="1"/>
  <c r="C2220" i="3"/>
  <c r="E2220" i="3" s="1"/>
  <c r="I2220" i="3" s="1"/>
  <c r="C2221" i="3"/>
  <c r="E2221" i="3" s="1"/>
  <c r="I2221" i="3" s="1"/>
  <c r="C2222" i="3"/>
  <c r="E2222" i="3" s="1"/>
  <c r="I2222" i="3" s="1"/>
  <c r="C2223" i="3"/>
  <c r="E2223" i="3" s="1"/>
  <c r="I2223" i="3" s="1"/>
  <c r="C2224" i="3"/>
  <c r="E2224" i="3" s="1"/>
  <c r="I2224" i="3" s="1"/>
  <c r="C2225" i="3"/>
  <c r="E2225" i="3" s="1"/>
  <c r="I2225" i="3" s="1"/>
  <c r="C2226" i="3"/>
  <c r="E2226" i="3" s="1"/>
  <c r="I2226" i="3" s="1"/>
  <c r="C2227" i="3"/>
  <c r="E2227" i="3" s="1"/>
  <c r="I2227" i="3" s="1"/>
  <c r="C2228" i="3"/>
  <c r="E2228" i="3" s="1"/>
  <c r="I2228" i="3" s="1"/>
  <c r="C2229" i="3"/>
  <c r="E2229" i="3" s="1"/>
  <c r="I2229" i="3" s="1"/>
  <c r="C2230" i="3"/>
  <c r="E2230" i="3" s="1"/>
  <c r="I2230" i="3" s="1"/>
  <c r="C2231" i="3"/>
  <c r="E2231" i="3" s="1"/>
  <c r="I2231" i="3" s="1"/>
  <c r="C2232" i="3"/>
  <c r="E2232" i="3" s="1"/>
  <c r="I2232" i="3" s="1"/>
  <c r="C2233" i="3"/>
  <c r="E2233" i="3" s="1"/>
  <c r="I2233" i="3" s="1"/>
  <c r="C2234" i="3"/>
  <c r="E2234" i="3" s="1"/>
  <c r="I2234" i="3" s="1"/>
  <c r="C2235" i="3"/>
  <c r="E2235" i="3" s="1"/>
  <c r="I2235" i="3" s="1"/>
  <c r="C2236" i="3"/>
  <c r="E2236" i="3" s="1"/>
  <c r="I2236" i="3" s="1"/>
  <c r="C2237" i="3"/>
  <c r="E2237" i="3" s="1"/>
  <c r="I2237" i="3" s="1"/>
  <c r="C2238" i="3"/>
  <c r="E2238" i="3" s="1"/>
  <c r="I2238" i="3" s="1"/>
  <c r="C2239" i="3"/>
  <c r="E2239" i="3" s="1"/>
  <c r="I2239" i="3" s="1"/>
  <c r="C2240" i="3"/>
  <c r="E2240" i="3" s="1"/>
  <c r="I2240" i="3" s="1"/>
  <c r="C2241" i="3"/>
  <c r="E2241" i="3" s="1"/>
  <c r="I2241" i="3" s="1"/>
  <c r="C2242" i="3"/>
  <c r="E2242" i="3" s="1"/>
  <c r="I2242" i="3" s="1"/>
  <c r="C2243" i="3"/>
  <c r="E2243" i="3" s="1"/>
  <c r="I2243" i="3" s="1"/>
  <c r="C2244" i="3"/>
  <c r="E2244" i="3" s="1"/>
  <c r="I2244" i="3" s="1"/>
  <c r="C2245" i="3"/>
  <c r="E2245" i="3" s="1"/>
  <c r="I2245" i="3" s="1"/>
  <c r="C2246" i="3"/>
  <c r="E2246" i="3" s="1"/>
  <c r="I2246" i="3" s="1"/>
  <c r="C2247" i="3"/>
  <c r="E2247" i="3" s="1"/>
  <c r="I2247" i="3" s="1"/>
  <c r="C2248" i="3"/>
  <c r="E2248" i="3" s="1"/>
  <c r="I2248" i="3" s="1"/>
  <c r="C2249" i="3"/>
  <c r="E2249" i="3" s="1"/>
  <c r="I2249" i="3" s="1"/>
  <c r="C2250" i="3"/>
  <c r="E2250" i="3" s="1"/>
  <c r="I2250" i="3" s="1"/>
  <c r="C2251" i="3"/>
  <c r="E2251" i="3" s="1"/>
  <c r="I2251" i="3" s="1"/>
  <c r="C2252" i="3"/>
  <c r="E2252" i="3" s="1"/>
  <c r="I2252" i="3" s="1"/>
  <c r="C2253" i="3"/>
  <c r="E2253" i="3" s="1"/>
  <c r="I2253" i="3" s="1"/>
  <c r="C2254" i="3"/>
  <c r="E2254" i="3" s="1"/>
  <c r="I2254" i="3" s="1"/>
  <c r="C2255" i="3"/>
  <c r="E2255" i="3" s="1"/>
  <c r="I2255" i="3" s="1"/>
  <c r="C2256" i="3"/>
  <c r="E2256" i="3" s="1"/>
  <c r="I2256" i="3" s="1"/>
  <c r="C2257" i="3"/>
  <c r="E2257" i="3" s="1"/>
  <c r="I2257" i="3" s="1"/>
  <c r="C2258" i="3"/>
  <c r="E2258" i="3" s="1"/>
  <c r="I2258" i="3" s="1"/>
  <c r="C2259" i="3"/>
  <c r="E2259" i="3" s="1"/>
  <c r="I2259" i="3" s="1"/>
  <c r="C2260" i="3"/>
  <c r="E2260" i="3" s="1"/>
  <c r="I2260" i="3" s="1"/>
  <c r="C2261" i="3"/>
  <c r="E2261" i="3" s="1"/>
  <c r="I2261" i="3" s="1"/>
  <c r="C2262" i="3"/>
  <c r="E2262" i="3" s="1"/>
  <c r="I2262" i="3" s="1"/>
  <c r="C2263" i="3"/>
  <c r="E2263" i="3" s="1"/>
  <c r="I2263" i="3" s="1"/>
  <c r="C2264" i="3"/>
  <c r="E2264" i="3" s="1"/>
  <c r="I2264" i="3" s="1"/>
  <c r="C2265" i="3"/>
  <c r="E2265" i="3" s="1"/>
  <c r="I2265" i="3" s="1"/>
  <c r="C2266" i="3"/>
  <c r="E2266" i="3" s="1"/>
  <c r="I2266" i="3" s="1"/>
  <c r="C2267" i="3"/>
  <c r="E2267" i="3" s="1"/>
  <c r="I2267" i="3" s="1"/>
  <c r="C2268" i="3"/>
  <c r="E2268" i="3" s="1"/>
  <c r="I2268" i="3" s="1"/>
  <c r="C2269" i="3"/>
  <c r="E2269" i="3" s="1"/>
  <c r="I2269" i="3" s="1"/>
  <c r="C2270" i="3"/>
  <c r="E2270" i="3" s="1"/>
  <c r="I2270" i="3" s="1"/>
  <c r="C2271" i="3"/>
  <c r="E2271" i="3" s="1"/>
  <c r="I2271" i="3" s="1"/>
  <c r="C2272" i="3"/>
  <c r="E2272" i="3" s="1"/>
  <c r="I2272" i="3" s="1"/>
  <c r="C2273" i="3"/>
  <c r="E2273" i="3" s="1"/>
  <c r="I2273" i="3" s="1"/>
  <c r="C2274" i="3"/>
  <c r="E2274" i="3" s="1"/>
  <c r="I2274" i="3" s="1"/>
  <c r="C2275" i="3"/>
  <c r="E2275" i="3" s="1"/>
  <c r="I2275" i="3" s="1"/>
  <c r="C2276" i="3"/>
  <c r="E2276" i="3" s="1"/>
  <c r="I2276" i="3" s="1"/>
  <c r="C2277" i="3"/>
  <c r="E2277" i="3" s="1"/>
  <c r="I2277" i="3" s="1"/>
  <c r="C2278" i="3"/>
  <c r="E2278" i="3" s="1"/>
  <c r="I2278" i="3" s="1"/>
  <c r="C2279" i="3"/>
  <c r="E2279" i="3" s="1"/>
  <c r="I2279" i="3" s="1"/>
  <c r="C2280" i="3"/>
  <c r="E2280" i="3" s="1"/>
  <c r="I2280" i="3" s="1"/>
  <c r="C2281" i="3"/>
  <c r="E2281" i="3" s="1"/>
  <c r="I2281" i="3" s="1"/>
  <c r="C2282" i="3"/>
  <c r="E2282" i="3" s="1"/>
  <c r="I2282" i="3" s="1"/>
  <c r="C2283" i="3"/>
  <c r="E2283" i="3" s="1"/>
  <c r="I2283" i="3" s="1"/>
  <c r="C2284" i="3"/>
  <c r="E2284" i="3" s="1"/>
  <c r="I2284" i="3" s="1"/>
  <c r="C2285" i="3"/>
  <c r="E2285" i="3" s="1"/>
  <c r="I2285" i="3" s="1"/>
  <c r="C2286" i="3"/>
  <c r="E2286" i="3" s="1"/>
  <c r="I2286" i="3" s="1"/>
  <c r="C2287" i="3"/>
  <c r="E2287" i="3" s="1"/>
  <c r="I2287" i="3" s="1"/>
  <c r="C2288" i="3"/>
  <c r="E2288" i="3" s="1"/>
  <c r="I2288" i="3" s="1"/>
  <c r="C2289" i="3"/>
  <c r="E2289" i="3" s="1"/>
  <c r="I2289" i="3" s="1"/>
  <c r="C2290" i="3"/>
  <c r="E2290" i="3" s="1"/>
  <c r="I2290" i="3" s="1"/>
  <c r="C2291" i="3"/>
  <c r="E2291" i="3" s="1"/>
  <c r="I2291" i="3" s="1"/>
  <c r="C2292" i="3"/>
  <c r="E2292" i="3" s="1"/>
  <c r="I2292" i="3" s="1"/>
  <c r="C2293" i="3"/>
  <c r="E2293" i="3" s="1"/>
  <c r="I2293" i="3" s="1"/>
  <c r="C2294" i="3"/>
  <c r="E2294" i="3" s="1"/>
  <c r="I2294" i="3" s="1"/>
  <c r="C2295" i="3"/>
  <c r="E2295" i="3" s="1"/>
  <c r="I2295" i="3" s="1"/>
  <c r="C2296" i="3"/>
  <c r="E2296" i="3" s="1"/>
  <c r="I2296" i="3" s="1"/>
  <c r="C2297" i="3"/>
  <c r="E2297" i="3" s="1"/>
  <c r="I2297" i="3" s="1"/>
  <c r="C2298" i="3"/>
  <c r="E2298" i="3" s="1"/>
  <c r="I2298" i="3" s="1"/>
  <c r="C2299" i="3"/>
  <c r="E2299" i="3" s="1"/>
  <c r="I2299" i="3" s="1"/>
  <c r="C2300" i="3"/>
  <c r="E2300" i="3" s="1"/>
  <c r="I2300" i="3" s="1"/>
  <c r="C2301" i="3"/>
  <c r="E2301" i="3" s="1"/>
  <c r="I2301" i="3" s="1"/>
  <c r="C2302" i="3"/>
  <c r="E2302" i="3" s="1"/>
  <c r="I2302" i="3" s="1"/>
  <c r="C2303" i="3"/>
  <c r="E2303" i="3" s="1"/>
  <c r="I2303" i="3" s="1"/>
  <c r="C2304" i="3"/>
  <c r="E2304" i="3" s="1"/>
  <c r="I2304" i="3" s="1"/>
  <c r="C2305" i="3"/>
  <c r="E2305" i="3" s="1"/>
  <c r="I2305" i="3" s="1"/>
  <c r="C2306" i="3"/>
  <c r="E2306" i="3" s="1"/>
  <c r="I2306" i="3" s="1"/>
  <c r="C2307" i="3"/>
  <c r="E2307" i="3" s="1"/>
  <c r="I2307" i="3" s="1"/>
  <c r="C2308" i="3"/>
  <c r="E2308" i="3" s="1"/>
  <c r="I2308" i="3" s="1"/>
  <c r="C2309" i="3"/>
  <c r="E2309" i="3" s="1"/>
  <c r="I2309" i="3" s="1"/>
  <c r="C2310" i="3"/>
  <c r="E2310" i="3" s="1"/>
  <c r="I2310" i="3" s="1"/>
  <c r="C2311" i="3"/>
  <c r="E2311" i="3" s="1"/>
  <c r="I2311" i="3" s="1"/>
  <c r="C2312" i="3"/>
  <c r="E2312" i="3" s="1"/>
  <c r="I2312" i="3" s="1"/>
  <c r="C2313" i="3"/>
  <c r="E2313" i="3" s="1"/>
  <c r="I2313" i="3" s="1"/>
  <c r="C2314" i="3"/>
  <c r="E2314" i="3" s="1"/>
  <c r="I2314" i="3" s="1"/>
  <c r="C2315" i="3"/>
  <c r="E2315" i="3" s="1"/>
  <c r="I2315" i="3" s="1"/>
  <c r="C2316" i="3"/>
  <c r="E2316" i="3" s="1"/>
  <c r="I2316" i="3" s="1"/>
  <c r="C2317" i="3"/>
  <c r="E2317" i="3" s="1"/>
  <c r="I2317" i="3" s="1"/>
  <c r="C2318" i="3"/>
  <c r="E2318" i="3" s="1"/>
  <c r="I2318" i="3" s="1"/>
  <c r="C2319" i="3"/>
  <c r="E2319" i="3" s="1"/>
  <c r="I2319" i="3" s="1"/>
  <c r="C2320" i="3"/>
  <c r="E2320" i="3" s="1"/>
  <c r="I2320" i="3" s="1"/>
  <c r="C2321" i="3"/>
  <c r="E2321" i="3" s="1"/>
  <c r="I2321" i="3" s="1"/>
  <c r="C2322" i="3"/>
  <c r="E2322" i="3" s="1"/>
  <c r="I2322" i="3" s="1"/>
  <c r="C2323" i="3"/>
  <c r="E2323" i="3" s="1"/>
  <c r="I2323" i="3" s="1"/>
  <c r="C2324" i="3"/>
  <c r="E2324" i="3" s="1"/>
  <c r="I2324" i="3" s="1"/>
  <c r="C2325" i="3"/>
  <c r="E2325" i="3" s="1"/>
  <c r="I2325" i="3" s="1"/>
  <c r="C2326" i="3"/>
  <c r="E2326" i="3" s="1"/>
  <c r="I2326" i="3" s="1"/>
  <c r="C2327" i="3"/>
  <c r="E2327" i="3" s="1"/>
  <c r="I2327" i="3" s="1"/>
  <c r="C2328" i="3"/>
  <c r="E2328" i="3" s="1"/>
  <c r="I2328" i="3" s="1"/>
  <c r="C2329" i="3"/>
  <c r="E2329" i="3" s="1"/>
  <c r="I2329" i="3" s="1"/>
  <c r="C2330" i="3"/>
  <c r="E2330" i="3" s="1"/>
  <c r="I2330" i="3" s="1"/>
  <c r="C2331" i="3"/>
  <c r="E2331" i="3" s="1"/>
  <c r="I2331" i="3" s="1"/>
  <c r="C2332" i="3"/>
  <c r="E2332" i="3" s="1"/>
  <c r="I2332" i="3" s="1"/>
  <c r="C2333" i="3"/>
  <c r="E2333" i="3" s="1"/>
  <c r="I2333" i="3" s="1"/>
  <c r="C2334" i="3"/>
  <c r="E2334" i="3" s="1"/>
  <c r="I2334" i="3" s="1"/>
  <c r="C2335" i="3"/>
  <c r="E2335" i="3" s="1"/>
  <c r="I2335" i="3" s="1"/>
  <c r="C2336" i="3"/>
  <c r="E2336" i="3" s="1"/>
  <c r="I2336" i="3" s="1"/>
  <c r="C2337" i="3"/>
  <c r="E2337" i="3" s="1"/>
  <c r="I2337" i="3" s="1"/>
  <c r="C2338" i="3"/>
  <c r="E2338" i="3" s="1"/>
  <c r="I2338" i="3" s="1"/>
  <c r="C2339" i="3"/>
  <c r="E2339" i="3" s="1"/>
  <c r="I2339" i="3" s="1"/>
  <c r="C2340" i="3"/>
  <c r="E2340" i="3" s="1"/>
  <c r="I2340" i="3" s="1"/>
  <c r="C2341" i="3"/>
  <c r="E2341" i="3" s="1"/>
  <c r="I2341" i="3" s="1"/>
  <c r="C2342" i="3"/>
  <c r="E2342" i="3" s="1"/>
  <c r="I2342" i="3" s="1"/>
  <c r="C2343" i="3"/>
  <c r="E2343" i="3" s="1"/>
  <c r="I2343" i="3" s="1"/>
  <c r="C2344" i="3"/>
  <c r="E2344" i="3" s="1"/>
  <c r="I2344" i="3" s="1"/>
  <c r="C2345" i="3"/>
  <c r="E2345" i="3" s="1"/>
  <c r="I2345" i="3" s="1"/>
  <c r="C2346" i="3"/>
  <c r="E2346" i="3" s="1"/>
  <c r="I2346" i="3" s="1"/>
  <c r="C2347" i="3"/>
  <c r="E2347" i="3" s="1"/>
  <c r="I2347" i="3" s="1"/>
  <c r="C2348" i="3"/>
  <c r="E2348" i="3" s="1"/>
  <c r="I2348" i="3" s="1"/>
  <c r="C2349" i="3"/>
  <c r="E2349" i="3" s="1"/>
  <c r="I2349" i="3" s="1"/>
  <c r="C2350" i="3"/>
  <c r="E2350" i="3" s="1"/>
  <c r="I2350" i="3" s="1"/>
  <c r="C2351" i="3"/>
  <c r="E2351" i="3" s="1"/>
  <c r="I2351" i="3" s="1"/>
  <c r="C2352" i="3"/>
  <c r="E2352" i="3" s="1"/>
  <c r="I2352" i="3" s="1"/>
  <c r="C2353" i="3"/>
  <c r="E2353" i="3" s="1"/>
  <c r="I2353" i="3" s="1"/>
  <c r="C2354" i="3"/>
  <c r="E2354" i="3" s="1"/>
  <c r="I2354" i="3" s="1"/>
  <c r="C2355" i="3"/>
  <c r="E2355" i="3" s="1"/>
  <c r="I2355" i="3" s="1"/>
  <c r="C2356" i="3"/>
  <c r="E2356" i="3" s="1"/>
  <c r="I2356" i="3" s="1"/>
  <c r="C2357" i="3"/>
  <c r="E2357" i="3" s="1"/>
  <c r="I2357" i="3" s="1"/>
  <c r="C2358" i="3"/>
  <c r="E2358" i="3" s="1"/>
  <c r="I2358" i="3" s="1"/>
  <c r="C2359" i="3"/>
  <c r="E2359" i="3" s="1"/>
  <c r="I2359" i="3" s="1"/>
  <c r="C2360" i="3"/>
  <c r="E2360" i="3" s="1"/>
  <c r="I2360" i="3" s="1"/>
  <c r="C2361" i="3"/>
  <c r="E2361" i="3" s="1"/>
  <c r="I2361" i="3" s="1"/>
  <c r="C2362" i="3"/>
  <c r="E2362" i="3" s="1"/>
  <c r="I2362" i="3" s="1"/>
  <c r="C2363" i="3"/>
  <c r="E2363" i="3" s="1"/>
  <c r="I2363" i="3" s="1"/>
  <c r="C2364" i="3"/>
  <c r="E2364" i="3" s="1"/>
  <c r="I2364" i="3" s="1"/>
  <c r="C2365" i="3"/>
  <c r="E2365" i="3" s="1"/>
  <c r="I2365" i="3" s="1"/>
  <c r="C2366" i="3"/>
  <c r="E2366" i="3" s="1"/>
  <c r="I2366" i="3" s="1"/>
  <c r="C2367" i="3"/>
  <c r="E2367" i="3" s="1"/>
  <c r="I2367" i="3" s="1"/>
  <c r="C2368" i="3"/>
  <c r="E2368" i="3" s="1"/>
  <c r="I2368" i="3" s="1"/>
  <c r="C2369" i="3"/>
  <c r="E2369" i="3" s="1"/>
  <c r="I2369" i="3" s="1"/>
  <c r="C2370" i="3"/>
  <c r="E2370" i="3" s="1"/>
  <c r="I2370" i="3" s="1"/>
  <c r="C2371" i="3"/>
  <c r="E2371" i="3" s="1"/>
  <c r="I2371" i="3" s="1"/>
  <c r="C2372" i="3"/>
  <c r="E2372" i="3" s="1"/>
  <c r="I2372" i="3" s="1"/>
  <c r="C2373" i="3"/>
  <c r="E2373" i="3" s="1"/>
  <c r="I2373" i="3" s="1"/>
  <c r="C2374" i="3"/>
  <c r="E2374" i="3" s="1"/>
  <c r="I2374" i="3" s="1"/>
  <c r="C2375" i="3"/>
  <c r="E2375" i="3" s="1"/>
  <c r="I2375" i="3" s="1"/>
  <c r="C2376" i="3"/>
  <c r="E2376" i="3" s="1"/>
  <c r="I2376" i="3" s="1"/>
  <c r="C2377" i="3"/>
  <c r="E2377" i="3" s="1"/>
  <c r="I2377" i="3" s="1"/>
  <c r="C2378" i="3"/>
  <c r="E2378" i="3" s="1"/>
  <c r="I2378" i="3" s="1"/>
  <c r="C2379" i="3"/>
  <c r="E2379" i="3" s="1"/>
  <c r="I2379" i="3" s="1"/>
  <c r="C2380" i="3"/>
  <c r="E2380" i="3" s="1"/>
  <c r="I2380" i="3" s="1"/>
  <c r="C2381" i="3"/>
  <c r="E2381" i="3" s="1"/>
  <c r="I2381" i="3" s="1"/>
  <c r="C2382" i="3"/>
  <c r="E2382" i="3" s="1"/>
  <c r="I2382" i="3" s="1"/>
  <c r="C2383" i="3"/>
  <c r="E2383" i="3" s="1"/>
  <c r="I2383" i="3" s="1"/>
  <c r="C2384" i="3"/>
  <c r="E2384" i="3" s="1"/>
  <c r="I2384" i="3" s="1"/>
  <c r="C2385" i="3"/>
  <c r="E2385" i="3" s="1"/>
  <c r="I2385" i="3" s="1"/>
  <c r="C2386" i="3"/>
  <c r="E2386" i="3" s="1"/>
  <c r="I2386" i="3" s="1"/>
  <c r="C2387" i="3"/>
  <c r="E2387" i="3" s="1"/>
  <c r="I2387" i="3" s="1"/>
  <c r="C2388" i="3"/>
  <c r="E2388" i="3" s="1"/>
  <c r="I2388" i="3" s="1"/>
  <c r="C2389" i="3"/>
  <c r="E2389" i="3" s="1"/>
  <c r="I2389" i="3" s="1"/>
  <c r="C2390" i="3"/>
  <c r="E2390" i="3" s="1"/>
  <c r="I2390" i="3" s="1"/>
  <c r="C2391" i="3"/>
  <c r="E2391" i="3" s="1"/>
  <c r="I2391" i="3" s="1"/>
  <c r="C2392" i="3"/>
  <c r="E2392" i="3" s="1"/>
  <c r="I2392" i="3" s="1"/>
  <c r="C2393" i="3"/>
  <c r="E2393" i="3" s="1"/>
  <c r="I2393" i="3" s="1"/>
  <c r="C2394" i="3"/>
  <c r="E2394" i="3" s="1"/>
  <c r="I2394" i="3" s="1"/>
  <c r="C2395" i="3"/>
  <c r="E2395" i="3" s="1"/>
  <c r="I2395" i="3" s="1"/>
  <c r="C2396" i="3"/>
  <c r="E2396" i="3" s="1"/>
  <c r="I2396" i="3" s="1"/>
  <c r="C2397" i="3"/>
  <c r="E2397" i="3" s="1"/>
  <c r="I2397" i="3" s="1"/>
  <c r="C2398" i="3"/>
  <c r="E2398" i="3" s="1"/>
  <c r="I2398" i="3" s="1"/>
  <c r="C2399" i="3"/>
  <c r="E2399" i="3" s="1"/>
  <c r="I2399" i="3" s="1"/>
  <c r="C2400" i="3"/>
  <c r="E2400" i="3" s="1"/>
  <c r="I2400" i="3" s="1"/>
  <c r="C2401" i="3"/>
  <c r="E2401" i="3" s="1"/>
  <c r="I2401" i="3" s="1"/>
  <c r="C2402" i="3"/>
  <c r="E2402" i="3" s="1"/>
  <c r="I2402" i="3" s="1"/>
  <c r="C2403" i="3"/>
  <c r="E2403" i="3" s="1"/>
  <c r="I2403" i="3" s="1"/>
  <c r="C2404" i="3"/>
  <c r="E2404" i="3" s="1"/>
  <c r="I2404" i="3" s="1"/>
  <c r="C2405" i="3"/>
  <c r="E2405" i="3" s="1"/>
  <c r="I2405" i="3" s="1"/>
  <c r="C2406" i="3"/>
  <c r="E2406" i="3" s="1"/>
  <c r="I2406" i="3" s="1"/>
  <c r="C2407" i="3"/>
  <c r="E2407" i="3" s="1"/>
  <c r="I2407" i="3" s="1"/>
  <c r="C2408" i="3"/>
  <c r="E2408" i="3" s="1"/>
  <c r="I2408" i="3" s="1"/>
  <c r="C2409" i="3"/>
  <c r="E2409" i="3" s="1"/>
  <c r="I2409" i="3" s="1"/>
  <c r="C2410" i="3"/>
  <c r="E2410" i="3" s="1"/>
  <c r="I2410" i="3" s="1"/>
  <c r="C2411" i="3"/>
  <c r="E2411" i="3" s="1"/>
  <c r="I2411" i="3" s="1"/>
  <c r="C2412" i="3"/>
  <c r="E2412" i="3" s="1"/>
  <c r="I2412" i="3" s="1"/>
  <c r="C2413" i="3"/>
  <c r="E2413" i="3" s="1"/>
  <c r="I2413" i="3" s="1"/>
  <c r="C2414" i="3"/>
  <c r="E2414" i="3" s="1"/>
  <c r="I2414" i="3" s="1"/>
  <c r="C2415" i="3"/>
  <c r="E2415" i="3" s="1"/>
  <c r="I2415" i="3" s="1"/>
  <c r="C2416" i="3"/>
  <c r="E2416" i="3" s="1"/>
  <c r="I2416" i="3" s="1"/>
  <c r="C2417" i="3"/>
  <c r="E2417" i="3" s="1"/>
  <c r="I2417" i="3" s="1"/>
  <c r="C2418" i="3"/>
  <c r="E2418" i="3" s="1"/>
  <c r="I2418" i="3" s="1"/>
  <c r="C2419" i="3"/>
  <c r="E2419" i="3" s="1"/>
  <c r="I2419" i="3" s="1"/>
  <c r="C2420" i="3"/>
  <c r="E2420" i="3" s="1"/>
  <c r="I2420" i="3" s="1"/>
  <c r="C2421" i="3"/>
  <c r="E2421" i="3" s="1"/>
  <c r="I2421" i="3" s="1"/>
  <c r="C2422" i="3"/>
  <c r="E2422" i="3" s="1"/>
  <c r="I2422" i="3" s="1"/>
  <c r="C2423" i="3"/>
  <c r="E2423" i="3" s="1"/>
  <c r="I2423" i="3" s="1"/>
  <c r="C2424" i="3"/>
  <c r="E2424" i="3" s="1"/>
  <c r="I2424" i="3" s="1"/>
  <c r="C2425" i="3"/>
  <c r="E2425" i="3" s="1"/>
  <c r="I2425" i="3" s="1"/>
  <c r="C2426" i="3"/>
  <c r="E2426" i="3" s="1"/>
  <c r="I2426" i="3" s="1"/>
  <c r="C2427" i="3"/>
  <c r="E2427" i="3" s="1"/>
  <c r="I2427" i="3" s="1"/>
  <c r="C2428" i="3"/>
  <c r="E2428" i="3" s="1"/>
  <c r="I2428" i="3" s="1"/>
  <c r="C2429" i="3"/>
  <c r="E2429" i="3" s="1"/>
  <c r="I2429" i="3" s="1"/>
  <c r="C2430" i="3"/>
  <c r="E2430" i="3" s="1"/>
  <c r="I2430" i="3" s="1"/>
  <c r="C2431" i="3"/>
  <c r="E2431" i="3" s="1"/>
  <c r="I2431" i="3" s="1"/>
  <c r="C2432" i="3"/>
  <c r="E2432" i="3" s="1"/>
  <c r="I2432" i="3" s="1"/>
  <c r="C2433" i="3"/>
  <c r="E2433" i="3" s="1"/>
  <c r="I2433" i="3" s="1"/>
  <c r="C2434" i="3"/>
  <c r="E2434" i="3" s="1"/>
  <c r="I2434" i="3" s="1"/>
  <c r="C2435" i="3"/>
  <c r="E2435" i="3" s="1"/>
  <c r="I2435" i="3" s="1"/>
  <c r="C2436" i="3"/>
  <c r="E2436" i="3" s="1"/>
  <c r="I2436" i="3" s="1"/>
  <c r="C2437" i="3"/>
  <c r="E2437" i="3" s="1"/>
  <c r="I2437" i="3" s="1"/>
  <c r="C2438" i="3"/>
  <c r="E2438" i="3" s="1"/>
  <c r="I2438" i="3" s="1"/>
  <c r="C2439" i="3"/>
  <c r="E2439" i="3" s="1"/>
  <c r="I2439" i="3" s="1"/>
  <c r="C2440" i="3"/>
  <c r="E2440" i="3" s="1"/>
  <c r="I2440" i="3" s="1"/>
  <c r="C2441" i="3"/>
  <c r="E2441" i="3" s="1"/>
  <c r="I2441" i="3" s="1"/>
  <c r="C2442" i="3"/>
  <c r="E2442" i="3" s="1"/>
  <c r="I2442" i="3" s="1"/>
  <c r="C2443" i="3"/>
  <c r="E2443" i="3" s="1"/>
  <c r="I2443" i="3" s="1"/>
  <c r="C2444" i="3"/>
  <c r="E2444" i="3" s="1"/>
  <c r="I2444" i="3" s="1"/>
  <c r="C2445" i="3"/>
  <c r="E2445" i="3" s="1"/>
  <c r="I2445" i="3" s="1"/>
  <c r="C2446" i="3"/>
  <c r="E2446" i="3" s="1"/>
  <c r="I2446" i="3" s="1"/>
  <c r="C2447" i="3"/>
  <c r="E2447" i="3" s="1"/>
  <c r="I2447" i="3" s="1"/>
  <c r="C2448" i="3"/>
  <c r="E2448" i="3" s="1"/>
  <c r="I2448" i="3" s="1"/>
  <c r="C2449" i="3"/>
  <c r="E2449" i="3" s="1"/>
  <c r="I2449" i="3" s="1"/>
  <c r="C2450" i="3"/>
  <c r="E2450" i="3" s="1"/>
  <c r="I2450" i="3" s="1"/>
  <c r="C2451" i="3"/>
  <c r="E2451" i="3" s="1"/>
  <c r="I2451" i="3" s="1"/>
  <c r="C2452" i="3"/>
  <c r="E2452" i="3" s="1"/>
  <c r="I2452" i="3" s="1"/>
  <c r="C2453" i="3"/>
  <c r="E2453" i="3" s="1"/>
  <c r="I2453" i="3" s="1"/>
  <c r="C2454" i="3"/>
  <c r="E2454" i="3" s="1"/>
  <c r="I2454" i="3" s="1"/>
  <c r="C2455" i="3"/>
  <c r="E2455" i="3" s="1"/>
  <c r="I2455" i="3" s="1"/>
  <c r="C2456" i="3"/>
  <c r="E2456" i="3" s="1"/>
  <c r="I2456" i="3" s="1"/>
  <c r="C2457" i="3"/>
  <c r="E2457" i="3" s="1"/>
  <c r="I2457" i="3" s="1"/>
  <c r="C2458" i="3"/>
  <c r="E2458" i="3" s="1"/>
  <c r="I2458" i="3" s="1"/>
  <c r="C2459" i="3"/>
  <c r="E2459" i="3" s="1"/>
  <c r="I2459" i="3" s="1"/>
  <c r="C2460" i="3"/>
  <c r="E2460" i="3" s="1"/>
  <c r="I2460" i="3" s="1"/>
  <c r="C2461" i="3"/>
  <c r="E2461" i="3" s="1"/>
  <c r="I2461" i="3" s="1"/>
  <c r="C2462" i="3"/>
  <c r="E2462" i="3" s="1"/>
  <c r="I2462" i="3" s="1"/>
  <c r="C2463" i="3"/>
  <c r="E2463" i="3" s="1"/>
  <c r="I2463" i="3" s="1"/>
  <c r="C2464" i="3"/>
  <c r="E2464" i="3" s="1"/>
  <c r="I2464" i="3" s="1"/>
  <c r="C2465" i="3"/>
  <c r="E2465" i="3" s="1"/>
  <c r="I2465" i="3" s="1"/>
  <c r="C2466" i="3"/>
  <c r="E2466" i="3" s="1"/>
  <c r="I2466" i="3" s="1"/>
  <c r="C2467" i="3"/>
  <c r="E2467" i="3" s="1"/>
  <c r="I2467" i="3" s="1"/>
  <c r="C2468" i="3"/>
  <c r="E2468" i="3" s="1"/>
  <c r="I2468" i="3" s="1"/>
  <c r="C2469" i="3"/>
  <c r="E2469" i="3" s="1"/>
  <c r="I2469" i="3" s="1"/>
  <c r="C2470" i="3"/>
  <c r="E2470" i="3" s="1"/>
  <c r="I2470" i="3" s="1"/>
  <c r="C2471" i="3"/>
  <c r="E2471" i="3" s="1"/>
  <c r="I2471" i="3" s="1"/>
  <c r="C2472" i="3"/>
  <c r="E2472" i="3" s="1"/>
  <c r="I2472" i="3" s="1"/>
  <c r="C2473" i="3"/>
  <c r="E2473" i="3" s="1"/>
  <c r="I2473" i="3" s="1"/>
  <c r="C2474" i="3"/>
  <c r="E2474" i="3" s="1"/>
  <c r="I2474" i="3" s="1"/>
  <c r="C2475" i="3"/>
  <c r="E2475" i="3" s="1"/>
  <c r="I2475" i="3" s="1"/>
  <c r="C2476" i="3"/>
  <c r="E2476" i="3" s="1"/>
  <c r="I2476" i="3" s="1"/>
  <c r="C2477" i="3"/>
  <c r="E2477" i="3" s="1"/>
  <c r="I2477" i="3" s="1"/>
  <c r="C2478" i="3"/>
  <c r="E2478" i="3" s="1"/>
  <c r="I2478" i="3" s="1"/>
  <c r="C2479" i="3"/>
  <c r="E2479" i="3" s="1"/>
  <c r="I2479" i="3" s="1"/>
  <c r="C2480" i="3"/>
  <c r="E2480" i="3" s="1"/>
  <c r="I2480" i="3" s="1"/>
  <c r="C2481" i="3"/>
  <c r="E2481" i="3" s="1"/>
  <c r="I2481" i="3" s="1"/>
  <c r="C2482" i="3"/>
  <c r="E2482" i="3" s="1"/>
  <c r="I2482" i="3" s="1"/>
  <c r="C2483" i="3"/>
  <c r="E2483" i="3" s="1"/>
  <c r="I2483" i="3" s="1"/>
  <c r="C2484" i="3"/>
  <c r="E2484" i="3" s="1"/>
  <c r="I2484" i="3" s="1"/>
  <c r="C2485" i="3"/>
  <c r="E2485" i="3" s="1"/>
  <c r="I2485" i="3" s="1"/>
  <c r="C2486" i="3"/>
  <c r="E2486" i="3" s="1"/>
  <c r="I2486" i="3" s="1"/>
  <c r="C2487" i="3"/>
  <c r="E2487" i="3" s="1"/>
  <c r="I2487" i="3" s="1"/>
  <c r="C2488" i="3"/>
  <c r="E2488" i="3" s="1"/>
  <c r="I2488" i="3" s="1"/>
  <c r="C2489" i="3"/>
  <c r="E2489" i="3" s="1"/>
  <c r="I2489" i="3" s="1"/>
  <c r="C2490" i="3"/>
  <c r="E2490" i="3" s="1"/>
  <c r="I2490" i="3" s="1"/>
  <c r="C2491" i="3"/>
  <c r="E2491" i="3" s="1"/>
  <c r="I2491" i="3" s="1"/>
  <c r="C2492" i="3"/>
  <c r="E2492" i="3" s="1"/>
  <c r="I2492" i="3" s="1"/>
  <c r="C2493" i="3"/>
  <c r="E2493" i="3" s="1"/>
  <c r="I2493" i="3" s="1"/>
  <c r="C2494" i="3"/>
  <c r="E2494" i="3" s="1"/>
  <c r="I2494" i="3" s="1"/>
  <c r="C2495" i="3"/>
  <c r="E2495" i="3" s="1"/>
  <c r="I2495" i="3" s="1"/>
  <c r="C2496" i="3"/>
  <c r="E2496" i="3" s="1"/>
  <c r="I2496" i="3" s="1"/>
  <c r="C2497" i="3"/>
  <c r="E2497" i="3" s="1"/>
  <c r="I2497" i="3" s="1"/>
  <c r="C2498" i="3"/>
  <c r="E2498" i="3" s="1"/>
  <c r="I2498" i="3" s="1"/>
  <c r="C2499" i="3"/>
  <c r="E2499" i="3" s="1"/>
  <c r="I2499" i="3" s="1"/>
  <c r="C2500" i="3"/>
  <c r="E2500" i="3" s="1"/>
  <c r="I2500" i="3" s="1"/>
  <c r="C2501" i="3"/>
  <c r="E2501" i="3" s="1"/>
  <c r="I2501" i="3" s="1"/>
  <c r="C2502" i="3"/>
  <c r="E2502" i="3" s="1"/>
  <c r="I2502" i="3" s="1"/>
  <c r="C2503" i="3"/>
  <c r="E2503" i="3" s="1"/>
  <c r="I2503" i="3" s="1"/>
  <c r="C2504" i="3"/>
  <c r="E2504" i="3" s="1"/>
  <c r="I2504" i="3" s="1"/>
  <c r="C2505" i="3"/>
  <c r="E2505" i="3" s="1"/>
  <c r="I2505" i="3" s="1"/>
  <c r="C2506" i="3"/>
  <c r="E2506" i="3" s="1"/>
  <c r="I2506" i="3" s="1"/>
  <c r="C2507" i="3"/>
  <c r="E2507" i="3" s="1"/>
  <c r="I2507" i="3" s="1"/>
  <c r="C2508" i="3"/>
  <c r="E2508" i="3" s="1"/>
  <c r="I2508" i="3" s="1"/>
  <c r="C2509" i="3"/>
  <c r="E2509" i="3" s="1"/>
  <c r="I2509" i="3" s="1"/>
  <c r="C2510" i="3"/>
  <c r="E2510" i="3" s="1"/>
  <c r="I2510" i="3" s="1"/>
  <c r="C2511" i="3"/>
  <c r="E2511" i="3" s="1"/>
  <c r="I2511" i="3" s="1"/>
  <c r="C2512" i="3"/>
  <c r="E2512" i="3" s="1"/>
  <c r="I2512" i="3" s="1"/>
  <c r="C2513" i="3"/>
  <c r="E2513" i="3" s="1"/>
  <c r="I2513" i="3" s="1"/>
  <c r="C2514" i="3"/>
  <c r="E2514" i="3" s="1"/>
  <c r="I2514" i="3" s="1"/>
  <c r="C2515" i="3"/>
  <c r="E2515" i="3" s="1"/>
  <c r="I2515" i="3" s="1"/>
  <c r="C2516" i="3"/>
  <c r="E2516" i="3" s="1"/>
  <c r="I2516" i="3" s="1"/>
  <c r="C2517" i="3"/>
  <c r="E2517" i="3" s="1"/>
  <c r="I2517" i="3" s="1"/>
  <c r="C2518" i="3"/>
  <c r="E2518" i="3" s="1"/>
  <c r="I2518" i="3" s="1"/>
  <c r="C2519" i="3"/>
  <c r="E2519" i="3" s="1"/>
  <c r="I2519" i="3" s="1"/>
  <c r="C2520" i="3"/>
  <c r="E2520" i="3" s="1"/>
  <c r="I2520" i="3" s="1"/>
  <c r="C2521" i="3"/>
  <c r="E2521" i="3" s="1"/>
  <c r="I2521" i="3" s="1"/>
  <c r="C2522" i="3"/>
  <c r="E2522" i="3" s="1"/>
  <c r="I2522" i="3" s="1"/>
  <c r="C2523" i="3"/>
  <c r="E2523" i="3" s="1"/>
  <c r="I2523" i="3" s="1"/>
  <c r="C2524" i="3"/>
  <c r="E2524" i="3" s="1"/>
  <c r="I2524" i="3" s="1"/>
  <c r="C2525" i="3"/>
  <c r="E2525" i="3" s="1"/>
  <c r="I2525" i="3" s="1"/>
  <c r="C2526" i="3"/>
  <c r="E2526" i="3" s="1"/>
  <c r="I2526" i="3" s="1"/>
  <c r="C2527" i="3"/>
  <c r="E2527" i="3" s="1"/>
  <c r="I2527" i="3" s="1"/>
  <c r="C2528" i="3"/>
  <c r="E2528" i="3" s="1"/>
  <c r="I2528" i="3" s="1"/>
  <c r="C2529" i="3"/>
  <c r="E2529" i="3" s="1"/>
  <c r="I2529" i="3" s="1"/>
  <c r="C2530" i="3"/>
  <c r="E2530" i="3" s="1"/>
  <c r="I2530" i="3" s="1"/>
  <c r="C2531" i="3"/>
  <c r="E2531" i="3" s="1"/>
  <c r="I2531" i="3" s="1"/>
  <c r="C2532" i="3"/>
  <c r="E2532" i="3" s="1"/>
  <c r="I2532" i="3" s="1"/>
  <c r="C2533" i="3"/>
  <c r="E2533" i="3" s="1"/>
  <c r="I2533" i="3" s="1"/>
  <c r="C2534" i="3"/>
  <c r="E2534" i="3" s="1"/>
  <c r="I2534" i="3" s="1"/>
  <c r="C2535" i="3"/>
  <c r="E2535" i="3" s="1"/>
  <c r="I2535" i="3" s="1"/>
  <c r="C2536" i="3"/>
  <c r="E2536" i="3" s="1"/>
  <c r="I2536" i="3" s="1"/>
  <c r="C2537" i="3"/>
  <c r="E2537" i="3" s="1"/>
  <c r="I2537" i="3" s="1"/>
  <c r="C2538" i="3"/>
  <c r="E2538" i="3" s="1"/>
  <c r="I2538" i="3" s="1"/>
  <c r="C2539" i="3"/>
  <c r="E2539" i="3" s="1"/>
  <c r="I2539" i="3" s="1"/>
  <c r="C2540" i="3"/>
  <c r="E2540" i="3" s="1"/>
  <c r="I2540" i="3" s="1"/>
  <c r="C2541" i="3"/>
  <c r="E2541" i="3" s="1"/>
  <c r="I2541" i="3" s="1"/>
  <c r="C2542" i="3"/>
  <c r="E2542" i="3" s="1"/>
  <c r="I2542" i="3" s="1"/>
  <c r="C2543" i="3"/>
  <c r="E2543" i="3" s="1"/>
  <c r="I2543" i="3" s="1"/>
  <c r="C2544" i="3"/>
  <c r="E2544" i="3" s="1"/>
  <c r="I2544" i="3" s="1"/>
  <c r="C2545" i="3"/>
  <c r="E2545" i="3" s="1"/>
  <c r="I2545" i="3" s="1"/>
  <c r="C2546" i="3"/>
  <c r="E2546" i="3" s="1"/>
  <c r="I2546" i="3" s="1"/>
  <c r="C2547" i="3"/>
  <c r="E2547" i="3" s="1"/>
  <c r="I2547" i="3" s="1"/>
  <c r="C2548" i="3"/>
  <c r="E2548" i="3" s="1"/>
  <c r="I2548" i="3" s="1"/>
  <c r="C2549" i="3"/>
  <c r="E2549" i="3" s="1"/>
  <c r="I2549" i="3" s="1"/>
  <c r="C2550" i="3"/>
  <c r="E2550" i="3" s="1"/>
  <c r="I2550" i="3" s="1"/>
  <c r="C2551" i="3"/>
  <c r="E2551" i="3" s="1"/>
  <c r="I2551" i="3" s="1"/>
  <c r="C2552" i="3"/>
  <c r="E2552" i="3" s="1"/>
  <c r="I2552" i="3" s="1"/>
  <c r="C2553" i="3"/>
  <c r="E2553" i="3" s="1"/>
  <c r="I2553" i="3" s="1"/>
  <c r="C2554" i="3"/>
  <c r="E2554" i="3" s="1"/>
  <c r="I2554" i="3" s="1"/>
  <c r="C2555" i="3"/>
  <c r="E2555" i="3" s="1"/>
  <c r="I2555" i="3" s="1"/>
  <c r="C2556" i="3"/>
  <c r="E2556" i="3" s="1"/>
  <c r="I2556" i="3" s="1"/>
  <c r="C2557" i="3"/>
  <c r="E2557" i="3" s="1"/>
  <c r="I2557" i="3" s="1"/>
  <c r="C2558" i="3"/>
  <c r="E2558" i="3" s="1"/>
  <c r="I2558" i="3" s="1"/>
  <c r="C2559" i="3"/>
  <c r="E2559" i="3" s="1"/>
  <c r="I2559" i="3" s="1"/>
  <c r="C2560" i="3"/>
  <c r="E2560" i="3" s="1"/>
  <c r="I2560" i="3" s="1"/>
  <c r="C2561" i="3"/>
  <c r="E2561" i="3" s="1"/>
  <c r="I2561" i="3" s="1"/>
  <c r="C2562" i="3"/>
  <c r="E2562" i="3" s="1"/>
  <c r="I2562" i="3" s="1"/>
  <c r="C2563" i="3"/>
  <c r="E2563" i="3" s="1"/>
  <c r="I2563" i="3" s="1"/>
  <c r="C2564" i="3"/>
  <c r="E2564" i="3" s="1"/>
  <c r="I2564" i="3" s="1"/>
  <c r="C2565" i="3"/>
  <c r="E2565" i="3" s="1"/>
  <c r="I2565" i="3" s="1"/>
  <c r="C2566" i="3"/>
  <c r="E2566" i="3" s="1"/>
  <c r="I2566" i="3" s="1"/>
  <c r="C2567" i="3"/>
  <c r="E2567" i="3" s="1"/>
  <c r="I2567" i="3" s="1"/>
  <c r="C2568" i="3"/>
  <c r="E2568" i="3" s="1"/>
  <c r="I2568" i="3" s="1"/>
  <c r="C2569" i="3"/>
  <c r="E2569" i="3" s="1"/>
  <c r="I2569" i="3" s="1"/>
  <c r="C2570" i="3"/>
  <c r="E2570" i="3" s="1"/>
  <c r="I2570" i="3" s="1"/>
  <c r="C2571" i="3"/>
  <c r="E2571" i="3" s="1"/>
  <c r="I2571" i="3" s="1"/>
  <c r="C2572" i="3"/>
  <c r="E2572" i="3" s="1"/>
  <c r="I2572" i="3" s="1"/>
  <c r="C2573" i="3"/>
  <c r="E2573" i="3" s="1"/>
  <c r="I2573" i="3" s="1"/>
  <c r="C2574" i="3"/>
  <c r="E2574" i="3" s="1"/>
  <c r="I2574" i="3" s="1"/>
  <c r="C2575" i="3"/>
  <c r="E2575" i="3" s="1"/>
  <c r="I2575" i="3" s="1"/>
  <c r="C2576" i="3"/>
  <c r="E2576" i="3" s="1"/>
  <c r="I2576" i="3" s="1"/>
  <c r="C2577" i="3"/>
  <c r="E2577" i="3" s="1"/>
  <c r="I2577" i="3" s="1"/>
  <c r="C2578" i="3"/>
  <c r="E2578" i="3" s="1"/>
  <c r="I2578" i="3" s="1"/>
  <c r="C2579" i="3"/>
  <c r="E2579" i="3" s="1"/>
  <c r="I2579" i="3" s="1"/>
  <c r="C2580" i="3"/>
  <c r="E2580" i="3" s="1"/>
  <c r="I2580" i="3" s="1"/>
  <c r="C2581" i="3"/>
  <c r="E2581" i="3" s="1"/>
  <c r="I2581" i="3" s="1"/>
  <c r="C2582" i="3"/>
  <c r="E2582" i="3" s="1"/>
  <c r="I2582" i="3" s="1"/>
  <c r="C2583" i="3"/>
  <c r="E2583" i="3" s="1"/>
  <c r="I2583" i="3" s="1"/>
  <c r="C2584" i="3"/>
  <c r="E2584" i="3" s="1"/>
  <c r="I2584" i="3" s="1"/>
  <c r="C2585" i="3"/>
  <c r="E2585" i="3" s="1"/>
  <c r="I2585" i="3" s="1"/>
  <c r="C2586" i="3"/>
  <c r="E2586" i="3" s="1"/>
  <c r="I2586" i="3" s="1"/>
  <c r="C2587" i="3"/>
  <c r="E2587" i="3" s="1"/>
  <c r="I2587" i="3" s="1"/>
  <c r="C2588" i="3"/>
  <c r="E2588" i="3" s="1"/>
  <c r="I2588" i="3" s="1"/>
  <c r="C2589" i="3"/>
  <c r="E2589" i="3" s="1"/>
  <c r="I2589" i="3" s="1"/>
  <c r="C2590" i="3"/>
  <c r="E2590" i="3" s="1"/>
  <c r="I2590" i="3" s="1"/>
  <c r="C2591" i="3"/>
  <c r="E2591" i="3" s="1"/>
  <c r="I2591" i="3" s="1"/>
  <c r="C2592" i="3"/>
  <c r="E2592" i="3" s="1"/>
  <c r="I2592" i="3" s="1"/>
  <c r="C2593" i="3"/>
  <c r="E2593" i="3" s="1"/>
  <c r="I2593" i="3" s="1"/>
  <c r="C2594" i="3"/>
  <c r="E2594" i="3" s="1"/>
  <c r="I2594" i="3" s="1"/>
  <c r="C2595" i="3"/>
  <c r="E2595" i="3" s="1"/>
  <c r="I2595" i="3" s="1"/>
  <c r="C2596" i="3"/>
  <c r="E2596" i="3" s="1"/>
  <c r="I2596" i="3" s="1"/>
  <c r="C2597" i="3"/>
  <c r="E2597" i="3" s="1"/>
  <c r="I2597" i="3" s="1"/>
  <c r="C2598" i="3"/>
  <c r="E2598" i="3" s="1"/>
  <c r="I2598" i="3" s="1"/>
  <c r="C2599" i="3"/>
  <c r="E2599" i="3" s="1"/>
  <c r="I2599" i="3" s="1"/>
  <c r="C2600" i="3"/>
  <c r="E2600" i="3" s="1"/>
  <c r="I2600" i="3" s="1"/>
  <c r="C2601" i="3"/>
  <c r="E2601" i="3" s="1"/>
  <c r="I2601" i="3" s="1"/>
  <c r="C2602" i="3"/>
  <c r="E2602" i="3" s="1"/>
  <c r="I2602" i="3" s="1"/>
  <c r="C2603" i="3"/>
  <c r="E2603" i="3" s="1"/>
  <c r="I2603" i="3" s="1"/>
  <c r="C2604" i="3"/>
  <c r="E2604" i="3" s="1"/>
  <c r="I2604" i="3" s="1"/>
  <c r="C2605" i="3"/>
  <c r="E2605" i="3" s="1"/>
  <c r="I2605" i="3" s="1"/>
  <c r="C2606" i="3"/>
  <c r="E2606" i="3" s="1"/>
  <c r="I2606" i="3" s="1"/>
  <c r="C2607" i="3"/>
  <c r="E2607" i="3" s="1"/>
  <c r="I2607" i="3" s="1"/>
  <c r="C2608" i="3"/>
  <c r="E2608" i="3" s="1"/>
  <c r="I2608" i="3" s="1"/>
  <c r="C2609" i="3"/>
  <c r="E2609" i="3" s="1"/>
  <c r="I2609" i="3" s="1"/>
  <c r="C2610" i="3"/>
  <c r="E2610" i="3" s="1"/>
  <c r="I2610" i="3" s="1"/>
  <c r="C2611" i="3"/>
  <c r="E2611" i="3" s="1"/>
  <c r="I2611" i="3" s="1"/>
  <c r="C2612" i="3"/>
  <c r="E2612" i="3" s="1"/>
  <c r="I2612" i="3" s="1"/>
  <c r="C2613" i="3"/>
  <c r="E2613" i="3" s="1"/>
  <c r="I2613" i="3" s="1"/>
  <c r="C2614" i="3"/>
  <c r="E2614" i="3" s="1"/>
  <c r="I2614" i="3" s="1"/>
  <c r="C2615" i="3"/>
  <c r="E2615" i="3" s="1"/>
  <c r="I2615" i="3" s="1"/>
  <c r="C2616" i="3"/>
  <c r="E2616" i="3" s="1"/>
  <c r="I2616" i="3" s="1"/>
  <c r="C2617" i="3"/>
  <c r="E2617" i="3" s="1"/>
  <c r="I2617" i="3" s="1"/>
  <c r="C2618" i="3"/>
  <c r="E2618" i="3" s="1"/>
  <c r="I2618" i="3" s="1"/>
  <c r="C2619" i="3"/>
  <c r="E2619" i="3" s="1"/>
  <c r="I2619" i="3" s="1"/>
  <c r="C2620" i="3"/>
  <c r="E2620" i="3" s="1"/>
  <c r="I2620" i="3" s="1"/>
  <c r="C2621" i="3"/>
  <c r="E2621" i="3" s="1"/>
  <c r="I2621" i="3" s="1"/>
  <c r="C2622" i="3"/>
  <c r="E2622" i="3" s="1"/>
  <c r="I2622" i="3" s="1"/>
  <c r="C2623" i="3"/>
  <c r="E2623" i="3" s="1"/>
  <c r="I2623" i="3" s="1"/>
  <c r="C2624" i="3"/>
  <c r="E2624" i="3" s="1"/>
  <c r="I2624" i="3" s="1"/>
  <c r="C2625" i="3"/>
  <c r="E2625" i="3" s="1"/>
  <c r="I2625" i="3" s="1"/>
  <c r="C2626" i="3"/>
  <c r="E2626" i="3" s="1"/>
  <c r="I2626" i="3" s="1"/>
  <c r="C2627" i="3"/>
  <c r="E2627" i="3" s="1"/>
  <c r="I2627" i="3" s="1"/>
  <c r="C2628" i="3"/>
  <c r="E2628" i="3" s="1"/>
  <c r="I2628" i="3" s="1"/>
  <c r="C2629" i="3"/>
  <c r="E2629" i="3" s="1"/>
  <c r="I2629" i="3" s="1"/>
  <c r="C2630" i="3"/>
  <c r="E2630" i="3" s="1"/>
  <c r="I2630" i="3" s="1"/>
  <c r="C2631" i="3"/>
  <c r="E2631" i="3" s="1"/>
  <c r="I2631" i="3" s="1"/>
  <c r="C2632" i="3"/>
  <c r="E2632" i="3" s="1"/>
  <c r="I2632" i="3" s="1"/>
  <c r="C2633" i="3"/>
  <c r="E2633" i="3" s="1"/>
  <c r="I2633" i="3" s="1"/>
  <c r="C2634" i="3"/>
  <c r="E2634" i="3" s="1"/>
  <c r="I2634" i="3" s="1"/>
  <c r="C2635" i="3"/>
  <c r="E2635" i="3" s="1"/>
  <c r="I2635" i="3" s="1"/>
  <c r="C2636" i="3"/>
  <c r="E2636" i="3" s="1"/>
  <c r="I2636" i="3" s="1"/>
  <c r="C2637" i="3"/>
  <c r="E2637" i="3" s="1"/>
  <c r="I2637" i="3" s="1"/>
  <c r="C2638" i="3"/>
  <c r="E2638" i="3" s="1"/>
  <c r="I2638" i="3" s="1"/>
  <c r="C2639" i="3"/>
  <c r="E2639" i="3" s="1"/>
  <c r="I2639" i="3" s="1"/>
  <c r="C2640" i="3"/>
  <c r="E2640" i="3" s="1"/>
  <c r="I2640" i="3" s="1"/>
  <c r="C2641" i="3"/>
  <c r="E2641" i="3" s="1"/>
  <c r="I2641" i="3" s="1"/>
  <c r="C2642" i="3"/>
  <c r="E2642" i="3" s="1"/>
  <c r="I2642" i="3" s="1"/>
  <c r="C2643" i="3"/>
  <c r="E2643" i="3" s="1"/>
  <c r="I2643" i="3" s="1"/>
  <c r="C2644" i="3"/>
  <c r="E2644" i="3" s="1"/>
  <c r="I2644" i="3" s="1"/>
  <c r="C2645" i="3"/>
  <c r="E2645" i="3" s="1"/>
  <c r="I2645" i="3" s="1"/>
  <c r="C2646" i="3"/>
  <c r="E2646" i="3" s="1"/>
  <c r="I2646" i="3" s="1"/>
  <c r="C2647" i="3"/>
  <c r="E2647" i="3" s="1"/>
  <c r="I2647" i="3" s="1"/>
  <c r="C2648" i="3"/>
  <c r="E2648" i="3" s="1"/>
  <c r="I2648" i="3" s="1"/>
  <c r="C2649" i="3"/>
  <c r="E2649" i="3" s="1"/>
  <c r="I2649" i="3" s="1"/>
  <c r="C2650" i="3"/>
  <c r="E2650" i="3" s="1"/>
  <c r="I2650" i="3" s="1"/>
  <c r="C2651" i="3"/>
  <c r="E2651" i="3" s="1"/>
  <c r="I2651" i="3" s="1"/>
  <c r="C2652" i="3"/>
  <c r="E2652" i="3" s="1"/>
  <c r="I2652" i="3" s="1"/>
  <c r="C2653" i="3"/>
  <c r="E2653" i="3" s="1"/>
  <c r="I2653" i="3" s="1"/>
  <c r="C2654" i="3"/>
  <c r="E2654" i="3" s="1"/>
  <c r="I2654" i="3" s="1"/>
  <c r="C2655" i="3"/>
  <c r="E2655" i="3" s="1"/>
  <c r="I2655" i="3" s="1"/>
  <c r="C2656" i="3"/>
  <c r="E2656" i="3" s="1"/>
  <c r="I2656" i="3" s="1"/>
  <c r="C2657" i="3"/>
  <c r="E2657" i="3" s="1"/>
  <c r="I2657" i="3" s="1"/>
  <c r="C2658" i="3"/>
  <c r="E2658" i="3" s="1"/>
  <c r="I2658" i="3" s="1"/>
  <c r="C2659" i="3"/>
  <c r="E2659" i="3" s="1"/>
  <c r="I2659" i="3" s="1"/>
  <c r="C2660" i="3"/>
  <c r="E2660" i="3" s="1"/>
  <c r="I2660" i="3" s="1"/>
  <c r="C2661" i="3"/>
  <c r="E2661" i="3" s="1"/>
  <c r="I2661" i="3" s="1"/>
  <c r="C2662" i="3"/>
  <c r="E2662" i="3" s="1"/>
  <c r="I2662" i="3" s="1"/>
  <c r="C2663" i="3"/>
  <c r="E2663" i="3" s="1"/>
  <c r="I2663" i="3" s="1"/>
  <c r="C2664" i="3"/>
  <c r="E2664" i="3" s="1"/>
  <c r="I2664" i="3" s="1"/>
  <c r="C2665" i="3"/>
  <c r="E2665" i="3" s="1"/>
  <c r="I2665" i="3" s="1"/>
  <c r="C2666" i="3"/>
  <c r="E2666" i="3" s="1"/>
  <c r="I2666" i="3" s="1"/>
  <c r="C2667" i="3"/>
  <c r="E2667" i="3" s="1"/>
  <c r="I2667" i="3" s="1"/>
  <c r="C2668" i="3"/>
  <c r="E2668" i="3" s="1"/>
  <c r="I2668" i="3" s="1"/>
  <c r="C2669" i="3"/>
  <c r="E2669" i="3" s="1"/>
  <c r="I2669" i="3" s="1"/>
  <c r="C2670" i="3"/>
  <c r="E2670" i="3" s="1"/>
  <c r="I2670" i="3" s="1"/>
  <c r="C2671" i="3"/>
  <c r="E2671" i="3" s="1"/>
  <c r="I2671" i="3" s="1"/>
  <c r="C2672" i="3"/>
  <c r="E2672" i="3" s="1"/>
  <c r="I2672" i="3" s="1"/>
  <c r="C2673" i="3"/>
  <c r="E2673" i="3" s="1"/>
  <c r="I2673" i="3" s="1"/>
  <c r="C2674" i="3"/>
  <c r="E2674" i="3" s="1"/>
  <c r="I2674" i="3" s="1"/>
  <c r="C2675" i="3"/>
  <c r="E2675" i="3" s="1"/>
  <c r="I2675" i="3" s="1"/>
  <c r="C2676" i="3"/>
  <c r="E2676" i="3" s="1"/>
  <c r="I2676" i="3" s="1"/>
  <c r="C2677" i="3"/>
  <c r="E2677" i="3" s="1"/>
  <c r="I2677" i="3" s="1"/>
  <c r="C2678" i="3"/>
  <c r="E2678" i="3" s="1"/>
  <c r="I2678" i="3" s="1"/>
  <c r="C2679" i="3"/>
  <c r="E2679" i="3" s="1"/>
  <c r="I2679" i="3" s="1"/>
  <c r="C2680" i="3"/>
  <c r="E2680" i="3" s="1"/>
  <c r="I2680" i="3" s="1"/>
  <c r="C2681" i="3"/>
  <c r="E2681" i="3" s="1"/>
  <c r="I2681" i="3" s="1"/>
  <c r="C2682" i="3"/>
  <c r="E2682" i="3" s="1"/>
  <c r="I2682" i="3" s="1"/>
  <c r="C2683" i="3"/>
  <c r="E2683" i="3" s="1"/>
  <c r="I2683" i="3" s="1"/>
  <c r="C2684" i="3"/>
  <c r="E2684" i="3" s="1"/>
  <c r="I2684" i="3" s="1"/>
  <c r="C2685" i="3"/>
  <c r="E2685" i="3" s="1"/>
  <c r="I2685" i="3" s="1"/>
  <c r="C2686" i="3"/>
  <c r="E2686" i="3" s="1"/>
  <c r="I2686" i="3" s="1"/>
  <c r="C2687" i="3"/>
  <c r="E2687" i="3" s="1"/>
  <c r="I2687" i="3" s="1"/>
  <c r="C2688" i="3"/>
  <c r="E2688" i="3" s="1"/>
  <c r="I2688" i="3" s="1"/>
  <c r="C2689" i="3"/>
  <c r="E2689" i="3" s="1"/>
  <c r="I2689" i="3" s="1"/>
  <c r="C2690" i="3"/>
  <c r="E2690" i="3" s="1"/>
  <c r="I2690" i="3" s="1"/>
  <c r="C2691" i="3"/>
  <c r="E2691" i="3" s="1"/>
  <c r="I2691" i="3" s="1"/>
  <c r="C2692" i="3"/>
  <c r="E2692" i="3" s="1"/>
  <c r="I2692" i="3" s="1"/>
  <c r="C2693" i="3"/>
  <c r="E2693" i="3" s="1"/>
  <c r="I2693" i="3" s="1"/>
  <c r="C2694" i="3"/>
  <c r="E2694" i="3" s="1"/>
  <c r="I2694" i="3" s="1"/>
  <c r="C2695" i="3"/>
  <c r="E2695" i="3" s="1"/>
  <c r="I2695" i="3" s="1"/>
  <c r="C2696" i="3"/>
  <c r="E2696" i="3" s="1"/>
  <c r="I2696" i="3" s="1"/>
  <c r="C2697" i="3"/>
  <c r="E2697" i="3" s="1"/>
  <c r="I2697" i="3" s="1"/>
  <c r="C2698" i="3"/>
  <c r="E2698" i="3" s="1"/>
  <c r="I2698" i="3" s="1"/>
  <c r="C2699" i="3"/>
  <c r="E2699" i="3" s="1"/>
  <c r="I2699" i="3" s="1"/>
  <c r="C2700" i="3"/>
  <c r="E2700" i="3" s="1"/>
  <c r="I2700" i="3" s="1"/>
  <c r="C2701" i="3"/>
  <c r="E2701" i="3" s="1"/>
  <c r="I2701" i="3" s="1"/>
  <c r="C2702" i="3"/>
  <c r="E2702" i="3" s="1"/>
  <c r="I2702" i="3" s="1"/>
  <c r="C2703" i="3"/>
  <c r="E2703" i="3" s="1"/>
  <c r="I2703" i="3" s="1"/>
  <c r="C2704" i="3"/>
  <c r="E2704" i="3" s="1"/>
  <c r="I2704" i="3" s="1"/>
  <c r="C2705" i="3"/>
  <c r="E2705" i="3" s="1"/>
  <c r="I2705" i="3" s="1"/>
  <c r="C2706" i="3"/>
  <c r="E2706" i="3" s="1"/>
  <c r="I2706" i="3" s="1"/>
  <c r="C2707" i="3"/>
  <c r="E2707" i="3" s="1"/>
  <c r="I2707" i="3" s="1"/>
  <c r="C2708" i="3"/>
  <c r="E2708" i="3" s="1"/>
  <c r="I2708" i="3" s="1"/>
  <c r="C2709" i="3"/>
  <c r="E2709" i="3" s="1"/>
  <c r="I2709" i="3" s="1"/>
  <c r="C2710" i="3"/>
  <c r="E2710" i="3" s="1"/>
  <c r="I2710" i="3" s="1"/>
  <c r="C2711" i="3"/>
  <c r="E2711" i="3" s="1"/>
  <c r="I2711" i="3" s="1"/>
  <c r="C2712" i="3"/>
  <c r="E2712" i="3" s="1"/>
  <c r="I2712" i="3" s="1"/>
  <c r="C2713" i="3"/>
  <c r="E2713" i="3" s="1"/>
  <c r="I2713" i="3" s="1"/>
  <c r="C2714" i="3"/>
  <c r="E2714" i="3" s="1"/>
  <c r="I2714" i="3" s="1"/>
  <c r="C2715" i="3"/>
  <c r="E2715" i="3" s="1"/>
  <c r="I2715" i="3" s="1"/>
  <c r="C2716" i="3"/>
  <c r="E2716" i="3" s="1"/>
  <c r="I2716" i="3" s="1"/>
  <c r="C2717" i="3"/>
  <c r="E2717" i="3" s="1"/>
  <c r="I2717" i="3" s="1"/>
  <c r="C2718" i="3"/>
  <c r="E2718" i="3" s="1"/>
  <c r="I2718" i="3" s="1"/>
  <c r="C2719" i="3"/>
  <c r="E2719" i="3" s="1"/>
  <c r="I2719" i="3" s="1"/>
  <c r="C2720" i="3"/>
  <c r="E2720" i="3" s="1"/>
  <c r="I2720" i="3" s="1"/>
  <c r="C2721" i="3"/>
  <c r="E2721" i="3" s="1"/>
  <c r="I2721" i="3" s="1"/>
  <c r="C2722" i="3"/>
  <c r="E2722" i="3" s="1"/>
  <c r="I2722" i="3" s="1"/>
  <c r="C2723" i="3"/>
  <c r="E2723" i="3" s="1"/>
  <c r="I2723" i="3" s="1"/>
  <c r="C2724" i="3"/>
  <c r="E2724" i="3" s="1"/>
  <c r="I2724" i="3" s="1"/>
  <c r="C2725" i="3"/>
  <c r="E2725" i="3" s="1"/>
  <c r="I2725" i="3" s="1"/>
  <c r="C2726" i="3"/>
  <c r="E2726" i="3" s="1"/>
  <c r="I2726" i="3" s="1"/>
  <c r="C2727" i="3"/>
  <c r="E2727" i="3" s="1"/>
  <c r="I2727" i="3" s="1"/>
  <c r="C2728" i="3"/>
  <c r="E2728" i="3" s="1"/>
  <c r="I2728" i="3" s="1"/>
  <c r="C2729" i="3"/>
  <c r="E2729" i="3" s="1"/>
  <c r="I2729" i="3" s="1"/>
  <c r="C2730" i="3"/>
  <c r="E2730" i="3" s="1"/>
  <c r="I2730" i="3" s="1"/>
  <c r="C2731" i="3"/>
  <c r="E2731" i="3" s="1"/>
  <c r="I2731" i="3" s="1"/>
  <c r="C2732" i="3"/>
  <c r="E2732" i="3" s="1"/>
  <c r="I2732" i="3" s="1"/>
  <c r="C2733" i="3"/>
  <c r="E2733" i="3" s="1"/>
  <c r="I2733" i="3" s="1"/>
  <c r="C2734" i="3"/>
  <c r="E2734" i="3" s="1"/>
  <c r="I2734" i="3" s="1"/>
  <c r="C2735" i="3"/>
  <c r="E2735" i="3" s="1"/>
  <c r="I2735" i="3" s="1"/>
  <c r="C2736" i="3"/>
  <c r="E2736" i="3" s="1"/>
  <c r="I2736" i="3" s="1"/>
  <c r="C2737" i="3"/>
  <c r="E2737" i="3" s="1"/>
  <c r="I2737" i="3" s="1"/>
  <c r="C2738" i="3"/>
  <c r="E2738" i="3" s="1"/>
  <c r="I2738" i="3" s="1"/>
  <c r="C2739" i="3"/>
  <c r="E2739" i="3" s="1"/>
  <c r="I2739" i="3" s="1"/>
  <c r="C2740" i="3"/>
  <c r="E2740" i="3" s="1"/>
  <c r="I2740" i="3" s="1"/>
  <c r="C2741" i="3"/>
  <c r="E2741" i="3" s="1"/>
  <c r="I2741" i="3" s="1"/>
  <c r="C2742" i="3"/>
  <c r="E2742" i="3" s="1"/>
  <c r="I2742" i="3" s="1"/>
  <c r="C2743" i="3"/>
  <c r="E2743" i="3" s="1"/>
  <c r="I2743" i="3" s="1"/>
  <c r="C2744" i="3"/>
  <c r="E2744" i="3" s="1"/>
  <c r="I2744" i="3" s="1"/>
  <c r="C2745" i="3"/>
  <c r="E2745" i="3" s="1"/>
  <c r="I2745" i="3" s="1"/>
  <c r="C2746" i="3"/>
  <c r="E2746" i="3" s="1"/>
  <c r="I2746" i="3" s="1"/>
  <c r="C2747" i="3"/>
  <c r="E2747" i="3" s="1"/>
  <c r="I2747" i="3" s="1"/>
  <c r="C2748" i="3"/>
  <c r="E2748" i="3" s="1"/>
  <c r="I2748" i="3" s="1"/>
  <c r="C2749" i="3"/>
  <c r="E2749" i="3" s="1"/>
  <c r="I2749" i="3" s="1"/>
  <c r="C2750" i="3"/>
  <c r="E2750" i="3" s="1"/>
  <c r="I2750" i="3" s="1"/>
  <c r="C2751" i="3"/>
  <c r="E2751" i="3" s="1"/>
  <c r="I2751" i="3" s="1"/>
  <c r="C2752" i="3"/>
  <c r="E2752" i="3" s="1"/>
  <c r="I2752" i="3" s="1"/>
  <c r="C2753" i="3"/>
  <c r="E2753" i="3" s="1"/>
  <c r="I2753" i="3" s="1"/>
  <c r="C2754" i="3"/>
  <c r="E2754" i="3" s="1"/>
  <c r="I2754" i="3" s="1"/>
  <c r="C2755" i="3"/>
  <c r="E2755" i="3" s="1"/>
  <c r="I2755" i="3" s="1"/>
  <c r="C2756" i="3"/>
  <c r="E2756" i="3" s="1"/>
  <c r="I2756" i="3" s="1"/>
  <c r="C2757" i="3"/>
  <c r="E2757" i="3" s="1"/>
  <c r="I2757" i="3" s="1"/>
  <c r="C2758" i="3"/>
  <c r="E2758" i="3" s="1"/>
  <c r="I2758" i="3" s="1"/>
  <c r="C2759" i="3"/>
  <c r="E2759" i="3" s="1"/>
  <c r="I2759" i="3" s="1"/>
  <c r="C2760" i="3"/>
  <c r="E2760" i="3" s="1"/>
  <c r="I2760" i="3" s="1"/>
  <c r="C2761" i="3"/>
  <c r="E2761" i="3" s="1"/>
  <c r="I2761" i="3" s="1"/>
  <c r="C2762" i="3"/>
  <c r="E2762" i="3" s="1"/>
  <c r="I2762" i="3" s="1"/>
  <c r="C2763" i="3"/>
  <c r="E2763" i="3" s="1"/>
  <c r="I2763" i="3" s="1"/>
  <c r="C2764" i="3"/>
  <c r="E2764" i="3" s="1"/>
  <c r="I2764" i="3" s="1"/>
  <c r="C2765" i="3"/>
  <c r="E2765" i="3" s="1"/>
  <c r="I2765" i="3" s="1"/>
  <c r="C2766" i="3"/>
  <c r="E2766" i="3" s="1"/>
  <c r="I2766" i="3" s="1"/>
  <c r="C2767" i="3"/>
  <c r="E2767" i="3" s="1"/>
  <c r="I2767" i="3" s="1"/>
  <c r="C2768" i="3"/>
  <c r="E2768" i="3" s="1"/>
  <c r="I2768" i="3" s="1"/>
  <c r="C2769" i="3"/>
  <c r="E2769" i="3" s="1"/>
  <c r="I2769" i="3" s="1"/>
  <c r="C2770" i="3"/>
  <c r="E2770" i="3" s="1"/>
  <c r="I2770" i="3" s="1"/>
  <c r="C2771" i="3"/>
  <c r="E2771" i="3" s="1"/>
  <c r="I2771" i="3" s="1"/>
  <c r="C2772" i="3"/>
  <c r="E2772" i="3" s="1"/>
  <c r="I2772" i="3" s="1"/>
  <c r="C2773" i="3"/>
  <c r="E2773" i="3" s="1"/>
  <c r="I2773" i="3" s="1"/>
  <c r="C2774" i="3"/>
  <c r="E2774" i="3" s="1"/>
  <c r="I2774" i="3" s="1"/>
  <c r="C2775" i="3"/>
  <c r="E2775" i="3" s="1"/>
  <c r="I2775" i="3" s="1"/>
  <c r="C2776" i="3"/>
  <c r="E2776" i="3" s="1"/>
  <c r="I2776" i="3" s="1"/>
  <c r="C2777" i="3"/>
  <c r="E2777" i="3" s="1"/>
  <c r="I2777" i="3" s="1"/>
  <c r="C2778" i="3"/>
  <c r="E2778" i="3" s="1"/>
  <c r="I2778" i="3" s="1"/>
  <c r="C2779" i="3"/>
  <c r="E2779" i="3" s="1"/>
  <c r="I2779" i="3" s="1"/>
  <c r="C2780" i="3"/>
  <c r="E2780" i="3" s="1"/>
  <c r="I2780" i="3" s="1"/>
  <c r="C2781" i="3"/>
  <c r="E2781" i="3" s="1"/>
  <c r="I2781" i="3" s="1"/>
  <c r="C2782" i="3"/>
  <c r="E2782" i="3" s="1"/>
  <c r="I2782" i="3" s="1"/>
  <c r="C2783" i="3"/>
  <c r="E2783" i="3" s="1"/>
  <c r="I2783" i="3" s="1"/>
  <c r="C2784" i="3"/>
  <c r="E2784" i="3" s="1"/>
  <c r="I2784" i="3" s="1"/>
  <c r="C2785" i="3"/>
  <c r="E2785" i="3" s="1"/>
  <c r="I2785" i="3" s="1"/>
  <c r="C2786" i="3"/>
  <c r="E2786" i="3" s="1"/>
  <c r="I2786" i="3" s="1"/>
  <c r="C2787" i="3"/>
  <c r="E2787" i="3" s="1"/>
  <c r="I2787" i="3" s="1"/>
  <c r="C2788" i="3"/>
  <c r="E2788" i="3" s="1"/>
  <c r="I2788" i="3" s="1"/>
  <c r="C2789" i="3"/>
  <c r="E2789" i="3" s="1"/>
  <c r="I2789" i="3" s="1"/>
  <c r="C2790" i="3"/>
  <c r="E2790" i="3" s="1"/>
  <c r="I2790" i="3" s="1"/>
  <c r="C2791" i="3"/>
  <c r="E2791" i="3" s="1"/>
  <c r="I2791" i="3" s="1"/>
  <c r="C2792" i="3"/>
  <c r="E2792" i="3" s="1"/>
  <c r="I2792" i="3" s="1"/>
  <c r="C2793" i="3"/>
  <c r="E2793" i="3" s="1"/>
  <c r="I2793" i="3" s="1"/>
  <c r="C2794" i="3"/>
  <c r="E2794" i="3" s="1"/>
  <c r="I2794" i="3" s="1"/>
  <c r="C2795" i="3"/>
  <c r="E2795" i="3" s="1"/>
  <c r="I2795" i="3" s="1"/>
  <c r="C2796" i="3"/>
  <c r="E2796" i="3" s="1"/>
  <c r="I2796" i="3" s="1"/>
  <c r="C2797" i="3"/>
  <c r="E2797" i="3" s="1"/>
  <c r="I2797" i="3" s="1"/>
  <c r="C2798" i="3"/>
  <c r="E2798" i="3" s="1"/>
  <c r="I2798" i="3" s="1"/>
  <c r="C2799" i="3"/>
  <c r="E2799" i="3" s="1"/>
  <c r="I2799" i="3" s="1"/>
  <c r="C2800" i="3"/>
  <c r="E2800" i="3" s="1"/>
  <c r="I2800" i="3" s="1"/>
  <c r="C2801" i="3"/>
  <c r="E2801" i="3" s="1"/>
  <c r="I2801" i="3" s="1"/>
  <c r="C2802" i="3"/>
  <c r="E2802" i="3" s="1"/>
  <c r="I2802" i="3" s="1"/>
  <c r="C2803" i="3"/>
  <c r="E2803" i="3" s="1"/>
  <c r="I2803" i="3" s="1"/>
  <c r="C2804" i="3"/>
  <c r="E2804" i="3" s="1"/>
  <c r="I2804" i="3" s="1"/>
  <c r="C2805" i="3"/>
  <c r="E2805" i="3" s="1"/>
  <c r="I2805" i="3" s="1"/>
  <c r="C2806" i="3"/>
  <c r="E2806" i="3" s="1"/>
  <c r="I2806" i="3" s="1"/>
  <c r="C2807" i="3"/>
  <c r="E2807" i="3" s="1"/>
  <c r="I2807" i="3" s="1"/>
  <c r="C2808" i="3"/>
  <c r="E2808" i="3" s="1"/>
  <c r="I2808" i="3" s="1"/>
  <c r="C2809" i="3"/>
  <c r="E2809" i="3" s="1"/>
  <c r="I2809" i="3" s="1"/>
  <c r="C2810" i="3"/>
  <c r="E2810" i="3" s="1"/>
  <c r="I2810" i="3" s="1"/>
  <c r="C2811" i="3"/>
  <c r="E2811" i="3" s="1"/>
  <c r="I2811" i="3" s="1"/>
  <c r="C2812" i="3"/>
  <c r="E2812" i="3" s="1"/>
  <c r="I2812" i="3" s="1"/>
  <c r="C2813" i="3"/>
  <c r="E2813" i="3" s="1"/>
  <c r="I2813" i="3" s="1"/>
  <c r="C2814" i="3"/>
  <c r="E2814" i="3" s="1"/>
  <c r="I2814" i="3" s="1"/>
  <c r="C2815" i="3"/>
  <c r="E2815" i="3" s="1"/>
  <c r="I2815" i="3" s="1"/>
  <c r="C2816" i="3"/>
  <c r="E2816" i="3" s="1"/>
  <c r="I2816" i="3" s="1"/>
  <c r="C2817" i="3"/>
  <c r="E2817" i="3" s="1"/>
  <c r="I2817" i="3" s="1"/>
  <c r="C2818" i="3"/>
  <c r="E2818" i="3" s="1"/>
  <c r="I2818" i="3" s="1"/>
  <c r="C2819" i="3"/>
  <c r="E2819" i="3" s="1"/>
  <c r="I2819" i="3" s="1"/>
  <c r="C2820" i="3"/>
  <c r="E2820" i="3" s="1"/>
  <c r="I2820" i="3" s="1"/>
  <c r="C2821" i="3"/>
  <c r="E2821" i="3" s="1"/>
  <c r="I2821" i="3" s="1"/>
  <c r="C2822" i="3"/>
  <c r="E2822" i="3" s="1"/>
  <c r="I2822" i="3" s="1"/>
  <c r="C2823" i="3"/>
  <c r="E2823" i="3" s="1"/>
  <c r="I2823" i="3" s="1"/>
  <c r="C2824" i="3"/>
  <c r="E2824" i="3" s="1"/>
  <c r="I2824" i="3" s="1"/>
  <c r="C2825" i="3"/>
  <c r="E2825" i="3" s="1"/>
  <c r="I2825" i="3" s="1"/>
  <c r="C2826" i="3"/>
  <c r="E2826" i="3" s="1"/>
  <c r="I2826" i="3" s="1"/>
  <c r="C2827" i="3"/>
  <c r="E2827" i="3" s="1"/>
  <c r="I2827" i="3" s="1"/>
  <c r="C2828" i="3"/>
  <c r="E2828" i="3" s="1"/>
  <c r="I2828" i="3" s="1"/>
  <c r="C2829" i="3"/>
  <c r="E2829" i="3" s="1"/>
  <c r="I2829" i="3" s="1"/>
  <c r="C2830" i="3"/>
  <c r="E2830" i="3" s="1"/>
  <c r="I2830" i="3" s="1"/>
  <c r="C2831" i="3"/>
  <c r="E2831" i="3" s="1"/>
  <c r="I2831" i="3" s="1"/>
  <c r="C2832" i="3"/>
  <c r="E2832" i="3" s="1"/>
  <c r="I2832" i="3" s="1"/>
  <c r="C2833" i="3"/>
  <c r="E2833" i="3" s="1"/>
  <c r="I2833" i="3" s="1"/>
  <c r="C2834" i="3"/>
  <c r="E2834" i="3" s="1"/>
  <c r="I2834" i="3" s="1"/>
  <c r="C2835" i="3"/>
  <c r="E2835" i="3" s="1"/>
  <c r="I2835" i="3" s="1"/>
  <c r="C2836" i="3"/>
  <c r="E2836" i="3" s="1"/>
  <c r="I2836" i="3" s="1"/>
  <c r="C2837" i="3"/>
  <c r="E2837" i="3" s="1"/>
  <c r="I2837" i="3" s="1"/>
  <c r="C2838" i="3"/>
  <c r="E2838" i="3" s="1"/>
  <c r="I2838" i="3" s="1"/>
  <c r="C2839" i="3"/>
  <c r="E2839" i="3" s="1"/>
  <c r="I2839" i="3" s="1"/>
  <c r="C2840" i="3"/>
  <c r="E2840" i="3" s="1"/>
  <c r="I2840" i="3" s="1"/>
  <c r="C2841" i="3"/>
  <c r="E2841" i="3" s="1"/>
  <c r="I2841" i="3" s="1"/>
  <c r="C2842" i="3"/>
  <c r="E2842" i="3" s="1"/>
  <c r="I2842" i="3" s="1"/>
  <c r="C2843" i="3"/>
  <c r="E2843" i="3" s="1"/>
  <c r="I2843" i="3" s="1"/>
  <c r="C2844" i="3"/>
  <c r="E2844" i="3" s="1"/>
  <c r="I2844" i="3" s="1"/>
  <c r="C2845" i="3"/>
  <c r="E2845" i="3" s="1"/>
  <c r="I2845" i="3" s="1"/>
  <c r="C2846" i="3"/>
  <c r="E2846" i="3" s="1"/>
  <c r="I2846" i="3" s="1"/>
  <c r="C2847" i="3"/>
  <c r="E2847" i="3" s="1"/>
  <c r="I2847" i="3" s="1"/>
  <c r="C2848" i="3"/>
  <c r="E2848" i="3" s="1"/>
  <c r="I2848" i="3" s="1"/>
  <c r="C2849" i="3"/>
  <c r="E2849" i="3" s="1"/>
  <c r="I2849" i="3" s="1"/>
  <c r="C2850" i="3"/>
  <c r="E2850" i="3" s="1"/>
  <c r="I2850" i="3" s="1"/>
  <c r="C2851" i="3"/>
  <c r="E2851" i="3" s="1"/>
  <c r="I2851" i="3" s="1"/>
  <c r="C2852" i="3"/>
  <c r="E2852" i="3" s="1"/>
  <c r="I2852" i="3" s="1"/>
  <c r="C2853" i="3"/>
  <c r="E2853" i="3" s="1"/>
  <c r="I2853" i="3" s="1"/>
  <c r="C2854" i="3"/>
  <c r="E2854" i="3" s="1"/>
  <c r="I2854" i="3" s="1"/>
  <c r="C2855" i="3"/>
  <c r="E2855" i="3" s="1"/>
  <c r="I2855" i="3" s="1"/>
  <c r="C2856" i="3"/>
  <c r="E2856" i="3" s="1"/>
  <c r="I2856" i="3" s="1"/>
  <c r="C2857" i="3"/>
  <c r="E2857" i="3" s="1"/>
  <c r="I2857" i="3" s="1"/>
  <c r="C2858" i="3"/>
  <c r="E2858" i="3" s="1"/>
  <c r="I2858" i="3" s="1"/>
  <c r="C2859" i="3"/>
  <c r="E2859" i="3" s="1"/>
  <c r="I2859" i="3" s="1"/>
  <c r="C2860" i="3"/>
  <c r="E2860" i="3" s="1"/>
  <c r="I2860" i="3" s="1"/>
  <c r="C2861" i="3"/>
  <c r="E2861" i="3" s="1"/>
  <c r="I2861" i="3" s="1"/>
  <c r="C2862" i="3"/>
  <c r="E2862" i="3" s="1"/>
  <c r="I2862" i="3" s="1"/>
  <c r="C2863" i="3"/>
  <c r="E2863" i="3" s="1"/>
  <c r="I2863" i="3" s="1"/>
  <c r="C2864" i="3"/>
  <c r="E2864" i="3" s="1"/>
  <c r="I2864" i="3" s="1"/>
  <c r="C2865" i="3"/>
  <c r="E2865" i="3" s="1"/>
  <c r="I2865" i="3" s="1"/>
  <c r="C2866" i="3"/>
  <c r="E2866" i="3" s="1"/>
  <c r="I2866" i="3" s="1"/>
  <c r="C2867" i="3"/>
  <c r="E2867" i="3" s="1"/>
  <c r="I2867" i="3" s="1"/>
  <c r="C2868" i="3"/>
  <c r="E2868" i="3" s="1"/>
  <c r="I2868" i="3" s="1"/>
  <c r="C2869" i="3"/>
  <c r="E2869" i="3" s="1"/>
  <c r="I2869" i="3" s="1"/>
  <c r="C2870" i="3"/>
  <c r="E2870" i="3" s="1"/>
  <c r="I2870" i="3" s="1"/>
  <c r="C2871" i="3"/>
  <c r="E2871" i="3" s="1"/>
  <c r="I2871" i="3" s="1"/>
  <c r="C2872" i="3"/>
  <c r="E2872" i="3" s="1"/>
  <c r="I2872" i="3" s="1"/>
  <c r="C2873" i="3"/>
  <c r="E2873" i="3" s="1"/>
  <c r="I2873" i="3" s="1"/>
  <c r="C2874" i="3"/>
  <c r="E2874" i="3" s="1"/>
  <c r="I2874" i="3" s="1"/>
  <c r="C2875" i="3"/>
  <c r="E2875" i="3" s="1"/>
  <c r="I2875" i="3" s="1"/>
  <c r="C2876" i="3"/>
  <c r="E2876" i="3" s="1"/>
  <c r="I2876" i="3" s="1"/>
  <c r="C2877" i="3"/>
  <c r="E2877" i="3" s="1"/>
  <c r="I2877" i="3" s="1"/>
  <c r="C2878" i="3"/>
  <c r="E2878" i="3" s="1"/>
  <c r="I2878" i="3" s="1"/>
  <c r="C2879" i="3"/>
  <c r="E2879" i="3" s="1"/>
  <c r="I2879" i="3" s="1"/>
  <c r="C2880" i="3"/>
  <c r="E2880" i="3" s="1"/>
  <c r="I2880" i="3" s="1"/>
  <c r="C2881" i="3"/>
  <c r="E2881" i="3" s="1"/>
  <c r="I2881" i="3" s="1"/>
  <c r="C2882" i="3"/>
  <c r="E2882" i="3" s="1"/>
  <c r="I2882" i="3" s="1"/>
  <c r="C2883" i="3"/>
  <c r="E2883" i="3" s="1"/>
  <c r="I2883" i="3" s="1"/>
  <c r="C2884" i="3"/>
  <c r="E2884" i="3" s="1"/>
  <c r="I2884" i="3" s="1"/>
  <c r="C2885" i="3"/>
  <c r="E2885" i="3" s="1"/>
  <c r="I2885" i="3" s="1"/>
  <c r="C2886" i="3"/>
  <c r="E2886" i="3" s="1"/>
  <c r="I2886" i="3" s="1"/>
  <c r="C2887" i="3"/>
  <c r="E2887" i="3" s="1"/>
  <c r="I2887" i="3" s="1"/>
  <c r="C2888" i="3"/>
  <c r="E2888" i="3" s="1"/>
  <c r="I2888" i="3" s="1"/>
  <c r="C2889" i="3"/>
  <c r="E2889" i="3" s="1"/>
  <c r="I2889" i="3" s="1"/>
  <c r="C2890" i="3"/>
  <c r="E2890" i="3" s="1"/>
  <c r="I2890" i="3" s="1"/>
  <c r="C2891" i="3"/>
  <c r="E2891" i="3" s="1"/>
  <c r="I2891" i="3" s="1"/>
  <c r="C2892" i="3"/>
  <c r="E2892" i="3" s="1"/>
  <c r="I2892" i="3" s="1"/>
  <c r="C2893" i="3"/>
  <c r="E2893" i="3" s="1"/>
  <c r="I2893" i="3" s="1"/>
  <c r="C2894" i="3"/>
  <c r="E2894" i="3" s="1"/>
  <c r="I2894" i="3" s="1"/>
  <c r="C2895" i="3"/>
  <c r="E2895" i="3" s="1"/>
  <c r="I2895" i="3" s="1"/>
  <c r="C2896" i="3"/>
  <c r="E2896" i="3" s="1"/>
  <c r="I2896" i="3" s="1"/>
  <c r="C2897" i="3"/>
  <c r="E2897" i="3" s="1"/>
  <c r="I2897" i="3" s="1"/>
  <c r="C2898" i="3"/>
  <c r="E2898" i="3" s="1"/>
  <c r="I2898" i="3" s="1"/>
  <c r="C2899" i="3"/>
  <c r="E2899" i="3" s="1"/>
  <c r="I2899" i="3" s="1"/>
  <c r="C2900" i="3"/>
  <c r="E2900" i="3" s="1"/>
  <c r="I2900" i="3" s="1"/>
  <c r="C2901" i="3"/>
  <c r="E2901" i="3" s="1"/>
  <c r="I2901" i="3" s="1"/>
  <c r="C2902" i="3"/>
  <c r="E2902" i="3" s="1"/>
  <c r="I2902" i="3" s="1"/>
  <c r="C2903" i="3"/>
  <c r="E2903" i="3" s="1"/>
  <c r="I2903" i="3" s="1"/>
  <c r="C2904" i="3"/>
  <c r="E2904" i="3" s="1"/>
  <c r="I2904" i="3" s="1"/>
  <c r="C2905" i="3"/>
  <c r="E2905" i="3" s="1"/>
  <c r="I2905" i="3" s="1"/>
  <c r="C2906" i="3"/>
  <c r="E2906" i="3" s="1"/>
  <c r="I2906" i="3" s="1"/>
  <c r="C2907" i="3"/>
  <c r="E2907" i="3" s="1"/>
  <c r="I2907" i="3" s="1"/>
  <c r="C2908" i="3"/>
  <c r="E2908" i="3" s="1"/>
  <c r="I2908" i="3" s="1"/>
  <c r="C2909" i="3"/>
  <c r="E2909" i="3" s="1"/>
  <c r="I2909" i="3" s="1"/>
  <c r="C2910" i="3"/>
  <c r="E2910" i="3" s="1"/>
  <c r="I2910" i="3" s="1"/>
  <c r="C2911" i="3"/>
  <c r="E2911" i="3" s="1"/>
  <c r="I2911" i="3" s="1"/>
  <c r="C2912" i="3"/>
  <c r="E2912" i="3" s="1"/>
  <c r="I2912" i="3" s="1"/>
  <c r="C2913" i="3"/>
  <c r="E2913" i="3" s="1"/>
  <c r="I2913" i="3" s="1"/>
  <c r="C2914" i="3"/>
  <c r="E2914" i="3" s="1"/>
  <c r="I2914" i="3" s="1"/>
  <c r="C2915" i="3"/>
  <c r="E2915" i="3" s="1"/>
  <c r="I2915" i="3" s="1"/>
  <c r="C2916" i="3"/>
  <c r="E2916" i="3" s="1"/>
  <c r="I2916" i="3" s="1"/>
  <c r="C2917" i="3"/>
  <c r="E2917" i="3" s="1"/>
  <c r="I2917" i="3" s="1"/>
  <c r="C2918" i="3"/>
  <c r="E2918" i="3" s="1"/>
  <c r="I2918" i="3" s="1"/>
  <c r="C2919" i="3"/>
  <c r="E2919" i="3" s="1"/>
  <c r="I2919" i="3" s="1"/>
  <c r="C2920" i="3"/>
  <c r="E2920" i="3" s="1"/>
  <c r="I2920" i="3" s="1"/>
  <c r="C2921" i="3"/>
  <c r="E2921" i="3" s="1"/>
  <c r="I2921" i="3" s="1"/>
  <c r="C2922" i="3"/>
  <c r="E2922" i="3" s="1"/>
  <c r="I2922" i="3" s="1"/>
  <c r="C2923" i="3"/>
  <c r="E2923" i="3" s="1"/>
  <c r="I2923" i="3" s="1"/>
  <c r="C2924" i="3"/>
  <c r="E2924" i="3" s="1"/>
  <c r="I2924" i="3" s="1"/>
  <c r="C2925" i="3"/>
  <c r="E2925" i="3" s="1"/>
  <c r="I2925" i="3" s="1"/>
  <c r="C2926" i="3"/>
  <c r="E2926" i="3" s="1"/>
  <c r="I2926" i="3" s="1"/>
  <c r="C2927" i="3"/>
  <c r="E2927" i="3" s="1"/>
  <c r="I2927" i="3" s="1"/>
  <c r="C2928" i="3"/>
  <c r="E2928" i="3" s="1"/>
  <c r="I2928" i="3" s="1"/>
  <c r="C2929" i="3"/>
  <c r="E2929" i="3" s="1"/>
  <c r="I2929" i="3" s="1"/>
  <c r="C2930" i="3"/>
  <c r="E2930" i="3" s="1"/>
  <c r="I2930" i="3" s="1"/>
  <c r="C2931" i="3"/>
  <c r="E2931" i="3" s="1"/>
  <c r="I2931" i="3" s="1"/>
  <c r="C2932" i="3"/>
  <c r="E2932" i="3" s="1"/>
  <c r="I2932" i="3" s="1"/>
  <c r="C2933" i="3"/>
  <c r="E2933" i="3" s="1"/>
  <c r="I2933" i="3" s="1"/>
  <c r="C2934" i="3"/>
  <c r="E2934" i="3" s="1"/>
  <c r="I2934" i="3" s="1"/>
  <c r="C2935" i="3"/>
  <c r="E2935" i="3" s="1"/>
  <c r="I2935" i="3" s="1"/>
  <c r="C2936" i="3"/>
  <c r="E2936" i="3" s="1"/>
  <c r="I2936" i="3" s="1"/>
  <c r="C2937" i="3"/>
  <c r="E2937" i="3" s="1"/>
  <c r="I2937" i="3" s="1"/>
  <c r="C2938" i="3"/>
  <c r="E2938" i="3" s="1"/>
  <c r="I2938" i="3" s="1"/>
  <c r="C2939" i="3"/>
  <c r="E2939" i="3" s="1"/>
  <c r="I2939" i="3" s="1"/>
  <c r="C2940" i="3"/>
  <c r="E2940" i="3" s="1"/>
  <c r="I2940" i="3" s="1"/>
  <c r="C2941" i="3"/>
  <c r="E2941" i="3" s="1"/>
  <c r="I2941" i="3" s="1"/>
  <c r="C2942" i="3"/>
  <c r="E2942" i="3" s="1"/>
  <c r="I2942" i="3" s="1"/>
  <c r="C2943" i="3"/>
  <c r="E2943" i="3" s="1"/>
  <c r="I2943" i="3" s="1"/>
  <c r="C2944" i="3"/>
  <c r="E2944" i="3" s="1"/>
  <c r="I2944" i="3" s="1"/>
  <c r="C2945" i="3"/>
  <c r="E2945" i="3" s="1"/>
  <c r="I2945" i="3" s="1"/>
  <c r="C2946" i="3"/>
  <c r="E2946" i="3" s="1"/>
  <c r="I2946" i="3" s="1"/>
  <c r="C2947" i="3"/>
  <c r="E2947" i="3" s="1"/>
  <c r="I2947" i="3" s="1"/>
  <c r="C2948" i="3"/>
  <c r="E2948" i="3" s="1"/>
  <c r="I2948" i="3" s="1"/>
  <c r="C2949" i="3"/>
  <c r="E2949" i="3" s="1"/>
  <c r="I2949" i="3" s="1"/>
  <c r="C2950" i="3"/>
  <c r="E2950" i="3" s="1"/>
  <c r="I2950" i="3" s="1"/>
  <c r="C2951" i="3"/>
  <c r="E2951" i="3" s="1"/>
  <c r="I2951" i="3" s="1"/>
  <c r="C2952" i="3"/>
  <c r="E2952" i="3" s="1"/>
  <c r="I2952" i="3" s="1"/>
  <c r="C2953" i="3"/>
  <c r="E2953" i="3" s="1"/>
  <c r="I2953" i="3" s="1"/>
  <c r="C2954" i="3"/>
  <c r="E2954" i="3" s="1"/>
  <c r="I2954" i="3" s="1"/>
  <c r="C2955" i="3"/>
  <c r="E2955" i="3" s="1"/>
  <c r="I2955" i="3" s="1"/>
  <c r="C2956" i="3"/>
  <c r="E2956" i="3" s="1"/>
  <c r="I2956" i="3" s="1"/>
  <c r="C2957" i="3"/>
  <c r="E2957" i="3" s="1"/>
  <c r="I2957" i="3" s="1"/>
  <c r="C2958" i="3"/>
  <c r="E2958" i="3" s="1"/>
  <c r="I2958" i="3" s="1"/>
  <c r="C2959" i="3"/>
  <c r="E2959" i="3" s="1"/>
  <c r="I2959" i="3" s="1"/>
  <c r="C2960" i="3"/>
  <c r="E2960" i="3" s="1"/>
  <c r="I2960" i="3" s="1"/>
  <c r="C2961" i="3"/>
  <c r="E2961" i="3" s="1"/>
  <c r="I2961" i="3" s="1"/>
  <c r="C2962" i="3"/>
  <c r="E2962" i="3" s="1"/>
  <c r="I2962" i="3" s="1"/>
  <c r="C2963" i="3"/>
  <c r="E2963" i="3" s="1"/>
  <c r="I2963" i="3" s="1"/>
  <c r="C2964" i="3"/>
  <c r="E2964" i="3" s="1"/>
  <c r="I2964" i="3" s="1"/>
  <c r="C2965" i="3"/>
  <c r="E2965" i="3" s="1"/>
  <c r="I2965" i="3" s="1"/>
  <c r="C2966" i="3"/>
  <c r="E2966" i="3" s="1"/>
  <c r="I2966" i="3" s="1"/>
  <c r="C2967" i="3"/>
  <c r="E2967" i="3" s="1"/>
  <c r="I2967" i="3" s="1"/>
  <c r="C2968" i="3"/>
  <c r="E2968" i="3" s="1"/>
  <c r="I2968" i="3" s="1"/>
  <c r="C2969" i="3"/>
  <c r="E2969" i="3" s="1"/>
  <c r="I2969" i="3" s="1"/>
  <c r="C2970" i="3"/>
  <c r="E2970" i="3" s="1"/>
  <c r="I2970" i="3" s="1"/>
  <c r="C2971" i="3"/>
  <c r="E2971" i="3" s="1"/>
  <c r="I2971" i="3" s="1"/>
  <c r="C2972" i="3"/>
  <c r="E2972" i="3" s="1"/>
  <c r="I2972" i="3" s="1"/>
  <c r="C2973" i="3"/>
  <c r="E2973" i="3" s="1"/>
  <c r="I2973" i="3" s="1"/>
  <c r="C2974" i="3"/>
  <c r="E2974" i="3" s="1"/>
  <c r="I2974" i="3" s="1"/>
  <c r="C2975" i="3"/>
  <c r="E2975" i="3" s="1"/>
  <c r="I2975" i="3" s="1"/>
  <c r="C2976" i="3"/>
  <c r="E2976" i="3" s="1"/>
  <c r="I2976" i="3" s="1"/>
  <c r="C2977" i="3"/>
  <c r="E2977" i="3" s="1"/>
  <c r="I2977" i="3" s="1"/>
  <c r="C2978" i="3"/>
  <c r="E2978" i="3" s="1"/>
  <c r="I2978" i="3" s="1"/>
  <c r="C2979" i="3"/>
  <c r="E2979" i="3" s="1"/>
  <c r="I2979" i="3" s="1"/>
  <c r="C2980" i="3"/>
  <c r="E2980" i="3" s="1"/>
  <c r="I2980" i="3" s="1"/>
  <c r="C2981" i="3"/>
  <c r="E2981" i="3" s="1"/>
  <c r="I2981" i="3" s="1"/>
  <c r="C2982" i="3"/>
  <c r="E2982" i="3" s="1"/>
  <c r="I2982" i="3" s="1"/>
  <c r="C2983" i="3"/>
  <c r="E2983" i="3" s="1"/>
  <c r="I2983" i="3" s="1"/>
  <c r="C2984" i="3"/>
  <c r="E2984" i="3" s="1"/>
  <c r="I2984" i="3" s="1"/>
  <c r="C2985" i="3"/>
  <c r="E2985" i="3" s="1"/>
  <c r="I2985" i="3" s="1"/>
  <c r="C2986" i="3"/>
  <c r="E2986" i="3" s="1"/>
  <c r="I2986" i="3" s="1"/>
  <c r="C2987" i="3"/>
  <c r="E2987" i="3" s="1"/>
  <c r="I2987" i="3" s="1"/>
  <c r="C2988" i="3"/>
  <c r="E2988" i="3" s="1"/>
  <c r="I2988" i="3" s="1"/>
  <c r="C2989" i="3"/>
  <c r="E2989" i="3" s="1"/>
  <c r="I2989" i="3" s="1"/>
  <c r="C2990" i="3"/>
  <c r="E2990" i="3" s="1"/>
  <c r="I2990" i="3" s="1"/>
  <c r="C2991" i="3"/>
  <c r="E2991" i="3" s="1"/>
  <c r="I2991" i="3" s="1"/>
  <c r="C2992" i="3"/>
  <c r="E2992" i="3" s="1"/>
  <c r="I2992" i="3" s="1"/>
  <c r="C2993" i="3"/>
  <c r="E2993" i="3" s="1"/>
  <c r="I2993" i="3" s="1"/>
  <c r="C2994" i="3"/>
  <c r="E2994" i="3" s="1"/>
  <c r="I2994" i="3" s="1"/>
  <c r="C2995" i="3"/>
  <c r="E2995" i="3" s="1"/>
  <c r="I2995" i="3" s="1"/>
  <c r="C2996" i="3"/>
  <c r="E2996" i="3" s="1"/>
  <c r="I2996" i="3" s="1"/>
  <c r="C2997" i="3"/>
  <c r="E2997" i="3" s="1"/>
  <c r="I2997" i="3" s="1"/>
  <c r="C2998" i="3"/>
  <c r="E2998" i="3" s="1"/>
  <c r="I2998" i="3" s="1"/>
  <c r="C2999" i="3"/>
  <c r="E2999" i="3" s="1"/>
  <c r="I2999" i="3" s="1"/>
  <c r="C3000" i="3"/>
  <c r="E3000" i="3" s="1"/>
  <c r="I3000" i="3" s="1"/>
  <c r="C3001" i="3"/>
  <c r="E3001" i="3" s="1"/>
  <c r="I3001" i="3" s="1"/>
  <c r="C3002" i="3"/>
  <c r="E3002" i="3" s="1"/>
  <c r="I3002" i="3" s="1"/>
  <c r="C3003" i="3"/>
  <c r="E3003" i="3" s="1"/>
  <c r="I3003" i="3" s="1"/>
  <c r="C3004" i="3"/>
  <c r="E3004" i="3" s="1"/>
  <c r="I3004" i="3" s="1"/>
  <c r="C3005" i="3"/>
  <c r="E3005" i="3" s="1"/>
  <c r="I3005" i="3" s="1"/>
  <c r="C3006" i="3"/>
  <c r="E3006" i="3" s="1"/>
  <c r="I3006" i="3" s="1"/>
  <c r="C3007" i="3"/>
  <c r="E3007" i="3" s="1"/>
  <c r="I3007" i="3" s="1"/>
  <c r="C3008" i="3"/>
  <c r="E3008" i="3" s="1"/>
  <c r="I3008" i="3" s="1"/>
  <c r="C3009" i="3"/>
  <c r="E3009" i="3" s="1"/>
  <c r="I3009" i="3" s="1"/>
  <c r="C3010" i="3"/>
  <c r="E3010" i="3" s="1"/>
  <c r="I3010" i="3" s="1"/>
  <c r="C3011" i="3"/>
  <c r="E3011" i="3" s="1"/>
  <c r="I3011" i="3" s="1"/>
  <c r="C3012" i="3"/>
  <c r="E3012" i="3" s="1"/>
  <c r="I3012" i="3" s="1"/>
  <c r="C3013" i="3"/>
  <c r="E3013" i="3" s="1"/>
  <c r="I3013" i="3" s="1"/>
  <c r="C3014" i="3"/>
  <c r="E3014" i="3" s="1"/>
  <c r="I3014" i="3" s="1"/>
  <c r="C3015" i="3"/>
  <c r="E3015" i="3" s="1"/>
  <c r="I3015" i="3" s="1"/>
  <c r="C3016" i="3"/>
  <c r="E3016" i="3" s="1"/>
  <c r="I3016" i="3" s="1"/>
  <c r="C3017" i="3"/>
  <c r="E3017" i="3" s="1"/>
  <c r="I3017" i="3" s="1"/>
  <c r="C3018" i="3"/>
  <c r="E3018" i="3" s="1"/>
  <c r="I3018" i="3" s="1"/>
  <c r="C3019" i="3"/>
  <c r="E3019" i="3" s="1"/>
  <c r="I3019" i="3" s="1"/>
  <c r="C3020" i="3"/>
  <c r="E3020" i="3" s="1"/>
  <c r="I3020" i="3" s="1"/>
  <c r="C3021" i="3"/>
  <c r="E3021" i="3" s="1"/>
  <c r="I3021" i="3" s="1"/>
  <c r="C3022" i="3"/>
  <c r="E3022" i="3" s="1"/>
  <c r="I3022" i="3" s="1"/>
  <c r="C3023" i="3"/>
  <c r="E3023" i="3" s="1"/>
  <c r="I3023" i="3" s="1"/>
  <c r="C3024" i="3"/>
  <c r="E3024" i="3" s="1"/>
  <c r="I3024" i="3" s="1"/>
  <c r="C3025" i="3"/>
  <c r="E3025" i="3" s="1"/>
  <c r="I3025" i="3" s="1"/>
  <c r="C3026" i="3"/>
  <c r="E3026" i="3" s="1"/>
  <c r="I3026" i="3" s="1"/>
  <c r="C3027" i="3"/>
  <c r="E3027" i="3" s="1"/>
  <c r="I3027" i="3" s="1"/>
  <c r="C3028" i="3"/>
  <c r="E3028" i="3" s="1"/>
  <c r="I3028" i="3" s="1"/>
  <c r="C3029" i="3"/>
  <c r="E3029" i="3" s="1"/>
  <c r="I3029" i="3" s="1"/>
  <c r="C3030" i="3"/>
  <c r="E3030" i="3" s="1"/>
  <c r="I3030" i="3" s="1"/>
  <c r="C3031" i="3"/>
  <c r="E3031" i="3" s="1"/>
  <c r="I3031" i="3" s="1"/>
  <c r="C3032" i="3"/>
  <c r="E3032" i="3" s="1"/>
  <c r="I3032" i="3" s="1"/>
  <c r="C3033" i="3"/>
  <c r="E3033" i="3" s="1"/>
  <c r="I3033" i="3" s="1"/>
  <c r="C3034" i="3"/>
  <c r="E3034" i="3" s="1"/>
  <c r="I3034" i="3" s="1"/>
  <c r="C3035" i="3"/>
  <c r="E3035" i="3" s="1"/>
  <c r="I3035" i="3" s="1"/>
  <c r="C3036" i="3"/>
  <c r="E3036" i="3" s="1"/>
  <c r="I3036" i="3" s="1"/>
  <c r="C3037" i="3"/>
  <c r="E3037" i="3" s="1"/>
  <c r="I3037" i="3" s="1"/>
  <c r="C3038" i="3"/>
  <c r="E3038" i="3" s="1"/>
  <c r="I3038" i="3" s="1"/>
  <c r="C3039" i="3"/>
  <c r="E3039" i="3" s="1"/>
  <c r="I3039" i="3" s="1"/>
  <c r="C3040" i="3"/>
  <c r="E3040" i="3" s="1"/>
  <c r="I3040" i="3" s="1"/>
  <c r="C3041" i="3"/>
  <c r="E3041" i="3" s="1"/>
  <c r="I3041" i="3" s="1"/>
  <c r="C3042" i="3"/>
  <c r="E3042" i="3" s="1"/>
  <c r="I3042" i="3" s="1"/>
  <c r="C3043" i="3"/>
  <c r="E3043" i="3" s="1"/>
  <c r="I3043" i="3" s="1"/>
  <c r="C3044" i="3"/>
  <c r="E3044" i="3" s="1"/>
  <c r="I3044" i="3" s="1"/>
  <c r="C3045" i="3"/>
  <c r="E3045" i="3" s="1"/>
  <c r="I3045" i="3" s="1"/>
  <c r="C3046" i="3"/>
  <c r="E3046" i="3" s="1"/>
  <c r="I3046" i="3" s="1"/>
  <c r="C3047" i="3"/>
  <c r="E3047" i="3" s="1"/>
  <c r="I3047" i="3" s="1"/>
  <c r="C3048" i="3"/>
  <c r="E3048" i="3" s="1"/>
  <c r="I3048" i="3" s="1"/>
  <c r="C3049" i="3"/>
  <c r="E3049" i="3" s="1"/>
  <c r="I3049" i="3" s="1"/>
  <c r="C3050" i="3"/>
  <c r="E3050" i="3" s="1"/>
  <c r="I3050" i="3" s="1"/>
  <c r="C3051" i="3"/>
  <c r="E3051" i="3" s="1"/>
  <c r="I3051" i="3" s="1"/>
  <c r="C3052" i="3"/>
  <c r="E3052" i="3" s="1"/>
  <c r="I3052" i="3" s="1"/>
  <c r="C3053" i="3"/>
  <c r="E3053" i="3" s="1"/>
  <c r="I3053" i="3" s="1"/>
  <c r="C3054" i="3"/>
  <c r="E3054" i="3" s="1"/>
  <c r="I3054" i="3" s="1"/>
  <c r="C3055" i="3"/>
  <c r="E3055" i="3" s="1"/>
  <c r="I3055" i="3" s="1"/>
  <c r="C3056" i="3"/>
  <c r="E3056" i="3" s="1"/>
  <c r="I3056" i="3" s="1"/>
  <c r="C3057" i="3"/>
  <c r="E3057" i="3" s="1"/>
  <c r="I3057" i="3" s="1"/>
  <c r="C3058" i="3"/>
  <c r="E3058" i="3" s="1"/>
  <c r="I3058" i="3" s="1"/>
  <c r="C3059" i="3"/>
  <c r="E3059" i="3" s="1"/>
  <c r="I3059" i="3" s="1"/>
  <c r="C3060" i="3"/>
  <c r="E3060" i="3" s="1"/>
  <c r="I3060" i="3" s="1"/>
  <c r="C3061" i="3"/>
  <c r="E3061" i="3" s="1"/>
  <c r="I3061" i="3" s="1"/>
  <c r="C3062" i="3"/>
  <c r="E3062" i="3" s="1"/>
  <c r="I3062" i="3" s="1"/>
  <c r="C3063" i="3"/>
  <c r="E3063" i="3" s="1"/>
  <c r="I3063" i="3" s="1"/>
  <c r="C3064" i="3"/>
  <c r="E3064" i="3" s="1"/>
  <c r="I3064" i="3" s="1"/>
  <c r="C3065" i="3"/>
  <c r="E3065" i="3" s="1"/>
  <c r="I3065" i="3" s="1"/>
  <c r="C3066" i="3"/>
  <c r="E3066" i="3" s="1"/>
  <c r="I3066" i="3" s="1"/>
  <c r="C3067" i="3"/>
  <c r="E3067" i="3" s="1"/>
  <c r="I3067" i="3" s="1"/>
  <c r="C3068" i="3"/>
  <c r="E3068" i="3" s="1"/>
  <c r="I3068" i="3" s="1"/>
  <c r="C3069" i="3"/>
  <c r="E3069" i="3" s="1"/>
  <c r="I3069" i="3" s="1"/>
  <c r="C3070" i="3"/>
  <c r="E3070" i="3" s="1"/>
  <c r="I3070" i="3" s="1"/>
  <c r="C3071" i="3"/>
  <c r="E3071" i="3" s="1"/>
  <c r="I3071" i="3" s="1"/>
  <c r="C3072" i="3"/>
  <c r="E3072" i="3" s="1"/>
  <c r="I3072" i="3" s="1"/>
  <c r="C3073" i="3"/>
  <c r="E3073" i="3" s="1"/>
  <c r="I3073" i="3" s="1"/>
  <c r="C3074" i="3"/>
  <c r="E3074" i="3" s="1"/>
  <c r="I3074" i="3" s="1"/>
  <c r="C3075" i="3"/>
  <c r="E3075" i="3" s="1"/>
  <c r="I3075" i="3" s="1"/>
  <c r="C3076" i="3"/>
  <c r="E3076" i="3" s="1"/>
  <c r="I3076" i="3" s="1"/>
  <c r="C3077" i="3"/>
  <c r="E3077" i="3" s="1"/>
  <c r="I3077" i="3" s="1"/>
  <c r="C3078" i="3"/>
  <c r="E3078" i="3" s="1"/>
  <c r="I3078" i="3" s="1"/>
  <c r="C3079" i="3"/>
  <c r="E3079" i="3" s="1"/>
  <c r="I3079" i="3" s="1"/>
  <c r="C3080" i="3"/>
  <c r="E3080" i="3" s="1"/>
  <c r="I3080" i="3" s="1"/>
  <c r="C3081" i="3"/>
  <c r="E3081" i="3" s="1"/>
  <c r="I3081" i="3" s="1"/>
  <c r="C3082" i="3"/>
  <c r="E3082" i="3" s="1"/>
  <c r="I3082" i="3" s="1"/>
  <c r="C3083" i="3"/>
  <c r="E3083" i="3" s="1"/>
  <c r="I3083" i="3" s="1"/>
  <c r="C3084" i="3"/>
  <c r="E3084" i="3" s="1"/>
  <c r="I3084" i="3" s="1"/>
  <c r="C3085" i="3"/>
  <c r="E3085" i="3" s="1"/>
  <c r="I3085" i="3" s="1"/>
  <c r="C3086" i="3"/>
  <c r="E3086" i="3" s="1"/>
  <c r="I3086" i="3" s="1"/>
  <c r="C3087" i="3"/>
  <c r="E3087" i="3" s="1"/>
  <c r="I3087" i="3" s="1"/>
  <c r="C3088" i="3"/>
  <c r="E3088" i="3" s="1"/>
  <c r="I3088" i="3" s="1"/>
  <c r="C3089" i="3"/>
  <c r="E3089" i="3" s="1"/>
  <c r="I3089" i="3" s="1"/>
  <c r="C3090" i="3"/>
  <c r="E3090" i="3" s="1"/>
  <c r="I3090" i="3" s="1"/>
  <c r="C3091" i="3"/>
  <c r="E3091" i="3" s="1"/>
  <c r="I3091" i="3" s="1"/>
  <c r="C3092" i="3"/>
  <c r="E3092" i="3" s="1"/>
  <c r="I3092" i="3" s="1"/>
  <c r="C3093" i="3"/>
  <c r="E3093" i="3" s="1"/>
  <c r="I3093" i="3" s="1"/>
  <c r="C3094" i="3"/>
  <c r="E3094" i="3" s="1"/>
  <c r="I3094" i="3" s="1"/>
  <c r="C3095" i="3"/>
  <c r="E3095" i="3" s="1"/>
  <c r="I3095" i="3" s="1"/>
  <c r="C3096" i="3"/>
  <c r="E3096" i="3" s="1"/>
  <c r="I3096" i="3" s="1"/>
  <c r="C3097" i="3"/>
  <c r="E3097" i="3" s="1"/>
  <c r="I3097" i="3" s="1"/>
  <c r="C3098" i="3"/>
  <c r="E3098" i="3" s="1"/>
  <c r="I3098" i="3" s="1"/>
  <c r="C3099" i="3"/>
  <c r="E3099" i="3" s="1"/>
  <c r="I3099" i="3" s="1"/>
  <c r="C3100" i="3"/>
  <c r="E3100" i="3" s="1"/>
  <c r="I3100" i="3" s="1"/>
  <c r="C3101" i="3"/>
  <c r="E3101" i="3" s="1"/>
  <c r="I3101" i="3" s="1"/>
  <c r="C3102" i="3"/>
  <c r="E3102" i="3" s="1"/>
  <c r="I3102" i="3" s="1"/>
  <c r="C3103" i="3"/>
  <c r="E3103" i="3" s="1"/>
  <c r="I3103" i="3" s="1"/>
  <c r="C3104" i="3"/>
  <c r="E3104" i="3" s="1"/>
  <c r="I3104" i="3" s="1"/>
  <c r="C3105" i="3"/>
  <c r="E3105" i="3" s="1"/>
  <c r="I3105" i="3" s="1"/>
  <c r="C3106" i="3"/>
  <c r="E3106" i="3" s="1"/>
  <c r="I3106" i="3" s="1"/>
  <c r="C3107" i="3"/>
  <c r="E3107" i="3" s="1"/>
  <c r="I3107" i="3" s="1"/>
  <c r="C3108" i="3"/>
  <c r="E3108" i="3" s="1"/>
  <c r="I3108" i="3" s="1"/>
  <c r="C3109" i="3"/>
  <c r="E3109" i="3" s="1"/>
  <c r="I3109" i="3" s="1"/>
  <c r="C3110" i="3"/>
  <c r="E3110" i="3" s="1"/>
  <c r="I3110" i="3" s="1"/>
  <c r="C3111" i="3"/>
  <c r="E3111" i="3" s="1"/>
  <c r="I3111" i="3" s="1"/>
  <c r="C3112" i="3"/>
  <c r="E3112" i="3" s="1"/>
  <c r="I3112" i="3" s="1"/>
  <c r="C3113" i="3"/>
  <c r="E3113" i="3" s="1"/>
  <c r="I3113" i="3" s="1"/>
  <c r="C3114" i="3"/>
  <c r="E3114" i="3" s="1"/>
  <c r="I3114" i="3" s="1"/>
  <c r="C3115" i="3"/>
  <c r="E3115" i="3" s="1"/>
  <c r="I3115" i="3" s="1"/>
  <c r="C3116" i="3"/>
  <c r="E3116" i="3" s="1"/>
  <c r="I3116" i="3" s="1"/>
  <c r="C3117" i="3"/>
  <c r="E3117" i="3" s="1"/>
  <c r="I3117" i="3" s="1"/>
  <c r="C3118" i="3"/>
  <c r="E3118" i="3" s="1"/>
  <c r="I3118" i="3" s="1"/>
  <c r="C3119" i="3"/>
  <c r="E3119" i="3" s="1"/>
  <c r="I3119" i="3" s="1"/>
  <c r="C3120" i="3"/>
  <c r="E3120" i="3" s="1"/>
  <c r="I3120" i="3" s="1"/>
  <c r="C3121" i="3"/>
  <c r="E3121" i="3" s="1"/>
  <c r="I3121" i="3" s="1"/>
  <c r="C3122" i="3"/>
  <c r="E3122" i="3" s="1"/>
  <c r="I3122" i="3" s="1"/>
  <c r="C3123" i="3"/>
  <c r="E3123" i="3" s="1"/>
  <c r="I3123" i="3" s="1"/>
  <c r="C3124" i="3"/>
  <c r="E3124" i="3" s="1"/>
  <c r="I3124" i="3" s="1"/>
  <c r="C3125" i="3"/>
  <c r="E3125" i="3" s="1"/>
  <c r="I3125" i="3" s="1"/>
  <c r="C3126" i="3"/>
  <c r="E3126" i="3" s="1"/>
  <c r="I3126" i="3" s="1"/>
  <c r="C3127" i="3"/>
  <c r="E3127" i="3" s="1"/>
  <c r="I3127" i="3" s="1"/>
  <c r="C3128" i="3"/>
  <c r="E3128" i="3" s="1"/>
  <c r="I3128" i="3" s="1"/>
  <c r="C3129" i="3"/>
  <c r="E3129" i="3" s="1"/>
  <c r="I3129" i="3" s="1"/>
  <c r="C3130" i="3"/>
  <c r="E3130" i="3" s="1"/>
  <c r="I3130" i="3" s="1"/>
  <c r="C3131" i="3"/>
  <c r="E3131" i="3" s="1"/>
  <c r="I3131" i="3" s="1"/>
  <c r="C3132" i="3"/>
  <c r="E3132" i="3" s="1"/>
  <c r="I3132" i="3" s="1"/>
  <c r="C3133" i="3"/>
  <c r="E3133" i="3" s="1"/>
  <c r="I3133" i="3" s="1"/>
  <c r="C3134" i="3"/>
  <c r="E3134" i="3" s="1"/>
  <c r="I3134" i="3" s="1"/>
  <c r="C3135" i="3"/>
  <c r="E3135" i="3" s="1"/>
  <c r="I3135" i="3" s="1"/>
  <c r="C3136" i="3"/>
  <c r="E3136" i="3" s="1"/>
  <c r="I3136" i="3" s="1"/>
  <c r="C3137" i="3"/>
  <c r="E3137" i="3" s="1"/>
  <c r="I3137" i="3" s="1"/>
  <c r="C3138" i="3"/>
  <c r="E3138" i="3" s="1"/>
  <c r="I3138" i="3" s="1"/>
  <c r="C3139" i="3"/>
  <c r="E3139" i="3" s="1"/>
  <c r="I3139" i="3" s="1"/>
  <c r="C3140" i="3"/>
  <c r="E3140" i="3" s="1"/>
  <c r="I3140" i="3" s="1"/>
  <c r="C3141" i="3"/>
  <c r="E3141" i="3" s="1"/>
  <c r="I3141" i="3" s="1"/>
  <c r="C3142" i="3"/>
  <c r="E3142" i="3" s="1"/>
  <c r="I3142" i="3" s="1"/>
  <c r="C3143" i="3"/>
  <c r="E3143" i="3" s="1"/>
  <c r="I3143" i="3" s="1"/>
  <c r="C3144" i="3"/>
  <c r="E3144" i="3" s="1"/>
  <c r="I3144" i="3" s="1"/>
  <c r="C3145" i="3"/>
  <c r="E3145" i="3" s="1"/>
  <c r="I3145" i="3" s="1"/>
  <c r="C3146" i="3"/>
  <c r="E3146" i="3" s="1"/>
  <c r="I3146" i="3" s="1"/>
  <c r="C3147" i="3"/>
  <c r="E3147" i="3" s="1"/>
  <c r="I3147" i="3" s="1"/>
  <c r="C3148" i="3"/>
  <c r="E3148" i="3" s="1"/>
  <c r="I3148" i="3" s="1"/>
  <c r="C3149" i="3"/>
  <c r="E3149" i="3" s="1"/>
  <c r="I3149" i="3" s="1"/>
  <c r="C3150" i="3"/>
  <c r="E3150" i="3" s="1"/>
  <c r="I3150" i="3" s="1"/>
  <c r="C3151" i="3"/>
  <c r="E3151" i="3" s="1"/>
  <c r="I3151" i="3" s="1"/>
  <c r="C3152" i="3"/>
  <c r="E3152" i="3" s="1"/>
  <c r="I3152" i="3" s="1"/>
  <c r="C3153" i="3"/>
  <c r="E3153" i="3" s="1"/>
  <c r="I3153" i="3" s="1"/>
  <c r="C3154" i="3"/>
  <c r="E3154" i="3" s="1"/>
  <c r="I3154" i="3" s="1"/>
  <c r="C3155" i="3"/>
  <c r="E3155" i="3" s="1"/>
  <c r="I3155" i="3" s="1"/>
  <c r="C3156" i="3"/>
  <c r="E3156" i="3" s="1"/>
  <c r="I3156" i="3" s="1"/>
  <c r="C3157" i="3"/>
  <c r="E3157" i="3" s="1"/>
  <c r="I3157" i="3" s="1"/>
  <c r="C3158" i="3"/>
  <c r="E3158" i="3" s="1"/>
  <c r="I3158" i="3" s="1"/>
  <c r="C3159" i="3"/>
  <c r="E3159" i="3" s="1"/>
  <c r="I3159" i="3" s="1"/>
  <c r="C3160" i="3"/>
  <c r="E3160" i="3" s="1"/>
  <c r="I3160" i="3" s="1"/>
  <c r="C3161" i="3"/>
  <c r="E3161" i="3" s="1"/>
  <c r="I3161" i="3" s="1"/>
  <c r="C3162" i="3"/>
  <c r="E3162" i="3" s="1"/>
  <c r="I3162" i="3" s="1"/>
  <c r="C3163" i="3"/>
  <c r="E3163" i="3" s="1"/>
  <c r="I3163" i="3" s="1"/>
  <c r="C3164" i="3"/>
  <c r="E3164" i="3" s="1"/>
  <c r="I3164" i="3" s="1"/>
  <c r="C3165" i="3"/>
  <c r="E3165" i="3" s="1"/>
  <c r="I3165" i="3" s="1"/>
  <c r="C3166" i="3"/>
  <c r="E3166" i="3" s="1"/>
  <c r="I3166" i="3" s="1"/>
  <c r="C3167" i="3"/>
  <c r="E3167" i="3" s="1"/>
  <c r="I3167" i="3" s="1"/>
  <c r="C3168" i="3"/>
  <c r="E3168" i="3" s="1"/>
  <c r="I3168" i="3" s="1"/>
  <c r="C3169" i="3"/>
  <c r="E3169" i="3" s="1"/>
  <c r="I3169" i="3" s="1"/>
  <c r="C3170" i="3"/>
  <c r="E3170" i="3" s="1"/>
  <c r="I3170" i="3" s="1"/>
  <c r="C3171" i="3"/>
  <c r="E3171" i="3" s="1"/>
  <c r="I3171" i="3" s="1"/>
  <c r="C3172" i="3"/>
  <c r="E3172" i="3" s="1"/>
  <c r="I3172" i="3" s="1"/>
  <c r="C3173" i="3"/>
  <c r="E3173" i="3" s="1"/>
  <c r="I3173" i="3" s="1"/>
  <c r="C3174" i="3"/>
  <c r="E3174" i="3" s="1"/>
  <c r="I3174" i="3" s="1"/>
  <c r="C3175" i="3"/>
  <c r="E3175" i="3" s="1"/>
  <c r="I3175" i="3" s="1"/>
  <c r="C3176" i="3"/>
  <c r="E3176" i="3" s="1"/>
  <c r="I3176" i="3" s="1"/>
  <c r="C3177" i="3"/>
  <c r="E3177" i="3" s="1"/>
  <c r="I3177" i="3" s="1"/>
  <c r="C3178" i="3"/>
  <c r="E3178" i="3" s="1"/>
  <c r="I3178" i="3" s="1"/>
  <c r="C3179" i="3"/>
  <c r="E3179" i="3" s="1"/>
  <c r="I3179" i="3" s="1"/>
  <c r="C3180" i="3"/>
  <c r="E3180" i="3" s="1"/>
  <c r="I3180" i="3" s="1"/>
  <c r="C3181" i="3"/>
  <c r="E3181" i="3" s="1"/>
  <c r="I3181" i="3" s="1"/>
  <c r="C3182" i="3"/>
  <c r="E3182" i="3" s="1"/>
  <c r="I3182" i="3" s="1"/>
  <c r="C3183" i="3"/>
  <c r="E3183" i="3" s="1"/>
  <c r="I3183" i="3" s="1"/>
  <c r="C3184" i="3"/>
  <c r="E3184" i="3" s="1"/>
  <c r="I3184" i="3" s="1"/>
  <c r="C3185" i="3"/>
  <c r="E3185" i="3" s="1"/>
  <c r="I3185" i="3" s="1"/>
  <c r="C3186" i="3"/>
  <c r="E3186" i="3" s="1"/>
  <c r="I3186" i="3" s="1"/>
  <c r="C3187" i="3"/>
  <c r="E3187" i="3" s="1"/>
  <c r="I3187" i="3" s="1"/>
  <c r="C3188" i="3"/>
  <c r="E3188" i="3" s="1"/>
  <c r="I3188" i="3" s="1"/>
  <c r="C3189" i="3"/>
  <c r="E3189" i="3" s="1"/>
  <c r="I3189" i="3" s="1"/>
  <c r="C3190" i="3"/>
  <c r="E3190" i="3" s="1"/>
  <c r="I3190" i="3" s="1"/>
  <c r="C3191" i="3"/>
  <c r="E3191" i="3" s="1"/>
  <c r="I3191" i="3" s="1"/>
  <c r="C3192" i="3"/>
  <c r="E3192" i="3" s="1"/>
  <c r="I3192" i="3" s="1"/>
  <c r="C3193" i="3"/>
  <c r="E3193" i="3" s="1"/>
  <c r="I3193" i="3" s="1"/>
  <c r="C3194" i="3"/>
  <c r="E3194" i="3" s="1"/>
  <c r="I3194" i="3" s="1"/>
  <c r="C3195" i="3"/>
  <c r="E3195" i="3" s="1"/>
  <c r="I3195" i="3" s="1"/>
  <c r="C3196" i="3"/>
  <c r="E3196" i="3" s="1"/>
  <c r="I3196" i="3" s="1"/>
  <c r="C3197" i="3"/>
  <c r="E3197" i="3" s="1"/>
  <c r="I3197" i="3" s="1"/>
  <c r="C3198" i="3"/>
  <c r="E3198" i="3" s="1"/>
  <c r="I3198" i="3" s="1"/>
  <c r="C3199" i="3"/>
  <c r="E3199" i="3" s="1"/>
  <c r="I3199" i="3" s="1"/>
  <c r="C3200" i="3"/>
  <c r="E3200" i="3" s="1"/>
  <c r="I3200" i="3" s="1"/>
  <c r="C3201" i="3"/>
  <c r="E3201" i="3" s="1"/>
  <c r="I3201" i="3" s="1"/>
  <c r="C3202" i="3"/>
  <c r="E3202" i="3" s="1"/>
  <c r="I3202" i="3" s="1"/>
  <c r="C3203" i="3"/>
  <c r="E3203" i="3" s="1"/>
  <c r="I3203" i="3" s="1"/>
  <c r="C3204" i="3"/>
  <c r="E3204" i="3" s="1"/>
  <c r="I3204" i="3" s="1"/>
  <c r="C3205" i="3"/>
  <c r="E3205" i="3" s="1"/>
  <c r="I3205" i="3" s="1"/>
  <c r="C3206" i="3"/>
  <c r="E3206" i="3" s="1"/>
  <c r="I3206" i="3" s="1"/>
  <c r="C3207" i="3"/>
  <c r="E3207" i="3" s="1"/>
  <c r="I3207" i="3" s="1"/>
  <c r="C3208" i="3"/>
  <c r="E3208" i="3" s="1"/>
  <c r="I3208" i="3" s="1"/>
  <c r="C3209" i="3"/>
  <c r="E3209" i="3" s="1"/>
  <c r="I3209" i="3" s="1"/>
  <c r="C3210" i="3"/>
  <c r="E3210" i="3" s="1"/>
  <c r="I3210" i="3" s="1"/>
  <c r="C3211" i="3"/>
  <c r="E3211" i="3" s="1"/>
  <c r="I3211" i="3" s="1"/>
  <c r="C3212" i="3"/>
  <c r="E3212" i="3" s="1"/>
  <c r="I3212" i="3" s="1"/>
  <c r="C3213" i="3"/>
  <c r="E3213" i="3" s="1"/>
  <c r="I3213" i="3" s="1"/>
  <c r="C3214" i="3"/>
  <c r="E3214" i="3" s="1"/>
  <c r="I3214" i="3" s="1"/>
  <c r="C3215" i="3"/>
  <c r="E3215" i="3" s="1"/>
  <c r="I3215" i="3" s="1"/>
  <c r="C3216" i="3"/>
  <c r="E3216" i="3" s="1"/>
  <c r="I3216" i="3" s="1"/>
  <c r="C3217" i="3"/>
  <c r="E3217" i="3" s="1"/>
  <c r="I3217" i="3" s="1"/>
  <c r="C3218" i="3"/>
  <c r="E3218" i="3" s="1"/>
  <c r="I3218" i="3" s="1"/>
  <c r="C3219" i="3"/>
  <c r="E3219" i="3" s="1"/>
  <c r="I3219" i="3" s="1"/>
  <c r="C3220" i="3"/>
  <c r="E3220" i="3" s="1"/>
  <c r="I3220" i="3" s="1"/>
  <c r="C3221" i="3"/>
  <c r="E3221" i="3" s="1"/>
  <c r="I3221" i="3" s="1"/>
  <c r="C3222" i="3"/>
  <c r="E3222" i="3" s="1"/>
  <c r="I3222" i="3" s="1"/>
  <c r="C3223" i="3"/>
  <c r="E3223" i="3" s="1"/>
  <c r="I3223" i="3" s="1"/>
  <c r="C3224" i="3"/>
  <c r="E3224" i="3" s="1"/>
  <c r="I3224" i="3" s="1"/>
  <c r="C3225" i="3"/>
  <c r="E3225" i="3" s="1"/>
  <c r="I3225" i="3" s="1"/>
  <c r="C3226" i="3"/>
  <c r="E3226" i="3" s="1"/>
  <c r="I3226" i="3" s="1"/>
  <c r="C3227" i="3"/>
  <c r="E3227" i="3" s="1"/>
  <c r="I3227" i="3" s="1"/>
  <c r="C3228" i="3"/>
  <c r="E3228" i="3" s="1"/>
  <c r="I3228" i="3" s="1"/>
  <c r="C3229" i="3"/>
  <c r="E3229" i="3" s="1"/>
  <c r="I3229" i="3" s="1"/>
  <c r="C3230" i="3"/>
  <c r="E3230" i="3" s="1"/>
  <c r="I3230" i="3" s="1"/>
  <c r="C3231" i="3"/>
  <c r="E3231" i="3" s="1"/>
  <c r="I3231" i="3" s="1"/>
  <c r="C3232" i="3"/>
  <c r="E3232" i="3" s="1"/>
  <c r="I3232" i="3" s="1"/>
  <c r="C3233" i="3"/>
  <c r="E3233" i="3" s="1"/>
  <c r="I3233" i="3" s="1"/>
  <c r="C3234" i="3"/>
  <c r="E3234" i="3" s="1"/>
  <c r="I3234" i="3" s="1"/>
  <c r="C3235" i="3"/>
  <c r="E3235" i="3" s="1"/>
  <c r="I3235" i="3" s="1"/>
  <c r="I3242" i="3"/>
  <c r="I3243" i="3"/>
  <c r="P2830" i="3" l="1"/>
  <c r="P2078" i="3"/>
  <c r="P2989" i="3"/>
  <c r="P2253" i="3"/>
  <c r="P2666" i="3"/>
  <c r="P2344" i="3"/>
  <c r="P1752" i="3"/>
  <c r="P2551" i="3"/>
  <c r="P1847" i="3"/>
  <c r="P2006" i="3"/>
  <c r="P2421" i="3"/>
  <c r="P1909" i="3"/>
  <c r="P2916" i="3"/>
  <c r="P2708" i="3"/>
  <c r="P2163" i="3"/>
  <c r="P2497" i="3"/>
  <c r="P1537" i="3"/>
  <c r="R1537" i="3" s="1"/>
  <c r="P3047" i="3"/>
  <c r="P1638" i="3"/>
  <c r="R1638" i="3" s="1"/>
  <c r="L1661" i="3"/>
  <c r="C3" i="1"/>
  <c r="F3" i="1" s="1"/>
  <c r="G2" i="1"/>
  <c r="C4" i="1"/>
  <c r="F4" i="1" s="1"/>
  <c r="C5" i="1"/>
  <c r="F5" i="1" s="1"/>
  <c r="C6" i="1"/>
  <c r="F6" i="1" s="1"/>
  <c r="C7" i="1"/>
  <c r="F7" i="1" s="1"/>
  <c r="C8" i="1"/>
  <c r="F8" i="1" s="1"/>
  <c r="C9" i="1"/>
  <c r="F9" i="1" s="1"/>
  <c r="C10" i="1"/>
  <c r="F10" i="1" s="1"/>
  <c r="C11" i="1"/>
  <c r="F11" i="1" s="1"/>
  <c r="C12" i="1"/>
  <c r="F12" i="1" s="1"/>
  <c r="C13" i="1"/>
  <c r="F13" i="1" s="1"/>
  <c r="C14" i="1"/>
  <c r="F14" i="1" s="1"/>
  <c r="C15" i="1"/>
  <c r="F15" i="1" s="1"/>
  <c r="C16" i="1"/>
  <c r="F16" i="1" s="1"/>
  <c r="C17" i="1"/>
  <c r="F17" i="1" s="1"/>
  <c r="C18" i="1"/>
  <c r="F18" i="1" s="1"/>
  <c r="C19" i="1"/>
  <c r="F19" i="1" s="1"/>
  <c r="C20" i="1"/>
  <c r="F20" i="1" s="1"/>
  <c r="C21" i="1"/>
  <c r="F21" i="1" s="1"/>
  <c r="C22" i="1"/>
  <c r="F22" i="1" s="1"/>
  <c r="C23" i="1"/>
  <c r="F23" i="1" s="1"/>
  <c r="C24" i="1"/>
  <c r="F24" i="1" s="1"/>
  <c r="C25" i="1"/>
  <c r="F25" i="1" s="1"/>
  <c r="C26" i="1"/>
  <c r="F26" i="1" s="1"/>
  <c r="C27" i="1"/>
  <c r="F27" i="1" s="1"/>
  <c r="C28" i="1"/>
  <c r="F28" i="1" s="1"/>
  <c r="C29" i="1"/>
  <c r="F29" i="1" s="1"/>
  <c r="C30" i="1"/>
  <c r="F30" i="1" s="1"/>
  <c r="C31" i="1"/>
  <c r="F31" i="1" s="1"/>
  <c r="C32" i="1"/>
  <c r="F32" i="1" s="1"/>
  <c r="C33" i="1"/>
  <c r="F33" i="1" s="1"/>
  <c r="C34" i="1"/>
  <c r="F34" i="1" s="1"/>
  <c r="C35" i="1"/>
  <c r="F35" i="1" s="1"/>
  <c r="C36" i="1"/>
  <c r="F36" i="1" s="1"/>
  <c r="C37" i="1"/>
  <c r="F37" i="1" s="1"/>
  <c r="C38" i="1"/>
  <c r="F38" i="1" s="1"/>
  <c r="C39" i="1"/>
  <c r="F39" i="1" s="1"/>
  <c r="C40" i="1"/>
  <c r="F40" i="1" s="1"/>
  <c r="C41" i="1"/>
  <c r="F41" i="1" s="1"/>
  <c r="C42" i="1"/>
  <c r="F42" i="1" s="1"/>
  <c r="C43" i="1"/>
  <c r="F43" i="1" s="1"/>
  <c r="C44" i="1"/>
  <c r="F44" i="1" s="1"/>
  <c r="C45" i="1"/>
  <c r="F45" i="1" s="1"/>
  <c r="C46" i="1"/>
  <c r="F46" i="1" s="1"/>
  <c r="C47" i="1"/>
  <c r="F47" i="1" s="1"/>
  <c r="C48" i="1"/>
  <c r="F48" i="1" s="1"/>
  <c r="C49" i="1"/>
  <c r="F49" i="1" s="1"/>
  <c r="C50" i="1"/>
  <c r="F50" i="1" s="1"/>
  <c r="C51" i="1"/>
  <c r="F51" i="1" s="1"/>
  <c r="C52" i="1"/>
  <c r="F52" i="1" s="1"/>
  <c r="C53" i="1"/>
  <c r="F53" i="1" s="1"/>
  <c r="C54" i="1"/>
  <c r="F54" i="1" s="1"/>
  <c r="C55" i="1"/>
  <c r="F55" i="1" s="1"/>
  <c r="C56" i="1"/>
  <c r="F56" i="1" s="1"/>
  <c r="C57" i="1"/>
  <c r="F57" i="1" s="1"/>
  <c r="C58" i="1"/>
  <c r="F58" i="1" s="1"/>
  <c r="C59" i="1"/>
  <c r="F59" i="1" s="1"/>
  <c r="C60" i="1"/>
  <c r="F60" i="1" s="1"/>
  <c r="C61" i="1"/>
  <c r="F61" i="1" s="1"/>
  <c r="C62" i="1"/>
  <c r="F62" i="1" s="1"/>
  <c r="C63" i="1"/>
  <c r="F63" i="1" s="1"/>
  <c r="C64" i="1"/>
  <c r="F64" i="1" s="1"/>
  <c r="C65" i="1"/>
  <c r="F65" i="1" s="1"/>
  <c r="C66" i="1"/>
  <c r="F66" i="1" s="1"/>
  <c r="C67" i="1"/>
  <c r="F67" i="1" s="1"/>
  <c r="C68" i="1"/>
  <c r="F68" i="1" s="1"/>
  <c r="C69" i="1"/>
  <c r="F69" i="1" s="1"/>
  <c r="C70" i="1"/>
  <c r="F70" i="1" s="1"/>
  <c r="C71" i="1"/>
  <c r="F71" i="1" s="1"/>
  <c r="C72" i="1"/>
  <c r="F72" i="1" s="1"/>
  <c r="C73" i="1"/>
  <c r="F73" i="1" s="1"/>
  <c r="C74" i="1"/>
  <c r="F74" i="1" s="1"/>
  <c r="C75" i="1"/>
  <c r="F75" i="1" s="1"/>
  <c r="C76" i="1"/>
  <c r="F76" i="1" s="1"/>
  <c r="C77" i="1"/>
  <c r="F77" i="1" s="1"/>
  <c r="C78" i="1"/>
  <c r="F78" i="1" s="1"/>
  <c r="C79" i="1"/>
  <c r="F79" i="1" s="1"/>
  <c r="C80" i="1"/>
  <c r="F80" i="1" s="1"/>
  <c r="C81" i="1"/>
  <c r="F81" i="1" s="1"/>
  <c r="C82" i="1"/>
  <c r="F82" i="1" s="1"/>
  <c r="C83" i="1"/>
  <c r="F83" i="1" s="1"/>
  <c r="C84" i="1"/>
  <c r="F84" i="1" s="1"/>
  <c r="C85" i="1"/>
  <c r="F85" i="1" s="1"/>
  <c r="C86" i="1"/>
  <c r="F86" i="1" s="1"/>
  <c r="C87" i="1"/>
  <c r="F87" i="1" s="1"/>
  <c r="C88" i="1"/>
  <c r="F88" i="1" s="1"/>
  <c r="C89" i="1"/>
  <c r="F89" i="1" s="1"/>
  <c r="C90" i="1"/>
  <c r="F90" i="1" s="1"/>
  <c r="C91" i="1"/>
  <c r="F91" i="1" s="1"/>
  <c r="C92" i="1"/>
  <c r="F92" i="1" s="1"/>
  <c r="C93" i="1"/>
  <c r="F93" i="1" s="1"/>
  <c r="C94" i="1"/>
  <c r="F94" i="1" s="1"/>
  <c r="C95" i="1"/>
  <c r="F95" i="1" s="1"/>
  <c r="C96" i="1"/>
  <c r="F96" i="1" s="1"/>
  <c r="C97" i="1"/>
  <c r="F97" i="1" s="1"/>
  <c r="C98" i="1"/>
  <c r="F98" i="1" s="1"/>
  <c r="C99" i="1"/>
  <c r="F99" i="1" s="1"/>
  <c r="C100" i="1"/>
  <c r="F100" i="1" s="1"/>
  <c r="C101" i="1"/>
  <c r="F101" i="1" s="1"/>
  <c r="C102" i="1"/>
  <c r="F102" i="1" s="1"/>
  <c r="C103" i="1"/>
  <c r="F103" i="1" s="1"/>
  <c r="C104" i="1"/>
  <c r="F104" i="1" s="1"/>
  <c r="C105" i="1"/>
  <c r="F105" i="1" s="1"/>
  <c r="C106" i="1"/>
  <c r="F106" i="1" s="1"/>
  <c r="C107" i="1"/>
  <c r="F107" i="1" s="1"/>
  <c r="C108" i="1"/>
  <c r="F108" i="1" s="1"/>
  <c r="C109" i="1"/>
  <c r="F109" i="1" s="1"/>
  <c r="C110" i="1"/>
  <c r="F110" i="1" s="1"/>
  <c r="C111" i="1"/>
  <c r="F111" i="1" s="1"/>
  <c r="C112" i="1"/>
  <c r="F112" i="1" s="1"/>
  <c r="C113" i="1"/>
  <c r="F113" i="1" s="1"/>
  <c r="C114" i="1"/>
  <c r="F114" i="1" s="1"/>
  <c r="C115" i="1"/>
  <c r="F115" i="1" s="1"/>
  <c r="C116" i="1"/>
  <c r="F116" i="1" s="1"/>
  <c r="C117" i="1"/>
  <c r="F117" i="1" s="1"/>
  <c r="C118" i="1"/>
  <c r="F118" i="1" s="1"/>
  <c r="C119" i="1"/>
  <c r="F119" i="1" s="1"/>
  <c r="C120" i="1"/>
  <c r="F120" i="1" s="1"/>
  <c r="C121" i="1"/>
  <c r="F121" i="1" s="1"/>
  <c r="C122" i="1"/>
  <c r="F122" i="1" s="1"/>
  <c r="C123" i="1"/>
  <c r="F123" i="1" s="1"/>
  <c r="C124" i="1"/>
  <c r="F124" i="1" s="1"/>
  <c r="C125" i="1"/>
  <c r="F125" i="1" s="1"/>
  <c r="C126" i="1"/>
  <c r="F126" i="1" s="1"/>
  <c r="C127" i="1"/>
  <c r="F127" i="1" s="1"/>
  <c r="C128" i="1"/>
  <c r="F128" i="1" s="1"/>
  <c r="C129" i="1"/>
  <c r="F129" i="1" s="1"/>
  <c r="C130" i="1"/>
  <c r="F130" i="1" s="1"/>
  <c r="C131" i="1"/>
  <c r="F131" i="1" s="1"/>
  <c r="C132" i="1"/>
  <c r="F132" i="1" s="1"/>
  <c r="C133" i="1"/>
  <c r="F133" i="1" s="1"/>
  <c r="C134" i="1"/>
  <c r="F134" i="1" s="1"/>
  <c r="C135" i="1"/>
  <c r="F135" i="1" s="1"/>
  <c r="C136" i="1"/>
  <c r="F136" i="1" s="1"/>
  <c r="C137" i="1"/>
  <c r="F137" i="1" s="1"/>
  <c r="C138" i="1"/>
  <c r="F138" i="1" s="1"/>
  <c r="C139" i="1"/>
  <c r="F139" i="1" s="1"/>
  <c r="C140" i="1"/>
  <c r="F140" i="1" s="1"/>
  <c r="C141" i="1"/>
  <c r="F141" i="1" s="1"/>
  <c r="C142" i="1"/>
  <c r="F142" i="1" s="1"/>
  <c r="C143" i="1"/>
  <c r="F143" i="1" s="1"/>
  <c r="C144" i="1"/>
  <c r="F144" i="1" s="1"/>
  <c r="C145" i="1"/>
  <c r="F145" i="1" s="1"/>
  <c r="C146" i="1"/>
  <c r="F146" i="1" s="1"/>
  <c r="C147" i="1"/>
  <c r="F147" i="1" s="1"/>
  <c r="C148" i="1"/>
  <c r="F148" i="1" s="1"/>
  <c r="C149" i="1"/>
  <c r="F149" i="1" s="1"/>
  <c r="C150" i="1"/>
  <c r="F150" i="1" s="1"/>
  <c r="C151" i="1"/>
  <c r="F151" i="1" s="1"/>
  <c r="C152" i="1"/>
  <c r="F152" i="1" s="1"/>
  <c r="C153" i="1"/>
  <c r="F153" i="1" s="1"/>
  <c r="C154" i="1"/>
  <c r="F154" i="1" s="1"/>
  <c r="C155" i="1"/>
  <c r="F155" i="1" s="1"/>
  <c r="C156" i="1"/>
  <c r="F156" i="1" s="1"/>
  <c r="C157" i="1"/>
  <c r="F157" i="1" s="1"/>
  <c r="C158" i="1"/>
  <c r="F158" i="1" s="1"/>
  <c r="C159" i="1"/>
  <c r="F159" i="1" s="1"/>
  <c r="C160" i="1"/>
  <c r="F160" i="1" s="1"/>
  <c r="C161" i="1"/>
  <c r="F161" i="1" s="1"/>
  <c r="C162" i="1"/>
  <c r="F162" i="1" s="1"/>
  <c r="C163" i="1"/>
  <c r="F163" i="1" s="1"/>
  <c r="C164" i="1"/>
  <c r="F164" i="1" s="1"/>
  <c r="C165" i="1"/>
  <c r="F165" i="1" s="1"/>
  <c r="C166" i="1"/>
  <c r="F166" i="1" s="1"/>
  <c r="C167" i="1"/>
  <c r="F167" i="1" s="1"/>
  <c r="C168" i="1"/>
  <c r="F168" i="1" s="1"/>
  <c r="C169" i="1"/>
  <c r="F169" i="1" s="1"/>
  <c r="C170" i="1"/>
  <c r="F170" i="1" s="1"/>
  <c r="C171" i="1"/>
  <c r="F171" i="1" s="1"/>
  <c r="C172" i="1"/>
  <c r="F172" i="1" s="1"/>
  <c r="C173" i="1"/>
  <c r="F173" i="1" s="1"/>
  <c r="C174" i="1"/>
  <c r="F174" i="1" s="1"/>
  <c r="C175" i="1"/>
  <c r="F175" i="1" s="1"/>
  <c r="C176" i="1"/>
  <c r="F176" i="1" s="1"/>
  <c r="C177" i="1"/>
  <c r="F177" i="1" s="1"/>
  <c r="C178" i="1"/>
  <c r="F178" i="1" s="1"/>
  <c r="C179" i="1"/>
  <c r="F179" i="1" s="1"/>
  <c r="C180" i="1"/>
  <c r="F180" i="1" s="1"/>
  <c r="C181" i="1"/>
  <c r="F181" i="1" s="1"/>
  <c r="C182" i="1"/>
  <c r="F182" i="1" s="1"/>
  <c r="C183" i="1"/>
  <c r="F183" i="1" s="1"/>
  <c r="C184" i="1"/>
  <c r="F184" i="1" s="1"/>
  <c r="C185" i="1"/>
  <c r="F185" i="1" s="1"/>
  <c r="C186" i="1"/>
  <c r="F186" i="1" s="1"/>
  <c r="C187" i="1"/>
  <c r="F187" i="1" s="1"/>
  <c r="C188" i="1"/>
  <c r="F188" i="1" s="1"/>
  <c r="C189" i="1"/>
  <c r="F189" i="1" s="1"/>
  <c r="C190" i="1"/>
  <c r="F190" i="1" s="1"/>
  <c r="C191" i="1"/>
  <c r="F191" i="1" s="1"/>
  <c r="C192" i="1"/>
  <c r="F192" i="1" s="1"/>
  <c r="C193" i="1"/>
  <c r="F193" i="1" s="1"/>
  <c r="C194" i="1"/>
  <c r="F194" i="1" s="1"/>
  <c r="C195" i="1"/>
  <c r="F195" i="1" s="1"/>
  <c r="C196" i="1"/>
  <c r="F196" i="1" s="1"/>
  <c r="C197" i="1"/>
  <c r="F197" i="1" s="1"/>
  <c r="C198" i="1"/>
  <c r="F198" i="1" s="1"/>
  <c r="C199" i="1"/>
  <c r="F199" i="1" s="1"/>
  <c r="C200" i="1"/>
  <c r="F200" i="1" s="1"/>
  <c r="C201" i="1"/>
  <c r="F201" i="1" s="1"/>
  <c r="C202" i="1"/>
  <c r="F202" i="1" s="1"/>
  <c r="C203" i="1"/>
  <c r="F203" i="1" s="1"/>
  <c r="C204" i="1"/>
  <c r="F204" i="1" s="1"/>
  <c r="C205" i="1"/>
  <c r="F205" i="1" s="1"/>
  <c r="C206" i="1"/>
  <c r="F206" i="1" s="1"/>
  <c r="C207" i="1"/>
  <c r="F207" i="1" s="1"/>
  <c r="C208" i="1"/>
  <c r="F208" i="1" s="1"/>
  <c r="C209" i="1"/>
  <c r="F209" i="1" s="1"/>
  <c r="C210" i="1"/>
  <c r="F210" i="1" s="1"/>
  <c r="C211" i="1"/>
  <c r="F211" i="1" s="1"/>
  <c r="C212" i="1"/>
  <c r="F212" i="1" s="1"/>
  <c r="C213" i="1"/>
  <c r="F213" i="1" s="1"/>
  <c r="C214" i="1"/>
  <c r="F214" i="1" s="1"/>
  <c r="C2" i="1"/>
  <c r="F2" i="1" s="1"/>
  <c r="R1752" i="3" l="1"/>
  <c r="C1431" i="3"/>
  <c r="E1431" i="3" s="1"/>
  <c r="I1431" i="3" s="1"/>
  <c r="C1432" i="3"/>
  <c r="E1432" i="3" s="1"/>
  <c r="I1432" i="3" s="1"/>
  <c r="C1433" i="3"/>
  <c r="E1433" i="3" s="1"/>
  <c r="I1433" i="3" s="1"/>
  <c r="C1434" i="3"/>
  <c r="E1434" i="3" s="1"/>
  <c r="I1434" i="3" s="1"/>
  <c r="C1435" i="3"/>
  <c r="E1435" i="3" s="1"/>
  <c r="I1435" i="3" s="1"/>
  <c r="C1436" i="3"/>
  <c r="E1436" i="3" s="1"/>
  <c r="I1436" i="3" s="1"/>
  <c r="C1437" i="3"/>
  <c r="E1437" i="3" s="1"/>
  <c r="I1437" i="3" s="1"/>
  <c r="C1438" i="3"/>
  <c r="E1438" i="3" s="1"/>
  <c r="I1438" i="3" s="1"/>
  <c r="C1439" i="3"/>
  <c r="E1439" i="3" s="1"/>
  <c r="I1439" i="3" s="1"/>
  <c r="C1440" i="3"/>
  <c r="E1440" i="3" s="1"/>
  <c r="I1440" i="3" s="1"/>
  <c r="C1441" i="3"/>
  <c r="E1441" i="3" s="1"/>
  <c r="I1441" i="3" s="1"/>
  <c r="C1442" i="3"/>
  <c r="E1442" i="3" s="1"/>
  <c r="I1442" i="3" s="1"/>
  <c r="C1443" i="3"/>
  <c r="E1443" i="3" s="1"/>
  <c r="I1443" i="3" s="1"/>
  <c r="C1444" i="3"/>
  <c r="E1444" i="3" s="1"/>
  <c r="I1444" i="3" s="1"/>
  <c r="C1445" i="3"/>
  <c r="E1445" i="3" s="1"/>
  <c r="I1445" i="3" s="1"/>
  <c r="C1446" i="3"/>
  <c r="E1446" i="3" s="1"/>
  <c r="I1446" i="3" s="1"/>
  <c r="C1447" i="3"/>
  <c r="E1447" i="3" s="1"/>
  <c r="I1447" i="3" s="1"/>
  <c r="C1448" i="3"/>
  <c r="E1448" i="3" s="1"/>
  <c r="I1448" i="3" s="1"/>
  <c r="C1449" i="3"/>
  <c r="E1449" i="3" s="1"/>
  <c r="I1449" i="3" s="1"/>
  <c r="C1450" i="3"/>
  <c r="E1450" i="3" s="1"/>
  <c r="I1450" i="3" s="1"/>
  <c r="C1451" i="3"/>
  <c r="E1451" i="3" s="1"/>
  <c r="I1451" i="3" s="1"/>
  <c r="C1452" i="3"/>
  <c r="E1452" i="3" s="1"/>
  <c r="I1452" i="3" s="1"/>
  <c r="C1453" i="3"/>
  <c r="E1453" i="3" s="1"/>
  <c r="I1453" i="3" s="1"/>
  <c r="C1454" i="3"/>
  <c r="E1454" i="3" s="1"/>
  <c r="I1454" i="3" s="1"/>
  <c r="C1455" i="3"/>
  <c r="E1455" i="3" s="1"/>
  <c r="I1455" i="3" s="1"/>
  <c r="C1456" i="3"/>
  <c r="E1456" i="3" s="1"/>
  <c r="I1456" i="3" s="1"/>
  <c r="C1457" i="3"/>
  <c r="E1457" i="3" s="1"/>
  <c r="I1457" i="3" s="1"/>
  <c r="C1458" i="3"/>
  <c r="E1458" i="3" s="1"/>
  <c r="I1458" i="3" s="1"/>
  <c r="C1459" i="3"/>
  <c r="E1459" i="3" s="1"/>
  <c r="I1459" i="3" s="1"/>
  <c r="C1460" i="3"/>
  <c r="E1460" i="3" s="1"/>
  <c r="I1460" i="3" s="1"/>
  <c r="C1461" i="3"/>
  <c r="E1461" i="3" s="1"/>
  <c r="I1461" i="3" s="1"/>
  <c r="C1462" i="3"/>
  <c r="E1462" i="3" s="1"/>
  <c r="I1462" i="3" s="1"/>
  <c r="C1463" i="3"/>
  <c r="E1463" i="3" s="1"/>
  <c r="I1463" i="3" s="1"/>
  <c r="C1464" i="3"/>
  <c r="E1464" i="3" s="1"/>
  <c r="I1464" i="3" s="1"/>
  <c r="C1465" i="3"/>
  <c r="E1465" i="3" s="1"/>
  <c r="I1465" i="3" s="1"/>
  <c r="C1466" i="3"/>
  <c r="E1466" i="3" s="1"/>
  <c r="I1466" i="3" s="1"/>
  <c r="C1467" i="3"/>
  <c r="E1467" i="3" s="1"/>
  <c r="I1467" i="3" s="1"/>
  <c r="C1468" i="3"/>
  <c r="E1468" i="3" s="1"/>
  <c r="I1468" i="3" s="1"/>
  <c r="C1469" i="3"/>
  <c r="E1469" i="3" s="1"/>
  <c r="I1469" i="3" s="1"/>
  <c r="C1470" i="3"/>
  <c r="E1470" i="3" s="1"/>
  <c r="I1470" i="3" s="1"/>
  <c r="C1471" i="3"/>
  <c r="E1471" i="3" s="1"/>
  <c r="I1471" i="3" s="1"/>
  <c r="C1472" i="3"/>
  <c r="E1472" i="3" s="1"/>
  <c r="I1472" i="3" s="1"/>
  <c r="C1473" i="3"/>
  <c r="E1473" i="3" s="1"/>
  <c r="I1473" i="3" s="1"/>
  <c r="C1474" i="3"/>
  <c r="E1474" i="3" s="1"/>
  <c r="I1474" i="3" s="1"/>
  <c r="C1475" i="3"/>
  <c r="E1475" i="3" s="1"/>
  <c r="I1475" i="3" s="1"/>
  <c r="C1476" i="3"/>
  <c r="E1476" i="3" s="1"/>
  <c r="I1476" i="3" s="1"/>
  <c r="C1477" i="3"/>
  <c r="E1477" i="3" s="1"/>
  <c r="I1477" i="3" s="1"/>
  <c r="C1478" i="3"/>
  <c r="E1478" i="3" s="1"/>
  <c r="I1478" i="3" s="1"/>
  <c r="C1479" i="3"/>
  <c r="E1479" i="3" s="1"/>
  <c r="I1479" i="3" s="1"/>
  <c r="C1480" i="3"/>
  <c r="E1480" i="3" s="1"/>
  <c r="I1480" i="3" s="1"/>
  <c r="C1481" i="3"/>
  <c r="E1481" i="3" s="1"/>
  <c r="I1481" i="3" s="1"/>
  <c r="C1482" i="3"/>
  <c r="E1482" i="3" s="1"/>
  <c r="I1482" i="3" s="1"/>
  <c r="C1483" i="3"/>
  <c r="E1483" i="3" s="1"/>
  <c r="I1483" i="3" s="1"/>
  <c r="C1484" i="3"/>
  <c r="E1484" i="3" s="1"/>
  <c r="I1484" i="3" s="1"/>
  <c r="C1485" i="3"/>
  <c r="E1485" i="3" s="1"/>
  <c r="I1485" i="3" s="1"/>
  <c r="C1486" i="3"/>
  <c r="E1486" i="3" s="1"/>
  <c r="I1486" i="3" s="1"/>
  <c r="C1487" i="3"/>
  <c r="E1487" i="3" s="1"/>
  <c r="I1487" i="3" s="1"/>
  <c r="C1488" i="3"/>
  <c r="E1488" i="3" s="1"/>
  <c r="I1488" i="3" s="1"/>
  <c r="C1489" i="3"/>
  <c r="E1489" i="3" s="1"/>
  <c r="I1489" i="3" s="1"/>
  <c r="C1490" i="3"/>
  <c r="E1490" i="3" s="1"/>
  <c r="I1490" i="3" s="1"/>
  <c r="C1491" i="3"/>
  <c r="E1491" i="3" s="1"/>
  <c r="I1491" i="3" s="1"/>
  <c r="C1492" i="3"/>
  <c r="E1492" i="3" s="1"/>
  <c r="I1492" i="3" s="1"/>
  <c r="C1493" i="3"/>
  <c r="E1493" i="3" s="1"/>
  <c r="I1493" i="3" s="1"/>
  <c r="C1494" i="3"/>
  <c r="E1494" i="3" s="1"/>
  <c r="I1494" i="3" s="1"/>
  <c r="C1495" i="3"/>
  <c r="E1495" i="3" s="1"/>
  <c r="I1495" i="3" s="1"/>
  <c r="C1496" i="3"/>
  <c r="E1496" i="3" s="1"/>
  <c r="I1496" i="3" s="1"/>
  <c r="C1497" i="3"/>
  <c r="E1497" i="3" s="1"/>
  <c r="I1497" i="3" s="1"/>
  <c r="C1498" i="3"/>
  <c r="E1498" i="3" s="1"/>
  <c r="I1498" i="3" s="1"/>
  <c r="C1499" i="3"/>
  <c r="E1499" i="3" s="1"/>
  <c r="I1499" i="3" s="1"/>
  <c r="C1500" i="3"/>
  <c r="E1500" i="3" s="1"/>
  <c r="I1500" i="3" s="1"/>
  <c r="C1501" i="3"/>
  <c r="E1501" i="3" s="1"/>
  <c r="I1501" i="3" s="1"/>
  <c r="C1502" i="3"/>
  <c r="E1502" i="3" s="1"/>
  <c r="I1502" i="3" s="1"/>
  <c r="C1503" i="3"/>
  <c r="E1503" i="3" s="1"/>
  <c r="I1503" i="3" s="1"/>
  <c r="C1504" i="3"/>
  <c r="E1504" i="3" s="1"/>
  <c r="I1504" i="3" s="1"/>
  <c r="C1505" i="3"/>
  <c r="E1505" i="3" s="1"/>
  <c r="I1505" i="3" s="1"/>
  <c r="C1506" i="3"/>
  <c r="E1506" i="3" s="1"/>
  <c r="I1506" i="3" s="1"/>
  <c r="C1507" i="3"/>
  <c r="E1507" i="3" s="1"/>
  <c r="I1507" i="3" s="1"/>
  <c r="C1508" i="3"/>
  <c r="E1508" i="3" s="1"/>
  <c r="I1508" i="3" s="1"/>
  <c r="C1509" i="3"/>
  <c r="E1509" i="3" s="1"/>
  <c r="I1509" i="3" s="1"/>
  <c r="C1510" i="3"/>
  <c r="E1510" i="3" s="1"/>
  <c r="I1510" i="3" s="1"/>
  <c r="C1511" i="3"/>
  <c r="E1511" i="3" s="1"/>
  <c r="I1511" i="3" s="1"/>
  <c r="C1512" i="3"/>
  <c r="E1512" i="3" s="1"/>
  <c r="I1512" i="3" s="1"/>
  <c r="C1513" i="3"/>
  <c r="E1513" i="3" s="1"/>
  <c r="I1513" i="3" s="1"/>
  <c r="C1514" i="3"/>
  <c r="E1514" i="3" s="1"/>
  <c r="I1514" i="3" s="1"/>
  <c r="C1515" i="3"/>
  <c r="E1515" i="3" s="1"/>
  <c r="I1515" i="3" s="1"/>
  <c r="C1516" i="3"/>
  <c r="E1516" i="3" s="1"/>
  <c r="I1516" i="3" s="1"/>
  <c r="C1517" i="3"/>
  <c r="E1517" i="3" s="1"/>
  <c r="C1518" i="3"/>
  <c r="E1518" i="3" s="1"/>
  <c r="I1518" i="3" s="1"/>
  <c r="C1519" i="3"/>
  <c r="E1519" i="3" s="1"/>
  <c r="I1519" i="3" s="1"/>
  <c r="C1520" i="3"/>
  <c r="E1520" i="3" s="1"/>
  <c r="I1520" i="3" s="1"/>
  <c r="C1521" i="3"/>
  <c r="E1521" i="3" s="1"/>
  <c r="I1521" i="3" s="1"/>
  <c r="C1522" i="3"/>
  <c r="E1522" i="3" s="1"/>
  <c r="I1522" i="3" s="1"/>
  <c r="C8" i="3"/>
  <c r="E8" i="3" s="1"/>
  <c r="I8" i="3" s="1"/>
  <c r="C6" i="3"/>
  <c r="E6" i="3" s="1"/>
  <c r="I6" i="3" s="1"/>
  <c r="E3" i="3"/>
  <c r="I3" i="3" s="1"/>
  <c r="E4" i="3"/>
  <c r="I4" i="3" s="1"/>
  <c r="C2" i="3"/>
  <c r="E5" i="3"/>
  <c r="I5" i="3" s="1"/>
  <c r="C7" i="3"/>
  <c r="E7" i="3" s="1"/>
  <c r="I7" i="3" s="1"/>
  <c r="C9" i="3"/>
  <c r="E9" i="3" s="1"/>
  <c r="I9" i="3" s="1"/>
  <c r="C10" i="3"/>
  <c r="E10" i="3" s="1"/>
  <c r="I10" i="3" s="1"/>
  <c r="C11" i="3"/>
  <c r="E11" i="3" s="1"/>
  <c r="I11" i="3" s="1"/>
  <c r="C12" i="3"/>
  <c r="E12" i="3" s="1"/>
  <c r="I12" i="3" s="1"/>
  <c r="C13" i="3"/>
  <c r="E13" i="3" s="1"/>
  <c r="I13" i="3" s="1"/>
  <c r="C14" i="3"/>
  <c r="E14" i="3" s="1"/>
  <c r="I14" i="3" s="1"/>
  <c r="C15" i="3"/>
  <c r="E15" i="3" s="1"/>
  <c r="I15" i="3" s="1"/>
  <c r="C16" i="3"/>
  <c r="E16" i="3" s="1"/>
  <c r="I16" i="3" s="1"/>
  <c r="C17" i="3"/>
  <c r="E17" i="3" s="1"/>
  <c r="I17" i="3" s="1"/>
  <c r="C18" i="3"/>
  <c r="E18" i="3" s="1"/>
  <c r="I18" i="3" s="1"/>
  <c r="C19" i="3"/>
  <c r="E19" i="3" s="1"/>
  <c r="I19" i="3" s="1"/>
  <c r="C20" i="3"/>
  <c r="E20" i="3" s="1"/>
  <c r="I20" i="3" s="1"/>
  <c r="C21" i="3"/>
  <c r="E21" i="3" s="1"/>
  <c r="I21" i="3" s="1"/>
  <c r="C22" i="3"/>
  <c r="E22" i="3" s="1"/>
  <c r="I22" i="3" s="1"/>
  <c r="C23" i="3"/>
  <c r="E23" i="3" s="1"/>
  <c r="I23" i="3" s="1"/>
  <c r="C24" i="3"/>
  <c r="E24" i="3" s="1"/>
  <c r="I24" i="3" s="1"/>
  <c r="C25" i="3"/>
  <c r="E25" i="3" s="1"/>
  <c r="I25" i="3" s="1"/>
  <c r="C26" i="3"/>
  <c r="E26" i="3" s="1"/>
  <c r="I26" i="3" s="1"/>
  <c r="C27" i="3"/>
  <c r="E27" i="3" s="1"/>
  <c r="I27" i="3" s="1"/>
  <c r="C28" i="3"/>
  <c r="E28" i="3" s="1"/>
  <c r="I28" i="3" s="1"/>
  <c r="C29" i="3"/>
  <c r="E29" i="3" s="1"/>
  <c r="I29" i="3" s="1"/>
  <c r="C30" i="3"/>
  <c r="E30" i="3" s="1"/>
  <c r="I30" i="3" s="1"/>
  <c r="C31" i="3"/>
  <c r="E31" i="3" s="1"/>
  <c r="C32" i="3"/>
  <c r="E32" i="3" s="1"/>
  <c r="I32" i="3" s="1"/>
  <c r="C33" i="3"/>
  <c r="E33" i="3" s="1"/>
  <c r="I33" i="3" s="1"/>
  <c r="C34" i="3"/>
  <c r="E34" i="3" s="1"/>
  <c r="I34" i="3" s="1"/>
  <c r="C35" i="3"/>
  <c r="E35" i="3" s="1"/>
  <c r="I35" i="3" s="1"/>
  <c r="C36" i="3"/>
  <c r="E36" i="3" s="1"/>
  <c r="I36" i="3" s="1"/>
  <c r="C37" i="3"/>
  <c r="E37" i="3" s="1"/>
  <c r="I37" i="3" s="1"/>
  <c r="C38" i="3"/>
  <c r="E38" i="3" s="1"/>
  <c r="I38" i="3" s="1"/>
  <c r="C39" i="3"/>
  <c r="E39" i="3" s="1"/>
  <c r="I39" i="3" s="1"/>
  <c r="C40" i="3"/>
  <c r="E40" i="3" s="1"/>
  <c r="I40" i="3" s="1"/>
  <c r="C41" i="3"/>
  <c r="E41" i="3" s="1"/>
  <c r="I41" i="3" s="1"/>
  <c r="C42" i="3"/>
  <c r="E42" i="3" s="1"/>
  <c r="I42" i="3" s="1"/>
  <c r="C43" i="3"/>
  <c r="E43" i="3" s="1"/>
  <c r="I43" i="3" s="1"/>
  <c r="C44" i="3"/>
  <c r="E44" i="3" s="1"/>
  <c r="I44" i="3" s="1"/>
  <c r="C45" i="3"/>
  <c r="E45" i="3" s="1"/>
  <c r="I45" i="3" s="1"/>
  <c r="C46" i="3"/>
  <c r="E46" i="3" s="1"/>
  <c r="I46" i="3" s="1"/>
  <c r="C47" i="3"/>
  <c r="E47" i="3" s="1"/>
  <c r="I47" i="3" s="1"/>
  <c r="C48" i="3"/>
  <c r="E48" i="3" s="1"/>
  <c r="I48" i="3" s="1"/>
  <c r="C49" i="3"/>
  <c r="E49" i="3" s="1"/>
  <c r="I49" i="3" s="1"/>
  <c r="C50" i="3"/>
  <c r="E50" i="3" s="1"/>
  <c r="I50" i="3" s="1"/>
  <c r="C51" i="3"/>
  <c r="E51" i="3" s="1"/>
  <c r="I51" i="3" s="1"/>
  <c r="C52" i="3"/>
  <c r="E52" i="3" s="1"/>
  <c r="I52" i="3" s="1"/>
  <c r="C53" i="3"/>
  <c r="E53" i="3" s="1"/>
  <c r="I53" i="3" s="1"/>
  <c r="C54" i="3"/>
  <c r="E54" i="3" s="1"/>
  <c r="I54" i="3" s="1"/>
  <c r="C55" i="3"/>
  <c r="E55" i="3" s="1"/>
  <c r="I55" i="3" s="1"/>
  <c r="C56" i="3"/>
  <c r="E56" i="3" s="1"/>
  <c r="I56" i="3" s="1"/>
  <c r="C57" i="3"/>
  <c r="E57" i="3" s="1"/>
  <c r="I57" i="3" s="1"/>
  <c r="C58" i="3"/>
  <c r="E58" i="3" s="1"/>
  <c r="I58" i="3" s="1"/>
  <c r="C59" i="3"/>
  <c r="E59" i="3" s="1"/>
  <c r="I59" i="3" s="1"/>
  <c r="C60" i="3"/>
  <c r="E60" i="3" s="1"/>
  <c r="I60" i="3" s="1"/>
  <c r="C61" i="3"/>
  <c r="E61" i="3" s="1"/>
  <c r="I61" i="3" s="1"/>
  <c r="C62" i="3"/>
  <c r="E62" i="3" s="1"/>
  <c r="I62" i="3" s="1"/>
  <c r="C63" i="3"/>
  <c r="E63" i="3" s="1"/>
  <c r="I63" i="3" s="1"/>
  <c r="C64" i="3"/>
  <c r="E64" i="3" s="1"/>
  <c r="I64" i="3" s="1"/>
  <c r="C65" i="3"/>
  <c r="E65" i="3" s="1"/>
  <c r="I65" i="3" s="1"/>
  <c r="C66" i="3"/>
  <c r="E66" i="3" s="1"/>
  <c r="I66" i="3" s="1"/>
  <c r="C67" i="3"/>
  <c r="E67" i="3" s="1"/>
  <c r="I67" i="3" s="1"/>
  <c r="C68" i="3"/>
  <c r="E68" i="3" s="1"/>
  <c r="I68" i="3" s="1"/>
  <c r="C69" i="3"/>
  <c r="E69" i="3" s="1"/>
  <c r="I69" i="3" s="1"/>
  <c r="C70" i="3"/>
  <c r="E70" i="3" s="1"/>
  <c r="I70" i="3" s="1"/>
  <c r="C71" i="3"/>
  <c r="E71" i="3" s="1"/>
  <c r="I71" i="3" s="1"/>
  <c r="C72" i="3"/>
  <c r="E72" i="3" s="1"/>
  <c r="I72" i="3" s="1"/>
  <c r="C73" i="3"/>
  <c r="E73" i="3" s="1"/>
  <c r="I73" i="3" s="1"/>
  <c r="C74" i="3"/>
  <c r="E74" i="3" s="1"/>
  <c r="I74" i="3" s="1"/>
  <c r="C75" i="3"/>
  <c r="E75" i="3" s="1"/>
  <c r="I75" i="3" s="1"/>
  <c r="C76" i="3"/>
  <c r="E76" i="3" s="1"/>
  <c r="I76" i="3" s="1"/>
  <c r="C77" i="3"/>
  <c r="E77" i="3" s="1"/>
  <c r="I77" i="3" s="1"/>
  <c r="C78" i="3"/>
  <c r="E78" i="3" s="1"/>
  <c r="I78" i="3" s="1"/>
  <c r="C79" i="3"/>
  <c r="E79" i="3" s="1"/>
  <c r="I79" i="3" s="1"/>
  <c r="C80" i="3"/>
  <c r="E80" i="3" s="1"/>
  <c r="I80" i="3" s="1"/>
  <c r="C81" i="3"/>
  <c r="E81" i="3" s="1"/>
  <c r="I81" i="3" s="1"/>
  <c r="C82" i="3"/>
  <c r="E82" i="3" s="1"/>
  <c r="I82" i="3" s="1"/>
  <c r="C83" i="3"/>
  <c r="E83" i="3" s="1"/>
  <c r="I83" i="3" s="1"/>
  <c r="C84" i="3"/>
  <c r="E84" i="3" s="1"/>
  <c r="I84" i="3" s="1"/>
  <c r="C85" i="3"/>
  <c r="E85" i="3" s="1"/>
  <c r="I85" i="3" s="1"/>
  <c r="C86" i="3"/>
  <c r="E86" i="3" s="1"/>
  <c r="I86" i="3" s="1"/>
  <c r="C87" i="3"/>
  <c r="E87" i="3" s="1"/>
  <c r="I87" i="3" s="1"/>
  <c r="C88" i="3"/>
  <c r="E88" i="3" s="1"/>
  <c r="I88" i="3" s="1"/>
  <c r="C89" i="3"/>
  <c r="E89" i="3" s="1"/>
  <c r="I89" i="3" s="1"/>
  <c r="C90" i="3"/>
  <c r="E90" i="3" s="1"/>
  <c r="I90" i="3" s="1"/>
  <c r="C91" i="3"/>
  <c r="E91" i="3" s="1"/>
  <c r="I91" i="3" s="1"/>
  <c r="C92" i="3"/>
  <c r="E92" i="3" s="1"/>
  <c r="I92" i="3" s="1"/>
  <c r="C93" i="3"/>
  <c r="E93" i="3" s="1"/>
  <c r="I93" i="3" s="1"/>
  <c r="C94" i="3"/>
  <c r="E94" i="3" s="1"/>
  <c r="I94" i="3" s="1"/>
  <c r="C95" i="3"/>
  <c r="E95" i="3" s="1"/>
  <c r="I95" i="3" s="1"/>
  <c r="C96" i="3"/>
  <c r="E96" i="3" s="1"/>
  <c r="I96" i="3" s="1"/>
  <c r="C97" i="3"/>
  <c r="E97" i="3" s="1"/>
  <c r="I97" i="3" s="1"/>
  <c r="C98" i="3"/>
  <c r="E98" i="3" s="1"/>
  <c r="I98" i="3" s="1"/>
  <c r="C99" i="3"/>
  <c r="E99" i="3" s="1"/>
  <c r="I99" i="3" s="1"/>
  <c r="C100" i="3"/>
  <c r="E100" i="3" s="1"/>
  <c r="I100" i="3" s="1"/>
  <c r="C101" i="3"/>
  <c r="E101" i="3" s="1"/>
  <c r="I101" i="3" s="1"/>
  <c r="C102" i="3"/>
  <c r="E102" i="3" s="1"/>
  <c r="I102" i="3" s="1"/>
  <c r="C103" i="3"/>
  <c r="E103" i="3" s="1"/>
  <c r="I103" i="3" s="1"/>
  <c r="C104" i="3"/>
  <c r="E104" i="3" s="1"/>
  <c r="I104" i="3" s="1"/>
  <c r="C105" i="3"/>
  <c r="E105" i="3" s="1"/>
  <c r="I105" i="3" s="1"/>
  <c r="C106" i="3"/>
  <c r="E106" i="3" s="1"/>
  <c r="I106" i="3" s="1"/>
  <c r="C107" i="3"/>
  <c r="E107" i="3" s="1"/>
  <c r="I107" i="3" s="1"/>
  <c r="C108" i="3"/>
  <c r="E108" i="3" s="1"/>
  <c r="I108" i="3" s="1"/>
  <c r="C109" i="3"/>
  <c r="E109" i="3" s="1"/>
  <c r="I109" i="3" s="1"/>
  <c r="C110" i="3"/>
  <c r="E110" i="3" s="1"/>
  <c r="I110" i="3" s="1"/>
  <c r="C111" i="3"/>
  <c r="E111" i="3" s="1"/>
  <c r="I111" i="3" s="1"/>
  <c r="C112" i="3"/>
  <c r="E112" i="3" s="1"/>
  <c r="I112" i="3" s="1"/>
  <c r="C113" i="3"/>
  <c r="E113" i="3" s="1"/>
  <c r="I113" i="3" s="1"/>
  <c r="C114" i="3"/>
  <c r="E114" i="3" s="1"/>
  <c r="I114" i="3" s="1"/>
  <c r="C115" i="3"/>
  <c r="E115" i="3" s="1"/>
  <c r="I115" i="3" s="1"/>
  <c r="C116" i="3"/>
  <c r="E116" i="3" s="1"/>
  <c r="I116" i="3" s="1"/>
  <c r="C117" i="3"/>
  <c r="E117" i="3" s="1"/>
  <c r="I117" i="3" s="1"/>
  <c r="C118" i="3"/>
  <c r="E118" i="3" s="1"/>
  <c r="I118" i="3" s="1"/>
  <c r="C119" i="3"/>
  <c r="E119" i="3" s="1"/>
  <c r="I119" i="3" s="1"/>
  <c r="C120" i="3"/>
  <c r="E120" i="3" s="1"/>
  <c r="I120" i="3" s="1"/>
  <c r="C121" i="3"/>
  <c r="E121" i="3" s="1"/>
  <c r="I121" i="3" s="1"/>
  <c r="C122" i="3"/>
  <c r="E122" i="3" s="1"/>
  <c r="I122" i="3" s="1"/>
  <c r="C123" i="3"/>
  <c r="E123" i="3" s="1"/>
  <c r="I123" i="3" s="1"/>
  <c r="C124" i="3"/>
  <c r="E124" i="3" s="1"/>
  <c r="I124" i="3" s="1"/>
  <c r="C125" i="3"/>
  <c r="E125" i="3" s="1"/>
  <c r="I125" i="3" s="1"/>
  <c r="C126" i="3"/>
  <c r="E126" i="3" s="1"/>
  <c r="I126" i="3" s="1"/>
  <c r="C127" i="3"/>
  <c r="E127" i="3" s="1"/>
  <c r="I127" i="3" s="1"/>
  <c r="C128" i="3"/>
  <c r="E128" i="3" s="1"/>
  <c r="I128" i="3" s="1"/>
  <c r="C129" i="3"/>
  <c r="E129" i="3" s="1"/>
  <c r="I129" i="3" s="1"/>
  <c r="C130" i="3"/>
  <c r="E130" i="3" s="1"/>
  <c r="I130" i="3" s="1"/>
  <c r="C131" i="3"/>
  <c r="E131" i="3" s="1"/>
  <c r="I131" i="3" s="1"/>
  <c r="C132" i="3"/>
  <c r="E132" i="3" s="1"/>
  <c r="I132" i="3" s="1"/>
  <c r="C133" i="3"/>
  <c r="E133" i="3" s="1"/>
  <c r="I133" i="3" s="1"/>
  <c r="C134" i="3"/>
  <c r="E134" i="3" s="1"/>
  <c r="I134" i="3" s="1"/>
  <c r="C135" i="3"/>
  <c r="E135" i="3" s="1"/>
  <c r="I135" i="3" s="1"/>
  <c r="C136" i="3"/>
  <c r="E136" i="3" s="1"/>
  <c r="I136" i="3" s="1"/>
  <c r="C137" i="3"/>
  <c r="E137" i="3" s="1"/>
  <c r="I137" i="3" s="1"/>
  <c r="C138" i="3"/>
  <c r="E138" i="3" s="1"/>
  <c r="I138" i="3" s="1"/>
  <c r="C139" i="3"/>
  <c r="E139" i="3" s="1"/>
  <c r="I139" i="3" s="1"/>
  <c r="C140" i="3"/>
  <c r="E140" i="3" s="1"/>
  <c r="I140" i="3" s="1"/>
  <c r="C141" i="3"/>
  <c r="E141" i="3" s="1"/>
  <c r="I141" i="3" s="1"/>
  <c r="C142" i="3"/>
  <c r="E142" i="3" s="1"/>
  <c r="I142" i="3" s="1"/>
  <c r="C143" i="3"/>
  <c r="E143" i="3" s="1"/>
  <c r="I143" i="3" s="1"/>
  <c r="C144" i="3"/>
  <c r="E144" i="3" s="1"/>
  <c r="I144" i="3" s="1"/>
  <c r="C145" i="3"/>
  <c r="E145" i="3" s="1"/>
  <c r="I145" i="3" s="1"/>
  <c r="C146" i="3"/>
  <c r="E146" i="3" s="1"/>
  <c r="I146" i="3" s="1"/>
  <c r="C147" i="3"/>
  <c r="E147" i="3" s="1"/>
  <c r="I147" i="3" s="1"/>
  <c r="C148" i="3"/>
  <c r="E148" i="3" s="1"/>
  <c r="I148" i="3" s="1"/>
  <c r="C149" i="3"/>
  <c r="E149" i="3" s="1"/>
  <c r="I149" i="3" s="1"/>
  <c r="C150" i="3"/>
  <c r="E150" i="3" s="1"/>
  <c r="I150" i="3" s="1"/>
  <c r="C151" i="3"/>
  <c r="E151" i="3" s="1"/>
  <c r="I151" i="3" s="1"/>
  <c r="C152" i="3"/>
  <c r="E152" i="3" s="1"/>
  <c r="I152" i="3" s="1"/>
  <c r="C153" i="3"/>
  <c r="E153" i="3" s="1"/>
  <c r="I153" i="3" s="1"/>
  <c r="C154" i="3"/>
  <c r="E154" i="3" s="1"/>
  <c r="I154" i="3" s="1"/>
  <c r="C155" i="3"/>
  <c r="E155" i="3" s="1"/>
  <c r="I155" i="3" s="1"/>
  <c r="C156" i="3"/>
  <c r="E156" i="3" s="1"/>
  <c r="I156" i="3" s="1"/>
  <c r="C157" i="3"/>
  <c r="E157" i="3" s="1"/>
  <c r="I157" i="3" s="1"/>
  <c r="C158" i="3"/>
  <c r="E158" i="3" s="1"/>
  <c r="I158" i="3" s="1"/>
  <c r="C159" i="3"/>
  <c r="E159" i="3" s="1"/>
  <c r="I159" i="3" s="1"/>
  <c r="C160" i="3"/>
  <c r="E160" i="3" s="1"/>
  <c r="I160" i="3" s="1"/>
  <c r="C161" i="3"/>
  <c r="E161" i="3" s="1"/>
  <c r="I161" i="3" s="1"/>
  <c r="C162" i="3"/>
  <c r="E162" i="3" s="1"/>
  <c r="I162" i="3" s="1"/>
  <c r="C163" i="3"/>
  <c r="E163" i="3" s="1"/>
  <c r="I163" i="3" s="1"/>
  <c r="C164" i="3"/>
  <c r="E164" i="3" s="1"/>
  <c r="I164" i="3" s="1"/>
  <c r="C165" i="3"/>
  <c r="E165" i="3" s="1"/>
  <c r="I165" i="3" s="1"/>
  <c r="C166" i="3"/>
  <c r="E166" i="3" s="1"/>
  <c r="I166" i="3" s="1"/>
  <c r="C167" i="3"/>
  <c r="E167" i="3" s="1"/>
  <c r="I167" i="3" s="1"/>
  <c r="C168" i="3"/>
  <c r="E168" i="3" s="1"/>
  <c r="I168" i="3" s="1"/>
  <c r="C169" i="3"/>
  <c r="E169" i="3" s="1"/>
  <c r="I169" i="3" s="1"/>
  <c r="C170" i="3"/>
  <c r="E170" i="3" s="1"/>
  <c r="I170" i="3" s="1"/>
  <c r="C171" i="3"/>
  <c r="E171" i="3" s="1"/>
  <c r="I171" i="3" s="1"/>
  <c r="C172" i="3"/>
  <c r="E172" i="3" s="1"/>
  <c r="I172" i="3" s="1"/>
  <c r="C173" i="3"/>
  <c r="E173" i="3" s="1"/>
  <c r="I173" i="3" s="1"/>
  <c r="C174" i="3"/>
  <c r="E174" i="3" s="1"/>
  <c r="I174" i="3" s="1"/>
  <c r="C175" i="3"/>
  <c r="E175" i="3" s="1"/>
  <c r="I175" i="3" s="1"/>
  <c r="C176" i="3"/>
  <c r="E176" i="3" s="1"/>
  <c r="I176" i="3" s="1"/>
  <c r="C177" i="3"/>
  <c r="E177" i="3" s="1"/>
  <c r="I177" i="3" s="1"/>
  <c r="C178" i="3"/>
  <c r="E178" i="3" s="1"/>
  <c r="I178" i="3" s="1"/>
  <c r="C179" i="3"/>
  <c r="E179" i="3" s="1"/>
  <c r="I179" i="3" s="1"/>
  <c r="C180" i="3"/>
  <c r="E180" i="3" s="1"/>
  <c r="I180" i="3" s="1"/>
  <c r="C181" i="3"/>
  <c r="E181" i="3" s="1"/>
  <c r="I181" i="3" s="1"/>
  <c r="C182" i="3"/>
  <c r="E182" i="3" s="1"/>
  <c r="I182" i="3" s="1"/>
  <c r="C183" i="3"/>
  <c r="E183" i="3" s="1"/>
  <c r="I183" i="3" s="1"/>
  <c r="C184" i="3"/>
  <c r="E184" i="3" s="1"/>
  <c r="I184" i="3" s="1"/>
  <c r="C185" i="3"/>
  <c r="E185" i="3" s="1"/>
  <c r="I185" i="3" s="1"/>
  <c r="C186" i="3"/>
  <c r="E186" i="3" s="1"/>
  <c r="I186" i="3" s="1"/>
  <c r="C187" i="3"/>
  <c r="E187" i="3" s="1"/>
  <c r="I187" i="3" s="1"/>
  <c r="C188" i="3"/>
  <c r="E188" i="3" s="1"/>
  <c r="I188" i="3" s="1"/>
  <c r="C189" i="3"/>
  <c r="E189" i="3" s="1"/>
  <c r="I189" i="3" s="1"/>
  <c r="C190" i="3"/>
  <c r="E190" i="3" s="1"/>
  <c r="I190" i="3" s="1"/>
  <c r="C191" i="3"/>
  <c r="E191" i="3" s="1"/>
  <c r="I191" i="3" s="1"/>
  <c r="C192" i="3"/>
  <c r="E192" i="3" s="1"/>
  <c r="I192" i="3" s="1"/>
  <c r="C193" i="3"/>
  <c r="E193" i="3" s="1"/>
  <c r="I193" i="3" s="1"/>
  <c r="C194" i="3"/>
  <c r="E194" i="3" s="1"/>
  <c r="I194" i="3" s="1"/>
  <c r="C195" i="3"/>
  <c r="E195" i="3" s="1"/>
  <c r="I195" i="3" s="1"/>
  <c r="C196" i="3"/>
  <c r="E196" i="3" s="1"/>
  <c r="I196" i="3" s="1"/>
  <c r="C197" i="3"/>
  <c r="E197" i="3" s="1"/>
  <c r="I197" i="3" s="1"/>
  <c r="C198" i="3"/>
  <c r="E198" i="3" s="1"/>
  <c r="I198" i="3" s="1"/>
  <c r="C199" i="3"/>
  <c r="E199" i="3" s="1"/>
  <c r="I199" i="3" s="1"/>
  <c r="C200" i="3"/>
  <c r="E200" i="3" s="1"/>
  <c r="I200" i="3" s="1"/>
  <c r="C201" i="3"/>
  <c r="E201" i="3" s="1"/>
  <c r="I201" i="3" s="1"/>
  <c r="C202" i="3"/>
  <c r="E202" i="3" s="1"/>
  <c r="I202" i="3" s="1"/>
  <c r="C203" i="3"/>
  <c r="E203" i="3" s="1"/>
  <c r="I203" i="3" s="1"/>
  <c r="C204" i="3"/>
  <c r="E204" i="3" s="1"/>
  <c r="I204" i="3" s="1"/>
  <c r="C205" i="3"/>
  <c r="E205" i="3" s="1"/>
  <c r="I205" i="3" s="1"/>
  <c r="C206" i="3"/>
  <c r="E206" i="3" s="1"/>
  <c r="I206" i="3" s="1"/>
  <c r="C207" i="3"/>
  <c r="E207" i="3" s="1"/>
  <c r="I207" i="3" s="1"/>
  <c r="C208" i="3"/>
  <c r="E208" i="3" s="1"/>
  <c r="I208" i="3" s="1"/>
  <c r="C209" i="3"/>
  <c r="E209" i="3" s="1"/>
  <c r="I209" i="3" s="1"/>
  <c r="C210" i="3"/>
  <c r="E210" i="3" s="1"/>
  <c r="I210" i="3" s="1"/>
  <c r="C211" i="3"/>
  <c r="E211" i="3" s="1"/>
  <c r="I211" i="3" s="1"/>
  <c r="C212" i="3"/>
  <c r="E212" i="3" s="1"/>
  <c r="I212" i="3" s="1"/>
  <c r="C213" i="3"/>
  <c r="E213" i="3" s="1"/>
  <c r="I213" i="3" s="1"/>
  <c r="C214" i="3"/>
  <c r="E214" i="3" s="1"/>
  <c r="I214" i="3" s="1"/>
  <c r="C215" i="3"/>
  <c r="E215" i="3" s="1"/>
  <c r="I215" i="3" s="1"/>
  <c r="C216" i="3"/>
  <c r="E216" i="3" s="1"/>
  <c r="I216" i="3" s="1"/>
  <c r="C217" i="3"/>
  <c r="E217" i="3" s="1"/>
  <c r="I217" i="3" s="1"/>
  <c r="C218" i="3"/>
  <c r="E218" i="3" s="1"/>
  <c r="I218" i="3" s="1"/>
  <c r="C219" i="3"/>
  <c r="E219" i="3" s="1"/>
  <c r="I219" i="3" s="1"/>
  <c r="C220" i="3"/>
  <c r="E220" i="3" s="1"/>
  <c r="I220" i="3" s="1"/>
  <c r="C221" i="3"/>
  <c r="E221" i="3" s="1"/>
  <c r="I221" i="3" s="1"/>
  <c r="C222" i="3"/>
  <c r="E222" i="3" s="1"/>
  <c r="I222" i="3" s="1"/>
  <c r="C223" i="3"/>
  <c r="E223" i="3" s="1"/>
  <c r="I223" i="3" s="1"/>
  <c r="C224" i="3"/>
  <c r="E224" i="3" s="1"/>
  <c r="I224" i="3" s="1"/>
  <c r="C225" i="3"/>
  <c r="E225" i="3" s="1"/>
  <c r="I225" i="3" s="1"/>
  <c r="C226" i="3"/>
  <c r="E226" i="3" s="1"/>
  <c r="I226" i="3" s="1"/>
  <c r="C227" i="3"/>
  <c r="E227" i="3" s="1"/>
  <c r="C228" i="3"/>
  <c r="E228" i="3" s="1"/>
  <c r="I228" i="3" s="1"/>
  <c r="C229" i="3"/>
  <c r="E229" i="3" s="1"/>
  <c r="I229" i="3" s="1"/>
  <c r="C230" i="3"/>
  <c r="E230" i="3" s="1"/>
  <c r="I230" i="3" s="1"/>
  <c r="C231" i="3"/>
  <c r="E231" i="3" s="1"/>
  <c r="I231" i="3" s="1"/>
  <c r="C232" i="3"/>
  <c r="E232" i="3" s="1"/>
  <c r="I232" i="3" s="1"/>
  <c r="C233" i="3"/>
  <c r="E233" i="3" s="1"/>
  <c r="I233" i="3" s="1"/>
  <c r="C234" i="3"/>
  <c r="E234" i="3" s="1"/>
  <c r="I234" i="3" s="1"/>
  <c r="C235" i="3"/>
  <c r="E235" i="3" s="1"/>
  <c r="I235" i="3" s="1"/>
  <c r="C236" i="3"/>
  <c r="E236" i="3" s="1"/>
  <c r="I236" i="3" s="1"/>
  <c r="C237" i="3"/>
  <c r="E237" i="3" s="1"/>
  <c r="I237" i="3" s="1"/>
  <c r="C238" i="3"/>
  <c r="E238" i="3" s="1"/>
  <c r="I238" i="3" s="1"/>
  <c r="C239" i="3"/>
  <c r="E239" i="3" s="1"/>
  <c r="I239" i="3" s="1"/>
  <c r="C240" i="3"/>
  <c r="E240" i="3" s="1"/>
  <c r="I240" i="3" s="1"/>
  <c r="C241" i="3"/>
  <c r="E241" i="3" s="1"/>
  <c r="I241" i="3" s="1"/>
  <c r="C242" i="3"/>
  <c r="E242" i="3" s="1"/>
  <c r="I242" i="3" s="1"/>
  <c r="C243" i="3"/>
  <c r="E243" i="3" s="1"/>
  <c r="I243" i="3" s="1"/>
  <c r="C244" i="3"/>
  <c r="E244" i="3" s="1"/>
  <c r="I244" i="3" s="1"/>
  <c r="C245" i="3"/>
  <c r="E245" i="3" s="1"/>
  <c r="I245" i="3" s="1"/>
  <c r="C246" i="3"/>
  <c r="E246" i="3" s="1"/>
  <c r="I246" i="3" s="1"/>
  <c r="C247" i="3"/>
  <c r="E247" i="3" s="1"/>
  <c r="I247" i="3" s="1"/>
  <c r="C248" i="3"/>
  <c r="E248" i="3" s="1"/>
  <c r="I248" i="3" s="1"/>
  <c r="C249" i="3"/>
  <c r="E249" i="3" s="1"/>
  <c r="I249" i="3" s="1"/>
  <c r="C250" i="3"/>
  <c r="E250" i="3" s="1"/>
  <c r="I250" i="3" s="1"/>
  <c r="C251" i="3"/>
  <c r="E251" i="3" s="1"/>
  <c r="I251" i="3" s="1"/>
  <c r="C252" i="3"/>
  <c r="E252" i="3" s="1"/>
  <c r="I252" i="3" s="1"/>
  <c r="C253" i="3"/>
  <c r="E253" i="3" s="1"/>
  <c r="I253" i="3" s="1"/>
  <c r="C254" i="3"/>
  <c r="E254" i="3" s="1"/>
  <c r="I254" i="3" s="1"/>
  <c r="C255" i="3"/>
  <c r="E255" i="3" s="1"/>
  <c r="I255" i="3" s="1"/>
  <c r="C256" i="3"/>
  <c r="E256" i="3" s="1"/>
  <c r="I256" i="3" s="1"/>
  <c r="C257" i="3"/>
  <c r="E257" i="3" s="1"/>
  <c r="I257" i="3" s="1"/>
  <c r="C258" i="3"/>
  <c r="E258" i="3" s="1"/>
  <c r="I258" i="3" s="1"/>
  <c r="C259" i="3"/>
  <c r="E259" i="3" s="1"/>
  <c r="I259" i="3" s="1"/>
  <c r="C260" i="3"/>
  <c r="E260" i="3" s="1"/>
  <c r="I260" i="3" s="1"/>
  <c r="C261" i="3"/>
  <c r="E261" i="3" s="1"/>
  <c r="I261" i="3" s="1"/>
  <c r="C262" i="3"/>
  <c r="E262" i="3" s="1"/>
  <c r="I262" i="3" s="1"/>
  <c r="C263" i="3"/>
  <c r="E263" i="3" s="1"/>
  <c r="I263" i="3" s="1"/>
  <c r="C264" i="3"/>
  <c r="E264" i="3" s="1"/>
  <c r="I264" i="3" s="1"/>
  <c r="C265" i="3"/>
  <c r="E265" i="3" s="1"/>
  <c r="I265" i="3" s="1"/>
  <c r="C266" i="3"/>
  <c r="E266" i="3" s="1"/>
  <c r="I266" i="3" s="1"/>
  <c r="C267" i="3"/>
  <c r="E267" i="3" s="1"/>
  <c r="I267" i="3" s="1"/>
  <c r="C268" i="3"/>
  <c r="E268" i="3" s="1"/>
  <c r="I268" i="3" s="1"/>
  <c r="C269" i="3"/>
  <c r="E269" i="3" s="1"/>
  <c r="I269" i="3" s="1"/>
  <c r="C270" i="3"/>
  <c r="E270" i="3" s="1"/>
  <c r="I270" i="3" s="1"/>
  <c r="C271" i="3"/>
  <c r="E271" i="3" s="1"/>
  <c r="I271" i="3" s="1"/>
  <c r="C272" i="3"/>
  <c r="E272" i="3" s="1"/>
  <c r="I272" i="3" s="1"/>
  <c r="C273" i="3"/>
  <c r="E273" i="3" s="1"/>
  <c r="I273" i="3" s="1"/>
  <c r="C274" i="3"/>
  <c r="E274" i="3" s="1"/>
  <c r="I274" i="3" s="1"/>
  <c r="C275" i="3"/>
  <c r="E275" i="3" s="1"/>
  <c r="I275" i="3" s="1"/>
  <c r="C276" i="3"/>
  <c r="E276" i="3" s="1"/>
  <c r="I276" i="3" s="1"/>
  <c r="C277" i="3"/>
  <c r="E277" i="3" s="1"/>
  <c r="I277" i="3" s="1"/>
  <c r="C278" i="3"/>
  <c r="E278" i="3" s="1"/>
  <c r="I278" i="3" s="1"/>
  <c r="C279" i="3"/>
  <c r="E279" i="3" s="1"/>
  <c r="I279" i="3" s="1"/>
  <c r="C280" i="3"/>
  <c r="E280" i="3" s="1"/>
  <c r="I280" i="3" s="1"/>
  <c r="C281" i="3"/>
  <c r="E281" i="3" s="1"/>
  <c r="I281" i="3" s="1"/>
  <c r="C282" i="3"/>
  <c r="E282" i="3" s="1"/>
  <c r="I282" i="3" s="1"/>
  <c r="C283" i="3"/>
  <c r="E283" i="3" s="1"/>
  <c r="I283" i="3" s="1"/>
  <c r="C284" i="3"/>
  <c r="E284" i="3" s="1"/>
  <c r="I284" i="3" s="1"/>
  <c r="C285" i="3"/>
  <c r="E285" i="3" s="1"/>
  <c r="I285" i="3" s="1"/>
  <c r="C286" i="3"/>
  <c r="E286" i="3" s="1"/>
  <c r="I286" i="3" s="1"/>
  <c r="C287" i="3"/>
  <c r="E287" i="3" s="1"/>
  <c r="I287" i="3" s="1"/>
  <c r="C288" i="3"/>
  <c r="E288" i="3" s="1"/>
  <c r="I288" i="3" s="1"/>
  <c r="C289" i="3"/>
  <c r="E289" i="3" s="1"/>
  <c r="I289" i="3" s="1"/>
  <c r="C290" i="3"/>
  <c r="E290" i="3" s="1"/>
  <c r="I290" i="3" s="1"/>
  <c r="C291" i="3"/>
  <c r="E291" i="3" s="1"/>
  <c r="I291" i="3" s="1"/>
  <c r="C292" i="3"/>
  <c r="E292" i="3" s="1"/>
  <c r="I292" i="3" s="1"/>
  <c r="C293" i="3"/>
  <c r="E293" i="3" s="1"/>
  <c r="I293" i="3" s="1"/>
  <c r="C294" i="3"/>
  <c r="E294" i="3" s="1"/>
  <c r="I294" i="3" s="1"/>
  <c r="C295" i="3"/>
  <c r="E295" i="3" s="1"/>
  <c r="I295" i="3" s="1"/>
  <c r="C296" i="3"/>
  <c r="E296" i="3" s="1"/>
  <c r="I296" i="3" s="1"/>
  <c r="C297" i="3"/>
  <c r="E297" i="3" s="1"/>
  <c r="I297" i="3" s="1"/>
  <c r="C298" i="3"/>
  <c r="E298" i="3" s="1"/>
  <c r="I298" i="3" s="1"/>
  <c r="C299" i="3"/>
  <c r="E299" i="3" s="1"/>
  <c r="I299" i="3" s="1"/>
  <c r="C300" i="3"/>
  <c r="E300" i="3" s="1"/>
  <c r="I300" i="3" s="1"/>
  <c r="C301" i="3"/>
  <c r="E301" i="3" s="1"/>
  <c r="I301" i="3" s="1"/>
  <c r="C302" i="3"/>
  <c r="E302" i="3" s="1"/>
  <c r="I302" i="3" s="1"/>
  <c r="C303" i="3"/>
  <c r="E303" i="3" s="1"/>
  <c r="I303" i="3" s="1"/>
  <c r="C304" i="3"/>
  <c r="E304" i="3" s="1"/>
  <c r="I304" i="3" s="1"/>
  <c r="C305" i="3"/>
  <c r="E305" i="3" s="1"/>
  <c r="I305" i="3" s="1"/>
  <c r="C306" i="3"/>
  <c r="E306" i="3" s="1"/>
  <c r="I306" i="3" s="1"/>
  <c r="C307" i="3"/>
  <c r="E307" i="3" s="1"/>
  <c r="I307" i="3" s="1"/>
  <c r="C308" i="3"/>
  <c r="E308" i="3" s="1"/>
  <c r="I308" i="3" s="1"/>
  <c r="C309" i="3"/>
  <c r="E309" i="3" s="1"/>
  <c r="I309" i="3" s="1"/>
  <c r="C310" i="3"/>
  <c r="E310" i="3" s="1"/>
  <c r="I310" i="3" s="1"/>
  <c r="C311" i="3"/>
  <c r="E311" i="3" s="1"/>
  <c r="I311" i="3" s="1"/>
  <c r="C312" i="3"/>
  <c r="E312" i="3" s="1"/>
  <c r="I312" i="3" s="1"/>
  <c r="C313" i="3"/>
  <c r="E313" i="3" s="1"/>
  <c r="I313" i="3" s="1"/>
  <c r="C314" i="3"/>
  <c r="E314" i="3" s="1"/>
  <c r="I314" i="3" s="1"/>
  <c r="C315" i="3"/>
  <c r="E315" i="3" s="1"/>
  <c r="I315" i="3" s="1"/>
  <c r="C316" i="3"/>
  <c r="E316" i="3" s="1"/>
  <c r="I316" i="3" s="1"/>
  <c r="C317" i="3"/>
  <c r="E317" i="3" s="1"/>
  <c r="I317" i="3" s="1"/>
  <c r="C318" i="3"/>
  <c r="E318" i="3" s="1"/>
  <c r="I318" i="3" s="1"/>
  <c r="C319" i="3"/>
  <c r="E319" i="3" s="1"/>
  <c r="I319" i="3" s="1"/>
  <c r="C320" i="3"/>
  <c r="E320" i="3" s="1"/>
  <c r="I320" i="3" s="1"/>
  <c r="C321" i="3"/>
  <c r="E321" i="3" s="1"/>
  <c r="I321" i="3" s="1"/>
  <c r="C322" i="3"/>
  <c r="E322" i="3" s="1"/>
  <c r="I322" i="3" s="1"/>
  <c r="C323" i="3"/>
  <c r="E323" i="3" s="1"/>
  <c r="I323" i="3" s="1"/>
  <c r="C324" i="3"/>
  <c r="E324" i="3" s="1"/>
  <c r="I324" i="3" s="1"/>
  <c r="C325" i="3"/>
  <c r="E325" i="3" s="1"/>
  <c r="I325" i="3" s="1"/>
  <c r="C326" i="3"/>
  <c r="E326" i="3" s="1"/>
  <c r="I326" i="3" s="1"/>
  <c r="C327" i="3"/>
  <c r="E327" i="3" s="1"/>
  <c r="I327" i="3" s="1"/>
  <c r="C328" i="3"/>
  <c r="E328" i="3" s="1"/>
  <c r="I328" i="3" s="1"/>
  <c r="C329" i="3"/>
  <c r="E329" i="3" s="1"/>
  <c r="I329" i="3" s="1"/>
  <c r="C330" i="3"/>
  <c r="E330" i="3" s="1"/>
  <c r="C331" i="3"/>
  <c r="E331" i="3" s="1"/>
  <c r="I331" i="3" s="1"/>
  <c r="C332" i="3"/>
  <c r="E332" i="3" s="1"/>
  <c r="I332" i="3" s="1"/>
  <c r="C333" i="3"/>
  <c r="E333" i="3" s="1"/>
  <c r="I333" i="3" s="1"/>
  <c r="C334" i="3"/>
  <c r="E334" i="3" s="1"/>
  <c r="I334" i="3" s="1"/>
  <c r="C335" i="3"/>
  <c r="E335" i="3" s="1"/>
  <c r="I335" i="3" s="1"/>
  <c r="C336" i="3"/>
  <c r="E336" i="3" s="1"/>
  <c r="I336" i="3" s="1"/>
  <c r="C337" i="3"/>
  <c r="E337" i="3" s="1"/>
  <c r="I337" i="3" s="1"/>
  <c r="C338" i="3"/>
  <c r="E338" i="3" s="1"/>
  <c r="I338" i="3" s="1"/>
  <c r="C339" i="3"/>
  <c r="E339" i="3" s="1"/>
  <c r="I339" i="3" s="1"/>
  <c r="C340" i="3"/>
  <c r="E340" i="3" s="1"/>
  <c r="I340" i="3" s="1"/>
  <c r="C341" i="3"/>
  <c r="E341" i="3" s="1"/>
  <c r="I341" i="3" s="1"/>
  <c r="C342" i="3"/>
  <c r="E342" i="3" s="1"/>
  <c r="I342" i="3" s="1"/>
  <c r="C343" i="3"/>
  <c r="E343" i="3" s="1"/>
  <c r="I343" i="3" s="1"/>
  <c r="C344" i="3"/>
  <c r="E344" i="3" s="1"/>
  <c r="I344" i="3" s="1"/>
  <c r="C345" i="3"/>
  <c r="E345" i="3" s="1"/>
  <c r="I345" i="3" s="1"/>
  <c r="C346" i="3"/>
  <c r="E346" i="3" s="1"/>
  <c r="I346" i="3" s="1"/>
  <c r="C347" i="3"/>
  <c r="E347" i="3" s="1"/>
  <c r="I347" i="3" s="1"/>
  <c r="C348" i="3"/>
  <c r="E348" i="3" s="1"/>
  <c r="I348" i="3" s="1"/>
  <c r="C349" i="3"/>
  <c r="E349" i="3" s="1"/>
  <c r="I349" i="3" s="1"/>
  <c r="C350" i="3"/>
  <c r="E350" i="3" s="1"/>
  <c r="I350" i="3" s="1"/>
  <c r="C351" i="3"/>
  <c r="E351" i="3" s="1"/>
  <c r="I351" i="3" s="1"/>
  <c r="C352" i="3"/>
  <c r="E352" i="3" s="1"/>
  <c r="I352" i="3" s="1"/>
  <c r="C353" i="3"/>
  <c r="E353" i="3" s="1"/>
  <c r="I353" i="3" s="1"/>
  <c r="C354" i="3"/>
  <c r="E354" i="3" s="1"/>
  <c r="I354" i="3" s="1"/>
  <c r="C355" i="3"/>
  <c r="E355" i="3" s="1"/>
  <c r="I355" i="3" s="1"/>
  <c r="C356" i="3"/>
  <c r="E356" i="3" s="1"/>
  <c r="I356" i="3" s="1"/>
  <c r="C357" i="3"/>
  <c r="E357" i="3" s="1"/>
  <c r="I357" i="3" s="1"/>
  <c r="C358" i="3"/>
  <c r="E358" i="3" s="1"/>
  <c r="I358" i="3" s="1"/>
  <c r="C359" i="3"/>
  <c r="E359" i="3" s="1"/>
  <c r="I359" i="3" s="1"/>
  <c r="C360" i="3"/>
  <c r="E360" i="3" s="1"/>
  <c r="I360" i="3" s="1"/>
  <c r="C361" i="3"/>
  <c r="E361" i="3" s="1"/>
  <c r="I361" i="3" s="1"/>
  <c r="C362" i="3"/>
  <c r="E362" i="3" s="1"/>
  <c r="I362" i="3" s="1"/>
  <c r="C363" i="3"/>
  <c r="E363" i="3" s="1"/>
  <c r="I363" i="3" s="1"/>
  <c r="C364" i="3"/>
  <c r="E364" i="3" s="1"/>
  <c r="I364" i="3" s="1"/>
  <c r="C365" i="3"/>
  <c r="E365" i="3" s="1"/>
  <c r="I365" i="3" s="1"/>
  <c r="C366" i="3"/>
  <c r="E366" i="3" s="1"/>
  <c r="I366" i="3" s="1"/>
  <c r="C367" i="3"/>
  <c r="E367" i="3" s="1"/>
  <c r="I367" i="3" s="1"/>
  <c r="C368" i="3"/>
  <c r="E368" i="3" s="1"/>
  <c r="I368" i="3" s="1"/>
  <c r="C369" i="3"/>
  <c r="E369" i="3" s="1"/>
  <c r="I369" i="3" s="1"/>
  <c r="C370" i="3"/>
  <c r="E370" i="3" s="1"/>
  <c r="I370" i="3" s="1"/>
  <c r="C371" i="3"/>
  <c r="E371" i="3" s="1"/>
  <c r="I371" i="3" s="1"/>
  <c r="C372" i="3"/>
  <c r="E372" i="3" s="1"/>
  <c r="I372" i="3" s="1"/>
  <c r="C373" i="3"/>
  <c r="E373" i="3" s="1"/>
  <c r="I373" i="3" s="1"/>
  <c r="C374" i="3"/>
  <c r="E374" i="3" s="1"/>
  <c r="I374" i="3" s="1"/>
  <c r="C375" i="3"/>
  <c r="E375" i="3" s="1"/>
  <c r="I375" i="3" s="1"/>
  <c r="C376" i="3"/>
  <c r="E376" i="3" s="1"/>
  <c r="I376" i="3" s="1"/>
  <c r="C377" i="3"/>
  <c r="E377" i="3" s="1"/>
  <c r="I377" i="3" s="1"/>
  <c r="C378" i="3"/>
  <c r="E378" i="3" s="1"/>
  <c r="I378" i="3" s="1"/>
  <c r="C379" i="3"/>
  <c r="E379" i="3" s="1"/>
  <c r="I379" i="3" s="1"/>
  <c r="C380" i="3"/>
  <c r="E380" i="3" s="1"/>
  <c r="I380" i="3" s="1"/>
  <c r="C381" i="3"/>
  <c r="E381" i="3" s="1"/>
  <c r="I381" i="3" s="1"/>
  <c r="C382" i="3"/>
  <c r="E382" i="3" s="1"/>
  <c r="I382" i="3" s="1"/>
  <c r="C383" i="3"/>
  <c r="E383" i="3" s="1"/>
  <c r="I383" i="3" s="1"/>
  <c r="C384" i="3"/>
  <c r="E384" i="3" s="1"/>
  <c r="I384" i="3" s="1"/>
  <c r="C385" i="3"/>
  <c r="E385" i="3" s="1"/>
  <c r="I385" i="3" s="1"/>
  <c r="C386" i="3"/>
  <c r="E386" i="3" s="1"/>
  <c r="I386" i="3" s="1"/>
  <c r="C387" i="3"/>
  <c r="E387" i="3" s="1"/>
  <c r="I387" i="3" s="1"/>
  <c r="C388" i="3"/>
  <c r="E388" i="3" s="1"/>
  <c r="I388" i="3" s="1"/>
  <c r="C389" i="3"/>
  <c r="E389" i="3" s="1"/>
  <c r="I389" i="3" s="1"/>
  <c r="C390" i="3"/>
  <c r="E390" i="3" s="1"/>
  <c r="I390" i="3" s="1"/>
  <c r="C391" i="3"/>
  <c r="E391" i="3" s="1"/>
  <c r="I391" i="3" s="1"/>
  <c r="C392" i="3"/>
  <c r="E392" i="3" s="1"/>
  <c r="I392" i="3" s="1"/>
  <c r="C393" i="3"/>
  <c r="E393" i="3" s="1"/>
  <c r="I393" i="3" s="1"/>
  <c r="C394" i="3"/>
  <c r="E394" i="3" s="1"/>
  <c r="I394" i="3" s="1"/>
  <c r="C395" i="3"/>
  <c r="E395" i="3" s="1"/>
  <c r="I395" i="3" s="1"/>
  <c r="C396" i="3"/>
  <c r="E396" i="3" s="1"/>
  <c r="I396" i="3" s="1"/>
  <c r="C397" i="3"/>
  <c r="E397" i="3" s="1"/>
  <c r="I397" i="3" s="1"/>
  <c r="C398" i="3"/>
  <c r="E398" i="3" s="1"/>
  <c r="I398" i="3" s="1"/>
  <c r="C399" i="3"/>
  <c r="E399" i="3" s="1"/>
  <c r="I399" i="3" s="1"/>
  <c r="C400" i="3"/>
  <c r="E400" i="3" s="1"/>
  <c r="I400" i="3" s="1"/>
  <c r="C401" i="3"/>
  <c r="E401" i="3" s="1"/>
  <c r="I401" i="3" s="1"/>
  <c r="C402" i="3"/>
  <c r="E402" i="3" s="1"/>
  <c r="I402" i="3" s="1"/>
  <c r="C403" i="3"/>
  <c r="E403" i="3" s="1"/>
  <c r="I403" i="3" s="1"/>
  <c r="C404" i="3"/>
  <c r="E404" i="3" s="1"/>
  <c r="I404" i="3" s="1"/>
  <c r="C405" i="3"/>
  <c r="E405" i="3" s="1"/>
  <c r="I405" i="3" s="1"/>
  <c r="C406" i="3"/>
  <c r="E406" i="3" s="1"/>
  <c r="I406" i="3" s="1"/>
  <c r="C407" i="3"/>
  <c r="E407" i="3" s="1"/>
  <c r="I407" i="3" s="1"/>
  <c r="C408" i="3"/>
  <c r="E408" i="3" s="1"/>
  <c r="I408" i="3" s="1"/>
  <c r="C409" i="3"/>
  <c r="E409" i="3" s="1"/>
  <c r="I409" i="3" s="1"/>
  <c r="C410" i="3"/>
  <c r="E410" i="3" s="1"/>
  <c r="I410" i="3" s="1"/>
  <c r="C411" i="3"/>
  <c r="E411" i="3" s="1"/>
  <c r="I411" i="3" s="1"/>
  <c r="C412" i="3"/>
  <c r="E412" i="3" s="1"/>
  <c r="I412" i="3" s="1"/>
  <c r="C413" i="3"/>
  <c r="E413" i="3" s="1"/>
  <c r="I413" i="3" s="1"/>
  <c r="C414" i="3"/>
  <c r="E414" i="3" s="1"/>
  <c r="I414" i="3" s="1"/>
  <c r="C415" i="3"/>
  <c r="E415" i="3" s="1"/>
  <c r="I415" i="3" s="1"/>
  <c r="C416" i="3"/>
  <c r="E416" i="3" s="1"/>
  <c r="I416" i="3" s="1"/>
  <c r="C417" i="3"/>
  <c r="E417" i="3" s="1"/>
  <c r="I417" i="3" s="1"/>
  <c r="C418" i="3"/>
  <c r="E418" i="3" s="1"/>
  <c r="I418" i="3" s="1"/>
  <c r="C419" i="3"/>
  <c r="E419" i="3" s="1"/>
  <c r="I419" i="3" s="1"/>
  <c r="C420" i="3"/>
  <c r="E420" i="3" s="1"/>
  <c r="I420" i="3" s="1"/>
  <c r="C421" i="3"/>
  <c r="E421" i="3" s="1"/>
  <c r="I421" i="3" s="1"/>
  <c r="C422" i="3"/>
  <c r="E422" i="3" s="1"/>
  <c r="I422" i="3" s="1"/>
  <c r="C423" i="3"/>
  <c r="E423" i="3" s="1"/>
  <c r="I423" i="3" s="1"/>
  <c r="C424" i="3"/>
  <c r="E424" i="3" s="1"/>
  <c r="I424" i="3" s="1"/>
  <c r="C425" i="3"/>
  <c r="E425" i="3" s="1"/>
  <c r="I425" i="3" s="1"/>
  <c r="C426" i="3"/>
  <c r="E426" i="3" s="1"/>
  <c r="I426" i="3" s="1"/>
  <c r="C427" i="3"/>
  <c r="E427" i="3" s="1"/>
  <c r="I427" i="3" s="1"/>
  <c r="C428" i="3"/>
  <c r="E428" i="3" s="1"/>
  <c r="I428" i="3" s="1"/>
  <c r="C429" i="3"/>
  <c r="E429" i="3" s="1"/>
  <c r="I429" i="3" s="1"/>
  <c r="C430" i="3"/>
  <c r="E430" i="3" s="1"/>
  <c r="I430" i="3" s="1"/>
  <c r="C431" i="3"/>
  <c r="E431" i="3" s="1"/>
  <c r="I431" i="3" s="1"/>
  <c r="C432" i="3"/>
  <c r="E432" i="3" s="1"/>
  <c r="I432" i="3" s="1"/>
  <c r="C433" i="3"/>
  <c r="E433" i="3" s="1"/>
  <c r="I433" i="3" s="1"/>
  <c r="C434" i="3"/>
  <c r="E434" i="3" s="1"/>
  <c r="I434" i="3" s="1"/>
  <c r="C435" i="3"/>
  <c r="E435" i="3" s="1"/>
  <c r="I435" i="3" s="1"/>
  <c r="C436" i="3"/>
  <c r="E436" i="3" s="1"/>
  <c r="I436" i="3" s="1"/>
  <c r="C437" i="3"/>
  <c r="E437" i="3" s="1"/>
  <c r="I437" i="3" s="1"/>
  <c r="C438" i="3"/>
  <c r="E438" i="3" s="1"/>
  <c r="I438" i="3" s="1"/>
  <c r="C439" i="3"/>
  <c r="E439" i="3" s="1"/>
  <c r="I439" i="3" s="1"/>
  <c r="C440" i="3"/>
  <c r="E440" i="3" s="1"/>
  <c r="I440" i="3" s="1"/>
  <c r="C441" i="3"/>
  <c r="E441" i="3" s="1"/>
  <c r="I441" i="3" s="1"/>
  <c r="C442" i="3"/>
  <c r="E442" i="3" s="1"/>
  <c r="I442" i="3" s="1"/>
  <c r="C443" i="3"/>
  <c r="E443" i="3" s="1"/>
  <c r="I443" i="3" s="1"/>
  <c r="C444" i="3"/>
  <c r="E444" i="3" s="1"/>
  <c r="I444" i="3" s="1"/>
  <c r="C445" i="3"/>
  <c r="E445" i="3" s="1"/>
  <c r="I445" i="3" s="1"/>
  <c r="C446" i="3"/>
  <c r="E446" i="3" s="1"/>
  <c r="I446" i="3" s="1"/>
  <c r="C447" i="3"/>
  <c r="E447" i="3" s="1"/>
  <c r="I447" i="3" s="1"/>
  <c r="C448" i="3"/>
  <c r="E448" i="3" s="1"/>
  <c r="I448" i="3" s="1"/>
  <c r="C449" i="3"/>
  <c r="E449" i="3" s="1"/>
  <c r="I449" i="3" s="1"/>
  <c r="C450" i="3"/>
  <c r="E450" i="3" s="1"/>
  <c r="I450" i="3" s="1"/>
  <c r="C451" i="3"/>
  <c r="E451" i="3" s="1"/>
  <c r="I451" i="3" s="1"/>
  <c r="C452" i="3"/>
  <c r="E452" i="3" s="1"/>
  <c r="I452" i="3" s="1"/>
  <c r="C453" i="3"/>
  <c r="E453" i="3" s="1"/>
  <c r="I453" i="3" s="1"/>
  <c r="C454" i="3"/>
  <c r="E454" i="3" s="1"/>
  <c r="I454" i="3" s="1"/>
  <c r="C455" i="3"/>
  <c r="E455" i="3" s="1"/>
  <c r="I455" i="3" s="1"/>
  <c r="C456" i="3"/>
  <c r="E456" i="3" s="1"/>
  <c r="I456" i="3" s="1"/>
  <c r="C457" i="3"/>
  <c r="E457" i="3" s="1"/>
  <c r="I457" i="3" s="1"/>
  <c r="C458" i="3"/>
  <c r="E458" i="3" s="1"/>
  <c r="I458" i="3" s="1"/>
  <c r="C459" i="3"/>
  <c r="E459" i="3" s="1"/>
  <c r="I459" i="3" s="1"/>
  <c r="C460" i="3"/>
  <c r="E460" i="3" s="1"/>
  <c r="I460" i="3" s="1"/>
  <c r="C461" i="3"/>
  <c r="E461" i="3" s="1"/>
  <c r="I461" i="3" s="1"/>
  <c r="C462" i="3"/>
  <c r="E462" i="3" s="1"/>
  <c r="I462" i="3" s="1"/>
  <c r="C463" i="3"/>
  <c r="E463" i="3" s="1"/>
  <c r="I463" i="3" s="1"/>
  <c r="C464" i="3"/>
  <c r="E464" i="3" s="1"/>
  <c r="I464" i="3" s="1"/>
  <c r="C465" i="3"/>
  <c r="E465" i="3" s="1"/>
  <c r="I465" i="3" s="1"/>
  <c r="C466" i="3"/>
  <c r="E466" i="3" s="1"/>
  <c r="I466" i="3" s="1"/>
  <c r="C467" i="3"/>
  <c r="E467" i="3" s="1"/>
  <c r="I467" i="3" s="1"/>
  <c r="C468" i="3"/>
  <c r="E468" i="3" s="1"/>
  <c r="I468" i="3" s="1"/>
  <c r="C469" i="3"/>
  <c r="E469" i="3" s="1"/>
  <c r="I469" i="3" s="1"/>
  <c r="C470" i="3"/>
  <c r="E470" i="3" s="1"/>
  <c r="I470" i="3" s="1"/>
  <c r="C471" i="3"/>
  <c r="E471" i="3" s="1"/>
  <c r="I471" i="3" s="1"/>
  <c r="C472" i="3"/>
  <c r="E472" i="3" s="1"/>
  <c r="I472" i="3" s="1"/>
  <c r="C473" i="3"/>
  <c r="E473" i="3" s="1"/>
  <c r="I473" i="3" s="1"/>
  <c r="C474" i="3"/>
  <c r="E474" i="3" s="1"/>
  <c r="I474" i="3" s="1"/>
  <c r="C475" i="3"/>
  <c r="E475" i="3" s="1"/>
  <c r="I475" i="3" s="1"/>
  <c r="C476" i="3"/>
  <c r="E476" i="3" s="1"/>
  <c r="I476" i="3" s="1"/>
  <c r="C477" i="3"/>
  <c r="E477" i="3" s="1"/>
  <c r="I477" i="3" s="1"/>
  <c r="C478" i="3"/>
  <c r="E478" i="3" s="1"/>
  <c r="I478" i="3" s="1"/>
  <c r="C479" i="3"/>
  <c r="E479" i="3" s="1"/>
  <c r="I479" i="3" s="1"/>
  <c r="C480" i="3"/>
  <c r="E480" i="3" s="1"/>
  <c r="I480" i="3" s="1"/>
  <c r="C481" i="3"/>
  <c r="E481" i="3" s="1"/>
  <c r="I481" i="3" s="1"/>
  <c r="C482" i="3"/>
  <c r="E482" i="3" s="1"/>
  <c r="I482" i="3" s="1"/>
  <c r="C483" i="3"/>
  <c r="E483" i="3" s="1"/>
  <c r="I483" i="3" s="1"/>
  <c r="C484" i="3"/>
  <c r="E484" i="3" s="1"/>
  <c r="I484" i="3" s="1"/>
  <c r="C485" i="3"/>
  <c r="E485" i="3" s="1"/>
  <c r="I485" i="3" s="1"/>
  <c r="C486" i="3"/>
  <c r="E486" i="3" s="1"/>
  <c r="I486" i="3" s="1"/>
  <c r="C487" i="3"/>
  <c r="E487" i="3" s="1"/>
  <c r="I487" i="3" s="1"/>
  <c r="C488" i="3"/>
  <c r="E488" i="3" s="1"/>
  <c r="I488" i="3" s="1"/>
  <c r="C489" i="3"/>
  <c r="E489" i="3" s="1"/>
  <c r="I489" i="3" s="1"/>
  <c r="C490" i="3"/>
  <c r="E490" i="3" s="1"/>
  <c r="I490" i="3" s="1"/>
  <c r="C491" i="3"/>
  <c r="E491" i="3" s="1"/>
  <c r="I491" i="3" s="1"/>
  <c r="C492" i="3"/>
  <c r="E492" i="3" s="1"/>
  <c r="I492" i="3" s="1"/>
  <c r="C493" i="3"/>
  <c r="E493" i="3" s="1"/>
  <c r="I493" i="3" s="1"/>
  <c r="C494" i="3"/>
  <c r="E494" i="3" s="1"/>
  <c r="I494" i="3" s="1"/>
  <c r="C495" i="3"/>
  <c r="E495" i="3" s="1"/>
  <c r="I495" i="3" s="1"/>
  <c r="C496" i="3"/>
  <c r="E496" i="3" s="1"/>
  <c r="I496" i="3" s="1"/>
  <c r="C497" i="3"/>
  <c r="E497" i="3" s="1"/>
  <c r="I497" i="3" s="1"/>
  <c r="C498" i="3"/>
  <c r="E498" i="3" s="1"/>
  <c r="I498" i="3" s="1"/>
  <c r="C499" i="3"/>
  <c r="E499" i="3" s="1"/>
  <c r="I499" i="3" s="1"/>
  <c r="C500" i="3"/>
  <c r="E500" i="3" s="1"/>
  <c r="I500" i="3" s="1"/>
  <c r="C501" i="3"/>
  <c r="E501" i="3" s="1"/>
  <c r="I501" i="3" s="1"/>
  <c r="C502" i="3"/>
  <c r="E502" i="3" s="1"/>
  <c r="I502" i="3" s="1"/>
  <c r="C503" i="3"/>
  <c r="E503" i="3" s="1"/>
  <c r="I503" i="3" s="1"/>
  <c r="C504" i="3"/>
  <c r="E504" i="3" s="1"/>
  <c r="I504" i="3" s="1"/>
  <c r="C505" i="3"/>
  <c r="E505" i="3" s="1"/>
  <c r="I505" i="3" s="1"/>
  <c r="C506" i="3"/>
  <c r="E506" i="3" s="1"/>
  <c r="I506" i="3" s="1"/>
  <c r="C507" i="3"/>
  <c r="E507" i="3" s="1"/>
  <c r="I507" i="3" s="1"/>
  <c r="C508" i="3"/>
  <c r="E508" i="3" s="1"/>
  <c r="I508" i="3" s="1"/>
  <c r="C509" i="3"/>
  <c r="E509" i="3" s="1"/>
  <c r="I509" i="3" s="1"/>
  <c r="C510" i="3"/>
  <c r="E510" i="3" s="1"/>
  <c r="I510" i="3" s="1"/>
  <c r="C511" i="3"/>
  <c r="E511" i="3" s="1"/>
  <c r="I511" i="3" s="1"/>
  <c r="C512" i="3"/>
  <c r="E512" i="3" s="1"/>
  <c r="I512" i="3" s="1"/>
  <c r="C513" i="3"/>
  <c r="E513" i="3" s="1"/>
  <c r="I513" i="3" s="1"/>
  <c r="C514" i="3"/>
  <c r="E514" i="3" s="1"/>
  <c r="I514" i="3" s="1"/>
  <c r="C515" i="3"/>
  <c r="E515" i="3" s="1"/>
  <c r="I515" i="3" s="1"/>
  <c r="C516" i="3"/>
  <c r="E516" i="3" s="1"/>
  <c r="I516" i="3" s="1"/>
  <c r="C517" i="3"/>
  <c r="E517" i="3" s="1"/>
  <c r="I517" i="3" s="1"/>
  <c r="C518" i="3"/>
  <c r="E518" i="3" s="1"/>
  <c r="I518" i="3" s="1"/>
  <c r="C519" i="3"/>
  <c r="E519" i="3" s="1"/>
  <c r="I519" i="3" s="1"/>
  <c r="C520" i="3"/>
  <c r="E520" i="3" s="1"/>
  <c r="I520" i="3" s="1"/>
  <c r="C521" i="3"/>
  <c r="E521" i="3" s="1"/>
  <c r="I521" i="3" s="1"/>
  <c r="C522" i="3"/>
  <c r="E522" i="3" s="1"/>
  <c r="I522" i="3" s="1"/>
  <c r="C523" i="3"/>
  <c r="E523" i="3" s="1"/>
  <c r="I523" i="3" s="1"/>
  <c r="C524" i="3"/>
  <c r="E524" i="3" s="1"/>
  <c r="I524" i="3" s="1"/>
  <c r="C525" i="3"/>
  <c r="E525" i="3" s="1"/>
  <c r="I525" i="3" s="1"/>
  <c r="C526" i="3"/>
  <c r="E526" i="3" s="1"/>
  <c r="I526" i="3" s="1"/>
  <c r="C527" i="3"/>
  <c r="E527" i="3" s="1"/>
  <c r="I527" i="3" s="1"/>
  <c r="C528" i="3"/>
  <c r="E528" i="3" s="1"/>
  <c r="I528" i="3" s="1"/>
  <c r="C529" i="3"/>
  <c r="E529" i="3" s="1"/>
  <c r="I529" i="3" s="1"/>
  <c r="C530" i="3"/>
  <c r="E530" i="3" s="1"/>
  <c r="I530" i="3" s="1"/>
  <c r="C531" i="3"/>
  <c r="E531" i="3" s="1"/>
  <c r="I531" i="3" s="1"/>
  <c r="C532" i="3"/>
  <c r="E532" i="3" s="1"/>
  <c r="I532" i="3" s="1"/>
  <c r="C533" i="3"/>
  <c r="E533" i="3" s="1"/>
  <c r="I533" i="3" s="1"/>
  <c r="C534" i="3"/>
  <c r="E534" i="3" s="1"/>
  <c r="I534" i="3" s="1"/>
  <c r="C535" i="3"/>
  <c r="E535" i="3" s="1"/>
  <c r="I535" i="3" s="1"/>
  <c r="C536" i="3"/>
  <c r="E536" i="3" s="1"/>
  <c r="I536" i="3" s="1"/>
  <c r="C537" i="3"/>
  <c r="E537" i="3" s="1"/>
  <c r="I537" i="3" s="1"/>
  <c r="C538" i="3"/>
  <c r="E538" i="3" s="1"/>
  <c r="I538" i="3" s="1"/>
  <c r="C539" i="3"/>
  <c r="E539" i="3" s="1"/>
  <c r="I539" i="3" s="1"/>
  <c r="C540" i="3"/>
  <c r="E540" i="3" s="1"/>
  <c r="C541" i="3"/>
  <c r="E541" i="3" s="1"/>
  <c r="I541" i="3" s="1"/>
  <c r="C542" i="3"/>
  <c r="E542" i="3" s="1"/>
  <c r="I542" i="3" s="1"/>
  <c r="C543" i="3"/>
  <c r="E543" i="3" s="1"/>
  <c r="I543" i="3" s="1"/>
  <c r="C544" i="3"/>
  <c r="E544" i="3" s="1"/>
  <c r="I544" i="3" s="1"/>
  <c r="C545" i="3"/>
  <c r="E545" i="3" s="1"/>
  <c r="I545" i="3" s="1"/>
  <c r="C546" i="3"/>
  <c r="E546" i="3" s="1"/>
  <c r="I546" i="3" s="1"/>
  <c r="C547" i="3"/>
  <c r="E547" i="3" s="1"/>
  <c r="I547" i="3" s="1"/>
  <c r="C548" i="3"/>
  <c r="E548" i="3" s="1"/>
  <c r="I548" i="3" s="1"/>
  <c r="C549" i="3"/>
  <c r="E549" i="3" s="1"/>
  <c r="I549" i="3" s="1"/>
  <c r="C550" i="3"/>
  <c r="E550" i="3" s="1"/>
  <c r="I550" i="3" s="1"/>
  <c r="C551" i="3"/>
  <c r="E551" i="3" s="1"/>
  <c r="I551" i="3" s="1"/>
  <c r="C552" i="3"/>
  <c r="E552" i="3" s="1"/>
  <c r="I552" i="3" s="1"/>
  <c r="C553" i="3"/>
  <c r="E553" i="3" s="1"/>
  <c r="I553" i="3" s="1"/>
  <c r="C554" i="3"/>
  <c r="E554" i="3" s="1"/>
  <c r="I554" i="3" s="1"/>
  <c r="C555" i="3"/>
  <c r="E555" i="3" s="1"/>
  <c r="I555" i="3" s="1"/>
  <c r="C556" i="3"/>
  <c r="E556" i="3" s="1"/>
  <c r="I556" i="3" s="1"/>
  <c r="C557" i="3"/>
  <c r="E557" i="3" s="1"/>
  <c r="I557" i="3" s="1"/>
  <c r="C558" i="3"/>
  <c r="E558" i="3" s="1"/>
  <c r="I558" i="3" s="1"/>
  <c r="C559" i="3"/>
  <c r="E559" i="3" s="1"/>
  <c r="I559" i="3" s="1"/>
  <c r="C560" i="3"/>
  <c r="E560" i="3" s="1"/>
  <c r="I560" i="3" s="1"/>
  <c r="C561" i="3"/>
  <c r="E561" i="3" s="1"/>
  <c r="I561" i="3" s="1"/>
  <c r="C562" i="3"/>
  <c r="E562" i="3" s="1"/>
  <c r="I562" i="3" s="1"/>
  <c r="C563" i="3"/>
  <c r="E563" i="3" s="1"/>
  <c r="I563" i="3" s="1"/>
  <c r="C564" i="3"/>
  <c r="E564" i="3" s="1"/>
  <c r="I564" i="3" s="1"/>
  <c r="C565" i="3"/>
  <c r="E565" i="3" s="1"/>
  <c r="I565" i="3" s="1"/>
  <c r="C566" i="3"/>
  <c r="E566" i="3" s="1"/>
  <c r="I566" i="3" s="1"/>
  <c r="C567" i="3"/>
  <c r="E567" i="3" s="1"/>
  <c r="I567" i="3" s="1"/>
  <c r="C568" i="3"/>
  <c r="E568" i="3" s="1"/>
  <c r="I568" i="3" s="1"/>
  <c r="C569" i="3"/>
  <c r="E569" i="3" s="1"/>
  <c r="I569" i="3" s="1"/>
  <c r="C570" i="3"/>
  <c r="E570" i="3" s="1"/>
  <c r="I570" i="3" s="1"/>
  <c r="C571" i="3"/>
  <c r="E571" i="3" s="1"/>
  <c r="I571" i="3" s="1"/>
  <c r="C572" i="3"/>
  <c r="E572" i="3" s="1"/>
  <c r="I572" i="3" s="1"/>
  <c r="C573" i="3"/>
  <c r="E573" i="3" s="1"/>
  <c r="I573" i="3" s="1"/>
  <c r="C574" i="3"/>
  <c r="E574" i="3" s="1"/>
  <c r="I574" i="3" s="1"/>
  <c r="C575" i="3"/>
  <c r="E575" i="3" s="1"/>
  <c r="I575" i="3" s="1"/>
  <c r="C576" i="3"/>
  <c r="E576" i="3" s="1"/>
  <c r="I576" i="3" s="1"/>
  <c r="C577" i="3"/>
  <c r="E577" i="3" s="1"/>
  <c r="I577" i="3" s="1"/>
  <c r="C578" i="3"/>
  <c r="E578" i="3" s="1"/>
  <c r="I578" i="3" s="1"/>
  <c r="C579" i="3"/>
  <c r="E579" i="3" s="1"/>
  <c r="I579" i="3" s="1"/>
  <c r="C580" i="3"/>
  <c r="E580" i="3" s="1"/>
  <c r="I580" i="3" s="1"/>
  <c r="C581" i="3"/>
  <c r="E581" i="3" s="1"/>
  <c r="I581" i="3" s="1"/>
  <c r="C582" i="3"/>
  <c r="E582" i="3" s="1"/>
  <c r="I582" i="3" s="1"/>
  <c r="C583" i="3"/>
  <c r="E583" i="3" s="1"/>
  <c r="I583" i="3" s="1"/>
  <c r="C584" i="3"/>
  <c r="E584" i="3" s="1"/>
  <c r="I584" i="3" s="1"/>
  <c r="C585" i="3"/>
  <c r="E585" i="3" s="1"/>
  <c r="I585" i="3" s="1"/>
  <c r="C586" i="3"/>
  <c r="E586" i="3" s="1"/>
  <c r="I586" i="3" s="1"/>
  <c r="C587" i="3"/>
  <c r="E587" i="3" s="1"/>
  <c r="I587" i="3" s="1"/>
  <c r="C588" i="3"/>
  <c r="E588" i="3" s="1"/>
  <c r="I588" i="3" s="1"/>
  <c r="C589" i="3"/>
  <c r="E589" i="3" s="1"/>
  <c r="I589" i="3" s="1"/>
  <c r="C590" i="3"/>
  <c r="E590" i="3" s="1"/>
  <c r="I590" i="3" s="1"/>
  <c r="C591" i="3"/>
  <c r="E591" i="3" s="1"/>
  <c r="I591" i="3" s="1"/>
  <c r="C592" i="3"/>
  <c r="E592" i="3" s="1"/>
  <c r="I592" i="3" s="1"/>
  <c r="C593" i="3"/>
  <c r="E593" i="3" s="1"/>
  <c r="I593" i="3" s="1"/>
  <c r="C594" i="3"/>
  <c r="E594" i="3" s="1"/>
  <c r="I594" i="3" s="1"/>
  <c r="C595" i="3"/>
  <c r="E595" i="3" s="1"/>
  <c r="I595" i="3" s="1"/>
  <c r="C596" i="3"/>
  <c r="E596" i="3" s="1"/>
  <c r="I596" i="3" s="1"/>
  <c r="C597" i="3"/>
  <c r="E597" i="3" s="1"/>
  <c r="I597" i="3" s="1"/>
  <c r="C598" i="3"/>
  <c r="E598" i="3" s="1"/>
  <c r="I598" i="3" s="1"/>
  <c r="C599" i="3"/>
  <c r="E599" i="3" s="1"/>
  <c r="I599" i="3" s="1"/>
  <c r="C600" i="3"/>
  <c r="E600" i="3" s="1"/>
  <c r="I600" i="3" s="1"/>
  <c r="C601" i="3"/>
  <c r="E601" i="3" s="1"/>
  <c r="I601" i="3" s="1"/>
  <c r="C602" i="3"/>
  <c r="E602" i="3" s="1"/>
  <c r="I602" i="3" s="1"/>
  <c r="C603" i="3"/>
  <c r="E603" i="3" s="1"/>
  <c r="I603" i="3" s="1"/>
  <c r="C604" i="3"/>
  <c r="E604" i="3" s="1"/>
  <c r="I604" i="3" s="1"/>
  <c r="C605" i="3"/>
  <c r="E605" i="3" s="1"/>
  <c r="I605" i="3" s="1"/>
  <c r="C606" i="3"/>
  <c r="E606" i="3" s="1"/>
  <c r="I606" i="3" s="1"/>
  <c r="C607" i="3"/>
  <c r="E607" i="3" s="1"/>
  <c r="I607" i="3" s="1"/>
  <c r="C608" i="3"/>
  <c r="E608" i="3" s="1"/>
  <c r="I608" i="3" s="1"/>
  <c r="C609" i="3"/>
  <c r="E609" i="3" s="1"/>
  <c r="I609" i="3" s="1"/>
  <c r="C610" i="3"/>
  <c r="E610" i="3" s="1"/>
  <c r="I610" i="3" s="1"/>
  <c r="C611" i="3"/>
  <c r="E611" i="3" s="1"/>
  <c r="I611" i="3" s="1"/>
  <c r="C612" i="3"/>
  <c r="E612" i="3" s="1"/>
  <c r="I612" i="3" s="1"/>
  <c r="C613" i="3"/>
  <c r="E613" i="3" s="1"/>
  <c r="I613" i="3" s="1"/>
  <c r="C614" i="3"/>
  <c r="E614" i="3" s="1"/>
  <c r="I614" i="3" s="1"/>
  <c r="C615" i="3"/>
  <c r="E615" i="3" s="1"/>
  <c r="I615" i="3" s="1"/>
  <c r="C616" i="3"/>
  <c r="E616" i="3" s="1"/>
  <c r="I616" i="3" s="1"/>
  <c r="C617" i="3"/>
  <c r="E617" i="3" s="1"/>
  <c r="I617" i="3" s="1"/>
  <c r="C618" i="3"/>
  <c r="E618" i="3" s="1"/>
  <c r="I618" i="3" s="1"/>
  <c r="C619" i="3"/>
  <c r="E619" i="3" s="1"/>
  <c r="I619" i="3" s="1"/>
  <c r="C620" i="3"/>
  <c r="E620" i="3" s="1"/>
  <c r="I620" i="3" s="1"/>
  <c r="C621" i="3"/>
  <c r="E621" i="3" s="1"/>
  <c r="I621" i="3" s="1"/>
  <c r="C622" i="3"/>
  <c r="E622" i="3" s="1"/>
  <c r="I622" i="3" s="1"/>
  <c r="C623" i="3"/>
  <c r="E623" i="3" s="1"/>
  <c r="I623" i="3" s="1"/>
  <c r="C624" i="3"/>
  <c r="E624" i="3" s="1"/>
  <c r="I624" i="3" s="1"/>
  <c r="C625" i="3"/>
  <c r="E625" i="3" s="1"/>
  <c r="I625" i="3" s="1"/>
  <c r="C626" i="3"/>
  <c r="E626" i="3" s="1"/>
  <c r="I626" i="3" s="1"/>
  <c r="C627" i="3"/>
  <c r="E627" i="3" s="1"/>
  <c r="I627" i="3" s="1"/>
  <c r="C628" i="3"/>
  <c r="E628" i="3" s="1"/>
  <c r="I628" i="3" s="1"/>
  <c r="C629" i="3"/>
  <c r="E629" i="3" s="1"/>
  <c r="I629" i="3" s="1"/>
  <c r="C630" i="3"/>
  <c r="E630" i="3" s="1"/>
  <c r="I630" i="3" s="1"/>
  <c r="C631" i="3"/>
  <c r="E631" i="3" s="1"/>
  <c r="I631" i="3" s="1"/>
  <c r="C632" i="3"/>
  <c r="E632" i="3" s="1"/>
  <c r="I632" i="3" s="1"/>
  <c r="C633" i="3"/>
  <c r="E633" i="3" s="1"/>
  <c r="I633" i="3" s="1"/>
  <c r="C634" i="3"/>
  <c r="E634" i="3" s="1"/>
  <c r="I634" i="3" s="1"/>
  <c r="C635" i="3"/>
  <c r="E635" i="3" s="1"/>
  <c r="I635" i="3" s="1"/>
  <c r="C636" i="3"/>
  <c r="E636" i="3" s="1"/>
  <c r="I636" i="3" s="1"/>
  <c r="C637" i="3"/>
  <c r="E637" i="3" s="1"/>
  <c r="I637" i="3" s="1"/>
  <c r="C638" i="3"/>
  <c r="E638" i="3" s="1"/>
  <c r="I638" i="3" s="1"/>
  <c r="C639" i="3"/>
  <c r="E639" i="3" s="1"/>
  <c r="I639" i="3" s="1"/>
  <c r="C640" i="3"/>
  <c r="E640" i="3" s="1"/>
  <c r="I640" i="3" s="1"/>
  <c r="C641" i="3"/>
  <c r="E641" i="3" s="1"/>
  <c r="I641" i="3" s="1"/>
  <c r="C642" i="3"/>
  <c r="E642" i="3" s="1"/>
  <c r="I642" i="3" s="1"/>
  <c r="C643" i="3"/>
  <c r="E643" i="3" s="1"/>
  <c r="I643" i="3" s="1"/>
  <c r="C644" i="3"/>
  <c r="E644" i="3" s="1"/>
  <c r="I644" i="3" s="1"/>
  <c r="C645" i="3"/>
  <c r="E645" i="3" s="1"/>
  <c r="I645" i="3" s="1"/>
  <c r="C646" i="3"/>
  <c r="E646" i="3" s="1"/>
  <c r="I646" i="3" s="1"/>
  <c r="C647" i="3"/>
  <c r="E647" i="3" s="1"/>
  <c r="I647" i="3" s="1"/>
  <c r="C648" i="3"/>
  <c r="E648" i="3" s="1"/>
  <c r="I648" i="3" s="1"/>
  <c r="C649" i="3"/>
  <c r="E649" i="3" s="1"/>
  <c r="I649" i="3" s="1"/>
  <c r="C650" i="3"/>
  <c r="E650" i="3" s="1"/>
  <c r="I650" i="3" s="1"/>
  <c r="C651" i="3"/>
  <c r="E651" i="3" s="1"/>
  <c r="I651" i="3" s="1"/>
  <c r="C652" i="3"/>
  <c r="E652" i="3" s="1"/>
  <c r="I652" i="3" s="1"/>
  <c r="C653" i="3"/>
  <c r="E653" i="3" s="1"/>
  <c r="I653" i="3" s="1"/>
  <c r="C654" i="3"/>
  <c r="E654" i="3" s="1"/>
  <c r="I654" i="3" s="1"/>
  <c r="C655" i="3"/>
  <c r="E655" i="3" s="1"/>
  <c r="I655" i="3" s="1"/>
  <c r="C656" i="3"/>
  <c r="E656" i="3" s="1"/>
  <c r="I656" i="3" s="1"/>
  <c r="C657" i="3"/>
  <c r="E657" i="3" s="1"/>
  <c r="I657" i="3" s="1"/>
  <c r="C658" i="3"/>
  <c r="E658" i="3" s="1"/>
  <c r="I658" i="3" s="1"/>
  <c r="C659" i="3"/>
  <c r="E659" i="3" s="1"/>
  <c r="I659" i="3" s="1"/>
  <c r="C660" i="3"/>
  <c r="E660" i="3" s="1"/>
  <c r="I660" i="3" s="1"/>
  <c r="C661" i="3"/>
  <c r="E661" i="3" s="1"/>
  <c r="I661" i="3" s="1"/>
  <c r="C662" i="3"/>
  <c r="E662" i="3" s="1"/>
  <c r="I662" i="3" s="1"/>
  <c r="C663" i="3"/>
  <c r="E663" i="3" s="1"/>
  <c r="I663" i="3" s="1"/>
  <c r="C664" i="3"/>
  <c r="E664" i="3" s="1"/>
  <c r="I664" i="3" s="1"/>
  <c r="C665" i="3"/>
  <c r="E665" i="3" s="1"/>
  <c r="I665" i="3" s="1"/>
  <c r="C666" i="3"/>
  <c r="E666" i="3" s="1"/>
  <c r="I666" i="3" s="1"/>
  <c r="C667" i="3"/>
  <c r="E667" i="3" s="1"/>
  <c r="I667" i="3" s="1"/>
  <c r="C668" i="3"/>
  <c r="E668" i="3" s="1"/>
  <c r="I668" i="3" s="1"/>
  <c r="C669" i="3"/>
  <c r="E669" i="3" s="1"/>
  <c r="I669" i="3" s="1"/>
  <c r="C670" i="3"/>
  <c r="E670" i="3" s="1"/>
  <c r="I670" i="3" s="1"/>
  <c r="C671" i="3"/>
  <c r="E671" i="3" s="1"/>
  <c r="I671" i="3" s="1"/>
  <c r="C672" i="3"/>
  <c r="E672" i="3" s="1"/>
  <c r="I672" i="3" s="1"/>
  <c r="C673" i="3"/>
  <c r="E673" i="3" s="1"/>
  <c r="I673" i="3" s="1"/>
  <c r="C674" i="3"/>
  <c r="E674" i="3" s="1"/>
  <c r="I674" i="3" s="1"/>
  <c r="C675" i="3"/>
  <c r="E675" i="3" s="1"/>
  <c r="I675" i="3" s="1"/>
  <c r="C676" i="3"/>
  <c r="E676" i="3" s="1"/>
  <c r="I676" i="3" s="1"/>
  <c r="C677" i="3"/>
  <c r="E677" i="3" s="1"/>
  <c r="I677" i="3" s="1"/>
  <c r="C678" i="3"/>
  <c r="E678" i="3" s="1"/>
  <c r="I678" i="3" s="1"/>
  <c r="C679" i="3"/>
  <c r="E679" i="3" s="1"/>
  <c r="I679" i="3" s="1"/>
  <c r="C680" i="3"/>
  <c r="E680" i="3" s="1"/>
  <c r="I680" i="3" s="1"/>
  <c r="C681" i="3"/>
  <c r="E681" i="3" s="1"/>
  <c r="I681" i="3" s="1"/>
  <c r="C682" i="3"/>
  <c r="E682" i="3" s="1"/>
  <c r="I682" i="3" s="1"/>
  <c r="C683" i="3"/>
  <c r="E683" i="3" s="1"/>
  <c r="I683" i="3" s="1"/>
  <c r="C684" i="3"/>
  <c r="E684" i="3" s="1"/>
  <c r="I684" i="3" s="1"/>
  <c r="C685" i="3"/>
  <c r="E685" i="3" s="1"/>
  <c r="I685" i="3" s="1"/>
  <c r="C686" i="3"/>
  <c r="E686" i="3" s="1"/>
  <c r="I686" i="3" s="1"/>
  <c r="C687" i="3"/>
  <c r="E687" i="3" s="1"/>
  <c r="I687" i="3" s="1"/>
  <c r="C688" i="3"/>
  <c r="E688" i="3" s="1"/>
  <c r="I688" i="3" s="1"/>
  <c r="C689" i="3"/>
  <c r="E689" i="3" s="1"/>
  <c r="I689" i="3" s="1"/>
  <c r="C690" i="3"/>
  <c r="E690" i="3" s="1"/>
  <c r="I690" i="3" s="1"/>
  <c r="C691" i="3"/>
  <c r="E691" i="3" s="1"/>
  <c r="I691" i="3" s="1"/>
  <c r="C692" i="3"/>
  <c r="E692" i="3" s="1"/>
  <c r="I692" i="3" s="1"/>
  <c r="C693" i="3"/>
  <c r="E693" i="3" s="1"/>
  <c r="C694" i="3"/>
  <c r="E694" i="3" s="1"/>
  <c r="I694" i="3" s="1"/>
  <c r="C695" i="3"/>
  <c r="E695" i="3" s="1"/>
  <c r="I695" i="3" s="1"/>
  <c r="C696" i="3"/>
  <c r="E696" i="3" s="1"/>
  <c r="I696" i="3" s="1"/>
  <c r="C697" i="3"/>
  <c r="E697" i="3" s="1"/>
  <c r="I697" i="3" s="1"/>
  <c r="C698" i="3"/>
  <c r="E698" i="3" s="1"/>
  <c r="I698" i="3" s="1"/>
  <c r="C699" i="3"/>
  <c r="E699" i="3" s="1"/>
  <c r="I699" i="3" s="1"/>
  <c r="C700" i="3"/>
  <c r="E700" i="3" s="1"/>
  <c r="I700" i="3" s="1"/>
  <c r="C701" i="3"/>
  <c r="E701" i="3" s="1"/>
  <c r="I701" i="3" s="1"/>
  <c r="C702" i="3"/>
  <c r="E702" i="3" s="1"/>
  <c r="I702" i="3" s="1"/>
  <c r="C703" i="3"/>
  <c r="E703" i="3" s="1"/>
  <c r="I703" i="3" s="1"/>
  <c r="C704" i="3"/>
  <c r="E704" i="3" s="1"/>
  <c r="I704" i="3" s="1"/>
  <c r="C705" i="3"/>
  <c r="E705" i="3" s="1"/>
  <c r="I705" i="3" s="1"/>
  <c r="C706" i="3"/>
  <c r="E706" i="3" s="1"/>
  <c r="I706" i="3" s="1"/>
  <c r="C707" i="3"/>
  <c r="E707" i="3" s="1"/>
  <c r="I707" i="3" s="1"/>
  <c r="C708" i="3"/>
  <c r="E708" i="3" s="1"/>
  <c r="I708" i="3" s="1"/>
  <c r="C709" i="3"/>
  <c r="E709" i="3" s="1"/>
  <c r="I709" i="3" s="1"/>
  <c r="C710" i="3"/>
  <c r="E710" i="3" s="1"/>
  <c r="I710" i="3" s="1"/>
  <c r="C711" i="3"/>
  <c r="E711" i="3" s="1"/>
  <c r="I711" i="3" s="1"/>
  <c r="C712" i="3"/>
  <c r="E712" i="3" s="1"/>
  <c r="I712" i="3" s="1"/>
  <c r="C713" i="3"/>
  <c r="E713" i="3" s="1"/>
  <c r="I713" i="3" s="1"/>
  <c r="C714" i="3"/>
  <c r="E714" i="3" s="1"/>
  <c r="I714" i="3" s="1"/>
  <c r="C715" i="3"/>
  <c r="E715" i="3" s="1"/>
  <c r="I715" i="3" s="1"/>
  <c r="C716" i="3"/>
  <c r="E716" i="3" s="1"/>
  <c r="I716" i="3" s="1"/>
  <c r="C717" i="3"/>
  <c r="E717" i="3" s="1"/>
  <c r="I717" i="3" s="1"/>
  <c r="C718" i="3"/>
  <c r="E718" i="3" s="1"/>
  <c r="I718" i="3" s="1"/>
  <c r="C719" i="3"/>
  <c r="E719" i="3" s="1"/>
  <c r="I719" i="3" s="1"/>
  <c r="C720" i="3"/>
  <c r="E720" i="3" s="1"/>
  <c r="I720" i="3" s="1"/>
  <c r="C721" i="3"/>
  <c r="E721" i="3" s="1"/>
  <c r="I721" i="3" s="1"/>
  <c r="C722" i="3"/>
  <c r="E722" i="3" s="1"/>
  <c r="I722" i="3" s="1"/>
  <c r="C723" i="3"/>
  <c r="E723" i="3" s="1"/>
  <c r="I723" i="3" s="1"/>
  <c r="C724" i="3"/>
  <c r="E724" i="3" s="1"/>
  <c r="I724" i="3" s="1"/>
  <c r="C725" i="3"/>
  <c r="E725" i="3" s="1"/>
  <c r="I725" i="3" s="1"/>
  <c r="C726" i="3"/>
  <c r="E726" i="3" s="1"/>
  <c r="I726" i="3" s="1"/>
  <c r="C727" i="3"/>
  <c r="E727" i="3" s="1"/>
  <c r="I727" i="3" s="1"/>
  <c r="C728" i="3"/>
  <c r="E728" i="3" s="1"/>
  <c r="I728" i="3" s="1"/>
  <c r="C729" i="3"/>
  <c r="E729" i="3" s="1"/>
  <c r="I729" i="3" s="1"/>
  <c r="C730" i="3"/>
  <c r="E730" i="3" s="1"/>
  <c r="I730" i="3" s="1"/>
  <c r="C731" i="3"/>
  <c r="E731" i="3" s="1"/>
  <c r="I731" i="3" s="1"/>
  <c r="C732" i="3"/>
  <c r="E732" i="3" s="1"/>
  <c r="I732" i="3" s="1"/>
  <c r="C733" i="3"/>
  <c r="E733" i="3" s="1"/>
  <c r="I733" i="3" s="1"/>
  <c r="C734" i="3"/>
  <c r="E734" i="3" s="1"/>
  <c r="I734" i="3" s="1"/>
  <c r="C735" i="3"/>
  <c r="E735" i="3" s="1"/>
  <c r="I735" i="3" s="1"/>
  <c r="C736" i="3"/>
  <c r="E736" i="3" s="1"/>
  <c r="I736" i="3" s="1"/>
  <c r="C737" i="3"/>
  <c r="E737" i="3" s="1"/>
  <c r="I737" i="3" s="1"/>
  <c r="C738" i="3"/>
  <c r="E738" i="3" s="1"/>
  <c r="I738" i="3" s="1"/>
  <c r="C739" i="3"/>
  <c r="E739" i="3" s="1"/>
  <c r="I739" i="3" s="1"/>
  <c r="C740" i="3"/>
  <c r="E740" i="3" s="1"/>
  <c r="I740" i="3" s="1"/>
  <c r="C741" i="3"/>
  <c r="E741" i="3" s="1"/>
  <c r="I741" i="3" s="1"/>
  <c r="C742" i="3"/>
  <c r="E742" i="3" s="1"/>
  <c r="I742" i="3" s="1"/>
  <c r="C743" i="3"/>
  <c r="E743" i="3" s="1"/>
  <c r="C744" i="3"/>
  <c r="E744" i="3" s="1"/>
  <c r="I744" i="3" s="1"/>
  <c r="C745" i="3"/>
  <c r="E745" i="3" s="1"/>
  <c r="I745" i="3" s="1"/>
  <c r="C746" i="3"/>
  <c r="E746" i="3" s="1"/>
  <c r="I746" i="3" s="1"/>
  <c r="C747" i="3"/>
  <c r="E747" i="3" s="1"/>
  <c r="I747" i="3" s="1"/>
  <c r="C748" i="3"/>
  <c r="E748" i="3" s="1"/>
  <c r="I748" i="3" s="1"/>
  <c r="C749" i="3"/>
  <c r="E749" i="3" s="1"/>
  <c r="I749" i="3" s="1"/>
  <c r="C750" i="3"/>
  <c r="E750" i="3" s="1"/>
  <c r="I750" i="3" s="1"/>
  <c r="C751" i="3"/>
  <c r="E751" i="3" s="1"/>
  <c r="I751" i="3" s="1"/>
  <c r="C752" i="3"/>
  <c r="E752" i="3" s="1"/>
  <c r="I752" i="3" s="1"/>
  <c r="C753" i="3"/>
  <c r="E753" i="3" s="1"/>
  <c r="I753" i="3" s="1"/>
  <c r="C754" i="3"/>
  <c r="E754" i="3" s="1"/>
  <c r="I754" i="3" s="1"/>
  <c r="C755" i="3"/>
  <c r="E755" i="3" s="1"/>
  <c r="I755" i="3" s="1"/>
  <c r="C756" i="3"/>
  <c r="E756" i="3" s="1"/>
  <c r="I756" i="3" s="1"/>
  <c r="C757" i="3"/>
  <c r="E757" i="3" s="1"/>
  <c r="I757" i="3" s="1"/>
  <c r="C758" i="3"/>
  <c r="E758" i="3" s="1"/>
  <c r="I758" i="3" s="1"/>
  <c r="C759" i="3"/>
  <c r="E759" i="3" s="1"/>
  <c r="I759" i="3" s="1"/>
  <c r="C760" i="3"/>
  <c r="E760" i="3" s="1"/>
  <c r="I760" i="3" s="1"/>
  <c r="C761" i="3"/>
  <c r="E761" i="3" s="1"/>
  <c r="I761" i="3" s="1"/>
  <c r="C762" i="3"/>
  <c r="E762" i="3" s="1"/>
  <c r="I762" i="3" s="1"/>
  <c r="C763" i="3"/>
  <c r="E763" i="3" s="1"/>
  <c r="I763" i="3" s="1"/>
  <c r="C764" i="3"/>
  <c r="E764" i="3" s="1"/>
  <c r="I764" i="3" s="1"/>
  <c r="C765" i="3"/>
  <c r="E765" i="3" s="1"/>
  <c r="I765" i="3" s="1"/>
  <c r="C766" i="3"/>
  <c r="E766" i="3" s="1"/>
  <c r="I766" i="3" s="1"/>
  <c r="C767" i="3"/>
  <c r="E767" i="3" s="1"/>
  <c r="I767" i="3" s="1"/>
  <c r="C768" i="3"/>
  <c r="E768" i="3" s="1"/>
  <c r="I768" i="3" s="1"/>
  <c r="C769" i="3"/>
  <c r="E769" i="3" s="1"/>
  <c r="I769" i="3" s="1"/>
  <c r="C770" i="3"/>
  <c r="E770" i="3" s="1"/>
  <c r="I770" i="3" s="1"/>
  <c r="C771" i="3"/>
  <c r="E771" i="3" s="1"/>
  <c r="I771" i="3" s="1"/>
  <c r="C772" i="3"/>
  <c r="E772" i="3" s="1"/>
  <c r="I772" i="3" s="1"/>
  <c r="C773" i="3"/>
  <c r="E773" i="3" s="1"/>
  <c r="I773" i="3" s="1"/>
  <c r="C774" i="3"/>
  <c r="E774" i="3" s="1"/>
  <c r="I774" i="3" s="1"/>
  <c r="C775" i="3"/>
  <c r="E775" i="3" s="1"/>
  <c r="I775" i="3" s="1"/>
  <c r="C776" i="3"/>
  <c r="E776" i="3" s="1"/>
  <c r="I776" i="3" s="1"/>
  <c r="C777" i="3"/>
  <c r="E777" i="3" s="1"/>
  <c r="I777" i="3" s="1"/>
  <c r="C778" i="3"/>
  <c r="E778" i="3" s="1"/>
  <c r="I778" i="3" s="1"/>
  <c r="C779" i="3"/>
  <c r="E779" i="3" s="1"/>
  <c r="I779" i="3" s="1"/>
  <c r="C780" i="3"/>
  <c r="E780" i="3" s="1"/>
  <c r="I780" i="3" s="1"/>
  <c r="C781" i="3"/>
  <c r="E781" i="3" s="1"/>
  <c r="I781" i="3" s="1"/>
  <c r="C782" i="3"/>
  <c r="E782" i="3" s="1"/>
  <c r="I782" i="3" s="1"/>
  <c r="C783" i="3"/>
  <c r="E783" i="3" s="1"/>
  <c r="I783" i="3" s="1"/>
  <c r="C784" i="3"/>
  <c r="E784" i="3" s="1"/>
  <c r="I784" i="3" s="1"/>
  <c r="C785" i="3"/>
  <c r="E785" i="3" s="1"/>
  <c r="I785" i="3" s="1"/>
  <c r="C786" i="3"/>
  <c r="E786" i="3" s="1"/>
  <c r="I786" i="3" s="1"/>
  <c r="C787" i="3"/>
  <c r="E787" i="3" s="1"/>
  <c r="I787" i="3" s="1"/>
  <c r="C788" i="3"/>
  <c r="E788" i="3" s="1"/>
  <c r="I788" i="3" s="1"/>
  <c r="C789" i="3"/>
  <c r="E789" i="3" s="1"/>
  <c r="I789" i="3" s="1"/>
  <c r="C790" i="3"/>
  <c r="E790" i="3" s="1"/>
  <c r="I790" i="3" s="1"/>
  <c r="C791" i="3"/>
  <c r="E791" i="3" s="1"/>
  <c r="I791" i="3" s="1"/>
  <c r="C792" i="3"/>
  <c r="E792" i="3" s="1"/>
  <c r="I792" i="3" s="1"/>
  <c r="C793" i="3"/>
  <c r="E793" i="3" s="1"/>
  <c r="I793" i="3" s="1"/>
  <c r="C794" i="3"/>
  <c r="E794" i="3" s="1"/>
  <c r="I794" i="3" s="1"/>
  <c r="C795" i="3"/>
  <c r="E795" i="3" s="1"/>
  <c r="I795" i="3" s="1"/>
  <c r="C796" i="3"/>
  <c r="E796" i="3" s="1"/>
  <c r="I796" i="3" s="1"/>
  <c r="C797" i="3"/>
  <c r="E797" i="3" s="1"/>
  <c r="I797" i="3" s="1"/>
  <c r="C798" i="3"/>
  <c r="E798" i="3" s="1"/>
  <c r="I798" i="3" s="1"/>
  <c r="C799" i="3"/>
  <c r="E799" i="3" s="1"/>
  <c r="I799" i="3" s="1"/>
  <c r="C800" i="3"/>
  <c r="E800" i="3" s="1"/>
  <c r="I800" i="3" s="1"/>
  <c r="C801" i="3"/>
  <c r="E801" i="3" s="1"/>
  <c r="I801" i="3" s="1"/>
  <c r="C802" i="3"/>
  <c r="E802" i="3" s="1"/>
  <c r="I802" i="3" s="1"/>
  <c r="C803" i="3"/>
  <c r="E803" i="3" s="1"/>
  <c r="I803" i="3" s="1"/>
  <c r="C804" i="3"/>
  <c r="E804" i="3" s="1"/>
  <c r="I804" i="3" s="1"/>
  <c r="C805" i="3"/>
  <c r="E805" i="3" s="1"/>
  <c r="I805" i="3" s="1"/>
  <c r="C806" i="3"/>
  <c r="E806" i="3" s="1"/>
  <c r="I806" i="3" s="1"/>
  <c r="C807" i="3"/>
  <c r="E807" i="3" s="1"/>
  <c r="I807" i="3" s="1"/>
  <c r="C808" i="3"/>
  <c r="E808" i="3" s="1"/>
  <c r="I808" i="3" s="1"/>
  <c r="C809" i="3"/>
  <c r="E809" i="3" s="1"/>
  <c r="I809" i="3" s="1"/>
  <c r="C810" i="3"/>
  <c r="E810" i="3" s="1"/>
  <c r="I810" i="3" s="1"/>
  <c r="C811" i="3"/>
  <c r="E811" i="3" s="1"/>
  <c r="I811" i="3" s="1"/>
  <c r="C812" i="3"/>
  <c r="E812" i="3" s="1"/>
  <c r="I812" i="3" s="1"/>
  <c r="C813" i="3"/>
  <c r="E813" i="3" s="1"/>
  <c r="I813" i="3" s="1"/>
  <c r="C814" i="3"/>
  <c r="E814" i="3" s="1"/>
  <c r="I814" i="3" s="1"/>
  <c r="C815" i="3"/>
  <c r="E815" i="3" s="1"/>
  <c r="I815" i="3" s="1"/>
  <c r="C816" i="3"/>
  <c r="E816" i="3" s="1"/>
  <c r="I816" i="3" s="1"/>
  <c r="C817" i="3"/>
  <c r="E817" i="3" s="1"/>
  <c r="I817" i="3" s="1"/>
  <c r="C818" i="3"/>
  <c r="E818" i="3" s="1"/>
  <c r="I818" i="3" s="1"/>
  <c r="C819" i="3"/>
  <c r="E819" i="3" s="1"/>
  <c r="I819" i="3" s="1"/>
  <c r="C820" i="3"/>
  <c r="E820" i="3" s="1"/>
  <c r="I820" i="3" s="1"/>
  <c r="C821" i="3"/>
  <c r="E821" i="3" s="1"/>
  <c r="I821" i="3" s="1"/>
  <c r="C822" i="3"/>
  <c r="E822" i="3" s="1"/>
  <c r="I822" i="3" s="1"/>
  <c r="C823" i="3"/>
  <c r="E823" i="3" s="1"/>
  <c r="I823" i="3" s="1"/>
  <c r="C824" i="3"/>
  <c r="E824" i="3" s="1"/>
  <c r="I824" i="3" s="1"/>
  <c r="C825" i="3"/>
  <c r="E825" i="3" s="1"/>
  <c r="I825" i="3" s="1"/>
  <c r="C826" i="3"/>
  <c r="E826" i="3" s="1"/>
  <c r="I826" i="3" s="1"/>
  <c r="C827" i="3"/>
  <c r="E827" i="3" s="1"/>
  <c r="I827" i="3" s="1"/>
  <c r="C828" i="3"/>
  <c r="E828" i="3" s="1"/>
  <c r="I828" i="3" s="1"/>
  <c r="C829" i="3"/>
  <c r="E829" i="3" s="1"/>
  <c r="I829" i="3" s="1"/>
  <c r="C830" i="3"/>
  <c r="E830" i="3" s="1"/>
  <c r="I830" i="3" s="1"/>
  <c r="C831" i="3"/>
  <c r="E831" i="3" s="1"/>
  <c r="I831" i="3" s="1"/>
  <c r="C832" i="3"/>
  <c r="E832" i="3" s="1"/>
  <c r="I832" i="3" s="1"/>
  <c r="C833" i="3"/>
  <c r="E833" i="3" s="1"/>
  <c r="I833" i="3" s="1"/>
  <c r="C834" i="3"/>
  <c r="E834" i="3" s="1"/>
  <c r="I834" i="3" s="1"/>
  <c r="C835" i="3"/>
  <c r="E835" i="3" s="1"/>
  <c r="I835" i="3" s="1"/>
  <c r="C836" i="3"/>
  <c r="E836" i="3" s="1"/>
  <c r="I836" i="3" s="1"/>
  <c r="C837" i="3"/>
  <c r="E837" i="3" s="1"/>
  <c r="I837" i="3" s="1"/>
  <c r="C838" i="3"/>
  <c r="E838" i="3" s="1"/>
  <c r="I838" i="3" s="1"/>
  <c r="C839" i="3"/>
  <c r="E839" i="3" s="1"/>
  <c r="I839" i="3" s="1"/>
  <c r="C840" i="3"/>
  <c r="E840" i="3" s="1"/>
  <c r="C841" i="3"/>
  <c r="E841" i="3" s="1"/>
  <c r="I841" i="3" s="1"/>
  <c r="C842" i="3"/>
  <c r="E842" i="3" s="1"/>
  <c r="I842" i="3" s="1"/>
  <c r="C843" i="3"/>
  <c r="E843" i="3" s="1"/>
  <c r="I843" i="3" s="1"/>
  <c r="C844" i="3"/>
  <c r="E844" i="3" s="1"/>
  <c r="I844" i="3" s="1"/>
  <c r="C845" i="3"/>
  <c r="E845" i="3" s="1"/>
  <c r="I845" i="3" s="1"/>
  <c r="C846" i="3"/>
  <c r="E846" i="3" s="1"/>
  <c r="I846" i="3" s="1"/>
  <c r="C847" i="3"/>
  <c r="E847" i="3" s="1"/>
  <c r="I847" i="3" s="1"/>
  <c r="C848" i="3"/>
  <c r="E848" i="3" s="1"/>
  <c r="I848" i="3" s="1"/>
  <c r="C849" i="3"/>
  <c r="E849" i="3" s="1"/>
  <c r="I849" i="3" s="1"/>
  <c r="C850" i="3"/>
  <c r="E850" i="3" s="1"/>
  <c r="I850" i="3" s="1"/>
  <c r="C851" i="3"/>
  <c r="E851" i="3" s="1"/>
  <c r="I851" i="3" s="1"/>
  <c r="C852" i="3"/>
  <c r="E852" i="3" s="1"/>
  <c r="I852" i="3" s="1"/>
  <c r="C853" i="3"/>
  <c r="E853" i="3" s="1"/>
  <c r="I853" i="3" s="1"/>
  <c r="C854" i="3"/>
  <c r="E854" i="3" s="1"/>
  <c r="I854" i="3" s="1"/>
  <c r="C855" i="3"/>
  <c r="E855" i="3" s="1"/>
  <c r="I855" i="3" s="1"/>
  <c r="C856" i="3"/>
  <c r="E856" i="3" s="1"/>
  <c r="I856" i="3" s="1"/>
  <c r="C857" i="3"/>
  <c r="E857" i="3" s="1"/>
  <c r="I857" i="3" s="1"/>
  <c r="C858" i="3"/>
  <c r="E858" i="3" s="1"/>
  <c r="I858" i="3" s="1"/>
  <c r="C859" i="3"/>
  <c r="E859" i="3" s="1"/>
  <c r="I859" i="3" s="1"/>
  <c r="C860" i="3"/>
  <c r="E860" i="3" s="1"/>
  <c r="I860" i="3" s="1"/>
  <c r="C861" i="3"/>
  <c r="E861" i="3" s="1"/>
  <c r="I861" i="3" s="1"/>
  <c r="C862" i="3"/>
  <c r="E862" i="3" s="1"/>
  <c r="I862" i="3" s="1"/>
  <c r="C863" i="3"/>
  <c r="E863" i="3" s="1"/>
  <c r="I863" i="3" s="1"/>
  <c r="C864" i="3"/>
  <c r="E864" i="3" s="1"/>
  <c r="I864" i="3" s="1"/>
  <c r="C865" i="3"/>
  <c r="E865" i="3" s="1"/>
  <c r="I865" i="3" s="1"/>
  <c r="C866" i="3"/>
  <c r="E866" i="3" s="1"/>
  <c r="I866" i="3" s="1"/>
  <c r="C867" i="3"/>
  <c r="E867" i="3" s="1"/>
  <c r="I867" i="3" s="1"/>
  <c r="C868" i="3"/>
  <c r="E868" i="3" s="1"/>
  <c r="I868" i="3" s="1"/>
  <c r="C869" i="3"/>
  <c r="E869" i="3" s="1"/>
  <c r="I869" i="3" s="1"/>
  <c r="C870" i="3"/>
  <c r="E870" i="3" s="1"/>
  <c r="I870" i="3" s="1"/>
  <c r="C871" i="3"/>
  <c r="E871" i="3" s="1"/>
  <c r="I871" i="3" s="1"/>
  <c r="C872" i="3"/>
  <c r="E872" i="3" s="1"/>
  <c r="I872" i="3" s="1"/>
  <c r="C873" i="3"/>
  <c r="E873" i="3" s="1"/>
  <c r="I873" i="3" s="1"/>
  <c r="C874" i="3"/>
  <c r="E874" i="3" s="1"/>
  <c r="I874" i="3" s="1"/>
  <c r="C875" i="3"/>
  <c r="E875" i="3" s="1"/>
  <c r="I875" i="3" s="1"/>
  <c r="C876" i="3"/>
  <c r="E876" i="3" s="1"/>
  <c r="I876" i="3" s="1"/>
  <c r="C877" i="3"/>
  <c r="E877" i="3" s="1"/>
  <c r="I877" i="3" s="1"/>
  <c r="C878" i="3"/>
  <c r="E878" i="3" s="1"/>
  <c r="I878" i="3" s="1"/>
  <c r="C879" i="3"/>
  <c r="E879" i="3" s="1"/>
  <c r="I879" i="3" s="1"/>
  <c r="C880" i="3"/>
  <c r="E880" i="3" s="1"/>
  <c r="I880" i="3" s="1"/>
  <c r="C881" i="3"/>
  <c r="E881" i="3" s="1"/>
  <c r="I881" i="3" s="1"/>
  <c r="C882" i="3"/>
  <c r="E882" i="3" s="1"/>
  <c r="I882" i="3" s="1"/>
  <c r="C883" i="3"/>
  <c r="E883" i="3" s="1"/>
  <c r="I883" i="3" s="1"/>
  <c r="C884" i="3"/>
  <c r="E884" i="3" s="1"/>
  <c r="I884" i="3" s="1"/>
  <c r="C885" i="3"/>
  <c r="E885" i="3" s="1"/>
  <c r="I885" i="3" s="1"/>
  <c r="C886" i="3"/>
  <c r="E886" i="3" s="1"/>
  <c r="I886" i="3" s="1"/>
  <c r="C887" i="3"/>
  <c r="E887" i="3" s="1"/>
  <c r="I887" i="3" s="1"/>
  <c r="C888" i="3"/>
  <c r="E888" i="3" s="1"/>
  <c r="I888" i="3" s="1"/>
  <c r="C889" i="3"/>
  <c r="E889" i="3" s="1"/>
  <c r="I889" i="3" s="1"/>
  <c r="C890" i="3"/>
  <c r="E890" i="3" s="1"/>
  <c r="I890" i="3" s="1"/>
  <c r="C891" i="3"/>
  <c r="E891" i="3" s="1"/>
  <c r="I891" i="3" s="1"/>
  <c r="C892" i="3"/>
  <c r="E892" i="3" s="1"/>
  <c r="I892" i="3" s="1"/>
  <c r="C893" i="3"/>
  <c r="E893" i="3" s="1"/>
  <c r="I893" i="3" s="1"/>
  <c r="C894" i="3"/>
  <c r="E894" i="3" s="1"/>
  <c r="I894" i="3" s="1"/>
  <c r="C895" i="3"/>
  <c r="E895" i="3" s="1"/>
  <c r="I895" i="3" s="1"/>
  <c r="C896" i="3"/>
  <c r="E896" i="3" s="1"/>
  <c r="I896" i="3" s="1"/>
  <c r="C897" i="3"/>
  <c r="E897" i="3" s="1"/>
  <c r="I897" i="3" s="1"/>
  <c r="C898" i="3"/>
  <c r="E898" i="3" s="1"/>
  <c r="I898" i="3" s="1"/>
  <c r="C899" i="3"/>
  <c r="E899" i="3" s="1"/>
  <c r="I899" i="3" s="1"/>
  <c r="C900" i="3"/>
  <c r="E900" i="3" s="1"/>
  <c r="I900" i="3" s="1"/>
  <c r="C901" i="3"/>
  <c r="E901" i="3" s="1"/>
  <c r="I901" i="3" s="1"/>
  <c r="C902" i="3"/>
  <c r="E902" i="3" s="1"/>
  <c r="I902" i="3" s="1"/>
  <c r="C903" i="3"/>
  <c r="E903" i="3" s="1"/>
  <c r="I903" i="3" s="1"/>
  <c r="C904" i="3"/>
  <c r="E904" i="3" s="1"/>
  <c r="I904" i="3" s="1"/>
  <c r="C905" i="3"/>
  <c r="E905" i="3" s="1"/>
  <c r="I905" i="3" s="1"/>
  <c r="C906" i="3"/>
  <c r="E906" i="3" s="1"/>
  <c r="I906" i="3" s="1"/>
  <c r="C907" i="3"/>
  <c r="E907" i="3" s="1"/>
  <c r="I907" i="3" s="1"/>
  <c r="C908" i="3"/>
  <c r="E908" i="3" s="1"/>
  <c r="I908" i="3" s="1"/>
  <c r="C909" i="3"/>
  <c r="E909" i="3" s="1"/>
  <c r="I909" i="3" s="1"/>
  <c r="C910" i="3"/>
  <c r="E910" i="3" s="1"/>
  <c r="I910" i="3" s="1"/>
  <c r="C911" i="3"/>
  <c r="E911" i="3" s="1"/>
  <c r="I911" i="3" s="1"/>
  <c r="C912" i="3"/>
  <c r="E912" i="3" s="1"/>
  <c r="I912" i="3" s="1"/>
  <c r="C913" i="3"/>
  <c r="E913" i="3" s="1"/>
  <c r="I913" i="3" s="1"/>
  <c r="C914" i="3"/>
  <c r="E914" i="3" s="1"/>
  <c r="I914" i="3" s="1"/>
  <c r="C915" i="3"/>
  <c r="E915" i="3" s="1"/>
  <c r="I915" i="3" s="1"/>
  <c r="C916" i="3"/>
  <c r="E916" i="3" s="1"/>
  <c r="I916" i="3" s="1"/>
  <c r="C917" i="3"/>
  <c r="E917" i="3" s="1"/>
  <c r="I917" i="3" s="1"/>
  <c r="C918" i="3"/>
  <c r="E918" i="3" s="1"/>
  <c r="I918" i="3" s="1"/>
  <c r="C919" i="3"/>
  <c r="E919" i="3" s="1"/>
  <c r="I919" i="3" s="1"/>
  <c r="C920" i="3"/>
  <c r="E920" i="3" s="1"/>
  <c r="I920" i="3" s="1"/>
  <c r="C921" i="3"/>
  <c r="E921" i="3" s="1"/>
  <c r="I921" i="3" s="1"/>
  <c r="C922" i="3"/>
  <c r="E922" i="3" s="1"/>
  <c r="I922" i="3" s="1"/>
  <c r="C923" i="3"/>
  <c r="E923" i="3" s="1"/>
  <c r="I923" i="3" s="1"/>
  <c r="C924" i="3"/>
  <c r="E924" i="3" s="1"/>
  <c r="I924" i="3" s="1"/>
  <c r="C925" i="3"/>
  <c r="E925" i="3" s="1"/>
  <c r="I925" i="3" s="1"/>
  <c r="C926" i="3"/>
  <c r="E926" i="3" s="1"/>
  <c r="I926" i="3" s="1"/>
  <c r="C927" i="3"/>
  <c r="E927" i="3" s="1"/>
  <c r="I927" i="3" s="1"/>
  <c r="C928" i="3"/>
  <c r="E928" i="3" s="1"/>
  <c r="I928" i="3" s="1"/>
  <c r="C929" i="3"/>
  <c r="E929" i="3" s="1"/>
  <c r="I929" i="3" s="1"/>
  <c r="C930" i="3"/>
  <c r="E930" i="3" s="1"/>
  <c r="I930" i="3" s="1"/>
  <c r="C931" i="3"/>
  <c r="E931" i="3" s="1"/>
  <c r="I931" i="3" s="1"/>
  <c r="C932" i="3"/>
  <c r="E932" i="3" s="1"/>
  <c r="I932" i="3" s="1"/>
  <c r="C933" i="3"/>
  <c r="E933" i="3" s="1"/>
  <c r="I933" i="3" s="1"/>
  <c r="C934" i="3"/>
  <c r="E934" i="3" s="1"/>
  <c r="I934" i="3" s="1"/>
  <c r="C935" i="3"/>
  <c r="E935" i="3" s="1"/>
  <c r="I935" i="3" s="1"/>
  <c r="C936" i="3"/>
  <c r="E936" i="3" s="1"/>
  <c r="I936" i="3" s="1"/>
  <c r="C937" i="3"/>
  <c r="E937" i="3" s="1"/>
  <c r="I937" i="3" s="1"/>
  <c r="C938" i="3"/>
  <c r="E938" i="3" s="1"/>
  <c r="I938" i="3" s="1"/>
  <c r="C939" i="3"/>
  <c r="E939" i="3" s="1"/>
  <c r="I939" i="3" s="1"/>
  <c r="C940" i="3"/>
  <c r="E940" i="3" s="1"/>
  <c r="I940" i="3" s="1"/>
  <c r="C941" i="3"/>
  <c r="E941" i="3" s="1"/>
  <c r="I941" i="3" s="1"/>
  <c r="C942" i="3"/>
  <c r="E942" i="3" s="1"/>
  <c r="I942" i="3" s="1"/>
  <c r="C943" i="3"/>
  <c r="E943" i="3" s="1"/>
  <c r="I943" i="3" s="1"/>
  <c r="C944" i="3"/>
  <c r="E944" i="3" s="1"/>
  <c r="I944" i="3" s="1"/>
  <c r="C945" i="3"/>
  <c r="E945" i="3" s="1"/>
  <c r="I945" i="3" s="1"/>
  <c r="C946" i="3"/>
  <c r="E946" i="3" s="1"/>
  <c r="I946" i="3" s="1"/>
  <c r="C947" i="3"/>
  <c r="E947" i="3" s="1"/>
  <c r="I947" i="3" s="1"/>
  <c r="C948" i="3"/>
  <c r="E948" i="3" s="1"/>
  <c r="I948" i="3" s="1"/>
  <c r="C949" i="3"/>
  <c r="E949" i="3" s="1"/>
  <c r="I949" i="3" s="1"/>
  <c r="C950" i="3"/>
  <c r="E950" i="3" s="1"/>
  <c r="I950" i="3" s="1"/>
  <c r="C951" i="3"/>
  <c r="E951" i="3" s="1"/>
  <c r="I951" i="3" s="1"/>
  <c r="C952" i="3"/>
  <c r="E952" i="3" s="1"/>
  <c r="I952" i="3" s="1"/>
  <c r="C953" i="3"/>
  <c r="E953" i="3" s="1"/>
  <c r="I953" i="3" s="1"/>
  <c r="C954" i="3"/>
  <c r="E954" i="3" s="1"/>
  <c r="I954" i="3" s="1"/>
  <c r="C955" i="3"/>
  <c r="E955" i="3" s="1"/>
  <c r="I955" i="3" s="1"/>
  <c r="C956" i="3"/>
  <c r="E956" i="3" s="1"/>
  <c r="I956" i="3" s="1"/>
  <c r="C957" i="3"/>
  <c r="E957" i="3" s="1"/>
  <c r="I957" i="3" s="1"/>
  <c r="C958" i="3"/>
  <c r="E958" i="3" s="1"/>
  <c r="I958" i="3" s="1"/>
  <c r="C959" i="3"/>
  <c r="E959" i="3" s="1"/>
  <c r="I959" i="3" s="1"/>
  <c r="C960" i="3"/>
  <c r="E960" i="3" s="1"/>
  <c r="I960" i="3" s="1"/>
  <c r="C961" i="3"/>
  <c r="E961" i="3" s="1"/>
  <c r="I961" i="3" s="1"/>
  <c r="C962" i="3"/>
  <c r="E962" i="3" s="1"/>
  <c r="I962" i="3" s="1"/>
  <c r="C963" i="3"/>
  <c r="E963" i="3" s="1"/>
  <c r="I963" i="3" s="1"/>
  <c r="C964" i="3"/>
  <c r="E964" i="3" s="1"/>
  <c r="I964" i="3" s="1"/>
  <c r="C965" i="3"/>
  <c r="E965" i="3" s="1"/>
  <c r="I965" i="3" s="1"/>
  <c r="C966" i="3"/>
  <c r="E966" i="3" s="1"/>
  <c r="I966" i="3" s="1"/>
  <c r="C967" i="3"/>
  <c r="E967" i="3" s="1"/>
  <c r="I967" i="3" s="1"/>
  <c r="C968" i="3"/>
  <c r="E968" i="3" s="1"/>
  <c r="I968" i="3" s="1"/>
  <c r="C969" i="3"/>
  <c r="E969" i="3" s="1"/>
  <c r="I969" i="3" s="1"/>
  <c r="C970" i="3"/>
  <c r="E970" i="3" s="1"/>
  <c r="I970" i="3" s="1"/>
  <c r="C971" i="3"/>
  <c r="E971" i="3" s="1"/>
  <c r="I971" i="3" s="1"/>
  <c r="C972" i="3"/>
  <c r="E972" i="3" s="1"/>
  <c r="I972" i="3" s="1"/>
  <c r="C973" i="3"/>
  <c r="E973" i="3" s="1"/>
  <c r="I973" i="3" s="1"/>
  <c r="C974" i="3"/>
  <c r="E974" i="3" s="1"/>
  <c r="I974" i="3" s="1"/>
  <c r="C975" i="3"/>
  <c r="E975" i="3" s="1"/>
  <c r="I975" i="3" s="1"/>
  <c r="C976" i="3"/>
  <c r="E976" i="3" s="1"/>
  <c r="I976" i="3" s="1"/>
  <c r="C977" i="3"/>
  <c r="E977" i="3" s="1"/>
  <c r="I977" i="3" s="1"/>
  <c r="C978" i="3"/>
  <c r="E978" i="3" s="1"/>
  <c r="I978" i="3" s="1"/>
  <c r="C979" i="3"/>
  <c r="E979" i="3" s="1"/>
  <c r="I979" i="3" s="1"/>
  <c r="C980" i="3"/>
  <c r="E980" i="3" s="1"/>
  <c r="I980" i="3" s="1"/>
  <c r="C981" i="3"/>
  <c r="E981" i="3" s="1"/>
  <c r="I981" i="3" s="1"/>
  <c r="C982" i="3"/>
  <c r="E982" i="3" s="1"/>
  <c r="I982" i="3" s="1"/>
  <c r="C983" i="3"/>
  <c r="E983" i="3" s="1"/>
  <c r="I983" i="3" s="1"/>
  <c r="C984" i="3"/>
  <c r="E984" i="3" s="1"/>
  <c r="I984" i="3" s="1"/>
  <c r="C985" i="3"/>
  <c r="E985" i="3" s="1"/>
  <c r="I985" i="3" s="1"/>
  <c r="C986" i="3"/>
  <c r="E986" i="3" s="1"/>
  <c r="I986" i="3" s="1"/>
  <c r="C987" i="3"/>
  <c r="E987" i="3" s="1"/>
  <c r="I987" i="3" s="1"/>
  <c r="C988" i="3"/>
  <c r="E988" i="3" s="1"/>
  <c r="I988" i="3" s="1"/>
  <c r="C989" i="3"/>
  <c r="E989" i="3" s="1"/>
  <c r="I989" i="3" s="1"/>
  <c r="C990" i="3"/>
  <c r="E990" i="3" s="1"/>
  <c r="I990" i="3" s="1"/>
  <c r="C991" i="3"/>
  <c r="E991" i="3" s="1"/>
  <c r="I991" i="3" s="1"/>
  <c r="C992" i="3"/>
  <c r="E992" i="3" s="1"/>
  <c r="I992" i="3" s="1"/>
  <c r="C993" i="3"/>
  <c r="E993" i="3" s="1"/>
  <c r="I993" i="3" s="1"/>
  <c r="C994" i="3"/>
  <c r="E994" i="3" s="1"/>
  <c r="I994" i="3" s="1"/>
  <c r="C995" i="3"/>
  <c r="E995" i="3" s="1"/>
  <c r="I995" i="3" s="1"/>
  <c r="C996" i="3"/>
  <c r="E996" i="3" s="1"/>
  <c r="I996" i="3" s="1"/>
  <c r="C997" i="3"/>
  <c r="E997" i="3" s="1"/>
  <c r="I997" i="3" s="1"/>
  <c r="C998" i="3"/>
  <c r="E998" i="3" s="1"/>
  <c r="I998" i="3" s="1"/>
  <c r="C999" i="3"/>
  <c r="E999" i="3" s="1"/>
  <c r="I999" i="3" s="1"/>
  <c r="C1000" i="3"/>
  <c r="E1000" i="3" s="1"/>
  <c r="I1000" i="3" s="1"/>
  <c r="C1001" i="3"/>
  <c r="E1001" i="3" s="1"/>
  <c r="I1001" i="3" s="1"/>
  <c r="C1002" i="3"/>
  <c r="E1002" i="3" s="1"/>
  <c r="I1002" i="3" s="1"/>
  <c r="C1003" i="3"/>
  <c r="E1003" i="3" s="1"/>
  <c r="I1003" i="3" s="1"/>
  <c r="C1004" i="3"/>
  <c r="E1004" i="3" s="1"/>
  <c r="I1004" i="3" s="1"/>
  <c r="C1005" i="3"/>
  <c r="E1005" i="3" s="1"/>
  <c r="I1005" i="3" s="1"/>
  <c r="C1006" i="3"/>
  <c r="E1006" i="3" s="1"/>
  <c r="I1006" i="3" s="1"/>
  <c r="C1007" i="3"/>
  <c r="E1007" i="3" s="1"/>
  <c r="I1007" i="3" s="1"/>
  <c r="C1008" i="3"/>
  <c r="E1008" i="3" s="1"/>
  <c r="I1008" i="3" s="1"/>
  <c r="C1009" i="3"/>
  <c r="E1009" i="3" s="1"/>
  <c r="I1009" i="3" s="1"/>
  <c r="C1010" i="3"/>
  <c r="E1010" i="3" s="1"/>
  <c r="I1010" i="3" s="1"/>
  <c r="C1011" i="3"/>
  <c r="E1011" i="3" s="1"/>
  <c r="I1011" i="3" s="1"/>
  <c r="C1012" i="3"/>
  <c r="E1012" i="3" s="1"/>
  <c r="I1012" i="3" s="1"/>
  <c r="C1013" i="3"/>
  <c r="E1013" i="3" s="1"/>
  <c r="I1013" i="3" s="1"/>
  <c r="C1014" i="3"/>
  <c r="E1014" i="3" s="1"/>
  <c r="I1014" i="3" s="1"/>
  <c r="C1015" i="3"/>
  <c r="E1015" i="3" s="1"/>
  <c r="I1015" i="3" s="1"/>
  <c r="C1016" i="3"/>
  <c r="E1016" i="3" s="1"/>
  <c r="I1016" i="3" s="1"/>
  <c r="C1017" i="3"/>
  <c r="E1017" i="3" s="1"/>
  <c r="I1017" i="3" s="1"/>
  <c r="C1018" i="3"/>
  <c r="E1018" i="3" s="1"/>
  <c r="I1018" i="3" s="1"/>
  <c r="C1019" i="3"/>
  <c r="E1019" i="3" s="1"/>
  <c r="I1019" i="3" s="1"/>
  <c r="C1020" i="3"/>
  <c r="E1020" i="3" s="1"/>
  <c r="I1020" i="3" s="1"/>
  <c r="C1021" i="3"/>
  <c r="E1021" i="3" s="1"/>
  <c r="I1021" i="3" s="1"/>
  <c r="C1022" i="3"/>
  <c r="E1022" i="3" s="1"/>
  <c r="I1022" i="3" s="1"/>
  <c r="C1023" i="3"/>
  <c r="E1023" i="3" s="1"/>
  <c r="I1023" i="3" s="1"/>
  <c r="C1024" i="3"/>
  <c r="E1024" i="3" s="1"/>
  <c r="I1024" i="3" s="1"/>
  <c r="C1025" i="3"/>
  <c r="E1025" i="3" s="1"/>
  <c r="I1025" i="3" s="1"/>
  <c r="C1026" i="3"/>
  <c r="E1026" i="3" s="1"/>
  <c r="I1026" i="3" s="1"/>
  <c r="C1027" i="3"/>
  <c r="E1027" i="3" s="1"/>
  <c r="I1027" i="3" s="1"/>
  <c r="C1028" i="3"/>
  <c r="E1028" i="3" s="1"/>
  <c r="I1028" i="3" s="1"/>
  <c r="C1029" i="3"/>
  <c r="E1029" i="3" s="1"/>
  <c r="I1029" i="3" s="1"/>
  <c r="C1030" i="3"/>
  <c r="E1030" i="3" s="1"/>
  <c r="I1030" i="3" s="1"/>
  <c r="C1031" i="3"/>
  <c r="E1031" i="3" s="1"/>
  <c r="I1031" i="3" s="1"/>
  <c r="C1032" i="3"/>
  <c r="E1032" i="3" s="1"/>
  <c r="I1032" i="3" s="1"/>
  <c r="C1033" i="3"/>
  <c r="E1033" i="3" s="1"/>
  <c r="I1033" i="3" s="1"/>
  <c r="C1034" i="3"/>
  <c r="E1034" i="3" s="1"/>
  <c r="I1034" i="3" s="1"/>
  <c r="C1035" i="3"/>
  <c r="E1035" i="3" s="1"/>
  <c r="I1035" i="3" s="1"/>
  <c r="C1036" i="3"/>
  <c r="E1036" i="3" s="1"/>
  <c r="I1036" i="3" s="1"/>
  <c r="C1037" i="3"/>
  <c r="E1037" i="3" s="1"/>
  <c r="I1037" i="3" s="1"/>
  <c r="C1038" i="3"/>
  <c r="E1038" i="3" s="1"/>
  <c r="I1038" i="3" s="1"/>
  <c r="C1039" i="3"/>
  <c r="E1039" i="3" s="1"/>
  <c r="I1039" i="3" s="1"/>
  <c r="C1040" i="3"/>
  <c r="E1040" i="3" s="1"/>
  <c r="I1040" i="3" s="1"/>
  <c r="C1041" i="3"/>
  <c r="E1041" i="3" s="1"/>
  <c r="I1041" i="3" s="1"/>
  <c r="C1042" i="3"/>
  <c r="E1042" i="3" s="1"/>
  <c r="I1042" i="3" s="1"/>
  <c r="C1043" i="3"/>
  <c r="E1043" i="3" s="1"/>
  <c r="I1043" i="3" s="1"/>
  <c r="C1044" i="3"/>
  <c r="E1044" i="3" s="1"/>
  <c r="I1044" i="3" s="1"/>
  <c r="C1045" i="3"/>
  <c r="E1045" i="3" s="1"/>
  <c r="I1045" i="3" s="1"/>
  <c r="C1046" i="3"/>
  <c r="E1046" i="3" s="1"/>
  <c r="I1046" i="3" s="1"/>
  <c r="C1047" i="3"/>
  <c r="E1047" i="3" s="1"/>
  <c r="I1047" i="3" s="1"/>
  <c r="C1048" i="3"/>
  <c r="E1048" i="3" s="1"/>
  <c r="I1048" i="3" s="1"/>
  <c r="C1049" i="3"/>
  <c r="E1049" i="3" s="1"/>
  <c r="I1049" i="3" s="1"/>
  <c r="C1050" i="3"/>
  <c r="E1050" i="3" s="1"/>
  <c r="I1050" i="3" s="1"/>
  <c r="C1051" i="3"/>
  <c r="E1051" i="3" s="1"/>
  <c r="I1051" i="3" s="1"/>
  <c r="C1052" i="3"/>
  <c r="E1052" i="3" s="1"/>
  <c r="I1052" i="3" s="1"/>
  <c r="C1053" i="3"/>
  <c r="E1053" i="3" s="1"/>
  <c r="I1053" i="3" s="1"/>
  <c r="C1054" i="3"/>
  <c r="E1054" i="3" s="1"/>
  <c r="I1054" i="3" s="1"/>
  <c r="C1055" i="3"/>
  <c r="E1055" i="3" s="1"/>
  <c r="I1055" i="3" s="1"/>
  <c r="C1056" i="3"/>
  <c r="E1056" i="3" s="1"/>
  <c r="I1056" i="3" s="1"/>
  <c r="C1057" i="3"/>
  <c r="E1057" i="3" s="1"/>
  <c r="I1057" i="3" s="1"/>
  <c r="C1058" i="3"/>
  <c r="E1058" i="3" s="1"/>
  <c r="I1058" i="3" s="1"/>
  <c r="C1059" i="3"/>
  <c r="E1059" i="3" s="1"/>
  <c r="I1059" i="3" s="1"/>
  <c r="C1060" i="3"/>
  <c r="E1060" i="3" s="1"/>
  <c r="I1060" i="3" s="1"/>
  <c r="C1061" i="3"/>
  <c r="E1061" i="3" s="1"/>
  <c r="I1061" i="3" s="1"/>
  <c r="C1062" i="3"/>
  <c r="E1062" i="3" s="1"/>
  <c r="I1062" i="3" s="1"/>
  <c r="C1063" i="3"/>
  <c r="E1063" i="3" s="1"/>
  <c r="I1063" i="3" s="1"/>
  <c r="C1064" i="3"/>
  <c r="E1064" i="3" s="1"/>
  <c r="I1064" i="3" s="1"/>
  <c r="C1065" i="3"/>
  <c r="E1065" i="3" s="1"/>
  <c r="I1065" i="3" s="1"/>
  <c r="C1066" i="3"/>
  <c r="E1066" i="3" s="1"/>
  <c r="I1066" i="3" s="1"/>
  <c r="C1067" i="3"/>
  <c r="E1067" i="3" s="1"/>
  <c r="I1067" i="3" s="1"/>
  <c r="C1068" i="3"/>
  <c r="E1068" i="3" s="1"/>
  <c r="I1068" i="3" s="1"/>
  <c r="C1069" i="3"/>
  <c r="E1069" i="3" s="1"/>
  <c r="I1069" i="3" s="1"/>
  <c r="C1070" i="3"/>
  <c r="E1070" i="3" s="1"/>
  <c r="I1070" i="3" s="1"/>
  <c r="C1071" i="3"/>
  <c r="E1071" i="3" s="1"/>
  <c r="I1071" i="3" s="1"/>
  <c r="C1072" i="3"/>
  <c r="E1072" i="3" s="1"/>
  <c r="I1072" i="3" s="1"/>
  <c r="C1073" i="3"/>
  <c r="E1073" i="3" s="1"/>
  <c r="I1073" i="3" s="1"/>
  <c r="C1074" i="3"/>
  <c r="E1074" i="3" s="1"/>
  <c r="I1074" i="3" s="1"/>
  <c r="C1075" i="3"/>
  <c r="E1075" i="3" s="1"/>
  <c r="I1075" i="3" s="1"/>
  <c r="C1076" i="3"/>
  <c r="E1076" i="3" s="1"/>
  <c r="I1076" i="3" s="1"/>
  <c r="C1077" i="3"/>
  <c r="E1077" i="3" s="1"/>
  <c r="I1077" i="3" s="1"/>
  <c r="C1078" i="3"/>
  <c r="E1078" i="3" s="1"/>
  <c r="I1078" i="3" s="1"/>
  <c r="C1079" i="3"/>
  <c r="E1079" i="3" s="1"/>
  <c r="I1079" i="3" s="1"/>
  <c r="C1080" i="3"/>
  <c r="E1080" i="3" s="1"/>
  <c r="I1080" i="3" s="1"/>
  <c r="C1081" i="3"/>
  <c r="E1081" i="3" s="1"/>
  <c r="I1081" i="3" s="1"/>
  <c r="C1082" i="3"/>
  <c r="E1082" i="3" s="1"/>
  <c r="I1082" i="3" s="1"/>
  <c r="C1083" i="3"/>
  <c r="E1083" i="3" s="1"/>
  <c r="I1083" i="3" s="1"/>
  <c r="C1084" i="3"/>
  <c r="E1084" i="3" s="1"/>
  <c r="I1084" i="3" s="1"/>
  <c r="C1085" i="3"/>
  <c r="E1085" i="3" s="1"/>
  <c r="I1085" i="3" s="1"/>
  <c r="C1086" i="3"/>
  <c r="E1086" i="3" s="1"/>
  <c r="I1086" i="3" s="1"/>
  <c r="C1087" i="3"/>
  <c r="E1087" i="3" s="1"/>
  <c r="I1087" i="3" s="1"/>
  <c r="C1088" i="3"/>
  <c r="E1088" i="3" s="1"/>
  <c r="I1088" i="3" s="1"/>
  <c r="C1089" i="3"/>
  <c r="E1089" i="3" s="1"/>
  <c r="I1089" i="3" s="1"/>
  <c r="C1090" i="3"/>
  <c r="E1090" i="3" s="1"/>
  <c r="I1090" i="3" s="1"/>
  <c r="C1091" i="3"/>
  <c r="E1091" i="3" s="1"/>
  <c r="I1091" i="3" s="1"/>
  <c r="C1092" i="3"/>
  <c r="E1092" i="3" s="1"/>
  <c r="I1092" i="3" s="1"/>
  <c r="C1093" i="3"/>
  <c r="E1093" i="3" s="1"/>
  <c r="I1093" i="3" s="1"/>
  <c r="C1094" i="3"/>
  <c r="E1094" i="3" s="1"/>
  <c r="I1094" i="3" s="1"/>
  <c r="C1095" i="3"/>
  <c r="E1095" i="3" s="1"/>
  <c r="I1095" i="3" s="1"/>
  <c r="C1096" i="3"/>
  <c r="E1096" i="3" s="1"/>
  <c r="I1096" i="3" s="1"/>
  <c r="C1097" i="3"/>
  <c r="E1097" i="3" s="1"/>
  <c r="I1097" i="3" s="1"/>
  <c r="C1098" i="3"/>
  <c r="E1098" i="3" s="1"/>
  <c r="I1098" i="3" s="1"/>
  <c r="C1099" i="3"/>
  <c r="E1099" i="3" s="1"/>
  <c r="I1099" i="3" s="1"/>
  <c r="C1100" i="3"/>
  <c r="E1100" i="3" s="1"/>
  <c r="I1100" i="3" s="1"/>
  <c r="C1101" i="3"/>
  <c r="E1101" i="3" s="1"/>
  <c r="I1101" i="3" s="1"/>
  <c r="C1102" i="3"/>
  <c r="E1102" i="3" s="1"/>
  <c r="I1102" i="3" s="1"/>
  <c r="C1103" i="3"/>
  <c r="E1103" i="3" s="1"/>
  <c r="I1103" i="3" s="1"/>
  <c r="C1104" i="3"/>
  <c r="E1104" i="3" s="1"/>
  <c r="I1104" i="3" s="1"/>
  <c r="C1105" i="3"/>
  <c r="E1105" i="3" s="1"/>
  <c r="I1105" i="3" s="1"/>
  <c r="C1106" i="3"/>
  <c r="E1106" i="3" s="1"/>
  <c r="I1106" i="3" s="1"/>
  <c r="C1107" i="3"/>
  <c r="E1107" i="3" s="1"/>
  <c r="I1107" i="3" s="1"/>
  <c r="C1108" i="3"/>
  <c r="E1108" i="3" s="1"/>
  <c r="I1108" i="3" s="1"/>
  <c r="C1109" i="3"/>
  <c r="E1109" i="3" s="1"/>
  <c r="I1109" i="3" s="1"/>
  <c r="C1110" i="3"/>
  <c r="E1110" i="3" s="1"/>
  <c r="I1110" i="3" s="1"/>
  <c r="C1111" i="3"/>
  <c r="E1111" i="3" s="1"/>
  <c r="I1111" i="3" s="1"/>
  <c r="C1112" i="3"/>
  <c r="E1112" i="3" s="1"/>
  <c r="I1112" i="3" s="1"/>
  <c r="C1113" i="3"/>
  <c r="E1113" i="3" s="1"/>
  <c r="I1113" i="3" s="1"/>
  <c r="C1114" i="3"/>
  <c r="E1114" i="3" s="1"/>
  <c r="I1114" i="3" s="1"/>
  <c r="C1115" i="3"/>
  <c r="E1115" i="3" s="1"/>
  <c r="I1115" i="3" s="1"/>
  <c r="C1116" i="3"/>
  <c r="E1116" i="3" s="1"/>
  <c r="I1116" i="3" s="1"/>
  <c r="C1117" i="3"/>
  <c r="E1117" i="3" s="1"/>
  <c r="I1117" i="3" s="1"/>
  <c r="C1118" i="3"/>
  <c r="E1118" i="3" s="1"/>
  <c r="I1118" i="3" s="1"/>
  <c r="C1119" i="3"/>
  <c r="E1119" i="3" s="1"/>
  <c r="I1119" i="3" s="1"/>
  <c r="C1120" i="3"/>
  <c r="E1120" i="3" s="1"/>
  <c r="I1120" i="3" s="1"/>
  <c r="C1121" i="3"/>
  <c r="E1121" i="3" s="1"/>
  <c r="I1121" i="3" s="1"/>
  <c r="C1122" i="3"/>
  <c r="E1122" i="3" s="1"/>
  <c r="I1122" i="3" s="1"/>
  <c r="C1123" i="3"/>
  <c r="E1123" i="3" s="1"/>
  <c r="I1123" i="3" s="1"/>
  <c r="C1124" i="3"/>
  <c r="E1124" i="3" s="1"/>
  <c r="I1124" i="3" s="1"/>
  <c r="C1125" i="3"/>
  <c r="E1125" i="3" s="1"/>
  <c r="I1125" i="3" s="1"/>
  <c r="C1126" i="3"/>
  <c r="E1126" i="3" s="1"/>
  <c r="I1126" i="3" s="1"/>
  <c r="C1127" i="3"/>
  <c r="E1127" i="3" s="1"/>
  <c r="I1127" i="3" s="1"/>
  <c r="C1128" i="3"/>
  <c r="E1128" i="3" s="1"/>
  <c r="I1128" i="3" s="1"/>
  <c r="C1129" i="3"/>
  <c r="E1129" i="3" s="1"/>
  <c r="I1129" i="3" s="1"/>
  <c r="C1130" i="3"/>
  <c r="E1130" i="3" s="1"/>
  <c r="I1130" i="3" s="1"/>
  <c r="C1131" i="3"/>
  <c r="E1131" i="3" s="1"/>
  <c r="I1131" i="3" s="1"/>
  <c r="C1132" i="3"/>
  <c r="E1132" i="3" s="1"/>
  <c r="I1132" i="3" s="1"/>
  <c r="C1133" i="3"/>
  <c r="E1133" i="3" s="1"/>
  <c r="I1133" i="3" s="1"/>
  <c r="C1134" i="3"/>
  <c r="E1134" i="3" s="1"/>
  <c r="I1134" i="3" s="1"/>
  <c r="C1135" i="3"/>
  <c r="E1135" i="3" s="1"/>
  <c r="I1135" i="3" s="1"/>
  <c r="C1136" i="3"/>
  <c r="E1136" i="3" s="1"/>
  <c r="I1136" i="3" s="1"/>
  <c r="C1137" i="3"/>
  <c r="E1137" i="3" s="1"/>
  <c r="I1137" i="3" s="1"/>
  <c r="C1138" i="3"/>
  <c r="E1138" i="3" s="1"/>
  <c r="I1138" i="3" s="1"/>
  <c r="C1139" i="3"/>
  <c r="E1139" i="3" s="1"/>
  <c r="I1139" i="3" s="1"/>
  <c r="C1140" i="3"/>
  <c r="E1140" i="3" s="1"/>
  <c r="I1140" i="3" s="1"/>
  <c r="C1141" i="3"/>
  <c r="E1141" i="3" s="1"/>
  <c r="I1141" i="3" s="1"/>
  <c r="C1142" i="3"/>
  <c r="E1142" i="3" s="1"/>
  <c r="I1142" i="3" s="1"/>
  <c r="C1143" i="3"/>
  <c r="E1143" i="3" s="1"/>
  <c r="I1143" i="3" s="1"/>
  <c r="C1144" i="3"/>
  <c r="E1144" i="3" s="1"/>
  <c r="I1144" i="3" s="1"/>
  <c r="C1145" i="3"/>
  <c r="E1145" i="3" s="1"/>
  <c r="I1145" i="3" s="1"/>
  <c r="C1146" i="3"/>
  <c r="E1146" i="3" s="1"/>
  <c r="I1146" i="3" s="1"/>
  <c r="C1147" i="3"/>
  <c r="E1147" i="3" s="1"/>
  <c r="I1147" i="3" s="1"/>
  <c r="C1148" i="3"/>
  <c r="E1148" i="3" s="1"/>
  <c r="I1148" i="3" s="1"/>
  <c r="C1149" i="3"/>
  <c r="E1149" i="3" s="1"/>
  <c r="I1149" i="3" s="1"/>
  <c r="C1150" i="3"/>
  <c r="E1150" i="3" s="1"/>
  <c r="I1150" i="3" s="1"/>
  <c r="C1151" i="3"/>
  <c r="E1151" i="3" s="1"/>
  <c r="I1151" i="3" s="1"/>
  <c r="C1152" i="3"/>
  <c r="E1152" i="3" s="1"/>
  <c r="I1152" i="3" s="1"/>
  <c r="C1153" i="3"/>
  <c r="E1153" i="3" s="1"/>
  <c r="I1153" i="3" s="1"/>
  <c r="C1154" i="3"/>
  <c r="E1154" i="3" s="1"/>
  <c r="I1154" i="3" s="1"/>
  <c r="C1155" i="3"/>
  <c r="E1155" i="3" s="1"/>
  <c r="I1155" i="3" s="1"/>
  <c r="C1156" i="3"/>
  <c r="E1156" i="3" s="1"/>
  <c r="I1156" i="3" s="1"/>
  <c r="C1157" i="3"/>
  <c r="E1157" i="3" s="1"/>
  <c r="I1157" i="3" s="1"/>
  <c r="C1158" i="3"/>
  <c r="E1158" i="3" s="1"/>
  <c r="I1158" i="3" s="1"/>
  <c r="C1159" i="3"/>
  <c r="E1159" i="3" s="1"/>
  <c r="I1159" i="3" s="1"/>
  <c r="C1160" i="3"/>
  <c r="E1160" i="3" s="1"/>
  <c r="I1160" i="3" s="1"/>
  <c r="C1161" i="3"/>
  <c r="E1161" i="3" s="1"/>
  <c r="I1161" i="3" s="1"/>
  <c r="C1162" i="3"/>
  <c r="E1162" i="3" s="1"/>
  <c r="I1162" i="3" s="1"/>
  <c r="C1163" i="3"/>
  <c r="E1163" i="3" s="1"/>
  <c r="I1163" i="3" s="1"/>
  <c r="C1164" i="3"/>
  <c r="E1164" i="3" s="1"/>
  <c r="I1164" i="3" s="1"/>
  <c r="C1165" i="3"/>
  <c r="E1165" i="3" s="1"/>
  <c r="I1165" i="3" s="1"/>
  <c r="C1166" i="3"/>
  <c r="E1166" i="3" s="1"/>
  <c r="I1166" i="3" s="1"/>
  <c r="C1167" i="3"/>
  <c r="E1167" i="3" s="1"/>
  <c r="I1167" i="3" s="1"/>
  <c r="C1168" i="3"/>
  <c r="E1168" i="3" s="1"/>
  <c r="I1168" i="3" s="1"/>
  <c r="C1169" i="3"/>
  <c r="E1169" i="3" s="1"/>
  <c r="I1169" i="3" s="1"/>
  <c r="C1170" i="3"/>
  <c r="E1170" i="3" s="1"/>
  <c r="I1170" i="3" s="1"/>
  <c r="C1171" i="3"/>
  <c r="E1171" i="3" s="1"/>
  <c r="I1171" i="3" s="1"/>
  <c r="C1172" i="3"/>
  <c r="E1172" i="3" s="1"/>
  <c r="I1172" i="3" s="1"/>
  <c r="C1173" i="3"/>
  <c r="E1173" i="3" s="1"/>
  <c r="I1173" i="3" s="1"/>
  <c r="C1174" i="3"/>
  <c r="E1174" i="3" s="1"/>
  <c r="I1174" i="3" s="1"/>
  <c r="C1175" i="3"/>
  <c r="E1175" i="3" s="1"/>
  <c r="I1175" i="3" s="1"/>
  <c r="C1176" i="3"/>
  <c r="E1176" i="3" s="1"/>
  <c r="I1176" i="3" s="1"/>
  <c r="C1177" i="3"/>
  <c r="E1177" i="3" s="1"/>
  <c r="I1177" i="3" s="1"/>
  <c r="C1178" i="3"/>
  <c r="E1178" i="3" s="1"/>
  <c r="I1178" i="3" s="1"/>
  <c r="C1179" i="3"/>
  <c r="E1179" i="3" s="1"/>
  <c r="I1179" i="3" s="1"/>
  <c r="C1180" i="3"/>
  <c r="E1180" i="3" s="1"/>
  <c r="I1180" i="3" s="1"/>
  <c r="C1181" i="3"/>
  <c r="E1181" i="3" s="1"/>
  <c r="I1181" i="3" s="1"/>
  <c r="C1182" i="3"/>
  <c r="E1182" i="3" s="1"/>
  <c r="I1182" i="3" s="1"/>
  <c r="C1183" i="3"/>
  <c r="E1183" i="3" s="1"/>
  <c r="I1183" i="3" s="1"/>
  <c r="C1184" i="3"/>
  <c r="E1184" i="3" s="1"/>
  <c r="I1184" i="3" s="1"/>
  <c r="C1185" i="3"/>
  <c r="E1185" i="3" s="1"/>
  <c r="I1185" i="3" s="1"/>
  <c r="C1186" i="3"/>
  <c r="E1186" i="3" s="1"/>
  <c r="I1186" i="3" s="1"/>
  <c r="C1187" i="3"/>
  <c r="E1187" i="3" s="1"/>
  <c r="I1187" i="3" s="1"/>
  <c r="C1188" i="3"/>
  <c r="E1188" i="3" s="1"/>
  <c r="I1188" i="3" s="1"/>
  <c r="C1189" i="3"/>
  <c r="E1189" i="3" s="1"/>
  <c r="I1189" i="3" s="1"/>
  <c r="C1190" i="3"/>
  <c r="E1190" i="3" s="1"/>
  <c r="C1191" i="3"/>
  <c r="E1191" i="3" s="1"/>
  <c r="I1191" i="3" s="1"/>
  <c r="C1192" i="3"/>
  <c r="E1192" i="3" s="1"/>
  <c r="I1192" i="3" s="1"/>
  <c r="C1193" i="3"/>
  <c r="E1193" i="3" s="1"/>
  <c r="I1193" i="3" s="1"/>
  <c r="C1194" i="3"/>
  <c r="E1194" i="3" s="1"/>
  <c r="I1194" i="3" s="1"/>
  <c r="C1195" i="3"/>
  <c r="E1195" i="3" s="1"/>
  <c r="I1195" i="3" s="1"/>
  <c r="C1196" i="3"/>
  <c r="E1196" i="3" s="1"/>
  <c r="I1196" i="3" s="1"/>
  <c r="C1197" i="3"/>
  <c r="E1197" i="3" s="1"/>
  <c r="I1197" i="3" s="1"/>
  <c r="C1198" i="3"/>
  <c r="E1198" i="3" s="1"/>
  <c r="I1198" i="3" s="1"/>
  <c r="C1199" i="3"/>
  <c r="E1199" i="3" s="1"/>
  <c r="I1199" i="3" s="1"/>
  <c r="C1200" i="3"/>
  <c r="E1200" i="3" s="1"/>
  <c r="I1200" i="3" s="1"/>
  <c r="C1201" i="3"/>
  <c r="E1201" i="3" s="1"/>
  <c r="I1201" i="3" s="1"/>
  <c r="C1202" i="3"/>
  <c r="E1202" i="3" s="1"/>
  <c r="I1202" i="3" s="1"/>
  <c r="C1203" i="3"/>
  <c r="E1203" i="3" s="1"/>
  <c r="I1203" i="3" s="1"/>
  <c r="C1204" i="3"/>
  <c r="E1204" i="3" s="1"/>
  <c r="I1204" i="3" s="1"/>
  <c r="C1205" i="3"/>
  <c r="E1205" i="3" s="1"/>
  <c r="I1205" i="3" s="1"/>
  <c r="C1206" i="3"/>
  <c r="E1206" i="3" s="1"/>
  <c r="I1206" i="3" s="1"/>
  <c r="C1207" i="3"/>
  <c r="E1207" i="3" s="1"/>
  <c r="I1207" i="3" s="1"/>
  <c r="C1208" i="3"/>
  <c r="E1208" i="3" s="1"/>
  <c r="I1208" i="3" s="1"/>
  <c r="C1209" i="3"/>
  <c r="E1209" i="3" s="1"/>
  <c r="I1209" i="3" s="1"/>
  <c r="C1210" i="3"/>
  <c r="E1210" i="3" s="1"/>
  <c r="I1210" i="3" s="1"/>
  <c r="C1211" i="3"/>
  <c r="E1211" i="3" s="1"/>
  <c r="I1211" i="3" s="1"/>
  <c r="C1212" i="3"/>
  <c r="E1212" i="3" s="1"/>
  <c r="I1212" i="3" s="1"/>
  <c r="C1213" i="3"/>
  <c r="E1213" i="3" s="1"/>
  <c r="I1213" i="3" s="1"/>
  <c r="C1214" i="3"/>
  <c r="E1214" i="3" s="1"/>
  <c r="I1214" i="3" s="1"/>
  <c r="C1215" i="3"/>
  <c r="E1215" i="3" s="1"/>
  <c r="I1215" i="3" s="1"/>
  <c r="C1216" i="3"/>
  <c r="E1216" i="3" s="1"/>
  <c r="I1216" i="3" s="1"/>
  <c r="C1217" i="3"/>
  <c r="E1217" i="3" s="1"/>
  <c r="I1217" i="3" s="1"/>
  <c r="C1218" i="3"/>
  <c r="E1218" i="3" s="1"/>
  <c r="I1218" i="3" s="1"/>
  <c r="C1219" i="3"/>
  <c r="E1219" i="3" s="1"/>
  <c r="I1219" i="3" s="1"/>
  <c r="C1220" i="3"/>
  <c r="E1220" i="3" s="1"/>
  <c r="I1220" i="3" s="1"/>
  <c r="C1221" i="3"/>
  <c r="E1221" i="3" s="1"/>
  <c r="I1221" i="3" s="1"/>
  <c r="C1222" i="3"/>
  <c r="E1222" i="3" s="1"/>
  <c r="I1222" i="3" s="1"/>
  <c r="C1223" i="3"/>
  <c r="E1223" i="3" s="1"/>
  <c r="I1223" i="3" s="1"/>
  <c r="C1224" i="3"/>
  <c r="E1224" i="3" s="1"/>
  <c r="I1224" i="3" s="1"/>
  <c r="C1225" i="3"/>
  <c r="E1225" i="3" s="1"/>
  <c r="I1225" i="3" s="1"/>
  <c r="C1226" i="3"/>
  <c r="E1226" i="3" s="1"/>
  <c r="I1226" i="3" s="1"/>
  <c r="C1227" i="3"/>
  <c r="E1227" i="3" s="1"/>
  <c r="I1227" i="3" s="1"/>
  <c r="C1228" i="3"/>
  <c r="E1228" i="3" s="1"/>
  <c r="I1228" i="3" s="1"/>
  <c r="C1229" i="3"/>
  <c r="E1229" i="3" s="1"/>
  <c r="I1229" i="3" s="1"/>
  <c r="C1230" i="3"/>
  <c r="E1230" i="3" s="1"/>
  <c r="I1230" i="3" s="1"/>
  <c r="C1231" i="3"/>
  <c r="E1231" i="3" s="1"/>
  <c r="I1231" i="3" s="1"/>
  <c r="C1232" i="3"/>
  <c r="E1232" i="3" s="1"/>
  <c r="I1232" i="3" s="1"/>
  <c r="C1233" i="3"/>
  <c r="E1233" i="3" s="1"/>
  <c r="I1233" i="3" s="1"/>
  <c r="C1234" i="3"/>
  <c r="E1234" i="3" s="1"/>
  <c r="I1234" i="3" s="1"/>
  <c r="C1235" i="3"/>
  <c r="E1235" i="3" s="1"/>
  <c r="I1235" i="3" s="1"/>
  <c r="C1236" i="3"/>
  <c r="E1236" i="3" s="1"/>
  <c r="I1236" i="3" s="1"/>
  <c r="C1237" i="3"/>
  <c r="E1237" i="3" s="1"/>
  <c r="I1237" i="3" s="1"/>
  <c r="C1238" i="3"/>
  <c r="E1238" i="3" s="1"/>
  <c r="I1238" i="3" s="1"/>
  <c r="C1239" i="3"/>
  <c r="E1239" i="3" s="1"/>
  <c r="I1239" i="3" s="1"/>
  <c r="C1240" i="3"/>
  <c r="E1240" i="3" s="1"/>
  <c r="I1240" i="3" s="1"/>
  <c r="C1241" i="3"/>
  <c r="E1241" i="3" s="1"/>
  <c r="I1241" i="3" s="1"/>
  <c r="C1242" i="3"/>
  <c r="E1242" i="3" s="1"/>
  <c r="I1242" i="3" s="1"/>
  <c r="C1243" i="3"/>
  <c r="E1243" i="3" s="1"/>
  <c r="I1243" i="3" s="1"/>
  <c r="C1244" i="3"/>
  <c r="E1244" i="3" s="1"/>
  <c r="I1244" i="3" s="1"/>
  <c r="C1245" i="3"/>
  <c r="E1245" i="3" s="1"/>
  <c r="I1245" i="3" s="1"/>
  <c r="C1246" i="3"/>
  <c r="E1246" i="3" s="1"/>
  <c r="I1246" i="3" s="1"/>
  <c r="C1247" i="3"/>
  <c r="E1247" i="3" s="1"/>
  <c r="I1247" i="3" s="1"/>
  <c r="C1248" i="3"/>
  <c r="E1248" i="3" s="1"/>
  <c r="I1248" i="3" s="1"/>
  <c r="C1249" i="3"/>
  <c r="E1249" i="3" s="1"/>
  <c r="I1249" i="3" s="1"/>
  <c r="C1250" i="3"/>
  <c r="E1250" i="3" s="1"/>
  <c r="I1250" i="3" s="1"/>
  <c r="C1251" i="3"/>
  <c r="E1251" i="3" s="1"/>
  <c r="I1251" i="3" s="1"/>
  <c r="C1252" i="3"/>
  <c r="E1252" i="3" s="1"/>
  <c r="I1252" i="3" s="1"/>
  <c r="C1253" i="3"/>
  <c r="E1253" i="3" s="1"/>
  <c r="I1253" i="3" s="1"/>
  <c r="C1254" i="3"/>
  <c r="E1254" i="3" s="1"/>
  <c r="C1255" i="3"/>
  <c r="E1255" i="3" s="1"/>
  <c r="I1255" i="3" s="1"/>
  <c r="C1256" i="3"/>
  <c r="E1256" i="3" s="1"/>
  <c r="I1256" i="3" s="1"/>
  <c r="C1257" i="3"/>
  <c r="E1257" i="3" s="1"/>
  <c r="I1257" i="3" s="1"/>
  <c r="C1258" i="3"/>
  <c r="E1258" i="3" s="1"/>
  <c r="I1258" i="3" s="1"/>
  <c r="C1259" i="3"/>
  <c r="E1259" i="3" s="1"/>
  <c r="I1259" i="3" s="1"/>
  <c r="C1260" i="3"/>
  <c r="E1260" i="3" s="1"/>
  <c r="I1260" i="3" s="1"/>
  <c r="C1261" i="3"/>
  <c r="E1261" i="3" s="1"/>
  <c r="I1261" i="3" s="1"/>
  <c r="C1262" i="3"/>
  <c r="E1262" i="3" s="1"/>
  <c r="I1262" i="3" s="1"/>
  <c r="C1263" i="3"/>
  <c r="E1263" i="3" s="1"/>
  <c r="I1263" i="3" s="1"/>
  <c r="C1264" i="3"/>
  <c r="E1264" i="3" s="1"/>
  <c r="I1264" i="3" s="1"/>
  <c r="C1265" i="3"/>
  <c r="E1265" i="3" s="1"/>
  <c r="I1265" i="3" s="1"/>
  <c r="C1266" i="3"/>
  <c r="E1266" i="3" s="1"/>
  <c r="I1266" i="3" s="1"/>
  <c r="C1267" i="3"/>
  <c r="E1267" i="3" s="1"/>
  <c r="I1267" i="3" s="1"/>
  <c r="C1268" i="3"/>
  <c r="E1268" i="3" s="1"/>
  <c r="I1268" i="3" s="1"/>
  <c r="C1269" i="3"/>
  <c r="E1269" i="3" s="1"/>
  <c r="I1269" i="3" s="1"/>
  <c r="C1270" i="3"/>
  <c r="E1270" i="3" s="1"/>
  <c r="I1270" i="3" s="1"/>
  <c r="C1271" i="3"/>
  <c r="E1271" i="3" s="1"/>
  <c r="I1271" i="3" s="1"/>
  <c r="C1272" i="3"/>
  <c r="E1272" i="3" s="1"/>
  <c r="I1272" i="3" s="1"/>
  <c r="C1273" i="3"/>
  <c r="E1273" i="3" s="1"/>
  <c r="I1273" i="3" s="1"/>
  <c r="C1274" i="3"/>
  <c r="E1274" i="3" s="1"/>
  <c r="I1274" i="3" s="1"/>
  <c r="C1275" i="3"/>
  <c r="E1275" i="3" s="1"/>
  <c r="I1275" i="3" s="1"/>
  <c r="C1276" i="3"/>
  <c r="E1276" i="3" s="1"/>
  <c r="I1276" i="3" s="1"/>
  <c r="C1277" i="3"/>
  <c r="E1277" i="3" s="1"/>
  <c r="I1277" i="3" s="1"/>
  <c r="C1278" i="3"/>
  <c r="E1278" i="3" s="1"/>
  <c r="I1278" i="3" s="1"/>
  <c r="C1279" i="3"/>
  <c r="E1279" i="3" s="1"/>
  <c r="I1279" i="3" s="1"/>
  <c r="C1280" i="3"/>
  <c r="E1280" i="3" s="1"/>
  <c r="I1280" i="3" s="1"/>
  <c r="C1281" i="3"/>
  <c r="E1281" i="3" s="1"/>
  <c r="I1281" i="3" s="1"/>
  <c r="C1282" i="3"/>
  <c r="E1282" i="3" s="1"/>
  <c r="I1282" i="3" s="1"/>
  <c r="C1283" i="3"/>
  <c r="E1283" i="3" s="1"/>
  <c r="I1283" i="3" s="1"/>
  <c r="C1284" i="3"/>
  <c r="E1284" i="3" s="1"/>
  <c r="I1284" i="3" s="1"/>
  <c r="C1285" i="3"/>
  <c r="E1285" i="3" s="1"/>
  <c r="I1285" i="3" s="1"/>
  <c r="C1286" i="3"/>
  <c r="E1286" i="3" s="1"/>
  <c r="I1286" i="3" s="1"/>
  <c r="C1287" i="3"/>
  <c r="E1287" i="3" s="1"/>
  <c r="I1287" i="3" s="1"/>
  <c r="C1288" i="3"/>
  <c r="E1288" i="3" s="1"/>
  <c r="I1288" i="3" s="1"/>
  <c r="C1289" i="3"/>
  <c r="E1289" i="3" s="1"/>
  <c r="I1289" i="3" s="1"/>
  <c r="C1290" i="3"/>
  <c r="E1290" i="3" s="1"/>
  <c r="I1290" i="3" s="1"/>
  <c r="C1291" i="3"/>
  <c r="E1291" i="3" s="1"/>
  <c r="I1291" i="3" s="1"/>
  <c r="C1292" i="3"/>
  <c r="E1292" i="3" s="1"/>
  <c r="I1292" i="3" s="1"/>
  <c r="C1293" i="3"/>
  <c r="E1293" i="3" s="1"/>
  <c r="I1293" i="3" s="1"/>
  <c r="C1294" i="3"/>
  <c r="E1294" i="3" s="1"/>
  <c r="I1294" i="3" s="1"/>
  <c r="C1295" i="3"/>
  <c r="E1295" i="3" s="1"/>
  <c r="I1295" i="3" s="1"/>
  <c r="C1296" i="3"/>
  <c r="E1296" i="3" s="1"/>
  <c r="I1296" i="3" s="1"/>
  <c r="C1297" i="3"/>
  <c r="E1297" i="3" s="1"/>
  <c r="I1297" i="3" s="1"/>
  <c r="C1298" i="3"/>
  <c r="E1298" i="3" s="1"/>
  <c r="I1298" i="3" s="1"/>
  <c r="C1299" i="3"/>
  <c r="E1299" i="3" s="1"/>
  <c r="I1299" i="3" s="1"/>
  <c r="C1300" i="3"/>
  <c r="E1300" i="3" s="1"/>
  <c r="I1300" i="3" s="1"/>
  <c r="C1301" i="3"/>
  <c r="E1301" i="3" s="1"/>
  <c r="I1301" i="3" s="1"/>
  <c r="C1302" i="3"/>
  <c r="E1302" i="3" s="1"/>
  <c r="I1302" i="3" s="1"/>
  <c r="C1303" i="3"/>
  <c r="E1303" i="3" s="1"/>
  <c r="I1303" i="3" s="1"/>
  <c r="C1304" i="3"/>
  <c r="E1304" i="3" s="1"/>
  <c r="I1304" i="3" s="1"/>
  <c r="C1305" i="3"/>
  <c r="E1305" i="3" s="1"/>
  <c r="I1305" i="3" s="1"/>
  <c r="C1306" i="3"/>
  <c r="E1306" i="3" s="1"/>
  <c r="I1306" i="3" s="1"/>
  <c r="C1307" i="3"/>
  <c r="E1307" i="3" s="1"/>
  <c r="I1307" i="3" s="1"/>
  <c r="C1308" i="3"/>
  <c r="E1308" i="3" s="1"/>
  <c r="I1308" i="3" s="1"/>
  <c r="C1309" i="3"/>
  <c r="E1309" i="3" s="1"/>
  <c r="I1309" i="3" s="1"/>
  <c r="C1310" i="3"/>
  <c r="E1310" i="3" s="1"/>
  <c r="I1310" i="3" s="1"/>
  <c r="C1311" i="3"/>
  <c r="E1311" i="3" s="1"/>
  <c r="I1311" i="3" s="1"/>
  <c r="C1312" i="3"/>
  <c r="E1312" i="3" s="1"/>
  <c r="I1312" i="3" s="1"/>
  <c r="C1313" i="3"/>
  <c r="E1313" i="3" s="1"/>
  <c r="I1313" i="3" s="1"/>
  <c r="C1314" i="3"/>
  <c r="E1314" i="3" s="1"/>
  <c r="I1314" i="3" s="1"/>
  <c r="C1315" i="3"/>
  <c r="E1315" i="3" s="1"/>
  <c r="I1315" i="3" s="1"/>
  <c r="C1316" i="3"/>
  <c r="E1316" i="3" s="1"/>
  <c r="I1316" i="3" s="1"/>
  <c r="C1317" i="3"/>
  <c r="E1317" i="3" s="1"/>
  <c r="I1317" i="3" s="1"/>
  <c r="C1318" i="3"/>
  <c r="E1318" i="3" s="1"/>
  <c r="I1318" i="3" s="1"/>
  <c r="C1319" i="3"/>
  <c r="E1319" i="3" s="1"/>
  <c r="I1319" i="3" s="1"/>
  <c r="C1320" i="3"/>
  <c r="E1320" i="3" s="1"/>
  <c r="I1320" i="3" s="1"/>
  <c r="C1321" i="3"/>
  <c r="E1321" i="3" s="1"/>
  <c r="I1321" i="3" s="1"/>
  <c r="C1322" i="3"/>
  <c r="E1322" i="3" s="1"/>
  <c r="I1322" i="3" s="1"/>
  <c r="C1323" i="3"/>
  <c r="E1323" i="3" s="1"/>
  <c r="I1323" i="3" s="1"/>
  <c r="C1324" i="3"/>
  <c r="E1324" i="3" s="1"/>
  <c r="I1324" i="3" s="1"/>
  <c r="C1325" i="3"/>
  <c r="E1325" i="3" s="1"/>
  <c r="I1325" i="3" s="1"/>
  <c r="C1326" i="3"/>
  <c r="E1326" i="3" s="1"/>
  <c r="I1326" i="3" s="1"/>
  <c r="C1327" i="3"/>
  <c r="E1327" i="3" s="1"/>
  <c r="I1327" i="3" s="1"/>
  <c r="C1328" i="3"/>
  <c r="E1328" i="3" s="1"/>
  <c r="I1328" i="3" s="1"/>
  <c r="C1329" i="3"/>
  <c r="E1329" i="3" s="1"/>
  <c r="I1329" i="3" s="1"/>
  <c r="C1330" i="3"/>
  <c r="E1330" i="3" s="1"/>
  <c r="I1330" i="3" s="1"/>
  <c r="C1331" i="3"/>
  <c r="E1331" i="3" s="1"/>
  <c r="I1331" i="3" s="1"/>
  <c r="C1332" i="3"/>
  <c r="E1332" i="3" s="1"/>
  <c r="I1332" i="3" s="1"/>
  <c r="C1333" i="3"/>
  <c r="E1333" i="3" s="1"/>
  <c r="I1333" i="3" s="1"/>
  <c r="C1334" i="3"/>
  <c r="E1334" i="3" s="1"/>
  <c r="I1334" i="3" s="1"/>
  <c r="C1335" i="3"/>
  <c r="E1335" i="3" s="1"/>
  <c r="I1335" i="3" s="1"/>
  <c r="C1336" i="3"/>
  <c r="E1336" i="3" s="1"/>
  <c r="I1336" i="3" s="1"/>
  <c r="C1337" i="3"/>
  <c r="E1337" i="3" s="1"/>
  <c r="I1337" i="3" s="1"/>
  <c r="C1338" i="3"/>
  <c r="E1338" i="3" s="1"/>
  <c r="I1338" i="3" s="1"/>
  <c r="C1339" i="3"/>
  <c r="E1339" i="3" s="1"/>
  <c r="I1339" i="3" s="1"/>
  <c r="C1340" i="3"/>
  <c r="E1340" i="3" s="1"/>
  <c r="I1340" i="3" s="1"/>
  <c r="C1341" i="3"/>
  <c r="E1341" i="3" s="1"/>
  <c r="I1341" i="3" s="1"/>
  <c r="C1342" i="3"/>
  <c r="E1342" i="3" s="1"/>
  <c r="I1342" i="3" s="1"/>
  <c r="C1343" i="3"/>
  <c r="E1343" i="3" s="1"/>
  <c r="I1343" i="3" s="1"/>
  <c r="C1344" i="3"/>
  <c r="E1344" i="3" s="1"/>
  <c r="I1344" i="3" s="1"/>
  <c r="C1345" i="3"/>
  <c r="E1345" i="3" s="1"/>
  <c r="I1345" i="3" s="1"/>
  <c r="C1346" i="3"/>
  <c r="E1346" i="3" s="1"/>
  <c r="I1346" i="3" s="1"/>
  <c r="C1347" i="3"/>
  <c r="E1347" i="3" s="1"/>
  <c r="I1347" i="3" s="1"/>
  <c r="C1348" i="3"/>
  <c r="E1348" i="3" s="1"/>
  <c r="I1348" i="3" s="1"/>
  <c r="C1349" i="3"/>
  <c r="E1349" i="3" s="1"/>
  <c r="I1349" i="3" s="1"/>
  <c r="C1350" i="3"/>
  <c r="E1350" i="3" s="1"/>
  <c r="I1350" i="3" s="1"/>
  <c r="C1351" i="3"/>
  <c r="E1351" i="3" s="1"/>
  <c r="I1351" i="3" s="1"/>
  <c r="C1352" i="3"/>
  <c r="E1352" i="3" s="1"/>
  <c r="I1352" i="3" s="1"/>
  <c r="C1353" i="3"/>
  <c r="E1353" i="3" s="1"/>
  <c r="I1353" i="3" s="1"/>
  <c r="C1354" i="3"/>
  <c r="E1354" i="3" s="1"/>
  <c r="I1354" i="3" s="1"/>
  <c r="C1355" i="3"/>
  <c r="E1355" i="3" s="1"/>
  <c r="I1355" i="3" s="1"/>
  <c r="C1356" i="3"/>
  <c r="E1356" i="3" s="1"/>
  <c r="I1356" i="3" s="1"/>
  <c r="C1357" i="3"/>
  <c r="E1357" i="3" s="1"/>
  <c r="I1357" i="3" s="1"/>
  <c r="C1358" i="3"/>
  <c r="E1358" i="3" s="1"/>
  <c r="I1358" i="3" s="1"/>
  <c r="C1359" i="3"/>
  <c r="E1359" i="3" s="1"/>
  <c r="I1359" i="3" s="1"/>
  <c r="C1360" i="3"/>
  <c r="E1360" i="3" s="1"/>
  <c r="I1360" i="3" s="1"/>
  <c r="C1361" i="3"/>
  <c r="E1361" i="3" s="1"/>
  <c r="I1361" i="3" s="1"/>
  <c r="C1362" i="3"/>
  <c r="E1362" i="3" s="1"/>
  <c r="I1362" i="3" s="1"/>
  <c r="C1363" i="3"/>
  <c r="E1363" i="3" s="1"/>
  <c r="I1363" i="3" s="1"/>
  <c r="C1364" i="3"/>
  <c r="E1364" i="3" s="1"/>
  <c r="I1364" i="3" s="1"/>
  <c r="C1365" i="3"/>
  <c r="E1365" i="3" s="1"/>
  <c r="I1365" i="3" s="1"/>
  <c r="C1366" i="3"/>
  <c r="E1366" i="3" s="1"/>
  <c r="I1366" i="3" s="1"/>
  <c r="C1367" i="3"/>
  <c r="E1367" i="3" s="1"/>
  <c r="I1367" i="3" s="1"/>
  <c r="C1368" i="3"/>
  <c r="E1368" i="3" s="1"/>
  <c r="I1368" i="3" s="1"/>
  <c r="C1369" i="3"/>
  <c r="E1369" i="3" s="1"/>
  <c r="I1369" i="3" s="1"/>
  <c r="C1370" i="3"/>
  <c r="E1370" i="3" s="1"/>
  <c r="I1370" i="3" s="1"/>
  <c r="C1371" i="3"/>
  <c r="E1371" i="3" s="1"/>
  <c r="I1371" i="3" s="1"/>
  <c r="C1372" i="3"/>
  <c r="E1372" i="3" s="1"/>
  <c r="I1372" i="3" s="1"/>
  <c r="C1373" i="3"/>
  <c r="E1373" i="3" s="1"/>
  <c r="I1373" i="3" s="1"/>
  <c r="C1374" i="3"/>
  <c r="E1374" i="3" s="1"/>
  <c r="I1374" i="3" s="1"/>
  <c r="C1375" i="3"/>
  <c r="E1375" i="3" s="1"/>
  <c r="I1375" i="3" s="1"/>
  <c r="C1376" i="3"/>
  <c r="E1376" i="3" s="1"/>
  <c r="I1376" i="3" s="1"/>
  <c r="C1377" i="3"/>
  <c r="E1377" i="3" s="1"/>
  <c r="I1377" i="3" s="1"/>
  <c r="C1378" i="3"/>
  <c r="E1378" i="3" s="1"/>
  <c r="I1378" i="3" s="1"/>
  <c r="C1379" i="3"/>
  <c r="E1379" i="3" s="1"/>
  <c r="I1379" i="3" s="1"/>
  <c r="C1380" i="3"/>
  <c r="E1380" i="3" s="1"/>
  <c r="I1380" i="3" s="1"/>
  <c r="C1381" i="3"/>
  <c r="E1381" i="3" s="1"/>
  <c r="I1381" i="3" s="1"/>
  <c r="C1382" i="3"/>
  <c r="E1382" i="3" s="1"/>
  <c r="I1382" i="3" s="1"/>
  <c r="C1383" i="3"/>
  <c r="E1383" i="3" s="1"/>
  <c r="I1383" i="3" s="1"/>
  <c r="C1384" i="3"/>
  <c r="E1384" i="3" s="1"/>
  <c r="I1384" i="3" s="1"/>
  <c r="C1385" i="3"/>
  <c r="E1385" i="3" s="1"/>
  <c r="I1385" i="3" s="1"/>
  <c r="C1386" i="3"/>
  <c r="E1386" i="3" s="1"/>
  <c r="I1386" i="3" s="1"/>
  <c r="C1387" i="3"/>
  <c r="E1387" i="3" s="1"/>
  <c r="I1387" i="3" s="1"/>
  <c r="C1388" i="3"/>
  <c r="E1388" i="3" s="1"/>
  <c r="I1388" i="3" s="1"/>
  <c r="C1389" i="3"/>
  <c r="E1389" i="3" s="1"/>
  <c r="I1389" i="3" s="1"/>
  <c r="C1390" i="3"/>
  <c r="E1390" i="3" s="1"/>
  <c r="I1390" i="3" s="1"/>
  <c r="C1391" i="3"/>
  <c r="E1391" i="3" s="1"/>
  <c r="I1391" i="3" s="1"/>
  <c r="C1392" i="3"/>
  <c r="E1392" i="3" s="1"/>
  <c r="I1392" i="3" s="1"/>
  <c r="C1393" i="3"/>
  <c r="E1393" i="3" s="1"/>
  <c r="I1393" i="3" s="1"/>
  <c r="C1394" i="3"/>
  <c r="E1394" i="3" s="1"/>
  <c r="I1394" i="3" s="1"/>
  <c r="C1395" i="3"/>
  <c r="E1395" i="3" s="1"/>
  <c r="I1395" i="3" s="1"/>
  <c r="C1396" i="3"/>
  <c r="E1396" i="3" s="1"/>
  <c r="I1396" i="3" s="1"/>
  <c r="C1397" i="3"/>
  <c r="E1397" i="3" s="1"/>
  <c r="I1397" i="3" s="1"/>
  <c r="C1398" i="3"/>
  <c r="E1398" i="3" s="1"/>
  <c r="I1398" i="3" s="1"/>
  <c r="C1399" i="3"/>
  <c r="E1399" i="3" s="1"/>
  <c r="I1399" i="3" s="1"/>
  <c r="C1400" i="3"/>
  <c r="E1400" i="3" s="1"/>
  <c r="I1400" i="3" s="1"/>
  <c r="C1401" i="3"/>
  <c r="E1401" i="3" s="1"/>
  <c r="I1401" i="3" s="1"/>
  <c r="C1402" i="3"/>
  <c r="E1402" i="3" s="1"/>
  <c r="I1402" i="3" s="1"/>
  <c r="C1403" i="3"/>
  <c r="E1403" i="3" s="1"/>
  <c r="I1403" i="3" s="1"/>
  <c r="C1404" i="3"/>
  <c r="E1404" i="3" s="1"/>
  <c r="I1404" i="3" s="1"/>
  <c r="C1405" i="3"/>
  <c r="E1405" i="3" s="1"/>
  <c r="I1405" i="3" s="1"/>
  <c r="C1406" i="3"/>
  <c r="E1406" i="3" s="1"/>
  <c r="I1406" i="3" s="1"/>
  <c r="C1407" i="3"/>
  <c r="E1407" i="3" s="1"/>
  <c r="I1407" i="3" s="1"/>
  <c r="C1408" i="3"/>
  <c r="E1408" i="3" s="1"/>
  <c r="I1408" i="3" s="1"/>
  <c r="C1409" i="3"/>
  <c r="E1409" i="3" s="1"/>
  <c r="I1409" i="3" s="1"/>
  <c r="C1410" i="3"/>
  <c r="E1410" i="3" s="1"/>
  <c r="I1410" i="3" s="1"/>
  <c r="C1411" i="3"/>
  <c r="E1411" i="3" s="1"/>
  <c r="I1411" i="3" s="1"/>
  <c r="C1412" i="3"/>
  <c r="E1412" i="3" s="1"/>
  <c r="I1412" i="3" s="1"/>
  <c r="C1413" i="3"/>
  <c r="E1413" i="3" s="1"/>
  <c r="I1413" i="3" s="1"/>
  <c r="C1414" i="3"/>
  <c r="E1414" i="3" s="1"/>
  <c r="I1414" i="3" s="1"/>
  <c r="C1415" i="3"/>
  <c r="E1415" i="3" s="1"/>
  <c r="I1415" i="3" s="1"/>
  <c r="C1416" i="3"/>
  <c r="E1416" i="3" s="1"/>
  <c r="I1416" i="3" s="1"/>
  <c r="C1417" i="3"/>
  <c r="E1417" i="3" s="1"/>
  <c r="I1417" i="3" s="1"/>
  <c r="C1418" i="3"/>
  <c r="E1418" i="3" s="1"/>
  <c r="I1418" i="3" s="1"/>
  <c r="C1419" i="3"/>
  <c r="E1419" i="3" s="1"/>
  <c r="I1419" i="3" s="1"/>
  <c r="C1420" i="3"/>
  <c r="E1420" i="3" s="1"/>
  <c r="I1420" i="3" s="1"/>
  <c r="C1421" i="3"/>
  <c r="E1421" i="3" s="1"/>
  <c r="I1421" i="3" s="1"/>
  <c r="C1422" i="3"/>
  <c r="E1422" i="3" s="1"/>
  <c r="I1422" i="3" s="1"/>
  <c r="C1423" i="3"/>
  <c r="E1423" i="3" s="1"/>
  <c r="I1423" i="3" s="1"/>
  <c r="C1424" i="3"/>
  <c r="E1424" i="3" s="1"/>
  <c r="I1424" i="3" s="1"/>
  <c r="C1425" i="3"/>
  <c r="E1425" i="3" s="1"/>
  <c r="I1425" i="3" s="1"/>
  <c r="C1426" i="3"/>
  <c r="E1426" i="3" s="1"/>
  <c r="I1426" i="3" s="1"/>
  <c r="C1427" i="3"/>
  <c r="E1427" i="3" s="1"/>
  <c r="I1427" i="3" s="1"/>
  <c r="C1428" i="3"/>
  <c r="E1428" i="3" s="1"/>
  <c r="I1428" i="3" s="1"/>
  <c r="C1429" i="3"/>
  <c r="E1429" i="3" s="1"/>
  <c r="I1429" i="3" s="1"/>
  <c r="C1430" i="3"/>
  <c r="E1430" i="3" s="1"/>
  <c r="I1430" i="3" s="1"/>
  <c r="G3" i="1"/>
  <c r="G5" i="1"/>
  <c r="G4" i="1"/>
  <c r="P976" i="3" l="1"/>
  <c r="P880" i="3"/>
  <c r="P1410" i="3"/>
  <c r="P798" i="3"/>
  <c r="P94" i="3"/>
  <c r="P1245" i="3"/>
  <c r="P1323" i="3"/>
  <c r="R1323" i="3" s="1"/>
  <c r="P1162" i="3"/>
  <c r="P298" i="3"/>
  <c r="K122" i="3"/>
  <c r="P535" i="3"/>
  <c r="R535" i="3" s="1"/>
  <c r="P406" i="3"/>
  <c r="P1029" i="3"/>
  <c r="R1029" i="3" s="1"/>
  <c r="P725" i="3"/>
  <c r="K2277" i="3"/>
  <c r="K1661" i="3"/>
  <c r="M1661" i="3" s="1"/>
  <c r="K2090" i="3"/>
  <c r="K2020" i="3"/>
  <c r="K1549" i="3"/>
  <c r="M1549" i="3" s="1"/>
  <c r="K1767" i="3"/>
  <c r="K2354" i="3"/>
  <c r="K2997" i="3"/>
  <c r="R976" i="3"/>
  <c r="L1767" i="3"/>
  <c r="R880" i="3"/>
  <c r="I693" i="3"/>
  <c r="P626" i="3" s="1"/>
  <c r="L1858" i="3"/>
  <c r="I840" i="3"/>
  <c r="K823" i="3" s="1"/>
  <c r="M823" i="3" s="1"/>
  <c r="I540" i="3"/>
  <c r="I1517" i="3"/>
  <c r="K1425" i="3" s="1"/>
  <c r="M1425" i="3" s="1"/>
  <c r="K1051" i="3"/>
  <c r="M1051" i="3" s="1"/>
  <c r="K991" i="3"/>
  <c r="M991" i="3" s="1"/>
  <c r="I743" i="3"/>
  <c r="K558" i="3" s="1"/>
  <c r="M558" i="3" s="1"/>
  <c r="I227" i="3"/>
  <c r="P190" i="3" s="1"/>
  <c r="I1254" i="3"/>
  <c r="K2589" i="3" s="1"/>
  <c r="I1190" i="3"/>
  <c r="I330" i="3"/>
  <c r="K1354" i="3"/>
  <c r="M1354" i="3" s="1"/>
  <c r="R94" i="3" l="1"/>
  <c r="K330" i="3"/>
  <c r="M330" i="3" s="1"/>
  <c r="K457" i="3"/>
  <c r="M457" i="3" s="1"/>
  <c r="K2505" i="3"/>
  <c r="K1858" i="3"/>
  <c r="M1858" i="3" s="1"/>
  <c r="K2433" i="3"/>
  <c r="K905" i="3"/>
  <c r="M905" i="3" s="1"/>
  <c r="K1934" i="3"/>
  <c r="K1254" i="3"/>
  <c r="M1254" i="3" s="1"/>
  <c r="K2182" i="3"/>
  <c r="K2727" i="3"/>
  <c r="K2927" i="3"/>
  <c r="K2673" i="3"/>
  <c r="K743" i="3"/>
  <c r="M743" i="3" s="1"/>
  <c r="M1767" i="3"/>
  <c r="K2848" i="3"/>
  <c r="K3063" i="3"/>
  <c r="R1410" i="3"/>
  <c r="R1245" i="3"/>
  <c r="R798" i="3"/>
  <c r="R725" i="3"/>
  <c r="R626" i="3"/>
  <c r="R190" i="3"/>
  <c r="R298" i="3"/>
  <c r="R406" i="3"/>
  <c r="R1847" i="3"/>
  <c r="R1162" i="3"/>
  <c r="K657" i="3"/>
  <c r="M657" i="3" s="1"/>
  <c r="K227" i="3"/>
  <c r="M227" i="3" s="1"/>
  <c r="M122" i="3"/>
  <c r="K1176" i="3"/>
  <c r="M1176" i="3" s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S7" i="1"/>
  <c r="V7" i="1" s="1"/>
  <c r="S8" i="1"/>
  <c r="V8" i="1" s="1"/>
  <c r="S9" i="1"/>
  <c r="V9" i="1" s="1"/>
  <c r="S10" i="1"/>
  <c r="V10" i="1" s="1"/>
  <c r="S11" i="1"/>
  <c r="V11" i="1" s="1"/>
  <c r="S12" i="1"/>
  <c r="V12" i="1" s="1"/>
  <c r="S13" i="1"/>
  <c r="V13" i="1" s="1"/>
  <c r="S14" i="1"/>
  <c r="V14" i="1" s="1"/>
  <c r="S15" i="1"/>
  <c r="V15" i="1" s="1"/>
  <c r="S16" i="1"/>
  <c r="V16" i="1" s="1"/>
  <c r="S17" i="1"/>
  <c r="V17" i="1" s="1"/>
  <c r="S18" i="1"/>
  <c r="V18" i="1" s="1"/>
  <c r="S19" i="1"/>
  <c r="V19" i="1" s="1"/>
  <c r="S20" i="1"/>
  <c r="V20" i="1" s="1"/>
  <c r="S21" i="1"/>
  <c r="V21" i="1" s="1"/>
  <c r="S22" i="1"/>
  <c r="V22" i="1" s="1"/>
  <c r="S23" i="1"/>
  <c r="V23" i="1" s="1"/>
  <c r="S24" i="1"/>
  <c r="V24" i="1" s="1"/>
  <c r="S25" i="1"/>
  <c r="V25" i="1" s="1"/>
  <c r="S26" i="1"/>
  <c r="V26" i="1" s="1"/>
  <c r="S27" i="1"/>
  <c r="V27" i="1" s="1"/>
  <c r="S28" i="1"/>
  <c r="V28" i="1" s="1"/>
  <c r="S29" i="1"/>
  <c r="V29" i="1" s="1"/>
  <c r="S30" i="1"/>
  <c r="V30" i="1" s="1"/>
  <c r="S31" i="1"/>
  <c r="V31" i="1" s="1"/>
  <c r="S32" i="1"/>
  <c r="V32" i="1" s="1"/>
  <c r="S33" i="1"/>
  <c r="V33" i="1" s="1"/>
  <c r="S34" i="1"/>
  <c r="V34" i="1" s="1"/>
  <c r="S35" i="1"/>
  <c r="V35" i="1" s="1"/>
  <c r="S36" i="1"/>
  <c r="V36" i="1" s="1"/>
  <c r="S37" i="1"/>
  <c r="V37" i="1" s="1"/>
  <c r="S38" i="1"/>
  <c r="V38" i="1" s="1"/>
  <c r="S39" i="1"/>
  <c r="V39" i="1" s="1"/>
  <c r="S40" i="1"/>
  <c r="V40" i="1" s="1"/>
  <c r="S41" i="1"/>
  <c r="V41" i="1" s="1"/>
  <c r="S42" i="1"/>
  <c r="V42" i="1" s="1"/>
  <c r="S43" i="1"/>
  <c r="V43" i="1" s="1"/>
  <c r="S44" i="1"/>
  <c r="V44" i="1" s="1"/>
  <c r="S45" i="1"/>
  <c r="V45" i="1" s="1"/>
  <c r="S46" i="1"/>
  <c r="V46" i="1" s="1"/>
  <c r="S47" i="1"/>
  <c r="V47" i="1" s="1"/>
  <c r="S48" i="1"/>
  <c r="V48" i="1" s="1"/>
  <c r="S49" i="1"/>
  <c r="V49" i="1" s="1"/>
  <c r="S50" i="1"/>
  <c r="V50" i="1" s="1"/>
  <c r="S51" i="1"/>
  <c r="V51" i="1" s="1"/>
  <c r="S52" i="1"/>
  <c r="V52" i="1" s="1"/>
  <c r="S53" i="1"/>
  <c r="V53" i="1" s="1"/>
  <c r="S54" i="1"/>
  <c r="V54" i="1" s="1"/>
  <c r="S55" i="1"/>
  <c r="V55" i="1" s="1"/>
  <c r="S56" i="1"/>
  <c r="V56" i="1" s="1"/>
  <c r="S57" i="1"/>
  <c r="V57" i="1" s="1"/>
  <c r="S58" i="1"/>
  <c r="V58" i="1" s="1"/>
  <c r="S59" i="1"/>
  <c r="V59" i="1" s="1"/>
  <c r="S60" i="1"/>
  <c r="V60" i="1" s="1"/>
  <c r="S61" i="1"/>
  <c r="V61" i="1" s="1"/>
  <c r="S62" i="1"/>
  <c r="V62" i="1" s="1"/>
  <c r="S63" i="1"/>
  <c r="V63" i="1" s="1"/>
  <c r="S64" i="1"/>
  <c r="V64" i="1" s="1"/>
  <c r="S65" i="1"/>
  <c r="V65" i="1" s="1"/>
  <c r="S66" i="1"/>
  <c r="V66" i="1" s="1"/>
  <c r="S67" i="1"/>
  <c r="V67" i="1" s="1"/>
  <c r="S68" i="1"/>
  <c r="V68" i="1" s="1"/>
  <c r="S69" i="1"/>
  <c r="V69" i="1" s="1"/>
  <c r="S70" i="1"/>
  <c r="V70" i="1" s="1"/>
  <c r="S71" i="1"/>
  <c r="V71" i="1" s="1"/>
  <c r="S72" i="1"/>
  <c r="V72" i="1" s="1"/>
  <c r="S73" i="1"/>
  <c r="V73" i="1" s="1"/>
  <c r="S74" i="1"/>
  <c r="V74" i="1" s="1"/>
  <c r="S75" i="1"/>
  <c r="V75" i="1" s="1"/>
  <c r="S76" i="1"/>
  <c r="V76" i="1" s="1"/>
  <c r="S77" i="1"/>
  <c r="V77" i="1" s="1"/>
  <c r="S78" i="1"/>
  <c r="V78" i="1" s="1"/>
  <c r="S79" i="1"/>
  <c r="V79" i="1" s="1"/>
  <c r="S80" i="1"/>
  <c r="V80" i="1" s="1"/>
  <c r="S81" i="1"/>
  <c r="V81" i="1" s="1"/>
  <c r="S82" i="1"/>
  <c r="V82" i="1" s="1"/>
  <c r="S83" i="1"/>
  <c r="V83" i="1" s="1"/>
  <c r="S84" i="1"/>
  <c r="V84" i="1" s="1"/>
  <c r="S85" i="1"/>
  <c r="V85" i="1" s="1"/>
  <c r="S86" i="1"/>
  <c r="V86" i="1" s="1"/>
  <c r="S87" i="1"/>
  <c r="V87" i="1" s="1"/>
  <c r="S88" i="1"/>
  <c r="V88" i="1" s="1"/>
  <c r="S89" i="1"/>
  <c r="V89" i="1" s="1"/>
  <c r="S90" i="1"/>
  <c r="V90" i="1" s="1"/>
  <c r="S91" i="1"/>
  <c r="V91" i="1" s="1"/>
  <c r="S92" i="1"/>
  <c r="V92" i="1" s="1"/>
  <c r="S93" i="1"/>
  <c r="V93" i="1" s="1"/>
  <c r="S94" i="1"/>
  <c r="V94" i="1" s="1"/>
  <c r="S95" i="1"/>
  <c r="V95" i="1" s="1"/>
  <c r="S96" i="1"/>
  <c r="V96" i="1" s="1"/>
  <c r="S97" i="1"/>
  <c r="V97" i="1" s="1"/>
  <c r="S98" i="1"/>
  <c r="V98" i="1" s="1"/>
  <c r="S99" i="1"/>
  <c r="V99" i="1" s="1"/>
  <c r="S100" i="1"/>
  <c r="V100" i="1" s="1"/>
  <c r="S101" i="1"/>
  <c r="V101" i="1" s="1"/>
  <c r="S102" i="1"/>
  <c r="V102" i="1" s="1"/>
  <c r="S103" i="1"/>
  <c r="V103" i="1" s="1"/>
  <c r="S104" i="1"/>
  <c r="V104" i="1" s="1"/>
  <c r="S105" i="1"/>
  <c r="V105" i="1" s="1"/>
  <c r="S106" i="1"/>
  <c r="V106" i="1" s="1"/>
  <c r="S107" i="1"/>
  <c r="V107" i="1" s="1"/>
  <c r="S108" i="1"/>
  <c r="V108" i="1" s="1"/>
  <c r="S109" i="1"/>
  <c r="V109" i="1" s="1"/>
  <c r="S110" i="1"/>
  <c r="V110" i="1" s="1"/>
  <c r="S111" i="1"/>
  <c r="V111" i="1" s="1"/>
  <c r="S112" i="1"/>
  <c r="V112" i="1" s="1"/>
  <c r="S113" i="1"/>
  <c r="V113" i="1" s="1"/>
  <c r="S114" i="1"/>
  <c r="V114" i="1" s="1"/>
  <c r="S115" i="1"/>
  <c r="V115" i="1" s="1"/>
  <c r="S116" i="1"/>
  <c r="V116" i="1" s="1"/>
  <c r="S117" i="1"/>
  <c r="V117" i="1" s="1"/>
  <c r="S118" i="1"/>
  <c r="V118" i="1" s="1"/>
  <c r="S119" i="1"/>
  <c r="V119" i="1" s="1"/>
  <c r="S120" i="1"/>
  <c r="V120" i="1" s="1"/>
  <c r="S121" i="1"/>
  <c r="V121" i="1" s="1"/>
  <c r="S122" i="1"/>
  <c r="V122" i="1" s="1"/>
  <c r="S123" i="1"/>
  <c r="V123" i="1" s="1"/>
  <c r="S124" i="1"/>
  <c r="V124" i="1" s="1"/>
  <c r="S125" i="1"/>
  <c r="V125" i="1" s="1"/>
  <c r="S126" i="1"/>
  <c r="V126" i="1" s="1"/>
  <c r="S127" i="1"/>
  <c r="V127" i="1" s="1"/>
  <c r="S128" i="1"/>
  <c r="V128" i="1" s="1"/>
  <c r="S129" i="1"/>
  <c r="V129" i="1" s="1"/>
  <c r="S130" i="1"/>
  <c r="V130" i="1" s="1"/>
  <c r="S131" i="1"/>
  <c r="V131" i="1" s="1"/>
  <c r="S132" i="1"/>
  <c r="V132" i="1" s="1"/>
  <c r="S133" i="1"/>
  <c r="V133" i="1" s="1"/>
  <c r="S134" i="1"/>
  <c r="V134" i="1" s="1"/>
  <c r="S135" i="1"/>
  <c r="V135" i="1" s="1"/>
  <c r="S136" i="1"/>
  <c r="V136" i="1" s="1"/>
  <c r="S137" i="1"/>
  <c r="V137" i="1" s="1"/>
  <c r="S138" i="1"/>
  <c r="V138" i="1" s="1"/>
  <c r="S139" i="1"/>
  <c r="V139" i="1" s="1"/>
  <c r="S140" i="1"/>
  <c r="V140" i="1" s="1"/>
  <c r="S141" i="1"/>
  <c r="V141" i="1" s="1"/>
  <c r="S142" i="1"/>
  <c r="V142" i="1" s="1"/>
  <c r="S143" i="1"/>
  <c r="V143" i="1" s="1"/>
  <c r="S144" i="1"/>
  <c r="V144" i="1" s="1"/>
  <c r="S145" i="1"/>
  <c r="V145" i="1" s="1"/>
  <c r="S146" i="1"/>
  <c r="V146" i="1" s="1"/>
  <c r="S147" i="1"/>
  <c r="V147" i="1" s="1"/>
  <c r="S148" i="1"/>
  <c r="V148" i="1" s="1"/>
  <c r="S149" i="1"/>
  <c r="V149" i="1" s="1"/>
  <c r="S150" i="1"/>
  <c r="V150" i="1" s="1"/>
  <c r="S151" i="1"/>
  <c r="V151" i="1" s="1"/>
  <c r="S152" i="1"/>
  <c r="V152" i="1" s="1"/>
  <c r="S153" i="1"/>
  <c r="V153" i="1" s="1"/>
  <c r="S154" i="1"/>
  <c r="V154" i="1" s="1"/>
  <c r="S155" i="1"/>
  <c r="V155" i="1" s="1"/>
  <c r="S156" i="1"/>
  <c r="V156" i="1" s="1"/>
  <c r="S157" i="1"/>
  <c r="V157" i="1" s="1"/>
  <c r="S158" i="1"/>
  <c r="V158" i="1" s="1"/>
  <c r="S159" i="1"/>
  <c r="V159" i="1" s="1"/>
  <c r="S160" i="1"/>
  <c r="V160" i="1" s="1"/>
  <c r="S161" i="1"/>
  <c r="V161" i="1" s="1"/>
  <c r="S162" i="1"/>
  <c r="V162" i="1" s="1"/>
  <c r="S163" i="1"/>
  <c r="V163" i="1" s="1"/>
  <c r="S164" i="1"/>
  <c r="V164" i="1" s="1"/>
  <c r="S165" i="1"/>
  <c r="V165" i="1" s="1"/>
  <c r="S166" i="1"/>
  <c r="V166" i="1" s="1"/>
  <c r="S167" i="1"/>
  <c r="V167" i="1" s="1"/>
  <c r="S168" i="1"/>
  <c r="V168" i="1" s="1"/>
  <c r="S169" i="1"/>
  <c r="V169" i="1" s="1"/>
  <c r="S170" i="1"/>
  <c r="V170" i="1" s="1"/>
  <c r="S171" i="1"/>
  <c r="V171" i="1" s="1"/>
  <c r="S172" i="1"/>
  <c r="V172" i="1" s="1"/>
  <c r="S173" i="1"/>
  <c r="V173" i="1" s="1"/>
  <c r="S174" i="1"/>
  <c r="V174" i="1" s="1"/>
  <c r="S175" i="1"/>
  <c r="V175" i="1" s="1"/>
  <c r="S176" i="1"/>
  <c r="V176" i="1" s="1"/>
  <c r="S177" i="1"/>
  <c r="V177" i="1" s="1"/>
  <c r="S178" i="1"/>
  <c r="V178" i="1" s="1"/>
  <c r="S179" i="1"/>
  <c r="V179" i="1" s="1"/>
  <c r="S180" i="1"/>
  <c r="V180" i="1" s="1"/>
  <c r="S181" i="1"/>
  <c r="V181" i="1" s="1"/>
  <c r="S182" i="1"/>
  <c r="V182" i="1" s="1"/>
  <c r="S183" i="1"/>
  <c r="V183" i="1" s="1"/>
  <c r="S184" i="1"/>
  <c r="V184" i="1" s="1"/>
  <c r="S185" i="1"/>
  <c r="V185" i="1" s="1"/>
  <c r="S186" i="1"/>
  <c r="V186" i="1" s="1"/>
  <c r="S187" i="1"/>
  <c r="V187" i="1" s="1"/>
  <c r="S188" i="1"/>
  <c r="V188" i="1" s="1"/>
  <c r="S189" i="1"/>
  <c r="V189" i="1" s="1"/>
  <c r="S190" i="1"/>
  <c r="V190" i="1" s="1"/>
  <c r="S191" i="1"/>
  <c r="V191" i="1" s="1"/>
  <c r="S192" i="1"/>
  <c r="V192" i="1" s="1"/>
  <c r="S193" i="1"/>
  <c r="V193" i="1" s="1"/>
  <c r="S194" i="1"/>
  <c r="V194" i="1" s="1"/>
  <c r="S195" i="1"/>
  <c r="V195" i="1" s="1"/>
  <c r="S196" i="1"/>
  <c r="V196" i="1" s="1"/>
  <c r="S197" i="1"/>
  <c r="V197" i="1" s="1"/>
  <c r="S198" i="1"/>
  <c r="V198" i="1" s="1"/>
  <c r="S199" i="1"/>
  <c r="V199" i="1" s="1"/>
  <c r="S200" i="1"/>
  <c r="V200" i="1" s="1"/>
  <c r="S201" i="1"/>
  <c r="V201" i="1" s="1"/>
  <c r="S202" i="1"/>
  <c r="V202" i="1" s="1"/>
  <c r="S203" i="1"/>
  <c r="V203" i="1" s="1"/>
  <c r="S204" i="1"/>
  <c r="V204" i="1" s="1"/>
  <c r="S205" i="1"/>
  <c r="V205" i="1" s="1"/>
  <c r="S206" i="1"/>
  <c r="V206" i="1" s="1"/>
  <c r="S207" i="1"/>
  <c r="V207" i="1" s="1"/>
  <c r="S208" i="1"/>
  <c r="V208" i="1" s="1"/>
  <c r="S209" i="1"/>
  <c r="V209" i="1" s="1"/>
  <c r="S210" i="1"/>
  <c r="V210" i="1" s="1"/>
  <c r="S211" i="1"/>
  <c r="V211" i="1" s="1"/>
  <c r="S212" i="1"/>
  <c r="V212" i="1" s="1"/>
  <c r="S213" i="1"/>
  <c r="V213" i="1" s="1"/>
  <c r="S214" i="1"/>
  <c r="V214" i="1" s="1"/>
  <c r="S215" i="1"/>
  <c r="V215" i="1" s="1"/>
  <c r="S216" i="1"/>
  <c r="V216" i="1" s="1"/>
  <c r="S217" i="1"/>
  <c r="V217" i="1" s="1"/>
  <c r="S218" i="1"/>
  <c r="V218" i="1" s="1"/>
  <c r="S219" i="1"/>
  <c r="V219" i="1" s="1"/>
  <c r="S220" i="1"/>
  <c r="V220" i="1" s="1"/>
  <c r="S221" i="1"/>
  <c r="V221" i="1" s="1"/>
  <c r="S222" i="1"/>
  <c r="V222" i="1" s="1"/>
  <c r="S223" i="1"/>
  <c r="V223" i="1" s="1"/>
  <c r="S224" i="1"/>
  <c r="V224" i="1" s="1"/>
  <c r="S225" i="1"/>
  <c r="V225" i="1" s="1"/>
  <c r="S226" i="1"/>
  <c r="V226" i="1" s="1"/>
  <c r="S227" i="1"/>
  <c r="V227" i="1" s="1"/>
  <c r="S228" i="1"/>
  <c r="V228" i="1" s="1"/>
  <c r="S229" i="1"/>
  <c r="V229" i="1" s="1"/>
  <c r="S230" i="1"/>
  <c r="V230" i="1" s="1"/>
  <c r="S231" i="1"/>
  <c r="V231" i="1" s="1"/>
  <c r="S232" i="1"/>
  <c r="V232" i="1" s="1"/>
  <c r="S233" i="1"/>
  <c r="V233" i="1" s="1"/>
  <c r="S234" i="1"/>
  <c r="V234" i="1" s="1"/>
  <c r="S235" i="1"/>
  <c r="V235" i="1" s="1"/>
  <c r="S236" i="1"/>
  <c r="V236" i="1" s="1"/>
  <c r="S237" i="1"/>
  <c r="V237" i="1" s="1"/>
  <c r="S238" i="1"/>
  <c r="V238" i="1" s="1"/>
  <c r="S239" i="1"/>
  <c r="V239" i="1" s="1"/>
  <c r="S240" i="1"/>
  <c r="V240" i="1" s="1"/>
  <c r="S241" i="1"/>
  <c r="V241" i="1" s="1"/>
  <c r="S242" i="1"/>
  <c r="V242" i="1" s="1"/>
  <c r="S243" i="1"/>
  <c r="V243" i="1" s="1"/>
  <c r="S244" i="1"/>
  <c r="V244" i="1" s="1"/>
  <c r="S245" i="1"/>
  <c r="V245" i="1" s="1"/>
  <c r="S246" i="1"/>
  <c r="V246" i="1" s="1"/>
  <c r="S247" i="1"/>
  <c r="V247" i="1" s="1"/>
  <c r="S248" i="1"/>
  <c r="V248" i="1" s="1"/>
  <c r="S249" i="1"/>
  <c r="V249" i="1" s="1"/>
  <c r="S250" i="1"/>
  <c r="V250" i="1" s="1"/>
  <c r="S251" i="1"/>
  <c r="V251" i="1" s="1"/>
  <c r="S252" i="1"/>
  <c r="V252" i="1" s="1"/>
  <c r="S253" i="1"/>
  <c r="V253" i="1" s="1"/>
  <c r="S254" i="1"/>
  <c r="V254" i="1" s="1"/>
  <c r="S255" i="1"/>
  <c r="V255" i="1" s="1"/>
  <c r="S256" i="1"/>
  <c r="V256" i="1" s="1"/>
  <c r="S257" i="1"/>
  <c r="V257" i="1" s="1"/>
  <c r="S258" i="1"/>
  <c r="V258" i="1" s="1"/>
  <c r="S259" i="1"/>
  <c r="V259" i="1" s="1"/>
  <c r="S260" i="1"/>
  <c r="V260" i="1" s="1"/>
  <c r="S261" i="1"/>
  <c r="V261" i="1" s="1"/>
  <c r="S262" i="1"/>
  <c r="V262" i="1" s="1"/>
  <c r="S263" i="1"/>
  <c r="V263" i="1" s="1"/>
  <c r="S264" i="1"/>
  <c r="V264" i="1" s="1"/>
  <c r="S265" i="1"/>
  <c r="V265" i="1" s="1"/>
  <c r="S266" i="1"/>
  <c r="V266" i="1" s="1"/>
  <c r="S267" i="1"/>
  <c r="V267" i="1" s="1"/>
  <c r="S268" i="1"/>
  <c r="V268" i="1" s="1"/>
  <c r="S269" i="1"/>
  <c r="V269" i="1" s="1"/>
  <c r="S270" i="1"/>
  <c r="V270" i="1" s="1"/>
  <c r="S271" i="1"/>
  <c r="V271" i="1" s="1"/>
  <c r="S272" i="1"/>
  <c r="V272" i="1" s="1"/>
  <c r="S273" i="1"/>
  <c r="V273" i="1" s="1"/>
  <c r="S274" i="1"/>
  <c r="V274" i="1" s="1"/>
  <c r="S275" i="1"/>
  <c r="V275" i="1" s="1"/>
  <c r="S276" i="1"/>
  <c r="V276" i="1" s="1"/>
  <c r="S277" i="1"/>
  <c r="V277" i="1" s="1"/>
  <c r="S278" i="1"/>
  <c r="V278" i="1" s="1"/>
  <c r="S279" i="1"/>
  <c r="V279" i="1" s="1"/>
  <c r="S280" i="1"/>
  <c r="V280" i="1" s="1"/>
  <c r="S281" i="1"/>
  <c r="V281" i="1" s="1"/>
  <c r="S282" i="1"/>
  <c r="V282" i="1" s="1"/>
  <c r="S283" i="1"/>
  <c r="V283" i="1" s="1"/>
  <c r="S284" i="1"/>
  <c r="V284" i="1" s="1"/>
  <c r="S285" i="1"/>
  <c r="V285" i="1" s="1"/>
  <c r="S286" i="1"/>
  <c r="V286" i="1" s="1"/>
  <c r="S287" i="1"/>
  <c r="V287" i="1" s="1"/>
  <c r="S288" i="1"/>
  <c r="V288" i="1" s="1"/>
  <c r="S289" i="1"/>
  <c r="V289" i="1" s="1"/>
  <c r="S290" i="1"/>
  <c r="V290" i="1" s="1"/>
  <c r="S291" i="1"/>
  <c r="V291" i="1" s="1"/>
  <c r="S292" i="1"/>
  <c r="V292" i="1" s="1"/>
  <c r="S293" i="1"/>
  <c r="V293" i="1" s="1"/>
  <c r="S294" i="1"/>
  <c r="V294" i="1" s="1"/>
  <c r="S295" i="1"/>
  <c r="V295" i="1" s="1"/>
  <c r="S296" i="1"/>
  <c r="V296" i="1" s="1"/>
  <c r="S297" i="1"/>
  <c r="V297" i="1" s="1"/>
  <c r="S298" i="1"/>
  <c r="V298" i="1" s="1"/>
  <c r="S299" i="1"/>
  <c r="V299" i="1" s="1"/>
  <c r="S300" i="1"/>
  <c r="V300" i="1" s="1"/>
  <c r="S301" i="1"/>
  <c r="V301" i="1" s="1"/>
  <c r="S302" i="1"/>
  <c r="V302" i="1" s="1"/>
  <c r="S303" i="1"/>
  <c r="V303" i="1" s="1"/>
  <c r="S304" i="1"/>
  <c r="V304" i="1" s="1"/>
  <c r="S305" i="1"/>
  <c r="V305" i="1" s="1"/>
  <c r="S306" i="1"/>
  <c r="V306" i="1" s="1"/>
  <c r="S307" i="1"/>
  <c r="V307" i="1" s="1"/>
  <c r="S308" i="1"/>
  <c r="V308" i="1" s="1"/>
  <c r="S309" i="1"/>
  <c r="V309" i="1" s="1"/>
  <c r="S310" i="1"/>
  <c r="V310" i="1" s="1"/>
  <c r="S311" i="1"/>
  <c r="V311" i="1" s="1"/>
  <c r="S312" i="1"/>
  <c r="V312" i="1" s="1"/>
  <c r="S313" i="1"/>
  <c r="V313" i="1" s="1"/>
  <c r="S314" i="1"/>
  <c r="V314" i="1" s="1"/>
  <c r="S315" i="1"/>
  <c r="V315" i="1" s="1"/>
  <c r="S316" i="1"/>
  <c r="V316" i="1" s="1"/>
  <c r="S317" i="1"/>
  <c r="V317" i="1" s="1"/>
  <c r="S318" i="1"/>
  <c r="V318" i="1" s="1"/>
  <c r="S319" i="1"/>
  <c r="V319" i="1" s="1"/>
  <c r="S320" i="1"/>
  <c r="V320" i="1" s="1"/>
  <c r="S321" i="1"/>
  <c r="V321" i="1" s="1"/>
  <c r="S322" i="1"/>
  <c r="V322" i="1" s="1"/>
  <c r="S323" i="1"/>
  <c r="V323" i="1" s="1"/>
  <c r="S324" i="1"/>
  <c r="V324" i="1" s="1"/>
  <c r="S325" i="1"/>
  <c r="V325" i="1" s="1"/>
  <c r="S326" i="1"/>
  <c r="V326" i="1" s="1"/>
  <c r="S327" i="1"/>
  <c r="V327" i="1" s="1"/>
  <c r="S328" i="1"/>
  <c r="V328" i="1" s="1"/>
  <c r="S329" i="1"/>
  <c r="V329" i="1" s="1"/>
  <c r="S330" i="1"/>
  <c r="V330" i="1" s="1"/>
  <c r="S331" i="1"/>
  <c r="V331" i="1" s="1"/>
  <c r="S332" i="1"/>
  <c r="V332" i="1" s="1"/>
  <c r="S333" i="1"/>
  <c r="V333" i="1" s="1"/>
  <c r="S334" i="1"/>
  <c r="V334" i="1" s="1"/>
  <c r="S335" i="1"/>
  <c r="V335" i="1" s="1"/>
  <c r="S336" i="1"/>
  <c r="V336" i="1" s="1"/>
  <c r="S337" i="1"/>
  <c r="V337" i="1" s="1"/>
  <c r="S338" i="1"/>
  <c r="V338" i="1" s="1"/>
  <c r="S339" i="1"/>
  <c r="V339" i="1" s="1"/>
  <c r="S340" i="1"/>
  <c r="V340" i="1" s="1"/>
  <c r="S341" i="1"/>
  <c r="V341" i="1" s="1"/>
  <c r="S342" i="1"/>
  <c r="V342" i="1" s="1"/>
  <c r="S343" i="1"/>
  <c r="V343" i="1" s="1"/>
  <c r="S344" i="1"/>
  <c r="V344" i="1" s="1"/>
  <c r="S345" i="1"/>
  <c r="V345" i="1" s="1"/>
  <c r="S346" i="1"/>
  <c r="V346" i="1" s="1"/>
  <c r="S347" i="1"/>
  <c r="V347" i="1" s="1"/>
  <c r="S348" i="1"/>
  <c r="V348" i="1" s="1"/>
  <c r="S349" i="1"/>
  <c r="V349" i="1" s="1"/>
  <c r="S350" i="1"/>
  <c r="V350" i="1" s="1"/>
  <c r="S351" i="1"/>
  <c r="V351" i="1" s="1"/>
  <c r="S352" i="1"/>
  <c r="V352" i="1" s="1"/>
  <c r="S353" i="1"/>
  <c r="V353" i="1" s="1"/>
  <c r="S354" i="1"/>
  <c r="V354" i="1" s="1"/>
  <c r="S355" i="1"/>
  <c r="V355" i="1" s="1"/>
  <c r="S356" i="1"/>
  <c r="V356" i="1" s="1"/>
  <c r="S357" i="1"/>
  <c r="V357" i="1" s="1"/>
  <c r="S358" i="1"/>
  <c r="V358" i="1" s="1"/>
  <c r="S359" i="1"/>
  <c r="V359" i="1" s="1"/>
  <c r="S360" i="1"/>
  <c r="V360" i="1" s="1"/>
  <c r="S361" i="1"/>
  <c r="V361" i="1" s="1"/>
  <c r="S362" i="1"/>
  <c r="V362" i="1" s="1"/>
  <c r="S363" i="1"/>
  <c r="V363" i="1" s="1"/>
  <c r="S364" i="1"/>
  <c r="V364" i="1" s="1"/>
  <c r="S365" i="1"/>
  <c r="V365" i="1" s="1"/>
  <c r="S366" i="1"/>
  <c r="V366" i="1" s="1"/>
  <c r="S367" i="1"/>
  <c r="V367" i="1" s="1"/>
  <c r="S368" i="1"/>
  <c r="V368" i="1" s="1"/>
  <c r="S369" i="1"/>
  <c r="V369" i="1" s="1"/>
  <c r="S370" i="1"/>
  <c r="V370" i="1" s="1"/>
  <c r="S371" i="1"/>
  <c r="V371" i="1" s="1"/>
  <c r="S372" i="1"/>
  <c r="V372" i="1" s="1"/>
  <c r="S373" i="1"/>
  <c r="V373" i="1" s="1"/>
  <c r="S374" i="1"/>
  <c r="V374" i="1" s="1"/>
  <c r="S375" i="1"/>
  <c r="V375" i="1" s="1"/>
  <c r="S376" i="1"/>
  <c r="V376" i="1" s="1"/>
  <c r="S377" i="1"/>
  <c r="V377" i="1" s="1"/>
  <c r="S378" i="1"/>
  <c r="V378" i="1" s="1"/>
  <c r="S379" i="1"/>
  <c r="V379" i="1" s="1"/>
  <c r="S380" i="1"/>
  <c r="V380" i="1" s="1"/>
  <c r="S381" i="1"/>
  <c r="V381" i="1" s="1"/>
  <c r="S382" i="1"/>
  <c r="V382" i="1" s="1"/>
  <c r="S383" i="1"/>
  <c r="V383" i="1" s="1"/>
  <c r="S384" i="1"/>
  <c r="V384" i="1" s="1"/>
  <c r="S385" i="1"/>
  <c r="V385" i="1" s="1"/>
  <c r="S386" i="1"/>
  <c r="V386" i="1" s="1"/>
  <c r="S387" i="1"/>
  <c r="V387" i="1" s="1"/>
  <c r="S388" i="1"/>
  <c r="V388" i="1" s="1"/>
  <c r="S389" i="1"/>
  <c r="V389" i="1" s="1"/>
  <c r="S390" i="1"/>
  <c r="V390" i="1" s="1"/>
  <c r="S391" i="1"/>
  <c r="V391" i="1" s="1"/>
  <c r="S392" i="1"/>
  <c r="V392" i="1" s="1"/>
  <c r="S393" i="1"/>
  <c r="V393" i="1" s="1"/>
  <c r="S394" i="1"/>
  <c r="V394" i="1" s="1"/>
  <c r="S395" i="1"/>
  <c r="V395" i="1" s="1"/>
  <c r="S396" i="1"/>
  <c r="V396" i="1" s="1"/>
  <c r="S397" i="1"/>
  <c r="V397" i="1" s="1"/>
  <c r="S398" i="1"/>
  <c r="V398" i="1" s="1"/>
  <c r="S399" i="1"/>
  <c r="V399" i="1" s="1"/>
  <c r="S400" i="1"/>
  <c r="V400" i="1" s="1"/>
  <c r="S401" i="1"/>
  <c r="V401" i="1" s="1"/>
  <c r="S402" i="1"/>
  <c r="V402" i="1" s="1"/>
  <c r="S403" i="1"/>
  <c r="V403" i="1" s="1"/>
  <c r="S404" i="1"/>
  <c r="V404" i="1" s="1"/>
  <c r="S405" i="1"/>
  <c r="V405" i="1" s="1"/>
  <c r="S406" i="1"/>
  <c r="V406" i="1" s="1"/>
  <c r="S407" i="1"/>
  <c r="V407" i="1" s="1"/>
  <c r="S408" i="1"/>
  <c r="V408" i="1" s="1"/>
  <c r="S409" i="1"/>
  <c r="V409" i="1" s="1"/>
  <c r="S410" i="1"/>
  <c r="V410" i="1" s="1"/>
  <c r="S411" i="1"/>
  <c r="V411" i="1" s="1"/>
  <c r="S412" i="1"/>
  <c r="V412" i="1" s="1"/>
  <c r="S413" i="1"/>
  <c r="V413" i="1" s="1"/>
  <c r="S414" i="1"/>
  <c r="V414" i="1" s="1"/>
  <c r="S415" i="1"/>
  <c r="V415" i="1" s="1"/>
  <c r="S416" i="1"/>
  <c r="V416" i="1" s="1"/>
  <c r="S417" i="1"/>
  <c r="V417" i="1" s="1"/>
  <c r="S418" i="1"/>
  <c r="V418" i="1" s="1"/>
  <c r="S419" i="1"/>
  <c r="V419" i="1" s="1"/>
  <c r="S420" i="1"/>
  <c r="V420" i="1" s="1"/>
  <c r="S421" i="1"/>
  <c r="V421" i="1" s="1"/>
  <c r="S422" i="1"/>
  <c r="V422" i="1" s="1"/>
  <c r="S423" i="1"/>
  <c r="V423" i="1" s="1"/>
  <c r="S424" i="1"/>
  <c r="V424" i="1" s="1"/>
  <c r="S425" i="1"/>
  <c r="V425" i="1" s="1"/>
  <c r="S426" i="1"/>
  <c r="V426" i="1" s="1"/>
  <c r="S427" i="1"/>
  <c r="V427" i="1" s="1"/>
  <c r="S428" i="1"/>
  <c r="V428" i="1" s="1"/>
  <c r="S429" i="1"/>
  <c r="V429" i="1" s="1"/>
  <c r="S430" i="1"/>
  <c r="V430" i="1" s="1"/>
  <c r="S431" i="1"/>
  <c r="V431" i="1" s="1"/>
  <c r="S432" i="1"/>
  <c r="V432" i="1" s="1"/>
  <c r="S433" i="1"/>
  <c r="V433" i="1" s="1"/>
  <c r="S434" i="1"/>
  <c r="V434" i="1" s="1"/>
  <c r="S435" i="1"/>
  <c r="V435" i="1" s="1"/>
  <c r="S436" i="1"/>
  <c r="V436" i="1" s="1"/>
  <c r="S437" i="1"/>
  <c r="V437" i="1" s="1"/>
  <c r="S438" i="1"/>
  <c r="V438" i="1" s="1"/>
  <c r="S439" i="1"/>
  <c r="V439" i="1" s="1"/>
  <c r="S440" i="1"/>
  <c r="V440" i="1" s="1"/>
  <c r="S441" i="1"/>
  <c r="V441" i="1" s="1"/>
  <c r="S442" i="1"/>
  <c r="V442" i="1" s="1"/>
  <c r="S443" i="1"/>
  <c r="V443" i="1" s="1"/>
  <c r="S444" i="1"/>
  <c r="V444" i="1" s="1"/>
  <c r="S445" i="1"/>
  <c r="V445" i="1" s="1"/>
  <c r="S446" i="1"/>
  <c r="V446" i="1" s="1"/>
  <c r="S447" i="1"/>
  <c r="V447" i="1" s="1"/>
  <c r="S448" i="1"/>
  <c r="V448" i="1" s="1"/>
  <c r="S449" i="1"/>
  <c r="V449" i="1" s="1"/>
  <c r="S450" i="1"/>
  <c r="V450" i="1" s="1"/>
  <c r="S451" i="1"/>
  <c r="V451" i="1" s="1"/>
  <c r="S452" i="1"/>
  <c r="V452" i="1" s="1"/>
  <c r="S453" i="1"/>
  <c r="V453" i="1" s="1"/>
  <c r="S454" i="1"/>
  <c r="V454" i="1" s="1"/>
  <c r="S455" i="1"/>
  <c r="V455" i="1" s="1"/>
  <c r="S456" i="1"/>
  <c r="V456" i="1" s="1"/>
  <c r="S457" i="1"/>
  <c r="V457" i="1" s="1"/>
  <c r="S458" i="1"/>
  <c r="V458" i="1" s="1"/>
  <c r="S459" i="1"/>
  <c r="V459" i="1" s="1"/>
  <c r="S460" i="1"/>
  <c r="V460" i="1" s="1"/>
  <c r="S461" i="1"/>
  <c r="V461" i="1" s="1"/>
  <c r="S462" i="1"/>
  <c r="V462" i="1" s="1"/>
  <c r="S463" i="1"/>
  <c r="V463" i="1" s="1"/>
  <c r="S464" i="1"/>
  <c r="V464" i="1" s="1"/>
  <c r="S465" i="1"/>
  <c r="V465" i="1" s="1"/>
  <c r="S466" i="1"/>
  <c r="V466" i="1" s="1"/>
  <c r="S467" i="1"/>
  <c r="V467" i="1" s="1"/>
  <c r="S468" i="1"/>
  <c r="V468" i="1" s="1"/>
  <c r="S469" i="1"/>
  <c r="V469" i="1" s="1"/>
  <c r="S470" i="1"/>
  <c r="V470" i="1" s="1"/>
  <c r="S471" i="1"/>
  <c r="V471" i="1" s="1"/>
  <c r="S472" i="1"/>
  <c r="V472" i="1" s="1"/>
  <c r="S473" i="1"/>
  <c r="V473" i="1" s="1"/>
  <c r="S474" i="1"/>
  <c r="V474" i="1" s="1"/>
  <c r="S475" i="1"/>
  <c r="V475" i="1" s="1"/>
  <c r="S476" i="1"/>
  <c r="V476" i="1" s="1"/>
  <c r="S477" i="1"/>
  <c r="V477" i="1" s="1"/>
  <c r="S478" i="1"/>
  <c r="V478" i="1" s="1"/>
  <c r="S479" i="1"/>
  <c r="V479" i="1" s="1"/>
  <c r="S480" i="1"/>
  <c r="V480" i="1" s="1"/>
  <c r="S481" i="1"/>
  <c r="V481" i="1" s="1"/>
  <c r="S482" i="1"/>
  <c r="V482" i="1" s="1"/>
  <c r="S483" i="1"/>
  <c r="V483" i="1" s="1"/>
  <c r="S484" i="1"/>
  <c r="V484" i="1" s="1"/>
  <c r="S485" i="1"/>
  <c r="V485" i="1" s="1"/>
  <c r="S486" i="1"/>
  <c r="V486" i="1" s="1"/>
  <c r="S487" i="1"/>
  <c r="V487" i="1" s="1"/>
  <c r="S488" i="1"/>
  <c r="V488" i="1" s="1"/>
  <c r="S489" i="1"/>
  <c r="V489" i="1" s="1"/>
  <c r="S490" i="1"/>
  <c r="V490" i="1" s="1"/>
  <c r="S491" i="1"/>
  <c r="V491" i="1" s="1"/>
  <c r="S492" i="1"/>
  <c r="V492" i="1" s="1"/>
  <c r="S493" i="1"/>
  <c r="V493" i="1" s="1"/>
  <c r="S494" i="1"/>
  <c r="V494" i="1" s="1"/>
  <c r="S495" i="1"/>
  <c r="V495" i="1" s="1"/>
  <c r="S496" i="1"/>
  <c r="V496" i="1" s="1"/>
  <c r="S497" i="1"/>
  <c r="V497" i="1" s="1"/>
  <c r="S498" i="1"/>
  <c r="V498" i="1" s="1"/>
  <c r="S499" i="1"/>
  <c r="V499" i="1" s="1"/>
  <c r="S500" i="1"/>
  <c r="V500" i="1" s="1"/>
  <c r="S501" i="1"/>
  <c r="V501" i="1" s="1"/>
  <c r="S502" i="1"/>
  <c r="V502" i="1" s="1"/>
  <c r="S503" i="1"/>
  <c r="V503" i="1" s="1"/>
  <c r="S504" i="1"/>
  <c r="V504" i="1" s="1"/>
  <c r="S505" i="1"/>
  <c r="V505" i="1" s="1"/>
  <c r="S506" i="1"/>
  <c r="V506" i="1" s="1"/>
  <c r="S507" i="1"/>
  <c r="V507" i="1" s="1"/>
  <c r="S508" i="1"/>
  <c r="V508" i="1" s="1"/>
  <c r="S509" i="1"/>
  <c r="V509" i="1" s="1"/>
  <c r="S510" i="1"/>
  <c r="V510" i="1" s="1"/>
  <c r="S511" i="1"/>
  <c r="V511" i="1" s="1"/>
  <c r="S512" i="1"/>
  <c r="V512" i="1" s="1"/>
  <c r="S513" i="1"/>
  <c r="V513" i="1" s="1"/>
  <c r="S514" i="1"/>
  <c r="V514" i="1" s="1"/>
  <c r="S515" i="1"/>
  <c r="V515" i="1" s="1"/>
  <c r="S516" i="1"/>
  <c r="V516" i="1" s="1"/>
  <c r="S517" i="1"/>
  <c r="V517" i="1" s="1"/>
  <c r="S518" i="1"/>
  <c r="V518" i="1" s="1"/>
  <c r="S519" i="1"/>
  <c r="V519" i="1" s="1"/>
  <c r="S520" i="1"/>
  <c r="V520" i="1" s="1"/>
  <c r="S521" i="1"/>
  <c r="V521" i="1" s="1"/>
  <c r="S522" i="1"/>
  <c r="V522" i="1" s="1"/>
  <c r="S523" i="1"/>
  <c r="V523" i="1" s="1"/>
  <c r="S524" i="1"/>
  <c r="V524" i="1" s="1"/>
  <c r="S525" i="1"/>
  <c r="V525" i="1" s="1"/>
  <c r="S526" i="1"/>
  <c r="V526" i="1" s="1"/>
  <c r="S527" i="1"/>
  <c r="V527" i="1" s="1"/>
  <c r="S528" i="1"/>
  <c r="V528" i="1" s="1"/>
  <c r="S529" i="1"/>
  <c r="V529" i="1" s="1"/>
  <c r="S530" i="1"/>
  <c r="V530" i="1" s="1"/>
  <c r="S531" i="1"/>
  <c r="V531" i="1" s="1"/>
  <c r="S532" i="1"/>
  <c r="V532" i="1" s="1"/>
  <c r="S533" i="1"/>
  <c r="V533" i="1" s="1"/>
  <c r="S534" i="1"/>
  <c r="V534" i="1" s="1"/>
  <c r="S535" i="1"/>
  <c r="V535" i="1" s="1"/>
  <c r="S536" i="1"/>
  <c r="V536" i="1" s="1"/>
  <c r="S537" i="1"/>
  <c r="V537" i="1" s="1"/>
  <c r="S538" i="1"/>
  <c r="V538" i="1" s="1"/>
  <c r="S539" i="1"/>
  <c r="V539" i="1" s="1"/>
  <c r="S540" i="1"/>
  <c r="V540" i="1" s="1"/>
  <c r="S541" i="1"/>
  <c r="V541" i="1" s="1"/>
  <c r="S542" i="1"/>
  <c r="V542" i="1" s="1"/>
  <c r="S543" i="1"/>
  <c r="V543" i="1" s="1"/>
  <c r="S544" i="1"/>
  <c r="V544" i="1" s="1"/>
  <c r="S545" i="1"/>
  <c r="V545" i="1" s="1"/>
  <c r="S546" i="1"/>
  <c r="V546" i="1" s="1"/>
  <c r="S547" i="1"/>
  <c r="V547" i="1" s="1"/>
  <c r="S548" i="1"/>
  <c r="V548" i="1" s="1"/>
  <c r="S549" i="1"/>
  <c r="V549" i="1" s="1"/>
  <c r="S550" i="1"/>
  <c r="V550" i="1" s="1"/>
  <c r="S551" i="1"/>
  <c r="V551" i="1" s="1"/>
  <c r="S552" i="1"/>
  <c r="V552" i="1" s="1"/>
  <c r="S553" i="1"/>
  <c r="V553" i="1" s="1"/>
  <c r="S554" i="1"/>
  <c r="V554" i="1" s="1"/>
  <c r="S555" i="1"/>
  <c r="V555" i="1" s="1"/>
  <c r="S556" i="1"/>
  <c r="V556" i="1" s="1"/>
  <c r="S557" i="1"/>
  <c r="V557" i="1" s="1"/>
  <c r="S558" i="1"/>
  <c r="V558" i="1" s="1"/>
  <c r="S559" i="1"/>
  <c r="V559" i="1" s="1"/>
  <c r="S560" i="1"/>
  <c r="V560" i="1" s="1"/>
  <c r="S561" i="1"/>
  <c r="V561" i="1" s="1"/>
  <c r="S562" i="1"/>
  <c r="V562" i="1" s="1"/>
  <c r="S563" i="1"/>
  <c r="V563" i="1" s="1"/>
  <c r="S564" i="1"/>
  <c r="V564" i="1" s="1"/>
  <c r="S565" i="1"/>
  <c r="V565" i="1" s="1"/>
  <c r="S566" i="1"/>
  <c r="V566" i="1" s="1"/>
  <c r="S567" i="1"/>
  <c r="V567" i="1" s="1"/>
  <c r="S568" i="1"/>
  <c r="V568" i="1" s="1"/>
  <c r="S569" i="1"/>
  <c r="V569" i="1" s="1"/>
  <c r="S570" i="1"/>
  <c r="V570" i="1" s="1"/>
  <c r="S571" i="1"/>
  <c r="V571" i="1" s="1"/>
  <c r="S572" i="1"/>
  <c r="V572" i="1" s="1"/>
  <c r="S573" i="1"/>
  <c r="V573" i="1" s="1"/>
  <c r="S574" i="1"/>
  <c r="V574" i="1" s="1"/>
  <c r="S575" i="1"/>
  <c r="V575" i="1" s="1"/>
  <c r="S576" i="1"/>
  <c r="V576" i="1" s="1"/>
  <c r="S577" i="1"/>
  <c r="V577" i="1" s="1"/>
  <c r="S578" i="1"/>
  <c r="V578" i="1" s="1"/>
  <c r="S579" i="1"/>
  <c r="V579" i="1" s="1"/>
  <c r="S580" i="1"/>
  <c r="V580" i="1" s="1"/>
  <c r="S581" i="1"/>
  <c r="V581" i="1" s="1"/>
  <c r="S582" i="1"/>
  <c r="V582" i="1" s="1"/>
  <c r="S583" i="1"/>
  <c r="V583" i="1" s="1"/>
  <c r="S584" i="1"/>
  <c r="V584" i="1" s="1"/>
  <c r="S585" i="1"/>
  <c r="V585" i="1" s="1"/>
  <c r="S586" i="1"/>
  <c r="V586" i="1" s="1"/>
  <c r="S587" i="1"/>
  <c r="V587" i="1" s="1"/>
  <c r="S588" i="1"/>
  <c r="V588" i="1" s="1"/>
  <c r="S589" i="1"/>
  <c r="V589" i="1" s="1"/>
  <c r="S590" i="1"/>
  <c r="V590" i="1" s="1"/>
  <c r="S591" i="1"/>
  <c r="V591" i="1" s="1"/>
  <c r="S592" i="1"/>
  <c r="V592" i="1" s="1"/>
  <c r="S593" i="1"/>
  <c r="V593" i="1" s="1"/>
  <c r="S594" i="1"/>
  <c r="V594" i="1" s="1"/>
  <c r="S595" i="1"/>
  <c r="V595" i="1" s="1"/>
  <c r="S596" i="1"/>
  <c r="V596" i="1" s="1"/>
  <c r="S597" i="1"/>
  <c r="V597" i="1" s="1"/>
  <c r="S598" i="1"/>
  <c r="V598" i="1" s="1"/>
  <c r="S599" i="1"/>
  <c r="V599" i="1" s="1"/>
  <c r="S600" i="1"/>
  <c r="V600" i="1" s="1"/>
  <c r="S601" i="1"/>
  <c r="V601" i="1" s="1"/>
  <c r="S602" i="1"/>
  <c r="V602" i="1" s="1"/>
  <c r="S603" i="1"/>
  <c r="V603" i="1" s="1"/>
  <c r="S604" i="1"/>
  <c r="V604" i="1" s="1"/>
  <c r="S605" i="1"/>
  <c r="V605" i="1" s="1"/>
  <c r="S606" i="1"/>
  <c r="V606" i="1" s="1"/>
  <c r="S607" i="1"/>
  <c r="V607" i="1" s="1"/>
  <c r="S608" i="1"/>
  <c r="V608" i="1" s="1"/>
  <c r="S609" i="1"/>
  <c r="V609" i="1" s="1"/>
  <c r="S610" i="1"/>
  <c r="V610" i="1" s="1"/>
  <c r="S611" i="1"/>
  <c r="V611" i="1" s="1"/>
  <c r="S612" i="1"/>
  <c r="V612" i="1" s="1"/>
  <c r="S613" i="1"/>
  <c r="V613" i="1" s="1"/>
  <c r="S614" i="1"/>
  <c r="V614" i="1" s="1"/>
  <c r="S615" i="1"/>
  <c r="V615" i="1" s="1"/>
  <c r="S616" i="1"/>
  <c r="V616" i="1" s="1"/>
  <c r="S617" i="1"/>
  <c r="V617" i="1" s="1"/>
  <c r="S618" i="1"/>
  <c r="V618" i="1" s="1"/>
  <c r="S619" i="1"/>
  <c r="V619" i="1" s="1"/>
  <c r="S620" i="1"/>
  <c r="V620" i="1" s="1"/>
  <c r="S621" i="1"/>
  <c r="V621" i="1" s="1"/>
  <c r="S622" i="1"/>
  <c r="V622" i="1" s="1"/>
  <c r="S623" i="1"/>
  <c r="V623" i="1" s="1"/>
  <c r="S624" i="1"/>
  <c r="V624" i="1" s="1"/>
  <c r="S625" i="1"/>
  <c r="V625" i="1" s="1"/>
  <c r="S626" i="1"/>
  <c r="V626" i="1" s="1"/>
  <c r="S627" i="1"/>
  <c r="V627" i="1" s="1"/>
  <c r="S628" i="1"/>
  <c r="V628" i="1" s="1"/>
  <c r="S629" i="1"/>
  <c r="V629" i="1" s="1"/>
  <c r="S630" i="1"/>
  <c r="V630" i="1" s="1"/>
  <c r="S631" i="1"/>
  <c r="V631" i="1" s="1"/>
  <c r="S632" i="1"/>
  <c r="V632" i="1" s="1"/>
  <c r="S633" i="1"/>
  <c r="V633" i="1" s="1"/>
  <c r="S634" i="1"/>
  <c r="V634" i="1" s="1"/>
  <c r="S635" i="1"/>
  <c r="V635" i="1" s="1"/>
  <c r="S636" i="1"/>
  <c r="V636" i="1" s="1"/>
  <c r="S637" i="1"/>
  <c r="V637" i="1" s="1"/>
  <c r="S638" i="1"/>
  <c r="V638" i="1" s="1"/>
  <c r="S639" i="1"/>
  <c r="V639" i="1" s="1"/>
  <c r="S640" i="1"/>
  <c r="V640" i="1" s="1"/>
  <c r="S641" i="1"/>
  <c r="V641" i="1" s="1"/>
  <c r="S5" i="1"/>
  <c r="V5" i="1" s="1"/>
  <c r="S6" i="1"/>
  <c r="V6" i="1" s="1"/>
  <c r="S4" i="1"/>
  <c r="V4" i="1" s="1"/>
  <c r="S3" i="1"/>
  <c r="V3" i="1" s="1"/>
  <c r="S2" i="1"/>
  <c r="V2" i="1" s="1"/>
  <c r="W2" i="1"/>
  <c r="R1909" i="3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L1934" i="3" l="1"/>
  <c r="M1934" i="3" s="1"/>
  <c r="L2020" i="3" l="1"/>
  <c r="M2020" i="3" s="1"/>
  <c r="R2006" i="3" l="1"/>
  <c r="R2078" i="3" l="1"/>
  <c r="L2090" i="3" l="1"/>
  <c r="M2090" i="3" s="1"/>
  <c r="R2163" i="3" l="1"/>
  <c r="L2182" i="3" l="1"/>
  <c r="M2182" i="3" s="1"/>
  <c r="L2277" i="3" l="1"/>
  <c r="M2277" i="3" s="1"/>
  <c r="R2253" i="3" l="1"/>
  <c r="L2354" i="3" l="1"/>
  <c r="M2354" i="3" s="1"/>
  <c r="R2344" i="3"/>
  <c r="L2433" i="3" l="1"/>
  <c r="M2433" i="3" s="1"/>
  <c r="R2421" i="3" l="1"/>
  <c r="L2505" i="3" l="1"/>
  <c r="M2505" i="3" s="1"/>
  <c r="R2497" i="3"/>
  <c r="L2589" i="3" l="1"/>
  <c r="M2589" i="3" s="1"/>
  <c r="R2551" i="3"/>
  <c r="L2673" i="3" l="1"/>
  <c r="M2673" i="3" s="1"/>
  <c r="R2666" i="3"/>
  <c r="L2727" i="3" l="1"/>
  <c r="M2727" i="3" s="1"/>
  <c r="R2708" i="3"/>
  <c r="L2848" i="3" l="1"/>
  <c r="M2848" i="3" s="1"/>
  <c r="R2830" i="3" l="1"/>
  <c r="L2927" i="3" l="1"/>
  <c r="M2927" i="3" s="1"/>
  <c r="R2916" i="3" l="1"/>
  <c r="L2997" i="3" l="1"/>
  <c r="M2997" i="3" s="1"/>
  <c r="R2989" i="3" l="1"/>
  <c r="L3063" i="3" l="1"/>
  <c r="M3063" i="3" s="1"/>
  <c r="R3047" i="3" l="1"/>
</calcChain>
</file>

<file path=xl/sharedStrings.xml><?xml version="1.0" encoding="utf-8"?>
<sst xmlns="http://schemas.openxmlformats.org/spreadsheetml/2006/main" count="215" uniqueCount="82">
  <si>
    <t>Dist (cm)</t>
  </si>
  <si>
    <t>Densidad optica</t>
  </si>
  <si>
    <t>Promedio densidad optica (2X2)</t>
  </si>
  <si>
    <t>Grosor de la cuña (cm)</t>
  </si>
  <si>
    <t>ln DO</t>
  </si>
  <si>
    <t>XD</t>
  </si>
  <si>
    <t>Grosor de lajas (cm)</t>
  </si>
  <si>
    <t>Promedio</t>
  </si>
  <si>
    <t>Densidad de la cuña (g/cm3)</t>
  </si>
  <si>
    <t xml:space="preserve">Grosor de laja  (cm) </t>
  </si>
  <si>
    <t>Ecuación Regresión Cuña</t>
  </si>
  <si>
    <t>Colectada: 6 de agosto de 1986</t>
  </si>
  <si>
    <t>Agosto</t>
  </si>
  <si>
    <t>Enero</t>
  </si>
  <si>
    <t>Febrero</t>
  </si>
  <si>
    <t>Marzo</t>
  </si>
  <si>
    <t>Abril</t>
  </si>
  <si>
    <t>Mayo</t>
  </si>
  <si>
    <t>Junio</t>
  </si>
  <si>
    <t>Julio</t>
  </si>
  <si>
    <t>Septiembre</t>
  </si>
  <si>
    <t>Octubre</t>
  </si>
  <si>
    <t>Noviembre</t>
  </si>
  <si>
    <t>Diciembre</t>
  </si>
  <si>
    <t>Celsius</t>
  </si>
  <si>
    <t>Track 1</t>
  </si>
  <si>
    <t>Distancia (cm)</t>
  </si>
  <si>
    <t>0 (tejido)</t>
  </si>
  <si>
    <t>Año</t>
  </si>
  <si>
    <t>Extensión</t>
  </si>
  <si>
    <t>Densidad</t>
  </si>
  <si>
    <t>Calcificación</t>
  </si>
  <si>
    <t>DE</t>
  </si>
  <si>
    <t>Grosor (mm)</t>
  </si>
  <si>
    <t>Distancia (mm)</t>
  </si>
  <si>
    <r>
      <t>Densidad (g cm</t>
    </r>
    <r>
      <rPr>
        <b/>
        <vertAlign val="superscript"/>
        <sz val="11"/>
        <color rgb="FFFF0000"/>
        <rFont val="Arial"/>
        <family val="2"/>
      </rPr>
      <t>-</t>
    </r>
    <r>
      <rPr>
        <b/>
        <vertAlign val="superscript"/>
        <sz val="11"/>
        <color rgb="FFFF0000"/>
        <rFont val="Times New Roman"/>
        <family val="1"/>
      </rPr>
      <t>3</t>
    </r>
    <r>
      <rPr>
        <b/>
        <sz val="11"/>
        <color rgb="FFFF0000"/>
        <rFont val="Times New Roman"/>
        <family val="1"/>
      </rPr>
      <t>) exp</t>
    </r>
  </si>
  <si>
    <t>Tasas</t>
  </si>
  <si>
    <r>
      <t>y = 0.0026e</t>
    </r>
    <r>
      <rPr>
        <vertAlign val="superscript"/>
        <sz val="11"/>
        <color theme="1"/>
        <rFont val="Calibri"/>
        <family val="2"/>
        <scheme val="minor"/>
      </rPr>
      <t>1.3248x</t>
    </r>
  </si>
  <si>
    <t>Track2</t>
  </si>
  <si>
    <t>Track3</t>
  </si>
  <si>
    <t>Track4</t>
  </si>
  <si>
    <t>Track5</t>
  </si>
  <si>
    <t>VAR 1-1-1</t>
  </si>
  <si>
    <t>VAR 1-2-1</t>
  </si>
  <si>
    <t>TOTAL</t>
  </si>
  <si>
    <t>Laja</t>
  </si>
  <si>
    <t>Numero de disepimentos por año</t>
  </si>
  <si>
    <t>Grosor (px)</t>
  </si>
  <si>
    <t>Distancia (px)</t>
  </si>
  <si>
    <t>n</t>
  </si>
  <si>
    <t>var 1-1-1</t>
  </si>
  <si>
    <t>var 1-2-1</t>
  </si>
  <si>
    <t>Num. por año</t>
  </si>
  <si>
    <t>Nuevos conteos por año</t>
  </si>
  <si>
    <t>16-20?</t>
  </si>
  <si>
    <t>17-25?</t>
  </si>
  <si>
    <t>18?</t>
  </si>
  <si>
    <t>23?</t>
  </si>
  <si>
    <t>16?</t>
  </si>
  <si>
    <t>25?</t>
  </si>
  <si>
    <t>20-25?</t>
  </si>
  <si>
    <t>26?</t>
  </si>
  <si>
    <t>Año.Mes</t>
  </si>
  <si>
    <t>HadISST</t>
  </si>
  <si>
    <t>Ano</t>
  </si>
  <si>
    <t>SST</t>
  </si>
  <si>
    <t>Extension</t>
  </si>
  <si>
    <t>Calcificacion</t>
  </si>
  <si>
    <t>Tasas-match</t>
  </si>
  <si>
    <t>BASADO EN RAYOS-X VETERINARIA</t>
  </si>
  <si>
    <t>VETERINARIA</t>
  </si>
  <si>
    <t>IMBANACO</t>
  </si>
  <si>
    <t>Densidad mensual</t>
  </si>
  <si>
    <t>Density</t>
  </si>
  <si>
    <t>Calcification</t>
  </si>
  <si>
    <t>Year</t>
  </si>
  <si>
    <t>Month</t>
  </si>
  <si>
    <t>Day</t>
  </si>
  <si>
    <t>year.month</t>
  </si>
  <si>
    <t>ExtensionSmooth</t>
  </si>
  <si>
    <t>con match: highest density = junio, lowest density = febrero</t>
  </si>
  <si>
    <t>Disepimentos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</si>
</sst>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[$-409]d\-mmm\-yy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vertAlign val="superscript"/>
      <sz val="11"/>
      <color rgb="FFFF0000"/>
      <name val="Arial"/>
      <family val="2"/>
    </font>
    <font>
      <b/>
      <vertAlign val="superscript"/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2" fontId="2" fillId="0" borderId="0" xfId="1" applyNumberFormat="1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horizontal="center"/>
    </xf>
    <xf numFmtId="164" fontId="2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14" fontId="0" fillId="0" borderId="0" xfId="0" applyNumberFormat="1"/>
    <xf numFmtId="0" fontId="7" fillId="0" borderId="0" xfId="0" applyFont="1"/>
    <xf numFmtId="0" fontId="0" fillId="0" borderId="0" xfId="0" applyAlignment="1">
      <alignment horizontal="right"/>
    </xf>
    <xf numFmtId="0" fontId="9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7" fillId="0" borderId="0" xfId="0" applyFont="1" applyAlignment="1">
      <alignment wrapText="1"/>
    </xf>
    <xf numFmtId="164" fontId="0" fillId="0" borderId="0" xfId="0" applyNumberFormat="1"/>
    <xf numFmtId="164" fontId="0" fillId="4" borderId="0" xfId="0" applyNumberFormat="1" applyFill="1"/>
    <xf numFmtId="166" fontId="0" fillId="0" borderId="0" xfId="0" applyNumberFormat="1"/>
    <xf numFmtId="16" fontId="0" fillId="0" borderId="0" xfId="0" applyNumberFormat="1"/>
    <xf numFmtId="15" fontId="0" fillId="0" borderId="0" xfId="0" applyNumberFormat="1"/>
    <xf numFmtId="0" fontId="0" fillId="5" borderId="0" xfId="0" applyFill="1" applyAlignment="1">
      <alignment horizontal="left"/>
    </xf>
    <xf numFmtId="167" fontId="0" fillId="0" borderId="0" xfId="0" applyNumberFormat="1"/>
    <xf numFmtId="165" fontId="0" fillId="0" borderId="0" xfId="0" applyNumberFormat="1"/>
    <xf numFmtId="21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Cuña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">
                <a:solidFill>
                  <a:schemeClr val="tx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C0000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39071791718730375"/>
                  <c:y val="-2.40658990891454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Cuña!$F$2:$F$213</c:f>
              <c:numCache>
                <c:formatCode>General</c:formatCode>
                <c:ptCount val="212"/>
                <c:pt idx="0">
                  <c:v>5.4847180922084888</c:v>
                </c:pt>
                <c:pt idx="1">
                  <c:v>5.4781260464876809</c:v>
                </c:pt>
                <c:pt idx="2">
                  <c:v>5.4672482786118817</c:v>
                </c:pt>
                <c:pt idx="3">
                  <c:v>5.4578378886451464</c:v>
                </c:pt>
                <c:pt idx="4">
                  <c:v>5.4516977497730297</c:v>
                </c:pt>
                <c:pt idx="5">
                  <c:v>5.448006680695185</c:v>
                </c:pt>
                <c:pt idx="6">
                  <c:v>5.4473449456765239</c:v>
                </c:pt>
                <c:pt idx="7">
                  <c:v>5.448062642532097</c:v>
                </c:pt>
                <c:pt idx="8">
                  <c:v>5.448339535791515</c:v>
                </c:pt>
                <c:pt idx="9">
                  <c:v>5.4475660512050634</c:v>
                </c:pt>
                <c:pt idx="10">
                  <c:v>5.4461294282854862</c:v>
                </c:pt>
                <c:pt idx="11">
                  <c:v>5.4443019371373698</c:v>
                </c:pt>
                <c:pt idx="12">
                  <c:v>5.4429716696122332</c:v>
                </c:pt>
                <c:pt idx="13">
                  <c:v>5.4423614318819036</c:v>
                </c:pt>
                <c:pt idx="14">
                  <c:v>5.4419183073415027</c:v>
                </c:pt>
                <c:pt idx="15">
                  <c:v>5.4401959079260083</c:v>
                </c:pt>
                <c:pt idx="16">
                  <c:v>5.4372441776894673</c:v>
                </c:pt>
                <c:pt idx="17">
                  <c:v>5.4330507448316112</c:v>
                </c:pt>
                <c:pt idx="18">
                  <c:v>5.4304137717370642</c:v>
                </c:pt>
                <c:pt idx="19">
                  <c:v>5.4286699621465333</c:v>
                </c:pt>
                <c:pt idx="20">
                  <c:v>5.4274871779574898</c:v>
                </c:pt>
                <c:pt idx="21">
                  <c:v>5.4247223851140349</c:v>
                </c:pt>
                <c:pt idx="22">
                  <c:v>5.4212707167663767</c:v>
                </c:pt>
                <c:pt idx="23">
                  <c:v>5.4181486734343167</c:v>
                </c:pt>
                <c:pt idx="24">
                  <c:v>5.4163848062022133</c:v>
                </c:pt>
                <c:pt idx="25">
                  <c:v>5.4126752839187207</c:v>
                </c:pt>
                <c:pt idx="26">
                  <c:v>5.4088370507791801</c:v>
                </c:pt>
                <c:pt idx="27">
                  <c:v>5.4038313704259435</c:v>
                </c:pt>
                <c:pt idx="28">
                  <c:v>5.3996111241436013</c:v>
                </c:pt>
                <c:pt idx="29">
                  <c:v>5.3942682501487509</c:v>
                </c:pt>
                <c:pt idx="30">
                  <c:v>5.3881352183671556</c:v>
                </c:pt>
                <c:pt idx="31">
                  <c:v>5.3824945922334626</c:v>
                </c:pt>
                <c:pt idx="32">
                  <c:v>5.3778276248032286</c:v>
                </c:pt>
                <c:pt idx="33">
                  <c:v>5.3731990869004482</c:v>
                </c:pt>
                <c:pt idx="34">
                  <c:v>5.3686686483111661</c:v>
                </c:pt>
                <c:pt idx="35">
                  <c:v>5.3632776737213703</c:v>
                </c:pt>
                <c:pt idx="36">
                  <c:v>5.3576753041056477</c:v>
                </c:pt>
                <c:pt idx="37">
                  <c:v>5.3516163980992868</c:v>
                </c:pt>
                <c:pt idx="38">
                  <c:v>5.3454585528528398</c:v>
                </c:pt>
                <c:pt idx="39">
                  <c:v>5.3399390412388561</c:v>
                </c:pt>
                <c:pt idx="40">
                  <c:v>5.3352550268003007</c:v>
                </c:pt>
                <c:pt idx="41">
                  <c:v>5.3275023125062617</c:v>
                </c:pt>
                <c:pt idx="42">
                  <c:v>5.3211936965490088</c:v>
                </c:pt>
                <c:pt idx="43">
                  <c:v>5.3150974567213831</c:v>
                </c:pt>
                <c:pt idx="44">
                  <c:v>5.3130795342663744</c:v>
                </c:pt>
                <c:pt idx="45">
                  <c:v>5.3091567410286711</c:v>
                </c:pt>
                <c:pt idx="46">
                  <c:v>5.303687919278028</c:v>
                </c:pt>
                <c:pt idx="47">
                  <c:v>5.2969063715626401</c:v>
                </c:pt>
                <c:pt idx="48">
                  <c:v>5.2910476729076885</c:v>
                </c:pt>
                <c:pt idx="49">
                  <c:v>5.2844398510567245</c:v>
                </c:pt>
                <c:pt idx="50">
                  <c:v>5.2783765297013572</c:v>
                </c:pt>
                <c:pt idx="51">
                  <c:v>5.2716174072513367</c:v>
                </c:pt>
                <c:pt idx="52">
                  <c:v>5.2657407987623515</c:v>
                </c:pt>
                <c:pt idx="53">
                  <c:v>5.2604285660052232</c:v>
                </c:pt>
                <c:pt idx="54">
                  <c:v>5.2554237833243889</c:v>
                </c:pt>
                <c:pt idx="55">
                  <c:v>5.2506613090364658</c:v>
                </c:pt>
                <c:pt idx="56">
                  <c:v>5.2461464942191274</c:v>
                </c:pt>
                <c:pt idx="57">
                  <c:v>5.2407959456525282</c:v>
                </c:pt>
                <c:pt idx="58">
                  <c:v>5.2360323044633326</c:v>
                </c:pt>
                <c:pt idx="59">
                  <c:v>5.2297351250267745</c:v>
                </c:pt>
                <c:pt idx="60">
                  <c:v>5.2229847987291773</c:v>
                </c:pt>
                <c:pt idx="61">
                  <c:v>5.2155623728388525</c:v>
                </c:pt>
                <c:pt idx="62">
                  <c:v>5.2083653063483757</c:v>
                </c:pt>
                <c:pt idx="63">
                  <c:v>5.2022450630678936</c:v>
                </c:pt>
                <c:pt idx="64">
                  <c:v>5.1973637927084164</c:v>
                </c:pt>
                <c:pt idx="65">
                  <c:v>5.1908175271310704</c:v>
                </c:pt>
                <c:pt idx="66">
                  <c:v>5.1851617329333921</c:v>
                </c:pt>
                <c:pt idx="67">
                  <c:v>5.1782473427266922</c:v>
                </c:pt>
                <c:pt idx="68">
                  <c:v>5.1724498644802699</c:v>
                </c:pt>
                <c:pt idx="69">
                  <c:v>5.1647135903515053</c:v>
                </c:pt>
                <c:pt idx="70">
                  <c:v>5.1561775993869139</c:v>
                </c:pt>
                <c:pt idx="71">
                  <c:v>5.1478665006272672</c:v>
                </c:pt>
                <c:pt idx="72">
                  <c:v>5.1411390525027478</c:v>
                </c:pt>
                <c:pt idx="73">
                  <c:v>5.1345918270361546</c:v>
                </c:pt>
                <c:pt idx="74">
                  <c:v>5.1292930088377284</c:v>
                </c:pt>
                <c:pt idx="75">
                  <c:v>5.1232772357122736</c:v>
                </c:pt>
                <c:pt idx="76">
                  <c:v>5.1178401079900642</c:v>
                </c:pt>
                <c:pt idx="77">
                  <c:v>5.1109812578782661</c:v>
                </c:pt>
                <c:pt idx="78">
                  <c:v>5.1022071820551718</c:v>
                </c:pt>
                <c:pt idx="79">
                  <c:v>5.0927251357297258</c:v>
                </c:pt>
                <c:pt idx="80">
                  <c:v>5.0844246440667487</c:v>
                </c:pt>
                <c:pt idx="81">
                  <c:v>5.0776540701903086</c:v>
                </c:pt>
                <c:pt idx="82">
                  <c:v>5.0716425877825095</c:v>
                </c:pt>
                <c:pt idx="83">
                  <c:v>5.0641360391597035</c:v>
                </c:pt>
                <c:pt idx="84">
                  <c:v>5.0560016141772595</c:v>
                </c:pt>
                <c:pt idx="85">
                  <c:v>5.0475520731792383</c:v>
                </c:pt>
                <c:pt idx="86">
                  <c:v>5.0398617865443347</c:v>
                </c:pt>
                <c:pt idx="87">
                  <c:v>5.0327815781110177</c:v>
                </c:pt>
                <c:pt idx="88">
                  <c:v>5.0267448358293239</c:v>
                </c:pt>
                <c:pt idx="89">
                  <c:v>5.01812936548796</c:v>
                </c:pt>
                <c:pt idx="90">
                  <c:v>5.0101218289622595</c:v>
                </c:pt>
                <c:pt idx="91">
                  <c:v>5.0009283336261134</c:v>
                </c:pt>
                <c:pt idx="92">
                  <c:v>4.9935659945207167</c:v>
                </c:pt>
                <c:pt idx="93">
                  <c:v>4.9838691443238847</c:v>
                </c:pt>
                <c:pt idx="94">
                  <c:v>4.9739897512328115</c:v>
                </c:pt>
                <c:pt idx="95">
                  <c:v>4.9647263086755906</c:v>
                </c:pt>
                <c:pt idx="96">
                  <c:v>4.9581717245605148</c:v>
                </c:pt>
                <c:pt idx="97">
                  <c:v>4.9493956220640971</c:v>
                </c:pt>
                <c:pt idx="98">
                  <c:v>4.9412756887039784</c:v>
                </c:pt>
                <c:pt idx="99">
                  <c:v>4.9314261278194351</c:v>
                </c:pt>
                <c:pt idx="100">
                  <c:v>4.9235317916510857</c:v>
                </c:pt>
                <c:pt idx="101">
                  <c:v>4.9143519742780777</c:v>
                </c:pt>
                <c:pt idx="102">
                  <c:v>4.905180946875892</c:v>
                </c:pt>
                <c:pt idx="103">
                  <c:v>4.8967870071530335</c:v>
                </c:pt>
                <c:pt idx="104">
                  <c:v>4.8896722074332413</c:v>
                </c:pt>
                <c:pt idx="105">
                  <c:v>4.8822184190479545</c:v>
                </c:pt>
                <c:pt idx="106">
                  <c:v>4.8755891039514108</c:v>
                </c:pt>
                <c:pt idx="107">
                  <c:v>4.8675370145548591</c:v>
                </c:pt>
                <c:pt idx="108">
                  <c:v>4.8597142083261291</c:v>
                </c:pt>
                <c:pt idx="109">
                  <c:v>4.8494227005125365</c:v>
                </c:pt>
                <c:pt idx="110">
                  <c:v>4.8397336149052252</c:v>
                </c:pt>
                <c:pt idx="111">
                  <c:v>4.8313836868479889</c:v>
                </c:pt>
                <c:pt idx="112">
                  <c:v>4.8257451078631322</c:v>
                </c:pt>
                <c:pt idx="113">
                  <c:v>4.8173822052286202</c:v>
                </c:pt>
                <c:pt idx="114">
                  <c:v>4.8086360621992705</c:v>
                </c:pt>
                <c:pt idx="115">
                  <c:v>4.7987530950590642</c:v>
                </c:pt>
                <c:pt idx="116">
                  <c:v>4.7914367288595674</c:v>
                </c:pt>
                <c:pt idx="117">
                  <c:v>4.7823479807358815</c:v>
                </c:pt>
                <c:pt idx="118">
                  <c:v>4.7711167344825132</c:v>
                </c:pt>
                <c:pt idx="119">
                  <c:v>4.7579999938479336</c:v>
                </c:pt>
                <c:pt idx="120">
                  <c:v>4.7466031951212537</c:v>
                </c:pt>
                <c:pt idx="121">
                  <c:v>4.7321434543819825</c:v>
                </c:pt>
                <c:pt idx="122">
                  <c:v>4.7199858604166725</c:v>
                </c:pt>
                <c:pt idx="123">
                  <c:v>4.7072182214360465</c:v>
                </c:pt>
                <c:pt idx="124">
                  <c:v>4.699197725378963</c:v>
                </c:pt>
                <c:pt idx="125">
                  <c:v>4.6889934307250289</c:v>
                </c:pt>
                <c:pt idx="126">
                  <c:v>4.6786808369238662</c:v>
                </c:pt>
                <c:pt idx="127">
                  <c:v>4.6683828285369904</c:v>
                </c:pt>
                <c:pt idx="128">
                  <c:v>4.660286330630063</c:v>
                </c:pt>
                <c:pt idx="129">
                  <c:v>4.6473448652177316</c:v>
                </c:pt>
                <c:pt idx="130">
                  <c:v>4.6347289882296359</c:v>
                </c:pt>
                <c:pt idx="131">
                  <c:v>4.620186869098184</c:v>
                </c:pt>
                <c:pt idx="132">
                  <c:v>4.6100316830716199</c:v>
                </c:pt>
                <c:pt idx="133">
                  <c:v>4.598353672927816</c:v>
                </c:pt>
                <c:pt idx="134">
                  <c:v>4.587318454456649</c:v>
                </c:pt>
                <c:pt idx="135">
                  <c:v>4.57721642830644</c:v>
                </c:pt>
                <c:pt idx="136">
                  <c:v>4.5670147718689122</c:v>
                </c:pt>
                <c:pt idx="137">
                  <c:v>4.5550901903435683</c:v>
                </c:pt>
                <c:pt idx="138">
                  <c:v>4.5435677946441242</c:v>
                </c:pt>
                <c:pt idx="139">
                  <c:v>4.5328754407393008</c:v>
                </c:pt>
                <c:pt idx="140">
                  <c:v>4.5230450337534318</c:v>
                </c:pt>
                <c:pt idx="141">
                  <c:v>4.5094519229291201</c:v>
                </c:pt>
                <c:pt idx="142">
                  <c:v>4.4953850814427696</c:v>
                </c:pt>
                <c:pt idx="143">
                  <c:v>4.4822791265629727</c:v>
                </c:pt>
                <c:pt idx="144">
                  <c:v>4.4729598251785907</c:v>
                </c:pt>
                <c:pt idx="145">
                  <c:v>4.4604449468079883</c:v>
                </c:pt>
                <c:pt idx="146">
                  <c:v>4.4479197067429759</c:v>
                </c:pt>
                <c:pt idx="147">
                  <c:v>4.4318876538448064</c:v>
                </c:pt>
                <c:pt idx="148">
                  <c:v>4.4183786537226846</c:v>
                </c:pt>
                <c:pt idx="149">
                  <c:v>4.4039022751913208</c:v>
                </c:pt>
                <c:pt idx="150">
                  <c:v>4.3909615987314607</c:v>
                </c:pt>
                <c:pt idx="151">
                  <c:v>4.3783365011649815</c:v>
                </c:pt>
                <c:pt idx="152">
                  <c:v>4.3676614476691054</c:v>
                </c:pt>
                <c:pt idx="153">
                  <c:v>4.3534170900780369</c:v>
                </c:pt>
                <c:pt idx="154">
                  <c:v>4.3406359020638865</c:v>
                </c:pt>
                <c:pt idx="155">
                  <c:v>4.3263377288132929</c:v>
                </c:pt>
                <c:pt idx="156">
                  <c:v>4.3152634185141991</c:v>
                </c:pt>
                <c:pt idx="157">
                  <c:v>4.3018103008170803</c:v>
                </c:pt>
                <c:pt idx="158">
                  <c:v>4.2878212610131001</c:v>
                </c:pt>
                <c:pt idx="159">
                  <c:v>4.2739912484410834</c:v>
                </c:pt>
                <c:pt idx="160">
                  <c:v>4.2630413140625025</c:v>
                </c:pt>
                <c:pt idx="161">
                  <c:v>4.2479474730036655</c:v>
                </c:pt>
                <c:pt idx="162">
                  <c:v>4.2337344547189577</c:v>
                </c:pt>
                <c:pt idx="163">
                  <c:v>4.2168669665911827</c:v>
                </c:pt>
                <c:pt idx="164">
                  <c:v>4.2052695673523388</c:v>
                </c:pt>
                <c:pt idx="165">
                  <c:v>4.1912090889586624</c:v>
                </c:pt>
                <c:pt idx="166">
                  <c:v>4.1781289789121043</c:v>
                </c:pt>
                <c:pt idx="167">
                  <c:v>4.1636788568990024</c:v>
                </c:pt>
                <c:pt idx="168">
                  <c:v>4.1514440237071097</c:v>
                </c:pt>
                <c:pt idx="169">
                  <c:v>4.1310514345628793</c:v>
                </c:pt>
                <c:pt idx="170">
                  <c:v>4.1119224944961692</c:v>
                </c:pt>
                <c:pt idx="171">
                  <c:v>4.0904927089063543</c:v>
                </c:pt>
                <c:pt idx="172">
                  <c:v>4.0742779000717864</c:v>
                </c:pt>
                <c:pt idx="173">
                  <c:v>4.0540143449077588</c:v>
                </c:pt>
                <c:pt idx="174">
                  <c:v>4.0319666682107158</c:v>
                </c:pt>
                <c:pt idx="175">
                  <c:v>4.0108180152438075</c:v>
                </c:pt>
                <c:pt idx="176">
                  <c:v>3.9932465540959887</c:v>
                </c:pt>
                <c:pt idx="177">
                  <c:v>3.9693228907420153</c:v>
                </c:pt>
                <c:pt idx="178">
                  <c:v>3.9500121913321808</c:v>
                </c:pt>
                <c:pt idx="179">
                  <c:v>3.9270364048811648</c:v>
                </c:pt>
                <c:pt idx="180">
                  <c:v>3.9097136743077976</c:v>
                </c:pt>
                <c:pt idx="181">
                  <c:v>3.8818318032639163</c:v>
                </c:pt>
                <c:pt idx="182">
                  <c:v>3.8523296165463639</c:v>
                </c:pt>
                <c:pt idx="183">
                  <c:v>3.8252952245849636</c:v>
                </c:pt>
                <c:pt idx="184">
                  <c:v>3.8069513369388486</c:v>
                </c:pt>
                <c:pt idx="185">
                  <c:v>3.7771802771883052</c:v>
                </c:pt>
                <c:pt idx="186">
                  <c:v>3.7507190238566612</c:v>
                </c:pt>
                <c:pt idx="187">
                  <c:v>3.7185676978157614</c:v>
                </c:pt>
                <c:pt idx="188">
                  <c:v>3.6939996568085078</c:v>
                </c:pt>
                <c:pt idx="189">
                  <c:v>3.6605999998243646</c:v>
                </c:pt>
                <c:pt idx="190">
                  <c:v>3.619886582626985</c:v>
                </c:pt>
                <c:pt idx="191">
                  <c:v>3.5835189384561099</c:v>
                </c:pt>
                <c:pt idx="192">
                  <c:v>3.5553480614894135</c:v>
                </c:pt>
                <c:pt idx="193">
                  <c:v>3.5240932504090421</c:v>
                </c:pt>
                <c:pt idx="194">
                  <c:v>3.4933916007882226</c:v>
                </c:pt>
                <c:pt idx="195">
                  <c:v>3.4552646029324312</c:v>
                </c:pt>
                <c:pt idx="196">
                  <c:v>3.4223498600265501</c:v>
                </c:pt>
                <c:pt idx="197">
                  <c:v>3.3848308442418573</c:v>
                </c:pt>
                <c:pt idx="198">
                  <c:v>3.3399600721909661</c:v>
                </c:pt>
                <c:pt idx="199">
                  <c:v>3.2906009603201287</c:v>
                </c:pt>
                <c:pt idx="200">
                  <c:v>3.2451931331855741</c:v>
                </c:pt>
                <c:pt idx="201">
                  <c:v>3.1817829795309094</c:v>
                </c:pt>
                <c:pt idx="202">
                  <c:v>3.13492883874228</c:v>
                </c:pt>
                <c:pt idx="203">
                  <c:v>3.0810839406534947</c:v>
                </c:pt>
                <c:pt idx="204">
                  <c:v>3.044522437723423</c:v>
                </c:pt>
                <c:pt idx="205">
                  <c:v>2.9808724106469673</c:v>
                </c:pt>
                <c:pt idx="206">
                  <c:v>2.9094115670874636</c:v>
                </c:pt>
                <c:pt idx="207">
                  <c:v>2.8369709811690496</c:v>
                </c:pt>
                <c:pt idx="208">
                  <c:v>2.790858312289525</c:v>
                </c:pt>
                <c:pt idx="209">
                  <c:v>2.7012046011358506</c:v>
                </c:pt>
                <c:pt idx="210">
                  <c:v>2.5500699756944134</c:v>
                </c:pt>
                <c:pt idx="211">
                  <c:v>2.2099945449696849</c:v>
                </c:pt>
              </c:numCache>
            </c:numRef>
          </c:xVal>
          <c:yVal>
            <c:numRef>
              <c:f>Cuña!$G$2:$G$213</c:f>
              <c:numCache>
                <c:formatCode>General</c:formatCode>
                <c:ptCount val="212"/>
                <c:pt idx="0">
                  <c:v>3.4241121000000003</c:v>
                </c:pt>
                <c:pt idx="1">
                  <c:v>3.4079606278301888</c:v>
                </c:pt>
                <c:pt idx="2">
                  <c:v>3.3918091556603773</c:v>
                </c:pt>
                <c:pt idx="3">
                  <c:v>3.3756576834905658</c:v>
                </c:pt>
                <c:pt idx="4">
                  <c:v>3.3595062113207548</c:v>
                </c:pt>
                <c:pt idx="5">
                  <c:v>3.3433547391509437</c:v>
                </c:pt>
                <c:pt idx="6">
                  <c:v>3.3272032669811318</c:v>
                </c:pt>
                <c:pt idx="7">
                  <c:v>3.3110517948113207</c:v>
                </c:pt>
                <c:pt idx="8">
                  <c:v>3.2949003226415097</c:v>
                </c:pt>
                <c:pt idx="9">
                  <c:v>3.2787488504716986</c:v>
                </c:pt>
                <c:pt idx="10">
                  <c:v>3.2625973783018867</c:v>
                </c:pt>
                <c:pt idx="11">
                  <c:v>3.2464459061320756</c:v>
                </c:pt>
                <c:pt idx="12">
                  <c:v>3.2302944339622641</c:v>
                </c:pt>
                <c:pt idx="13">
                  <c:v>3.2141429617924531</c:v>
                </c:pt>
                <c:pt idx="14">
                  <c:v>3.1979914896226416</c:v>
                </c:pt>
                <c:pt idx="15">
                  <c:v>3.1818400174528301</c:v>
                </c:pt>
                <c:pt idx="16">
                  <c:v>3.165688545283019</c:v>
                </c:pt>
                <c:pt idx="17">
                  <c:v>3.149537073113208</c:v>
                </c:pt>
                <c:pt idx="18">
                  <c:v>3.133385600943396</c:v>
                </c:pt>
                <c:pt idx="19">
                  <c:v>3.117234128773585</c:v>
                </c:pt>
                <c:pt idx="20">
                  <c:v>3.1010826566037739</c:v>
                </c:pt>
                <c:pt idx="21">
                  <c:v>3.0849311844339624</c:v>
                </c:pt>
                <c:pt idx="22">
                  <c:v>3.0687797122641509</c:v>
                </c:pt>
                <c:pt idx="23">
                  <c:v>3.0526282400943394</c:v>
                </c:pt>
                <c:pt idx="24">
                  <c:v>3.0364767679245284</c:v>
                </c:pt>
                <c:pt idx="25">
                  <c:v>3.0203252957547173</c:v>
                </c:pt>
                <c:pt idx="26">
                  <c:v>3.0041738235849054</c:v>
                </c:pt>
                <c:pt idx="27">
                  <c:v>2.9880223514150943</c:v>
                </c:pt>
                <c:pt idx="28">
                  <c:v>2.9718708792452833</c:v>
                </c:pt>
                <c:pt idx="29">
                  <c:v>2.9557194070754722</c:v>
                </c:pt>
                <c:pt idx="30">
                  <c:v>2.9395679349056603</c:v>
                </c:pt>
                <c:pt idx="31">
                  <c:v>2.9234164627358492</c:v>
                </c:pt>
                <c:pt idx="32">
                  <c:v>2.9072649905660377</c:v>
                </c:pt>
                <c:pt idx="33">
                  <c:v>2.8911135183962267</c:v>
                </c:pt>
                <c:pt idx="34">
                  <c:v>2.8749620462264147</c:v>
                </c:pt>
                <c:pt idx="35">
                  <c:v>2.8588105740566037</c:v>
                </c:pt>
                <c:pt idx="36">
                  <c:v>2.8426591018867926</c:v>
                </c:pt>
                <c:pt idx="37">
                  <c:v>2.8265076297169816</c:v>
                </c:pt>
                <c:pt idx="38">
                  <c:v>2.8103561575471701</c:v>
                </c:pt>
                <c:pt idx="39">
                  <c:v>2.7942046853773586</c:v>
                </c:pt>
                <c:pt idx="40">
                  <c:v>2.7780532132075475</c:v>
                </c:pt>
                <c:pt idx="41">
                  <c:v>2.761901741037736</c:v>
                </c:pt>
                <c:pt idx="42">
                  <c:v>2.7457502688679245</c:v>
                </c:pt>
                <c:pt idx="43">
                  <c:v>2.729598796698113</c:v>
                </c:pt>
                <c:pt idx="44">
                  <c:v>2.713447324528302</c:v>
                </c:pt>
                <c:pt idx="45">
                  <c:v>2.6972958523584909</c:v>
                </c:pt>
                <c:pt idx="46">
                  <c:v>2.6811443801886794</c:v>
                </c:pt>
                <c:pt idx="47">
                  <c:v>2.6649929080188679</c:v>
                </c:pt>
                <c:pt idx="48">
                  <c:v>2.6488414358490568</c:v>
                </c:pt>
                <c:pt idx="49">
                  <c:v>2.6326899636792453</c:v>
                </c:pt>
                <c:pt idx="50">
                  <c:v>2.6165384915094343</c:v>
                </c:pt>
                <c:pt idx="51">
                  <c:v>2.6003870193396228</c:v>
                </c:pt>
                <c:pt idx="52">
                  <c:v>2.5842355471698113</c:v>
                </c:pt>
                <c:pt idx="53">
                  <c:v>2.5680840750000002</c:v>
                </c:pt>
                <c:pt idx="54">
                  <c:v>2.5519326028301887</c:v>
                </c:pt>
                <c:pt idx="55">
                  <c:v>2.5357811306603772</c:v>
                </c:pt>
                <c:pt idx="56">
                  <c:v>2.5196296584905662</c:v>
                </c:pt>
                <c:pt idx="57">
                  <c:v>2.5034781863207551</c:v>
                </c:pt>
                <c:pt idx="58">
                  <c:v>2.4873267141509436</c:v>
                </c:pt>
                <c:pt idx="59">
                  <c:v>2.4711752419811321</c:v>
                </c:pt>
                <c:pt idx="60">
                  <c:v>2.4550237698113211</c:v>
                </c:pt>
                <c:pt idx="61">
                  <c:v>2.4388722976415096</c:v>
                </c:pt>
                <c:pt idx="62">
                  <c:v>2.4227208254716981</c:v>
                </c:pt>
                <c:pt idx="63">
                  <c:v>2.4065693533018866</c:v>
                </c:pt>
                <c:pt idx="64">
                  <c:v>2.3904178811320755</c:v>
                </c:pt>
                <c:pt idx="65">
                  <c:v>2.3742664089622645</c:v>
                </c:pt>
                <c:pt idx="66">
                  <c:v>2.358114936792453</c:v>
                </c:pt>
                <c:pt idx="67">
                  <c:v>2.3419634646226415</c:v>
                </c:pt>
                <c:pt idx="68">
                  <c:v>2.3258119924528304</c:v>
                </c:pt>
                <c:pt idx="69">
                  <c:v>2.3096605202830189</c:v>
                </c:pt>
                <c:pt idx="70">
                  <c:v>2.2935090481132074</c:v>
                </c:pt>
                <c:pt idx="71">
                  <c:v>2.2773575759433964</c:v>
                </c:pt>
                <c:pt idx="72">
                  <c:v>2.2612061037735849</c:v>
                </c:pt>
                <c:pt idx="73">
                  <c:v>2.2450546316037738</c:v>
                </c:pt>
                <c:pt idx="74">
                  <c:v>2.2289031594339623</c:v>
                </c:pt>
                <c:pt idx="75">
                  <c:v>2.2127516872641508</c:v>
                </c:pt>
                <c:pt idx="76">
                  <c:v>2.1966002150943398</c:v>
                </c:pt>
                <c:pt idx="77">
                  <c:v>2.1804487429245287</c:v>
                </c:pt>
                <c:pt idx="78">
                  <c:v>2.1642972707547172</c:v>
                </c:pt>
                <c:pt idx="79">
                  <c:v>2.1481457985849057</c:v>
                </c:pt>
                <c:pt idx="80">
                  <c:v>2.1319943264150942</c:v>
                </c:pt>
                <c:pt idx="81">
                  <c:v>2.1158428542452832</c:v>
                </c:pt>
                <c:pt idx="82">
                  <c:v>2.0996913820754717</c:v>
                </c:pt>
                <c:pt idx="83">
                  <c:v>2.0835399099056602</c:v>
                </c:pt>
                <c:pt idx="84">
                  <c:v>2.0673884377358491</c:v>
                </c:pt>
                <c:pt idx="85">
                  <c:v>2.0512369655660381</c:v>
                </c:pt>
                <c:pt idx="86">
                  <c:v>2.0350854933962266</c:v>
                </c:pt>
                <c:pt idx="87">
                  <c:v>2.0189340212264155</c:v>
                </c:pt>
                <c:pt idx="88">
                  <c:v>2.002782549056604</c:v>
                </c:pt>
                <c:pt idx="89">
                  <c:v>1.9866310768867927</c:v>
                </c:pt>
                <c:pt idx="90">
                  <c:v>1.9704796047169812</c:v>
                </c:pt>
                <c:pt idx="91">
                  <c:v>1.95432813254717</c:v>
                </c:pt>
                <c:pt idx="92">
                  <c:v>1.9381766603773585</c:v>
                </c:pt>
                <c:pt idx="93">
                  <c:v>1.9220251882075474</c:v>
                </c:pt>
                <c:pt idx="94">
                  <c:v>1.9058737160377359</c:v>
                </c:pt>
                <c:pt idx="95">
                  <c:v>1.8897222438679249</c:v>
                </c:pt>
                <c:pt idx="96">
                  <c:v>1.8735707716981134</c:v>
                </c:pt>
                <c:pt idx="97">
                  <c:v>1.8574192995283021</c:v>
                </c:pt>
                <c:pt idx="98">
                  <c:v>1.8412678273584906</c:v>
                </c:pt>
                <c:pt idx="99">
                  <c:v>1.8251163551886795</c:v>
                </c:pt>
                <c:pt idx="100">
                  <c:v>1.808964883018868</c:v>
                </c:pt>
                <c:pt idx="101">
                  <c:v>1.7928134108490568</c:v>
                </c:pt>
                <c:pt idx="102">
                  <c:v>1.7766619386792453</c:v>
                </c:pt>
                <c:pt idx="103">
                  <c:v>1.7605104665094342</c:v>
                </c:pt>
                <c:pt idx="104">
                  <c:v>1.7443589943396227</c:v>
                </c:pt>
                <c:pt idx="105">
                  <c:v>1.7282075221698117</c:v>
                </c:pt>
                <c:pt idx="106">
                  <c:v>1.7120560500000002</c:v>
                </c:pt>
                <c:pt idx="107">
                  <c:v>1.6959045778301889</c:v>
                </c:pt>
                <c:pt idx="108">
                  <c:v>1.6797531056603774</c:v>
                </c:pt>
                <c:pt idx="109">
                  <c:v>1.6636016334905663</c:v>
                </c:pt>
                <c:pt idx="110">
                  <c:v>1.6474501613207548</c:v>
                </c:pt>
                <c:pt idx="111">
                  <c:v>1.6312986891509436</c:v>
                </c:pt>
                <c:pt idx="112">
                  <c:v>1.6151472169811321</c:v>
                </c:pt>
                <c:pt idx="113">
                  <c:v>1.598995744811321</c:v>
                </c:pt>
                <c:pt idx="114">
                  <c:v>1.5828442726415095</c:v>
                </c:pt>
                <c:pt idx="115">
                  <c:v>1.5666928004716985</c:v>
                </c:pt>
                <c:pt idx="116">
                  <c:v>1.550541328301887</c:v>
                </c:pt>
                <c:pt idx="117">
                  <c:v>1.5343898561320757</c:v>
                </c:pt>
                <c:pt idx="118">
                  <c:v>1.5182383839622642</c:v>
                </c:pt>
                <c:pt idx="119">
                  <c:v>1.5020869117924531</c:v>
                </c:pt>
                <c:pt idx="120">
                  <c:v>1.4859354396226416</c:v>
                </c:pt>
                <c:pt idx="121">
                  <c:v>1.4697839674528304</c:v>
                </c:pt>
                <c:pt idx="122">
                  <c:v>1.4536324952830189</c:v>
                </c:pt>
                <c:pt idx="123">
                  <c:v>1.4374810231132078</c:v>
                </c:pt>
                <c:pt idx="124">
                  <c:v>1.4213295509433963</c:v>
                </c:pt>
                <c:pt idx="125">
                  <c:v>1.405178078773585</c:v>
                </c:pt>
                <c:pt idx="126">
                  <c:v>1.3890266066037738</c:v>
                </c:pt>
                <c:pt idx="127">
                  <c:v>1.3728751344339625</c:v>
                </c:pt>
                <c:pt idx="128">
                  <c:v>1.3567236622641514</c:v>
                </c:pt>
                <c:pt idx="129">
                  <c:v>1.3405721900943399</c:v>
                </c:pt>
                <c:pt idx="130">
                  <c:v>1.3244207179245286</c:v>
                </c:pt>
                <c:pt idx="131">
                  <c:v>1.3082692457547171</c:v>
                </c:pt>
                <c:pt idx="132">
                  <c:v>1.2921177735849061</c:v>
                </c:pt>
                <c:pt idx="133">
                  <c:v>1.2759663014150946</c:v>
                </c:pt>
                <c:pt idx="134">
                  <c:v>1.2598148292452833</c:v>
                </c:pt>
                <c:pt idx="135">
                  <c:v>1.2436633570754718</c:v>
                </c:pt>
                <c:pt idx="136">
                  <c:v>1.2275118849056608</c:v>
                </c:pt>
                <c:pt idx="137">
                  <c:v>1.2113604127358493</c:v>
                </c:pt>
                <c:pt idx="138">
                  <c:v>1.1952089405660382</c:v>
                </c:pt>
                <c:pt idx="139">
                  <c:v>1.1790574683962267</c:v>
                </c:pt>
                <c:pt idx="140">
                  <c:v>1.1629059962264154</c:v>
                </c:pt>
                <c:pt idx="141">
                  <c:v>1.1467545240566039</c:v>
                </c:pt>
                <c:pt idx="142">
                  <c:v>1.1306030518867929</c:v>
                </c:pt>
                <c:pt idx="143">
                  <c:v>1.1144515797169814</c:v>
                </c:pt>
                <c:pt idx="144">
                  <c:v>1.0983001075471701</c:v>
                </c:pt>
                <c:pt idx="145">
                  <c:v>1.0821486353773586</c:v>
                </c:pt>
                <c:pt idx="146">
                  <c:v>1.0659971632075476</c:v>
                </c:pt>
                <c:pt idx="147">
                  <c:v>1.0498456910377361</c:v>
                </c:pt>
                <c:pt idx="148">
                  <c:v>1.0336942188679248</c:v>
                </c:pt>
                <c:pt idx="149">
                  <c:v>1.0175427466981135</c:v>
                </c:pt>
                <c:pt idx="150">
                  <c:v>1.0013912745283022</c:v>
                </c:pt>
                <c:pt idx="151">
                  <c:v>0.98523980235849073</c:v>
                </c:pt>
                <c:pt idx="152">
                  <c:v>0.96908833018867957</c:v>
                </c:pt>
                <c:pt idx="153">
                  <c:v>0.95293685801886807</c:v>
                </c:pt>
                <c:pt idx="154">
                  <c:v>0.93678538584905702</c:v>
                </c:pt>
                <c:pt idx="155">
                  <c:v>0.92063391367924552</c:v>
                </c:pt>
                <c:pt idx="156">
                  <c:v>0.90448244150943435</c:v>
                </c:pt>
                <c:pt idx="157">
                  <c:v>0.88833096933962286</c:v>
                </c:pt>
                <c:pt idx="158">
                  <c:v>0.87217949716981169</c:v>
                </c:pt>
                <c:pt idx="159">
                  <c:v>0.85602802500000019</c:v>
                </c:pt>
                <c:pt idx="160">
                  <c:v>0.83987655283018903</c:v>
                </c:pt>
                <c:pt idx="161">
                  <c:v>0.82372508066037753</c:v>
                </c:pt>
                <c:pt idx="162">
                  <c:v>0.80757360849056636</c:v>
                </c:pt>
                <c:pt idx="163">
                  <c:v>0.79142213632075487</c:v>
                </c:pt>
                <c:pt idx="164">
                  <c:v>0.7752706641509437</c:v>
                </c:pt>
                <c:pt idx="165">
                  <c:v>0.75911919198113231</c:v>
                </c:pt>
                <c:pt idx="166">
                  <c:v>0.74296771981132115</c:v>
                </c:pt>
                <c:pt idx="167">
                  <c:v>0.72681624764150965</c:v>
                </c:pt>
                <c:pt idx="168">
                  <c:v>0.71066477547169848</c:v>
                </c:pt>
                <c:pt idx="169">
                  <c:v>0.69451330330188699</c:v>
                </c:pt>
                <c:pt idx="170">
                  <c:v>0.67836183113207582</c:v>
                </c:pt>
                <c:pt idx="171">
                  <c:v>0.66221035896226432</c:v>
                </c:pt>
                <c:pt idx="172">
                  <c:v>0.64605888679245316</c:v>
                </c:pt>
                <c:pt idx="173">
                  <c:v>0.62990741462264166</c:v>
                </c:pt>
                <c:pt idx="174">
                  <c:v>0.61375594245283049</c:v>
                </c:pt>
                <c:pt idx="175">
                  <c:v>0.59760447028301933</c:v>
                </c:pt>
                <c:pt idx="176">
                  <c:v>0.58145299811320761</c:v>
                </c:pt>
                <c:pt idx="177">
                  <c:v>0.56530152594339644</c:v>
                </c:pt>
                <c:pt idx="178">
                  <c:v>0.54915005377358528</c:v>
                </c:pt>
                <c:pt idx="179">
                  <c:v>0.53299858160377411</c:v>
                </c:pt>
                <c:pt idx="180">
                  <c:v>0.51684710943396228</c:v>
                </c:pt>
                <c:pt idx="181">
                  <c:v>0.50069563726415112</c:v>
                </c:pt>
                <c:pt idx="182">
                  <c:v>0.48454416509433995</c:v>
                </c:pt>
                <c:pt idx="183">
                  <c:v>0.46839269292452879</c:v>
                </c:pt>
                <c:pt idx="184">
                  <c:v>0.45224122075471701</c:v>
                </c:pt>
                <c:pt idx="185">
                  <c:v>0.43608974858490585</c:v>
                </c:pt>
                <c:pt idx="186">
                  <c:v>0.41993827641509468</c:v>
                </c:pt>
                <c:pt idx="187">
                  <c:v>0.40378680424528351</c:v>
                </c:pt>
                <c:pt idx="188">
                  <c:v>0.38763533207547174</c:v>
                </c:pt>
                <c:pt idx="189">
                  <c:v>0.37148385990566057</c:v>
                </c:pt>
                <c:pt idx="190">
                  <c:v>0.35533238773584941</c:v>
                </c:pt>
                <c:pt idx="191">
                  <c:v>0.33918091556603824</c:v>
                </c:pt>
                <c:pt idx="192">
                  <c:v>0.32302944339622708</c:v>
                </c:pt>
                <c:pt idx="193">
                  <c:v>0.30687797122641525</c:v>
                </c:pt>
                <c:pt idx="194">
                  <c:v>0.29072649905660408</c:v>
                </c:pt>
                <c:pt idx="195">
                  <c:v>0.27457502688679292</c:v>
                </c:pt>
                <c:pt idx="196">
                  <c:v>0.25842355471698175</c:v>
                </c:pt>
                <c:pt idx="197">
                  <c:v>0.24227208254716998</c:v>
                </c:pt>
                <c:pt idx="198">
                  <c:v>0.22612061037735881</c:v>
                </c:pt>
                <c:pt idx="199">
                  <c:v>0.20996913820754765</c:v>
                </c:pt>
                <c:pt idx="200">
                  <c:v>0.19381766603773648</c:v>
                </c:pt>
                <c:pt idx="201">
                  <c:v>0.1776661938679247</c:v>
                </c:pt>
                <c:pt idx="202">
                  <c:v>0.16151472169811354</c:v>
                </c:pt>
                <c:pt idx="203">
                  <c:v>0.14536324952830237</c:v>
                </c:pt>
                <c:pt idx="204">
                  <c:v>0.12921177735849121</c:v>
                </c:pt>
                <c:pt idx="205">
                  <c:v>0.11306030518867941</c:v>
                </c:pt>
                <c:pt idx="206">
                  <c:v>9.690883301886824E-2</c:v>
                </c:pt>
                <c:pt idx="207">
                  <c:v>8.0757360849057075E-2</c:v>
                </c:pt>
                <c:pt idx="208">
                  <c:v>6.460588867924591E-2</c:v>
                </c:pt>
                <c:pt idx="209">
                  <c:v>4.845441650943412E-2</c:v>
                </c:pt>
                <c:pt idx="210">
                  <c:v>3.2302944339622955E-2</c:v>
                </c:pt>
                <c:pt idx="211">
                  <c:v>1.6151472169811793E-2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5B-4F2C-9761-5BBDB3479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866464"/>
        <c:axId val="1735863744"/>
      </c:scatterChart>
      <c:valAx>
        <c:axId val="1735866464"/>
        <c:scaling>
          <c:orientation val="minMax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>
                    <a:solidFill>
                      <a:sysClr val="windowText" lastClr="000000"/>
                    </a:solidFill>
                  </a:rPr>
                  <a:t>Ln Densidad</a:t>
                </a:r>
                <a:r>
                  <a:rPr lang="es-CO" sz="1200" baseline="0">
                    <a:solidFill>
                      <a:sysClr val="windowText" lastClr="000000"/>
                    </a:solidFill>
                  </a:rPr>
                  <a:t> Optica</a:t>
                </a:r>
                <a:endParaRPr lang="es-CO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863744"/>
        <c:crosses val="autoZero"/>
        <c:crossBetween val="midCat"/>
      </c:valAx>
      <c:valAx>
        <c:axId val="1735863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>
                    <a:solidFill>
                      <a:sysClr val="windowText" lastClr="000000"/>
                    </a:solidFill>
                  </a:rPr>
                  <a:t>Densidad x Grosor (g/cm2)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86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Cuña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">
                <a:solidFill>
                  <a:schemeClr val="tx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812389953939121"/>
                  <c:y val="-3.1391986948949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Cuña!$V$458:$V$638</c:f>
              <c:numCache>
                <c:formatCode>General</c:formatCode>
                <c:ptCount val="181"/>
                <c:pt idx="0">
                  <c:v>3.899107964160899</c:v>
                </c:pt>
                <c:pt idx="1">
                  <c:v>3.8935208920969595</c:v>
                </c:pt>
                <c:pt idx="2">
                  <c:v>3.886705197443856</c:v>
                </c:pt>
                <c:pt idx="3">
                  <c:v>3.8796692208599901</c:v>
                </c:pt>
                <c:pt idx="4">
                  <c:v>3.8715467844546607</c:v>
                </c:pt>
                <c:pt idx="5">
                  <c:v>3.8621308342720031</c:v>
                </c:pt>
                <c:pt idx="6">
                  <c:v>3.8551012694601332</c:v>
                </c:pt>
                <c:pt idx="7">
                  <c:v>3.8526296253224555</c:v>
                </c:pt>
                <c:pt idx="8">
                  <c:v>3.849798604647455</c:v>
                </c:pt>
                <c:pt idx="9">
                  <c:v>3.8473138030586957</c:v>
                </c:pt>
                <c:pt idx="10">
                  <c:v>3.8451778259986535</c:v>
                </c:pt>
                <c:pt idx="11">
                  <c:v>3.8416048329678838</c:v>
                </c:pt>
                <c:pt idx="12">
                  <c:v>3.833161599742589</c:v>
                </c:pt>
                <c:pt idx="13">
                  <c:v>3.824284091120139</c:v>
                </c:pt>
                <c:pt idx="14">
                  <c:v>3.8162431153272096</c:v>
                </c:pt>
                <c:pt idx="15">
                  <c:v>3.8090640481635285</c:v>
                </c:pt>
                <c:pt idx="16">
                  <c:v>3.8022081394209395</c:v>
                </c:pt>
                <c:pt idx="17">
                  <c:v>3.7969891872079375</c:v>
                </c:pt>
                <c:pt idx="18">
                  <c:v>3.7906098889938624</c:v>
                </c:pt>
                <c:pt idx="19">
                  <c:v>3.7851391829538494</c:v>
                </c:pt>
                <c:pt idx="20">
                  <c:v>3.7786835943739825</c:v>
                </c:pt>
                <c:pt idx="21">
                  <c:v>3.7718041586880835</c:v>
                </c:pt>
                <c:pt idx="22">
                  <c:v>3.7646824175294369</c:v>
                </c:pt>
                <c:pt idx="23">
                  <c:v>3.7563464954472288</c:v>
                </c:pt>
                <c:pt idx="24">
                  <c:v>3.745774777793148</c:v>
                </c:pt>
                <c:pt idx="25">
                  <c:v>3.7348895670432651</c:v>
                </c:pt>
                <c:pt idx="26">
                  <c:v>3.7210658691165879</c:v>
                </c:pt>
                <c:pt idx="27">
                  <c:v>3.7049988359938197</c:v>
                </c:pt>
                <c:pt idx="28">
                  <c:v>3.6888794541139363</c:v>
                </c:pt>
                <c:pt idx="29">
                  <c:v>3.674821096862896</c:v>
                </c:pt>
                <c:pt idx="30">
                  <c:v>3.6618524940533179</c:v>
                </c:pt>
                <c:pt idx="31">
                  <c:v>3.650876399313729</c:v>
                </c:pt>
                <c:pt idx="32">
                  <c:v>3.6430553867270623</c:v>
                </c:pt>
                <c:pt idx="33">
                  <c:v>3.6353890109196461</c:v>
                </c:pt>
                <c:pt idx="34">
                  <c:v>3.6258970549236675</c:v>
                </c:pt>
                <c:pt idx="35">
                  <c:v>3.6145168341555989</c:v>
                </c:pt>
                <c:pt idx="36">
                  <c:v>3.6016425971601556</c:v>
                </c:pt>
                <c:pt idx="37">
                  <c:v>3.5869906827494509</c:v>
                </c:pt>
                <c:pt idx="38">
                  <c:v>3.5742258915445175</c:v>
                </c:pt>
                <c:pt idx="39">
                  <c:v>3.5612903709450432</c:v>
                </c:pt>
                <c:pt idx="40">
                  <c:v>3.5503412626500963</c:v>
                </c:pt>
                <c:pt idx="41">
                  <c:v>3.5409651211219604</c:v>
                </c:pt>
                <c:pt idx="42">
                  <c:v>3.5312544123417631</c:v>
                </c:pt>
                <c:pt idx="43">
                  <c:v>3.5219389993582841</c:v>
                </c:pt>
                <c:pt idx="44">
                  <c:v>3.5122914291677421</c:v>
                </c:pt>
                <c:pt idx="45">
                  <c:v>3.5040547671018634</c:v>
                </c:pt>
                <c:pt idx="46">
                  <c:v>3.4967560154477186</c:v>
                </c:pt>
                <c:pt idx="47">
                  <c:v>3.488646440632829</c:v>
                </c:pt>
                <c:pt idx="48">
                  <c:v>3.4822672539291655</c:v>
                </c:pt>
                <c:pt idx="49">
                  <c:v>3.4773865200197016</c:v>
                </c:pt>
                <c:pt idx="50">
                  <c:v>3.4675592395105874</c:v>
                </c:pt>
                <c:pt idx="51">
                  <c:v>3.4573697539673391</c:v>
                </c:pt>
                <c:pt idx="52">
                  <c:v>3.447336415641844</c:v>
                </c:pt>
                <c:pt idx="53">
                  <c:v>3.4361332870983867</c:v>
                </c:pt>
                <c:pt idx="54">
                  <c:v>3.4245362328023994</c:v>
                </c:pt>
                <c:pt idx="55">
                  <c:v>3.4122494156485232</c:v>
                </c:pt>
                <c:pt idx="56">
                  <c:v>3.4012040483065999</c:v>
                </c:pt>
                <c:pt idx="57">
                  <c:v>3.3919951708973559</c:v>
                </c:pt>
                <c:pt idx="58">
                  <c:v>3.3798647845588361</c:v>
                </c:pt>
                <c:pt idx="59">
                  <c:v>3.3678749725958412</c:v>
                </c:pt>
                <c:pt idx="60">
                  <c:v>3.3568971227655755</c:v>
                </c:pt>
                <c:pt idx="61">
                  <c:v>3.3452123967321938</c:v>
                </c:pt>
                <c:pt idx="62">
                  <c:v>3.3354705992661668</c:v>
                </c:pt>
                <c:pt idx="63">
                  <c:v>3.3289205524552101</c:v>
                </c:pt>
                <c:pt idx="64">
                  <c:v>3.3256257748149931</c:v>
                </c:pt>
                <c:pt idx="65">
                  <c:v>3.3232286329592644</c:v>
                </c:pt>
                <c:pt idx="66">
                  <c:v>3.3196184946691276</c:v>
                </c:pt>
                <c:pt idx="67">
                  <c:v>3.3120601101956795</c:v>
                </c:pt>
                <c:pt idx="68">
                  <c:v>3.3013770463799443</c:v>
                </c:pt>
                <c:pt idx="69">
                  <c:v>3.2887152712428223</c:v>
                </c:pt>
                <c:pt idx="70">
                  <c:v>3.2796623159360427</c:v>
                </c:pt>
                <c:pt idx="71">
                  <c:v>3.2724241747058689</c:v>
                </c:pt>
                <c:pt idx="72">
                  <c:v>3.2673535592841589</c:v>
                </c:pt>
                <c:pt idx="73">
                  <c:v>3.2635355658100336</c:v>
                </c:pt>
                <c:pt idx="74">
                  <c:v>3.2526354998131879</c:v>
                </c:pt>
                <c:pt idx="75">
                  <c:v>3.238348986131701</c:v>
                </c:pt>
                <c:pt idx="76">
                  <c:v>3.2235289821208455</c:v>
                </c:pt>
                <c:pt idx="77">
                  <c:v>3.2098350802160516</c:v>
                </c:pt>
                <c:pt idx="78">
                  <c:v>3.1990159159314593</c:v>
                </c:pt>
                <c:pt idx="79">
                  <c:v>3.1897929893365284</c:v>
                </c:pt>
                <c:pt idx="80">
                  <c:v>3.1829086930741277</c:v>
                </c:pt>
                <c:pt idx="81">
                  <c:v>3.1749239373390181</c:v>
                </c:pt>
                <c:pt idx="82">
                  <c:v>3.1626525031051154</c:v>
                </c:pt>
                <c:pt idx="83">
                  <c:v>3.1491569756374513</c:v>
                </c:pt>
                <c:pt idx="84">
                  <c:v>3.1380214545523106</c:v>
                </c:pt>
                <c:pt idx="85">
                  <c:v>3.1263920470240536</c:v>
                </c:pt>
                <c:pt idx="86">
                  <c:v>3.1146258034944014</c:v>
                </c:pt>
                <c:pt idx="87">
                  <c:v>3.099722851275196</c:v>
                </c:pt>
                <c:pt idx="88">
                  <c:v>3.0849695048243193</c:v>
                </c:pt>
                <c:pt idx="89">
                  <c:v>3.0723136129829194</c:v>
                </c:pt>
                <c:pt idx="90">
                  <c:v>3.0563568953704259</c:v>
                </c:pt>
                <c:pt idx="91">
                  <c:v>3.0405431020877081</c:v>
                </c:pt>
                <c:pt idx="92">
                  <c:v>3.0252813670105412</c:v>
                </c:pt>
                <c:pt idx="93">
                  <c:v>3.0110247453722847</c:v>
                </c:pt>
                <c:pt idx="94">
                  <c:v>2.9994652971430984</c:v>
                </c:pt>
                <c:pt idx="95">
                  <c:v>2.9873573011718011</c:v>
                </c:pt>
                <c:pt idx="96">
                  <c:v>2.9746720558223423</c:v>
                </c:pt>
                <c:pt idx="97">
                  <c:v>2.9674151001722104</c:v>
                </c:pt>
                <c:pt idx="98">
                  <c:v>2.9566379524129029</c:v>
                </c:pt>
                <c:pt idx="99">
                  <c:v>2.9422365556112404</c:v>
                </c:pt>
                <c:pt idx="100">
                  <c:v>2.928074225079996</c:v>
                </c:pt>
                <c:pt idx="101">
                  <c:v>2.9118940386380348</c:v>
                </c:pt>
                <c:pt idx="102">
                  <c:v>2.8972922007407385</c:v>
                </c:pt>
                <c:pt idx="103">
                  <c:v>2.884800712846709</c:v>
                </c:pt>
                <c:pt idx="104">
                  <c:v>2.8754498670709188</c:v>
                </c:pt>
                <c:pt idx="105">
                  <c:v>2.8693183486983322</c:v>
                </c:pt>
                <c:pt idx="106">
                  <c:v>2.8593396486484361</c:v>
                </c:pt>
                <c:pt idx="107">
                  <c:v>2.8473250683537983</c:v>
                </c:pt>
                <c:pt idx="108">
                  <c:v>2.8327191042928042</c:v>
                </c:pt>
                <c:pt idx="109">
                  <c:v>2.8144022250531915</c:v>
                </c:pt>
                <c:pt idx="110">
                  <c:v>2.797781209871804</c:v>
                </c:pt>
                <c:pt idx="111">
                  <c:v>2.7834668403869642</c:v>
                </c:pt>
                <c:pt idx="112">
                  <c:v>2.7710250002635983</c:v>
                </c:pt>
                <c:pt idx="113">
                  <c:v>2.7621216328899374</c:v>
                </c:pt>
                <c:pt idx="114">
                  <c:v>2.7499468180089415</c:v>
                </c:pt>
                <c:pt idx="115">
                  <c:v>2.7370781181125547</c:v>
                </c:pt>
                <c:pt idx="116">
                  <c:v>2.7256805360383458</c:v>
                </c:pt>
                <c:pt idx="117">
                  <c:v>2.7124936476884409</c:v>
                </c:pt>
                <c:pt idx="118">
                  <c:v>2.6991305389275566</c:v>
                </c:pt>
                <c:pt idx="119">
                  <c:v>2.6889896983634678</c:v>
                </c:pt>
                <c:pt idx="120">
                  <c:v>2.6753065994332275</c:v>
                </c:pt>
                <c:pt idx="121">
                  <c:v>2.6649199891409863</c:v>
                </c:pt>
                <c:pt idx="122">
                  <c:v>2.6526643330214754</c:v>
                </c:pt>
                <c:pt idx="123">
                  <c:v>2.6384714437319241</c:v>
                </c:pt>
                <c:pt idx="124">
                  <c:v>2.6186213589423546</c:v>
                </c:pt>
                <c:pt idx="125">
                  <c:v>2.6027045001494602</c:v>
                </c:pt>
                <c:pt idx="126">
                  <c:v>2.5871473037345476</c:v>
                </c:pt>
                <c:pt idx="127">
                  <c:v>2.5757979899760679</c:v>
                </c:pt>
                <c:pt idx="128">
                  <c:v>2.5668859426079149</c:v>
                </c:pt>
                <c:pt idx="129">
                  <c:v>2.5662408308429723</c:v>
                </c:pt>
                <c:pt idx="130">
                  <c:v>2.5623922446797733</c:v>
                </c:pt>
                <c:pt idx="131">
                  <c:v>2.5598131125870083</c:v>
                </c:pt>
                <c:pt idx="132">
                  <c:v>2.5546503504432838</c:v>
                </c:pt>
                <c:pt idx="133">
                  <c:v>2.5481474542554161</c:v>
                </c:pt>
                <c:pt idx="134">
                  <c:v>2.5429239539353059</c:v>
                </c:pt>
                <c:pt idx="135">
                  <c:v>2.5389843973186643</c:v>
                </c:pt>
                <c:pt idx="136">
                  <c:v>2.5343791208156983</c:v>
                </c:pt>
                <c:pt idx="137">
                  <c:v>2.5264164077447533</c:v>
                </c:pt>
                <c:pt idx="138">
                  <c:v>2.5143521770057573</c:v>
                </c:pt>
                <c:pt idx="139">
                  <c:v>2.4994010959384529</c:v>
                </c:pt>
                <c:pt idx="140">
                  <c:v>2.4814339603090279</c:v>
                </c:pt>
                <c:pt idx="141">
                  <c:v>2.4603065329197675</c:v>
                </c:pt>
                <c:pt idx="142">
                  <c:v>2.4452471737256838</c:v>
                </c:pt>
                <c:pt idx="143">
                  <c:v>2.4277541182836919</c:v>
                </c:pt>
                <c:pt idx="144">
                  <c:v>2.4129450903901337</c:v>
                </c:pt>
                <c:pt idx="145">
                  <c:v>2.4047083744588882</c:v>
                </c:pt>
                <c:pt idx="146">
                  <c:v>2.397913454451265</c:v>
                </c:pt>
                <c:pt idx="147">
                  <c:v>2.3872386926098419</c:v>
                </c:pt>
                <c:pt idx="148">
                  <c:v>2.3803236095955604</c:v>
                </c:pt>
                <c:pt idx="149">
                  <c:v>2.3741240537763613</c:v>
                </c:pt>
                <c:pt idx="150">
                  <c:v>2.3647708485480199</c:v>
                </c:pt>
                <c:pt idx="151">
                  <c:v>2.3513562093630216</c:v>
                </c:pt>
                <c:pt idx="152">
                  <c:v>2.342593957013281</c:v>
                </c:pt>
                <c:pt idx="153">
                  <c:v>2.3385890996282335</c:v>
                </c:pt>
                <c:pt idx="154">
                  <c:v>2.3191078375467074</c:v>
                </c:pt>
                <c:pt idx="155">
                  <c:v>2.3058995939618754</c:v>
                </c:pt>
                <c:pt idx="156">
                  <c:v>2.2883035961682761</c:v>
                </c:pt>
                <c:pt idx="157">
                  <c:v>2.2712595309511365</c:v>
                </c:pt>
                <c:pt idx="158">
                  <c:v>2.2486356425662897</c:v>
                </c:pt>
                <c:pt idx="159">
                  <c:v>2.2398156727409653</c:v>
                </c:pt>
                <c:pt idx="160">
                  <c:v>2.224623551524334</c:v>
                </c:pt>
                <c:pt idx="161">
                  <c:v>2.2183117822592662</c:v>
                </c:pt>
                <c:pt idx="162">
                  <c:v>2.2009288192641137</c:v>
                </c:pt>
                <c:pt idx="163">
                  <c:v>2.1897970615074227</c:v>
                </c:pt>
                <c:pt idx="164">
                  <c:v>2.1680932392743988</c:v>
                </c:pt>
                <c:pt idx="165">
                  <c:v>2.1439644376953355</c:v>
                </c:pt>
                <c:pt idx="166">
                  <c:v>2.1192390115539022</c:v>
                </c:pt>
                <c:pt idx="167">
                  <c:v>2.0969621553978253</c:v>
                </c:pt>
                <c:pt idx="168">
                  <c:v>2.0731467711170879</c:v>
                </c:pt>
                <c:pt idx="169">
                  <c:v>2.0572981769941459</c:v>
                </c:pt>
                <c:pt idx="170">
                  <c:v>2.0368732315710587</c:v>
                </c:pt>
                <c:pt idx="171">
                  <c:v>2.0126605079894846</c:v>
                </c:pt>
                <c:pt idx="172">
                  <c:v>1.9832885067729227</c:v>
                </c:pt>
                <c:pt idx="173">
                  <c:v>1.9530276168241774</c:v>
                </c:pt>
                <c:pt idx="174">
                  <c:v>1.9291127159220547</c:v>
                </c:pt>
                <c:pt idx="175">
                  <c:v>1.9181571439516811</c:v>
                </c:pt>
                <c:pt idx="176">
                  <c:v>1.8971399846858841</c:v>
                </c:pt>
                <c:pt idx="177">
                  <c:v>1.8769274815979333</c:v>
                </c:pt>
                <c:pt idx="178">
                  <c:v>1.8653816090986688</c:v>
                </c:pt>
                <c:pt idx="179">
                  <c:v>1.8510969885735624</c:v>
                </c:pt>
                <c:pt idx="180">
                  <c:v>1.8232258360241762</c:v>
                </c:pt>
              </c:numCache>
            </c:numRef>
          </c:xVal>
          <c:yVal>
            <c:numRef>
              <c:f>Cuña!$W$458:$W$638</c:f>
              <c:numCache>
                <c:formatCode>General</c:formatCode>
                <c:ptCount val="181"/>
                <c:pt idx="0">
                  <c:v>1.1144957746478872</c:v>
                </c:pt>
                <c:pt idx="1">
                  <c:v>1.1084056338028168</c:v>
                </c:pt>
                <c:pt idx="2">
                  <c:v>1.1023154929577461</c:v>
                </c:pt>
                <c:pt idx="3">
                  <c:v>1.0962253521126757</c:v>
                </c:pt>
                <c:pt idx="4">
                  <c:v>1.0901352112676053</c:v>
                </c:pt>
                <c:pt idx="5">
                  <c:v>1.0840450704225348</c:v>
                </c:pt>
                <c:pt idx="6">
                  <c:v>1.0779549295774644</c:v>
                </c:pt>
                <c:pt idx="7">
                  <c:v>1.071864788732394</c:v>
                </c:pt>
                <c:pt idx="8">
                  <c:v>1.0657746478873233</c:v>
                </c:pt>
                <c:pt idx="9">
                  <c:v>1.0596845070422531</c:v>
                </c:pt>
                <c:pt idx="10">
                  <c:v>1.0535943661971832</c:v>
                </c:pt>
                <c:pt idx="11">
                  <c:v>1.0475042253521123</c:v>
                </c:pt>
                <c:pt idx="12">
                  <c:v>1.0414140845070421</c:v>
                </c:pt>
                <c:pt idx="13">
                  <c:v>1.0353239436619714</c:v>
                </c:pt>
                <c:pt idx="14">
                  <c:v>1.0292338028169012</c:v>
                </c:pt>
                <c:pt idx="15">
                  <c:v>1.0231436619718306</c:v>
                </c:pt>
                <c:pt idx="16">
                  <c:v>1.0170535211267604</c:v>
                </c:pt>
                <c:pt idx="17">
                  <c:v>1.0109633802816897</c:v>
                </c:pt>
                <c:pt idx="18">
                  <c:v>1.0048732394366195</c:v>
                </c:pt>
                <c:pt idx="19">
                  <c:v>0.99878309859154879</c:v>
                </c:pt>
                <c:pt idx="20">
                  <c:v>0.9926929577464787</c:v>
                </c:pt>
                <c:pt idx="21">
                  <c:v>0.98660281690140794</c:v>
                </c:pt>
                <c:pt idx="22">
                  <c:v>0.98051267605633785</c:v>
                </c:pt>
                <c:pt idx="23">
                  <c:v>0.97442253521126709</c:v>
                </c:pt>
                <c:pt idx="24">
                  <c:v>0.968332394366197</c:v>
                </c:pt>
                <c:pt idx="25">
                  <c:v>0.96224225352112625</c:v>
                </c:pt>
                <c:pt idx="26">
                  <c:v>0.95615211267605604</c:v>
                </c:pt>
                <c:pt idx="27">
                  <c:v>0.9500619718309854</c:v>
                </c:pt>
                <c:pt idx="28">
                  <c:v>0.94397183098591519</c:v>
                </c:pt>
                <c:pt idx="29">
                  <c:v>0.93788169014084444</c:v>
                </c:pt>
                <c:pt idx="30">
                  <c:v>0.93179154929577435</c:v>
                </c:pt>
                <c:pt idx="31">
                  <c:v>0.92570140845070359</c:v>
                </c:pt>
                <c:pt idx="32">
                  <c:v>0.9196112676056335</c:v>
                </c:pt>
                <c:pt idx="33">
                  <c:v>0.91352112676056341</c:v>
                </c:pt>
                <c:pt idx="34">
                  <c:v>0.90743098591549265</c:v>
                </c:pt>
                <c:pt idx="35">
                  <c:v>0.90134084507042245</c:v>
                </c:pt>
                <c:pt idx="36">
                  <c:v>0.8952507042253518</c:v>
                </c:pt>
                <c:pt idx="37">
                  <c:v>0.8891605633802816</c:v>
                </c:pt>
                <c:pt idx="38">
                  <c:v>0.88307042253521084</c:v>
                </c:pt>
                <c:pt idx="39">
                  <c:v>0.87698028169014075</c:v>
                </c:pt>
                <c:pt idx="40">
                  <c:v>0.87089014084506999</c:v>
                </c:pt>
                <c:pt idx="41">
                  <c:v>0.8647999999999999</c:v>
                </c:pt>
                <c:pt idx="42">
                  <c:v>0.85870985915492914</c:v>
                </c:pt>
                <c:pt idx="43">
                  <c:v>0.85261971830985905</c:v>
                </c:pt>
                <c:pt idx="44">
                  <c:v>0.8465295774647883</c:v>
                </c:pt>
                <c:pt idx="45">
                  <c:v>0.84043943661971809</c:v>
                </c:pt>
                <c:pt idx="46">
                  <c:v>0.83434929577464745</c:v>
                </c:pt>
                <c:pt idx="47">
                  <c:v>0.82825915492957725</c:v>
                </c:pt>
                <c:pt idx="48">
                  <c:v>0.82216901408450649</c:v>
                </c:pt>
                <c:pt idx="49">
                  <c:v>0.8160788732394364</c:v>
                </c:pt>
                <c:pt idx="50">
                  <c:v>0.80998873239436564</c:v>
                </c:pt>
                <c:pt idx="51">
                  <c:v>0.80389859154929555</c:v>
                </c:pt>
                <c:pt idx="52">
                  <c:v>0.79780845070422479</c:v>
                </c:pt>
                <c:pt idx="53">
                  <c:v>0.7917183098591547</c:v>
                </c:pt>
                <c:pt idx="54">
                  <c:v>0.78562816901408394</c:v>
                </c:pt>
                <c:pt idx="55">
                  <c:v>0.77953802816901374</c:v>
                </c:pt>
                <c:pt idx="56">
                  <c:v>0.77344788732394365</c:v>
                </c:pt>
                <c:pt idx="57">
                  <c:v>0.76735774647887289</c:v>
                </c:pt>
                <c:pt idx="58">
                  <c:v>0.7612676056338028</c:v>
                </c:pt>
                <c:pt idx="59">
                  <c:v>0.75517746478873204</c:v>
                </c:pt>
                <c:pt idx="60">
                  <c:v>0.74908732394366195</c:v>
                </c:pt>
                <c:pt idx="61">
                  <c:v>0.7429971830985912</c:v>
                </c:pt>
                <c:pt idx="62">
                  <c:v>0.73690704225352111</c:v>
                </c:pt>
                <c:pt idx="63">
                  <c:v>0.73081690140845035</c:v>
                </c:pt>
                <c:pt idx="64">
                  <c:v>0.72472676056338015</c:v>
                </c:pt>
                <c:pt idx="65">
                  <c:v>0.7186366197183095</c:v>
                </c:pt>
                <c:pt idx="66">
                  <c:v>0.7125464788732393</c:v>
                </c:pt>
                <c:pt idx="67">
                  <c:v>0.70645633802816854</c:v>
                </c:pt>
                <c:pt idx="68">
                  <c:v>0.70036619718309845</c:v>
                </c:pt>
                <c:pt idx="69">
                  <c:v>0.69427605633802769</c:v>
                </c:pt>
                <c:pt idx="70">
                  <c:v>0.6881859154929576</c:v>
                </c:pt>
                <c:pt idx="71">
                  <c:v>0.68209577464788684</c:v>
                </c:pt>
                <c:pt idx="72">
                  <c:v>0.67600563380281675</c:v>
                </c:pt>
                <c:pt idx="73">
                  <c:v>0.66991549295774599</c:v>
                </c:pt>
                <c:pt idx="74">
                  <c:v>0.66382535211267579</c:v>
                </c:pt>
                <c:pt idx="75">
                  <c:v>0.65773521126760515</c:v>
                </c:pt>
                <c:pt idx="76">
                  <c:v>0.65164507042253494</c:v>
                </c:pt>
                <c:pt idx="77">
                  <c:v>0.64555492957746419</c:v>
                </c:pt>
                <c:pt idx="78">
                  <c:v>0.6394647887323941</c:v>
                </c:pt>
                <c:pt idx="79">
                  <c:v>0.633374647887324</c:v>
                </c:pt>
                <c:pt idx="80">
                  <c:v>0.62728450704225325</c:v>
                </c:pt>
                <c:pt idx="81">
                  <c:v>0.62119436619718316</c:v>
                </c:pt>
                <c:pt idx="82">
                  <c:v>0.6151042253521124</c:v>
                </c:pt>
                <c:pt idx="83">
                  <c:v>0.6090140845070422</c:v>
                </c:pt>
                <c:pt idx="84">
                  <c:v>0.60292394366197144</c:v>
                </c:pt>
                <c:pt idx="85">
                  <c:v>0.59683380281690135</c:v>
                </c:pt>
                <c:pt idx="86">
                  <c:v>0.59074366197183059</c:v>
                </c:pt>
                <c:pt idx="87">
                  <c:v>0.5846535211267605</c:v>
                </c:pt>
                <c:pt idx="88">
                  <c:v>0.57856338028168974</c:v>
                </c:pt>
                <c:pt idx="89">
                  <c:v>0.57247323943661965</c:v>
                </c:pt>
                <c:pt idx="90">
                  <c:v>0.56638309859154889</c:v>
                </c:pt>
                <c:pt idx="91">
                  <c:v>0.5602929577464788</c:v>
                </c:pt>
                <c:pt idx="92">
                  <c:v>0.55420281690140805</c:v>
                </c:pt>
                <c:pt idx="93">
                  <c:v>0.54811267605633784</c:v>
                </c:pt>
                <c:pt idx="94">
                  <c:v>0.5420225352112672</c:v>
                </c:pt>
                <c:pt idx="95">
                  <c:v>0.535932394366197</c:v>
                </c:pt>
                <c:pt idx="96">
                  <c:v>0.52984225352112624</c:v>
                </c:pt>
                <c:pt idx="97">
                  <c:v>0.52375211267605615</c:v>
                </c:pt>
                <c:pt idx="98">
                  <c:v>0.51766197183098539</c:v>
                </c:pt>
                <c:pt idx="99">
                  <c:v>0.5115718309859153</c:v>
                </c:pt>
                <c:pt idx="100">
                  <c:v>0.50548169014084454</c:v>
                </c:pt>
                <c:pt idx="101">
                  <c:v>0.4993915492957744</c:v>
                </c:pt>
                <c:pt idx="102">
                  <c:v>0.4933014084507043</c:v>
                </c:pt>
                <c:pt idx="103">
                  <c:v>0.48721126760563355</c:v>
                </c:pt>
                <c:pt idx="104">
                  <c:v>0.4811211267605634</c:v>
                </c:pt>
                <c:pt idx="105">
                  <c:v>0.4750309859154927</c:v>
                </c:pt>
                <c:pt idx="106">
                  <c:v>0.46894084507042255</c:v>
                </c:pt>
                <c:pt idx="107">
                  <c:v>0.46285070422535179</c:v>
                </c:pt>
                <c:pt idx="108">
                  <c:v>0.4567605633802817</c:v>
                </c:pt>
                <c:pt idx="109">
                  <c:v>0.45067042253521095</c:v>
                </c:pt>
                <c:pt idx="110">
                  <c:v>0.4445802816901408</c:v>
                </c:pt>
                <c:pt idx="111">
                  <c:v>0.43849014084507004</c:v>
                </c:pt>
                <c:pt idx="112">
                  <c:v>0.43239999999999995</c:v>
                </c:pt>
                <c:pt idx="113">
                  <c:v>0.42630985915492919</c:v>
                </c:pt>
                <c:pt idx="114">
                  <c:v>0.42021971830985905</c:v>
                </c:pt>
                <c:pt idx="115">
                  <c:v>0.41412957746478835</c:v>
                </c:pt>
                <c:pt idx="116">
                  <c:v>0.4080394366197182</c:v>
                </c:pt>
                <c:pt idx="117">
                  <c:v>0.40194929577464744</c:v>
                </c:pt>
                <c:pt idx="118">
                  <c:v>0.39585915492957735</c:v>
                </c:pt>
                <c:pt idx="119">
                  <c:v>0.38976901408450659</c:v>
                </c:pt>
                <c:pt idx="120">
                  <c:v>0.38367887323943645</c:v>
                </c:pt>
                <c:pt idx="121">
                  <c:v>0.37758873239436569</c:v>
                </c:pt>
                <c:pt idx="122">
                  <c:v>0.3714985915492956</c:v>
                </c:pt>
                <c:pt idx="123">
                  <c:v>0.36540845070422484</c:v>
                </c:pt>
                <c:pt idx="124">
                  <c:v>0.35931830985915475</c:v>
                </c:pt>
                <c:pt idx="125">
                  <c:v>0.3532281690140846</c:v>
                </c:pt>
                <c:pt idx="126">
                  <c:v>0.34713802816901385</c:v>
                </c:pt>
                <c:pt idx="127">
                  <c:v>0.34104788732394375</c:v>
                </c:pt>
                <c:pt idx="128">
                  <c:v>0.334957746478873</c:v>
                </c:pt>
                <c:pt idx="129">
                  <c:v>0.32886760563380285</c:v>
                </c:pt>
                <c:pt idx="130">
                  <c:v>0.32277746478873209</c:v>
                </c:pt>
                <c:pt idx="131">
                  <c:v>0.316687323943662</c:v>
                </c:pt>
                <c:pt idx="132">
                  <c:v>0.31059718309859125</c:v>
                </c:pt>
                <c:pt idx="133">
                  <c:v>0.3045070422535211</c:v>
                </c:pt>
                <c:pt idx="134">
                  <c:v>0.2984169014084504</c:v>
                </c:pt>
                <c:pt idx="135">
                  <c:v>0.29232676056338025</c:v>
                </c:pt>
                <c:pt idx="136">
                  <c:v>0.28623661971830949</c:v>
                </c:pt>
                <c:pt idx="137">
                  <c:v>0.2801464788732394</c:v>
                </c:pt>
                <c:pt idx="138">
                  <c:v>0.27405633802816864</c:v>
                </c:pt>
                <c:pt idx="139">
                  <c:v>0.2679661971830985</c:v>
                </c:pt>
                <c:pt idx="140">
                  <c:v>0.26187605633802774</c:v>
                </c:pt>
                <c:pt idx="141">
                  <c:v>0.25578591549295765</c:v>
                </c:pt>
                <c:pt idx="142">
                  <c:v>0.24969577464788689</c:v>
                </c:pt>
                <c:pt idx="143">
                  <c:v>0.24360563380281677</c:v>
                </c:pt>
                <c:pt idx="144">
                  <c:v>0.23751549295774602</c:v>
                </c:pt>
                <c:pt idx="145">
                  <c:v>0.2314253521126759</c:v>
                </c:pt>
                <c:pt idx="146">
                  <c:v>0.22533521126760514</c:v>
                </c:pt>
                <c:pt idx="147">
                  <c:v>0.21924507042253502</c:v>
                </c:pt>
                <c:pt idx="148">
                  <c:v>0.21315492957746429</c:v>
                </c:pt>
                <c:pt idx="149">
                  <c:v>0.20706478873239417</c:v>
                </c:pt>
                <c:pt idx="150">
                  <c:v>0.20097464788732405</c:v>
                </c:pt>
                <c:pt idx="151">
                  <c:v>0.1948845070422533</c:v>
                </c:pt>
                <c:pt idx="152">
                  <c:v>0.18879436619718318</c:v>
                </c:pt>
                <c:pt idx="153">
                  <c:v>0.18270422535211242</c:v>
                </c:pt>
                <c:pt idx="154">
                  <c:v>0.1766140845070423</c:v>
                </c:pt>
                <c:pt idx="155">
                  <c:v>0.17052394366197154</c:v>
                </c:pt>
                <c:pt idx="156">
                  <c:v>0.16443380281690143</c:v>
                </c:pt>
                <c:pt idx="157">
                  <c:v>0.1583436619718307</c:v>
                </c:pt>
                <c:pt idx="158">
                  <c:v>0.15225352112676055</c:v>
                </c:pt>
                <c:pt idx="159">
                  <c:v>0.14616338028168982</c:v>
                </c:pt>
                <c:pt idx="160">
                  <c:v>0.1400732394366197</c:v>
                </c:pt>
                <c:pt idx="161">
                  <c:v>0.13398309859154894</c:v>
                </c:pt>
                <c:pt idx="162">
                  <c:v>0.12789295774647882</c:v>
                </c:pt>
                <c:pt idx="163">
                  <c:v>0.12180281690140807</c:v>
                </c:pt>
                <c:pt idx="164">
                  <c:v>0.11571267605633795</c:v>
                </c:pt>
                <c:pt idx="165">
                  <c:v>0.10962253521126721</c:v>
                </c:pt>
                <c:pt idx="166">
                  <c:v>0.10353239436619709</c:v>
                </c:pt>
                <c:pt idx="167">
                  <c:v>9.7442253521126329E-2</c:v>
                </c:pt>
                <c:pt idx="168">
                  <c:v>9.135211267605621E-2</c:v>
                </c:pt>
                <c:pt idx="169">
                  <c:v>8.5261971830985467E-2</c:v>
                </c:pt>
                <c:pt idx="170">
                  <c:v>7.9171830985915348E-2</c:v>
                </c:pt>
                <c:pt idx="171">
                  <c:v>7.3081690140844591E-2</c:v>
                </c:pt>
                <c:pt idx="172">
                  <c:v>6.6991549295774472E-2</c:v>
                </c:pt>
                <c:pt idx="173">
                  <c:v>6.0901408450704353E-2</c:v>
                </c:pt>
                <c:pt idx="174">
                  <c:v>5.4811267605633603E-2</c:v>
                </c:pt>
                <c:pt idx="175">
                  <c:v>4.8721126760563477E-2</c:v>
                </c:pt>
                <c:pt idx="176">
                  <c:v>4.2630985915492733E-2</c:v>
                </c:pt>
                <c:pt idx="177">
                  <c:v>3.6540845070422608E-2</c:v>
                </c:pt>
                <c:pt idx="178">
                  <c:v>3.0450704225351861E-2</c:v>
                </c:pt>
                <c:pt idx="179">
                  <c:v>2.4360563380281738E-2</c:v>
                </c:pt>
                <c:pt idx="180">
                  <c:v>1.8270422535210992E-2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60-468F-8605-2F62A2002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862112"/>
        <c:axId val="1735859936"/>
      </c:scatterChart>
      <c:valAx>
        <c:axId val="1735862112"/>
        <c:scaling>
          <c:orientation val="minMax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>
                    <a:solidFill>
                      <a:sysClr val="windowText" lastClr="000000"/>
                    </a:solidFill>
                  </a:rPr>
                  <a:t>Ln Densidad</a:t>
                </a:r>
                <a:r>
                  <a:rPr lang="es-CO" sz="1200" baseline="0">
                    <a:solidFill>
                      <a:sysClr val="windowText" lastClr="000000"/>
                    </a:solidFill>
                  </a:rPr>
                  <a:t> Optica</a:t>
                </a:r>
                <a:endParaRPr lang="es-CO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859936"/>
        <c:crosses val="autoZero"/>
        <c:crossBetween val="midCat"/>
      </c:valAx>
      <c:valAx>
        <c:axId val="17358599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>
                    <a:solidFill>
                      <a:sysClr val="windowText" lastClr="000000"/>
                    </a:solidFill>
                  </a:rPr>
                  <a:t>Densidad x Grosor (g/cm2)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86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1986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Temperatura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Varadero!$K$35:$K$46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xVal>
          <c:yVal>
            <c:numRef>
              <c:f>Varadero!$L$35:$L$46</c:f>
              <c:numCache>
                <c:formatCode>General</c:formatCode>
                <c:ptCount val="12"/>
                <c:pt idx="0">
                  <c:v>25.03</c:v>
                </c:pt>
                <c:pt idx="1">
                  <c:v>23.97</c:v>
                </c:pt>
                <c:pt idx="2">
                  <c:v>24.49</c:v>
                </c:pt>
                <c:pt idx="3">
                  <c:v>24.99</c:v>
                </c:pt>
                <c:pt idx="4">
                  <c:v>26.55</c:v>
                </c:pt>
                <c:pt idx="5">
                  <c:v>28.32</c:v>
                </c:pt>
                <c:pt idx="6">
                  <c:v>28.99</c:v>
                </c:pt>
                <c:pt idx="7">
                  <c:v>29.1</c:v>
                </c:pt>
                <c:pt idx="8">
                  <c:v>28.9</c:v>
                </c:pt>
                <c:pt idx="9">
                  <c:v>28.47</c:v>
                </c:pt>
                <c:pt idx="10">
                  <c:v>27.46</c:v>
                </c:pt>
                <c:pt idx="11">
                  <c:v>26.54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F7-4684-B585-31BA5EE4B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663760"/>
        <c:axId val="1933665936"/>
      </c:scatterChart>
      <c:valAx>
        <c:axId val="1933663760"/>
        <c:scaling>
          <c:orientation val="minMax"/>
          <c:max val="1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65936"/>
        <c:crosses val="autoZero"/>
        <c:crossBetween val="midCat"/>
        <c:majorUnit val="1"/>
      </c:valAx>
      <c:valAx>
        <c:axId val="1933665936"/>
        <c:scaling>
          <c:orientation val="minMax"/>
          <c:min val="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6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VAR-1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Densidad</c:v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Varadero!$A$2:$A$1676</c:f>
              <c:numCache>
                <c:formatCode>General</c:formatCode>
                <c:ptCount val="1675"/>
                <c:pt idx="0">
                  <c:v>0</c:v>
                </c:pt>
                <c:pt idx="1">
                  <c:v>1.52E-2</c:v>
                </c:pt>
                <c:pt idx="2">
                  <c:v>3.0499999999999999E-2</c:v>
                </c:pt>
                <c:pt idx="3">
                  <c:v>4.5699999999999998E-2</c:v>
                </c:pt>
                <c:pt idx="4">
                  <c:v>6.0900000000000003E-2</c:v>
                </c:pt>
                <c:pt idx="5">
                  <c:v>7.6200000000000004E-2</c:v>
                </c:pt>
                <c:pt idx="6">
                  <c:v>9.1399999999999995E-2</c:v>
                </c:pt>
                <c:pt idx="7">
                  <c:v>0.1066</c:v>
                </c:pt>
                <c:pt idx="8">
                  <c:v>0.12189999999999999</c:v>
                </c:pt>
                <c:pt idx="9">
                  <c:v>0.1371</c:v>
                </c:pt>
                <c:pt idx="10">
                  <c:v>0.15229999999999999</c:v>
                </c:pt>
                <c:pt idx="11">
                  <c:v>0.1676</c:v>
                </c:pt>
                <c:pt idx="12">
                  <c:v>0.18279999999999999</c:v>
                </c:pt>
                <c:pt idx="13">
                  <c:v>0.19800000000000001</c:v>
                </c:pt>
                <c:pt idx="14">
                  <c:v>0.21329999999999999</c:v>
                </c:pt>
                <c:pt idx="15">
                  <c:v>0.22850000000000001</c:v>
                </c:pt>
                <c:pt idx="16">
                  <c:v>0.2437</c:v>
                </c:pt>
                <c:pt idx="17">
                  <c:v>0.25900000000000001</c:v>
                </c:pt>
                <c:pt idx="18">
                  <c:v>0.2742</c:v>
                </c:pt>
                <c:pt idx="19">
                  <c:v>0.28949999999999998</c:v>
                </c:pt>
                <c:pt idx="20">
                  <c:v>0.30470000000000003</c:v>
                </c:pt>
                <c:pt idx="21">
                  <c:v>0.31990000000000002</c:v>
                </c:pt>
                <c:pt idx="22">
                  <c:v>0.3352</c:v>
                </c:pt>
                <c:pt idx="23">
                  <c:v>0.35039999999999999</c:v>
                </c:pt>
                <c:pt idx="24">
                  <c:v>0.36559999999999998</c:v>
                </c:pt>
                <c:pt idx="25">
                  <c:v>0.38090000000000002</c:v>
                </c:pt>
                <c:pt idx="26">
                  <c:v>0.39610000000000001</c:v>
                </c:pt>
                <c:pt idx="27">
                  <c:v>0.4113</c:v>
                </c:pt>
                <c:pt idx="28">
                  <c:v>0.42659999999999998</c:v>
                </c:pt>
                <c:pt idx="29">
                  <c:v>0.44180000000000003</c:v>
                </c:pt>
                <c:pt idx="30">
                  <c:v>0.45700000000000002</c:v>
                </c:pt>
                <c:pt idx="31">
                  <c:v>0.4723</c:v>
                </c:pt>
                <c:pt idx="32">
                  <c:v>0.48749999999999999</c:v>
                </c:pt>
                <c:pt idx="33">
                  <c:v>0.50270000000000004</c:v>
                </c:pt>
                <c:pt idx="34">
                  <c:v>0.51800000000000002</c:v>
                </c:pt>
                <c:pt idx="35">
                  <c:v>0.53320000000000001</c:v>
                </c:pt>
                <c:pt idx="36">
                  <c:v>0.5484</c:v>
                </c:pt>
                <c:pt idx="37">
                  <c:v>0.56369999999999998</c:v>
                </c:pt>
                <c:pt idx="38">
                  <c:v>0.57889999999999997</c:v>
                </c:pt>
                <c:pt idx="39">
                  <c:v>0.59409999999999996</c:v>
                </c:pt>
                <c:pt idx="40">
                  <c:v>0.60940000000000005</c:v>
                </c:pt>
                <c:pt idx="41">
                  <c:v>0.62460000000000004</c:v>
                </c:pt>
                <c:pt idx="42">
                  <c:v>0.63980000000000004</c:v>
                </c:pt>
                <c:pt idx="43">
                  <c:v>0.65510000000000002</c:v>
                </c:pt>
                <c:pt idx="44">
                  <c:v>0.67030000000000001</c:v>
                </c:pt>
                <c:pt idx="45">
                  <c:v>0.6855</c:v>
                </c:pt>
                <c:pt idx="46">
                  <c:v>0.70079999999999998</c:v>
                </c:pt>
                <c:pt idx="47">
                  <c:v>0.71599999999999997</c:v>
                </c:pt>
                <c:pt idx="48">
                  <c:v>0.73119999999999996</c:v>
                </c:pt>
                <c:pt idx="49">
                  <c:v>0.74650000000000005</c:v>
                </c:pt>
                <c:pt idx="50">
                  <c:v>0.76170000000000004</c:v>
                </c:pt>
                <c:pt idx="51">
                  <c:v>0.77700000000000002</c:v>
                </c:pt>
                <c:pt idx="52">
                  <c:v>0.79220000000000002</c:v>
                </c:pt>
                <c:pt idx="53">
                  <c:v>0.80740000000000001</c:v>
                </c:pt>
                <c:pt idx="54">
                  <c:v>0.82269999999999999</c:v>
                </c:pt>
                <c:pt idx="55">
                  <c:v>0.83789999999999998</c:v>
                </c:pt>
                <c:pt idx="56">
                  <c:v>0.85309999999999997</c:v>
                </c:pt>
                <c:pt idx="57">
                  <c:v>0.86839999999999995</c:v>
                </c:pt>
                <c:pt idx="58">
                  <c:v>0.88360000000000005</c:v>
                </c:pt>
                <c:pt idx="59">
                  <c:v>0.89880000000000004</c:v>
                </c:pt>
                <c:pt idx="60">
                  <c:v>0.91410000000000002</c:v>
                </c:pt>
                <c:pt idx="61">
                  <c:v>0.92930000000000001</c:v>
                </c:pt>
                <c:pt idx="62">
                  <c:v>0.94450000000000001</c:v>
                </c:pt>
                <c:pt idx="63">
                  <c:v>0.95979999999999999</c:v>
                </c:pt>
                <c:pt idx="64">
                  <c:v>0.97499999999999998</c:v>
                </c:pt>
                <c:pt idx="65">
                  <c:v>0.99019999999999997</c:v>
                </c:pt>
                <c:pt idx="66">
                  <c:v>1.0055000000000001</c:v>
                </c:pt>
                <c:pt idx="67">
                  <c:v>1.0206999999999999</c:v>
                </c:pt>
                <c:pt idx="68">
                  <c:v>1.0359</c:v>
                </c:pt>
                <c:pt idx="69">
                  <c:v>1.0511999999999999</c:v>
                </c:pt>
                <c:pt idx="70">
                  <c:v>1.0664</c:v>
                </c:pt>
                <c:pt idx="71">
                  <c:v>1.0815999999999999</c:v>
                </c:pt>
                <c:pt idx="72">
                  <c:v>1.0969</c:v>
                </c:pt>
                <c:pt idx="73">
                  <c:v>1.1121000000000001</c:v>
                </c:pt>
                <c:pt idx="74">
                  <c:v>1.1273</c:v>
                </c:pt>
                <c:pt idx="75">
                  <c:v>1.1426000000000001</c:v>
                </c:pt>
                <c:pt idx="76">
                  <c:v>1.1577999999999999</c:v>
                </c:pt>
                <c:pt idx="77">
                  <c:v>1.173</c:v>
                </c:pt>
                <c:pt idx="78">
                  <c:v>1.1882999999999999</c:v>
                </c:pt>
                <c:pt idx="79">
                  <c:v>1.2035</c:v>
                </c:pt>
                <c:pt idx="80">
                  <c:v>1.2186999999999999</c:v>
                </c:pt>
                <c:pt idx="81">
                  <c:v>1.234</c:v>
                </c:pt>
                <c:pt idx="82">
                  <c:v>1.2492000000000001</c:v>
                </c:pt>
                <c:pt idx="83">
                  <c:v>1.2644</c:v>
                </c:pt>
                <c:pt idx="84">
                  <c:v>1.2797000000000001</c:v>
                </c:pt>
                <c:pt idx="85">
                  <c:v>1.2948999999999999</c:v>
                </c:pt>
                <c:pt idx="86">
                  <c:v>1.3102</c:v>
                </c:pt>
                <c:pt idx="87">
                  <c:v>1.3253999999999999</c:v>
                </c:pt>
                <c:pt idx="88">
                  <c:v>1.3406</c:v>
                </c:pt>
                <c:pt idx="89">
                  <c:v>1.3559000000000001</c:v>
                </c:pt>
                <c:pt idx="90">
                  <c:v>1.3711</c:v>
                </c:pt>
                <c:pt idx="91">
                  <c:v>1.3863000000000001</c:v>
                </c:pt>
                <c:pt idx="92">
                  <c:v>1.4016</c:v>
                </c:pt>
                <c:pt idx="93">
                  <c:v>1.4168000000000001</c:v>
                </c:pt>
                <c:pt idx="94">
                  <c:v>1.4319999999999999</c:v>
                </c:pt>
                <c:pt idx="95">
                  <c:v>1.4473</c:v>
                </c:pt>
                <c:pt idx="96">
                  <c:v>1.4624999999999999</c:v>
                </c:pt>
                <c:pt idx="97">
                  <c:v>1.4777</c:v>
                </c:pt>
                <c:pt idx="98">
                  <c:v>1.4930000000000001</c:v>
                </c:pt>
                <c:pt idx="99">
                  <c:v>1.5082</c:v>
                </c:pt>
                <c:pt idx="100">
                  <c:v>1.5234000000000001</c:v>
                </c:pt>
                <c:pt idx="101">
                  <c:v>1.5387</c:v>
                </c:pt>
                <c:pt idx="102">
                  <c:v>1.5539000000000001</c:v>
                </c:pt>
                <c:pt idx="103">
                  <c:v>1.5690999999999999</c:v>
                </c:pt>
                <c:pt idx="104">
                  <c:v>1.5844</c:v>
                </c:pt>
                <c:pt idx="105">
                  <c:v>1.5995999999999999</c:v>
                </c:pt>
                <c:pt idx="106">
                  <c:v>1.6148</c:v>
                </c:pt>
                <c:pt idx="107">
                  <c:v>1.6301000000000001</c:v>
                </c:pt>
                <c:pt idx="108">
                  <c:v>1.6453</c:v>
                </c:pt>
                <c:pt idx="109">
                  <c:v>1.6605000000000001</c:v>
                </c:pt>
                <c:pt idx="110">
                  <c:v>1.6758</c:v>
                </c:pt>
                <c:pt idx="111">
                  <c:v>1.6910000000000001</c:v>
                </c:pt>
                <c:pt idx="112">
                  <c:v>1.7061999999999999</c:v>
                </c:pt>
                <c:pt idx="113">
                  <c:v>1.7215</c:v>
                </c:pt>
                <c:pt idx="114">
                  <c:v>1.7366999999999999</c:v>
                </c:pt>
                <c:pt idx="115">
                  <c:v>1.7519</c:v>
                </c:pt>
                <c:pt idx="116">
                  <c:v>1.7672000000000001</c:v>
                </c:pt>
                <c:pt idx="117">
                  <c:v>1.7824</c:v>
                </c:pt>
                <c:pt idx="118">
                  <c:v>1.7976000000000001</c:v>
                </c:pt>
                <c:pt idx="119">
                  <c:v>1.8129</c:v>
                </c:pt>
                <c:pt idx="120">
                  <c:v>1.8281000000000001</c:v>
                </c:pt>
                <c:pt idx="121">
                  <c:v>1.8433999999999999</c:v>
                </c:pt>
                <c:pt idx="122">
                  <c:v>1.8586</c:v>
                </c:pt>
                <c:pt idx="123">
                  <c:v>1.8737999999999999</c:v>
                </c:pt>
                <c:pt idx="124">
                  <c:v>1.8891</c:v>
                </c:pt>
                <c:pt idx="125">
                  <c:v>1.9043000000000001</c:v>
                </c:pt>
                <c:pt idx="126">
                  <c:v>1.9195</c:v>
                </c:pt>
                <c:pt idx="127">
                  <c:v>1.9348000000000001</c:v>
                </c:pt>
                <c:pt idx="128">
                  <c:v>1.95</c:v>
                </c:pt>
                <c:pt idx="129">
                  <c:v>1.9652000000000001</c:v>
                </c:pt>
                <c:pt idx="130">
                  <c:v>1.9804999999999999</c:v>
                </c:pt>
                <c:pt idx="131">
                  <c:v>1.9957</c:v>
                </c:pt>
                <c:pt idx="132">
                  <c:v>2.0108999999999999</c:v>
                </c:pt>
                <c:pt idx="133">
                  <c:v>2.0261999999999998</c:v>
                </c:pt>
                <c:pt idx="134">
                  <c:v>2.0413999999999999</c:v>
                </c:pt>
                <c:pt idx="135">
                  <c:v>2.0566</c:v>
                </c:pt>
                <c:pt idx="136">
                  <c:v>2.0718999999999999</c:v>
                </c:pt>
                <c:pt idx="137">
                  <c:v>2.0871</c:v>
                </c:pt>
                <c:pt idx="138">
                  <c:v>2.1023000000000001</c:v>
                </c:pt>
                <c:pt idx="139">
                  <c:v>2.1175999999999999</c:v>
                </c:pt>
                <c:pt idx="140">
                  <c:v>2.1328</c:v>
                </c:pt>
                <c:pt idx="141">
                  <c:v>2.1480000000000001</c:v>
                </c:pt>
                <c:pt idx="142">
                  <c:v>2.1633</c:v>
                </c:pt>
                <c:pt idx="143">
                  <c:v>2.1785000000000001</c:v>
                </c:pt>
                <c:pt idx="144">
                  <c:v>2.1937000000000002</c:v>
                </c:pt>
                <c:pt idx="145">
                  <c:v>2.2090000000000001</c:v>
                </c:pt>
                <c:pt idx="146">
                  <c:v>2.2242000000000002</c:v>
                </c:pt>
                <c:pt idx="147">
                  <c:v>2.2393999999999998</c:v>
                </c:pt>
                <c:pt idx="148">
                  <c:v>2.2547000000000001</c:v>
                </c:pt>
                <c:pt idx="149">
                  <c:v>2.2698999999999998</c:v>
                </c:pt>
                <c:pt idx="150">
                  <c:v>2.2850999999999999</c:v>
                </c:pt>
                <c:pt idx="151">
                  <c:v>2.3003999999999998</c:v>
                </c:pt>
                <c:pt idx="152">
                  <c:v>2.3155999999999999</c:v>
                </c:pt>
                <c:pt idx="153">
                  <c:v>2.3309000000000002</c:v>
                </c:pt>
                <c:pt idx="154">
                  <c:v>2.3460999999999999</c:v>
                </c:pt>
                <c:pt idx="155">
                  <c:v>2.3613</c:v>
                </c:pt>
                <c:pt idx="156">
                  <c:v>2.3765999999999998</c:v>
                </c:pt>
                <c:pt idx="157">
                  <c:v>2.3917999999999999</c:v>
                </c:pt>
                <c:pt idx="158">
                  <c:v>2.407</c:v>
                </c:pt>
                <c:pt idx="159">
                  <c:v>2.4222999999999999</c:v>
                </c:pt>
                <c:pt idx="160">
                  <c:v>2.4375</c:v>
                </c:pt>
                <c:pt idx="161">
                  <c:v>2.4527000000000001</c:v>
                </c:pt>
                <c:pt idx="162">
                  <c:v>2.468</c:v>
                </c:pt>
                <c:pt idx="163">
                  <c:v>2.4832000000000001</c:v>
                </c:pt>
                <c:pt idx="164">
                  <c:v>2.4984000000000002</c:v>
                </c:pt>
                <c:pt idx="165">
                  <c:v>2.5137</c:v>
                </c:pt>
                <c:pt idx="166">
                  <c:v>2.5289000000000001</c:v>
                </c:pt>
                <c:pt idx="167">
                  <c:v>2.5440999999999998</c:v>
                </c:pt>
                <c:pt idx="168">
                  <c:v>2.5594000000000001</c:v>
                </c:pt>
                <c:pt idx="169">
                  <c:v>2.5746000000000002</c:v>
                </c:pt>
                <c:pt idx="170">
                  <c:v>2.5897999999999999</c:v>
                </c:pt>
                <c:pt idx="171">
                  <c:v>2.6051000000000002</c:v>
                </c:pt>
                <c:pt idx="172">
                  <c:v>2.6202999999999999</c:v>
                </c:pt>
                <c:pt idx="173">
                  <c:v>2.6355</c:v>
                </c:pt>
                <c:pt idx="174">
                  <c:v>2.6507999999999998</c:v>
                </c:pt>
                <c:pt idx="175">
                  <c:v>2.6659999999999999</c:v>
                </c:pt>
                <c:pt idx="176">
                  <c:v>2.6812</c:v>
                </c:pt>
                <c:pt idx="177">
                  <c:v>2.6964999999999999</c:v>
                </c:pt>
                <c:pt idx="178">
                  <c:v>2.7117</c:v>
                </c:pt>
                <c:pt idx="179">
                  <c:v>2.7269000000000001</c:v>
                </c:pt>
                <c:pt idx="180">
                  <c:v>2.7422</c:v>
                </c:pt>
                <c:pt idx="181">
                  <c:v>2.7574000000000001</c:v>
                </c:pt>
                <c:pt idx="182">
                  <c:v>2.7726000000000002</c:v>
                </c:pt>
                <c:pt idx="183">
                  <c:v>2.7879</c:v>
                </c:pt>
                <c:pt idx="184">
                  <c:v>2.8031000000000001</c:v>
                </c:pt>
                <c:pt idx="185">
                  <c:v>2.8182999999999998</c:v>
                </c:pt>
                <c:pt idx="186">
                  <c:v>2.8336000000000001</c:v>
                </c:pt>
                <c:pt idx="187">
                  <c:v>2.8488000000000002</c:v>
                </c:pt>
                <c:pt idx="188">
                  <c:v>2.8641000000000001</c:v>
                </c:pt>
                <c:pt idx="189">
                  <c:v>2.8793000000000002</c:v>
                </c:pt>
                <c:pt idx="190">
                  <c:v>2.8944999999999999</c:v>
                </c:pt>
                <c:pt idx="191">
                  <c:v>2.9098000000000002</c:v>
                </c:pt>
                <c:pt idx="192">
                  <c:v>2.9249999999999998</c:v>
                </c:pt>
                <c:pt idx="193">
                  <c:v>2.9401999999999999</c:v>
                </c:pt>
                <c:pt idx="194">
                  <c:v>2.9554999999999998</c:v>
                </c:pt>
                <c:pt idx="195">
                  <c:v>2.9706999999999999</c:v>
                </c:pt>
                <c:pt idx="196">
                  <c:v>2.9859</c:v>
                </c:pt>
                <c:pt idx="197">
                  <c:v>3.0011999999999999</c:v>
                </c:pt>
                <c:pt idx="198">
                  <c:v>3.0164</c:v>
                </c:pt>
                <c:pt idx="199">
                  <c:v>3.0316000000000001</c:v>
                </c:pt>
                <c:pt idx="200">
                  <c:v>3.0468999999999999</c:v>
                </c:pt>
                <c:pt idx="201">
                  <c:v>3.0621</c:v>
                </c:pt>
                <c:pt idx="202">
                  <c:v>3.0773000000000001</c:v>
                </c:pt>
                <c:pt idx="203">
                  <c:v>3.0926</c:v>
                </c:pt>
                <c:pt idx="204">
                  <c:v>3.1078000000000001</c:v>
                </c:pt>
                <c:pt idx="205">
                  <c:v>3.1230000000000002</c:v>
                </c:pt>
                <c:pt idx="206">
                  <c:v>3.1383000000000001</c:v>
                </c:pt>
                <c:pt idx="207">
                  <c:v>3.1535000000000002</c:v>
                </c:pt>
                <c:pt idx="208">
                  <c:v>3.1686999999999999</c:v>
                </c:pt>
                <c:pt idx="209">
                  <c:v>3.1840000000000002</c:v>
                </c:pt>
                <c:pt idx="210">
                  <c:v>3.1991999999999998</c:v>
                </c:pt>
                <c:pt idx="211">
                  <c:v>3.2143999999999999</c:v>
                </c:pt>
                <c:pt idx="212">
                  <c:v>3.2296999999999998</c:v>
                </c:pt>
                <c:pt idx="213">
                  <c:v>3.2448999999999999</c:v>
                </c:pt>
                <c:pt idx="214">
                  <c:v>3.2601</c:v>
                </c:pt>
                <c:pt idx="215">
                  <c:v>3.2753999999999999</c:v>
                </c:pt>
                <c:pt idx="216">
                  <c:v>3.2906</c:v>
                </c:pt>
                <c:pt idx="217">
                  <c:v>3.3058000000000001</c:v>
                </c:pt>
                <c:pt idx="218">
                  <c:v>3.3210999999999999</c:v>
                </c:pt>
                <c:pt idx="219">
                  <c:v>3.3363</c:v>
                </c:pt>
                <c:pt idx="220">
                  <c:v>3.3515000000000001</c:v>
                </c:pt>
                <c:pt idx="221">
                  <c:v>3.3668</c:v>
                </c:pt>
                <c:pt idx="222">
                  <c:v>3.3820000000000001</c:v>
                </c:pt>
                <c:pt idx="223">
                  <c:v>3.3973</c:v>
                </c:pt>
                <c:pt idx="224">
                  <c:v>3.4125000000000001</c:v>
                </c:pt>
                <c:pt idx="225">
                  <c:v>3.4277000000000002</c:v>
                </c:pt>
                <c:pt idx="226">
                  <c:v>3.4430000000000001</c:v>
                </c:pt>
                <c:pt idx="227">
                  <c:v>3.4582000000000002</c:v>
                </c:pt>
                <c:pt idx="228">
                  <c:v>3.4733999999999998</c:v>
                </c:pt>
                <c:pt idx="229">
                  <c:v>3.4887000000000001</c:v>
                </c:pt>
                <c:pt idx="230">
                  <c:v>3.5038999999999998</c:v>
                </c:pt>
                <c:pt idx="231">
                  <c:v>3.5190999999999999</c:v>
                </c:pt>
                <c:pt idx="232">
                  <c:v>3.5344000000000002</c:v>
                </c:pt>
                <c:pt idx="233">
                  <c:v>3.5495999999999999</c:v>
                </c:pt>
                <c:pt idx="234">
                  <c:v>3.5648</c:v>
                </c:pt>
                <c:pt idx="235">
                  <c:v>3.5800999999999998</c:v>
                </c:pt>
                <c:pt idx="236">
                  <c:v>3.5952999999999999</c:v>
                </c:pt>
                <c:pt idx="237">
                  <c:v>3.6105</c:v>
                </c:pt>
                <c:pt idx="238">
                  <c:v>3.6257999999999999</c:v>
                </c:pt>
                <c:pt idx="239">
                  <c:v>3.641</c:v>
                </c:pt>
                <c:pt idx="240">
                  <c:v>3.6562000000000001</c:v>
                </c:pt>
                <c:pt idx="241">
                  <c:v>3.6715</c:v>
                </c:pt>
                <c:pt idx="242">
                  <c:v>3.6867000000000001</c:v>
                </c:pt>
                <c:pt idx="243">
                  <c:v>3.7019000000000002</c:v>
                </c:pt>
                <c:pt idx="244">
                  <c:v>3.7172000000000001</c:v>
                </c:pt>
                <c:pt idx="245">
                  <c:v>3.7324000000000002</c:v>
                </c:pt>
                <c:pt idx="246">
                  <c:v>3.7475999999999998</c:v>
                </c:pt>
                <c:pt idx="247">
                  <c:v>3.7629000000000001</c:v>
                </c:pt>
                <c:pt idx="248">
                  <c:v>3.7780999999999998</c:v>
                </c:pt>
                <c:pt idx="249">
                  <c:v>3.7932999999999999</c:v>
                </c:pt>
                <c:pt idx="250">
                  <c:v>3.8086000000000002</c:v>
                </c:pt>
                <c:pt idx="251">
                  <c:v>3.8237999999999999</c:v>
                </c:pt>
                <c:pt idx="252">
                  <c:v>3.839</c:v>
                </c:pt>
                <c:pt idx="253">
                  <c:v>3.8542999999999998</c:v>
                </c:pt>
                <c:pt idx="254">
                  <c:v>3.8694999999999999</c:v>
                </c:pt>
                <c:pt idx="255">
                  <c:v>3.8847999999999998</c:v>
                </c:pt>
                <c:pt idx="256">
                  <c:v>3.9</c:v>
                </c:pt>
                <c:pt idx="257">
                  <c:v>3.9152</c:v>
                </c:pt>
                <c:pt idx="258">
                  <c:v>3.9304999999999999</c:v>
                </c:pt>
                <c:pt idx="259">
                  <c:v>3.9457</c:v>
                </c:pt>
                <c:pt idx="260">
                  <c:v>3.9609000000000001</c:v>
                </c:pt>
                <c:pt idx="261">
                  <c:v>3.9762</c:v>
                </c:pt>
                <c:pt idx="262">
                  <c:v>3.9914000000000001</c:v>
                </c:pt>
                <c:pt idx="263">
                  <c:v>4.0065999999999997</c:v>
                </c:pt>
                <c:pt idx="264">
                  <c:v>4.0218999999999996</c:v>
                </c:pt>
                <c:pt idx="265">
                  <c:v>4.0370999999999997</c:v>
                </c:pt>
                <c:pt idx="266">
                  <c:v>4.0522999999999998</c:v>
                </c:pt>
                <c:pt idx="267">
                  <c:v>4.0675999999999997</c:v>
                </c:pt>
                <c:pt idx="268">
                  <c:v>4.0827999999999998</c:v>
                </c:pt>
                <c:pt idx="269">
                  <c:v>4.0979999999999999</c:v>
                </c:pt>
                <c:pt idx="270">
                  <c:v>4.1132999999999997</c:v>
                </c:pt>
                <c:pt idx="271">
                  <c:v>4.1284999999999998</c:v>
                </c:pt>
                <c:pt idx="272">
                  <c:v>4.1436999999999999</c:v>
                </c:pt>
                <c:pt idx="273">
                  <c:v>4.1589999999999998</c:v>
                </c:pt>
                <c:pt idx="274">
                  <c:v>4.1741999999999999</c:v>
                </c:pt>
                <c:pt idx="275">
                  <c:v>4.1894</c:v>
                </c:pt>
                <c:pt idx="276">
                  <c:v>4.2046999999999999</c:v>
                </c:pt>
                <c:pt idx="277">
                  <c:v>4.2199</c:v>
                </c:pt>
                <c:pt idx="278">
                  <c:v>4.2351000000000001</c:v>
                </c:pt>
                <c:pt idx="279">
                  <c:v>4.2504</c:v>
                </c:pt>
                <c:pt idx="280">
                  <c:v>4.2656000000000001</c:v>
                </c:pt>
                <c:pt idx="281">
                  <c:v>4.2808000000000002</c:v>
                </c:pt>
                <c:pt idx="282">
                  <c:v>4.2961</c:v>
                </c:pt>
                <c:pt idx="283">
                  <c:v>4.3113000000000001</c:v>
                </c:pt>
                <c:pt idx="284">
                  <c:v>4.3265000000000002</c:v>
                </c:pt>
                <c:pt idx="285">
                  <c:v>4.3418000000000001</c:v>
                </c:pt>
                <c:pt idx="286">
                  <c:v>4.3570000000000002</c:v>
                </c:pt>
                <c:pt idx="287">
                  <c:v>4.3722000000000003</c:v>
                </c:pt>
                <c:pt idx="288">
                  <c:v>4.3875000000000002</c:v>
                </c:pt>
                <c:pt idx="289">
                  <c:v>4.4027000000000003</c:v>
                </c:pt>
                <c:pt idx="290">
                  <c:v>4.4180000000000001</c:v>
                </c:pt>
                <c:pt idx="291">
                  <c:v>4.4332000000000003</c:v>
                </c:pt>
                <c:pt idx="292">
                  <c:v>4.4484000000000004</c:v>
                </c:pt>
                <c:pt idx="293">
                  <c:v>4.4637000000000002</c:v>
                </c:pt>
                <c:pt idx="294">
                  <c:v>4.4789000000000003</c:v>
                </c:pt>
                <c:pt idx="295">
                  <c:v>4.4941000000000004</c:v>
                </c:pt>
                <c:pt idx="296">
                  <c:v>4.5094000000000003</c:v>
                </c:pt>
                <c:pt idx="297">
                  <c:v>4.5246000000000004</c:v>
                </c:pt>
                <c:pt idx="298">
                  <c:v>4.5397999999999996</c:v>
                </c:pt>
                <c:pt idx="299">
                  <c:v>4.5551000000000004</c:v>
                </c:pt>
                <c:pt idx="300">
                  <c:v>4.5702999999999996</c:v>
                </c:pt>
                <c:pt idx="301">
                  <c:v>4.5854999999999997</c:v>
                </c:pt>
                <c:pt idx="302">
                  <c:v>4.6007999999999996</c:v>
                </c:pt>
                <c:pt idx="303">
                  <c:v>4.6159999999999997</c:v>
                </c:pt>
                <c:pt idx="304">
                  <c:v>4.6311999999999998</c:v>
                </c:pt>
                <c:pt idx="305">
                  <c:v>4.6464999999999996</c:v>
                </c:pt>
                <c:pt idx="306">
                  <c:v>4.6616999999999997</c:v>
                </c:pt>
                <c:pt idx="307">
                  <c:v>4.6768999999999998</c:v>
                </c:pt>
                <c:pt idx="308">
                  <c:v>4.6921999999999997</c:v>
                </c:pt>
                <c:pt idx="309">
                  <c:v>4.7073999999999998</c:v>
                </c:pt>
                <c:pt idx="310">
                  <c:v>4.7225999999999999</c:v>
                </c:pt>
                <c:pt idx="311">
                  <c:v>4.7378999999999998</c:v>
                </c:pt>
                <c:pt idx="312">
                  <c:v>4.7530999999999999</c:v>
                </c:pt>
                <c:pt idx="313">
                  <c:v>4.7683</c:v>
                </c:pt>
                <c:pt idx="314">
                  <c:v>4.7835999999999999</c:v>
                </c:pt>
                <c:pt idx="315">
                  <c:v>4.7988</c:v>
                </c:pt>
                <c:pt idx="316">
                  <c:v>4.8140000000000001</c:v>
                </c:pt>
                <c:pt idx="317">
                  <c:v>4.8292999999999999</c:v>
                </c:pt>
                <c:pt idx="318">
                  <c:v>4.8445</c:v>
                </c:pt>
                <c:pt idx="319">
                  <c:v>4.8597000000000001</c:v>
                </c:pt>
                <c:pt idx="320">
                  <c:v>4.875</c:v>
                </c:pt>
                <c:pt idx="321">
                  <c:v>4.8902000000000001</c:v>
                </c:pt>
                <c:pt idx="322">
                  <c:v>4.9055</c:v>
                </c:pt>
                <c:pt idx="323">
                  <c:v>4.9207000000000001</c:v>
                </c:pt>
                <c:pt idx="324">
                  <c:v>4.9359000000000002</c:v>
                </c:pt>
                <c:pt idx="325">
                  <c:v>4.9512</c:v>
                </c:pt>
                <c:pt idx="326">
                  <c:v>4.9664000000000001</c:v>
                </c:pt>
                <c:pt idx="327">
                  <c:v>4.9816000000000003</c:v>
                </c:pt>
                <c:pt idx="328">
                  <c:v>4.9969000000000001</c:v>
                </c:pt>
                <c:pt idx="329">
                  <c:v>5.0121000000000002</c:v>
                </c:pt>
                <c:pt idx="330">
                  <c:v>5.0273000000000003</c:v>
                </c:pt>
                <c:pt idx="331">
                  <c:v>5.0426000000000002</c:v>
                </c:pt>
                <c:pt idx="332">
                  <c:v>5.0578000000000003</c:v>
                </c:pt>
                <c:pt idx="333">
                  <c:v>5.0730000000000004</c:v>
                </c:pt>
                <c:pt idx="334">
                  <c:v>5.0883000000000003</c:v>
                </c:pt>
                <c:pt idx="335">
                  <c:v>5.1035000000000004</c:v>
                </c:pt>
                <c:pt idx="336">
                  <c:v>5.1186999999999996</c:v>
                </c:pt>
                <c:pt idx="337">
                  <c:v>5.1340000000000003</c:v>
                </c:pt>
                <c:pt idx="338">
                  <c:v>5.1492000000000004</c:v>
                </c:pt>
                <c:pt idx="339">
                  <c:v>5.1643999999999997</c:v>
                </c:pt>
                <c:pt idx="340">
                  <c:v>5.1797000000000004</c:v>
                </c:pt>
                <c:pt idx="341">
                  <c:v>5.1948999999999996</c:v>
                </c:pt>
                <c:pt idx="342">
                  <c:v>5.2100999999999997</c:v>
                </c:pt>
                <c:pt idx="343">
                  <c:v>5.2253999999999996</c:v>
                </c:pt>
                <c:pt idx="344">
                  <c:v>5.2405999999999997</c:v>
                </c:pt>
                <c:pt idx="345">
                  <c:v>5.2557999999999998</c:v>
                </c:pt>
                <c:pt idx="346">
                  <c:v>5.2710999999999997</c:v>
                </c:pt>
                <c:pt idx="347">
                  <c:v>5.2862999999999998</c:v>
                </c:pt>
                <c:pt idx="348">
                  <c:v>5.3014999999999999</c:v>
                </c:pt>
                <c:pt idx="349">
                  <c:v>5.3167999999999997</c:v>
                </c:pt>
                <c:pt idx="350">
                  <c:v>5.3319999999999999</c:v>
                </c:pt>
                <c:pt idx="351">
                  <c:v>5.3472</c:v>
                </c:pt>
                <c:pt idx="352">
                  <c:v>5.3624999999999998</c:v>
                </c:pt>
                <c:pt idx="353">
                  <c:v>5.3776999999999999</c:v>
                </c:pt>
                <c:pt idx="354">
                  <c:v>5.3929</c:v>
                </c:pt>
                <c:pt idx="355">
                  <c:v>5.4081999999999999</c:v>
                </c:pt>
                <c:pt idx="356">
                  <c:v>5.4234</c:v>
                </c:pt>
                <c:pt idx="357">
                  <c:v>5.4386999999999999</c:v>
                </c:pt>
                <c:pt idx="358">
                  <c:v>5.4539</c:v>
                </c:pt>
                <c:pt idx="359">
                  <c:v>5.4691000000000001</c:v>
                </c:pt>
                <c:pt idx="360">
                  <c:v>5.4843999999999999</c:v>
                </c:pt>
                <c:pt idx="361">
                  <c:v>5.4996</c:v>
                </c:pt>
                <c:pt idx="362">
                  <c:v>5.5148000000000001</c:v>
                </c:pt>
                <c:pt idx="363">
                  <c:v>5.5301</c:v>
                </c:pt>
                <c:pt idx="364">
                  <c:v>5.5453000000000001</c:v>
                </c:pt>
                <c:pt idx="365">
                  <c:v>5.5605000000000002</c:v>
                </c:pt>
                <c:pt idx="366">
                  <c:v>5.5758000000000001</c:v>
                </c:pt>
                <c:pt idx="367">
                  <c:v>5.5910000000000002</c:v>
                </c:pt>
                <c:pt idx="368">
                  <c:v>5.6062000000000003</c:v>
                </c:pt>
                <c:pt idx="369">
                  <c:v>5.6215000000000002</c:v>
                </c:pt>
                <c:pt idx="370">
                  <c:v>5.6367000000000003</c:v>
                </c:pt>
                <c:pt idx="371">
                  <c:v>5.6519000000000004</c:v>
                </c:pt>
                <c:pt idx="372">
                  <c:v>5.6672000000000002</c:v>
                </c:pt>
                <c:pt idx="373">
                  <c:v>5.6824000000000003</c:v>
                </c:pt>
                <c:pt idx="374">
                  <c:v>5.6976000000000004</c:v>
                </c:pt>
                <c:pt idx="375">
                  <c:v>5.7129000000000003</c:v>
                </c:pt>
                <c:pt idx="376">
                  <c:v>5.7281000000000004</c:v>
                </c:pt>
                <c:pt idx="377">
                  <c:v>5.7432999999999996</c:v>
                </c:pt>
                <c:pt idx="378">
                  <c:v>5.7586000000000004</c:v>
                </c:pt>
                <c:pt idx="379">
                  <c:v>5.7737999999999996</c:v>
                </c:pt>
                <c:pt idx="380">
                  <c:v>5.7889999999999997</c:v>
                </c:pt>
                <c:pt idx="381">
                  <c:v>5.8042999999999996</c:v>
                </c:pt>
                <c:pt idx="382">
                  <c:v>5.8194999999999997</c:v>
                </c:pt>
                <c:pt idx="383">
                  <c:v>5.8346999999999998</c:v>
                </c:pt>
                <c:pt idx="384">
                  <c:v>5.85</c:v>
                </c:pt>
                <c:pt idx="385">
                  <c:v>5.8651999999999997</c:v>
                </c:pt>
                <c:pt idx="386">
                  <c:v>5.8803999999999998</c:v>
                </c:pt>
                <c:pt idx="387">
                  <c:v>5.8956999999999997</c:v>
                </c:pt>
                <c:pt idx="388">
                  <c:v>5.9108999999999998</c:v>
                </c:pt>
                <c:pt idx="389">
                  <c:v>5.9260999999999999</c:v>
                </c:pt>
                <c:pt idx="390">
                  <c:v>5.9413999999999998</c:v>
                </c:pt>
                <c:pt idx="391">
                  <c:v>5.9565999999999999</c:v>
                </c:pt>
                <c:pt idx="392">
                  <c:v>5.9718999999999998</c:v>
                </c:pt>
                <c:pt idx="393">
                  <c:v>5.9870999999999999</c:v>
                </c:pt>
                <c:pt idx="394">
                  <c:v>6.0023</c:v>
                </c:pt>
                <c:pt idx="395">
                  <c:v>6.0175999999999998</c:v>
                </c:pt>
                <c:pt idx="396">
                  <c:v>6.0327999999999999</c:v>
                </c:pt>
                <c:pt idx="397">
                  <c:v>6.048</c:v>
                </c:pt>
                <c:pt idx="398">
                  <c:v>6.0632999999999999</c:v>
                </c:pt>
                <c:pt idx="399">
                  <c:v>6.0785</c:v>
                </c:pt>
                <c:pt idx="400">
                  <c:v>6.0937000000000001</c:v>
                </c:pt>
                <c:pt idx="401">
                  <c:v>6.109</c:v>
                </c:pt>
                <c:pt idx="402">
                  <c:v>6.1242000000000001</c:v>
                </c:pt>
                <c:pt idx="403">
                  <c:v>6.1394000000000002</c:v>
                </c:pt>
                <c:pt idx="404">
                  <c:v>6.1547000000000001</c:v>
                </c:pt>
                <c:pt idx="405">
                  <c:v>6.1699000000000002</c:v>
                </c:pt>
                <c:pt idx="406">
                  <c:v>6.1851000000000003</c:v>
                </c:pt>
                <c:pt idx="407">
                  <c:v>6.2004000000000001</c:v>
                </c:pt>
                <c:pt idx="408">
                  <c:v>6.2156000000000002</c:v>
                </c:pt>
                <c:pt idx="409">
                  <c:v>6.2308000000000003</c:v>
                </c:pt>
                <c:pt idx="410">
                  <c:v>6.2461000000000002</c:v>
                </c:pt>
                <c:pt idx="411">
                  <c:v>6.2613000000000003</c:v>
                </c:pt>
                <c:pt idx="412">
                  <c:v>6.2765000000000004</c:v>
                </c:pt>
                <c:pt idx="413">
                  <c:v>6.2918000000000003</c:v>
                </c:pt>
                <c:pt idx="414">
                  <c:v>6.3070000000000004</c:v>
                </c:pt>
                <c:pt idx="415">
                  <c:v>6.3221999999999996</c:v>
                </c:pt>
                <c:pt idx="416">
                  <c:v>6.3375000000000004</c:v>
                </c:pt>
                <c:pt idx="417">
                  <c:v>6.3526999999999996</c:v>
                </c:pt>
                <c:pt idx="418">
                  <c:v>6.3678999999999997</c:v>
                </c:pt>
                <c:pt idx="419">
                  <c:v>6.3832000000000004</c:v>
                </c:pt>
                <c:pt idx="420">
                  <c:v>6.3983999999999996</c:v>
                </c:pt>
                <c:pt idx="421">
                  <c:v>6.4135999999999997</c:v>
                </c:pt>
                <c:pt idx="422">
                  <c:v>6.4288999999999996</c:v>
                </c:pt>
                <c:pt idx="423">
                  <c:v>6.4440999999999997</c:v>
                </c:pt>
                <c:pt idx="424">
                  <c:v>6.4593999999999996</c:v>
                </c:pt>
                <c:pt idx="425">
                  <c:v>6.4745999999999997</c:v>
                </c:pt>
                <c:pt idx="426">
                  <c:v>6.4897999999999998</c:v>
                </c:pt>
                <c:pt idx="427">
                  <c:v>6.5050999999999997</c:v>
                </c:pt>
                <c:pt idx="428">
                  <c:v>6.5202999999999998</c:v>
                </c:pt>
                <c:pt idx="429">
                  <c:v>6.5354999999999999</c:v>
                </c:pt>
                <c:pt idx="430">
                  <c:v>6.5507999999999997</c:v>
                </c:pt>
                <c:pt idx="431">
                  <c:v>6.5659999999999998</c:v>
                </c:pt>
                <c:pt idx="432">
                  <c:v>6.5811999999999999</c:v>
                </c:pt>
                <c:pt idx="433">
                  <c:v>6.5964999999999998</c:v>
                </c:pt>
                <c:pt idx="434">
                  <c:v>6.6116999999999999</c:v>
                </c:pt>
                <c:pt idx="435">
                  <c:v>6.6269</c:v>
                </c:pt>
                <c:pt idx="436">
                  <c:v>6.6421999999999999</c:v>
                </c:pt>
                <c:pt idx="437">
                  <c:v>6.6574</c:v>
                </c:pt>
                <c:pt idx="438">
                  <c:v>6.6726000000000001</c:v>
                </c:pt>
                <c:pt idx="439">
                  <c:v>6.6879</c:v>
                </c:pt>
                <c:pt idx="440">
                  <c:v>6.7031000000000001</c:v>
                </c:pt>
                <c:pt idx="441">
                  <c:v>6.7183000000000002</c:v>
                </c:pt>
                <c:pt idx="442">
                  <c:v>6.7336</c:v>
                </c:pt>
                <c:pt idx="443">
                  <c:v>6.7488000000000001</c:v>
                </c:pt>
                <c:pt idx="444">
                  <c:v>6.7640000000000002</c:v>
                </c:pt>
                <c:pt idx="445">
                  <c:v>6.7793000000000001</c:v>
                </c:pt>
                <c:pt idx="446">
                  <c:v>6.7945000000000002</c:v>
                </c:pt>
                <c:pt idx="447">
                  <c:v>6.8097000000000003</c:v>
                </c:pt>
                <c:pt idx="448">
                  <c:v>6.8250000000000002</c:v>
                </c:pt>
                <c:pt idx="449">
                  <c:v>6.8402000000000003</c:v>
                </c:pt>
                <c:pt idx="450">
                  <c:v>6.8554000000000004</c:v>
                </c:pt>
                <c:pt idx="451">
                  <c:v>6.8707000000000003</c:v>
                </c:pt>
                <c:pt idx="452">
                  <c:v>6.8859000000000004</c:v>
                </c:pt>
                <c:pt idx="453">
                  <c:v>6.9010999999999996</c:v>
                </c:pt>
                <c:pt idx="454">
                  <c:v>6.9164000000000003</c:v>
                </c:pt>
                <c:pt idx="455">
                  <c:v>6.9316000000000004</c:v>
                </c:pt>
                <c:pt idx="456">
                  <c:v>6.9467999999999996</c:v>
                </c:pt>
                <c:pt idx="457">
                  <c:v>6.9621000000000004</c:v>
                </c:pt>
                <c:pt idx="458">
                  <c:v>6.9772999999999996</c:v>
                </c:pt>
                <c:pt idx="459">
                  <c:v>6.9926000000000004</c:v>
                </c:pt>
                <c:pt idx="460">
                  <c:v>7.0077999999999996</c:v>
                </c:pt>
                <c:pt idx="461">
                  <c:v>7.0229999999999997</c:v>
                </c:pt>
                <c:pt idx="462">
                  <c:v>7.0382999999999996</c:v>
                </c:pt>
                <c:pt idx="463">
                  <c:v>7.0534999999999997</c:v>
                </c:pt>
                <c:pt idx="464">
                  <c:v>7.0686999999999998</c:v>
                </c:pt>
                <c:pt idx="465">
                  <c:v>7.0839999999999996</c:v>
                </c:pt>
                <c:pt idx="466">
                  <c:v>7.0991999999999997</c:v>
                </c:pt>
                <c:pt idx="467">
                  <c:v>7.1143999999999998</c:v>
                </c:pt>
                <c:pt idx="468">
                  <c:v>7.1296999999999997</c:v>
                </c:pt>
                <c:pt idx="469">
                  <c:v>7.1448999999999998</c:v>
                </c:pt>
                <c:pt idx="470">
                  <c:v>7.1600999999999999</c:v>
                </c:pt>
                <c:pt idx="471">
                  <c:v>7.1753999999999998</c:v>
                </c:pt>
                <c:pt idx="472">
                  <c:v>7.1905999999999999</c:v>
                </c:pt>
                <c:pt idx="473">
                  <c:v>7.2058</c:v>
                </c:pt>
                <c:pt idx="474">
                  <c:v>7.2210999999999999</c:v>
                </c:pt>
                <c:pt idx="475">
                  <c:v>7.2363</c:v>
                </c:pt>
                <c:pt idx="476">
                  <c:v>7.2515000000000001</c:v>
                </c:pt>
                <c:pt idx="477">
                  <c:v>7.2667999999999999</c:v>
                </c:pt>
                <c:pt idx="478">
                  <c:v>7.282</c:v>
                </c:pt>
                <c:pt idx="479">
                  <c:v>7.2972000000000001</c:v>
                </c:pt>
                <c:pt idx="480">
                  <c:v>7.3125</c:v>
                </c:pt>
                <c:pt idx="481">
                  <c:v>7.3277000000000001</c:v>
                </c:pt>
                <c:pt idx="482">
                  <c:v>7.3429000000000002</c:v>
                </c:pt>
                <c:pt idx="483">
                  <c:v>7.3582000000000001</c:v>
                </c:pt>
                <c:pt idx="484">
                  <c:v>7.3734000000000002</c:v>
                </c:pt>
                <c:pt idx="485">
                  <c:v>7.3886000000000003</c:v>
                </c:pt>
                <c:pt idx="486">
                  <c:v>7.4039000000000001</c:v>
                </c:pt>
                <c:pt idx="487">
                  <c:v>7.4191000000000003</c:v>
                </c:pt>
                <c:pt idx="488">
                  <c:v>7.4343000000000004</c:v>
                </c:pt>
                <c:pt idx="489">
                  <c:v>7.4496000000000002</c:v>
                </c:pt>
                <c:pt idx="490">
                  <c:v>7.4648000000000003</c:v>
                </c:pt>
                <c:pt idx="491">
                  <c:v>7.4801000000000002</c:v>
                </c:pt>
                <c:pt idx="492">
                  <c:v>7.4953000000000003</c:v>
                </c:pt>
                <c:pt idx="493">
                  <c:v>7.5105000000000004</c:v>
                </c:pt>
                <c:pt idx="494">
                  <c:v>7.5258000000000003</c:v>
                </c:pt>
                <c:pt idx="495">
                  <c:v>7.5410000000000004</c:v>
                </c:pt>
                <c:pt idx="496">
                  <c:v>7.5561999999999996</c:v>
                </c:pt>
                <c:pt idx="497">
                  <c:v>7.5715000000000003</c:v>
                </c:pt>
                <c:pt idx="498">
                  <c:v>7.5867000000000004</c:v>
                </c:pt>
                <c:pt idx="499">
                  <c:v>7.6018999999999997</c:v>
                </c:pt>
                <c:pt idx="500">
                  <c:v>7.6172000000000004</c:v>
                </c:pt>
                <c:pt idx="501">
                  <c:v>7.6323999999999996</c:v>
                </c:pt>
                <c:pt idx="502">
                  <c:v>7.6475999999999997</c:v>
                </c:pt>
                <c:pt idx="503">
                  <c:v>7.6628999999999996</c:v>
                </c:pt>
                <c:pt idx="504">
                  <c:v>7.6780999999999997</c:v>
                </c:pt>
                <c:pt idx="505">
                  <c:v>7.6932999999999998</c:v>
                </c:pt>
                <c:pt idx="506">
                  <c:v>7.7085999999999997</c:v>
                </c:pt>
                <c:pt idx="507">
                  <c:v>7.7237999999999998</c:v>
                </c:pt>
                <c:pt idx="508">
                  <c:v>7.7389999999999999</c:v>
                </c:pt>
                <c:pt idx="509">
                  <c:v>7.7542999999999997</c:v>
                </c:pt>
                <c:pt idx="510">
                  <c:v>7.7694999999999999</c:v>
                </c:pt>
                <c:pt idx="511">
                  <c:v>7.7847</c:v>
                </c:pt>
                <c:pt idx="512">
                  <c:v>7.8</c:v>
                </c:pt>
                <c:pt idx="513">
                  <c:v>7.8151999999999999</c:v>
                </c:pt>
                <c:pt idx="514">
                  <c:v>7.8304</c:v>
                </c:pt>
                <c:pt idx="515">
                  <c:v>7.8456999999999999</c:v>
                </c:pt>
                <c:pt idx="516">
                  <c:v>7.8609</c:v>
                </c:pt>
                <c:pt idx="517">
                  <c:v>7.8761000000000001</c:v>
                </c:pt>
                <c:pt idx="518">
                  <c:v>7.8914</c:v>
                </c:pt>
                <c:pt idx="519">
                  <c:v>7.9066000000000001</c:v>
                </c:pt>
                <c:pt idx="520">
                  <c:v>7.9218000000000002</c:v>
                </c:pt>
                <c:pt idx="521">
                  <c:v>7.9371</c:v>
                </c:pt>
                <c:pt idx="522">
                  <c:v>7.9523000000000001</c:v>
                </c:pt>
                <c:pt idx="523">
                  <c:v>7.9675000000000002</c:v>
                </c:pt>
                <c:pt idx="524">
                  <c:v>7.9828000000000001</c:v>
                </c:pt>
                <c:pt idx="525">
                  <c:v>7.9980000000000002</c:v>
                </c:pt>
                <c:pt idx="526">
                  <c:v>8.0132999999999992</c:v>
                </c:pt>
                <c:pt idx="527">
                  <c:v>8.0284999999999993</c:v>
                </c:pt>
                <c:pt idx="528">
                  <c:v>8.0436999999999994</c:v>
                </c:pt>
                <c:pt idx="529">
                  <c:v>8.0589999999999993</c:v>
                </c:pt>
                <c:pt idx="530">
                  <c:v>8.0741999999999994</c:v>
                </c:pt>
                <c:pt idx="531">
                  <c:v>8.0893999999999995</c:v>
                </c:pt>
                <c:pt idx="532">
                  <c:v>8.1046999999999993</c:v>
                </c:pt>
                <c:pt idx="533">
                  <c:v>8.1198999999999995</c:v>
                </c:pt>
                <c:pt idx="534">
                  <c:v>8.1350999999999996</c:v>
                </c:pt>
                <c:pt idx="535">
                  <c:v>8.1503999999999994</c:v>
                </c:pt>
                <c:pt idx="536">
                  <c:v>8.1655999999999995</c:v>
                </c:pt>
                <c:pt idx="537">
                  <c:v>8.1807999999999996</c:v>
                </c:pt>
                <c:pt idx="538">
                  <c:v>8.1960999999999995</c:v>
                </c:pt>
                <c:pt idx="539">
                  <c:v>8.2112999999999996</c:v>
                </c:pt>
                <c:pt idx="540">
                  <c:v>8.2264999999999997</c:v>
                </c:pt>
                <c:pt idx="541">
                  <c:v>8.2417999999999996</c:v>
                </c:pt>
                <c:pt idx="542">
                  <c:v>8.2569999999999997</c:v>
                </c:pt>
                <c:pt idx="543">
                  <c:v>8.2721999999999998</c:v>
                </c:pt>
                <c:pt idx="544">
                  <c:v>8.2874999999999996</c:v>
                </c:pt>
                <c:pt idx="545">
                  <c:v>8.3026999999999997</c:v>
                </c:pt>
                <c:pt idx="546">
                  <c:v>8.3178999999999998</c:v>
                </c:pt>
                <c:pt idx="547">
                  <c:v>8.3331999999999997</c:v>
                </c:pt>
                <c:pt idx="548">
                  <c:v>8.3483999999999998</c:v>
                </c:pt>
                <c:pt idx="549">
                  <c:v>8.3635999999999999</c:v>
                </c:pt>
                <c:pt idx="550">
                  <c:v>8.3788999999999998</c:v>
                </c:pt>
                <c:pt idx="551">
                  <c:v>8.3940999999999999</c:v>
                </c:pt>
                <c:pt idx="552">
                  <c:v>8.4093</c:v>
                </c:pt>
                <c:pt idx="553">
                  <c:v>8.4245999999999999</c:v>
                </c:pt>
                <c:pt idx="554">
                  <c:v>8.4398</c:v>
                </c:pt>
                <c:pt idx="555">
                  <c:v>8.4550000000000001</c:v>
                </c:pt>
                <c:pt idx="556">
                  <c:v>8.4702999999999999</c:v>
                </c:pt>
                <c:pt idx="557">
                  <c:v>8.4855</c:v>
                </c:pt>
                <c:pt idx="558">
                  <c:v>8.5007000000000001</c:v>
                </c:pt>
                <c:pt idx="559">
                  <c:v>8.516</c:v>
                </c:pt>
                <c:pt idx="560">
                  <c:v>8.5312000000000001</c:v>
                </c:pt>
                <c:pt idx="561">
                  <c:v>8.5465</c:v>
                </c:pt>
                <c:pt idx="562">
                  <c:v>8.5617000000000001</c:v>
                </c:pt>
                <c:pt idx="563">
                  <c:v>8.5769000000000002</c:v>
                </c:pt>
                <c:pt idx="564">
                  <c:v>8.5922000000000001</c:v>
                </c:pt>
                <c:pt idx="565">
                  <c:v>8.6074000000000002</c:v>
                </c:pt>
                <c:pt idx="566">
                  <c:v>8.6226000000000003</c:v>
                </c:pt>
                <c:pt idx="567">
                  <c:v>8.6379000000000001</c:v>
                </c:pt>
                <c:pt idx="568">
                  <c:v>8.6531000000000002</c:v>
                </c:pt>
                <c:pt idx="569">
                  <c:v>8.6683000000000003</c:v>
                </c:pt>
                <c:pt idx="570">
                  <c:v>8.6836000000000002</c:v>
                </c:pt>
                <c:pt idx="571">
                  <c:v>8.6988000000000003</c:v>
                </c:pt>
                <c:pt idx="572">
                  <c:v>8.7140000000000004</c:v>
                </c:pt>
                <c:pt idx="573">
                  <c:v>8.7293000000000003</c:v>
                </c:pt>
                <c:pt idx="574">
                  <c:v>8.7445000000000004</c:v>
                </c:pt>
                <c:pt idx="575">
                  <c:v>8.7597000000000005</c:v>
                </c:pt>
                <c:pt idx="576">
                  <c:v>8.7750000000000004</c:v>
                </c:pt>
                <c:pt idx="577">
                  <c:v>8.7902000000000005</c:v>
                </c:pt>
                <c:pt idx="578">
                  <c:v>8.8054000000000006</c:v>
                </c:pt>
                <c:pt idx="579">
                  <c:v>8.8207000000000004</c:v>
                </c:pt>
                <c:pt idx="580">
                  <c:v>8.8359000000000005</c:v>
                </c:pt>
                <c:pt idx="581">
                  <c:v>8.8511000000000006</c:v>
                </c:pt>
                <c:pt idx="582">
                  <c:v>8.8664000000000005</c:v>
                </c:pt>
                <c:pt idx="583">
                  <c:v>8.8816000000000006</c:v>
                </c:pt>
                <c:pt idx="584">
                  <c:v>8.8968000000000007</c:v>
                </c:pt>
                <c:pt idx="585">
                  <c:v>8.9121000000000006</c:v>
                </c:pt>
                <c:pt idx="586">
                  <c:v>8.9273000000000007</c:v>
                </c:pt>
                <c:pt idx="587">
                  <c:v>8.9425000000000008</c:v>
                </c:pt>
                <c:pt idx="588">
                  <c:v>8.9578000000000007</c:v>
                </c:pt>
                <c:pt idx="589">
                  <c:v>8.9730000000000008</c:v>
                </c:pt>
                <c:pt idx="590">
                  <c:v>8.9882000000000009</c:v>
                </c:pt>
                <c:pt idx="591">
                  <c:v>9.0035000000000007</c:v>
                </c:pt>
                <c:pt idx="592">
                  <c:v>9.0187000000000008</c:v>
                </c:pt>
                <c:pt idx="593">
                  <c:v>9.0340000000000007</c:v>
                </c:pt>
                <c:pt idx="594">
                  <c:v>9.0492000000000008</c:v>
                </c:pt>
                <c:pt idx="595">
                  <c:v>9.0643999999999991</c:v>
                </c:pt>
                <c:pt idx="596">
                  <c:v>9.0797000000000008</c:v>
                </c:pt>
                <c:pt idx="597">
                  <c:v>9.0949000000000009</c:v>
                </c:pt>
                <c:pt idx="598">
                  <c:v>9.1100999999999992</c:v>
                </c:pt>
                <c:pt idx="599">
                  <c:v>9.1254000000000008</c:v>
                </c:pt>
                <c:pt idx="600">
                  <c:v>9.1405999999999992</c:v>
                </c:pt>
                <c:pt idx="601">
                  <c:v>9.1557999999999993</c:v>
                </c:pt>
                <c:pt idx="602">
                  <c:v>9.1710999999999991</c:v>
                </c:pt>
                <c:pt idx="603">
                  <c:v>9.1862999999999992</c:v>
                </c:pt>
                <c:pt idx="604">
                  <c:v>9.2014999999999993</c:v>
                </c:pt>
                <c:pt idx="605">
                  <c:v>9.2167999999999992</c:v>
                </c:pt>
                <c:pt idx="606">
                  <c:v>9.2319999999999993</c:v>
                </c:pt>
                <c:pt idx="607">
                  <c:v>9.2471999999999994</c:v>
                </c:pt>
                <c:pt idx="608">
                  <c:v>9.2624999999999993</c:v>
                </c:pt>
                <c:pt idx="609">
                  <c:v>9.2776999999999994</c:v>
                </c:pt>
                <c:pt idx="610">
                  <c:v>9.2928999999999995</c:v>
                </c:pt>
                <c:pt idx="611">
                  <c:v>9.3081999999999994</c:v>
                </c:pt>
                <c:pt idx="612">
                  <c:v>9.3233999999999995</c:v>
                </c:pt>
                <c:pt idx="613">
                  <c:v>9.3385999999999996</c:v>
                </c:pt>
                <c:pt idx="614">
                  <c:v>9.3538999999999994</c:v>
                </c:pt>
                <c:pt idx="615">
                  <c:v>9.3690999999999995</c:v>
                </c:pt>
                <c:pt idx="616">
                  <c:v>9.3842999999999996</c:v>
                </c:pt>
                <c:pt idx="617">
                  <c:v>9.3995999999999995</c:v>
                </c:pt>
                <c:pt idx="618">
                  <c:v>9.4147999999999996</c:v>
                </c:pt>
                <c:pt idx="619">
                  <c:v>9.43</c:v>
                </c:pt>
                <c:pt idx="620">
                  <c:v>9.4452999999999996</c:v>
                </c:pt>
                <c:pt idx="621">
                  <c:v>9.4604999999999997</c:v>
                </c:pt>
                <c:pt idx="622">
                  <c:v>9.4756999999999998</c:v>
                </c:pt>
                <c:pt idx="623">
                  <c:v>9.4909999999999997</c:v>
                </c:pt>
                <c:pt idx="624">
                  <c:v>9.5061999999999998</c:v>
                </c:pt>
                <c:pt idx="625">
                  <c:v>9.5213999999999999</c:v>
                </c:pt>
                <c:pt idx="626">
                  <c:v>9.5366999999999997</c:v>
                </c:pt>
                <c:pt idx="627">
                  <c:v>9.5518999999999998</c:v>
                </c:pt>
                <c:pt idx="628">
                  <c:v>9.5671999999999997</c:v>
                </c:pt>
                <c:pt idx="629">
                  <c:v>9.5823999999999998</c:v>
                </c:pt>
                <c:pt idx="630">
                  <c:v>9.5975999999999999</c:v>
                </c:pt>
                <c:pt idx="631">
                  <c:v>9.6128999999999998</c:v>
                </c:pt>
                <c:pt idx="632">
                  <c:v>9.6280999999999999</c:v>
                </c:pt>
                <c:pt idx="633">
                  <c:v>9.6433</c:v>
                </c:pt>
                <c:pt idx="634">
                  <c:v>9.6585999999999999</c:v>
                </c:pt>
                <c:pt idx="635">
                  <c:v>9.6738</c:v>
                </c:pt>
                <c:pt idx="636">
                  <c:v>9.6890000000000001</c:v>
                </c:pt>
                <c:pt idx="637">
                  <c:v>9.7042999999999999</c:v>
                </c:pt>
                <c:pt idx="638">
                  <c:v>9.7195</c:v>
                </c:pt>
                <c:pt idx="639">
                  <c:v>9.7347000000000001</c:v>
                </c:pt>
                <c:pt idx="640">
                  <c:v>9.75</c:v>
                </c:pt>
                <c:pt idx="641">
                  <c:v>9.7652000000000001</c:v>
                </c:pt>
                <c:pt idx="642">
                  <c:v>9.7804000000000002</c:v>
                </c:pt>
                <c:pt idx="643">
                  <c:v>9.7957000000000001</c:v>
                </c:pt>
                <c:pt idx="644">
                  <c:v>9.8109000000000002</c:v>
                </c:pt>
                <c:pt idx="645">
                  <c:v>9.8261000000000003</c:v>
                </c:pt>
                <c:pt idx="646">
                  <c:v>9.8414000000000001</c:v>
                </c:pt>
                <c:pt idx="647">
                  <c:v>9.8566000000000003</c:v>
                </c:pt>
                <c:pt idx="648">
                  <c:v>9.8718000000000004</c:v>
                </c:pt>
                <c:pt idx="649">
                  <c:v>9.8871000000000002</c:v>
                </c:pt>
                <c:pt idx="650">
                  <c:v>9.9023000000000003</c:v>
                </c:pt>
                <c:pt idx="651">
                  <c:v>9.9175000000000004</c:v>
                </c:pt>
                <c:pt idx="652">
                  <c:v>9.9328000000000003</c:v>
                </c:pt>
                <c:pt idx="653">
                  <c:v>9.9480000000000004</c:v>
                </c:pt>
                <c:pt idx="654">
                  <c:v>9.9632000000000005</c:v>
                </c:pt>
                <c:pt idx="655">
                  <c:v>9.9785000000000004</c:v>
                </c:pt>
                <c:pt idx="656">
                  <c:v>9.9937000000000005</c:v>
                </c:pt>
                <c:pt idx="657">
                  <c:v>10.008900000000001</c:v>
                </c:pt>
                <c:pt idx="658">
                  <c:v>10.0242</c:v>
                </c:pt>
                <c:pt idx="659">
                  <c:v>10.039400000000001</c:v>
                </c:pt>
                <c:pt idx="660">
                  <c:v>10.054600000000001</c:v>
                </c:pt>
                <c:pt idx="661">
                  <c:v>10.069900000000001</c:v>
                </c:pt>
                <c:pt idx="662">
                  <c:v>10.085100000000001</c:v>
                </c:pt>
                <c:pt idx="663">
                  <c:v>10.1004</c:v>
                </c:pt>
                <c:pt idx="664">
                  <c:v>10.115600000000001</c:v>
                </c:pt>
                <c:pt idx="665">
                  <c:v>10.130800000000001</c:v>
                </c:pt>
                <c:pt idx="666">
                  <c:v>10.146100000000001</c:v>
                </c:pt>
                <c:pt idx="667">
                  <c:v>10.161300000000001</c:v>
                </c:pt>
                <c:pt idx="668">
                  <c:v>10.176500000000001</c:v>
                </c:pt>
                <c:pt idx="669">
                  <c:v>10.191800000000001</c:v>
                </c:pt>
                <c:pt idx="670">
                  <c:v>10.207000000000001</c:v>
                </c:pt>
                <c:pt idx="671">
                  <c:v>10.222200000000001</c:v>
                </c:pt>
                <c:pt idx="672">
                  <c:v>10.237500000000001</c:v>
                </c:pt>
                <c:pt idx="673">
                  <c:v>10.252700000000001</c:v>
                </c:pt>
                <c:pt idx="674">
                  <c:v>10.267899999999999</c:v>
                </c:pt>
                <c:pt idx="675">
                  <c:v>10.283200000000001</c:v>
                </c:pt>
                <c:pt idx="676">
                  <c:v>10.298400000000001</c:v>
                </c:pt>
                <c:pt idx="677">
                  <c:v>10.313599999999999</c:v>
                </c:pt>
                <c:pt idx="678">
                  <c:v>10.328900000000001</c:v>
                </c:pt>
                <c:pt idx="679">
                  <c:v>10.344099999999999</c:v>
                </c:pt>
                <c:pt idx="680">
                  <c:v>10.359299999999999</c:v>
                </c:pt>
                <c:pt idx="681">
                  <c:v>10.374599999999999</c:v>
                </c:pt>
                <c:pt idx="682">
                  <c:v>10.389799999999999</c:v>
                </c:pt>
                <c:pt idx="683">
                  <c:v>10.404999999999999</c:v>
                </c:pt>
                <c:pt idx="684">
                  <c:v>10.420299999999999</c:v>
                </c:pt>
                <c:pt idx="685">
                  <c:v>10.435499999999999</c:v>
                </c:pt>
                <c:pt idx="686">
                  <c:v>10.450699999999999</c:v>
                </c:pt>
                <c:pt idx="687">
                  <c:v>10.465999999999999</c:v>
                </c:pt>
                <c:pt idx="688">
                  <c:v>10.481199999999999</c:v>
                </c:pt>
                <c:pt idx="689">
                  <c:v>10.4964</c:v>
                </c:pt>
                <c:pt idx="690">
                  <c:v>10.511699999999999</c:v>
                </c:pt>
                <c:pt idx="691">
                  <c:v>10.526899999999999</c:v>
                </c:pt>
                <c:pt idx="692">
                  <c:v>10.5421</c:v>
                </c:pt>
                <c:pt idx="693">
                  <c:v>10.557399999999999</c:v>
                </c:pt>
                <c:pt idx="694">
                  <c:v>10.5726</c:v>
                </c:pt>
                <c:pt idx="695">
                  <c:v>10.587899999999999</c:v>
                </c:pt>
                <c:pt idx="696">
                  <c:v>10.6031</c:v>
                </c:pt>
                <c:pt idx="697">
                  <c:v>10.6183</c:v>
                </c:pt>
                <c:pt idx="698">
                  <c:v>10.633599999999999</c:v>
                </c:pt>
                <c:pt idx="699">
                  <c:v>10.6488</c:v>
                </c:pt>
                <c:pt idx="700">
                  <c:v>10.664</c:v>
                </c:pt>
                <c:pt idx="701">
                  <c:v>10.6793</c:v>
                </c:pt>
                <c:pt idx="702">
                  <c:v>10.6945</c:v>
                </c:pt>
                <c:pt idx="703">
                  <c:v>10.7097</c:v>
                </c:pt>
                <c:pt idx="704">
                  <c:v>10.725</c:v>
                </c:pt>
                <c:pt idx="705">
                  <c:v>10.7402</c:v>
                </c:pt>
                <c:pt idx="706">
                  <c:v>10.7554</c:v>
                </c:pt>
                <c:pt idx="707">
                  <c:v>10.7707</c:v>
                </c:pt>
                <c:pt idx="708">
                  <c:v>10.7859</c:v>
                </c:pt>
                <c:pt idx="709">
                  <c:v>10.8011</c:v>
                </c:pt>
                <c:pt idx="710">
                  <c:v>10.8164</c:v>
                </c:pt>
                <c:pt idx="711">
                  <c:v>10.8316</c:v>
                </c:pt>
                <c:pt idx="712">
                  <c:v>10.8468</c:v>
                </c:pt>
                <c:pt idx="713">
                  <c:v>10.8621</c:v>
                </c:pt>
                <c:pt idx="714">
                  <c:v>10.8773</c:v>
                </c:pt>
                <c:pt idx="715">
                  <c:v>10.8925</c:v>
                </c:pt>
                <c:pt idx="716">
                  <c:v>10.9078</c:v>
                </c:pt>
                <c:pt idx="717">
                  <c:v>10.923</c:v>
                </c:pt>
                <c:pt idx="718">
                  <c:v>10.9382</c:v>
                </c:pt>
                <c:pt idx="719">
                  <c:v>10.9535</c:v>
                </c:pt>
                <c:pt idx="720">
                  <c:v>10.9687</c:v>
                </c:pt>
                <c:pt idx="721">
                  <c:v>10.9839</c:v>
                </c:pt>
                <c:pt idx="722">
                  <c:v>10.9992</c:v>
                </c:pt>
                <c:pt idx="723">
                  <c:v>11.0144</c:v>
                </c:pt>
                <c:pt idx="724">
                  <c:v>11.0296</c:v>
                </c:pt>
                <c:pt idx="725">
                  <c:v>11.0449</c:v>
                </c:pt>
                <c:pt idx="726">
                  <c:v>11.0601</c:v>
                </c:pt>
                <c:pt idx="727">
                  <c:v>11.0753</c:v>
                </c:pt>
                <c:pt idx="728">
                  <c:v>11.0906</c:v>
                </c:pt>
                <c:pt idx="729">
                  <c:v>11.1058</c:v>
                </c:pt>
                <c:pt idx="730">
                  <c:v>11.1211</c:v>
                </c:pt>
                <c:pt idx="731">
                  <c:v>11.1363</c:v>
                </c:pt>
                <c:pt idx="732">
                  <c:v>11.1515</c:v>
                </c:pt>
                <c:pt idx="733">
                  <c:v>11.1668</c:v>
                </c:pt>
                <c:pt idx="734">
                  <c:v>11.182</c:v>
                </c:pt>
                <c:pt idx="735">
                  <c:v>11.1972</c:v>
                </c:pt>
                <c:pt idx="736">
                  <c:v>11.2125</c:v>
                </c:pt>
                <c:pt idx="737">
                  <c:v>11.2277</c:v>
                </c:pt>
                <c:pt idx="738">
                  <c:v>11.242900000000001</c:v>
                </c:pt>
                <c:pt idx="739">
                  <c:v>11.2582</c:v>
                </c:pt>
                <c:pt idx="740">
                  <c:v>11.273400000000001</c:v>
                </c:pt>
                <c:pt idx="741">
                  <c:v>11.288600000000001</c:v>
                </c:pt>
                <c:pt idx="742">
                  <c:v>11.303900000000001</c:v>
                </c:pt>
                <c:pt idx="743">
                  <c:v>11.319100000000001</c:v>
                </c:pt>
                <c:pt idx="744">
                  <c:v>11.334300000000001</c:v>
                </c:pt>
                <c:pt idx="745">
                  <c:v>11.349600000000001</c:v>
                </c:pt>
                <c:pt idx="746">
                  <c:v>11.364800000000001</c:v>
                </c:pt>
                <c:pt idx="747">
                  <c:v>11.38</c:v>
                </c:pt>
                <c:pt idx="748">
                  <c:v>11.395300000000001</c:v>
                </c:pt>
                <c:pt idx="749">
                  <c:v>11.410500000000001</c:v>
                </c:pt>
                <c:pt idx="750">
                  <c:v>11.425700000000001</c:v>
                </c:pt>
                <c:pt idx="751">
                  <c:v>11.441000000000001</c:v>
                </c:pt>
                <c:pt idx="752">
                  <c:v>11.456200000000001</c:v>
                </c:pt>
                <c:pt idx="753">
                  <c:v>11.471399999999999</c:v>
                </c:pt>
                <c:pt idx="754">
                  <c:v>11.486700000000001</c:v>
                </c:pt>
                <c:pt idx="755">
                  <c:v>11.501899999999999</c:v>
                </c:pt>
                <c:pt idx="756">
                  <c:v>11.517099999999999</c:v>
                </c:pt>
                <c:pt idx="757">
                  <c:v>11.532400000000001</c:v>
                </c:pt>
                <c:pt idx="758">
                  <c:v>11.547599999999999</c:v>
                </c:pt>
                <c:pt idx="759">
                  <c:v>11.562799999999999</c:v>
                </c:pt>
                <c:pt idx="760">
                  <c:v>11.578099999999999</c:v>
                </c:pt>
                <c:pt idx="761">
                  <c:v>11.593299999999999</c:v>
                </c:pt>
                <c:pt idx="762">
                  <c:v>11.608599999999999</c:v>
                </c:pt>
                <c:pt idx="763">
                  <c:v>11.623799999999999</c:v>
                </c:pt>
                <c:pt idx="764">
                  <c:v>11.638999999999999</c:v>
                </c:pt>
                <c:pt idx="765">
                  <c:v>11.654299999999999</c:v>
                </c:pt>
                <c:pt idx="766">
                  <c:v>11.669499999999999</c:v>
                </c:pt>
                <c:pt idx="767">
                  <c:v>11.684699999999999</c:v>
                </c:pt>
                <c:pt idx="768">
                  <c:v>11.7</c:v>
                </c:pt>
                <c:pt idx="769">
                  <c:v>11.715199999999999</c:v>
                </c:pt>
                <c:pt idx="770">
                  <c:v>11.730399999999999</c:v>
                </c:pt>
                <c:pt idx="771">
                  <c:v>11.745699999999999</c:v>
                </c:pt>
                <c:pt idx="772">
                  <c:v>11.760899999999999</c:v>
                </c:pt>
                <c:pt idx="773">
                  <c:v>11.7761</c:v>
                </c:pt>
                <c:pt idx="774">
                  <c:v>11.791399999999999</c:v>
                </c:pt>
                <c:pt idx="775">
                  <c:v>11.8066</c:v>
                </c:pt>
                <c:pt idx="776">
                  <c:v>11.8218</c:v>
                </c:pt>
                <c:pt idx="777">
                  <c:v>11.8371</c:v>
                </c:pt>
                <c:pt idx="778">
                  <c:v>11.8523</c:v>
                </c:pt>
                <c:pt idx="779">
                  <c:v>11.8675</c:v>
                </c:pt>
                <c:pt idx="780">
                  <c:v>11.8828</c:v>
                </c:pt>
                <c:pt idx="781">
                  <c:v>11.898</c:v>
                </c:pt>
                <c:pt idx="782">
                  <c:v>11.9132</c:v>
                </c:pt>
                <c:pt idx="783">
                  <c:v>11.9285</c:v>
                </c:pt>
                <c:pt idx="784">
                  <c:v>11.9437</c:v>
                </c:pt>
                <c:pt idx="785">
                  <c:v>11.9589</c:v>
                </c:pt>
                <c:pt idx="786">
                  <c:v>11.9742</c:v>
                </c:pt>
                <c:pt idx="787">
                  <c:v>11.9894</c:v>
                </c:pt>
                <c:pt idx="788">
                  <c:v>12.0046</c:v>
                </c:pt>
                <c:pt idx="789">
                  <c:v>12.0199</c:v>
                </c:pt>
                <c:pt idx="790">
                  <c:v>12.0351</c:v>
                </c:pt>
                <c:pt idx="791">
                  <c:v>12.0503</c:v>
                </c:pt>
                <c:pt idx="792">
                  <c:v>12.0656</c:v>
                </c:pt>
                <c:pt idx="793">
                  <c:v>12.0808</c:v>
                </c:pt>
                <c:pt idx="794">
                  <c:v>12.096</c:v>
                </c:pt>
                <c:pt idx="795">
                  <c:v>12.1113</c:v>
                </c:pt>
                <c:pt idx="796">
                  <c:v>12.1265</c:v>
                </c:pt>
                <c:pt idx="797">
                  <c:v>12.1418</c:v>
                </c:pt>
                <c:pt idx="798">
                  <c:v>12.157</c:v>
                </c:pt>
                <c:pt idx="799">
                  <c:v>12.1722</c:v>
                </c:pt>
                <c:pt idx="800">
                  <c:v>12.1875</c:v>
                </c:pt>
                <c:pt idx="801">
                  <c:v>12.2027</c:v>
                </c:pt>
                <c:pt idx="802">
                  <c:v>12.2179</c:v>
                </c:pt>
                <c:pt idx="803">
                  <c:v>12.2332</c:v>
                </c:pt>
                <c:pt idx="804">
                  <c:v>12.2484</c:v>
                </c:pt>
                <c:pt idx="805">
                  <c:v>12.2636</c:v>
                </c:pt>
                <c:pt idx="806">
                  <c:v>12.2789</c:v>
                </c:pt>
                <c:pt idx="807">
                  <c:v>12.2941</c:v>
                </c:pt>
                <c:pt idx="808">
                  <c:v>12.3093</c:v>
                </c:pt>
                <c:pt idx="809">
                  <c:v>12.3246</c:v>
                </c:pt>
                <c:pt idx="810">
                  <c:v>12.3398</c:v>
                </c:pt>
                <c:pt idx="811">
                  <c:v>12.355</c:v>
                </c:pt>
                <c:pt idx="812">
                  <c:v>12.3703</c:v>
                </c:pt>
                <c:pt idx="813">
                  <c:v>12.3855</c:v>
                </c:pt>
                <c:pt idx="814">
                  <c:v>12.400700000000001</c:v>
                </c:pt>
                <c:pt idx="815">
                  <c:v>12.416</c:v>
                </c:pt>
                <c:pt idx="816">
                  <c:v>12.4312</c:v>
                </c:pt>
                <c:pt idx="817">
                  <c:v>12.446400000000001</c:v>
                </c:pt>
                <c:pt idx="818">
                  <c:v>12.4617</c:v>
                </c:pt>
                <c:pt idx="819">
                  <c:v>12.476900000000001</c:v>
                </c:pt>
                <c:pt idx="820">
                  <c:v>12.492100000000001</c:v>
                </c:pt>
                <c:pt idx="821">
                  <c:v>12.507400000000001</c:v>
                </c:pt>
                <c:pt idx="822">
                  <c:v>12.522600000000001</c:v>
                </c:pt>
                <c:pt idx="823">
                  <c:v>12.537800000000001</c:v>
                </c:pt>
                <c:pt idx="824">
                  <c:v>12.553100000000001</c:v>
                </c:pt>
                <c:pt idx="825">
                  <c:v>12.568300000000001</c:v>
                </c:pt>
                <c:pt idx="826">
                  <c:v>12.583500000000001</c:v>
                </c:pt>
                <c:pt idx="827">
                  <c:v>12.598800000000001</c:v>
                </c:pt>
                <c:pt idx="828">
                  <c:v>12.614000000000001</c:v>
                </c:pt>
                <c:pt idx="829">
                  <c:v>12.629200000000001</c:v>
                </c:pt>
                <c:pt idx="830">
                  <c:v>12.644500000000001</c:v>
                </c:pt>
                <c:pt idx="831">
                  <c:v>12.659700000000001</c:v>
                </c:pt>
                <c:pt idx="832">
                  <c:v>12.675000000000001</c:v>
                </c:pt>
                <c:pt idx="833">
                  <c:v>12.690200000000001</c:v>
                </c:pt>
                <c:pt idx="834">
                  <c:v>12.705399999999999</c:v>
                </c:pt>
                <c:pt idx="835">
                  <c:v>12.720700000000001</c:v>
                </c:pt>
                <c:pt idx="836">
                  <c:v>12.735900000000001</c:v>
                </c:pt>
                <c:pt idx="837">
                  <c:v>12.751099999999999</c:v>
                </c:pt>
                <c:pt idx="838">
                  <c:v>12.766400000000001</c:v>
                </c:pt>
                <c:pt idx="839">
                  <c:v>12.781599999999999</c:v>
                </c:pt>
                <c:pt idx="840">
                  <c:v>12.796799999999999</c:v>
                </c:pt>
                <c:pt idx="841">
                  <c:v>12.812099999999999</c:v>
                </c:pt>
                <c:pt idx="842">
                  <c:v>12.827299999999999</c:v>
                </c:pt>
                <c:pt idx="843">
                  <c:v>12.842499999999999</c:v>
                </c:pt>
                <c:pt idx="844">
                  <c:v>12.857799999999999</c:v>
                </c:pt>
                <c:pt idx="845">
                  <c:v>12.872999999999999</c:v>
                </c:pt>
                <c:pt idx="846">
                  <c:v>12.888199999999999</c:v>
                </c:pt>
                <c:pt idx="847">
                  <c:v>12.903499999999999</c:v>
                </c:pt>
                <c:pt idx="848">
                  <c:v>12.918699999999999</c:v>
                </c:pt>
                <c:pt idx="849">
                  <c:v>12.9339</c:v>
                </c:pt>
                <c:pt idx="850">
                  <c:v>12.949199999999999</c:v>
                </c:pt>
                <c:pt idx="851">
                  <c:v>12.964399999999999</c:v>
                </c:pt>
                <c:pt idx="852">
                  <c:v>12.9796</c:v>
                </c:pt>
                <c:pt idx="853">
                  <c:v>12.994899999999999</c:v>
                </c:pt>
                <c:pt idx="854">
                  <c:v>13.0101</c:v>
                </c:pt>
                <c:pt idx="855">
                  <c:v>13.0253</c:v>
                </c:pt>
                <c:pt idx="856">
                  <c:v>13.0406</c:v>
                </c:pt>
                <c:pt idx="857">
                  <c:v>13.0558</c:v>
                </c:pt>
                <c:pt idx="858">
                  <c:v>13.071</c:v>
                </c:pt>
                <c:pt idx="859">
                  <c:v>13.0863</c:v>
                </c:pt>
                <c:pt idx="860">
                  <c:v>13.1015</c:v>
                </c:pt>
                <c:pt idx="861">
                  <c:v>13.1167</c:v>
                </c:pt>
                <c:pt idx="862">
                  <c:v>13.132</c:v>
                </c:pt>
                <c:pt idx="863">
                  <c:v>13.1472</c:v>
                </c:pt>
                <c:pt idx="864">
                  <c:v>13.1625</c:v>
                </c:pt>
                <c:pt idx="865">
                  <c:v>13.1777</c:v>
                </c:pt>
                <c:pt idx="866">
                  <c:v>13.1929</c:v>
                </c:pt>
                <c:pt idx="867">
                  <c:v>13.2082</c:v>
                </c:pt>
                <c:pt idx="868">
                  <c:v>13.2234</c:v>
                </c:pt>
                <c:pt idx="869">
                  <c:v>13.2386</c:v>
                </c:pt>
                <c:pt idx="870">
                  <c:v>13.2539</c:v>
                </c:pt>
                <c:pt idx="871">
                  <c:v>13.2691</c:v>
                </c:pt>
                <c:pt idx="872">
                  <c:v>13.2843</c:v>
                </c:pt>
                <c:pt idx="873">
                  <c:v>13.2996</c:v>
                </c:pt>
                <c:pt idx="874">
                  <c:v>13.3148</c:v>
                </c:pt>
                <c:pt idx="875">
                  <c:v>13.33</c:v>
                </c:pt>
                <c:pt idx="876">
                  <c:v>13.3453</c:v>
                </c:pt>
                <c:pt idx="877">
                  <c:v>13.3605</c:v>
                </c:pt>
                <c:pt idx="878">
                  <c:v>13.3757</c:v>
                </c:pt>
                <c:pt idx="879">
                  <c:v>13.391</c:v>
                </c:pt>
                <c:pt idx="880">
                  <c:v>13.4062</c:v>
                </c:pt>
                <c:pt idx="881">
                  <c:v>13.4214</c:v>
                </c:pt>
                <c:pt idx="882">
                  <c:v>13.4367</c:v>
                </c:pt>
                <c:pt idx="883">
                  <c:v>13.4519</c:v>
                </c:pt>
                <c:pt idx="884">
                  <c:v>13.4671</c:v>
                </c:pt>
                <c:pt idx="885">
                  <c:v>13.4824</c:v>
                </c:pt>
                <c:pt idx="886">
                  <c:v>13.4976</c:v>
                </c:pt>
                <c:pt idx="887">
                  <c:v>13.5128</c:v>
                </c:pt>
                <c:pt idx="888">
                  <c:v>13.5281</c:v>
                </c:pt>
                <c:pt idx="889">
                  <c:v>13.5433</c:v>
                </c:pt>
                <c:pt idx="890">
                  <c:v>13.5585</c:v>
                </c:pt>
                <c:pt idx="891">
                  <c:v>13.5738</c:v>
                </c:pt>
                <c:pt idx="892">
                  <c:v>13.589</c:v>
                </c:pt>
                <c:pt idx="893">
                  <c:v>13.604200000000001</c:v>
                </c:pt>
                <c:pt idx="894">
                  <c:v>13.6195</c:v>
                </c:pt>
                <c:pt idx="895">
                  <c:v>13.6347</c:v>
                </c:pt>
                <c:pt idx="896">
                  <c:v>13.649900000000001</c:v>
                </c:pt>
                <c:pt idx="897">
                  <c:v>13.6652</c:v>
                </c:pt>
                <c:pt idx="898">
                  <c:v>13.680400000000001</c:v>
                </c:pt>
                <c:pt idx="899">
                  <c:v>13.6957</c:v>
                </c:pt>
                <c:pt idx="900">
                  <c:v>13.710900000000001</c:v>
                </c:pt>
                <c:pt idx="901">
                  <c:v>13.726100000000001</c:v>
                </c:pt>
                <c:pt idx="902">
                  <c:v>13.741400000000001</c:v>
                </c:pt>
                <c:pt idx="903">
                  <c:v>13.756600000000001</c:v>
                </c:pt>
                <c:pt idx="904">
                  <c:v>13.771800000000001</c:v>
                </c:pt>
                <c:pt idx="905">
                  <c:v>13.787100000000001</c:v>
                </c:pt>
                <c:pt idx="906">
                  <c:v>13.802300000000001</c:v>
                </c:pt>
                <c:pt idx="907">
                  <c:v>13.817500000000001</c:v>
                </c:pt>
                <c:pt idx="908">
                  <c:v>13.832800000000001</c:v>
                </c:pt>
                <c:pt idx="909">
                  <c:v>13.848000000000001</c:v>
                </c:pt>
                <c:pt idx="910">
                  <c:v>13.863200000000001</c:v>
                </c:pt>
                <c:pt idx="911">
                  <c:v>13.878500000000001</c:v>
                </c:pt>
                <c:pt idx="912">
                  <c:v>13.893700000000001</c:v>
                </c:pt>
                <c:pt idx="913">
                  <c:v>13.908899999999999</c:v>
                </c:pt>
                <c:pt idx="914">
                  <c:v>13.924200000000001</c:v>
                </c:pt>
                <c:pt idx="915">
                  <c:v>13.939399999999999</c:v>
                </c:pt>
                <c:pt idx="916">
                  <c:v>13.954599999999999</c:v>
                </c:pt>
                <c:pt idx="917">
                  <c:v>13.969900000000001</c:v>
                </c:pt>
                <c:pt idx="918">
                  <c:v>13.985099999999999</c:v>
                </c:pt>
                <c:pt idx="919">
                  <c:v>14.000299999999999</c:v>
                </c:pt>
                <c:pt idx="920">
                  <c:v>14.015599999999999</c:v>
                </c:pt>
                <c:pt idx="921">
                  <c:v>14.030799999999999</c:v>
                </c:pt>
                <c:pt idx="922">
                  <c:v>14.045999999999999</c:v>
                </c:pt>
                <c:pt idx="923">
                  <c:v>14.061299999999999</c:v>
                </c:pt>
                <c:pt idx="924">
                  <c:v>14.076499999999999</c:v>
                </c:pt>
                <c:pt idx="925">
                  <c:v>14.091699999999999</c:v>
                </c:pt>
                <c:pt idx="926">
                  <c:v>14.106999999999999</c:v>
                </c:pt>
                <c:pt idx="927">
                  <c:v>14.122199999999999</c:v>
                </c:pt>
                <c:pt idx="928">
                  <c:v>14.1374</c:v>
                </c:pt>
                <c:pt idx="929">
                  <c:v>14.152699999999999</c:v>
                </c:pt>
                <c:pt idx="930">
                  <c:v>14.167899999999999</c:v>
                </c:pt>
                <c:pt idx="931">
                  <c:v>14.183199999999999</c:v>
                </c:pt>
                <c:pt idx="932">
                  <c:v>14.198399999999999</c:v>
                </c:pt>
                <c:pt idx="933">
                  <c:v>14.2136</c:v>
                </c:pt>
                <c:pt idx="934">
                  <c:v>14.228899999999999</c:v>
                </c:pt>
                <c:pt idx="935">
                  <c:v>14.2441</c:v>
                </c:pt>
                <c:pt idx="936">
                  <c:v>14.2593</c:v>
                </c:pt>
                <c:pt idx="937">
                  <c:v>14.2746</c:v>
                </c:pt>
                <c:pt idx="938">
                  <c:v>14.2898</c:v>
                </c:pt>
                <c:pt idx="939">
                  <c:v>14.305</c:v>
                </c:pt>
                <c:pt idx="940">
                  <c:v>14.3203</c:v>
                </c:pt>
                <c:pt idx="941">
                  <c:v>14.3355</c:v>
                </c:pt>
                <c:pt idx="942">
                  <c:v>14.3507</c:v>
                </c:pt>
                <c:pt idx="943">
                  <c:v>14.366</c:v>
                </c:pt>
                <c:pt idx="944">
                  <c:v>14.3812</c:v>
                </c:pt>
                <c:pt idx="945">
                  <c:v>14.3964</c:v>
                </c:pt>
                <c:pt idx="946">
                  <c:v>14.4117</c:v>
                </c:pt>
                <c:pt idx="947">
                  <c:v>14.4269</c:v>
                </c:pt>
                <c:pt idx="948">
                  <c:v>14.4421</c:v>
                </c:pt>
                <c:pt idx="949">
                  <c:v>14.4574</c:v>
                </c:pt>
                <c:pt idx="950">
                  <c:v>14.4726</c:v>
                </c:pt>
                <c:pt idx="951">
                  <c:v>14.4878</c:v>
                </c:pt>
                <c:pt idx="952">
                  <c:v>14.5031</c:v>
                </c:pt>
                <c:pt idx="953">
                  <c:v>14.5183</c:v>
                </c:pt>
                <c:pt idx="954">
                  <c:v>14.5335</c:v>
                </c:pt>
                <c:pt idx="955">
                  <c:v>14.5488</c:v>
                </c:pt>
                <c:pt idx="956">
                  <c:v>14.564</c:v>
                </c:pt>
                <c:pt idx="957">
                  <c:v>14.5792</c:v>
                </c:pt>
                <c:pt idx="958">
                  <c:v>14.5945</c:v>
                </c:pt>
                <c:pt idx="959">
                  <c:v>14.6097</c:v>
                </c:pt>
                <c:pt idx="960">
                  <c:v>14.6249</c:v>
                </c:pt>
                <c:pt idx="961">
                  <c:v>14.6402</c:v>
                </c:pt>
                <c:pt idx="962">
                  <c:v>14.6554</c:v>
                </c:pt>
                <c:pt idx="963">
                  <c:v>14.6706</c:v>
                </c:pt>
                <c:pt idx="964">
                  <c:v>14.6859</c:v>
                </c:pt>
                <c:pt idx="965">
                  <c:v>14.7011</c:v>
                </c:pt>
                <c:pt idx="966">
                  <c:v>14.7164</c:v>
                </c:pt>
                <c:pt idx="967">
                  <c:v>14.7316</c:v>
                </c:pt>
                <c:pt idx="968">
                  <c:v>14.7468</c:v>
                </c:pt>
                <c:pt idx="969">
                  <c:v>14.7621</c:v>
                </c:pt>
                <c:pt idx="970">
                  <c:v>14.7773</c:v>
                </c:pt>
                <c:pt idx="971">
                  <c:v>14.7925</c:v>
                </c:pt>
                <c:pt idx="972">
                  <c:v>14.8078</c:v>
                </c:pt>
                <c:pt idx="973">
                  <c:v>14.823</c:v>
                </c:pt>
                <c:pt idx="974">
                  <c:v>14.838200000000001</c:v>
                </c:pt>
                <c:pt idx="975">
                  <c:v>14.8535</c:v>
                </c:pt>
                <c:pt idx="976">
                  <c:v>14.8687</c:v>
                </c:pt>
                <c:pt idx="977">
                  <c:v>14.883900000000001</c:v>
                </c:pt>
                <c:pt idx="978">
                  <c:v>14.8992</c:v>
                </c:pt>
                <c:pt idx="979">
                  <c:v>14.914400000000001</c:v>
                </c:pt>
                <c:pt idx="980">
                  <c:v>14.929600000000001</c:v>
                </c:pt>
                <c:pt idx="981">
                  <c:v>14.944900000000001</c:v>
                </c:pt>
                <c:pt idx="982">
                  <c:v>14.960100000000001</c:v>
                </c:pt>
                <c:pt idx="983">
                  <c:v>14.975300000000001</c:v>
                </c:pt>
                <c:pt idx="984">
                  <c:v>14.990600000000001</c:v>
                </c:pt>
                <c:pt idx="985">
                  <c:v>15.005800000000001</c:v>
                </c:pt>
                <c:pt idx="986">
                  <c:v>15.021000000000001</c:v>
                </c:pt>
                <c:pt idx="987">
                  <c:v>15.036300000000001</c:v>
                </c:pt>
                <c:pt idx="988">
                  <c:v>15.051500000000001</c:v>
                </c:pt>
                <c:pt idx="989">
                  <c:v>15.066700000000001</c:v>
                </c:pt>
                <c:pt idx="990">
                  <c:v>15.082000000000001</c:v>
                </c:pt>
                <c:pt idx="991">
                  <c:v>15.097200000000001</c:v>
                </c:pt>
                <c:pt idx="992">
                  <c:v>15.112399999999999</c:v>
                </c:pt>
                <c:pt idx="993">
                  <c:v>15.127700000000001</c:v>
                </c:pt>
                <c:pt idx="994">
                  <c:v>15.142899999999999</c:v>
                </c:pt>
                <c:pt idx="995">
                  <c:v>15.158099999999999</c:v>
                </c:pt>
                <c:pt idx="996">
                  <c:v>15.173400000000001</c:v>
                </c:pt>
                <c:pt idx="997">
                  <c:v>15.188599999999999</c:v>
                </c:pt>
                <c:pt idx="998">
                  <c:v>15.203799999999999</c:v>
                </c:pt>
                <c:pt idx="999">
                  <c:v>15.219099999999999</c:v>
                </c:pt>
                <c:pt idx="1000">
                  <c:v>15.234299999999999</c:v>
                </c:pt>
                <c:pt idx="1001">
                  <c:v>15.249599999999999</c:v>
                </c:pt>
                <c:pt idx="1002">
                  <c:v>15.264799999999999</c:v>
                </c:pt>
                <c:pt idx="1003">
                  <c:v>15.28</c:v>
                </c:pt>
                <c:pt idx="1004">
                  <c:v>15.295299999999999</c:v>
                </c:pt>
                <c:pt idx="1005">
                  <c:v>15.310499999999999</c:v>
                </c:pt>
                <c:pt idx="1006">
                  <c:v>15.325699999999999</c:v>
                </c:pt>
                <c:pt idx="1007">
                  <c:v>15.340999999999999</c:v>
                </c:pt>
                <c:pt idx="1008">
                  <c:v>15.356199999999999</c:v>
                </c:pt>
                <c:pt idx="1009">
                  <c:v>15.3714</c:v>
                </c:pt>
                <c:pt idx="1010">
                  <c:v>15.386699999999999</c:v>
                </c:pt>
                <c:pt idx="1011">
                  <c:v>15.401899999999999</c:v>
                </c:pt>
                <c:pt idx="1012">
                  <c:v>15.4171</c:v>
                </c:pt>
                <c:pt idx="1013">
                  <c:v>15.432399999999999</c:v>
                </c:pt>
                <c:pt idx="1014">
                  <c:v>15.4476</c:v>
                </c:pt>
                <c:pt idx="1015">
                  <c:v>15.4628</c:v>
                </c:pt>
                <c:pt idx="1016">
                  <c:v>15.4781</c:v>
                </c:pt>
                <c:pt idx="1017">
                  <c:v>15.4933</c:v>
                </c:pt>
                <c:pt idx="1018">
                  <c:v>15.5085</c:v>
                </c:pt>
                <c:pt idx="1019">
                  <c:v>15.5238</c:v>
                </c:pt>
                <c:pt idx="1020">
                  <c:v>15.539</c:v>
                </c:pt>
                <c:pt idx="1021">
                  <c:v>15.5542</c:v>
                </c:pt>
                <c:pt idx="1022">
                  <c:v>15.5695</c:v>
                </c:pt>
                <c:pt idx="1023">
                  <c:v>15.5847</c:v>
                </c:pt>
                <c:pt idx="1024">
                  <c:v>15.5999</c:v>
                </c:pt>
                <c:pt idx="1025">
                  <c:v>15.6152</c:v>
                </c:pt>
                <c:pt idx="1026">
                  <c:v>15.6304</c:v>
                </c:pt>
                <c:pt idx="1027">
                  <c:v>15.6456</c:v>
                </c:pt>
                <c:pt idx="1028">
                  <c:v>15.6609</c:v>
                </c:pt>
                <c:pt idx="1029">
                  <c:v>15.6761</c:v>
                </c:pt>
                <c:pt idx="1030">
                  <c:v>15.6913</c:v>
                </c:pt>
                <c:pt idx="1031">
                  <c:v>15.7066</c:v>
                </c:pt>
                <c:pt idx="1032">
                  <c:v>15.7218</c:v>
                </c:pt>
                <c:pt idx="1033">
                  <c:v>15.7371</c:v>
                </c:pt>
                <c:pt idx="1034">
                  <c:v>15.7523</c:v>
                </c:pt>
                <c:pt idx="1035">
                  <c:v>15.7675</c:v>
                </c:pt>
                <c:pt idx="1036">
                  <c:v>15.7828</c:v>
                </c:pt>
                <c:pt idx="1037">
                  <c:v>15.798</c:v>
                </c:pt>
                <c:pt idx="1038">
                  <c:v>15.8132</c:v>
                </c:pt>
                <c:pt idx="1039">
                  <c:v>15.8285</c:v>
                </c:pt>
                <c:pt idx="1040">
                  <c:v>15.8437</c:v>
                </c:pt>
                <c:pt idx="1041">
                  <c:v>15.8589</c:v>
                </c:pt>
                <c:pt idx="1042">
                  <c:v>15.8742</c:v>
                </c:pt>
                <c:pt idx="1043">
                  <c:v>15.8894</c:v>
                </c:pt>
                <c:pt idx="1044">
                  <c:v>15.9046</c:v>
                </c:pt>
                <c:pt idx="1045">
                  <c:v>15.9199</c:v>
                </c:pt>
                <c:pt idx="1046">
                  <c:v>15.9351</c:v>
                </c:pt>
                <c:pt idx="1047">
                  <c:v>15.9503</c:v>
                </c:pt>
                <c:pt idx="1048">
                  <c:v>15.9656</c:v>
                </c:pt>
                <c:pt idx="1049">
                  <c:v>15.9808</c:v>
                </c:pt>
                <c:pt idx="1050">
                  <c:v>15.996</c:v>
                </c:pt>
                <c:pt idx="1051">
                  <c:v>16.011299999999999</c:v>
                </c:pt>
                <c:pt idx="1052">
                  <c:v>16.026499999999999</c:v>
                </c:pt>
                <c:pt idx="1053">
                  <c:v>16.041699999999999</c:v>
                </c:pt>
                <c:pt idx="1054">
                  <c:v>16.056999999999999</c:v>
                </c:pt>
                <c:pt idx="1055">
                  <c:v>16.072199999999999</c:v>
                </c:pt>
                <c:pt idx="1056">
                  <c:v>16.087399999999999</c:v>
                </c:pt>
                <c:pt idx="1057">
                  <c:v>16.102699999999999</c:v>
                </c:pt>
                <c:pt idx="1058">
                  <c:v>16.117899999999999</c:v>
                </c:pt>
                <c:pt idx="1059">
                  <c:v>16.133099999999999</c:v>
                </c:pt>
                <c:pt idx="1060">
                  <c:v>16.148399999999999</c:v>
                </c:pt>
                <c:pt idx="1061">
                  <c:v>16.163599999999999</c:v>
                </c:pt>
                <c:pt idx="1062">
                  <c:v>16.178799999999999</c:v>
                </c:pt>
                <c:pt idx="1063">
                  <c:v>16.194099999999999</c:v>
                </c:pt>
                <c:pt idx="1064">
                  <c:v>16.209299999999999</c:v>
                </c:pt>
                <c:pt idx="1065">
                  <c:v>16.224499999999999</c:v>
                </c:pt>
                <c:pt idx="1066">
                  <c:v>16.239799999999999</c:v>
                </c:pt>
                <c:pt idx="1067">
                  <c:v>16.254999999999999</c:v>
                </c:pt>
                <c:pt idx="1068">
                  <c:v>16.270299999999999</c:v>
                </c:pt>
                <c:pt idx="1069">
                  <c:v>16.285499999999999</c:v>
                </c:pt>
                <c:pt idx="1070">
                  <c:v>16.300699999999999</c:v>
                </c:pt>
                <c:pt idx="1071">
                  <c:v>16.315999999999999</c:v>
                </c:pt>
                <c:pt idx="1072">
                  <c:v>16.331199999999999</c:v>
                </c:pt>
                <c:pt idx="1073">
                  <c:v>16.346399999999999</c:v>
                </c:pt>
                <c:pt idx="1074">
                  <c:v>16.361699999999999</c:v>
                </c:pt>
                <c:pt idx="1075">
                  <c:v>16.376899999999999</c:v>
                </c:pt>
                <c:pt idx="1076">
                  <c:v>16.392099999999999</c:v>
                </c:pt>
                <c:pt idx="1077">
                  <c:v>16.407399999999999</c:v>
                </c:pt>
                <c:pt idx="1078">
                  <c:v>16.422599999999999</c:v>
                </c:pt>
                <c:pt idx="1079">
                  <c:v>16.437799999999999</c:v>
                </c:pt>
                <c:pt idx="1080">
                  <c:v>16.453099999999999</c:v>
                </c:pt>
                <c:pt idx="1081">
                  <c:v>16.468299999999999</c:v>
                </c:pt>
                <c:pt idx="1082">
                  <c:v>16.483499999999999</c:v>
                </c:pt>
                <c:pt idx="1083">
                  <c:v>16.498799999999999</c:v>
                </c:pt>
                <c:pt idx="1084">
                  <c:v>16.513999999999999</c:v>
                </c:pt>
                <c:pt idx="1085">
                  <c:v>16.529199999999999</c:v>
                </c:pt>
                <c:pt idx="1086">
                  <c:v>16.544499999999999</c:v>
                </c:pt>
                <c:pt idx="1087">
                  <c:v>16.559699999999999</c:v>
                </c:pt>
                <c:pt idx="1088">
                  <c:v>16.5749</c:v>
                </c:pt>
                <c:pt idx="1089">
                  <c:v>16.590199999999999</c:v>
                </c:pt>
                <c:pt idx="1090">
                  <c:v>16.605399999999999</c:v>
                </c:pt>
                <c:pt idx="1091">
                  <c:v>16.6206</c:v>
                </c:pt>
                <c:pt idx="1092">
                  <c:v>16.635899999999999</c:v>
                </c:pt>
                <c:pt idx="1093">
                  <c:v>16.6511</c:v>
                </c:pt>
                <c:pt idx="1094">
                  <c:v>16.6663</c:v>
                </c:pt>
                <c:pt idx="1095">
                  <c:v>16.6816</c:v>
                </c:pt>
                <c:pt idx="1096">
                  <c:v>16.6968</c:v>
                </c:pt>
                <c:pt idx="1097">
                  <c:v>16.712</c:v>
                </c:pt>
                <c:pt idx="1098">
                  <c:v>16.7273</c:v>
                </c:pt>
                <c:pt idx="1099">
                  <c:v>16.7425</c:v>
                </c:pt>
                <c:pt idx="1100">
                  <c:v>16.7577</c:v>
                </c:pt>
                <c:pt idx="1101">
                  <c:v>16.773</c:v>
                </c:pt>
                <c:pt idx="1102">
                  <c:v>16.7882</c:v>
                </c:pt>
                <c:pt idx="1103">
                  <c:v>16.8035</c:v>
                </c:pt>
                <c:pt idx="1104">
                  <c:v>16.8187</c:v>
                </c:pt>
                <c:pt idx="1105">
                  <c:v>16.8339</c:v>
                </c:pt>
                <c:pt idx="1106">
                  <c:v>16.8492</c:v>
                </c:pt>
                <c:pt idx="1107">
                  <c:v>16.8644</c:v>
                </c:pt>
                <c:pt idx="1108">
                  <c:v>16.8796</c:v>
                </c:pt>
                <c:pt idx="1109">
                  <c:v>16.8949</c:v>
                </c:pt>
                <c:pt idx="1110">
                  <c:v>16.9101</c:v>
                </c:pt>
                <c:pt idx="1111">
                  <c:v>16.9253</c:v>
                </c:pt>
                <c:pt idx="1112">
                  <c:v>16.9406</c:v>
                </c:pt>
                <c:pt idx="1113">
                  <c:v>16.9558</c:v>
                </c:pt>
                <c:pt idx="1114">
                  <c:v>16.971</c:v>
                </c:pt>
                <c:pt idx="1115">
                  <c:v>16.9863</c:v>
                </c:pt>
                <c:pt idx="1116">
                  <c:v>17.0015</c:v>
                </c:pt>
                <c:pt idx="1117">
                  <c:v>17.0167</c:v>
                </c:pt>
                <c:pt idx="1118">
                  <c:v>17.032</c:v>
                </c:pt>
                <c:pt idx="1119">
                  <c:v>17.0472</c:v>
                </c:pt>
                <c:pt idx="1120">
                  <c:v>17.0624</c:v>
                </c:pt>
                <c:pt idx="1121">
                  <c:v>17.0777</c:v>
                </c:pt>
                <c:pt idx="1122">
                  <c:v>17.0929</c:v>
                </c:pt>
                <c:pt idx="1123">
                  <c:v>17.1081</c:v>
                </c:pt>
                <c:pt idx="1124">
                  <c:v>17.1234</c:v>
                </c:pt>
                <c:pt idx="1125">
                  <c:v>17.1386</c:v>
                </c:pt>
                <c:pt idx="1126">
                  <c:v>17.1538</c:v>
                </c:pt>
                <c:pt idx="1127">
                  <c:v>17.1691</c:v>
                </c:pt>
                <c:pt idx="1128">
                  <c:v>17.1843</c:v>
                </c:pt>
                <c:pt idx="1129">
                  <c:v>17.1995</c:v>
                </c:pt>
                <c:pt idx="1130">
                  <c:v>17.2148</c:v>
                </c:pt>
                <c:pt idx="1131">
                  <c:v>17.23</c:v>
                </c:pt>
                <c:pt idx="1132">
                  <c:v>17.245200000000001</c:v>
                </c:pt>
                <c:pt idx="1133">
                  <c:v>17.2605</c:v>
                </c:pt>
                <c:pt idx="1134">
                  <c:v>17.275700000000001</c:v>
                </c:pt>
                <c:pt idx="1135">
                  <c:v>17.291</c:v>
                </c:pt>
                <c:pt idx="1136">
                  <c:v>17.3062</c:v>
                </c:pt>
                <c:pt idx="1137">
                  <c:v>17.321400000000001</c:v>
                </c:pt>
                <c:pt idx="1138">
                  <c:v>17.3367</c:v>
                </c:pt>
                <c:pt idx="1139">
                  <c:v>17.351900000000001</c:v>
                </c:pt>
                <c:pt idx="1140">
                  <c:v>17.367100000000001</c:v>
                </c:pt>
                <c:pt idx="1141">
                  <c:v>17.382400000000001</c:v>
                </c:pt>
                <c:pt idx="1142">
                  <c:v>17.397600000000001</c:v>
                </c:pt>
                <c:pt idx="1143">
                  <c:v>17.412800000000001</c:v>
                </c:pt>
                <c:pt idx="1144">
                  <c:v>17.428100000000001</c:v>
                </c:pt>
                <c:pt idx="1145">
                  <c:v>17.443300000000001</c:v>
                </c:pt>
                <c:pt idx="1146">
                  <c:v>17.458500000000001</c:v>
                </c:pt>
                <c:pt idx="1147">
                  <c:v>17.473800000000001</c:v>
                </c:pt>
                <c:pt idx="1148">
                  <c:v>17.489000000000001</c:v>
                </c:pt>
                <c:pt idx="1149">
                  <c:v>17.504200000000001</c:v>
                </c:pt>
                <c:pt idx="1150">
                  <c:v>17.519500000000001</c:v>
                </c:pt>
                <c:pt idx="1151">
                  <c:v>17.534700000000001</c:v>
                </c:pt>
                <c:pt idx="1152">
                  <c:v>17.549900000000001</c:v>
                </c:pt>
                <c:pt idx="1153">
                  <c:v>17.565200000000001</c:v>
                </c:pt>
                <c:pt idx="1154">
                  <c:v>17.580400000000001</c:v>
                </c:pt>
                <c:pt idx="1155">
                  <c:v>17.595600000000001</c:v>
                </c:pt>
                <c:pt idx="1156">
                  <c:v>17.610900000000001</c:v>
                </c:pt>
                <c:pt idx="1157">
                  <c:v>17.626100000000001</c:v>
                </c:pt>
                <c:pt idx="1158">
                  <c:v>17.641300000000001</c:v>
                </c:pt>
                <c:pt idx="1159">
                  <c:v>17.656600000000001</c:v>
                </c:pt>
                <c:pt idx="1160">
                  <c:v>17.671800000000001</c:v>
                </c:pt>
                <c:pt idx="1161">
                  <c:v>17.687000000000001</c:v>
                </c:pt>
                <c:pt idx="1162">
                  <c:v>17.702300000000001</c:v>
                </c:pt>
                <c:pt idx="1163">
                  <c:v>17.717500000000001</c:v>
                </c:pt>
                <c:pt idx="1164">
                  <c:v>17.732700000000001</c:v>
                </c:pt>
                <c:pt idx="1165">
                  <c:v>17.748000000000001</c:v>
                </c:pt>
                <c:pt idx="1166">
                  <c:v>17.763200000000001</c:v>
                </c:pt>
                <c:pt idx="1167">
                  <c:v>17.778400000000001</c:v>
                </c:pt>
                <c:pt idx="1168">
                  <c:v>17.793700000000001</c:v>
                </c:pt>
                <c:pt idx="1169">
                  <c:v>17.808900000000001</c:v>
                </c:pt>
                <c:pt idx="1170">
                  <c:v>17.824200000000001</c:v>
                </c:pt>
                <c:pt idx="1171">
                  <c:v>17.839400000000001</c:v>
                </c:pt>
                <c:pt idx="1172">
                  <c:v>17.854600000000001</c:v>
                </c:pt>
                <c:pt idx="1173">
                  <c:v>17.869900000000001</c:v>
                </c:pt>
                <c:pt idx="1174">
                  <c:v>17.885100000000001</c:v>
                </c:pt>
                <c:pt idx="1175">
                  <c:v>17.900300000000001</c:v>
                </c:pt>
                <c:pt idx="1176">
                  <c:v>17.915600000000001</c:v>
                </c:pt>
                <c:pt idx="1177">
                  <c:v>17.930800000000001</c:v>
                </c:pt>
                <c:pt idx="1178">
                  <c:v>17.946000000000002</c:v>
                </c:pt>
                <c:pt idx="1179">
                  <c:v>17.961300000000001</c:v>
                </c:pt>
                <c:pt idx="1180">
                  <c:v>17.976500000000001</c:v>
                </c:pt>
                <c:pt idx="1181">
                  <c:v>17.991700000000002</c:v>
                </c:pt>
                <c:pt idx="1182">
                  <c:v>18.007000000000001</c:v>
                </c:pt>
                <c:pt idx="1183">
                  <c:v>18.022200000000002</c:v>
                </c:pt>
                <c:pt idx="1184">
                  <c:v>18.037400000000002</c:v>
                </c:pt>
                <c:pt idx="1185">
                  <c:v>18.052700000000002</c:v>
                </c:pt>
                <c:pt idx="1186">
                  <c:v>18.067900000000002</c:v>
                </c:pt>
                <c:pt idx="1187">
                  <c:v>18.083100000000002</c:v>
                </c:pt>
                <c:pt idx="1188">
                  <c:v>18.098400000000002</c:v>
                </c:pt>
                <c:pt idx="1189">
                  <c:v>18.113600000000002</c:v>
                </c:pt>
                <c:pt idx="1190">
                  <c:v>18.128799999999998</c:v>
                </c:pt>
                <c:pt idx="1191">
                  <c:v>18.144100000000002</c:v>
                </c:pt>
                <c:pt idx="1192">
                  <c:v>18.159300000000002</c:v>
                </c:pt>
                <c:pt idx="1193">
                  <c:v>18.174499999999998</c:v>
                </c:pt>
                <c:pt idx="1194">
                  <c:v>18.189800000000002</c:v>
                </c:pt>
                <c:pt idx="1195">
                  <c:v>18.204999999999998</c:v>
                </c:pt>
                <c:pt idx="1196">
                  <c:v>18.220199999999998</c:v>
                </c:pt>
                <c:pt idx="1197">
                  <c:v>18.235499999999998</c:v>
                </c:pt>
                <c:pt idx="1198">
                  <c:v>18.250699999999998</c:v>
                </c:pt>
                <c:pt idx="1199">
                  <c:v>18.265899999999998</c:v>
                </c:pt>
                <c:pt idx="1200">
                  <c:v>18.281199999999998</c:v>
                </c:pt>
                <c:pt idx="1201">
                  <c:v>18.296399999999998</c:v>
                </c:pt>
                <c:pt idx="1202">
                  <c:v>18.311599999999999</c:v>
                </c:pt>
                <c:pt idx="1203">
                  <c:v>18.326899999999998</c:v>
                </c:pt>
                <c:pt idx="1204">
                  <c:v>18.342099999999999</c:v>
                </c:pt>
                <c:pt idx="1205">
                  <c:v>18.357399999999998</c:v>
                </c:pt>
                <c:pt idx="1206">
                  <c:v>18.372599999999998</c:v>
                </c:pt>
                <c:pt idx="1207">
                  <c:v>18.387799999999999</c:v>
                </c:pt>
                <c:pt idx="1208">
                  <c:v>18.403099999999998</c:v>
                </c:pt>
                <c:pt idx="1209">
                  <c:v>18.418299999999999</c:v>
                </c:pt>
                <c:pt idx="1210">
                  <c:v>18.433499999999999</c:v>
                </c:pt>
                <c:pt idx="1211">
                  <c:v>18.448799999999999</c:v>
                </c:pt>
                <c:pt idx="1212">
                  <c:v>18.463999999999999</c:v>
                </c:pt>
                <c:pt idx="1213">
                  <c:v>18.479199999999999</c:v>
                </c:pt>
                <c:pt idx="1214">
                  <c:v>18.494499999999999</c:v>
                </c:pt>
                <c:pt idx="1215">
                  <c:v>18.509699999999999</c:v>
                </c:pt>
                <c:pt idx="1216">
                  <c:v>18.524899999999999</c:v>
                </c:pt>
                <c:pt idx="1217">
                  <c:v>18.540199999999999</c:v>
                </c:pt>
                <c:pt idx="1218">
                  <c:v>18.555399999999999</c:v>
                </c:pt>
                <c:pt idx="1219">
                  <c:v>18.570599999999999</c:v>
                </c:pt>
                <c:pt idx="1220">
                  <c:v>18.585899999999999</c:v>
                </c:pt>
                <c:pt idx="1221">
                  <c:v>18.601099999999999</c:v>
                </c:pt>
                <c:pt idx="1222">
                  <c:v>18.616299999999999</c:v>
                </c:pt>
                <c:pt idx="1223">
                  <c:v>18.631599999999999</c:v>
                </c:pt>
                <c:pt idx="1224">
                  <c:v>18.646799999999999</c:v>
                </c:pt>
                <c:pt idx="1225">
                  <c:v>18.661999999999999</c:v>
                </c:pt>
                <c:pt idx="1226">
                  <c:v>18.677299999999999</c:v>
                </c:pt>
                <c:pt idx="1227">
                  <c:v>18.692499999999999</c:v>
                </c:pt>
                <c:pt idx="1228">
                  <c:v>18.707699999999999</c:v>
                </c:pt>
                <c:pt idx="1229">
                  <c:v>18.722999999999999</c:v>
                </c:pt>
                <c:pt idx="1230">
                  <c:v>18.738199999999999</c:v>
                </c:pt>
                <c:pt idx="1231">
                  <c:v>18.753399999999999</c:v>
                </c:pt>
                <c:pt idx="1232">
                  <c:v>18.768699999999999</c:v>
                </c:pt>
                <c:pt idx="1233">
                  <c:v>18.783899999999999</c:v>
                </c:pt>
                <c:pt idx="1234">
                  <c:v>18.799099999999999</c:v>
                </c:pt>
                <c:pt idx="1235">
                  <c:v>18.814399999999999</c:v>
                </c:pt>
                <c:pt idx="1236">
                  <c:v>18.829599999999999</c:v>
                </c:pt>
                <c:pt idx="1237">
                  <c:v>18.844899999999999</c:v>
                </c:pt>
                <c:pt idx="1238">
                  <c:v>18.860099999999999</c:v>
                </c:pt>
                <c:pt idx="1239">
                  <c:v>18.875299999999999</c:v>
                </c:pt>
                <c:pt idx="1240">
                  <c:v>18.890599999999999</c:v>
                </c:pt>
                <c:pt idx="1241">
                  <c:v>18.905799999999999</c:v>
                </c:pt>
                <c:pt idx="1242">
                  <c:v>18.920999999999999</c:v>
                </c:pt>
                <c:pt idx="1243">
                  <c:v>18.936299999999999</c:v>
                </c:pt>
                <c:pt idx="1244">
                  <c:v>18.951499999999999</c:v>
                </c:pt>
                <c:pt idx="1245">
                  <c:v>18.966699999999999</c:v>
                </c:pt>
                <c:pt idx="1246">
                  <c:v>18.981999999999999</c:v>
                </c:pt>
                <c:pt idx="1247">
                  <c:v>18.997199999999999</c:v>
                </c:pt>
                <c:pt idx="1248">
                  <c:v>19.0124</c:v>
                </c:pt>
                <c:pt idx="1249">
                  <c:v>19.027699999999999</c:v>
                </c:pt>
                <c:pt idx="1250">
                  <c:v>19.042899999999999</c:v>
                </c:pt>
                <c:pt idx="1251">
                  <c:v>19.0581</c:v>
                </c:pt>
                <c:pt idx="1252">
                  <c:v>19.073399999999999</c:v>
                </c:pt>
                <c:pt idx="1253">
                  <c:v>19.0886</c:v>
                </c:pt>
                <c:pt idx="1254">
                  <c:v>19.1038</c:v>
                </c:pt>
                <c:pt idx="1255">
                  <c:v>19.1191</c:v>
                </c:pt>
                <c:pt idx="1256">
                  <c:v>19.1343</c:v>
                </c:pt>
                <c:pt idx="1257">
                  <c:v>19.1495</c:v>
                </c:pt>
                <c:pt idx="1258">
                  <c:v>19.1648</c:v>
                </c:pt>
                <c:pt idx="1259">
                  <c:v>19.18</c:v>
                </c:pt>
                <c:pt idx="1260">
                  <c:v>19.1952</c:v>
                </c:pt>
                <c:pt idx="1261">
                  <c:v>19.2105</c:v>
                </c:pt>
                <c:pt idx="1262">
                  <c:v>19.2257</c:v>
                </c:pt>
                <c:pt idx="1263">
                  <c:v>19.2409</c:v>
                </c:pt>
                <c:pt idx="1264">
                  <c:v>19.2562</c:v>
                </c:pt>
                <c:pt idx="1265">
                  <c:v>19.2714</c:v>
                </c:pt>
                <c:pt idx="1266">
                  <c:v>19.2866</c:v>
                </c:pt>
                <c:pt idx="1267">
                  <c:v>19.3019</c:v>
                </c:pt>
                <c:pt idx="1268">
                  <c:v>19.3171</c:v>
                </c:pt>
                <c:pt idx="1269">
                  <c:v>19.3323</c:v>
                </c:pt>
                <c:pt idx="1270">
                  <c:v>19.3476</c:v>
                </c:pt>
                <c:pt idx="1271">
                  <c:v>19.3628</c:v>
                </c:pt>
                <c:pt idx="1272">
                  <c:v>19.3781</c:v>
                </c:pt>
                <c:pt idx="1273">
                  <c:v>19.3933</c:v>
                </c:pt>
                <c:pt idx="1274">
                  <c:v>19.4085</c:v>
                </c:pt>
                <c:pt idx="1275">
                  <c:v>19.4238</c:v>
                </c:pt>
                <c:pt idx="1276">
                  <c:v>19.439</c:v>
                </c:pt>
                <c:pt idx="1277">
                  <c:v>19.4542</c:v>
                </c:pt>
                <c:pt idx="1278">
                  <c:v>19.4695</c:v>
                </c:pt>
                <c:pt idx="1279">
                  <c:v>19.4847</c:v>
                </c:pt>
                <c:pt idx="1280">
                  <c:v>19.4999</c:v>
                </c:pt>
                <c:pt idx="1281">
                  <c:v>19.5152</c:v>
                </c:pt>
                <c:pt idx="1282">
                  <c:v>19.5304</c:v>
                </c:pt>
                <c:pt idx="1283">
                  <c:v>19.5456</c:v>
                </c:pt>
                <c:pt idx="1284">
                  <c:v>19.5609</c:v>
                </c:pt>
                <c:pt idx="1285">
                  <c:v>19.5761</c:v>
                </c:pt>
                <c:pt idx="1286">
                  <c:v>19.5913</c:v>
                </c:pt>
                <c:pt idx="1287">
                  <c:v>19.6066</c:v>
                </c:pt>
                <c:pt idx="1288">
                  <c:v>19.6218</c:v>
                </c:pt>
                <c:pt idx="1289">
                  <c:v>19.637</c:v>
                </c:pt>
                <c:pt idx="1290">
                  <c:v>19.6523</c:v>
                </c:pt>
                <c:pt idx="1291">
                  <c:v>19.6675</c:v>
                </c:pt>
                <c:pt idx="1292">
                  <c:v>19.682700000000001</c:v>
                </c:pt>
                <c:pt idx="1293">
                  <c:v>19.698</c:v>
                </c:pt>
                <c:pt idx="1294">
                  <c:v>19.713200000000001</c:v>
                </c:pt>
                <c:pt idx="1295">
                  <c:v>19.728400000000001</c:v>
                </c:pt>
                <c:pt idx="1296">
                  <c:v>19.7437</c:v>
                </c:pt>
                <c:pt idx="1297">
                  <c:v>19.758900000000001</c:v>
                </c:pt>
                <c:pt idx="1298">
                  <c:v>19.774100000000001</c:v>
                </c:pt>
                <c:pt idx="1299">
                  <c:v>19.789400000000001</c:v>
                </c:pt>
                <c:pt idx="1300">
                  <c:v>19.804600000000001</c:v>
                </c:pt>
                <c:pt idx="1301">
                  <c:v>19.819800000000001</c:v>
                </c:pt>
                <c:pt idx="1302">
                  <c:v>19.835100000000001</c:v>
                </c:pt>
                <c:pt idx="1303">
                  <c:v>19.850300000000001</c:v>
                </c:pt>
                <c:pt idx="1304">
                  <c:v>19.865600000000001</c:v>
                </c:pt>
                <c:pt idx="1305">
                  <c:v>19.880800000000001</c:v>
                </c:pt>
                <c:pt idx="1306">
                  <c:v>19.896000000000001</c:v>
                </c:pt>
                <c:pt idx="1307">
                  <c:v>19.911300000000001</c:v>
                </c:pt>
                <c:pt idx="1308">
                  <c:v>19.926500000000001</c:v>
                </c:pt>
                <c:pt idx="1309">
                  <c:v>19.941700000000001</c:v>
                </c:pt>
                <c:pt idx="1310">
                  <c:v>19.957000000000001</c:v>
                </c:pt>
                <c:pt idx="1311">
                  <c:v>19.972200000000001</c:v>
                </c:pt>
                <c:pt idx="1312">
                  <c:v>19.987400000000001</c:v>
                </c:pt>
                <c:pt idx="1313">
                  <c:v>20.002700000000001</c:v>
                </c:pt>
                <c:pt idx="1314">
                  <c:v>20.017900000000001</c:v>
                </c:pt>
                <c:pt idx="1315">
                  <c:v>20.033100000000001</c:v>
                </c:pt>
                <c:pt idx="1316">
                  <c:v>20.048400000000001</c:v>
                </c:pt>
                <c:pt idx="1317">
                  <c:v>20.063600000000001</c:v>
                </c:pt>
                <c:pt idx="1318">
                  <c:v>20.078800000000001</c:v>
                </c:pt>
                <c:pt idx="1319">
                  <c:v>20.094100000000001</c:v>
                </c:pt>
                <c:pt idx="1320">
                  <c:v>20.109300000000001</c:v>
                </c:pt>
                <c:pt idx="1321">
                  <c:v>20.124500000000001</c:v>
                </c:pt>
                <c:pt idx="1322">
                  <c:v>20.139800000000001</c:v>
                </c:pt>
                <c:pt idx="1323">
                  <c:v>20.155000000000001</c:v>
                </c:pt>
                <c:pt idx="1324">
                  <c:v>20.170200000000001</c:v>
                </c:pt>
                <c:pt idx="1325">
                  <c:v>20.185500000000001</c:v>
                </c:pt>
                <c:pt idx="1326">
                  <c:v>20.200700000000001</c:v>
                </c:pt>
                <c:pt idx="1327">
                  <c:v>20.215900000000001</c:v>
                </c:pt>
                <c:pt idx="1328">
                  <c:v>20.231200000000001</c:v>
                </c:pt>
                <c:pt idx="1329">
                  <c:v>20.246400000000001</c:v>
                </c:pt>
                <c:pt idx="1330">
                  <c:v>20.261600000000001</c:v>
                </c:pt>
                <c:pt idx="1331">
                  <c:v>20.276900000000001</c:v>
                </c:pt>
                <c:pt idx="1332">
                  <c:v>20.292100000000001</c:v>
                </c:pt>
                <c:pt idx="1333">
                  <c:v>20.307300000000001</c:v>
                </c:pt>
                <c:pt idx="1334">
                  <c:v>20.322600000000001</c:v>
                </c:pt>
                <c:pt idx="1335">
                  <c:v>20.337800000000001</c:v>
                </c:pt>
                <c:pt idx="1336">
                  <c:v>20.353000000000002</c:v>
                </c:pt>
                <c:pt idx="1337">
                  <c:v>20.368300000000001</c:v>
                </c:pt>
                <c:pt idx="1338">
                  <c:v>20.383500000000002</c:v>
                </c:pt>
                <c:pt idx="1339">
                  <c:v>20.398800000000001</c:v>
                </c:pt>
                <c:pt idx="1340">
                  <c:v>20.414000000000001</c:v>
                </c:pt>
                <c:pt idx="1341">
                  <c:v>20.429200000000002</c:v>
                </c:pt>
                <c:pt idx="1342">
                  <c:v>20.444500000000001</c:v>
                </c:pt>
                <c:pt idx="1343">
                  <c:v>20.459700000000002</c:v>
                </c:pt>
                <c:pt idx="1344">
                  <c:v>20.474900000000002</c:v>
                </c:pt>
                <c:pt idx="1345">
                  <c:v>20.490200000000002</c:v>
                </c:pt>
                <c:pt idx="1346">
                  <c:v>20.505400000000002</c:v>
                </c:pt>
                <c:pt idx="1347">
                  <c:v>20.520600000000002</c:v>
                </c:pt>
                <c:pt idx="1348">
                  <c:v>20.535900000000002</c:v>
                </c:pt>
                <c:pt idx="1349">
                  <c:v>20.551100000000002</c:v>
                </c:pt>
                <c:pt idx="1350">
                  <c:v>20.566299999999998</c:v>
                </c:pt>
                <c:pt idx="1351">
                  <c:v>20.581600000000002</c:v>
                </c:pt>
                <c:pt idx="1352">
                  <c:v>20.596800000000002</c:v>
                </c:pt>
                <c:pt idx="1353">
                  <c:v>20.611999999999998</c:v>
                </c:pt>
                <c:pt idx="1354">
                  <c:v>20.627300000000002</c:v>
                </c:pt>
                <c:pt idx="1355">
                  <c:v>20.642499999999998</c:v>
                </c:pt>
                <c:pt idx="1356">
                  <c:v>20.657699999999998</c:v>
                </c:pt>
                <c:pt idx="1357">
                  <c:v>20.672999999999998</c:v>
                </c:pt>
                <c:pt idx="1358">
                  <c:v>20.688199999999998</c:v>
                </c:pt>
                <c:pt idx="1359">
                  <c:v>20.703399999999998</c:v>
                </c:pt>
                <c:pt idx="1360">
                  <c:v>20.718699999999998</c:v>
                </c:pt>
                <c:pt idx="1361">
                  <c:v>20.733899999999998</c:v>
                </c:pt>
                <c:pt idx="1362">
                  <c:v>20.749099999999999</c:v>
                </c:pt>
                <c:pt idx="1363">
                  <c:v>20.764399999999998</c:v>
                </c:pt>
                <c:pt idx="1364">
                  <c:v>20.779599999999999</c:v>
                </c:pt>
                <c:pt idx="1365">
                  <c:v>20.794799999999999</c:v>
                </c:pt>
                <c:pt idx="1366">
                  <c:v>20.810099999999998</c:v>
                </c:pt>
                <c:pt idx="1367">
                  <c:v>20.825299999999999</c:v>
                </c:pt>
                <c:pt idx="1368">
                  <c:v>20.840499999999999</c:v>
                </c:pt>
                <c:pt idx="1369">
                  <c:v>20.855799999999999</c:v>
                </c:pt>
                <c:pt idx="1370">
                  <c:v>20.870999999999999</c:v>
                </c:pt>
                <c:pt idx="1371">
                  <c:v>20.886199999999999</c:v>
                </c:pt>
                <c:pt idx="1372">
                  <c:v>20.901499999999999</c:v>
                </c:pt>
                <c:pt idx="1373">
                  <c:v>20.916699999999999</c:v>
                </c:pt>
                <c:pt idx="1374">
                  <c:v>20.931999999999999</c:v>
                </c:pt>
                <c:pt idx="1375">
                  <c:v>20.947199999999999</c:v>
                </c:pt>
                <c:pt idx="1376">
                  <c:v>20.962399999999999</c:v>
                </c:pt>
                <c:pt idx="1377">
                  <c:v>20.977699999999999</c:v>
                </c:pt>
                <c:pt idx="1378">
                  <c:v>20.992899999999999</c:v>
                </c:pt>
                <c:pt idx="1379">
                  <c:v>21.008099999999999</c:v>
                </c:pt>
                <c:pt idx="1380">
                  <c:v>21.023399999999999</c:v>
                </c:pt>
                <c:pt idx="1381">
                  <c:v>21.038599999999999</c:v>
                </c:pt>
                <c:pt idx="1382">
                  <c:v>21.053799999999999</c:v>
                </c:pt>
                <c:pt idx="1383">
                  <c:v>21.069099999999999</c:v>
                </c:pt>
                <c:pt idx="1384">
                  <c:v>21.084299999999999</c:v>
                </c:pt>
                <c:pt idx="1385">
                  <c:v>21.099499999999999</c:v>
                </c:pt>
                <c:pt idx="1386">
                  <c:v>21.114799999999999</c:v>
                </c:pt>
                <c:pt idx="1387">
                  <c:v>21.13</c:v>
                </c:pt>
                <c:pt idx="1388">
                  <c:v>21.145199999999999</c:v>
                </c:pt>
                <c:pt idx="1389">
                  <c:v>21.160499999999999</c:v>
                </c:pt>
                <c:pt idx="1390">
                  <c:v>21.175699999999999</c:v>
                </c:pt>
                <c:pt idx="1391">
                  <c:v>21.190899999999999</c:v>
                </c:pt>
                <c:pt idx="1392">
                  <c:v>21.206199999999999</c:v>
                </c:pt>
                <c:pt idx="1393">
                  <c:v>21.221399999999999</c:v>
                </c:pt>
                <c:pt idx="1394">
                  <c:v>21.236599999999999</c:v>
                </c:pt>
                <c:pt idx="1395">
                  <c:v>21.251899999999999</c:v>
                </c:pt>
                <c:pt idx="1396">
                  <c:v>21.267099999999999</c:v>
                </c:pt>
                <c:pt idx="1397">
                  <c:v>21.282299999999999</c:v>
                </c:pt>
                <c:pt idx="1398">
                  <c:v>21.297599999999999</c:v>
                </c:pt>
                <c:pt idx="1399">
                  <c:v>21.312799999999999</c:v>
                </c:pt>
                <c:pt idx="1400">
                  <c:v>21.327999999999999</c:v>
                </c:pt>
                <c:pt idx="1401">
                  <c:v>21.343299999999999</c:v>
                </c:pt>
                <c:pt idx="1402">
                  <c:v>21.358499999999999</c:v>
                </c:pt>
                <c:pt idx="1403">
                  <c:v>21.373699999999999</c:v>
                </c:pt>
                <c:pt idx="1404">
                  <c:v>21.388999999999999</c:v>
                </c:pt>
                <c:pt idx="1405">
                  <c:v>21.404199999999999</c:v>
                </c:pt>
                <c:pt idx="1406">
                  <c:v>21.419499999999999</c:v>
                </c:pt>
                <c:pt idx="1407">
                  <c:v>21.434699999999999</c:v>
                </c:pt>
                <c:pt idx="1408">
                  <c:v>21.4499</c:v>
                </c:pt>
                <c:pt idx="1409">
                  <c:v>21.465199999999999</c:v>
                </c:pt>
                <c:pt idx="1410">
                  <c:v>21.480399999999999</c:v>
                </c:pt>
                <c:pt idx="1411">
                  <c:v>21.4956</c:v>
                </c:pt>
                <c:pt idx="1412">
                  <c:v>21.510899999999999</c:v>
                </c:pt>
                <c:pt idx="1413">
                  <c:v>21.5261</c:v>
                </c:pt>
                <c:pt idx="1414">
                  <c:v>21.5413</c:v>
                </c:pt>
                <c:pt idx="1415">
                  <c:v>21.5566</c:v>
                </c:pt>
                <c:pt idx="1416">
                  <c:v>21.5718</c:v>
                </c:pt>
                <c:pt idx="1417">
                  <c:v>21.587</c:v>
                </c:pt>
                <c:pt idx="1418">
                  <c:v>21.6023</c:v>
                </c:pt>
                <c:pt idx="1419">
                  <c:v>21.6175</c:v>
                </c:pt>
                <c:pt idx="1420">
                  <c:v>21.6327</c:v>
                </c:pt>
                <c:pt idx="1421">
                  <c:v>21.648</c:v>
                </c:pt>
                <c:pt idx="1422">
                  <c:v>21.6632</c:v>
                </c:pt>
                <c:pt idx="1423">
                  <c:v>21.6784</c:v>
                </c:pt>
                <c:pt idx="1424">
                  <c:v>21.6937</c:v>
                </c:pt>
                <c:pt idx="1425">
                  <c:v>21.7089</c:v>
                </c:pt>
                <c:pt idx="1426">
                  <c:v>21.7241</c:v>
                </c:pt>
                <c:pt idx="1427">
                  <c:v>21.7394</c:v>
                </c:pt>
                <c:pt idx="1428">
                  <c:v>21.7546</c:v>
                </c:pt>
                <c:pt idx="1429">
                  <c:v>21.7698</c:v>
                </c:pt>
                <c:pt idx="1430">
                  <c:v>21.7851</c:v>
                </c:pt>
                <c:pt idx="1431">
                  <c:v>21.8003</c:v>
                </c:pt>
                <c:pt idx="1432">
                  <c:v>21.8155</c:v>
                </c:pt>
                <c:pt idx="1433">
                  <c:v>21.8308</c:v>
                </c:pt>
                <c:pt idx="1434">
                  <c:v>21.846</c:v>
                </c:pt>
                <c:pt idx="1435">
                  <c:v>21.8612</c:v>
                </c:pt>
                <c:pt idx="1436">
                  <c:v>21.8765</c:v>
                </c:pt>
                <c:pt idx="1437">
                  <c:v>21.8917</c:v>
                </c:pt>
                <c:pt idx="1438">
                  <c:v>21.9069</c:v>
                </c:pt>
                <c:pt idx="1439">
                  <c:v>21.9222</c:v>
                </c:pt>
                <c:pt idx="1440">
                  <c:v>21.9374</c:v>
                </c:pt>
                <c:pt idx="1441">
                  <c:v>21.9527</c:v>
                </c:pt>
                <c:pt idx="1442">
                  <c:v>21.9679</c:v>
                </c:pt>
                <c:pt idx="1443">
                  <c:v>21.9831</c:v>
                </c:pt>
                <c:pt idx="1444">
                  <c:v>21.9984</c:v>
                </c:pt>
                <c:pt idx="1445">
                  <c:v>22.0136</c:v>
                </c:pt>
                <c:pt idx="1446">
                  <c:v>22.0288</c:v>
                </c:pt>
                <c:pt idx="1447">
                  <c:v>22.0441</c:v>
                </c:pt>
                <c:pt idx="1448">
                  <c:v>22.0593</c:v>
                </c:pt>
                <c:pt idx="1449">
                  <c:v>22.0745</c:v>
                </c:pt>
                <c:pt idx="1450">
                  <c:v>22.0898</c:v>
                </c:pt>
                <c:pt idx="1451">
                  <c:v>22.105</c:v>
                </c:pt>
                <c:pt idx="1452">
                  <c:v>22.120200000000001</c:v>
                </c:pt>
                <c:pt idx="1453">
                  <c:v>22.1355</c:v>
                </c:pt>
                <c:pt idx="1454">
                  <c:v>22.150700000000001</c:v>
                </c:pt>
                <c:pt idx="1455">
                  <c:v>22.165900000000001</c:v>
                </c:pt>
                <c:pt idx="1456">
                  <c:v>22.1812</c:v>
                </c:pt>
                <c:pt idx="1457">
                  <c:v>22.196400000000001</c:v>
                </c:pt>
                <c:pt idx="1458">
                  <c:v>22.211600000000001</c:v>
                </c:pt>
                <c:pt idx="1459">
                  <c:v>22.226900000000001</c:v>
                </c:pt>
                <c:pt idx="1460">
                  <c:v>22.242100000000001</c:v>
                </c:pt>
                <c:pt idx="1461">
                  <c:v>22.257300000000001</c:v>
                </c:pt>
                <c:pt idx="1462">
                  <c:v>22.272600000000001</c:v>
                </c:pt>
                <c:pt idx="1463">
                  <c:v>22.287800000000001</c:v>
                </c:pt>
                <c:pt idx="1464">
                  <c:v>22.303000000000001</c:v>
                </c:pt>
                <c:pt idx="1465">
                  <c:v>22.318300000000001</c:v>
                </c:pt>
                <c:pt idx="1466">
                  <c:v>22.333500000000001</c:v>
                </c:pt>
                <c:pt idx="1467">
                  <c:v>22.348700000000001</c:v>
                </c:pt>
                <c:pt idx="1468">
                  <c:v>22.364000000000001</c:v>
                </c:pt>
                <c:pt idx="1469">
                  <c:v>22.379200000000001</c:v>
                </c:pt>
                <c:pt idx="1470">
                  <c:v>22.394400000000001</c:v>
                </c:pt>
                <c:pt idx="1471">
                  <c:v>22.409700000000001</c:v>
                </c:pt>
                <c:pt idx="1472">
                  <c:v>22.424900000000001</c:v>
                </c:pt>
                <c:pt idx="1473">
                  <c:v>22.440100000000001</c:v>
                </c:pt>
                <c:pt idx="1474">
                  <c:v>22.455400000000001</c:v>
                </c:pt>
                <c:pt idx="1475">
                  <c:v>22.470600000000001</c:v>
                </c:pt>
                <c:pt idx="1476">
                  <c:v>22.485900000000001</c:v>
                </c:pt>
                <c:pt idx="1477">
                  <c:v>22.501100000000001</c:v>
                </c:pt>
                <c:pt idx="1478">
                  <c:v>22.516300000000001</c:v>
                </c:pt>
                <c:pt idx="1479">
                  <c:v>22.531600000000001</c:v>
                </c:pt>
                <c:pt idx="1480">
                  <c:v>22.546800000000001</c:v>
                </c:pt>
                <c:pt idx="1481">
                  <c:v>22.562000000000001</c:v>
                </c:pt>
                <c:pt idx="1482">
                  <c:v>22.577300000000001</c:v>
                </c:pt>
                <c:pt idx="1483">
                  <c:v>22.592500000000001</c:v>
                </c:pt>
                <c:pt idx="1484">
                  <c:v>22.607700000000001</c:v>
                </c:pt>
                <c:pt idx="1485">
                  <c:v>22.623000000000001</c:v>
                </c:pt>
                <c:pt idx="1486">
                  <c:v>22.638200000000001</c:v>
                </c:pt>
                <c:pt idx="1487">
                  <c:v>22.653400000000001</c:v>
                </c:pt>
                <c:pt idx="1488">
                  <c:v>22.668700000000001</c:v>
                </c:pt>
                <c:pt idx="1489">
                  <c:v>22.683900000000001</c:v>
                </c:pt>
                <c:pt idx="1490">
                  <c:v>22.699100000000001</c:v>
                </c:pt>
                <c:pt idx="1491">
                  <c:v>22.714400000000001</c:v>
                </c:pt>
                <c:pt idx="1492">
                  <c:v>22.729600000000001</c:v>
                </c:pt>
                <c:pt idx="1493">
                  <c:v>22.744800000000001</c:v>
                </c:pt>
                <c:pt idx="1494">
                  <c:v>22.760100000000001</c:v>
                </c:pt>
                <c:pt idx="1495">
                  <c:v>22.775300000000001</c:v>
                </c:pt>
                <c:pt idx="1496">
                  <c:v>22.790500000000002</c:v>
                </c:pt>
                <c:pt idx="1497">
                  <c:v>22.805800000000001</c:v>
                </c:pt>
                <c:pt idx="1498">
                  <c:v>22.821000000000002</c:v>
                </c:pt>
                <c:pt idx="1499">
                  <c:v>22.836200000000002</c:v>
                </c:pt>
                <c:pt idx="1500">
                  <c:v>22.851500000000001</c:v>
                </c:pt>
                <c:pt idx="1501">
                  <c:v>22.866700000000002</c:v>
                </c:pt>
                <c:pt idx="1502">
                  <c:v>22.881900000000002</c:v>
                </c:pt>
                <c:pt idx="1503">
                  <c:v>22.897200000000002</c:v>
                </c:pt>
                <c:pt idx="1504">
                  <c:v>22.912400000000002</c:v>
                </c:pt>
                <c:pt idx="1505">
                  <c:v>22.927600000000002</c:v>
                </c:pt>
                <c:pt idx="1506">
                  <c:v>22.942900000000002</c:v>
                </c:pt>
                <c:pt idx="1507">
                  <c:v>22.958100000000002</c:v>
                </c:pt>
                <c:pt idx="1508">
                  <c:v>22.973400000000002</c:v>
                </c:pt>
                <c:pt idx="1509">
                  <c:v>22.988600000000002</c:v>
                </c:pt>
                <c:pt idx="1510">
                  <c:v>23.003799999999998</c:v>
                </c:pt>
                <c:pt idx="1511">
                  <c:v>23.019100000000002</c:v>
                </c:pt>
                <c:pt idx="1512">
                  <c:v>23.034300000000002</c:v>
                </c:pt>
                <c:pt idx="1513">
                  <c:v>23.049499999999998</c:v>
                </c:pt>
                <c:pt idx="1514">
                  <c:v>23.064800000000002</c:v>
                </c:pt>
                <c:pt idx="1515">
                  <c:v>23.08</c:v>
                </c:pt>
                <c:pt idx="1516">
                  <c:v>23.095199999999998</c:v>
                </c:pt>
                <c:pt idx="1517">
                  <c:v>23.110499999999998</c:v>
                </c:pt>
                <c:pt idx="1518">
                  <c:v>23.125699999999998</c:v>
                </c:pt>
                <c:pt idx="1519">
                  <c:v>23.140899999999998</c:v>
                </c:pt>
                <c:pt idx="1520">
                  <c:v>23.156199999999998</c:v>
                </c:pt>
                <c:pt idx="1521">
                  <c:v>23.171399999999998</c:v>
                </c:pt>
                <c:pt idx="1522">
                  <c:v>23.186599999999999</c:v>
                </c:pt>
                <c:pt idx="1523">
                  <c:v>23.201899999999998</c:v>
                </c:pt>
                <c:pt idx="1524">
                  <c:v>23.217099999999999</c:v>
                </c:pt>
                <c:pt idx="1525">
                  <c:v>23.232299999999999</c:v>
                </c:pt>
                <c:pt idx="1526">
                  <c:v>23.247599999999998</c:v>
                </c:pt>
                <c:pt idx="1527">
                  <c:v>23.262799999999999</c:v>
                </c:pt>
                <c:pt idx="1528">
                  <c:v>23.277999999999999</c:v>
                </c:pt>
                <c:pt idx="1529">
                  <c:v>23.293299999999999</c:v>
                </c:pt>
                <c:pt idx="1530">
                  <c:v>23.308499999999999</c:v>
                </c:pt>
                <c:pt idx="1531">
                  <c:v>23.323699999999999</c:v>
                </c:pt>
                <c:pt idx="1532">
                  <c:v>23.338999999999999</c:v>
                </c:pt>
                <c:pt idx="1533">
                  <c:v>23.354199999999999</c:v>
                </c:pt>
                <c:pt idx="1534">
                  <c:v>23.369399999999999</c:v>
                </c:pt>
                <c:pt idx="1535">
                  <c:v>23.384699999999999</c:v>
                </c:pt>
                <c:pt idx="1536">
                  <c:v>23.399899999999999</c:v>
                </c:pt>
                <c:pt idx="1537">
                  <c:v>23.415099999999999</c:v>
                </c:pt>
                <c:pt idx="1538">
                  <c:v>23.430399999999999</c:v>
                </c:pt>
                <c:pt idx="1539">
                  <c:v>23.445599999999999</c:v>
                </c:pt>
                <c:pt idx="1540">
                  <c:v>23.460799999999999</c:v>
                </c:pt>
                <c:pt idx="1541">
                  <c:v>23.476099999999999</c:v>
                </c:pt>
                <c:pt idx="1542">
                  <c:v>23.491299999999999</c:v>
                </c:pt>
                <c:pt idx="1543">
                  <c:v>23.506599999999999</c:v>
                </c:pt>
                <c:pt idx="1544">
                  <c:v>23.521799999999999</c:v>
                </c:pt>
                <c:pt idx="1545">
                  <c:v>23.536999999999999</c:v>
                </c:pt>
                <c:pt idx="1546">
                  <c:v>23.552299999999999</c:v>
                </c:pt>
                <c:pt idx="1547">
                  <c:v>23.567499999999999</c:v>
                </c:pt>
                <c:pt idx="1548">
                  <c:v>23.582699999999999</c:v>
                </c:pt>
                <c:pt idx="1549">
                  <c:v>23.597999999999999</c:v>
                </c:pt>
                <c:pt idx="1550">
                  <c:v>23.613199999999999</c:v>
                </c:pt>
                <c:pt idx="1551">
                  <c:v>23.628399999999999</c:v>
                </c:pt>
                <c:pt idx="1552">
                  <c:v>23.643699999999999</c:v>
                </c:pt>
                <c:pt idx="1553">
                  <c:v>23.658899999999999</c:v>
                </c:pt>
                <c:pt idx="1554">
                  <c:v>23.674099999999999</c:v>
                </c:pt>
                <c:pt idx="1555">
                  <c:v>23.689399999999999</c:v>
                </c:pt>
                <c:pt idx="1556">
                  <c:v>23.704599999999999</c:v>
                </c:pt>
                <c:pt idx="1557">
                  <c:v>23.719799999999999</c:v>
                </c:pt>
                <c:pt idx="1558">
                  <c:v>23.735099999999999</c:v>
                </c:pt>
                <c:pt idx="1559">
                  <c:v>23.750299999999999</c:v>
                </c:pt>
                <c:pt idx="1560">
                  <c:v>23.765499999999999</c:v>
                </c:pt>
                <c:pt idx="1561">
                  <c:v>23.780799999999999</c:v>
                </c:pt>
                <c:pt idx="1562">
                  <c:v>23.795999999999999</c:v>
                </c:pt>
                <c:pt idx="1563">
                  <c:v>23.811199999999999</c:v>
                </c:pt>
                <c:pt idx="1564">
                  <c:v>23.826499999999999</c:v>
                </c:pt>
                <c:pt idx="1565">
                  <c:v>23.841699999999999</c:v>
                </c:pt>
                <c:pt idx="1566">
                  <c:v>23.8569</c:v>
                </c:pt>
                <c:pt idx="1567">
                  <c:v>23.872199999999999</c:v>
                </c:pt>
                <c:pt idx="1568">
                  <c:v>23.8874</c:v>
                </c:pt>
                <c:pt idx="1569">
                  <c:v>23.9026</c:v>
                </c:pt>
                <c:pt idx="1570">
                  <c:v>23.917899999999999</c:v>
                </c:pt>
                <c:pt idx="1571">
                  <c:v>23.9331</c:v>
                </c:pt>
                <c:pt idx="1572">
                  <c:v>23.9483</c:v>
                </c:pt>
                <c:pt idx="1573">
                  <c:v>23.9636</c:v>
                </c:pt>
                <c:pt idx="1574">
                  <c:v>23.9788</c:v>
                </c:pt>
                <c:pt idx="1575">
                  <c:v>23.9941</c:v>
                </c:pt>
                <c:pt idx="1576">
                  <c:v>24.0093</c:v>
                </c:pt>
                <c:pt idx="1577">
                  <c:v>24.0245</c:v>
                </c:pt>
                <c:pt idx="1578">
                  <c:v>24.0398</c:v>
                </c:pt>
                <c:pt idx="1579">
                  <c:v>24.055</c:v>
                </c:pt>
                <c:pt idx="1580">
                  <c:v>24.0702</c:v>
                </c:pt>
                <c:pt idx="1581">
                  <c:v>24.0855</c:v>
                </c:pt>
                <c:pt idx="1582">
                  <c:v>24.1007</c:v>
                </c:pt>
                <c:pt idx="1583">
                  <c:v>24.1159</c:v>
                </c:pt>
                <c:pt idx="1584">
                  <c:v>24.1312</c:v>
                </c:pt>
                <c:pt idx="1585">
                  <c:v>24.1464</c:v>
                </c:pt>
                <c:pt idx="1586">
                  <c:v>24.1616</c:v>
                </c:pt>
                <c:pt idx="1587">
                  <c:v>24.1769</c:v>
                </c:pt>
                <c:pt idx="1588">
                  <c:v>24.1921</c:v>
                </c:pt>
                <c:pt idx="1589">
                  <c:v>24.2073</c:v>
                </c:pt>
                <c:pt idx="1590">
                  <c:v>24.2226</c:v>
                </c:pt>
                <c:pt idx="1591">
                  <c:v>24.2378</c:v>
                </c:pt>
                <c:pt idx="1592">
                  <c:v>24.253</c:v>
                </c:pt>
                <c:pt idx="1593">
                  <c:v>24.2683</c:v>
                </c:pt>
                <c:pt idx="1594">
                  <c:v>24.2835</c:v>
                </c:pt>
                <c:pt idx="1595">
                  <c:v>24.2987</c:v>
                </c:pt>
                <c:pt idx="1596">
                  <c:v>24.314</c:v>
                </c:pt>
                <c:pt idx="1597">
                  <c:v>24.3292</c:v>
                </c:pt>
                <c:pt idx="1598">
                  <c:v>24.3444</c:v>
                </c:pt>
                <c:pt idx="1599">
                  <c:v>24.3597</c:v>
                </c:pt>
                <c:pt idx="1600">
                  <c:v>24.3749</c:v>
                </c:pt>
                <c:pt idx="1601">
                  <c:v>24.3901</c:v>
                </c:pt>
                <c:pt idx="1602">
                  <c:v>24.4054</c:v>
                </c:pt>
                <c:pt idx="1603">
                  <c:v>24.4206</c:v>
                </c:pt>
                <c:pt idx="1604">
                  <c:v>24.4358</c:v>
                </c:pt>
                <c:pt idx="1605">
                  <c:v>24.4511</c:v>
                </c:pt>
                <c:pt idx="1606">
                  <c:v>24.4663</c:v>
                </c:pt>
                <c:pt idx="1607">
                  <c:v>24.4815</c:v>
                </c:pt>
                <c:pt idx="1608">
                  <c:v>24.4968</c:v>
                </c:pt>
                <c:pt idx="1609">
                  <c:v>24.512</c:v>
                </c:pt>
                <c:pt idx="1610">
                  <c:v>24.5273</c:v>
                </c:pt>
                <c:pt idx="1611">
                  <c:v>24.5425</c:v>
                </c:pt>
                <c:pt idx="1612">
                  <c:v>24.557700000000001</c:v>
                </c:pt>
                <c:pt idx="1613">
                  <c:v>24.573</c:v>
                </c:pt>
                <c:pt idx="1614">
                  <c:v>24.588200000000001</c:v>
                </c:pt>
                <c:pt idx="1615">
                  <c:v>24.603400000000001</c:v>
                </c:pt>
                <c:pt idx="1616">
                  <c:v>24.6187</c:v>
                </c:pt>
                <c:pt idx="1617">
                  <c:v>24.633900000000001</c:v>
                </c:pt>
                <c:pt idx="1618">
                  <c:v>24.649100000000001</c:v>
                </c:pt>
                <c:pt idx="1619">
                  <c:v>24.664400000000001</c:v>
                </c:pt>
                <c:pt idx="1620">
                  <c:v>24.679600000000001</c:v>
                </c:pt>
                <c:pt idx="1621">
                  <c:v>24.694800000000001</c:v>
                </c:pt>
                <c:pt idx="1622">
                  <c:v>24.710100000000001</c:v>
                </c:pt>
                <c:pt idx="1623">
                  <c:v>24.725300000000001</c:v>
                </c:pt>
                <c:pt idx="1624">
                  <c:v>24.740500000000001</c:v>
                </c:pt>
                <c:pt idx="1625">
                  <c:v>24.755800000000001</c:v>
                </c:pt>
                <c:pt idx="1626">
                  <c:v>24.771000000000001</c:v>
                </c:pt>
                <c:pt idx="1627">
                  <c:v>24.786200000000001</c:v>
                </c:pt>
                <c:pt idx="1628">
                  <c:v>24.801500000000001</c:v>
                </c:pt>
                <c:pt idx="1629">
                  <c:v>24.816700000000001</c:v>
                </c:pt>
                <c:pt idx="1630">
                  <c:v>24.831900000000001</c:v>
                </c:pt>
                <c:pt idx="1631">
                  <c:v>24.847200000000001</c:v>
                </c:pt>
                <c:pt idx="1632">
                  <c:v>24.862400000000001</c:v>
                </c:pt>
                <c:pt idx="1633">
                  <c:v>24.877600000000001</c:v>
                </c:pt>
                <c:pt idx="1634">
                  <c:v>24.892900000000001</c:v>
                </c:pt>
                <c:pt idx="1635">
                  <c:v>24.908100000000001</c:v>
                </c:pt>
                <c:pt idx="1636">
                  <c:v>24.923300000000001</c:v>
                </c:pt>
                <c:pt idx="1637">
                  <c:v>24.938600000000001</c:v>
                </c:pt>
                <c:pt idx="1638">
                  <c:v>24.953800000000001</c:v>
                </c:pt>
                <c:pt idx="1639">
                  <c:v>24.969000000000001</c:v>
                </c:pt>
                <c:pt idx="1640">
                  <c:v>24.984300000000001</c:v>
                </c:pt>
                <c:pt idx="1641">
                  <c:v>24.999500000000001</c:v>
                </c:pt>
                <c:pt idx="1642">
                  <c:v>25.014700000000001</c:v>
                </c:pt>
                <c:pt idx="1643">
                  <c:v>25.03</c:v>
                </c:pt>
                <c:pt idx="1644">
                  <c:v>25.045200000000001</c:v>
                </c:pt>
                <c:pt idx="1645">
                  <c:v>25.060500000000001</c:v>
                </c:pt>
                <c:pt idx="1646">
                  <c:v>25.075700000000001</c:v>
                </c:pt>
                <c:pt idx="1647">
                  <c:v>25.090900000000001</c:v>
                </c:pt>
                <c:pt idx="1648">
                  <c:v>25.106200000000001</c:v>
                </c:pt>
                <c:pt idx="1649">
                  <c:v>25.121400000000001</c:v>
                </c:pt>
                <c:pt idx="1650">
                  <c:v>25.136600000000001</c:v>
                </c:pt>
                <c:pt idx="1651">
                  <c:v>25.151900000000001</c:v>
                </c:pt>
                <c:pt idx="1652">
                  <c:v>25.167100000000001</c:v>
                </c:pt>
                <c:pt idx="1653">
                  <c:v>25.182300000000001</c:v>
                </c:pt>
                <c:pt idx="1654">
                  <c:v>25.197600000000001</c:v>
                </c:pt>
                <c:pt idx="1655">
                  <c:v>25.212800000000001</c:v>
                </c:pt>
                <c:pt idx="1656">
                  <c:v>25.228000000000002</c:v>
                </c:pt>
                <c:pt idx="1657">
                  <c:v>25.243300000000001</c:v>
                </c:pt>
                <c:pt idx="1658">
                  <c:v>25.258500000000002</c:v>
                </c:pt>
                <c:pt idx="1659">
                  <c:v>25.273700000000002</c:v>
                </c:pt>
                <c:pt idx="1660">
                  <c:v>25.289000000000001</c:v>
                </c:pt>
                <c:pt idx="1661">
                  <c:v>25.304200000000002</c:v>
                </c:pt>
                <c:pt idx="1662">
                  <c:v>25.319400000000002</c:v>
                </c:pt>
                <c:pt idx="1663">
                  <c:v>25.334700000000002</c:v>
                </c:pt>
                <c:pt idx="1664">
                  <c:v>25.349900000000002</c:v>
                </c:pt>
                <c:pt idx="1665">
                  <c:v>25.365100000000002</c:v>
                </c:pt>
                <c:pt idx="1666">
                  <c:v>25.380400000000002</c:v>
                </c:pt>
                <c:pt idx="1667">
                  <c:v>25.395600000000002</c:v>
                </c:pt>
                <c:pt idx="1668">
                  <c:v>25.410799999999998</c:v>
                </c:pt>
                <c:pt idx="1669">
                  <c:v>25.426100000000002</c:v>
                </c:pt>
                <c:pt idx="1670">
                  <c:v>25.441299999999998</c:v>
                </c:pt>
                <c:pt idx="1671">
                  <c:v>25.456499999999998</c:v>
                </c:pt>
                <c:pt idx="1672">
                  <c:v>25.471800000000002</c:v>
                </c:pt>
                <c:pt idx="1673">
                  <c:v>25.486999999999998</c:v>
                </c:pt>
                <c:pt idx="1674">
                  <c:v>25.502199999999998</c:v>
                </c:pt>
              </c:numCache>
            </c:numRef>
          </c:xVal>
          <c:yVal>
            <c:numRef>
              <c:f>Varadero!$G$2:$G$1676</c:f>
              <c:numCache>
                <c:formatCode>General</c:formatCode>
                <c:ptCount val="167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2E-42FE-BC56-5747F22B25AD}"/>
            </c:ext>
          </c:extLst>
        </c:ser>
        <c:ser>
          <c:idx val="1"/>
          <c:order val="1"/>
          <c:tx>
            <c:strRef>
              <c:f>Varadero!$H$1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Varadero!$A$2:$A$1676</c:f>
              <c:numCache>
                <c:formatCode>General</c:formatCode>
                <c:ptCount val="1675"/>
                <c:pt idx="0">
                  <c:v>0</c:v>
                </c:pt>
                <c:pt idx="1">
                  <c:v>1.52E-2</c:v>
                </c:pt>
                <c:pt idx="2">
                  <c:v>3.0499999999999999E-2</c:v>
                </c:pt>
                <c:pt idx="3">
                  <c:v>4.5699999999999998E-2</c:v>
                </c:pt>
                <c:pt idx="4">
                  <c:v>6.0900000000000003E-2</c:v>
                </c:pt>
                <c:pt idx="5">
                  <c:v>7.6200000000000004E-2</c:v>
                </c:pt>
                <c:pt idx="6">
                  <c:v>9.1399999999999995E-2</c:v>
                </c:pt>
                <c:pt idx="7">
                  <c:v>0.1066</c:v>
                </c:pt>
                <c:pt idx="8">
                  <c:v>0.12189999999999999</c:v>
                </c:pt>
                <c:pt idx="9">
                  <c:v>0.1371</c:v>
                </c:pt>
                <c:pt idx="10">
                  <c:v>0.15229999999999999</c:v>
                </c:pt>
                <c:pt idx="11">
                  <c:v>0.1676</c:v>
                </c:pt>
                <c:pt idx="12">
                  <c:v>0.18279999999999999</c:v>
                </c:pt>
                <c:pt idx="13">
                  <c:v>0.19800000000000001</c:v>
                </c:pt>
                <c:pt idx="14">
                  <c:v>0.21329999999999999</c:v>
                </c:pt>
                <c:pt idx="15">
                  <c:v>0.22850000000000001</c:v>
                </c:pt>
                <c:pt idx="16">
                  <c:v>0.2437</c:v>
                </c:pt>
                <c:pt idx="17">
                  <c:v>0.25900000000000001</c:v>
                </c:pt>
                <c:pt idx="18">
                  <c:v>0.2742</c:v>
                </c:pt>
                <c:pt idx="19">
                  <c:v>0.28949999999999998</c:v>
                </c:pt>
                <c:pt idx="20">
                  <c:v>0.30470000000000003</c:v>
                </c:pt>
                <c:pt idx="21">
                  <c:v>0.31990000000000002</c:v>
                </c:pt>
                <c:pt idx="22">
                  <c:v>0.3352</c:v>
                </c:pt>
                <c:pt idx="23">
                  <c:v>0.35039999999999999</c:v>
                </c:pt>
                <c:pt idx="24">
                  <c:v>0.36559999999999998</c:v>
                </c:pt>
                <c:pt idx="25">
                  <c:v>0.38090000000000002</c:v>
                </c:pt>
                <c:pt idx="26">
                  <c:v>0.39610000000000001</c:v>
                </c:pt>
                <c:pt idx="27">
                  <c:v>0.4113</c:v>
                </c:pt>
                <c:pt idx="28">
                  <c:v>0.42659999999999998</c:v>
                </c:pt>
                <c:pt idx="29">
                  <c:v>0.44180000000000003</c:v>
                </c:pt>
                <c:pt idx="30">
                  <c:v>0.45700000000000002</c:v>
                </c:pt>
                <c:pt idx="31">
                  <c:v>0.4723</c:v>
                </c:pt>
                <c:pt idx="32">
                  <c:v>0.48749999999999999</c:v>
                </c:pt>
                <c:pt idx="33">
                  <c:v>0.50270000000000004</c:v>
                </c:pt>
                <c:pt idx="34">
                  <c:v>0.51800000000000002</c:v>
                </c:pt>
                <c:pt idx="35">
                  <c:v>0.53320000000000001</c:v>
                </c:pt>
                <c:pt idx="36">
                  <c:v>0.5484</c:v>
                </c:pt>
                <c:pt idx="37">
                  <c:v>0.56369999999999998</c:v>
                </c:pt>
                <c:pt idx="38">
                  <c:v>0.57889999999999997</c:v>
                </c:pt>
                <c:pt idx="39">
                  <c:v>0.59409999999999996</c:v>
                </c:pt>
                <c:pt idx="40">
                  <c:v>0.60940000000000005</c:v>
                </c:pt>
                <c:pt idx="41">
                  <c:v>0.62460000000000004</c:v>
                </c:pt>
                <c:pt idx="42">
                  <c:v>0.63980000000000004</c:v>
                </c:pt>
                <c:pt idx="43">
                  <c:v>0.65510000000000002</c:v>
                </c:pt>
                <c:pt idx="44">
                  <c:v>0.67030000000000001</c:v>
                </c:pt>
                <c:pt idx="45">
                  <c:v>0.6855</c:v>
                </c:pt>
                <c:pt idx="46">
                  <c:v>0.70079999999999998</c:v>
                </c:pt>
                <c:pt idx="47">
                  <c:v>0.71599999999999997</c:v>
                </c:pt>
                <c:pt idx="48">
                  <c:v>0.73119999999999996</c:v>
                </c:pt>
                <c:pt idx="49">
                  <c:v>0.74650000000000005</c:v>
                </c:pt>
                <c:pt idx="50">
                  <c:v>0.76170000000000004</c:v>
                </c:pt>
                <c:pt idx="51">
                  <c:v>0.77700000000000002</c:v>
                </c:pt>
                <c:pt idx="52">
                  <c:v>0.79220000000000002</c:v>
                </c:pt>
                <c:pt idx="53">
                  <c:v>0.80740000000000001</c:v>
                </c:pt>
                <c:pt idx="54">
                  <c:v>0.82269999999999999</c:v>
                </c:pt>
                <c:pt idx="55">
                  <c:v>0.83789999999999998</c:v>
                </c:pt>
                <c:pt idx="56">
                  <c:v>0.85309999999999997</c:v>
                </c:pt>
                <c:pt idx="57">
                  <c:v>0.86839999999999995</c:v>
                </c:pt>
                <c:pt idx="58">
                  <c:v>0.88360000000000005</c:v>
                </c:pt>
                <c:pt idx="59">
                  <c:v>0.89880000000000004</c:v>
                </c:pt>
                <c:pt idx="60">
                  <c:v>0.91410000000000002</c:v>
                </c:pt>
                <c:pt idx="61">
                  <c:v>0.92930000000000001</c:v>
                </c:pt>
                <c:pt idx="62">
                  <c:v>0.94450000000000001</c:v>
                </c:pt>
                <c:pt idx="63">
                  <c:v>0.95979999999999999</c:v>
                </c:pt>
                <c:pt idx="64">
                  <c:v>0.97499999999999998</c:v>
                </c:pt>
                <c:pt idx="65">
                  <c:v>0.99019999999999997</c:v>
                </c:pt>
                <c:pt idx="66">
                  <c:v>1.0055000000000001</c:v>
                </c:pt>
                <c:pt idx="67">
                  <c:v>1.0206999999999999</c:v>
                </c:pt>
                <c:pt idx="68">
                  <c:v>1.0359</c:v>
                </c:pt>
                <c:pt idx="69">
                  <c:v>1.0511999999999999</c:v>
                </c:pt>
                <c:pt idx="70">
                  <c:v>1.0664</c:v>
                </c:pt>
                <c:pt idx="71">
                  <c:v>1.0815999999999999</c:v>
                </c:pt>
                <c:pt idx="72">
                  <c:v>1.0969</c:v>
                </c:pt>
                <c:pt idx="73">
                  <c:v>1.1121000000000001</c:v>
                </c:pt>
                <c:pt idx="74">
                  <c:v>1.1273</c:v>
                </c:pt>
                <c:pt idx="75">
                  <c:v>1.1426000000000001</c:v>
                </c:pt>
                <c:pt idx="76">
                  <c:v>1.1577999999999999</c:v>
                </c:pt>
                <c:pt idx="77">
                  <c:v>1.173</c:v>
                </c:pt>
                <c:pt idx="78">
                  <c:v>1.1882999999999999</c:v>
                </c:pt>
                <c:pt idx="79">
                  <c:v>1.2035</c:v>
                </c:pt>
                <c:pt idx="80">
                  <c:v>1.2186999999999999</c:v>
                </c:pt>
                <c:pt idx="81">
                  <c:v>1.234</c:v>
                </c:pt>
                <c:pt idx="82">
                  <c:v>1.2492000000000001</c:v>
                </c:pt>
                <c:pt idx="83">
                  <c:v>1.2644</c:v>
                </c:pt>
                <c:pt idx="84">
                  <c:v>1.2797000000000001</c:v>
                </c:pt>
                <c:pt idx="85">
                  <c:v>1.2948999999999999</c:v>
                </c:pt>
                <c:pt idx="86">
                  <c:v>1.3102</c:v>
                </c:pt>
                <c:pt idx="87">
                  <c:v>1.3253999999999999</c:v>
                </c:pt>
                <c:pt idx="88">
                  <c:v>1.3406</c:v>
                </c:pt>
                <c:pt idx="89">
                  <c:v>1.3559000000000001</c:v>
                </c:pt>
                <c:pt idx="90">
                  <c:v>1.3711</c:v>
                </c:pt>
                <c:pt idx="91">
                  <c:v>1.3863000000000001</c:v>
                </c:pt>
                <c:pt idx="92">
                  <c:v>1.4016</c:v>
                </c:pt>
                <c:pt idx="93">
                  <c:v>1.4168000000000001</c:v>
                </c:pt>
                <c:pt idx="94">
                  <c:v>1.4319999999999999</c:v>
                </c:pt>
                <c:pt idx="95">
                  <c:v>1.4473</c:v>
                </c:pt>
                <c:pt idx="96">
                  <c:v>1.4624999999999999</c:v>
                </c:pt>
                <c:pt idx="97">
                  <c:v>1.4777</c:v>
                </c:pt>
                <c:pt idx="98">
                  <c:v>1.4930000000000001</c:v>
                </c:pt>
                <c:pt idx="99">
                  <c:v>1.5082</c:v>
                </c:pt>
                <c:pt idx="100">
                  <c:v>1.5234000000000001</c:v>
                </c:pt>
                <c:pt idx="101">
                  <c:v>1.5387</c:v>
                </c:pt>
                <c:pt idx="102">
                  <c:v>1.5539000000000001</c:v>
                </c:pt>
                <c:pt idx="103">
                  <c:v>1.5690999999999999</c:v>
                </c:pt>
                <c:pt idx="104">
                  <c:v>1.5844</c:v>
                </c:pt>
                <c:pt idx="105">
                  <c:v>1.5995999999999999</c:v>
                </c:pt>
                <c:pt idx="106">
                  <c:v>1.6148</c:v>
                </c:pt>
                <c:pt idx="107">
                  <c:v>1.6301000000000001</c:v>
                </c:pt>
                <c:pt idx="108">
                  <c:v>1.6453</c:v>
                </c:pt>
                <c:pt idx="109">
                  <c:v>1.6605000000000001</c:v>
                </c:pt>
                <c:pt idx="110">
                  <c:v>1.6758</c:v>
                </c:pt>
                <c:pt idx="111">
                  <c:v>1.6910000000000001</c:v>
                </c:pt>
                <c:pt idx="112">
                  <c:v>1.7061999999999999</c:v>
                </c:pt>
                <c:pt idx="113">
                  <c:v>1.7215</c:v>
                </c:pt>
                <c:pt idx="114">
                  <c:v>1.7366999999999999</c:v>
                </c:pt>
                <c:pt idx="115">
                  <c:v>1.7519</c:v>
                </c:pt>
                <c:pt idx="116">
                  <c:v>1.7672000000000001</c:v>
                </c:pt>
                <c:pt idx="117">
                  <c:v>1.7824</c:v>
                </c:pt>
                <c:pt idx="118">
                  <c:v>1.7976000000000001</c:v>
                </c:pt>
                <c:pt idx="119">
                  <c:v>1.8129</c:v>
                </c:pt>
                <c:pt idx="120">
                  <c:v>1.8281000000000001</c:v>
                </c:pt>
                <c:pt idx="121">
                  <c:v>1.8433999999999999</c:v>
                </c:pt>
                <c:pt idx="122">
                  <c:v>1.8586</c:v>
                </c:pt>
                <c:pt idx="123">
                  <c:v>1.8737999999999999</c:v>
                </c:pt>
                <c:pt idx="124">
                  <c:v>1.8891</c:v>
                </c:pt>
                <c:pt idx="125">
                  <c:v>1.9043000000000001</c:v>
                </c:pt>
                <c:pt idx="126">
                  <c:v>1.9195</c:v>
                </c:pt>
                <c:pt idx="127">
                  <c:v>1.9348000000000001</c:v>
                </c:pt>
                <c:pt idx="128">
                  <c:v>1.95</c:v>
                </c:pt>
                <c:pt idx="129">
                  <c:v>1.9652000000000001</c:v>
                </c:pt>
                <c:pt idx="130">
                  <c:v>1.9804999999999999</c:v>
                </c:pt>
                <c:pt idx="131">
                  <c:v>1.9957</c:v>
                </c:pt>
                <c:pt idx="132">
                  <c:v>2.0108999999999999</c:v>
                </c:pt>
                <c:pt idx="133">
                  <c:v>2.0261999999999998</c:v>
                </c:pt>
                <c:pt idx="134">
                  <c:v>2.0413999999999999</c:v>
                </c:pt>
                <c:pt idx="135">
                  <c:v>2.0566</c:v>
                </c:pt>
                <c:pt idx="136">
                  <c:v>2.0718999999999999</c:v>
                </c:pt>
                <c:pt idx="137">
                  <c:v>2.0871</c:v>
                </c:pt>
                <c:pt idx="138">
                  <c:v>2.1023000000000001</c:v>
                </c:pt>
                <c:pt idx="139">
                  <c:v>2.1175999999999999</c:v>
                </c:pt>
                <c:pt idx="140">
                  <c:v>2.1328</c:v>
                </c:pt>
                <c:pt idx="141">
                  <c:v>2.1480000000000001</c:v>
                </c:pt>
                <c:pt idx="142">
                  <c:v>2.1633</c:v>
                </c:pt>
                <c:pt idx="143">
                  <c:v>2.1785000000000001</c:v>
                </c:pt>
                <c:pt idx="144">
                  <c:v>2.1937000000000002</c:v>
                </c:pt>
                <c:pt idx="145">
                  <c:v>2.2090000000000001</c:v>
                </c:pt>
                <c:pt idx="146">
                  <c:v>2.2242000000000002</c:v>
                </c:pt>
                <c:pt idx="147">
                  <c:v>2.2393999999999998</c:v>
                </c:pt>
                <c:pt idx="148">
                  <c:v>2.2547000000000001</c:v>
                </c:pt>
                <c:pt idx="149">
                  <c:v>2.2698999999999998</c:v>
                </c:pt>
                <c:pt idx="150">
                  <c:v>2.2850999999999999</c:v>
                </c:pt>
                <c:pt idx="151">
                  <c:v>2.3003999999999998</c:v>
                </c:pt>
                <c:pt idx="152">
                  <c:v>2.3155999999999999</c:v>
                </c:pt>
                <c:pt idx="153">
                  <c:v>2.3309000000000002</c:v>
                </c:pt>
                <c:pt idx="154">
                  <c:v>2.3460999999999999</c:v>
                </c:pt>
                <c:pt idx="155">
                  <c:v>2.3613</c:v>
                </c:pt>
                <c:pt idx="156">
                  <c:v>2.3765999999999998</c:v>
                </c:pt>
                <c:pt idx="157">
                  <c:v>2.3917999999999999</c:v>
                </c:pt>
                <c:pt idx="158">
                  <c:v>2.407</c:v>
                </c:pt>
                <c:pt idx="159">
                  <c:v>2.4222999999999999</c:v>
                </c:pt>
                <c:pt idx="160">
                  <c:v>2.4375</c:v>
                </c:pt>
                <c:pt idx="161">
                  <c:v>2.4527000000000001</c:v>
                </c:pt>
                <c:pt idx="162">
                  <c:v>2.468</c:v>
                </c:pt>
                <c:pt idx="163">
                  <c:v>2.4832000000000001</c:v>
                </c:pt>
                <c:pt idx="164">
                  <c:v>2.4984000000000002</c:v>
                </c:pt>
                <c:pt idx="165">
                  <c:v>2.5137</c:v>
                </c:pt>
                <c:pt idx="166">
                  <c:v>2.5289000000000001</c:v>
                </c:pt>
                <c:pt idx="167">
                  <c:v>2.5440999999999998</c:v>
                </c:pt>
                <c:pt idx="168">
                  <c:v>2.5594000000000001</c:v>
                </c:pt>
                <c:pt idx="169">
                  <c:v>2.5746000000000002</c:v>
                </c:pt>
                <c:pt idx="170">
                  <c:v>2.5897999999999999</c:v>
                </c:pt>
                <c:pt idx="171">
                  <c:v>2.6051000000000002</c:v>
                </c:pt>
                <c:pt idx="172">
                  <c:v>2.6202999999999999</c:v>
                </c:pt>
                <c:pt idx="173">
                  <c:v>2.6355</c:v>
                </c:pt>
                <c:pt idx="174">
                  <c:v>2.6507999999999998</c:v>
                </c:pt>
                <c:pt idx="175">
                  <c:v>2.6659999999999999</c:v>
                </c:pt>
                <c:pt idx="176">
                  <c:v>2.6812</c:v>
                </c:pt>
                <c:pt idx="177">
                  <c:v>2.6964999999999999</c:v>
                </c:pt>
                <c:pt idx="178">
                  <c:v>2.7117</c:v>
                </c:pt>
                <c:pt idx="179">
                  <c:v>2.7269000000000001</c:v>
                </c:pt>
                <c:pt idx="180">
                  <c:v>2.7422</c:v>
                </c:pt>
                <c:pt idx="181">
                  <c:v>2.7574000000000001</c:v>
                </c:pt>
                <c:pt idx="182">
                  <c:v>2.7726000000000002</c:v>
                </c:pt>
                <c:pt idx="183">
                  <c:v>2.7879</c:v>
                </c:pt>
                <c:pt idx="184">
                  <c:v>2.8031000000000001</c:v>
                </c:pt>
                <c:pt idx="185">
                  <c:v>2.8182999999999998</c:v>
                </c:pt>
                <c:pt idx="186">
                  <c:v>2.8336000000000001</c:v>
                </c:pt>
                <c:pt idx="187">
                  <c:v>2.8488000000000002</c:v>
                </c:pt>
                <c:pt idx="188">
                  <c:v>2.8641000000000001</c:v>
                </c:pt>
                <c:pt idx="189">
                  <c:v>2.8793000000000002</c:v>
                </c:pt>
                <c:pt idx="190">
                  <c:v>2.8944999999999999</c:v>
                </c:pt>
                <c:pt idx="191">
                  <c:v>2.9098000000000002</c:v>
                </c:pt>
                <c:pt idx="192">
                  <c:v>2.9249999999999998</c:v>
                </c:pt>
                <c:pt idx="193">
                  <c:v>2.9401999999999999</c:v>
                </c:pt>
                <c:pt idx="194">
                  <c:v>2.9554999999999998</c:v>
                </c:pt>
                <c:pt idx="195">
                  <c:v>2.9706999999999999</c:v>
                </c:pt>
                <c:pt idx="196">
                  <c:v>2.9859</c:v>
                </c:pt>
                <c:pt idx="197">
                  <c:v>3.0011999999999999</c:v>
                </c:pt>
                <c:pt idx="198">
                  <c:v>3.0164</c:v>
                </c:pt>
                <c:pt idx="199">
                  <c:v>3.0316000000000001</c:v>
                </c:pt>
                <c:pt idx="200">
                  <c:v>3.0468999999999999</c:v>
                </c:pt>
                <c:pt idx="201">
                  <c:v>3.0621</c:v>
                </c:pt>
                <c:pt idx="202">
                  <c:v>3.0773000000000001</c:v>
                </c:pt>
                <c:pt idx="203">
                  <c:v>3.0926</c:v>
                </c:pt>
                <c:pt idx="204">
                  <c:v>3.1078000000000001</c:v>
                </c:pt>
                <c:pt idx="205">
                  <c:v>3.1230000000000002</c:v>
                </c:pt>
                <c:pt idx="206">
                  <c:v>3.1383000000000001</c:v>
                </c:pt>
                <c:pt idx="207">
                  <c:v>3.1535000000000002</c:v>
                </c:pt>
                <c:pt idx="208">
                  <c:v>3.1686999999999999</c:v>
                </c:pt>
                <c:pt idx="209">
                  <c:v>3.1840000000000002</c:v>
                </c:pt>
                <c:pt idx="210">
                  <c:v>3.1991999999999998</c:v>
                </c:pt>
                <c:pt idx="211">
                  <c:v>3.2143999999999999</c:v>
                </c:pt>
                <c:pt idx="212">
                  <c:v>3.2296999999999998</c:v>
                </c:pt>
                <c:pt idx="213">
                  <c:v>3.2448999999999999</c:v>
                </c:pt>
                <c:pt idx="214">
                  <c:v>3.2601</c:v>
                </c:pt>
                <c:pt idx="215">
                  <c:v>3.2753999999999999</c:v>
                </c:pt>
                <c:pt idx="216">
                  <c:v>3.2906</c:v>
                </c:pt>
                <c:pt idx="217">
                  <c:v>3.3058000000000001</c:v>
                </c:pt>
                <c:pt idx="218">
                  <c:v>3.3210999999999999</c:v>
                </c:pt>
                <c:pt idx="219">
                  <c:v>3.3363</c:v>
                </c:pt>
                <c:pt idx="220">
                  <c:v>3.3515000000000001</c:v>
                </c:pt>
                <c:pt idx="221">
                  <c:v>3.3668</c:v>
                </c:pt>
                <c:pt idx="222">
                  <c:v>3.3820000000000001</c:v>
                </c:pt>
                <c:pt idx="223">
                  <c:v>3.3973</c:v>
                </c:pt>
                <c:pt idx="224">
                  <c:v>3.4125000000000001</c:v>
                </c:pt>
                <c:pt idx="225">
                  <c:v>3.4277000000000002</c:v>
                </c:pt>
                <c:pt idx="226">
                  <c:v>3.4430000000000001</c:v>
                </c:pt>
                <c:pt idx="227">
                  <c:v>3.4582000000000002</c:v>
                </c:pt>
                <c:pt idx="228">
                  <c:v>3.4733999999999998</c:v>
                </c:pt>
                <c:pt idx="229">
                  <c:v>3.4887000000000001</c:v>
                </c:pt>
                <c:pt idx="230">
                  <c:v>3.5038999999999998</c:v>
                </c:pt>
                <c:pt idx="231">
                  <c:v>3.5190999999999999</c:v>
                </c:pt>
                <c:pt idx="232">
                  <c:v>3.5344000000000002</c:v>
                </c:pt>
                <c:pt idx="233">
                  <c:v>3.5495999999999999</c:v>
                </c:pt>
                <c:pt idx="234">
                  <c:v>3.5648</c:v>
                </c:pt>
                <c:pt idx="235">
                  <c:v>3.5800999999999998</c:v>
                </c:pt>
                <c:pt idx="236">
                  <c:v>3.5952999999999999</c:v>
                </c:pt>
                <c:pt idx="237">
                  <c:v>3.6105</c:v>
                </c:pt>
                <c:pt idx="238">
                  <c:v>3.6257999999999999</c:v>
                </c:pt>
                <c:pt idx="239">
                  <c:v>3.641</c:v>
                </c:pt>
                <c:pt idx="240">
                  <c:v>3.6562000000000001</c:v>
                </c:pt>
                <c:pt idx="241">
                  <c:v>3.6715</c:v>
                </c:pt>
                <c:pt idx="242">
                  <c:v>3.6867000000000001</c:v>
                </c:pt>
                <c:pt idx="243">
                  <c:v>3.7019000000000002</c:v>
                </c:pt>
                <c:pt idx="244">
                  <c:v>3.7172000000000001</c:v>
                </c:pt>
                <c:pt idx="245">
                  <c:v>3.7324000000000002</c:v>
                </c:pt>
                <c:pt idx="246">
                  <c:v>3.7475999999999998</c:v>
                </c:pt>
                <c:pt idx="247">
                  <c:v>3.7629000000000001</c:v>
                </c:pt>
                <c:pt idx="248">
                  <c:v>3.7780999999999998</c:v>
                </c:pt>
                <c:pt idx="249">
                  <c:v>3.7932999999999999</c:v>
                </c:pt>
                <c:pt idx="250">
                  <c:v>3.8086000000000002</c:v>
                </c:pt>
                <c:pt idx="251">
                  <c:v>3.8237999999999999</c:v>
                </c:pt>
                <c:pt idx="252">
                  <c:v>3.839</c:v>
                </c:pt>
                <c:pt idx="253">
                  <c:v>3.8542999999999998</c:v>
                </c:pt>
                <c:pt idx="254">
                  <c:v>3.8694999999999999</c:v>
                </c:pt>
                <c:pt idx="255">
                  <c:v>3.8847999999999998</c:v>
                </c:pt>
                <c:pt idx="256">
                  <c:v>3.9</c:v>
                </c:pt>
                <c:pt idx="257">
                  <c:v>3.9152</c:v>
                </c:pt>
                <c:pt idx="258">
                  <c:v>3.9304999999999999</c:v>
                </c:pt>
                <c:pt idx="259">
                  <c:v>3.9457</c:v>
                </c:pt>
                <c:pt idx="260">
                  <c:v>3.9609000000000001</c:v>
                </c:pt>
                <c:pt idx="261">
                  <c:v>3.9762</c:v>
                </c:pt>
                <c:pt idx="262">
                  <c:v>3.9914000000000001</c:v>
                </c:pt>
                <c:pt idx="263">
                  <c:v>4.0065999999999997</c:v>
                </c:pt>
                <c:pt idx="264">
                  <c:v>4.0218999999999996</c:v>
                </c:pt>
                <c:pt idx="265">
                  <c:v>4.0370999999999997</c:v>
                </c:pt>
                <c:pt idx="266">
                  <c:v>4.0522999999999998</c:v>
                </c:pt>
                <c:pt idx="267">
                  <c:v>4.0675999999999997</c:v>
                </c:pt>
                <c:pt idx="268">
                  <c:v>4.0827999999999998</c:v>
                </c:pt>
                <c:pt idx="269">
                  <c:v>4.0979999999999999</c:v>
                </c:pt>
                <c:pt idx="270">
                  <c:v>4.1132999999999997</c:v>
                </c:pt>
                <c:pt idx="271">
                  <c:v>4.1284999999999998</c:v>
                </c:pt>
                <c:pt idx="272">
                  <c:v>4.1436999999999999</c:v>
                </c:pt>
                <c:pt idx="273">
                  <c:v>4.1589999999999998</c:v>
                </c:pt>
                <c:pt idx="274">
                  <c:v>4.1741999999999999</c:v>
                </c:pt>
                <c:pt idx="275">
                  <c:v>4.1894</c:v>
                </c:pt>
                <c:pt idx="276">
                  <c:v>4.2046999999999999</c:v>
                </c:pt>
                <c:pt idx="277">
                  <c:v>4.2199</c:v>
                </c:pt>
                <c:pt idx="278">
                  <c:v>4.2351000000000001</c:v>
                </c:pt>
                <c:pt idx="279">
                  <c:v>4.2504</c:v>
                </c:pt>
                <c:pt idx="280">
                  <c:v>4.2656000000000001</c:v>
                </c:pt>
                <c:pt idx="281">
                  <c:v>4.2808000000000002</c:v>
                </c:pt>
                <c:pt idx="282">
                  <c:v>4.2961</c:v>
                </c:pt>
                <c:pt idx="283">
                  <c:v>4.3113000000000001</c:v>
                </c:pt>
                <c:pt idx="284">
                  <c:v>4.3265000000000002</c:v>
                </c:pt>
                <c:pt idx="285">
                  <c:v>4.3418000000000001</c:v>
                </c:pt>
                <c:pt idx="286">
                  <c:v>4.3570000000000002</c:v>
                </c:pt>
                <c:pt idx="287">
                  <c:v>4.3722000000000003</c:v>
                </c:pt>
                <c:pt idx="288">
                  <c:v>4.3875000000000002</c:v>
                </c:pt>
                <c:pt idx="289">
                  <c:v>4.4027000000000003</c:v>
                </c:pt>
                <c:pt idx="290">
                  <c:v>4.4180000000000001</c:v>
                </c:pt>
                <c:pt idx="291">
                  <c:v>4.4332000000000003</c:v>
                </c:pt>
                <c:pt idx="292">
                  <c:v>4.4484000000000004</c:v>
                </c:pt>
                <c:pt idx="293">
                  <c:v>4.4637000000000002</c:v>
                </c:pt>
                <c:pt idx="294">
                  <c:v>4.4789000000000003</c:v>
                </c:pt>
                <c:pt idx="295">
                  <c:v>4.4941000000000004</c:v>
                </c:pt>
                <c:pt idx="296">
                  <c:v>4.5094000000000003</c:v>
                </c:pt>
                <c:pt idx="297">
                  <c:v>4.5246000000000004</c:v>
                </c:pt>
                <c:pt idx="298">
                  <c:v>4.5397999999999996</c:v>
                </c:pt>
                <c:pt idx="299">
                  <c:v>4.5551000000000004</c:v>
                </c:pt>
                <c:pt idx="300">
                  <c:v>4.5702999999999996</c:v>
                </c:pt>
                <c:pt idx="301">
                  <c:v>4.5854999999999997</c:v>
                </c:pt>
                <c:pt idx="302">
                  <c:v>4.6007999999999996</c:v>
                </c:pt>
                <c:pt idx="303">
                  <c:v>4.6159999999999997</c:v>
                </c:pt>
                <c:pt idx="304">
                  <c:v>4.6311999999999998</c:v>
                </c:pt>
                <c:pt idx="305">
                  <c:v>4.6464999999999996</c:v>
                </c:pt>
                <c:pt idx="306">
                  <c:v>4.6616999999999997</c:v>
                </c:pt>
                <c:pt idx="307">
                  <c:v>4.6768999999999998</c:v>
                </c:pt>
                <c:pt idx="308">
                  <c:v>4.6921999999999997</c:v>
                </c:pt>
                <c:pt idx="309">
                  <c:v>4.7073999999999998</c:v>
                </c:pt>
                <c:pt idx="310">
                  <c:v>4.7225999999999999</c:v>
                </c:pt>
                <c:pt idx="311">
                  <c:v>4.7378999999999998</c:v>
                </c:pt>
                <c:pt idx="312">
                  <c:v>4.7530999999999999</c:v>
                </c:pt>
                <c:pt idx="313">
                  <c:v>4.7683</c:v>
                </c:pt>
                <c:pt idx="314">
                  <c:v>4.7835999999999999</c:v>
                </c:pt>
                <c:pt idx="315">
                  <c:v>4.7988</c:v>
                </c:pt>
                <c:pt idx="316">
                  <c:v>4.8140000000000001</c:v>
                </c:pt>
                <c:pt idx="317">
                  <c:v>4.8292999999999999</c:v>
                </c:pt>
                <c:pt idx="318">
                  <c:v>4.8445</c:v>
                </c:pt>
                <c:pt idx="319">
                  <c:v>4.8597000000000001</c:v>
                </c:pt>
                <c:pt idx="320">
                  <c:v>4.875</c:v>
                </c:pt>
                <c:pt idx="321">
                  <c:v>4.8902000000000001</c:v>
                </c:pt>
                <c:pt idx="322">
                  <c:v>4.9055</c:v>
                </c:pt>
                <c:pt idx="323">
                  <c:v>4.9207000000000001</c:v>
                </c:pt>
                <c:pt idx="324">
                  <c:v>4.9359000000000002</c:v>
                </c:pt>
                <c:pt idx="325">
                  <c:v>4.9512</c:v>
                </c:pt>
                <c:pt idx="326">
                  <c:v>4.9664000000000001</c:v>
                </c:pt>
                <c:pt idx="327">
                  <c:v>4.9816000000000003</c:v>
                </c:pt>
                <c:pt idx="328">
                  <c:v>4.9969000000000001</c:v>
                </c:pt>
                <c:pt idx="329">
                  <c:v>5.0121000000000002</c:v>
                </c:pt>
                <c:pt idx="330">
                  <c:v>5.0273000000000003</c:v>
                </c:pt>
                <c:pt idx="331">
                  <c:v>5.0426000000000002</c:v>
                </c:pt>
                <c:pt idx="332">
                  <c:v>5.0578000000000003</c:v>
                </c:pt>
                <c:pt idx="333">
                  <c:v>5.0730000000000004</c:v>
                </c:pt>
                <c:pt idx="334">
                  <c:v>5.0883000000000003</c:v>
                </c:pt>
                <c:pt idx="335">
                  <c:v>5.1035000000000004</c:v>
                </c:pt>
                <c:pt idx="336">
                  <c:v>5.1186999999999996</c:v>
                </c:pt>
                <c:pt idx="337">
                  <c:v>5.1340000000000003</c:v>
                </c:pt>
                <c:pt idx="338">
                  <c:v>5.1492000000000004</c:v>
                </c:pt>
                <c:pt idx="339">
                  <c:v>5.1643999999999997</c:v>
                </c:pt>
                <c:pt idx="340">
                  <c:v>5.1797000000000004</c:v>
                </c:pt>
                <c:pt idx="341">
                  <c:v>5.1948999999999996</c:v>
                </c:pt>
                <c:pt idx="342">
                  <c:v>5.2100999999999997</c:v>
                </c:pt>
                <c:pt idx="343">
                  <c:v>5.2253999999999996</c:v>
                </c:pt>
                <c:pt idx="344">
                  <c:v>5.2405999999999997</c:v>
                </c:pt>
                <c:pt idx="345">
                  <c:v>5.2557999999999998</c:v>
                </c:pt>
                <c:pt idx="346">
                  <c:v>5.2710999999999997</c:v>
                </c:pt>
                <c:pt idx="347">
                  <c:v>5.2862999999999998</c:v>
                </c:pt>
                <c:pt idx="348">
                  <c:v>5.3014999999999999</c:v>
                </c:pt>
                <c:pt idx="349">
                  <c:v>5.3167999999999997</c:v>
                </c:pt>
                <c:pt idx="350">
                  <c:v>5.3319999999999999</c:v>
                </c:pt>
                <c:pt idx="351">
                  <c:v>5.3472</c:v>
                </c:pt>
                <c:pt idx="352">
                  <c:v>5.3624999999999998</c:v>
                </c:pt>
                <c:pt idx="353">
                  <c:v>5.3776999999999999</c:v>
                </c:pt>
                <c:pt idx="354">
                  <c:v>5.3929</c:v>
                </c:pt>
                <c:pt idx="355">
                  <c:v>5.4081999999999999</c:v>
                </c:pt>
                <c:pt idx="356">
                  <c:v>5.4234</c:v>
                </c:pt>
                <c:pt idx="357">
                  <c:v>5.4386999999999999</c:v>
                </c:pt>
                <c:pt idx="358">
                  <c:v>5.4539</c:v>
                </c:pt>
                <c:pt idx="359">
                  <c:v>5.4691000000000001</c:v>
                </c:pt>
                <c:pt idx="360">
                  <c:v>5.4843999999999999</c:v>
                </c:pt>
                <c:pt idx="361">
                  <c:v>5.4996</c:v>
                </c:pt>
                <c:pt idx="362">
                  <c:v>5.5148000000000001</c:v>
                </c:pt>
                <c:pt idx="363">
                  <c:v>5.5301</c:v>
                </c:pt>
                <c:pt idx="364">
                  <c:v>5.5453000000000001</c:v>
                </c:pt>
                <c:pt idx="365">
                  <c:v>5.5605000000000002</c:v>
                </c:pt>
                <c:pt idx="366">
                  <c:v>5.5758000000000001</c:v>
                </c:pt>
                <c:pt idx="367">
                  <c:v>5.5910000000000002</c:v>
                </c:pt>
                <c:pt idx="368">
                  <c:v>5.6062000000000003</c:v>
                </c:pt>
                <c:pt idx="369">
                  <c:v>5.6215000000000002</c:v>
                </c:pt>
                <c:pt idx="370">
                  <c:v>5.6367000000000003</c:v>
                </c:pt>
                <c:pt idx="371">
                  <c:v>5.6519000000000004</c:v>
                </c:pt>
                <c:pt idx="372">
                  <c:v>5.6672000000000002</c:v>
                </c:pt>
                <c:pt idx="373">
                  <c:v>5.6824000000000003</c:v>
                </c:pt>
                <c:pt idx="374">
                  <c:v>5.6976000000000004</c:v>
                </c:pt>
                <c:pt idx="375">
                  <c:v>5.7129000000000003</c:v>
                </c:pt>
                <c:pt idx="376">
                  <c:v>5.7281000000000004</c:v>
                </c:pt>
                <c:pt idx="377">
                  <c:v>5.7432999999999996</c:v>
                </c:pt>
                <c:pt idx="378">
                  <c:v>5.7586000000000004</c:v>
                </c:pt>
                <c:pt idx="379">
                  <c:v>5.7737999999999996</c:v>
                </c:pt>
                <c:pt idx="380">
                  <c:v>5.7889999999999997</c:v>
                </c:pt>
                <c:pt idx="381">
                  <c:v>5.8042999999999996</c:v>
                </c:pt>
                <c:pt idx="382">
                  <c:v>5.8194999999999997</c:v>
                </c:pt>
                <c:pt idx="383">
                  <c:v>5.8346999999999998</c:v>
                </c:pt>
                <c:pt idx="384">
                  <c:v>5.85</c:v>
                </c:pt>
                <c:pt idx="385">
                  <c:v>5.8651999999999997</c:v>
                </c:pt>
                <c:pt idx="386">
                  <c:v>5.8803999999999998</c:v>
                </c:pt>
                <c:pt idx="387">
                  <c:v>5.8956999999999997</c:v>
                </c:pt>
                <c:pt idx="388">
                  <c:v>5.9108999999999998</c:v>
                </c:pt>
                <c:pt idx="389">
                  <c:v>5.9260999999999999</c:v>
                </c:pt>
                <c:pt idx="390">
                  <c:v>5.9413999999999998</c:v>
                </c:pt>
                <c:pt idx="391">
                  <c:v>5.9565999999999999</c:v>
                </c:pt>
                <c:pt idx="392">
                  <c:v>5.9718999999999998</c:v>
                </c:pt>
                <c:pt idx="393">
                  <c:v>5.9870999999999999</c:v>
                </c:pt>
                <c:pt idx="394">
                  <c:v>6.0023</c:v>
                </c:pt>
                <c:pt idx="395">
                  <c:v>6.0175999999999998</c:v>
                </c:pt>
                <c:pt idx="396">
                  <c:v>6.0327999999999999</c:v>
                </c:pt>
                <c:pt idx="397">
                  <c:v>6.048</c:v>
                </c:pt>
                <c:pt idx="398">
                  <c:v>6.0632999999999999</c:v>
                </c:pt>
                <c:pt idx="399">
                  <c:v>6.0785</c:v>
                </c:pt>
                <c:pt idx="400">
                  <c:v>6.0937000000000001</c:v>
                </c:pt>
                <c:pt idx="401">
                  <c:v>6.109</c:v>
                </c:pt>
                <c:pt idx="402">
                  <c:v>6.1242000000000001</c:v>
                </c:pt>
                <c:pt idx="403">
                  <c:v>6.1394000000000002</c:v>
                </c:pt>
                <c:pt idx="404">
                  <c:v>6.1547000000000001</c:v>
                </c:pt>
                <c:pt idx="405">
                  <c:v>6.1699000000000002</c:v>
                </c:pt>
                <c:pt idx="406">
                  <c:v>6.1851000000000003</c:v>
                </c:pt>
                <c:pt idx="407">
                  <c:v>6.2004000000000001</c:v>
                </c:pt>
                <c:pt idx="408">
                  <c:v>6.2156000000000002</c:v>
                </c:pt>
                <c:pt idx="409">
                  <c:v>6.2308000000000003</c:v>
                </c:pt>
                <c:pt idx="410">
                  <c:v>6.2461000000000002</c:v>
                </c:pt>
                <c:pt idx="411">
                  <c:v>6.2613000000000003</c:v>
                </c:pt>
                <c:pt idx="412">
                  <c:v>6.2765000000000004</c:v>
                </c:pt>
                <c:pt idx="413">
                  <c:v>6.2918000000000003</c:v>
                </c:pt>
                <c:pt idx="414">
                  <c:v>6.3070000000000004</c:v>
                </c:pt>
                <c:pt idx="415">
                  <c:v>6.3221999999999996</c:v>
                </c:pt>
                <c:pt idx="416">
                  <c:v>6.3375000000000004</c:v>
                </c:pt>
                <c:pt idx="417">
                  <c:v>6.3526999999999996</c:v>
                </c:pt>
                <c:pt idx="418">
                  <c:v>6.3678999999999997</c:v>
                </c:pt>
                <c:pt idx="419">
                  <c:v>6.3832000000000004</c:v>
                </c:pt>
                <c:pt idx="420">
                  <c:v>6.3983999999999996</c:v>
                </c:pt>
                <c:pt idx="421">
                  <c:v>6.4135999999999997</c:v>
                </c:pt>
                <c:pt idx="422">
                  <c:v>6.4288999999999996</c:v>
                </c:pt>
                <c:pt idx="423">
                  <c:v>6.4440999999999997</c:v>
                </c:pt>
                <c:pt idx="424">
                  <c:v>6.4593999999999996</c:v>
                </c:pt>
                <c:pt idx="425">
                  <c:v>6.4745999999999997</c:v>
                </c:pt>
                <c:pt idx="426">
                  <c:v>6.4897999999999998</c:v>
                </c:pt>
                <c:pt idx="427">
                  <c:v>6.5050999999999997</c:v>
                </c:pt>
                <c:pt idx="428">
                  <c:v>6.5202999999999998</c:v>
                </c:pt>
                <c:pt idx="429">
                  <c:v>6.5354999999999999</c:v>
                </c:pt>
                <c:pt idx="430">
                  <c:v>6.5507999999999997</c:v>
                </c:pt>
                <c:pt idx="431">
                  <c:v>6.5659999999999998</c:v>
                </c:pt>
                <c:pt idx="432">
                  <c:v>6.5811999999999999</c:v>
                </c:pt>
                <c:pt idx="433">
                  <c:v>6.5964999999999998</c:v>
                </c:pt>
                <c:pt idx="434">
                  <c:v>6.6116999999999999</c:v>
                </c:pt>
                <c:pt idx="435">
                  <c:v>6.6269</c:v>
                </c:pt>
                <c:pt idx="436">
                  <c:v>6.6421999999999999</c:v>
                </c:pt>
                <c:pt idx="437">
                  <c:v>6.6574</c:v>
                </c:pt>
                <c:pt idx="438">
                  <c:v>6.6726000000000001</c:v>
                </c:pt>
                <c:pt idx="439">
                  <c:v>6.6879</c:v>
                </c:pt>
                <c:pt idx="440">
                  <c:v>6.7031000000000001</c:v>
                </c:pt>
                <c:pt idx="441">
                  <c:v>6.7183000000000002</c:v>
                </c:pt>
                <c:pt idx="442">
                  <c:v>6.7336</c:v>
                </c:pt>
                <c:pt idx="443">
                  <c:v>6.7488000000000001</c:v>
                </c:pt>
                <c:pt idx="444">
                  <c:v>6.7640000000000002</c:v>
                </c:pt>
                <c:pt idx="445">
                  <c:v>6.7793000000000001</c:v>
                </c:pt>
                <c:pt idx="446">
                  <c:v>6.7945000000000002</c:v>
                </c:pt>
                <c:pt idx="447">
                  <c:v>6.8097000000000003</c:v>
                </c:pt>
                <c:pt idx="448">
                  <c:v>6.8250000000000002</c:v>
                </c:pt>
                <c:pt idx="449">
                  <c:v>6.8402000000000003</c:v>
                </c:pt>
                <c:pt idx="450">
                  <c:v>6.8554000000000004</c:v>
                </c:pt>
                <c:pt idx="451">
                  <c:v>6.8707000000000003</c:v>
                </c:pt>
                <c:pt idx="452">
                  <c:v>6.8859000000000004</c:v>
                </c:pt>
                <c:pt idx="453">
                  <c:v>6.9010999999999996</c:v>
                </c:pt>
                <c:pt idx="454">
                  <c:v>6.9164000000000003</c:v>
                </c:pt>
                <c:pt idx="455">
                  <c:v>6.9316000000000004</c:v>
                </c:pt>
                <c:pt idx="456">
                  <c:v>6.9467999999999996</c:v>
                </c:pt>
                <c:pt idx="457">
                  <c:v>6.9621000000000004</c:v>
                </c:pt>
                <c:pt idx="458">
                  <c:v>6.9772999999999996</c:v>
                </c:pt>
                <c:pt idx="459">
                  <c:v>6.9926000000000004</c:v>
                </c:pt>
                <c:pt idx="460">
                  <c:v>7.0077999999999996</c:v>
                </c:pt>
                <c:pt idx="461">
                  <c:v>7.0229999999999997</c:v>
                </c:pt>
                <c:pt idx="462">
                  <c:v>7.0382999999999996</c:v>
                </c:pt>
                <c:pt idx="463">
                  <c:v>7.0534999999999997</c:v>
                </c:pt>
                <c:pt idx="464">
                  <c:v>7.0686999999999998</c:v>
                </c:pt>
                <c:pt idx="465">
                  <c:v>7.0839999999999996</c:v>
                </c:pt>
                <c:pt idx="466">
                  <c:v>7.0991999999999997</c:v>
                </c:pt>
                <c:pt idx="467">
                  <c:v>7.1143999999999998</c:v>
                </c:pt>
                <c:pt idx="468">
                  <c:v>7.1296999999999997</c:v>
                </c:pt>
                <c:pt idx="469">
                  <c:v>7.1448999999999998</c:v>
                </c:pt>
                <c:pt idx="470">
                  <c:v>7.1600999999999999</c:v>
                </c:pt>
                <c:pt idx="471">
                  <c:v>7.1753999999999998</c:v>
                </c:pt>
                <c:pt idx="472">
                  <c:v>7.1905999999999999</c:v>
                </c:pt>
                <c:pt idx="473">
                  <c:v>7.2058</c:v>
                </c:pt>
                <c:pt idx="474">
                  <c:v>7.2210999999999999</c:v>
                </c:pt>
                <c:pt idx="475">
                  <c:v>7.2363</c:v>
                </c:pt>
                <c:pt idx="476">
                  <c:v>7.2515000000000001</c:v>
                </c:pt>
                <c:pt idx="477">
                  <c:v>7.2667999999999999</c:v>
                </c:pt>
                <c:pt idx="478">
                  <c:v>7.282</c:v>
                </c:pt>
                <c:pt idx="479">
                  <c:v>7.2972000000000001</c:v>
                </c:pt>
                <c:pt idx="480">
                  <c:v>7.3125</c:v>
                </c:pt>
                <c:pt idx="481">
                  <c:v>7.3277000000000001</c:v>
                </c:pt>
                <c:pt idx="482">
                  <c:v>7.3429000000000002</c:v>
                </c:pt>
                <c:pt idx="483">
                  <c:v>7.3582000000000001</c:v>
                </c:pt>
                <c:pt idx="484">
                  <c:v>7.3734000000000002</c:v>
                </c:pt>
                <c:pt idx="485">
                  <c:v>7.3886000000000003</c:v>
                </c:pt>
                <c:pt idx="486">
                  <c:v>7.4039000000000001</c:v>
                </c:pt>
                <c:pt idx="487">
                  <c:v>7.4191000000000003</c:v>
                </c:pt>
                <c:pt idx="488">
                  <c:v>7.4343000000000004</c:v>
                </c:pt>
                <c:pt idx="489">
                  <c:v>7.4496000000000002</c:v>
                </c:pt>
                <c:pt idx="490">
                  <c:v>7.4648000000000003</c:v>
                </c:pt>
                <c:pt idx="491">
                  <c:v>7.4801000000000002</c:v>
                </c:pt>
                <c:pt idx="492">
                  <c:v>7.4953000000000003</c:v>
                </c:pt>
                <c:pt idx="493">
                  <c:v>7.5105000000000004</c:v>
                </c:pt>
                <c:pt idx="494">
                  <c:v>7.5258000000000003</c:v>
                </c:pt>
                <c:pt idx="495">
                  <c:v>7.5410000000000004</c:v>
                </c:pt>
                <c:pt idx="496">
                  <c:v>7.5561999999999996</c:v>
                </c:pt>
                <c:pt idx="497">
                  <c:v>7.5715000000000003</c:v>
                </c:pt>
                <c:pt idx="498">
                  <c:v>7.5867000000000004</c:v>
                </c:pt>
                <c:pt idx="499">
                  <c:v>7.6018999999999997</c:v>
                </c:pt>
                <c:pt idx="500">
                  <c:v>7.6172000000000004</c:v>
                </c:pt>
                <c:pt idx="501">
                  <c:v>7.6323999999999996</c:v>
                </c:pt>
                <c:pt idx="502">
                  <c:v>7.6475999999999997</c:v>
                </c:pt>
                <c:pt idx="503">
                  <c:v>7.6628999999999996</c:v>
                </c:pt>
                <c:pt idx="504">
                  <c:v>7.6780999999999997</c:v>
                </c:pt>
                <c:pt idx="505">
                  <c:v>7.6932999999999998</c:v>
                </c:pt>
                <c:pt idx="506">
                  <c:v>7.7085999999999997</c:v>
                </c:pt>
                <c:pt idx="507">
                  <c:v>7.7237999999999998</c:v>
                </c:pt>
                <c:pt idx="508">
                  <c:v>7.7389999999999999</c:v>
                </c:pt>
                <c:pt idx="509">
                  <c:v>7.7542999999999997</c:v>
                </c:pt>
                <c:pt idx="510">
                  <c:v>7.7694999999999999</c:v>
                </c:pt>
                <c:pt idx="511">
                  <c:v>7.7847</c:v>
                </c:pt>
                <c:pt idx="512">
                  <c:v>7.8</c:v>
                </c:pt>
                <c:pt idx="513">
                  <c:v>7.8151999999999999</c:v>
                </c:pt>
                <c:pt idx="514">
                  <c:v>7.8304</c:v>
                </c:pt>
                <c:pt idx="515">
                  <c:v>7.8456999999999999</c:v>
                </c:pt>
                <c:pt idx="516">
                  <c:v>7.8609</c:v>
                </c:pt>
                <c:pt idx="517">
                  <c:v>7.8761000000000001</c:v>
                </c:pt>
                <c:pt idx="518">
                  <c:v>7.8914</c:v>
                </c:pt>
                <c:pt idx="519">
                  <c:v>7.9066000000000001</c:v>
                </c:pt>
                <c:pt idx="520">
                  <c:v>7.9218000000000002</c:v>
                </c:pt>
                <c:pt idx="521">
                  <c:v>7.9371</c:v>
                </c:pt>
                <c:pt idx="522">
                  <c:v>7.9523000000000001</c:v>
                </c:pt>
                <c:pt idx="523">
                  <c:v>7.9675000000000002</c:v>
                </c:pt>
                <c:pt idx="524">
                  <c:v>7.9828000000000001</c:v>
                </c:pt>
                <c:pt idx="525">
                  <c:v>7.9980000000000002</c:v>
                </c:pt>
                <c:pt idx="526">
                  <c:v>8.0132999999999992</c:v>
                </c:pt>
                <c:pt idx="527">
                  <c:v>8.0284999999999993</c:v>
                </c:pt>
                <c:pt idx="528">
                  <c:v>8.0436999999999994</c:v>
                </c:pt>
                <c:pt idx="529">
                  <c:v>8.0589999999999993</c:v>
                </c:pt>
                <c:pt idx="530">
                  <c:v>8.0741999999999994</c:v>
                </c:pt>
                <c:pt idx="531">
                  <c:v>8.0893999999999995</c:v>
                </c:pt>
                <c:pt idx="532">
                  <c:v>8.1046999999999993</c:v>
                </c:pt>
                <c:pt idx="533">
                  <c:v>8.1198999999999995</c:v>
                </c:pt>
                <c:pt idx="534">
                  <c:v>8.1350999999999996</c:v>
                </c:pt>
                <c:pt idx="535">
                  <c:v>8.1503999999999994</c:v>
                </c:pt>
                <c:pt idx="536">
                  <c:v>8.1655999999999995</c:v>
                </c:pt>
                <c:pt idx="537">
                  <c:v>8.1807999999999996</c:v>
                </c:pt>
                <c:pt idx="538">
                  <c:v>8.1960999999999995</c:v>
                </c:pt>
                <c:pt idx="539">
                  <c:v>8.2112999999999996</c:v>
                </c:pt>
                <c:pt idx="540">
                  <c:v>8.2264999999999997</c:v>
                </c:pt>
                <c:pt idx="541">
                  <c:v>8.2417999999999996</c:v>
                </c:pt>
                <c:pt idx="542">
                  <c:v>8.2569999999999997</c:v>
                </c:pt>
                <c:pt idx="543">
                  <c:v>8.2721999999999998</c:v>
                </c:pt>
                <c:pt idx="544">
                  <c:v>8.2874999999999996</c:v>
                </c:pt>
                <c:pt idx="545">
                  <c:v>8.3026999999999997</c:v>
                </c:pt>
                <c:pt idx="546">
                  <c:v>8.3178999999999998</c:v>
                </c:pt>
                <c:pt idx="547">
                  <c:v>8.3331999999999997</c:v>
                </c:pt>
                <c:pt idx="548">
                  <c:v>8.3483999999999998</c:v>
                </c:pt>
                <c:pt idx="549">
                  <c:v>8.3635999999999999</c:v>
                </c:pt>
                <c:pt idx="550">
                  <c:v>8.3788999999999998</c:v>
                </c:pt>
                <c:pt idx="551">
                  <c:v>8.3940999999999999</c:v>
                </c:pt>
                <c:pt idx="552">
                  <c:v>8.4093</c:v>
                </c:pt>
                <c:pt idx="553">
                  <c:v>8.4245999999999999</c:v>
                </c:pt>
                <c:pt idx="554">
                  <c:v>8.4398</c:v>
                </c:pt>
                <c:pt idx="555">
                  <c:v>8.4550000000000001</c:v>
                </c:pt>
                <c:pt idx="556">
                  <c:v>8.4702999999999999</c:v>
                </c:pt>
                <c:pt idx="557">
                  <c:v>8.4855</c:v>
                </c:pt>
                <c:pt idx="558">
                  <c:v>8.5007000000000001</c:v>
                </c:pt>
                <c:pt idx="559">
                  <c:v>8.516</c:v>
                </c:pt>
                <c:pt idx="560">
                  <c:v>8.5312000000000001</c:v>
                </c:pt>
                <c:pt idx="561">
                  <c:v>8.5465</c:v>
                </c:pt>
                <c:pt idx="562">
                  <c:v>8.5617000000000001</c:v>
                </c:pt>
                <c:pt idx="563">
                  <c:v>8.5769000000000002</c:v>
                </c:pt>
                <c:pt idx="564">
                  <c:v>8.5922000000000001</c:v>
                </c:pt>
                <c:pt idx="565">
                  <c:v>8.6074000000000002</c:v>
                </c:pt>
                <c:pt idx="566">
                  <c:v>8.6226000000000003</c:v>
                </c:pt>
                <c:pt idx="567">
                  <c:v>8.6379000000000001</c:v>
                </c:pt>
                <c:pt idx="568">
                  <c:v>8.6531000000000002</c:v>
                </c:pt>
                <c:pt idx="569">
                  <c:v>8.6683000000000003</c:v>
                </c:pt>
                <c:pt idx="570">
                  <c:v>8.6836000000000002</c:v>
                </c:pt>
                <c:pt idx="571">
                  <c:v>8.6988000000000003</c:v>
                </c:pt>
                <c:pt idx="572">
                  <c:v>8.7140000000000004</c:v>
                </c:pt>
                <c:pt idx="573">
                  <c:v>8.7293000000000003</c:v>
                </c:pt>
                <c:pt idx="574">
                  <c:v>8.7445000000000004</c:v>
                </c:pt>
                <c:pt idx="575">
                  <c:v>8.7597000000000005</c:v>
                </c:pt>
                <c:pt idx="576">
                  <c:v>8.7750000000000004</c:v>
                </c:pt>
                <c:pt idx="577">
                  <c:v>8.7902000000000005</c:v>
                </c:pt>
                <c:pt idx="578">
                  <c:v>8.8054000000000006</c:v>
                </c:pt>
                <c:pt idx="579">
                  <c:v>8.8207000000000004</c:v>
                </c:pt>
                <c:pt idx="580">
                  <c:v>8.8359000000000005</c:v>
                </c:pt>
                <c:pt idx="581">
                  <c:v>8.8511000000000006</c:v>
                </c:pt>
                <c:pt idx="582">
                  <c:v>8.8664000000000005</c:v>
                </c:pt>
                <c:pt idx="583">
                  <c:v>8.8816000000000006</c:v>
                </c:pt>
                <c:pt idx="584">
                  <c:v>8.8968000000000007</c:v>
                </c:pt>
                <c:pt idx="585">
                  <c:v>8.9121000000000006</c:v>
                </c:pt>
                <c:pt idx="586">
                  <c:v>8.9273000000000007</c:v>
                </c:pt>
                <c:pt idx="587">
                  <c:v>8.9425000000000008</c:v>
                </c:pt>
                <c:pt idx="588">
                  <c:v>8.9578000000000007</c:v>
                </c:pt>
                <c:pt idx="589">
                  <c:v>8.9730000000000008</c:v>
                </c:pt>
                <c:pt idx="590">
                  <c:v>8.9882000000000009</c:v>
                </c:pt>
                <c:pt idx="591">
                  <c:v>9.0035000000000007</c:v>
                </c:pt>
                <c:pt idx="592">
                  <c:v>9.0187000000000008</c:v>
                </c:pt>
                <c:pt idx="593">
                  <c:v>9.0340000000000007</c:v>
                </c:pt>
                <c:pt idx="594">
                  <c:v>9.0492000000000008</c:v>
                </c:pt>
                <c:pt idx="595">
                  <c:v>9.0643999999999991</c:v>
                </c:pt>
                <c:pt idx="596">
                  <c:v>9.0797000000000008</c:v>
                </c:pt>
                <c:pt idx="597">
                  <c:v>9.0949000000000009</c:v>
                </c:pt>
                <c:pt idx="598">
                  <c:v>9.1100999999999992</c:v>
                </c:pt>
                <c:pt idx="599">
                  <c:v>9.1254000000000008</c:v>
                </c:pt>
                <c:pt idx="600">
                  <c:v>9.1405999999999992</c:v>
                </c:pt>
                <c:pt idx="601">
                  <c:v>9.1557999999999993</c:v>
                </c:pt>
                <c:pt idx="602">
                  <c:v>9.1710999999999991</c:v>
                </c:pt>
                <c:pt idx="603">
                  <c:v>9.1862999999999992</c:v>
                </c:pt>
                <c:pt idx="604">
                  <c:v>9.2014999999999993</c:v>
                </c:pt>
                <c:pt idx="605">
                  <c:v>9.2167999999999992</c:v>
                </c:pt>
                <c:pt idx="606">
                  <c:v>9.2319999999999993</c:v>
                </c:pt>
                <c:pt idx="607">
                  <c:v>9.2471999999999994</c:v>
                </c:pt>
                <c:pt idx="608">
                  <c:v>9.2624999999999993</c:v>
                </c:pt>
                <c:pt idx="609">
                  <c:v>9.2776999999999994</c:v>
                </c:pt>
                <c:pt idx="610">
                  <c:v>9.2928999999999995</c:v>
                </c:pt>
                <c:pt idx="611">
                  <c:v>9.3081999999999994</c:v>
                </c:pt>
                <c:pt idx="612">
                  <c:v>9.3233999999999995</c:v>
                </c:pt>
                <c:pt idx="613">
                  <c:v>9.3385999999999996</c:v>
                </c:pt>
                <c:pt idx="614">
                  <c:v>9.3538999999999994</c:v>
                </c:pt>
                <c:pt idx="615">
                  <c:v>9.3690999999999995</c:v>
                </c:pt>
                <c:pt idx="616">
                  <c:v>9.3842999999999996</c:v>
                </c:pt>
                <c:pt idx="617">
                  <c:v>9.3995999999999995</c:v>
                </c:pt>
                <c:pt idx="618">
                  <c:v>9.4147999999999996</c:v>
                </c:pt>
                <c:pt idx="619">
                  <c:v>9.43</c:v>
                </c:pt>
                <c:pt idx="620">
                  <c:v>9.4452999999999996</c:v>
                </c:pt>
                <c:pt idx="621">
                  <c:v>9.4604999999999997</c:v>
                </c:pt>
                <c:pt idx="622">
                  <c:v>9.4756999999999998</c:v>
                </c:pt>
                <c:pt idx="623">
                  <c:v>9.4909999999999997</c:v>
                </c:pt>
                <c:pt idx="624">
                  <c:v>9.5061999999999998</c:v>
                </c:pt>
                <c:pt idx="625">
                  <c:v>9.5213999999999999</c:v>
                </c:pt>
                <c:pt idx="626">
                  <c:v>9.5366999999999997</c:v>
                </c:pt>
                <c:pt idx="627">
                  <c:v>9.5518999999999998</c:v>
                </c:pt>
                <c:pt idx="628">
                  <c:v>9.5671999999999997</c:v>
                </c:pt>
                <c:pt idx="629">
                  <c:v>9.5823999999999998</c:v>
                </c:pt>
                <c:pt idx="630">
                  <c:v>9.5975999999999999</c:v>
                </c:pt>
                <c:pt idx="631">
                  <c:v>9.6128999999999998</c:v>
                </c:pt>
                <c:pt idx="632">
                  <c:v>9.6280999999999999</c:v>
                </c:pt>
                <c:pt idx="633">
                  <c:v>9.6433</c:v>
                </c:pt>
                <c:pt idx="634">
                  <c:v>9.6585999999999999</c:v>
                </c:pt>
                <c:pt idx="635">
                  <c:v>9.6738</c:v>
                </c:pt>
                <c:pt idx="636">
                  <c:v>9.6890000000000001</c:v>
                </c:pt>
                <c:pt idx="637">
                  <c:v>9.7042999999999999</c:v>
                </c:pt>
                <c:pt idx="638">
                  <c:v>9.7195</c:v>
                </c:pt>
                <c:pt idx="639">
                  <c:v>9.7347000000000001</c:v>
                </c:pt>
                <c:pt idx="640">
                  <c:v>9.75</c:v>
                </c:pt>
                <c:pt idx="641">
                  <c:v>9.7652000000000001</c:v>
                </c:pt>
                <c:pt idx="642">
                  <c:v>9.7804000000000002</c:v>
                </c:pt>
                <c:pt idx="643">
                  <c:v>9.7957000000000001</c:v>
                </c:pt>
                <c:pt idx="644">
                  <c:v>9.8109000000000002</c:v>
                </c:pt>
                <c:pt idx="645">
                  <c:v>9.8261000000000003</c:v>
                </c:pt>
                <c:pt idx="646">
                  <c:v>9.8414000000000001</c:v>
                </c:pt>
                <c:pt idx="647">
                  <c:v>9.8566000000000003</c:v>
                </c:pt>
                <c:pt idx="648">
                  <c:v>9.8718000000000004</c:v>
                </c:pt>
                <c:pt idx="649">
                  <c:v>9.8871000000000002</c:v>
                </c:pt>
                <c:pt idx="650">
                  <c:v>9.9023000000000003</c:v>
                </c:pt>
                <c:pt idx="651">
                  <c:v>9.9175000000000004</c:v>
                </c:pt>
                <c:pt idx="652">
                  <c:v>9.9328000000000003</c:v>
                </c:pt>
                <c:pt idx="653">
                  <c:v>9.9480000000000004</c:v>
                </c:pt>
                <c:pt idx="654">
                  <c:v>9.9632000000000005</c:v>
                </c:pt>
                <c:pt idx="655">
                  <c:v>9.9785000000000004</c:v>
                </c:pt>
                <c:pt idx="656">
                  <c:v>9.9937000000000005</c:v>
                </c:pt>
                <c:pt idx="657">
                  <c:v>10.008900000000001</c:v>
                </c:pt>
                <c:pt idx="658">
                  <c:v>10.0242</c:v>
                </c:pt>
                <c:pt idx="659">
                  <c:v>10.039400000000001</c:v>
                </c:pt>
                <c:pt idx="660">
                  <c:v>10.054600000000001</c:v>
                </c:pt>
                <c:pt idx="661">
                  <c:v>10.069900000000001</c:v>
                </c:pt>
                <c:pt idx="662">
                  <c:v>10.085100000000001</c:v>
                </c:pt>
                <c:pt idx="663">
                  <c:v>10.1004</c:v>
                </c:pt>
                <c:pt idx="664">
                  <c:v>10.115600000000001</c:v>
                </c:pt>
                <c:pt idx="665">
                  <c:v>10.130800000000001</c:v>
                </c:pt>
                <c:pt idx="666">
                  <c:v>10.146100000000001</c:v>
                </c:pt>
                <c:pt idx="667">
                  <c:v>10.161300000000001</c:v>
                </c:pt>
                <c:pt idx="668">
                  <c:v>10.176500000000001</c:v>
                </c:pt>
                <c:pt idx="669">
                  <c:v>10.191800000000001</c:v>
                </c:pt>
                <c:pt idx="670">
                  <c:v>10.207000000000001</c:v>
                </c:pt>
                <c:pt idx="671">
                  <c:v>10.222200000000001</c:v>
                </c:pt>
                <c:pt idx="672">
                  <c:v>10.237500000000001</c:v>
                </c:pt>
                <c:pt idx="673">
                  <c:v>10.252700000000001</c:v>
                </c:pt>
                <c:pt idx="674">
                  <c:v>10.267899999999999</c:v>
                </c:pt>
                <c:pt idx="675">
                  <c:v>10.283200000000001</c:v>
                </c:pt>
                <c:pt idx="676">
                  <c:v>10.298400000000001</c:v>
                </c:pt>
                <c:pt idx="677">
                  <c:v>10.313599999999999</c:v>
                </c:pt>
                <c:pt idx="678">
                  <c:v>10.328900000000001</c:v>
                </c:pt>
                <c:pt idx="679">
                  <c:v>10.344099999999999</c:v>
                </c:pt>
                <c:pt idx="680">
                  <c:v>10.359299999999999</c:v>
                </c:pt>
                <c:pt idx="681">
                  <c:v>10.374599999999999</c:v>
                </c:pt>
                <c:pt idx="682">
                  <c:v>10.389799999999999</c:v>
                </c:pt>
                <c:pt idx="683">
                  <c:v>10.404999999999999</c:v>
                </c:pt>
                <c:pt idx="684">
                  <c:v>10.420299999999999</c:v>
                </c:pt>
                <c:pt idx="685">
                  <c:v>10.435499999999999</c:v>
                </c:pt>
                <c:pt idx="686">
                  <c:v>10.450699999999999</c:v>
                </c:pt>
                <c:pt idx="687">
                  <c:v>10.465999999999999</c:v>
                </c:pt>
                <c:pt idx="688">
                  <c:v>10.481199999999999</c:v>
                </c:pt>
                <c:pt idx="689">
                  <c:v>10.4964</c:v>
                </c:pt>
                <c:pt idx="690">
                  <c:v>10.511699999999999</c:v>
                </c:pt>
                <c:pt idx="691">
                  <c:v>10.526899999999999</c:v>
                </c:pt>
                <c:pt idx="692">
                  <c:v>10.5421</c:v>
                </c:pt>
                <c:pt idx="693">
                  <c:v>10.557399999999999</c:v>
                </c:pt>
                <c:pt idx="694">
                  <c:v>10.5726</c:v>
                </c:pt>
                <c:pt idx="695">
                  <c:v>10.587899999999999</c:v>
                </c:pt>
                <c:pt idx="696">
                  <c:v>10.6031</c:v>
                </c:pt>
                <c:pt idx="697">
                  <c:v>10.6183</c:v>
                </c:pt>
                <c:pt idx="698">
                  <c:v>10.633599999999999</c:v>
                </c:pt>
                <c:pt idx="699">
                  <c:v>10.6488</c:v>
                </c:pt>
                <c:pt idx="700">
                  <c:v>10.664</c:v>
                </c:pt>
                <c:pt idx="701">
                  <c:v>10.6793</c:v>
                </c:pt>
                <c:pt idx="702">
                  <c:v>10.6945</c:v>
                </c:pt>
                <c:pt idx="703">
                  <c:v>10.7097</c:v>
                </c:pt>
                <c:pt idx="704">
                  <c:v>10.725</c:v>
                </c:pt>
                <c:pt idx="705">
                  <c:v>10.7402</c:v>
                </c:pt>
                <c:pt idx="706">
                  <c:v>10.7554</c:v>
                </c:pt>
                <c:pt idx="707">
                  <c:v>10.7707</c:v>
                </c:pt>
                <c:pt idx="708">
                  <c:v>10.7859</c:v>
                </c:pt>
                <c:pt idx="709">
                  <c:v>10.8011</c:v>
                </c:pt>
                <c:pt idx="710">
                  <c:v>10.8164</c:v>
                </c:pt>
                <c:pt idx="711">
                  <c:v>10.8316</c:v>
                </c:pt>
                <c:pt idx="712">
                  <c:v>10.8468</c:v>
                </c:pt>
                <c:pt idx="713">
                  <c:v>10.8621</c:v>
                </c:pt>
                <c:pt idx="714">
                  <c:v>10.8773</c:v>
                </c:pt>
                <c:pt idx="715">
                  <c:v>10.8925</c:v>
                </c:pt>
                <c:pt idx="716">
                  <c:v>10.9078</c:v>
                </c:pt>
                <c:pt idx="717">
                  <c:v>10.923</c:v>
                </c:pt>
                <c:pt idx="718">
                  <c:v>10.9382</c:v>
                </c:pt>
                <c:pt idx="719">
                  <c:v>10.9535</c:v>
                </c:pt>
                <c:pt idx="720">
                  <c:v>10.9687</c:v>
                </c:pt>
                <c:pt idx="721">
                  <c:v>10.9839</c:v>
                </c:pt>
                <c:pt idx="722">
                  <c:v>10.9992</c:v>
                </c:pt>
                <c:pt idx="723">
                  <c:v>11.0144</c:v>
                </c:pt>
                <c:pt idx="724">
                  <c:v>11.0296</c:v>
                </c:pt>
                <c:pt idx="725">
                  <c:v>11.0449</c:v>
                </c:pt>
                <c:pt idx="726">
                  <c:v>11.0601</c:v>
                </c:pt>
                <c:pt idx="727">
                  <c:v>11.0753</c:v>
                </c:pt>
                <c:pt idx="728">
                  <c:v>11.0906</c:v>
                </c:pt>
                <c:pt idx="729">
                  <c:v>11.1058</c:v>
                </c:pt>
                <c:pt idx="730">
                  <c:v>11.1211</c:v>
                </c:pt>
                <c:pt idx="731">
                  <c:v>11.1363</c:v>
                </c:pt>
                <c:pt idx="732">
                  <c:v>11.1515</c:v>
                </c:pt>
                <c:pt idx="733">
                  <c:v>11.1668</c:v>
                </c:pt>
                <c:pt idx="734">
                  <c:v>11.182</c:v>
                </c:pt>
                <c:pt idx="735">
                  <c:v>11.1972</c:v>
                </c:pt>
                <c:pt idx="736">
                  <c:v>11.2125</c:v>
                </c:pt>
                <c:pt idx="737">
                  <c:v>11.2277</c:v>
                </c:pt>
                <c:pt idx="738">
                  <c:v>11.242900000000001</c:v>
                </c:pt>
                <c:pt idx="739">
                  <c:v>11.2582</c:v>
                </c:pt>
                <c:pt idx="740">
                  <c:v>11.273400000000001</c:v>
                </c:pt>
                <c:pt idx="741">
                  <c:v>11.288600000000001</c:v>
                </c:pt>
                <c:pt idx="742">
                  <c:v>11.303900000000001</c:v>
                </c:pt>
                <c:pt idx="743">
                  <c:v>11.319100000000001</c:v>
                </c:pt>
                <c:pt idx="744">
                  <c:v>11.334300000000001</c:v>
                </c:pt>
                <c:pt idx="745">
                  <c:v>11.349600000000001</c:v>
                </c:pt>
                <c:pt idx="746">
                  <c:v>11.364800000000001</c:v>
                </c:pt>
                <c:pt idx="747">
                  <c:v>11.38</c:v>
                </c:pt>
                <c:pt idx="748">
                  <c:v>11.395300000000001</c:v>
                </c:pt>
                <c:pt idx="749">
                  <c:v>11.410500000000001</c:v>
                </c:pt>
                <c:pt idx="750">
                  <c:v>11.425700000000001</c:v>
                </c:pt>
                <c:pt idx="751">
                  <c:v>11.441000000000001</c:v>
                </c:pt>
                <c:pt idx="752">
                  <c:v>11.456200000000001</c:v>
                </c:pt>
                <c:pt idx="753">
                  <c:v>11.471399999999999</c:v>
                </c:pt>
                <c:pt idx="754">
                  <c:v>11.486700000000001</c:v>
                </c:pt>
                <c:pt idx="755">
                  <c:v>11.501899999999999</c:v>
                </c:pt>
                <c:pt idx="756">
                  <c:v>11.517099999999999</c:v>
                </c:pt>
                <c:pt idx="757">
                  <c:v>11.532400000000001</c:v>
                </c:pt>
                <c:pt idx="758">
                  <c:v>11.547599999999999</c:v>
                </c:pt>
                <c:pt idx="759">
                  <c:v>11.562799999999999</c:v>
                </c:pt>
                <c:pt idx="760">
                  <c:v>11.578099999999999</c:v>
                </c:pt>
                <c:pt idx="761">
                  <c:v>11.593299999999999</c:v>
                </c:pt>
                <c:pt idx="762">
                  <c:v>11.608599999999999</c:v>
                </c:pt>
                <c:pt idx="763">
                  <c:v>11.623799999999999</c:v>
                </c:pt>
                <c:pt idx="764">
                  <c:v>11.638999999999999</c:v>
                </c:pt>
                <c:pt idx="765">
                  <c:v>11.654299999999999</c:v>
                </c:pt>
                <c:pt idx="766">
                  <c:v>11.669499999999999</c:v>
                </c:pt>
                <c:pt idx="767">
                  <c:v>11.684699999999999</c:v>
                </c:pt>
                <c:pt idx="768">
                  <c:v>11.7</c:v>
                </c:pt>
                <c:pt idx="769">
                  <c:v>11.715199999999999</c:v>
                </c:pt>
                <c:pt idx="770">
                  <c:v>11.730399999999999</c:v>
                </c:pt>
                <c:pt idx="771">
                  <c:v>11.745699999999999</c:v>
                </c:pt>
                <c:pt idx="772">
                  <c:v>11.760899999999999</c:v>
                </c:pt>
                <c:pt idx="773">
                  <c:v>11.7761</c:v>
                </c:pt>
                <c:pt idx="774">
                  <c:v>11.791399999999999</c:v>
                </c:pt>
                <c:pt idx="775">
                  <c:v>11.8066</c:v>
                </c:pt>
                <c:pt idx="776">
                  <c:v>11.8218</c:v>
                </c:pt>
                <c:pt idx="777">
                  <c:v>11.8371</c:v>
                </c:pt>
                <c:pt idx="778">
                  <c:v>11.8523</c:v>
                </c:pt>
                <c:pt idx="779">
                  <c:v>11.8675</c:v>
                </c:pt>
                <c:pt idx="780">
                  <c:v>11.8828</c:v>
                </c:pt>
                <c:pt idx="781">
                  <c:v>11.898</c:v>
                </c:pt>
                <c:pt idx="782">
                  <c:v>11.9132</c:v>
                </c:pt>
                <c:pt idx="783">
                  <c:v>11.9285</c:v>
                </c:pt>
                <c:pt idx="784">
                  <c:v>11.9437</c:v>
                </c:pt>
                <c:pt idx="785">
                  <c:v>11.9589</c:v>
                </c:pt>
                <c:pt idx="786">
                  <c:v>11.9742</c:v>
                </c:pt>
                <c:pt idx="787">
                  <c:v>11.9894</c:v>
                </c:pt>
                <c:pt idx="788">
                  <c:v>12.0046</c:v>
                </c:pt>
                <c:pt idx="789">
                  <c:v>12.0199</c:v>
                </c:pt>
                <c:pt idx="790">
                  <c:v>12.0351</c:v>
                </c:pt>
                <c:pt idx="791">
                  <c:v>12.0503</c:v>
                </c:pt>
                <c:pt idx="792">
                  <c:v>12.0656</c:v>
                </c:pt>
                <c:pt idx="793">
                  <c:v>12.0808</c:v>
                </c:pt>
                <c:pt idx="794">
                  <c:v>12.096</c:v>
                </c:pt>
                <c:pt idx="795">
                  <c:v>12.1113</c:v>
                </c:pt>
                <c:pt idx="796">
                  <c:v>12.1265</c:v>
                </c:pt>
                <c:pt idx="797">
                  <c:v>12.1418</c:v>
                </c:pt>
                <c:pt idx="798">
                  <c:v>12.157</c:v>
                </c:pt>
                <c:pt idx="799">
                  <c:v>12.1722</c:v>
                </c:pt>
                <c:pt idx="800">
                  <c:v>12.1875</c:v>
                </c:pt>
                <c:pt idx="801">
                  <c:v>12.2027</c:v>
                </c:pt>
                <c:pt idx="802">
                  <c:v>12.2179</c:v>
                </c:pt>
                <c:pt idx="803">
                  <c:v>12.2332</c:v>
                </c:pt>
                <c:pt idx="804">
                  <c:v>12.2484</c:v>
                </c:pt>
                <c:pt idx="805">
                  <c:v>12.2636</c:v>
                </c:pt>
                <c:pt idx="806">
                  <c:v>12.2789</c:v>
                </c:pt>
                <c:pt idx="807">
                  <c:v>12.2941</c:v>
                </c:pt>
                <c:pt idx="808">
                  <c:v>12.3093</c:v>
                </c:pt>
                <c:pt idx="809">
                  <c:v>12.3246</c:v>
                </c:pt>
                <c:pt idx="810">
                  <c:v>12.3398</c:v>
                </c:pt>
                <c:pt idx="811">
                  <c:v>12.355</c:v>
                </c:pt>
                <c:pt idx="812">
                  <c:v>12.3703</c:v>
                </c:pt>
                <c:pt idx="813">
                  <c:v>12.3855</c:v>
                </c:pt>
                <c:pt idx="814">
                  <c:v>12.400700000000001</c:v>
                </c:pt>
                <c:pt idx="815">
                  <c:v>12.416</c:v>
                </c:pt>
                <c:pt idx="816">
                  <c:v>12.4312</c:v>
                </c:pt>
                <c:pt idx="817">
                  <c:v>12.446400000000001</c:v>
                </c:pt>
                <c:pt idx="818">
                  <c:v>12.4617</c:v>
                </c:pt>
                <c:pt idx="819">
                  <c:v>12.476900000000001</c:v>
                </c:pt>
                <c:pt idx="820">
                  <c:v>12.492100000000001</c:v>
                </c:pt>
                <c:pt idx="821">
                  <c:v>12.507400000000001</c:v>
                </c:pt>
                <c:pt idx="822">
                  <c:v>12.522600000000001</c:v>
                </c:pt>
                <c:pt idx="823">
                  <c:v>12.537800000000001</c:v>
                </c:pt>
                <c:pt idx="824">
                  <c:v>12.553100000000001</c:v>
                </c:pt>
                <c:pt idx="825">
                  <c:v>12.568300000000001</c:v>
                </c:pt>
                <c:pt idx="826">
                  <c:v>12.583500000000001</c:v>
                </c:pt>
                <c:pt idx="827">
                  <c:v>12.598800000000001</c:v>
                </c:pt>
                <c:pt idx="828">
                  <c:v>12.614000000000001</c:v>
                </c:pt>
                <c:pt idx="829">
                  <c:v>12.629200000000001</c:v>
                </c:pt>
                <c:pt idx="830">
                  <c:v>12.644500000000001</c:v>
                </c:pt>
                <c:pt idx="831">
                  <c:v>12.659700000000001</c:v>
                </c:pt>
                <c:pt idx="832">
                  <c:v>12.675000000000001</c:v>
                </c:pt>
                <c:pt idx="833">
                  <c:v>12.690200000000001</c:v>
                </c:pt>
                <c:pt idx="834">
                  <c:v>12.705399999999999</c:v>
                </c:pt>
                <c:pt idx="835">
                  <c:v>12.720700000000001</c:v>
                </c:pt>
                <c:pt idx="836">
                  <c:v>12.735900000000001</c:v>
                </c:pt>
                <c:pt idx="837">
                  <c:v>12.751099999999999</c:v>
                </c:pt>
                <c:pt idx="838">
                  <c:v>12.766400000000001</c:v>
                </c:pt>
                <c:pt idx="839">
                  <c:v>12.781599999999999</c:v>
                </c:pt>
                <c:pt idx="840">
                  <c:v>12.796799999999999</c:v>
                </c:pt>
                <c:pt idx="841">
                  <c:v>12.812099999999999</c:v>
                </c:pt>
                <c:pt idx="842">
                  <c:v>12.827299999999999</c:v>
                </c:pt>
                <c:pt idx="843">
                  <c:v>12.842499999999999</c:v>
                </c:pt>
                <c:pt idx="844">
                  <c:v>12.857799999999999</c:v>
                </c:pt>
                <c:pt idx="845">
                  <c:v>12.872999999999999</c:v>
                </c:pt>
                <c:pt idx="846">
                  <c:v>12.888199999999999</c:v>
                </c:pt>
                <c:pt idx="847">
                  <c:v>12.903499999999999</c:v>
                </c:pt>
                <c:pt idx="848">
                  <c:v>12.918699999999999</c:v>
                </c:pt>
                <c:pt idx="849">
                  <c:v>12.9339</c:v>
                </c:pt>
                <c:pt idx="850">
                  <c:v>12.949199999999999</c:v>
                </c:pt>
                <c:pt idx="851">
                  <c:v>12.964399999999999</c:v>
                </c:pt>
                <c:pt idx="852">
                  <c:v>12.9796</c:v>
                </c:pt>
                <c:pt idx="853">
                  <c:v>12.994899999999999</c:v>
                </c:pt>
                <c:pt idx="854">
                  <c:v>13.0101</c:v>
                </c:pt>
                <c:pt idx="855">
                  <c:v>13.0253</c:v>
                </c:pt>
                <c:pt idx="856">
                  <c:v>13.0406</c:v>
                </c:pt>
                <c:pt idx="857">
                  <c:v>13.0558</c:v>
                </c:pt>
                <c:pt idx="858">
                  <c:v>13.071</c:v>
                </c:pt>
                <c:pt idx="859">
                  <c:v>13.0863</c:v>
                </c:pt>
                <c:pt idx="860">
                  <c:v>13.1015</c:v>
                </c:pt>
                <c:pt idx="861">
                  <c:v>13.1167</c:v>
                </c:pt>
                <c:pt idx="862">
                  <c:v>13.132</c:v>
                </c:pt>
                <c:pt idx="863">
                  <c:v>13.1472</c:v>
                </c:pt>
                <c:pt idx="864">
                  <c:v>13.1625</c:v>
                </c:pt>
                <c:pt idx="865">
                  <c:v>13.1777</c:v>
                </c:pt>
                <c:pt idx="866">
                  <c:v>13.1929</c:v>
                </c:pt>
                <c:pt idx="867">
                  <c:v>13.2082</c:v>
                </c:pt>
                <c:pt idx="868">
                  <c:v>13.2234</c:v>
                </c:pt>
                <c:pt idx="869">
                  <c:v>13.2386</c:v>
                </c:pt>
                <c:pt idx="870">
                  <c:v>13.2539</c:v>
                </c:pt>
                <c:pt idx="871">
                  <c:v>13.2691</c:v>
                </c:pt>
                <c:pt idx="872">
                  <c:v>13.2843</c:v>
                </c:pt>
                <c:pt idx="873">
                  <c:v>13.2996</c:v>
                </c:pt>
                <c:pt idx="874">
                  <c:v>13.3148</c:v>
                </c:pt>
                <c:pt idx="875">
                  <c:v>13.33</c:v>
                </c:pt>
                <c:pt idx="876">
                  <c:v>13.3453</c:v>
                </c:pt>
                <c:pt idx="877">
                  <c:v>13.3605</c:v>
                </c:pt>
                <c:pt idx="878">
                  <c:v>13.3757</c:v>
                </c:pt>
                <c:pt idx="879">
                  <c:v>13.391</c:v>
                </c:pt>
                <c:pt idx="880">
                  <c:v>13.4062</c:v>
                </c:pt>
                <c:pt idx="881">
                  <c:v>13.4214</c:v>
                </c:pt>
                <c:pt idx="882">
                  <c:v>13.4367</c:v>
                </c:pt>
                <c:pt idx="883">
                  <c:v>13.4519</c:v>
                </c:pt>
                <c:pt idx="884">
                  <c:v>13.4671</c:v>
                </c:pt>
                <c:pt idx="885">
                  <c:v>13.4824</c:v>
                </c:pt>
                <c:pt idx="886">
                  <c:v>13.4976</c:v>
                </c:pt>
                <c:pt idx="887">
                  <c:v>13.5128</c:v>
                </c:pt>
                <c:pt idx="888">
                  <c:v>13.5281</c:v>
                </c:pt>
                <c:pt idx="889">
                  <c:v>13.5433</c:v>
                </c:pt>
                <c:pt idx="890">
                  <c:v>13.5585</c:v>
                </c:pt>
                <c:pt idx="891">
                  <c:v>13.5738</c:v>
                </c:pt>
                <c:pt idx="892">
                  <c:v>13.589</c:v>
                </c:pt>
                <c:pt idx="893">
                  <c:v>13.604200000000001</c:v>
                </c:pt>
                <c:pt idx="894">
                  <c:v>13.6195</c:v>
                </c:pt>
                <c:pt idx="895">
                  <c:v>13.6347</c:v>
                </c:pt>
                <c:pt idx="896">
                  <c:v>13.649900000000001</c:v>
                </c:pt>
                <c:pt idx="897">
                  <c:v>13.6652</c:v>
                </c:pt>
                <c:pt idx="898">
                  <c:v>13.680400000000001</c:v>
                </c:pt>
                <c:pt idx="899">
                  <c:v>13.6957</c:v>
                </c:pt>
                <c:pt idx="900">
                  <c:v>13.710900000000001</c:v>
                </c:pt>
                <c:pt idx="901">
                  <c:v>13.726100000000001</c:v>
                </c:pt>
                <c:pt idx="902">
                  <c:v>13.741400000000001</c:v>
                </c:pt>
                <c:pt idx="903">
                  <c:v>13.756600000000001</c:v>
                </c:pt>
                <c:pt idx="904">
                  <c:v>13.771800000000001</c:v>
                </c:pt>
                <c:pt idx="905">
                  <c:v>13.787100000000001</c:v>
                </c:pt>
                <c:pt idx="906">
                  <c:v>13.802300000000001</c:v>
                </c:pt>
                <c:pt idx="907">
                  <c:v>13.817500000000001</c:v>
                </c:pt>
                <c:pt idx="908">
                  <c:v>13.832800000000001</c:v>
                </c:pt>
                <c:pt idx="909">
                  <c:v>13.848000000000001</c:v>
                </c:pt>
                <c:pt idx="910">
                  <c:v>13.863200000000001</c:v>
                </c:pt>
                <c:pt idx="911">
                  <c:v>13.878500000000001</c:v>
                </c:pt>
                <c:pt idx="912">
                  <c:v>13.893700000000001</c:v>
                </c:pt>
                <c:pt idx="913">
                  <c:v>13.908899999999999</c:v>
                </c:pt>
                <c:pt idx="914">
                  <c:v>13.924200000000001</c:v>
                </c:pt>
                <c:pt idx="915">
                  <c:v>13.939399999999999</c:v>
                </c:pt>
                <c:pt idx="916">
                  <c:v>13.954599999999999</c:v>
                </c:pt>
                <c:pt idx="917">
                  <c:v>13.969900000000001</c:v>
                </c:pt>
                <c:pt idx="918">
                  <c:v>13.985099999999999</c:v>
                </c:pt>
                <c:pt idx="919">
                  <c:v>14.000299999999999</c:v>
                </c:pt>
                <c:pt idx="920">
                  <c:v>14.015599999999999</c:v>
                </c:pt>
                <c:pt idx="921">
                  <c:v>14.030799999999999</c:v>
                </c:pt>
                <c:pt idx="922">
                  <c:v>14.045999999999999</c:v>
                </c:pt>
                <c:pt idx="923">
                  <c:v>14.061299999999999</c:v>
                </c:pt>
                <c:pt idx="924">
                  <c:v>14.076499999999999</c:v>
                </c:pt>
                <c:pt idx="925">
                  <c:v>14.091699999999999</c:v>
                </c:pt>
                <c:pt idx="926">
                  <c:v>14.106999999999999</c:v>
                </c:pt>
                <c:pt idx="927">
                  <c:v>14.122199999999999</c:v>
                </c:pt>
                <c:pt idx="928">
                  <c:v>14.1374</c:v>
                </c:pt>
                <c:pt idx="929">
                  <c:v>14.152699999999999</c:v>
                </c:pt>
                <c:pt idx="930">
                  <c:v>14.167899999999999</c:v>
                </c:pt>
                <c:pt idx="931">
                  <c:v>14.183199999999999</c:v>
                </c:pt>
                <c:pt idx="932">
                  <c:v>14.198399999999999</c:v>
                </c:pt>
                <c:pt idx="933">
                  <c:v>14.2136</c:v>
                </c:pt>
                <c:pt idx="934">
                  <c:v>14.228899999999999</c:v>
                </c:pt>
                <c:pt idx="935">
                  <c:v>14.2441</c:v>
                </c:pt>
                <c:pt idx="936">
                  <c:v>14.2593</c:v>
                </c:pt>
                <c:pt idx="937">
                  <c:v>14.2746</c:v>
                </c:pt>
                <c:pt idx="938">
                  <c:v>14.2898</c:v>
                </c:pt>
                <c:pt idx="939">
                  <c:v>14.305</c:v>
                </c:pt>
                <c:pt idx="940">
                  <c:v>14.3203</c:v>
                </c:pt>
                <c:pt idx="941">
                  <c:v>14.3355</c:v>
                </c:pt>
                <c:pt idx="942">
                  <c:v>14.3507</c:v>
                </c:pt>
                <c:pt idx="943">
                  <c:v>14.366</c:v>
                </c:pt>
                <c:pt idx="944">
                  <c:v>14.3812</c:v>
                </c:pt>
                <c:pt idx="945">
                  <c:v>14.3964</c:v>
                </c:pt>
                <c:pt idx="946">
                  <c:v>14.4117</c:v>
                </c:pt>
                <c:pt idx="947">
                  <c:v>14.4269</c:v>
                </c:pt>
                <c:pt idx="948">
                  <c:v>14.4421</c:v>
                </c:pt>
                <c:pt idx="949">
                  <c:v>14.4574</c:v>
                </c:pt>
                <c:pt idx="950">
                  <c:v>14.4726</c:v>
                </c:pt>
                <c:pt idx="951">
                  <c:v>14.4878</c:v>
                </c:pt>
                <c:pt idx="952">
                  <c:v>14.5031</c:v>
                </c:pt>
                <c:pt idx="953">
                  <c:v>14.5183</c:v>
                </c:pt>
                <c:pt idx="954">
                  <c:v>14.5335</c:v>
                </c:pt>
                <c:pt idx="955">
                  <c:v>14.5488</c:v>
                </c:pt>
                <c:pt idx="956">
                  <c:v>14.564</c:v>
                </c:pt>
                <c:pt idx="957">
                  <c:v>14.5792</c:v>
                </c:pt>
                <c:pt idx="958">
                  <c:v>14.5945</c:v>
                </c:pt>
                <c:pt idx="959">
                  <c:v>14.6097</c:v>
                </c:pt>
                <c:pt idx="960">
                  <c:v>14.6249</c:v>
                </c:pt>
                <c:pt idx="961">
                  <c:v>14.6402</c:v>
                </c:pt>
                <c:pt idx="962">
                  <c:v>14.6554</c:v>
                </c:pt>
                <c:pt idx="963">
                  <c:v>14.6706</c:v>
                </c:pt>
                <c:pt idx="964">
                  <c:v>14.6859</c:v>
                </c:pt>
                <c:pt idx="965">
                  <c:v>14.7011</c:v>
                </c:pt>
                <c:pt idx="966">
                  <c:v>14.7164</c:v>
                </c:pt>
                <c:pt idx="967">
                  <c:v>14.7316</c:v>
                </c:pt>
                <c:pt idx="968">
                  <c:v>14.7468</c:v>
                </c:pt>
                <c:pt idx="969">
                  <c:v>14.7621</c:v>
                </c:pt>
                <c:pt idx="970">
                  <c:v>14.7773</c:v>
                </c:pt>
                <c:pt idx="971">
                  <c:v>14.7925</c:v>
                </c:pt>
                <c:pt idx="972">
                  <c:v>14.8078</c:v>
                </c:pt>
                <c:pt idx="973">
                  <c:v>14.823</c:v>
                </c:pt>
                <c:pt idx="974">
                  <c:v>14.838200000000001</c:v>
                </c:pt>
                <c:pt idx="975">
                  <c:v>14.8535</c:v>
                </c:pt>
                <c:pt idx="976">
                  <c:v>14.8687</c:v>
                </c:pt>
                <c:pt idx="977">
                  <c:v>14.883900000000001</c:v>
                </c:pt>
                <c:pt idx="978">
                  <c:v>14.8992</c:v>
                </c:pt>
                <c:pt idx="979">
                  <c:v>14.914400000000001</c:v>
                </c:pt>
                <c:pt idx="980">
                  <c:v>14.929600000000001</c:v>
                </c:pt>
                <c:pt idx="981">
                  <c:v>14.944900000000001</c:v>
                </c:pt>
                <c:pt idx="982">
                  <c:v>14.960100000000001</c:v>
                </c:pt>
                <c:pt idx="983">
                  <c:v>14.975300000000001</c:v>
                </c:pt>
                <c:pt idx="984">
                  <c:v>14.990600000000001</c:v>
                </c:pt>
                <c:pt idx="985">
                  <c:v>15.005800000000001</c:v>
                </c:pt>
                <c:pt idx="986">
                  <c:v>15.021000000000001</c:v>
                </c:pt>
                <c:pt idx="987">
                  <c:v>15.036300000000001</c:v>
                </c:pt>
                <c:pt idx="988">
                  <c:v>15.051500000000001</c:v>
                </c:pt>
                <c:pt idx="989">
                  <c:v>15.066700000000001</c:v>
                </c:pt>
                <c:pt idx="990">
                  <c:v>15.082000000000001</c:v>
                </c:pt>
                <c:pt idx="991">
                  <c:v>15.097200000000001</c:v>
                </c:pt>
                <c:pt idx="992">
                  <c:v>15.112399999999999</c:v>
                </c:pt>
                <c:pt idx="993">
                  <c:v>15.127700000000001</c:v>
                </c:pt>
                <c:pt idx="994">
                  <c:v>15.142899999999999</c:v>
                </c:pt>
                <c:pt idx="995">
                  <c:v>15.158099999999999</c:v>
                </c:pt>
                <c:pt idx="996">
                  <c:v>15.173400000000001</c:v>
                </c:pt>
                <c:pt idx="997">
                  <c:v>15.188599999999999</c:v>
                </c:pt>
                <c:pt idx="998">
                  <c:v>15.203799999999999</c:v>
                </c:pt>
                <c:pt idx="999">
                  <c:v>15.219099999999999</c:v>
                </c:pt>
                <c:pt idx="1000">
                  <c:v>15.234299999999999</c:v>
                </c:pt>
                <c:pt idx="1001">
                  <c:v>15.249599999999999</c:v>
                </c:pt>
                <c:pt idx="1002">
                  <c:v>15.264799999999999</c:v>
                </c:pt>
                <c:pt idx="1003">
                  <c:v>15.28</c:v>
                </c:pt>
                <c:pt idx="1004">
                  <c:v>15.295299999999999</c:v>
                </c:pt>
                <c:pt idx="1005">
                  <c:v>15.310499999999999</c:v>
                </c:pt>
                <c:pt idx="1006">
                  <c:v>15.325699999999999</c:v>
                </c:pt>
                <c:pt idx="1007">
                  <c:v>15.340999999999999</c:v>
                </c:pt>
                <c:pt idx="1008">
                  <c:v>15.356199999999999</c:v>
                </c:pt>
                <c:pt idx="1009">
                  <c:v>15.3714</c:v>
                </c:pt>
                <c:pt idx="1010">
                  <c:v>15.386699999999999</c:v>
                </c:pt>
                <c:pt idx="1011">
                  <c:v>15.401899999999999</c:v>
                </c:pt>
                <c:pt idx="1012">
                  <c:v>15.4171</c:v>
                </c:pt>
                <c:pt idx="1013">
                  <c:v>15.432399999999999</c:v>
                </c:pt>
                <c:pt idx="1014">
                  <c:v>15.4476</c:v>
                </c:pt>
                <c:pt idx="1015">
                  <c:v>15.4628</c:v>
                </c:pt>
                <c:pt idx="1016">
                  <c:v>15.4781</c:v>
                </c:pt>
                <c:pt idx="1017">
                  <c:v>15.4933</c:v>
                </c:pt>
                <c:pt idx="1018">
                  <c:v>15.5085</c:v>
                </c:pt>
                <c:pt idx="1019">
                  <c:v>15.5238</c:v>
                </c:pt>
                <c:pt idx="1020">
                  <c:v>15.539</c:v>
                </c:pt>
                <c:pt idx="1021">
                  <c:v>15.5542</c:v>
                </c:pt>
                <c:pt idx="1022">
                  <c:v>15.5695</c:v>
                </c:pt>
                <c:pt idx="1023">
                  <c:v>15.5847</c:v>
                </c:pt>
                <c:pt idx="1024">
                  <c:v>15.5999</c:v>
                </c:pt>
                <c:pt idx="1025">
                  <c:v>15.6152</c:v>
                </c:pt>
                <c:pt idx="1026">
                  <c:v>15.6304</c:v>
                </c:pt>
                <c:pt idx="1027">
                  <c:v>15.6456</c:v>
                </c:pt>
                <c:pt idx="1028">
                  <c:v>15.6609</c:v>
                </c:pt>
                <c:pt idx="1029">
                  <c:v>15.6761</c:v>
                </c:pt>
                <c:pt idx="1030">
                  <c:v>15.6913</c:v>
                </c:pt>
                <c:pt idx="1031">
                  <c:v>15.7066</c:v>
                </c:pt>
                <c:pt idx="1032">
                  <c:v>15.7218</c:v>
                </c:pt>
                <c:pt idx="1033">
                  <c:v>15.7371</c:v>
                </c:pt>
                <c:pt idx="1034">
                  <c:v>15.7523</c:v>
                </c:pt>
                <c:pt idx="1035">
                  <c:v>15.7675</c:v>
                </c:pt>
                <c:pt idx="1036">
                  <c:v>15.7828</c:v>
                </c:pt>
                <c:pt idx="1037">
                  <c:v>15.798</c:v>
                </c:pt>
                <c:pt idx="1038">
                  <c:v>15.8132</c:v>
                </c:pt>
                <c:pt idx="1039">
                  <c:v>15.8285</c:v>
                </c:pt>
                <c:pt idx="1040">
                  <c:v>15.8437</c:v>
                </c:pt>
                <c:pt idx="1041">
                  <c:v>15.8589</c:v>
                </c:pt>
                <c:pt idx="1042">
                  <c:v>15.8742</c:v>
                </c:pt>
                <c:pt idx="1043">
                  <c:v>15.8894</c:v>
                </c:pt>
                <c:pt idx="1044">
                  <c:v>15.9046</c:v>
                </c:pt>
                <c:pt idx="1045">
                  <c:v>15.9199</c:v>
                </c:pt>
                <c:pt idx="1046">
                  <c:v>15.9351</c:v>
                </c:pt>
                <c:pt idx="1047">
                  <c:v>15.9503</c:v>
                </c:pt>
                <c:pt idx="1048">
                  <c:v>15.9656</c:v>
                </c:pt>
                <c:pt idx="1049">
                  <c:v>15.9808</c:v>
                </c:pt>
                <c:pt idx="1050">
                  <c:v>15.996</c:v>
                </c:pt>
                <c:pt idx="1051">
                  <c:v>16.011299999999999</c:v>
                </c:pt>
                <c:pt idx="1052">
                  <c:v>16.026499999999999</c:v>
                </c:pt>
                <c:pt idx="1053">
                  <c:v>16.041699999999999</c:v>
                </c:pt>
                <c:pt idx="1054">
                  <c:v>16.056999999999999</c:v>
                </c:pt>
                <c:pt idx="1055">
                  <c:v>16.072199999999999</c:v>
                </c:pt>
                <c:pt idx="1056">
                  <c:v>16.087399999999999</c:v>
                </c:pt>
                <c:pt idx="1057">
                  <c:v>16.102699999999999</c:v>
                </c:pt>
                <c:pt idx="1058">
                  <c:v>16.117899999999999</c:v>
                </c:pt>
                <c:pt idx="1059">
                  <c:v>16.133099999999999</c:v>
                </c:pt>
                <c:pt idx="1060">
                  <c:v>16.148399999999999</c:v>
                </c:pt>
                <c:pt idx="1061">
                  <c:v>16.163599999999999</c:v>
                </c:pt>
                <c:pt idx="1062">
                  <c:v>16.178799999999999</c:v>
                </c:pt>
                <c:pt idx="1063">
                  <c:v>16.194099999999999</c:v>
                </c:pt>
                <c:pt idx="1064">
                  <c:v>16.209299999999999</c:v>
                </c:pt>
                <c:pt idx="1065">
                  <c:v>16.224499999999999</c:v>
                </c:pt>
                <c:pt idx="1066">
                  <c:v>16.239799999999999</c:v>
                </c:pt>
                <c:pt idx="1067">
                  <c:v>16.254999999999999</c:v>
                </c:pt>
                <c:pt idx="1068">
                  <c:v>16.270299999999999</c:v>
                </c:pt>
                <c:pt idx="1069">
                  <c:v>16.285499999999999</c:v>
                </c:pt>
                <c:pt idx="1070">
                  <c:v>16.300699999999999</c:v>
                </c:pt>
                <c:pt idx="1071">
                  <c:v>16.315999999999999</c:v>
                </c:pt>
                <c:pt idx="1072">
                  <c:v>16.331199999999999</c:v>
                </c:pt>
                <c:pt idx="1073">
                  <c:v>16.346399999999999</c:v>
                </c:pt>
                <c:pt idx="1074">
                  <c:v>16.361699999999999</c:v>
                </c:pt>
                <c:pt idx="1075">
                  <c:v>16.376899999999999</c:v>
                </c:pt>
                <c:pt idx="1076">
                  <c:v>16.392099999999999</c:v>
                </c:pt>
                <c:pt idx="1077">
                  <c:v>16.407399999999999</c:v>
                </c:pt>
                <c:pt idx="1078">
                  <c:v>16.422599999999999</c:v>
                </c:pt>
                <c:pt idx="1079">
                  <c:v>16.437799999999999</c:v>
                </c:pt>
                <c:pt idx="1080">
                  <c:v>16.453099999999999</c:v>
                </c:pt>
                <c:pt idx="1081">
                  <c:v>16.468299999999999</c:v>
                </c:pt>
                <c:pt idx="1082">
                  <c:v>16.483499999999999</c:v>
                </c:pt>
                <c:pt idx="1083">
                  <c:v>16.498799999999999</c:v>
                </c:pt>
                <c:pt idx="1084">
                  <c:v>16.513999999999999</c:v>
                </c:pt>
                <c:pt idx="1085">
                  <c:v>16.529199999999999</c:v>
                </c:pt>
                <c:pt idx="1086">
                  <c:v>16.544499999999999</c:v>
                </c:pt>
                <c:pt idx="1087">
                  <c:v>16.559699999999999</c:v>
                </c:pt>
                <c:pt idx="1088">
                  <c:v>16.5749</c:v>
                </c:pt>
                <c:pt idx="1089">
                  <c:v>16.590199999999999</c:v>
                </c:pt>
                <c:pt idx="1090">
                  <c:v>16.605399999999999</c:v>
                </c:pt>
                <c:pt idx="1091">
                  <c:v>16.6206</c:v>
                </c:pt>
                <c:pt idx="1092">
                  <c:v>16.635899999999999</c:v>
                </c:pt>
                <c:pt idx="1093">
                  <c:v>16.6511</c:v>
                </c:pt>
                <c:pt idx="1094">
                  <c:v>16.6663</c:v>
                </c:pt>
                <c:pt idx="1095">
                  <c:v>16.6816</c:v>
                </c:pt>
                <c:pt idx="1096">
                  <c:v>16.6968</c:v>
                </c:pt>
                <c:pt idx="1097">
                  <c:v>16.712</c:v>
                </c:pt>
                <c:pt idx="1098">
                  <c:v>16.7273</c:v>
                </c:pt>
                <c:pt idx="1099">
                  <c:v>16.7425</c:v>
                </c:pt>
                <c:pt idx="1100">
                  <c:v>16.7577</c:v>
                </c:pt>
                <c:pt idx="1101">
                  <c:v>16.773</c:v>
                </c:pt>
                <c:pt idx="1102">
                  <c:v>16.7882</c:v>
                </c:pt>
                <c:pt idx="1103">
                  <c:v>16.8035</c:v>
                </c:pt>
                <c:pt idx="1104">
                  <c:v>16.8187</c:v>
                </c:pt>
                <c:pt idx="1105">
                  <c:v>16.8339</c:v>
                </c:pt>
                <c:pt idx="1106">
                  <c:v>16.8492</c:v>
                </c:pt>
                <c:pt idx="1107">
                  <c:v>16.8644</c:v>
                </c:pt>
                <c:pt idx="1108">
                  <c:v>16.8796</c:v>
                </c:pt>
                <c:pt idx="1109">
                  <c:v>16.8949</c:v>
                </c:pt>
                <c:pt idx="1110">
                  <c:v>16.9101</c:v>
                </c:pt>
                <c:pt idx="1111">
                  <c:v>16.9253</c:v>
                </c:pt>
                <c:pt idx="1112">
                  <c:v>16.9406</c:v>
                </c:pt>
                <c:pt idx="1113">
                  <c:v>16.9558</c:v>
                </c:pt>
                <c:pt idx="1114">
                  <c:v>16.971</c:v>
                </c:pt>
                <c:pt idx="1115">
                  <c:v>16.9863</c:v>
                </c:pt>
                <c:pt idx="1116">
                  <c:v>17.0015</c:v>
                </c:pt>
                <c:pt idx="1117">
                  <c:v>17.0167</c:v>
                </c:pt>
                <c:pt idx="1118">
                  <c:v>17.032</c:v>
                </c:pt>
                <c:pt idx="1119">
                  <c:v>17.0472</c:v>
                </c:pt>
                <c:pt idx="1120">
                  <c:v>17.0624</c:v>
                </c:pt>
                <c:pt idx="1121">
                  <c:v>17.0777</c:v>
                </c:pt>
                <c:pt idx="1122">
                  <c:v>17.0929</c:v>
                </c:pt>
                <c:pt idx="1123">
                  <c:v>17.1081</c:v>
                </c:pt>
                <c:pt idx="1124">
                  <c:v>17.1234</c:v>
                </c:pt>
                <c:pt idx="1125">
                  <c:v>17.1386</c:v>
                </c:pt>
                <c:pt idx="1126">
                  <c:v>17.1538</c:v>
                </c:pt>
                <c:pt idx="1127">
                  <c:v>17.1691</c:v>
                </c:pt>
                <c:pt idx="1128">
                  <c:v>17.1843</c:v>
                </c:pt>
                <c:pt idx="1129">
                  <c:v>17.1995</c:v>
                </c:pt>
                <c:pt idx="1130">
                  <c:v>17.2148</c:v>
                </c:pt>
                <c:pt idx="1131">
                  <c:v>17.23</c:v>
                </c:pt>
                <c:pt idx="1132">
                  <c:v>17.245200000000001</c:v>
                </c:pt>
                <c:pt idx="1133">
                  <c:v>17.2605</c:v>
                </c:pt>
                <c:pt idx="1134">
                  <c:v>17.275700000000001</c:v>
                </c:pt>
                <c:pt idx="1135">
                  <c:v>17.291</c:v>
                </c:pt>
                <c:pt idx="1136">
                  <c:v>17.3062</c:v>
                </c:pt>
                <c:pt idx="1137">
                  <c:v>17.321400000000001</c:v>
                </c:pt>
                <c:pt idx="1138">
                  <c:v>17.3367</c:v>
                </c:pt>
                <c:pt idx="1139">
                  <c:v>17.351900000000001</c:v>
                </c:pt>
                <c:pt idx="1140">
                  <c:v>17.367100000000001</c:v>
                </c:pt>
                <c:pt idx="1141">
                  <c:v>17.382400000000001</c:v>
                </c:pt>
                <c:pt idx="1142">
                  <c:v>17.397600000000001</c:v>
                </c:pt>
                <c:pt idx="1143">
                  <c:v>17.412800000000001</c:v>
                </c:pt>
                <c:pt idx="1144">
                  <c:v>17.428100000000001</c:v>
                </c:pt>
                <c:pt idx="1145">
                  <c:v>17.443300000000001</c:v>
                </c:pt>
                <c:pt idx="1146">
                  <c:v>17.458500000000001</c:v>
                </c:pt>
                <c:pt idx="1147">
                  <c:v>17.473800000000001</c:v>
                </c:pt>
                <c:pt idx="1148">
                  <c:v>17.489000000000001</c:v>
                </c:pt>
                <c:pt idx="1149">
                  <c:v>17.504200000000001</c:v>
                </c:pt>
                <c:pt idx="1150">
                  <c:v>17.519500000000001</c:v>
                </c:pt>
                <c:pt idx="1151">
                  <c:v>17.534700000000001</c:v>
                </c:pt>
                <c:pt idx="1152">
                  <c:v>17.549900000000001</c:v>
                </c:pt>
                <c:pt idx="1153">
                  <c:v>17.565200000000001</c:v>
                </c:pt>
                <c:pt idx="1154">
                  <c:v>17.580400000000001</c:v>
                </c:pt>
                <c:pt idx="1155">
                  <c:v>17.595600000000001</c:v>
                </c:pt>
                <c:pt idx="1156">
                  <c:v>17.610900000000001</c:v>
                </c:pt>
                <c:pt idx="1157">
                  <c:v>17.626100000000001</c:v>
                </c:pt>
                <c:pt idx="1158">
                  <c:v>17.641300000000001</c:v>
                </c:pt>
                <c:pt idx="1159">
                  <c:v>17.656600000000001</c:v>
                </c:pt>
                <c:pt idx="1160">
                  <c:v>17.671800000000001</c:v>
                </c:pt>
                <c:pt idx="1161">
                  <c:v>17.687000000000001</c:v>
                </c:pt>
                <c:pt idx="1162">
                  <c:v>17.702300000000001</c:v>
                </c:pt>
                <c:pt idx="1163">
                  <c:v>17.717500000000001</c:v>
                </c:pt>
                <c:pt idx="1164">
                  <c:v>17.732700000000001</c:v>
                </c:pt>
                <c:pt idx="1165">
                  <c:v>17.748000000000001</c:v>
                </c:pt>
                <c:pt idx="1166">
                  <c:v>17.763200000000001</c:v>
                </c:pt>
                <c:pt idx="1167">
                  <c:v>17.778400000000001</c:v>
                </c:pt>
                <c:pt idx="1168">
                  <c:v>17.793700000000001</c:v>
                </c:pt>
                <c:pt idx="1169">
                  <c:v>17.808900000000001</c:v>
                </c:pt>
                <c:pt idx="1170">
                  <c:v>17.824200000000001</c:v>
                </c:pt>
                <c:pt idx="1171">
                  <c:v>17.839400000000001</c:v>
                </c:pt>
                <c:pt idx="1172">
                  <c:v>17.854600000000001</c:v>
                </c:pt>
                <c:pt idx="1173">
                  <c:v>17.869900000000001</c:v>
                </c:pt>
                <c:pt idx="1174">
                  <c:v>17.885100000000001</c:v>
                </c:pt>
                <c:pt idx="1175">
                  <c:v>17.900300000000001</c:v>
                </c:pt>
                <c:pt idx="1176">
                  <c:v>17.915600000000001</c:v>
                </c:pt>
                <c:pt idx="1177">
                  <c:v>17.930800000000001</c:v>
                </c:pt>
                <c:pt idx="1178">
                  <c:v>17.946000000000002</c:v>
                </c:pt>
                <c:pt idx="1179">
                  <c:v>17.961300000000001</c:v>
                </c:pt>
                <c:pt idx="1180">
                  <c:v>17.976500000000001</c:v>
                </c:pt>
                <c:pt idx="1181">
                  <c:v>17.991700000000002</c:v>
                </c:pt>
                <c:pt idx="1182">
                  <c:v>18.007000000000001</c:v>
                </c:pt>
                <c:pt idx="1183">
                  <c:v>18.022200000000002</c:v>
                </c:pt>
                <c:pt idx="1184">
                  <c:v>18.037400000000002</c:v>
                </c:pt>
                <c:pt idx="1185">
                  <c:v>18.052700000000002</c:v>
                </c:pt>
                <c:pt idx="1186">
                  <c:v>18.067900000000002</c:v>
                </c:pt>
                <c:pt idx="1187">
                  <c:v>18.083100000000002</c:v>
                </c:pt>
                <c:pt idx="1188">
                  <c:v>18.098400000000002</c:v>
                </c:pt>
                <c:pt idx="1189">
                  <c:v>18.113600000000002</c:v>
                </c:pt>
                <c:pt idx="1190">
                  <c:v>18.128799999999998</c:v>
                </c:pt>
                <c:pt idx="1191">
                  <c:v>18.144100000000002</c:v>
                </c:pt>
                <c:pt idx="1192">
                  <c:v>18.159300000000002</c:v>
                </c:pt>
                <c:pt idx="1193">
                  <c:v>18.174499999999998</c:v>
                </c:pt>
                <c:pt idx="1194">
                  <c:v>18.189800000000002</c:v>
                </c:pt>
                <c:pt idx="1195">
                  <c:v>18.204999999999998</c:v>
                </c:pt>
                <c:pt idx="1196">
                  <c:v>18.220199999999998</c:v>
                </c:pt>
                <c:pt idx="1197">
                  <c:v>18.235499999999998</c:v>
                </c:pt>
                <c:pt idx="1198">
                  <c:v>18.250699999999998</c:v>
                </c:pt>
                <c:pt idx="1199">
                  <c:v>18.265899999999998</c:v>
                </c:pt>
                <c:pt idx="1200">
                  <c:v>18.281199999999998</c:v>
                </c:pt>
                <c:pt idx="1201">
                  <c:v>18.296399999999998</c:v>
                </c:pt>
                <c:pt idx="1202">
                  <c:v>18.311599999999999</c:v>
                </c:pt>
                <c:pt idx="1203">
                  <c:v>18.326899999999998</c:v>
                </c:pt>
                <c:pt idx="1204">
                  <c:v>18.342099999999999</c:v>
                </c:pt>
                <c:pt idx="1205">
                  <c:v>18.357399999999998</c:v>
                </c:pt>
                <c:pt idx="1206">
                  <c:v>18.372599999999998</c:v>
                </c:pt>
                <c:pt idx="1207">
                  <c:v>18.387799999999999</c:v>
                </c:pt>
                <c:pt idx="1208">
                  <c:v>18.403099999999998</c:v>
                </c:pt>
                <c:pt idx="1209">
                  <c:v>18.418299999999999</c:v>
                </c:pt>
                <c:pt idx="1210">
                  <c:v>18.433499999999999</c:v>
                </c:pt>
                <c:pt idx="1211">
                  <c:v>18.448799999999999</c:v>
                </c:pt>
                <c:pt idx="1212">
                  <c:v>18.463999999999999</c:v>
                </c:pt>
                <c:pt idx="1213">
                  <c:v>18.479199999999999</c:v>
                </c:pt>
                <c:pt idx="1214">
                  <c:v>18.494499999999999</c:v>
                </c:pt>
                <c:pt idx="1215">
                  <c:v>18.509699999999999</c:v>
                </c:pt>
                <c:pt idx="1216">
                  <c:v>18.524899999999999</c:v>
                </c:pt>
                <c:pt idx="1217">
                  <c:v>18.540199999999999</c:v>
                </c:pt>
                <c:pt idx="1218">
                  <c:v>18.555399999999999</c:v>
                </c:pt>
                <c:pt idx="1219">
                  <c:v>18.570599999999999</c:v>
                </c:pt>
                <c:pt idx="1220">
                  <c:v>18.585899999999999</c:v>
                </c:pt>
                <c:pt idx="1221">
                  <c:v>18.601099999999999</c:v>
                </c:pt>
                <c:pt idx="1222">
                  <c:v>18.616299999999999</c:v>
                </c:pt>
                <c:pt idx="1223">
                  <c:v>18.631599999999999</c:v>
                </c:pt>
                <c:pt idx="1224">
                  <c:v>18.646799999999999</c:v>
                </c:pt>
                <c:pt idx="1225">
                  <c:v>18.661999999999999</c:v>
                </c:pt>
                <c:pt idx="1226">
                  <c:v>18.677299999999999</c:v>
                </c:pt>
                <c:pt idx="1227">
                  <c:v>18.692499999999999</c:v>
                </c:pt>
                <c:pt idx="1228">
                  <c:v>18.707699999999999</c:v>
                </c:pt>
                <c:pt idx="1229">
                  <c:v>18.722999999999999</c:v>
                </c:pt>
                <c:pt idx="1230">
                  <c:v>18.738199999999999</c:v>
                </c:pt>
                <c:pt idx="1231">
                  <c:v>18.753399999999999</c:v>
                </c:pt>
                <c:pt idx="1232">
                  <c:v>18.768699999999999</c:v>
                </c:pt>
                <c:pt idx="1233">
                  <c:v>18.783899999999999</c:v>
                </c:pt>
                <c:pt idx="1234">
                  <c:v>18.799099999999999</c:v>
                </c:pt>
                <c:pt idx="1235">
                  <c:v>18.814399999999999</c:v>
                </c:pt>
                <c:pt idx="1236">
                  <c:v>18.829599999999999</c:v>
                </c:pt>
                <c:pt idx="1237">
                  <c:v>18.844899999999999</c:v>
                </c:pt>
                <c:pt idx="1238">
                  <c:v>18.860099999999999</c:v>
                </c:pt>
                <c:pt idx="1239">
                  <c:v>18.875299999999999</c:v>
                </c:pt>
                <c:pt idx="1240">
                  <c:v>18.890599999999999</c:v>
                </c:pt>
                <c:pt idx="1241">
                  <c:v>18.905799999999999</c:v>
                </c:pt>
                <c:pt idx="1242">
                  <c:v>18.920999999999999</c:v>
                </c:pt>
                <c:pt idx="1243">
                  <c:v>18.936299999999999</c:v>
                </c:pt>
                <c:pt idx="1244">
                  <c:v>18.951499999999999</c:v>
                </c:pt>
                <c:pt idx="1245">
                  <c:v>18.966699999999999</c:v>
                </c:pt>
                <c:pt idx="1246">
                  <c:v>18.981999999999999</c:v>
                </c:pt>
                <c:pt idx="1247">
                  <c:v>18.997199999999999</c:v>
                </c:pt>
                <c:pt idx="1248">
                  <c:v>19.0124</c:v>
                </c:pt>
                <c:pt idx="1249">
                  <c:v>19.027699999999999</c:v>
                </c:pt>
                <c:pt idx="1250">
                  <c:v>19.042899999999999</c:v>
                </c:pt>
                <c:pt idx="1251">
                  <c:v>19.0581</c:v>
                </c:pt>
                <c:pt idx="1252">
                  <c:v>19.073399999999999</c:v>
                </c:pt>
                <c:pt idx="1253">
                  <c:v>19.0886</c:v>
                </c:pt>
                <c:pt idx="1254">
                  <c:v>19.1038</c:v>
                </c:pt>
                <c:pt idx="1255">
                  <c:v>19.1191</c:v>
                </c:pt>
                <c:pt idx="1256">
                  <c:v>19.1343</c:v>
                </c:pt>
                <c:pt idx="1257">
                  <c:v>19.1495</c:v>
                </c:pt>
                <c:pt idx="1258">
                  <c:v>19.1648</c:v>
                </c:pt>
                <c:pt idx="1259">
                  <c:v>19.18</c:v>
                </c:pt>
                <c:pt idx="1260">
                  <c:v>19.1952</c:v>
                </c:pt>
                <c:pt idx="1261">
                  <c:v>19.2105</c:v>
                </c:pt>
                <c:pt idx="1262">
                  <c:v>19.2257</c:v>
                </c:pt>
                <c:pt idx="1263">
                  <c:v>19.2409</c:v>
                </c:pt>
                <c:pt idx="1264">
                  <c:v>19.2562</c:v>
                </c:pt>
                <c:pt idx="1265">
                  <c:v>19.2714</c:v>
                </c:pt>
                <c:pt idx="1266">
                  <c:v>19.2866</c:v>
                </c:pt>
                <c:pt idx="1267">
                  <c:v>19.3019</c:v>
                </c:pt>
                <c:pt idx="1268">
                  <c:v>19.3171</c:v>
                </c:pt>
                <c:pt idx="1269">
                  <c:v>19.3323</c:v>
                </c:pt>
                <c:pt idx="1270">
                  <c:v>19.3476</c:v>
                </c:pt>
                <c:pt idx="1271">
                  <c:v>19.3628</c:v>
                </c:pt>
                <c:pt idx="1272">
                  <c:v>19.3781</c:v>
                </c:pt>
                <c:pt idx="1273">
                  <c:v>19.3933</c:v>
                </c:pt>
                <c:pt idx="1274">
                  <c:v>19.4085</c:v>
                </c:pt>
                <c:pt idx="1275">
                  <c:v>19.4238</c:v>
                </c:pt>
                <c:pt idx="1276">
                  <c:v>19.439</c:v>
                </c:pt>
                <c:pt idx="1277">
                  <c:v>19.4542</c:v>
                </c:pt>
                <c:pt idx="1278">
                  <c:v>19.4695</c:v>
                </c:pt>
                <c:pt idx="1279">
                  <c:v>19.4847</c:v>
                </c:pt>
                <c:pt idx="1280">
                  <c:v>19.4999</c:v>
                </c:pt>
                <c:pt idx="1281">
                  <c:v>19.5152</c:v>
                </c:pt>
                <c:pt idx="1282">
                  <c:v>19.5304</c:v>
                </c:pt>
                <c:pt idx="1283">
                  <c:v>19.5456</c:v>
                </c:pt>
                <c:pt idx="1284">
                  <c:v>19.5609</c:v>
                </c:pt>
                <c:pt idx="1285">
                  <c:v>19.5761</c:v>
                </c:pt>
                <c:pt idx="1286">
                  <c:v>19.5913</c:v>
                </c:pt>
                <c:pt idx="1287">
                  <c:v>19.6066</c:v>
                </c:pt>
                <c:pt idx="1288">
                  <c:v>19.6218</c:v>
                </c:pt>
                <c:pt idx="1289">
                  <c:v>19.637</c:v>
                </c:pt>
                <c:pt idx="1290">
                  <c:v>19.6523</c:v>
                </c:pt>
                <c:pt idx="1291">
                  <c:v>19.6675</c:v>
                </c:pt>
                <c:pt idx="1292">
                  <c:v>19.682700000000001</c:v>
                </c:pt>
                <c:pt idx="1293">
                  <c:v>19.698</c:v>
                </c:pt>
                <c:pt idx="1294">
                  <c:v>19.713200000000001</c:v>
                </c:pt>
                <c:pt idx="1295">
                  <c:v>19.728400000000001</c:v>
                </c:pt>
                <c:pt idx="1296">
                  <c:v>19.7437</c:v>
                </c:pt>
                <c:pt idx="1297">
                  <c:v>19.758900000000001</c:v>
                </c:pt>
                <c:pt idx="1298">
                  <c:v>19.774100000000001</c:v>
                </c:pt>
                <c:pt idx="1299">
                  <c:v>19.789400000000001</c:v>
                </c:pt>
                <c:pt idx="1300">
                  <c:v>19.804600000000001</c:v>
                </c:pt>
                <c:pt idx="1301">
                  <c:v>19.819800000000001</c:v>
                </c:pt>
                <c:pt idx="1302">
                  <c:v>19.835100000000001</c:v>
                </c:pt>
                <c:pt idx="1303">
                  <c:v>19.850300000000001</c:v>
                </c:pt>
                <c:pt idx="1304">
                  <c:v>19.865600000000001</c:v>
                </c:pt>
                <c:pt idx="1305">
                  <c:v>19.880800000000001</c:v>
                </c:pt>
                <c:pt idx="1306">
                  <c:v>19.896000000000001</c:v>
                </c:pt>
                <c:pt idx="1307">
                  <c:v>19.911300000000001</c:v>
                </c:pt>
                <c:pt idx="1308">
                  <c:v>19.926500000000001</c:v>
                </c:pt>
                <c:pt idx="1309">
                  <c:v>19.941700000000001</c:v>
                </c:pt>
                <c:pt idx="1310">
                  <c:v>19.957000000000001</c:v>
                </c:pt>
                <c:pt idx="1311">
                  <c:v>19.972200000000001</c:v>
                </c:pt>
                <c:pt idx="1312">
                  <c:v>19.987400000000001</c:v>
                </c:pt>
                <c:pt idx="1313">
                  <c:v>20.002700000000001</c:v>
                </c:pt>
                <c:pt idx="1314">
                  <c:v>20.017900000000001</c:v>
                </c:pt>
                <c:pt idx="1315">
                  <c:v>20.033100000000001</c:v>
                </c:pt>
                <c:pt idx="1316">
                  <c:v>20.048400000000001</c:v>
                </c:pt>
                <c:pt idx="1317">
                  <c:v>20.063600000000001</c:v>
                </c:pt>
                <c:pt idx="1318">
                  <c:v>20.078800000000001</c:v>
                </c:pt>
                <c:pt idx="1319">
                  <c:v>20.094100000000001</c:v>
                </c:pt>
                <c:pt idx="1320">
                  <c:v>20.109300000000001</c:v>
                </c:pt>
                <c:pt idx="1321">
                  <c:v>20.124500000000001</c:v>
                </c:pt>
                <c:pt idx="1322">
                  <c:v>20.139800000000001</c:v>
                </c:pt>
                <c:pt idx="1323">
                  <c:v>20.155000000000001</c:v>
                </c:pt>
                <c:pt idx="1324">
                  <c:v>20.170200000000001</c:v>
                </c:pt>
                <c:pt idx="1325">
                  <c:v>20.185500000000001</c:v>
                </c:pt>
                <c:pt idx="1326">
                  <c:v>20.200700000000001</c:v>
                </c:pt>
                <c:pt idx="1327">
                  <c:v>20.215900000000001</c:v>
                </c:pt>
                <c:pt idx="1328">
                  <c:v>20.231200000000001</c:v>
                </c:pt>
                <c:pt idx="1329">
                  <c:v>20.246400000000001</c:v>
                </c:pt>
                <c:pt idx="1330">
                  <c:v>20.261600000000001</c:v>
                </c:pt>
                <c:pt idx="1331">
                  <c:v>20.276900000000001</c:v>
                </c:pt>
                <c:pt idx="1332">
                  <c:v>20.292100000000001</c:v>
                </c:pt>
                <c:pt idx="1333">
                  <c:v>20.307300000000001</c:v>
                </c:pt>
                <c:pt idx="1334">
                  <c:v>20.322600000000001</c:v>
                </c:pt>
                <c:pt idx="1335">
                  <c:v>20.337800000000001</c:v>
                </c:pt>
                <c:pt idx="1336">
                  <c:v>20.353000000000002</c:v>
                </c:pt>
                <c:pt idx="1337">
                  <c:v>20.368300000000001</c:v>
                </c:pt>
                <c:pt idx="1338">
                  <c:v>20.383500000000002</c:v>
                </c:pt>
                <c:pt idx="1339">
                  <c:v>20.398800000000001</c:v>
                </c:pt>
                <c:pt idx="1340">
                  <c:v>20.414000000000001</c:v>
                </c:pt>
                <c:pt idx="1341">
                  <c:v>20.429200000000002</c:v>
                </c:pt>
                <c:pt idx="1342">
                  <c:v>20.444500000000001</c:v>
                </c:pt>
                <c:pt idx="1343">
                  <c:v>20.459700000000002</c:v>
                </c:pt>
                <c:pt idx="1344">
                  <c:v>20.474900000000002</c:v>
                </c:pt>
                <c:pt idx="1345">
                  <c:v>20.490200000000002</c:v>
                </c:pt>
                <c:pt idx="1346">
                  <c:v>20.505400000000002</c:v>
                </c:pt>
                <c:pt idx="1347">
                  <c:v>20.520600000000002</c:v>
                </c:pt>
                <c:pt idx="1348">
                  <c:v>20.535900000000002</c:v>
                </c:pt>
                <c:pt idx="1349">
                  <c:v>20.551100000000002</c:v>
                </c:pt>
                <c:pt idx="1350">
                  <c:v>20.566299999999998</c:v>
                </c:pt>
                <c:pt idx="1351">
                  <c:v>20.581600000000002</c:v>
                </c:pt>
                <c:pt idx="1352">
                  <c:v>20.596800000000002</c:v>
                </c:pt>
                <c:pt idx="1353">
                  <c:v>20.611999999999998</c:v>
                </c:pt>
                <c:pt idx="1354">
                  <c:v>20.627300000000002</c:v>
                </c:pt>
                <c:pt idx="1355">
                  <c:v>20.642499999999998</c:v>
                </c:pt>
                <c:pt idx="1356">
                  <c:v>20.657699999999998</c:v>
                </c:pt>
                <c:pt idx="1357">
                  <c:v>20.672999999999998</c:v>
                </c:pt>
                <c:pt idx="1358">
                  <c:v>20.688199999999998</c:v>
                </c:pt>
                <c:pt idx="1359">
                  <c:v>20.703399999999998</c:v>
                </c:pt>
                <c:pt idx="1360">
                  <c:v>20.718699999999998</c:v>
                </c:pt>
                <c:pt idx="1361">
                  <c:v>20.733899999999998</c:v>
                </c:pt>
                <c:pt idx="1362">
                  <c:v>20.749099999999999</c:v>
                </c:pt>
                <c:pt idx="1363">
                  <c:v>20.764399999999998</c:v>
                </c:pt>
                <c:pt idx="1364">
                  <c:v>20.779599999999999</c:v>
                </c:pt>
                <c:pt idx="1365">
                  <c:v>20.794799999999999</c:v>
                </c:pt>
                <c:pt idx="1366">
                  <c:v>20.810099999999998</c:v>
                </c:pt>
                <c:pt idx="1367">
                  <c:v>20.825299999999999</c:v>
                </c:pt>
                <c:pt idx="1368">
                  <c:v>20.840499999999999</c:v>
                </c:pt>
                <c:pt idx="1369">
                  <c:v>20.855799999999999</c:v>
                </c:pt>
                <c:pt idx="1370">
                  <c:v>20.870999999999999</c:v>
                </c:pt>
                <c:pt idx="1371">
                  <c:v>20.886199999999999</c:v>
                </c:pt>
                <c:pt idx="1372">
                  <c:v>20.901499999999999</c:v>
                </c:pt>
                <c:pt idx="1373">
                  <c:v>20.916699999999999</c:v>
                </c:pt>
                <c:pt idx="1374">
                  <c:v>20.931999999999999</c:v>
                </c:pt>
                <c:pt idx="1375">
                  <c:v>20.947199999999999</c:v>
                </c:pt>
                <c:pt idx="1376">
                  <c:v>20.962399999999999</c:v>
                </c:pt>
                <c:pt idx="1377">
                  <c:v>20.977699999999999</c:v>
                </c:pt>
                <c:pt idx="1378">
                  <c:v>20.992899999999999</c:v>
                </c:pt>
                <c:pt idx="1379">
                  <c:v>21.008099999999999</c:v>
                </c:pt>
                <c:pt idx="1380">
                  <c:v>21.023399999999999</c:v>
                </c:pt>
                <c:pt idx="1381">
                  <c:v>21.038599999999999</c:v>
                </c:pt>
                <c:pt idx="1382">
                  <c:v>21.053799999999999</c:v>
                </c:pt>
                <c:pt idx="1383">
                  <c:v>21.069099999999999</c:v>
                </c:pt>
                <c:pt idx="1384">
                  <c:v>21.084299999999999</c:v>
                </c:pt>
                <c:pt idx="1385">
                  <c:v>21.099499999999999</c:v>
                </c:pt>
                <c:pt idx="1386">
                  <c:v>21.114799999999999</c:v>
                </c:pt>
                <c:pt idx="1387">
                  <c:v>21.13</c:v>
                </c:pt>
                <c:pt idx="1388">
                  <c:v>21.145199999999999</c:v>
                </c:pt>
                <c:pt idx="1389">
                  <c:v>21.160499999999999</c:v>
                </c:pt>
                <c:pt idx="1390">
                  <c:v>21.175699999999999</c:v>
                </c:pt>
                <c:pt idx="1391">
                  <c:v>21.190899999999999</c:v>
                </c:pt>
                <c:pt idx="1392">
                  <c:v>21.206199999999999</c:v>
                </c:pt>
                <c:pt idx="1393">
                  <c:v>21.221399999999999</c:v>
                </c:pt>
                <c:pt idx="1394">
                  <c:v>21.236599999999999</c:v>
                </c:pt>
                <c:pt idx="1395">
                  <c:v>21.251899999999999</c:v>
                </c:pt>
                <c:pt idx="1396">
                  <c:v>21.267099999999999</c:v>
                </c:pt>
                <c:pt idx="1397">
                  <c:v>21.282299999999999</c:v>
                </c:pt>
                <c:pt idx="1398">
                  <c:v>21.297599999999999</c:v>
                </c:pt>
                <c:pt idx="1399">
                  <c:v>21.312799999999999</c:v>
                </c:pt>
                <c:pt idx="1400">
                  <c:v>21.327999999999999</c:v>
                </c:pt>
                <c:pt idx="1401">
                  <c:v>21.343299999999999</c:v>
                </c:pt>
                <c:pt idx="1402">
                  <c:v>21.358499999999999</c:v>
                </c:pt>
                <c:pt idx="1403">
                  <c:v>21.373699999999999</c:v>
                </c:pt>
                <c:pt idx="1404">
                  <c:v>21.388999999999999</c:v>
                </c:pt>
                <c:pt idx="1405">
                  <c:v>21.404199999999999</c:v>
                </c:pt>
                <c:pt idx="1406">
                  <c:v>21.419499999999999</c:v>
                </c:pt>
                <c:pt idx="1407">
                  <c:v>21.434699999999999</c:v>
                </c:pt>
                <c:pt idx="1408">
                  <c:v>21.4499</c:v>
                </c:pt>
                <c:pt idx="1409">
                  <c:v>21.465199999999999</c:v>
                </c:pt>
                <c:pt idx="1410">
                  <c:v>21.480399999999999</c:v>
                </c:pt>
                <c:pt idx="1411">
                  <c:v>21.4956</c:v>
                </c:pt>
                <c:pt idx="1412">
                  <c:v>21.510899999999999</c:v>
                </c:pt>
                <c:pt idx="1413">
                  <c:v>21.5261</c:v>
                </c:pt>
                <c:pt idx="1414">
                  <c:v>21.5413</c:v>
                </c:pt>
                <c:pt idx="1415">
                  <c:v>21.5566</c:v>
                </c:pt>
                <c:pt idx="1416">
                  <c:v>21.5718</c:v>
                </c:pt>
                <c:pt idx="1417">
                  <c:v>21.587</c:v>
                </c:pt>
                <c:pt idx="1418">
                  <c:v>21.6023</c:v>
                </c:pt>
                <c:pt idx="1419">
                  <c:v>21.6175</c:v>
                </c:pt>
                <c:pt idx="1420">
                  <c:v>21.6327</c:v>
                </c:pt>
                <c:pt idx="1421">
                  <c:v>21.648</c:v>
                </c:pt>
                <c:pt idx="1422">
                  <c:v>21.6632</c:v>
                </c:pt>
                <c:pt idx="1423">
                  <c:v>21.6784</c:v>
                </c:pt>
                <c:pt idx="1424">
                  <c:v>21.6937</c:v>
                </c:pt>
                <c:pt idx="1425">
                  <c:v>21.7089</c:v>
                </c:pt>
                <c:pt idx="1426">
                  <c:v>21.7241</c:v>
                </c:pt>
                <c:pt idx="1427">
                  <c:v>21.7394</c:v>
                </c:pt>
                <c:pt idx="1428">
                  <c:v>21.7546</c:v>
                </c:pt>
                <c:pt idx="1429">
                  <c:v>21.7698</c:v>
                </c:pt>
                <c:pt idx="1430">
                  <c:v>21.7851</c:v>
                </c:pt>
                <c:pt idx="1431">
                  <c:v>21.8003</c:v>
                </c:pt>
                <c:pt idx="1432">
                  <c:v>21.8155</c:v>
                </c:pt>
                <c:pt idx="1433">
                  <c:v>21.8308</c:v>
                </c:pt>
                <c:pt idx="1434">
                  <c:v>21.846</c:v>
                </c:pt>
                <c:pt idx="1435">
                  <c:v>21.8612</c:v>
                </c:pt>
                <c:pt idx="1436">
                  <c:v>21.8765</c:v>
                </c:pt>
                <c:pt idx="1437">
                  <c:v>21.8917</c:v>
                </c:pt>
                <c:pt idx="1438">
                  <c:v>21.9069</c:v>
                </c:pt>
                <c:pt idx="1439">
                  <c:v>21.9222</c:v>
                </c:pt>
                <c:pt idx="1440">
                  <c:v>21.9374</c:v>
                </c:pt>
                <c:pt idx="1441">
                  <c:v>21.9527</c:v>
                </c:pt>
                <c:pt idx="1442">
                  <c:v>21.9679</c:v>
                </c:pt>
                <c:pt idx="1443">
                  <c:v>21.9831</c:v>
                </c:pt>
                <c:pt idx="1444">
                  <c:v>21.9984</c:v>
                </c:pt>
                <c:pt idx="1445">
                  <c:v>22.0136</c:v>
                </c:pt>
                <c:pt idx="1446">
                  <c:v>22.0288</c:v>
                </c:pt>
                <c:pt idx="1447">
                  <c:v>22.0441</c:v>
                </c:pt>
                <c:pt idx="1448">
                  <c:v>22.0593</c:v>
                </c:pt>
                <c:pt idx="1449">
                  <c:v>22.0745</c:v>
                </c:pt>
                <c:pt idx="1450">
                  <c:v>22.0898</c:v>
                </c:pt>
                <c:pt idx="1451">
                  <c:v>22.105</c:v>
                </c:pt>
                <c:pt idx="1452">
                  <c:v>22.120200000000001</c:v>
                </c:pt>
                <c:pt idx="1453">
                  <c:v>22.1355</c:v>
                </c:pt>
                <c:pt idx="1454">
                  <c:v>22.150700000000001</c:v>
                </c:pt>
                <c:pt idx="1455">
                  <c:v>22.165900000000001</c:v>
                </c:pt>
                <c:pt idx="1456">
                  <c:v>22.1812</c:v>
                </c:pt>
                <c:pt idx="1457">
                  <c:v>22.196400000000001</c:v>
                </c:pt>
                <c:pt idx="1458">
                  <c:v>22.211600000000001</c:v>
                </c:pt>
                <c:pt idx="1459">
                  <c:v>22.226900000000001</c:v>
                </c:pt>
                <c:pt idx="1460">
                  <c:v>22.242100000000001</c:v>
                </c:pt>
                <c:pt idx="1461">
                  <c:v>22.257300000000001</c:v>
                </c:pt>
                <c:pt idx="1462">
                  <c:v>22.272600000000001</c:v>
                </c:pt>
                <c:pt idx="1463">
                  <c:v>22.287800000000001</c:v>
                </c:pt>
                <c:pt idx="1464">
                  <c:v>22.303000000000001</c:v>
                </c:pt>
                <c:pt idx="1465">
                  <c:v>22.318300000000001</c:v>
                </c:pt>
                <c:pt idx="1466">
                  <c:v>22.333500000000001</c:v>
                </c:pt>
                <c:pt idx="1467">
                  <c:v>22.348700000000001</c:v>
                </c:pt>
                <c:pt idx="1468">
                  <c:v>22.364000000000001</c:v>
                </c:pt>
                <c:pt idx="1469">
                  <c:v>22.379200000000001</c:v>
                </c:pt>
                <c:pt idx="1470">
                  <c:v>22.394400000000001</c:v>
                </c:pt>
                <c:pt idx="1471">
                  <c:v>22.409700000000001</c:v>
                </c:pt>
                <c:pt idx="1472">
                  <c:v>22.424900000000001</c:v>
                </c:pt>
                <c:pt idx="1473">
                  <c:v>22.440100000000001</c:v>
                </c:pt>
                <c:pt idx="1474">
                  <c:v>22.455400000000001</c:v>
                </c:pt>
                <c:pt idx="1475">
                  <c:v>22.470600000000001</c:v>
                </c:pt>
                <c:pt idx="1476">
                  <c:v>22.485900000000001</c:v>
                </c:pt>
                <c:pt idx="1477">
                  <c:v>22.501100000000001</c:v>
                </c:pt>
                <c:pt idx="1478">
                  <c:v>22.516300000000001</c:v>
                </c:pt>
                <c:pt idx="1479">
                  <c:v>22.531600000000001</c:v>
                </c:pt>
                <c:pt idx="1480">
                  <c:v>22.546800000000001</c:v>
                </c:pt>
                <c:pt idx="1481">
                  <c:v>22.562000000000001</c:v>
                </c:pt>
                <c:pt idx="1482">
                  <c:v>22.577300000000001</c:v>
                </c:pt>
                <c:pt idx="1483">
                  <c:v>22.592500000000001</c:v>
                </c:pt>
                <c:pt idx="1484">
                  <c:v>22.607700000000001</c:v>
                </c:pt>
                <c:pt idx="1485">
                  <c:v>22.623000000000001</c:v>
                </c:pt>
                <c:pt idx="1486">
                  <c:v>22.638200000000001</c:v>
                </c:pt>
                <c:pt idx="1487">
                  <c:v>22.653400000000001</c:v>
                </c:pt>
                <c:pt idx="1488">
                  <c:v>22.668700000000001</c:v>
                </c:pt>
                <c:pt idx="1489">
                  <c:v>22.683900000000001</c:v>
                </c:pt>
                <c:pt idx="1490">
                  <c:v>22.699100000000001</c:v>
                </c:pt>
                <c:pt idx="1491">
                  <c:v>22.714400000000001</c:v>
                </c:pt>
                <c:pt idx="1492">
                  <c:v>22.729600000000001</c:v>
                </c:pt>
                <c:pt idx="1493">
                  <c:v>22.744800000000001</c:v>
                </c:pt>
                <c:pt idx="1494">
                  <c:v>22.760100000000001</c:v>
                </c:pt>
                <c:pt idx="1495">
                  <c:v>22.775300000000001</c:v>
                </c:pt>
                <c:pt idx="1496">
                  <c:v>22.790500000000002</c:v>
                </c:pt>
                <c:pt idx="1497">
                  <c:v>22.805800000000001</c:v>
                </c:pt>
                <c:pt idx="1498">
                  <c:v>22.821000000000002</c:v>
                </c:pt>
                <c:pt idx="1499">
                  <c:v>22.836200000000002</c:v>
                </c:pt>
                <c:pt idx="1500">
                  <c:v>22.851500000000001</c:v>
                </c:pt>
                <c:pt idx="1501">
                  <c:v>22.866700000000002</c:v>
                </c:pt>
                <c:pt idx="1502">
                  <c:v>22.881900000000002</c:v>
                </c:pt>
                <c:pt idx="1503">
                  <c:v>22.897200000000002</c:v>
                </c:pt>
                <c:pt idx="1504">
                  <c:v>22.912400000000002</c:v>
                </c:pt>
                <c:pt idx="1505">
                  <c:v>22.927600000000002</c:v>
                </c:pt>
                <c:pt idx="1506">
                  <c:v>22.942900000000002</c:v>
                </c:pt>
                <c:pt idx="1507">
                  <c:v>22.958100000000002</c:v>
                </c:pt>
                <c:pt idx="1508">
                  <c:v>22.973400000000002</c:v>
                </c:pt>
                <c:pt idx="1509">
                  <c:v>22.988600000000002</c:v>
                </c:pt>
                <c:pt idx="1510">
                  <c:v>23.003799999999998</c:v>
                </c:pt>
                <c:pt idx="1511">
                  <c:v>23.019100000000002</c:v>
                </c:pt>
                <c:pt idx="1512">
                  <c:v>23.034300000000002</c:v>
                </c:pt>
                <c:pt idx="1513">
                  <c:v>23.049499999999998</c:v>
                </c:pt>
                <c:pt idx="1514">
                  <c:v>23.064800000000002</c:v>
                </c:pt>
                <c:pt idx="1515">
                  <c:v>23.08</c:v>
                </c:pt>
                <c:pt idx="1516">
                  <c:v>23.095199999999998</c:v>
                </c:pt>
                <c:pt idx="1517">
                  <c:v>23.110499999999998</c:v>
                </c:pt>
                <c:pt idx="1518">
                  <c:v>23.125699999999998</c:v>
                </c:pt>
                <c:pt idx="1519">
                  <c:v>23.140899999999998</c:v>
                </c:pt>
                <c:pt idx="1520">
                  <c:v>23.156199999999998</c:v>
                </c:pt>
                <c:pt idx="1521">
                  <c:v>23.171399999999998</c:v>
                </c:pt>
                <c:pt idx="1522">
                  <c:v>23.186599999999999</c:v>
                </c:pt>
                <c:pt idx="1523">
                  <c:v>23.201899999999998</c:v>
                </c:pt>
                <c:pt idx="1524">
                  <c:v>23.217099999999999</c:v>
                </c:pt>
                <c:pt idx="1525">
                  <c:v>23.232299999999999</c:v>
                </c:pt>
                <c:pt idx="1526">
                  <c:v>23.247599999999998</c:v>
                </c:pt>
                <c:pt idx="1527">
                  <c:v>23.262799999999999</c:v>
                </c:pt>
                <c:pt idx="1528">
                  <c:v>23.277999999999999</c:v>
                </c:pt>
                <c:pt idx="1529">
                  <c:v>23.293299999999999</c:v>
                </c:pt>
                <c:pt idx="1530">
                  <c:v>23.308499999999999</c:v>
                </c:pt>
                <c:pt idx="1531">
                  <c:v>23.323699999999999</c:v>
                </c:pt>
                <c:pt idx="1532">
                  <c:v>23.338999999999999</c:v>
                </c:pt>
                <c:pt idx="1533">
                  <c:v>23.354199999999999</c:v>
                </c:pt>
                <c:pt idx="1534">
                  <c:v>23.369399999999999</c:v>
                </c:pt>
                <c:pt idx="1535">
                  <c:v>23.384699999999999</c:v>
                </c:pt>
                <c:pt idx="1536">
                  <c:v>23.399899999999999</c:v>
                </c:pt>
                <c:pt idx="1537">
                  <c:v>23.415099999999999</c:v>
                </c:pt>
                <c:pt idx="1538">
                  <c:v>23.430399999999999</c:v>
                </c:pt>
                <c:pt idx="1539">
                  <c:v>23.445599999999999</c:v>
                </c:pt>
                <c:pt idx="1540">
                  <c:v>23.460799999999999</c:v>
                </c:pt>
                <c:pt idx="1541">
                  <c:v>23.476099999999999</c:v>
                </c:pt>
                <c:pt idx="1542">
                  <c:v>23.491299999999999</c:v>
                </c:pt>
                <c:pt idx="1543">
                  <c:v>23.506599999999999</c:v>
                </c:pt>
                <c:pt idx="1544">
                  <c:v>23.521799999999999</c:v>
                </c:pt>
                <c:pt idx="1545">
                  <c:v>23.536999999999999</c:v>
                </c:pt>
                <c:pt idx="1546">
                  <c:v>23.552299999999999</c:v>
                </c:pt>
                <c:pt idx="1547">
                  <c:v>23.567499999999999</c:v>
                </c:pt>
                <c:pt idx="1548">
                  <c:v>23.582699999999999</c:v>
                </c:pt>
                <c:pt idx="1549">
                  <c:v>23.597999999999999</c:v>
                </c:pt>
                <c:pt idx="1550">
                  <c:v>23.613199999999999</c:v>
                </c:pt>
                <c:pt idx="1551">
                  <c:v>23.628399999999999</c:v>
                </c:pt>
                <c:pt idx="1552">
                  <c:v>23.643699999999999</c:v>
                </c:pt>
                <c:pt idx="1553">
                  <c:v>23.658899999999999</c:v>
                </c:pt>
                <c:pt idx="1554">
                  <c:v>23.674099999999999</c:v>
                </c:pt>
                <c:pt idx="1555">
                  <c:v>23.689399999999999</c:v>
                </c:pt>
                <c:pt idx="1556">
                  <c:v>23.704599999999999</c:v>
                </c:pt>
                <c:pt idx="1557">
                  <c:v>23.719799999999999</c:v>
                </c:pt>
                <c:pt idx="1558">
                  <c:v>23.735099999999999</c:v>
                </c:pt>
                <c:pt idx="1559">
                  <c:v>23.750299999999999</c:v>
                </c:pt>
                <c:pt idx="1560">
                  <c:v>23.765499999999999</c:v>
                </c:pt>
                <c:pt idx="1561">
                  <c:v>23.780799999999999</c:v>
                </c:pt>
                <c:pt idx="1562">
                  <c:v>23.795999999999999</c:v>
                </c:pt>
                <c:pt idx="1563">
                  <c:v>23.811199999999999</c:v>
                </c:pt>
                <c:pt idx="1564">
                  <c:v>23.826499999999999</c:v>
                </c:pt>
                <c:pt idx="1565">
                  <c:v>23.841699999999999</c:v>
                </c:pt>
                <c:pt idx="1566">
                  <c:v>23.8569</c:v>
                </c:pt>
                <c:pt idx="1567">
                  <c:v>23.872199999999999</c:v>
                </c:pt>
                <c:pt idx="1568">
                  <c:v>23.8874</c:v>
                </c:pt>
                <c:pt idx="1569">
                  <c:v>23.9026</c:v>
                </c:pt>
                <c:pt idx="1570">
                  <c:v>23.917899999999999</c:v>
                </c:pt>
                <c:pt idx="1571">
                  <c:v>23.9331</c:v>
                </c:pt>
                <c:pt idx="1572">
                  <c:v>23.9483</c:v>
                </c:pt>
                <c:pt idx="1573">
                  <c:v>23.9636</c:v>
                </c:pt>
                <c:pt idx="1574">
                  <c:v>23.9788</c:v>
                </c:pt>
                <c:pt idx="1575">
                  <c:v>23.9941</c:v>
                </c:pt>
                <c:pt idx="1576">
                  <c:v>24.0093</c:v>
                </c:pt>
                <c:pt idx="1577">
                  <c:v>24.0245</c:v>
                </c:pt>
                <c:pt idx="1578">
                  <c:v>24.0398</c:v>
                </c:pt>
                <c:pt idx="1579">
                  <c:v>24.055</c:v>
                </c:pt>
                <c:pt idx="1580">
                  <c:v>24.0702</c:v>
                </c:pt>
                <c:pt idx="1581">
                  <c:v>24.0855</c:v>
                </c:pt>
                <c:pt idx="1582">
                  <c:v>24.1007</c:v>
                </c:pt>
                <c:pt idx="1583">
                  <c:v>24.1159</c:v>
                </c:pt>
                <c:pt idx="1584">
                  <c:v>24.1312</c:v>
                </c:pt>
                <c:pt idx="1585">
                  <c:v>24.1464</c:v>
                </c:pt>
                <c:pt idx="1586">
                  <c:v>24.1616</c:v>
                </c:pt>
                <c:pt idx="1587">
                  <c:v>24.1769</c:v>
                </c:pt>
                <c:pt idx="1588">
                  <c:v>24.1921</c:v>
                </c:pt>
                <c:pt idx="1589">
                  <c:v>24.2073</c:v>
                </c:pt>
                <c:pt idx="1590">
                  <c:v>24.2226</c:v>
                </c:pt>
                <c:pt idx="1591">
                  <c:v>24.2378</c:v>
                </c:pt>
                <c:pt idx="1592">
                  <c:v>24.253</c:v>
                </c:pt>
                <c:pt idx="1593">
                  <c:v>24.2683</c:v>
                </c:pt>
                <c:pt idx="1594">
                  <c:v>24.2835</c:v>
                </c:pt>
                <c:pt idx="1595">
                  <c:v>24.2987</c:v>
                </c:pt>
                <c:pt idx="1596">
                  <c:v>24.314</c:v>
                </c:pt>
                <c:pt idx="1597">
                  <c:v>24.3292</c:v>
                </c:pt>
                <c:pt idx="1598">
                  <c:v>24.3444</c:v>
                </c:pt>
                <c:pt idx="1599">
                  <c:v>24.3597</c:v>
                </c:pt>
                <c:pt idx="1600">
                  <c:v>24.3749</c:v>
                </c:pt>
                <c:pt idx="1601">
                  <c:v>24.3901</c:v>
                </c:pt>
                <c:pt idx="1602">
                  <c:v>24.4054</c:v>
                </c:pt>
                <c:pt idx="1603">
                  <c:v>24.4206</c:v>
                </c:pt>
                <c:pt idx="1604">
                  <c:v>24.4358</c:v>
                </c:pt>
                <c:pt idx="1605">
                  <c:v>24.4511</c:v>
                </c:pt>
                <c:pt idx="1606">
                  <c:v>24.4663</c:v>
                </c:pt>
                <c:pt idx="1607">
                  <c:v>24.4815</c:v>
                </c:pt>
                <c:pt idx="1608">
                  <c:v>24.4968</c:v>
                </c:pt>
                <c:pt idx="1609">
                  <c:v>24.512</c:v>
                </c:pt>
                <c:pt idx="1610">
                  <c:v>24.5273</c:v>
                </c:pt>
                <c:pt idx="1611">
                  <c:v>24.5425</c:v>
                </c:pt>
                <c:pt idx="1612">
                  <c:v>24.557700000000001</c:v>
                </c:pt>
                <c:pt idx="1613">
                  <c:v>24.573</c:v>
                </c:pt>
                <c:pt idx="1614">
                  <c:v>24.588200000000001</c:v>
                </c:pt>
                <c:pt idx="1615">
                  <c:v>24.603400000000001</c:v>
                </c:pt>
                <c:pt idx="1616">
                  <c:v>24.6187</c:v>
                </c:pt>
                <c:pt idx="1617">
                  <c:v>24.633900000000001</c:v>
                </c:pt>
                <c:pt idx="1618">
                  <c:v>24.649100000000001</c:v>
                </c:pt>
                <c:pt idx="1619">
                  <c:v>24.664400000000001</c:v>
                </c:pt>
                <c:pt idx="1620">
                  <c:v>24.679600000000001</c:v>
                </c:pt>
                <c:pt idx="1621">
                  <c:v>24.694800000000001</c:v>
                </c:pt>
                <c:pt idx="1622">
                  <c:v>24.710100000000001</c:v>
                </c:pt>
                <c:pt idx="1623">
                  <c:v>24.725300000000001</c:v>
                </c:pt>
                <c:pt idx="1624">
                  <c:v>24.740500000000001</c:v>
                </c:pt>
                <c:pt idx="1625">
                  <c:v>24.755800000000001</c:v>
                </c:pt>
                <c:pt idx="1626">
                  <c:v>24.771000000000001</c:v>
                </c:pt>
                <c:pt idx="1627">
                  <c:v>24.786200000000001</c:v>
                </c:pt>
                <c:pt idx="1628">
                  <c:v>24.801500000000001</c:v>
                </c:pt>
                <c:pt idx="1629">
                  <c:v>24.816700000000001</c:v>
                </c:pt>
                <c:pt idx="1630">
                  <c:v>24.831900000000001</c:v>
                </c:pt>
                <c:pt idx="1631">
                  <c:v>24.847200000000001</c:v>
                </c:pt>
                <c:pt idx="1632">
                  <c:v>24.862400000000001</c:v>
                </c:pt>
                <c:pt idx="1633">
                  <c:v>24.877600000000001</c:v>
                </c:pt>
                <c:pt idx="1634">
                  <c:v>24.892900000000001</c:v>
                </c:pt>
                <c:pt idx="1635">
                  <c:v>24.908100000000001</c:v>
                </c:pt>
                <c:pt idx="1636">
                  <c:v>24.923300000000001</c:v>
                </c:pt>
                <c:pt idx="1637">
                  <c:v>24.938600000000001</c:v>
                </c:pt>
                <c:pt idx="1638">
                  <c:v>24.953800000000001</c:v>
                </c:pt>
                <c:pt idx="1639">
                  <c:v>24.969000000000001</c:v>
                </c:pt>
                <c:pt idx="1640">
                  <c:v>24.984300000000001</c:v>
                </c:pt>
                <c:pt idx="1641">
                  <c:v>24.999500000000001</c:v>
                </c:pt>
                <c:pt idx="1642">
                  <c:v>25.014700000000001</c:v>
                </c:pt>
                <c:pt idx="1643">
                  <c:v>25.03</c:v>
                </c:pt>
                <c:pt idx="1644">
                  <c:v>25.045200000000001</c:v>
                </c:pt>
                <c:pt idx="1645">
                  <c:v>25.060500000000001</c:v>
                </c:pt>
                <c:pt idx="1646">
                  <c:v>25.075700000000001</c:v>
                </c:pt>
                <c:pt idx="1647">
                  <c:v>25.090900000000001</c:v>
                </c:pt>
                <c:pt idx="1648">
                  <c:v>25.106200000000001</c:v>
                </c:pt>
                <c:pt idx="1649">
                  <c:v>25.121400000000001</c:v>
                </c:pt>
                <c:pt idx="1650">
                  <c:v>25.136600000000001</c:v>
                </c:pt>
                <c:pt idx="1651">
                  <c:v>25.151900000000001</c:v>
                </c:pt>
                <c:pt idx="1652">
                  <c:v>25.167100000000001</c:v>
                </c:pt>
                <c:pt idx="1653">
                  <c:v>25.182300000000001</c:v>
                </c:pt>
                <c:pt idx="1654">
                  <c:v>25.197600000000001</c:v>
                </c:pt>
                <c:pt idx="1655">
                  <c:v>25.212800000000001</c:v>
                </c:pt>
                <c:pt idx="1656">
                  <c:v>25.228000000000002</c:v>
                </c:pt>
                <c:pt idx="1657">
                  <c:v>25.243300000000001</c:v>
                </c:pt>
                <c:pt idx="1658">
                  <c:v>25.258500000000002</c:v>
                </c:pt>
                <c:pt idx="1659">
                  <c:v>25.273700000000002</c:v>
                </c:pt>
                <c:pt idx="1660">
                  <c:v>25.289000000000001</c:v>
                </c:pt>
                <c:pt idx="1661">
                  <c:v>25.304200000000002</c:v>
                </c:pt>
                <c:pt idx="1662">
                  <c:v>25.319400000000002</c:v>
                </c:pt>
                <c:pt idx="1663">
                  <c:v>25.334700000000002</c:v>
                </c:pt>
                <c:pt idx="1664">
                  <c:v>25.349900000000002</c:v>
                </c:pt>
                <c:pt idx="1665">
                  <c:v>25.365100000000002</c:v>
                </c:pt>
                <c:pt idx="1666">
                  <c:v>25.380400000000002</c:v>
                </c:pt>
                <c:pt idx="1667">
                  <c:v>25.395600000000002</c:v>
                </c:pt>
                <c:pt idx="1668">
                  <c:v>25.410799999999998</c:v>
                </c:pt>
                <c:pt idx="1669">
                  <c:v>25.426100000000002</c:v>
                </c:pt>
                <c:pt idx="1670">
                  <c:v>25.441299999999998</c:v>
                </c:pt>
                <c:pt idx="1671">
                  <c:v>25.456499999999998</c:v>
                </c:pt>
                <c:pt idx="1672">
                  <c:v>25.471800000000002</c:v>
                </c:pt>
                <c:pt idx="1673">
                  <c:v>25.486999999999998</c:v>
                </c:pt>
                <c:pt idx="1674">
                  <c:v>25.502199999999998</c:v>
                </c:pt>
              </c:numCache>
            </c:numRef>
          </c:xVal>
          <c:yVal>
            <c:numRef>
              <c:f>Varadero!$H$2:$H$1676</c:f>
              <c:numCache>
                <c:formatCode>General</c:formatCode>
                <c:ptCount val="167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2E-42FE-BC56-5747F22B25AD}"/>
            </c:ext>
          </c:extLst>
        </c:ser>
        <c:ser>
          <c:idx val="2"/>
          <c:order val="2"/>
          <c:tx>
            <c:strRef>
              <c:f>Varadero!$I$1</c:f>
              <c:strCache>
                <c:ptCount val="1"/>
                <c:pt idx="0">
                  <c:v>Densidad (g cm-3) exp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Varadero!$A$2:$A$3251</c:f>
              <c:numCache>
                <c:formatCode>General</c:formatCode>
                <c:ptCount val="3250"/>
                <c:pt idx="0">
                  <c:v>0</c:v>
                </c:pt>
                <c:pt idx="1">
                  <c:v>1.52E-2</c:v>
                </c:pt>
                <c:pt idx="2">
                  <c:v>3.0499999999999999E-2</c:v>
                </c:pt>
                <c:pt idx="3">
                  <c:v>4.5699999999999998E-2</c:v>
                </c:pt>
                <c:pt idx="4">
                  <c:v>6.0900000000000003E-2</c:v>
                </c:pt>
                <c:pt idx="5">
                  <c:v>7.6200000000000004E-2</c:v>
                </c:pt>
                <c:pt idx="6">
                  <c:v>9.1399999999999995E-2</c:v>
                </c:pt>
                <c:pt idx="7">
                  <c:v>0.1066</c:v>
                </c:pt>
                <c:pt idx="8">
                  <c:v>0.12189999999999999</c:v>
                </c:pt>
                <c:pt idx="9">
                  <c:v>0.1371</c:v>
                </c:pt>
                <c:pt idx="10">
                  <c:v>0.15229999999999999</c:v>
                </c:pt>
                <c:pt idx="11">
                  <c:v>0.1676</c:v>
                </c:pt>
                <c:pt idx="12">
                  <c:v>0.18279999999999999</c:v>
                </c:pt>
                <c:pt idx="13">
                  <c:v>0.19800000000000001</c:v>
                </c:pt>
                <c:pt idx="14">
                  <c:v>0.21329999999999999</c:v>
                </c:pt>
                <c:pt idx="15">
                  <c:v>0.22850000000000001</c:v>
                </c:pt>
                <c:pt idx="16">
                  <c:v>0.2437</c:v>
                </c:pt>
                <c:pt idx="17">
                  <c:v>0.25900000000000001</c:v>
                </c:pt>
                <c:pt idx="18">
                  <c:v>0.2742</c:v>
                </c:pt>
                <c:pt idx="19">
                  <c:v>0.28949999999999998</c:v>
                </c:pt>
                <c:pt idx="20">
                  <c:v>0.30470000000000003</c:v>
                </c:pt>
                <c:pt idx="21">
                  <c:v>0.31990000000000002</c:v>
                </c:pt>
                <c:pt idx="22">
                  <c:v>0.3352</c:v>
                </c:pt>
                <c:pt idx="23">
                  <c:v>0.35039999999999999</c:v>
                </c:pt>
                <c:pt idx="24">
                  <c:v>0.36559999999999998</c:v>
                </c:pt>
                <c:pt idx="25">
                  <c:v>0.38090000000000002</c:v>
                </c:pt>
                <c:pt idx="26">
                  <c:v>0.39610000000000001</c:v>
                </c:pt>
                <c:pt idx="27">
                  <c:v>0.4113</c:v>
                </c:pt>
                <c:pt idx="28">
                  <c:v>0.42659999999999998</c:v>
                </c:pt>
                <c:pt idx="29">
                  <c:v>0.44180000000000003</c:v>
                </c:pt>
                <c:pt idx="30">
                  <c:v>0.45700000000000002</c:v>
                </c:pt>
                <c:pt idx="31">
                  <c:v>0.4723</c:v>
                </c:pt>
                <c:pt idx="32">
                  <c:v>0.48749999999999999</c:v>
                </c:pt>
                <c:pt idx="33">
                  <c:v>0.50270000000000004</c:v>
                </c:pt>
                <c:pt idx="34">
                  <c:v>0.51800000000000002</c:v>
                </c:pt>
                <c:pt idx="35">
                  <c:v>0.53320000000000001</c:v>
                </c:pt>
                <c:pt idx="36">
                  <c:v>0.5484</c:v>
                </c:pt>
                <c:pt idx="37">
                  <c:v>0.56369999999999998</c:v>
                </c:pt>
                <c:pt idx="38">
                  <c:v>0.57889999999999997</c:v>
                </c:pt>
                <c:pt idx="39">
                  <c:v>0.59409999999999996</c:v>
                </c:pt>
                <c:pt idx="40">
                  <c:v>0.60940000000000005</c:v>
                </c:pt>
                <c:pt idx="41">
                  <c:v>0.62460000000000004</c:v>
                </c:pt>
                <c:pt idx="42">
                  <c:v>0.63980000000000004</c:v>
                </c:pt>
                <c:pt idx="43">
                  <c:v>0.65510000000000002</c:v>
                </c:pt>
                <c:pt idx="44">
                  <c:v>0.67030000000000001</c:v>
                </c:pt>
                <c:pt idx="45">
                  <c:v>0.6855</c:v>
                </c:pt>
                <c:pt idx="46">
                  <c:v>0.70079999999999998</c:v>
                </c:pt>
                <c:pt idx="47">
                  <c:v>0.71599999999999997</c:v>
                </c:pt>
                <c:pt idx="48">
                  <c:v>0.73119999999999996</c:v>
                </c:pt>
                <c:pt idx="49">
                  <c:v>0.74650000000000005</c:v>
                </c:pt>
                <c:pt idx="50">
                  <c:v>0.76170000000000004</c:v>
                </c:pt>
                <c:pt idx="51">
                  <c:v>0.77700000000000002</c:v>
                </c:pt>
                <c:pt idx="52">
                  <c:v>0.79220000000000002</c:v>
                </c:pt>
                <c:pt idx="53">
                  <c:v>0.80740000000000001</c:v>
                </c:pt>
                <c:pt idx="54">
                  <c:v>0.82269999999999999</c:v>
                </c:pt>
                <c:pt idx="55">
                  <c:v>0.83789999999999998</c:v>
                </c:pt>
                <c:pt idx="56">
                  <c:v>0.85309999999999997</c:v>
                </c:pt>
                <c:pt idx="57">
                  <c:v>0.86839999999999995</c:v>
                </c:pt>
                <c:pt idx="58">
                  <c:v>0.88360000000000005</c:v>
                </c:pt>
                <c:pt idx="59">
                  <c:v>0.89880000000000004</c:v>
                </c:pt>
                <c:pt idx="60">
                  <c:v>0.91410000000000002</c:v>
                </c:pt>
                <c:pt idx="61">
                  <c:v>0.92930000000000001</c:v>
                </c:pt>
                <c:pt idx="62">
                  <c:v>0.94450000000000001</c:v>
                </c:pt>
                <c:pt idx="63">
                  <c:v>0.95979999999999999</c:v>
                </c:pt>
                <c:pt idx="64">
                  <c:v>0.97499999999999998</c:v>
                </c:pt>
                <c:pt idx="65">
                  <c:v>0.99019999999999997</c:v>
                </c:pt>
                <c:pt idx="66">
                  <c:v>1.0055000000000001</c:v>
                </c:pt>
                <c:pt idx="67">
                  <c:v>1.0206999999999999</c:v>
                </c:pt>
                <c:pt idx="68">
                  <c:v>1.0359</c:v>
                </c:pt>
                <c:pt idx="69">
                  <c:v>1.0511999999999999</c:v>
                </c:pt>
                <c:pt idx="70">
                  <c:v>1.0664</c:v>
                </c:pt>
                <c:pt idx="71">
                  <c:v>1.0815999999999999</c:v>
                </c:pt>
                <c:pt idx="72">
                  <c:v>1.0969</c:v>
                </c:pt>
                <c:pt idx="73">
                  <c:v>1.1121000000000001</c:v>
                </c:pt>
                <c:pt idx="74">
                  <c:v>1.1273</c:v>
                </c:pt>
                <c:pt idx="75">
                  <c:v>1.1426000000000001</c:v>
                </c:pt>
                <c:pt idx="76">
                  <c:v>1.1577999999999999</c:v>
                </c:pt>
                <c:pt idx="77">
                  <c:v>1.173</c:v>
                </c:pt>
                <c:pt idx="78">
                  <c:v>1.1882999999999999</c:v>
                </c:pt>
                <c:pt idx="79">
                  <c:v>1.2035</c:v>
                </c:pt>
                <c:pt idx="80">
                  <c:v>1.2186999999999999</c:v>
                </c:pt>
                <c:pt idx="81">
                  <c:v>1.234</c:v>
                </c:pt>
                <c:pt idx="82">
                  <c:v>1.2492000000000001</c:v>
                </c:pt>
                <c:pt idx="83">
                  <c:v>1.2644</c:v>
                </c:pt>
                <c:pt idx="84">
                  <c:v>1.2797000000000001</c:v>
                </c:pt>
                <c:pt idx="85">
                  <c:v>1.2948999999999999</c:v>
                </c:pt>
                <c:pt idx="86">
                  <c:v>1.3102</c:v>
                </c:pt>
                <c:pt idx="87">
                  <c:v>1.3253999999999999</c:v>
                </c:pt>
                <c:pt idx="88">
                  <c:v>1.3406</c:v>
                </c:pt>
                <c:pt idx="89">
                  <c:v>1.3559000000000001</c:v>
                </c:pt>
                <c:pt idx="90">
                  <c:v>1.3711</c:v>
                </c:pt>
                <c:pt idx="91">
                  <c:v>1.3863000000000001</c:v>
                </c:pt>
                <c:pt idx="92">
                  <c:v>1.4016</c:v>
                </c:pt>
                <c:pt idx="93">
                  <c:v>1.4168000000000001</c:v>
                </c:pt>
                <c:pt idx="94">
                  <c:v>1.4319999999999999</c:v>
                </c:pt>
                <c:pt idx="95">
                  <c:v>1.4473</c:v>
                </c:pt>
                <c:pt idx="96">
                  <c:v>1.4624999999999999</c:v>
                </c:pt>
                <c:pt idx="97">
                  <c:v>1.4777</c:v>
                </c:pt>
                <c:pt idx="98">
                  <c:v>1.4930000000000001</c:v>
                </c:pt>
                <c:pt idx="99">
                  <c:v>1.5082</c:v>
                </c:pt>
                <c:pt idx="100">
                  <c:v>1.5234000000000001</c:v>
                </c:pt>
                <c:pt idx="101">
                  <c:v>1.5387</c:v>
                </c:pt>
                <c:pt idx="102">
                  <c:v>1.5539000000000001</c:v>
                </c:pt>
                <c:pt idx="103">
                  <c:v>1.5690999999999999</c:v>
                </c:pt>
                <c:pt idx="104">
                  <c:v>1.5844</c:v>
                </c:pt>
                <c:pt idx="105">
                  <c:v>1.5995999999999999</c:v>
                </c:pt>
                <c:pt idx="106">
                  <c:v>1.6148</c:v>
                </c:pt>
                <c:pt idx="107">
                  <c:v>1.6301000000000001</c:v>
                </c:pt>
                <c:pt idx="108">
                  <c:v>1.6453</c:v>
                </c:pt>
                <c:pt idx="109">
                  <c:v>1.6605000000000001</c:v>
                </c:pt>
                <c:pt idx="110">
                  <c:v>1.6758</c:v>
                </c:pt>
                <c:pt idx="111">
                  <c:v>1.6910000000000001</c:v>
                </c:pt>
                <c:pt idx="112">
                  <c:v>1.7061999999999999</c:v>
                </c:pt>
                <c:pt idx="113">
                  <c:v>1.7215</c:v>
                </c:pt>
                <c:pt idx="114">
                  <c:v>1.7366999999999999</c:v>
                </c:pt>
                <c:pt idx="115">
                  <c:v>1.7519</c:v>
                </c:pt>
                <c:pt idx="116">
                  <c:v>1.7672000000000001</c:v>
                </c:pt>
                <c:pt idx="117">
                  <c:v>1.7824</c:v>
                </c:pt>
                <c:pt idx="118">
                  <c:v>1.7976000000000001</c:v>
                </c:pt>
                <c:pt idx="119">
                  <c:v>1.8129</c:v>
                </c:pt>
                <c:pt idx="120">
                  <c:v>1.8281000000000001</c:v>
                </c:pt>
                <c:pt idx="121">
                  <c:v>1.8433999999999999</c:v>
                </c:pt>
                <c:pt idx="122">
                  <c:v>1.8586</c:v>
                </c:pt>
                <c:pt idx="123">
                  <c:v>1.8737999999999999</c:v>
                </c:pt>
                <c:pt idx="124">
                  <c:v>1.8891</c:v>
                </c:pt>
                <c:pt idx="125">
                  <c:v>1.9043000000000001</c:v>
                </c:pt>
                <c:pt idx="126">
                  <c:v>1.9195</c:v>
                </c:pt>
                <c:pt idx="127">
                  <c:v>1.9348000000000001</c:v>
                </c:pt>
                <c:pt idx="128">
                  <c:v>1.95</c:v>
                </c:pt>
                <c:pt idx="129">
                  <c:v>1.9652000000000001</c:v>
                </c:pt>
                <c:pt idx="130">
                  <c:v>1.9804999999999999</c:v>
                </c:pt>
                <c:pt idx="131">
                  <c:v>1.9957</c:v>
                </c:pt>
                <c:pt idx="132">
                  <c:v>2.0108999999999999</c:v>
                </c:pt>
                <c:pt idx="133">
                  <c:v>2.0261999999999998</c:v>
                </c:pt>
                <c:pt idx="134">
                  <c:v>2.0413999999999999</c:v>
                </c:pt>
                <c:pt idx="135">
                  <c:v>2.0566</c:v>
                </c:pt>
                <c:pt idx="136">
                  <c:v>2.0718999999999999</c:v>
                </c:pt>
                <c:pt idx="137">
                  <c:v>2.0871</c:v>
                </c:pt>
                <c:pt idx="138">
                  <c:v>2.1023000000000001</c:v>
                </c:pt>
                <c:pt idx="139">
                  <c:v>2.1175999999999999</c:v>
                </c:pt>
                <c:pt idx="140">
                  <c:v>2.1328</c:v>
                </c:pt>
                <c:pt idx="141">
                  <c:v>2.1480000000000001</c:v>
                </c:pt>
                <c:pt idx="142">
                  <c:v>2.1633</c:v>
                </c:pt>
                <c:pt idx="143">
                  <c:v>2.1785000000000001</c:v>
                </c:pt>
                <c:pt idx="144">
                  <c:v>2.1937000000000002</c:v>
                </c:pt>
                <c:pt idx="145">
                  <c:v>2.2090000000000001</c:v>
                </c:pt>
                <c:pt idx="146">
                  <c:v>2.2242000000000002</c:v>
                </c:pt>
                <c:pt idx="147">
                  <c:v>2.2393999999999998</c:v>
                </c:pt>
                <c:pt idx="148">
                  <c:v>2.2547000000000001</c:v>
                </c:pt>
                <c:pt idx="149">
                  <c:v>2.2698999999999998</c:v>
                </c:pt>
                <c:pt idx="150">
                  <c:v>2.2850999999999999</c:v>
                </c:pt>
                <c:pt idx="151">
                  <c:v>2.3003999999999998</c:v>
                </c:pt>
                <c:pt idx="152">
                  <c:v>2.3155999999999999</c:v>
                </c:pt>
                <c:pt idx="153">
                  <c:v>2.3309000000000002</c:v>
                </c:pt>
                <c:pt idx="154">
                  <c:v>2.3460999999999999</c:v>
                </c:pt>
                <c:pt idx="155">
                  <c:v>2.3613</c:v>
                </c:pt>
                <c:pt idx="156">
                  <c:v>2.3765999999999998</c:v>
                </c:pt>
                <c:pt idx="157">
                  <c:v>2.3917999999999999</c:v>
                </c:pt>
                <c:pt idx="158">
                  <c:v>2.407</c:v>
                </c:pt>
                <c:pt idx="159">
                  <c:v>2.4222999999999999</c:v>
                </c:pt>
                <c:pt idx="160">
                  <c:v>2.4375</c:v>
                </c:pt>
                <c:pt idx="161">
                  <c:v>2.4527000000000001</c:v>
                </c:pt>
                <c:pt idx="162">
                  <c:v>2.468</c:v>
                </c:pt>
                <c:pt idx="163">
                  <c:v>2.4832000000000001</c:v>
                </c:pt>
                <c:pt idx="164">
                  <c:v>2.4984000000000002</c:v>
                </c:pt>
                <c:pt idx="165">
                  <c:v>2.5137</c:v>
                </c:pt>
                <c:pt idx="166">
                  <c:v>2.5289000000000001</c:v>
                </c:pt>
                <c:pt idx="167">
                  <c:v>2.5440999999999998</c:v>
                </c:pt>
                <c:pt idx="168">
                  <c:v>2.5594000000000001</c:v>
                </c:pt>
                <c:pt idx="169">
                  <c:v>2.5746000000000002</c:v>
                </c:pt>
                <c:pt idx="170">
                  <c:v>2.5897999999999999</c:v>
                </c:pt>
                <c:pt idx="171">
                  <c:v>2.6051000000000002</c:v>
                </c:pt>
                <c:pt idx="172">
                  <c:v>2.6202999999999999</c:v>
                </c:pt>
                <c:pt idx="173">
                  <c:v>2.6355</c:v>
                </c:pt>
                <c:pt idx="174">
                  <c:v>2.6507999999999998</c:v>
                </c:pt>
                <c:pt idx="175">
                  <c:v>2.6659999999999999</c:v>
                </c:pt>
                <c:pt idx="176">
                  <c:v>2.6812</c:v>
                </c:pt>
                <c:pt idx="177">
                  <c:v>2.6964999999999999</c:v>
                </c:pt>
                <c:pt idx="178">
                  <c:v>2.7117</c:v>
                </c:pt>
                <c:pt idx="179">
                  <c:v>2.7269000000000001</c:v>
                </c:pt>
                <c:pt idx="180">
                  <c:v>2.7422</c:v>
                </c:pt>
                <c:pt idx="181">
                  <c:v>2.7574000000000001</c:v>
                </c:pt>
                <c:pt idx="182">
                  <c:v>2.7726000000000002</c:v>
                </c:pt>
                <c:pt idx="183">
                  <c:v>2.7879</c:v>
                </c:pt>
                <c:pt idx="184">
                  <c:v>2.8031000000000001</c:v>
                </c:pt>
                <c:pt idx="185">
                  <c:v>2.8182999999999998</c:v>
                </c:pt>
                <c:pt idx="186">
                  <c:v>2.8336000000000001</c:v>
                </c:pt>
                <c:pt idx="187">
                  <c:v>2.8488000000000002</c:v>
                </c:pt>
                <c:pt idx="188">
                  <c:v>2.8641000000000001</c:v>
                </c:pt>
                <c:pt idx="189">
                  <c:v>2.8793000000000002</c:v>
                </c:pt>
                <c:pt idx="190">
                  <c:v>2.8944999999999999</c:v>
                </c:pt>
                <c:pt idx="191">
                  <c:v>2.9098000000000002</c:v>
                </c:pt>
                <c:pt idx="192">
                  <c:v>2.9249999999999998</c:v>
                </c:pt>
                <c:pt idx="193">
                  <c:v>2.9401999999999999</c:v>
                </c:pt>
                <c:pt idx="194">
                  <c:v>2.9554999999999998</c:v>
                </c:pt>
                <c:pt idx="195">
                  <c:v>2.9706999999999999</c:v>
                </c:pt>
                <c:pt idx="196">
                  <c:v>2.9859</c:v>
                </c:pt>
                <c:pt idx="197">
                  <c:v>3.0011999999999999</c:v>
                </c:pt>
                <c:pt idx="198">
                  <c:v>3.0164</c:v>
                </c:pt>
                <c:pt idx="199">
                  <c:v>3.0316000000000001</c:v>
                </c:pt>
                <c:pt idx="200">
                  <c:v>3.0468999999999999</c:v>
                </c:pt>
                <c:pt idx="201">
                  <c:v>3.0621</c:v>
                </c:pt>
                <c:pt idx="202">
                  <c:v>3.0773000000000001</c:v>
                </c:pt>
                <c:pt idx="203">
                  <c:v>3.0926</c:v>
                </c:pt>
                <c:pt idx="204">
                  <c:v>3.1078000000000001</c:v>
                </c:pt>
                <c:pt idx="205">
                  <c:v>3.1230000000000002</c:v>
                </c:pt>
                <c:pt idx="206">
                  <c:v>3.1383000000000001</c:v>
                </c:pt>
                <c:pt idx="207">
                  <c:v>3.1535000000000002</c:v>
                </c:pt>
                <c:pt idx="208">
                  <c:v>3.1686999999999999</c:v>
                </c:pt>
                <c:pt idx="209">
                  <c:v>3.1840000000000002</c:v>
                </c:pt>
                <c:pt idx="210">
                  <c:v>3.1991999999999998</c:v>
                </c:pt>
                <c:pt idx="211">
                  <c:v>3.2143999999999999</c:v>
                </c:pt>
                <c:pt idx="212">
                  <c:v>3.2296999999999998</c:v>
                </c:pt>
                <c:pt idx="213">
                  <c:v>3.2448999999999999</c:v>
                </c:pt>
                <c:pt idx="214">
                  <c:v>3.2601</c:v>
                </c:pt>
                <c:pt idx="215">
                  <c:v>3.2753999999999999</c:v>
                </c:pt>
                <c:pt idx="216">
                  <c:v>3.2906</c:v>
                </c:pt>
                <c:pt idx="217">
                  <c:v>3.3058000000000001</c:v>
                </c:pt>
                <c:pt idx="218">
                  <c:v>3.3210999999999999</c:v>
                </c:pt>
                <c:pt idx="219">
                  <c:v>3.3363</c:v>
                </c:pt>
                <c:pt idx="220">
                  <c:v>3.3515000000000001</c:v>
                </c:pt>
                <c:pt idx="221">
                  <c:v>3.3668</c:v>
                </c:pt>
                <c:pt idx="222">
                  <c:v>3.3820000000000001</c:v>
                </c:pt>
                <c:pt idx="223">
                  <c:v>3.3973</c:v>
                </c:pt>
                <c:pt idx="224">
                  <c:v>3.4125000000000001</c:v>
                </c:pt>
                <c:pt idx="225">
                  <c:v>3.4277000000000002</c:v>
                </c:pt>
                <c:pt idx="226">
                  <c:v>3.4430000000000001</c:v>
                </c:pt>
                <c:pt idx="227">
                  <c:v>3.4582000000000002</c:v>
                </c:pt>
                <c:pt idx="228">
                  <c:v>3.4733999999999998</c:v>
                </c:pt>
                <c:pt idx="229">
                  <c:v>3.4887000000000001</c:v>
                </c:pt>
                <c:pt idx="230">
                  <c:v>3.5038999999999998</c:v>
                </c:pt>
                <c:pt idx="231">
                  <c:v>3.5190999999999999</c:v>
                </c:pt>
                <c:pt idx="232">
                  <c:v>3.5344000000000002</c:v>
                </c:pt>
                <c:pt idx="233">
                  <c:v>3.5495999999999999</c:v>
                </c:pt>
                <c:pt idx="234">
                  <c:v>3.5648</c:v>
                </c:pt>
                <c:pt idx="235">
                  <c:v>3.5800999999999998</c:v>
                </c:pt>
                <c:pt idx="236">
                  <c:v>3.5952999999999999</c:v>
                </c:pt>
                <c:pt idx="237">
                  <c:v>3.6105</c:v>
                </c:pt>
                <c:pt idx="238">
                  <c:v>3.6257999999999999</c:v>
                </c:pt>
                <c:pt idx="239">
                  <c:v>3.641</c:v>
                </c:pt>
                <c:pt idx="240">
                  <c:v>3.6562000000000001</c:v>
                </c:pt>
                <c:pt idx="241">
                  <c:v>3.6715</c:v>
                </c:pt>
                <c:pt idx="242">
                  <c:v>3.6867000000000001</c:v>
                </c:pt>
                <c:pt idx="243">
                  <c:v>3.7019000000000002</c:v>
                </c:pt>
                <c:pt idx="244">
                  <c:v>3.7172000000000001</c:v>
                </c:pt>
                <c:pt idx="245">
                  <c:v>3.7324000000000002</c:v>
                </c:pt>
                <c:pt idx="246">
                  <c:v>3.7475999999999998</c:v>
                </c:pt>
                <c:pt idx="247">
                  <c:v>3.7629000000000001</c:v>
                </c:pt>
                <c:pt idx="248">
                  <c:v>3.7780999999999998</c:v>
                </c:pt>
                <c:pt idx="249">
                  <c:v>3.7932999999999999</c:v>
                </c:pt>
                <c:pt idx="250">
                  <c:v>3.8086000000000002</c:v>
                </c:pt>
                <c:pt idx="251">
                  <c:v>3.8237999999999999</c:v>
                </c:pt>
                <c:pt idx="252">
                  <c:v>3.839</c:v>
                </c:pt>
                <c:pt idx="253">
                  <c:v>3.8542999999999998</c:v>
                </c:pt>
                <c:pt idx="254">
                  <c:v>3.8694999999999999</c:v>
                </c:pt>
                <c:pt idx="255">
                  <c:v>3.8847999999999998</c:v>
                </c:pt>
                <c:pt idx="256">
                  <c:v>3.9</c:v>
                </c:pt>
                <c:pt idx="257">
                  <c:v>3.9152</c:v>
                </c:pt>
                <c:pt idx="258">
                  <c:v>3.9304999999999999</c:v>
                </c:pt>
                <c:pt idx="259">
                  <c:v>3.9457</c:v>
                </c:pt>
                <c:pt idx="260">
                  <c:v>3.9609000000000001</c:v>
                </c:pt>
                <c:pt idx="261">
                  <c:v>3.9762</c:v>
                </c:pt>
                <c:pt idx="262">
                  <c:v>3.9914000000000001</c:v>
                </c:pt>
                <c:pt idx="263">
                  <c:v>4.0065999999999997</c:v>
                </c:pt>
                <c:pt idx="264">
                  <c:v>4.0218999999999996</c:v>
                </c:pt>
                <c:pt idx="265">
                  <c:v>4.0370999999999997</c:v>
                </c:pt>
                <c:pt idx="266">
                  <c:v>4.0522999999999998</c:v>
                </c:pt>
                <c:pt idx="267">
                  <c:v>4.0675999999999997</c:v>
                </c:pt>
                <c:pt idx="268">
                  <c:v>4.0827999999999998</c:v>
                </c:pt>
                <c:pt idx="269">
                  <c:v>4.0979999999999999</c:v>
                </c:pt>
                <c:pt idx="270">
                  <c:v>4.1132999999999997</c:v>
                </c:pt>
                <c:pt idx="271">
                  <c:v>4.1284999999999998</c:v>
                </c:pt>
                <c:pt idx="272">
                  <c:v>4.1436999999999999</c:v>
                </c:pt>
                <c:pt idx="273">
                  <c:v>4.1589999999999998</c:v>
                </c:pt>
                <c:pt idx="274">
                  <c:v>4.1741999999999999</c:v>
                </c:pt>
                <c:pt idx="275">
                  <c:v>4.1894</c:v>
                </c:pt>
                <c:pt idx="276">
                  <c:v>4.2046999999999999</c:v>
                </c:pt>
                <c:pt idx="277">
                  <c:v>4.2199</c:v>
                </c:pt>
                <c:pt idx="278">
                  <c:v>4.2351000000000001</c:v>
                </c:pt>
                <c:pt idx="279">
                  <c:v>4.2504</c:v>
                </c:pt>
                <c:pt idx="280">
                  <c:v>4.2656000000000001</c:v>
                </c:pt>
                <c:pt idx="281">
                  <c:v>4.2808000000000002</c:v>
                </c:pt>
                <c:pt idx="282">
                  <c:v>4.2961</c:v>
                </c:pt>
                <c:pt idx="283">
                  <c:v>4.3113000000000001</c:v>
                </c:pt>
                <c:pt idx="284">
                  <c:v>4.3265000000000002</c:v>
                </c:pt>
                <c:pt idx="285">
                  <c:v>4.3418000000000001</c:v>
                </c:pt>
                <c:pt idx="286">
                  <c:v>4.3570000000000002</c:v>
                </c:pt>
                <c:pt idx="287">
                  <c:v>4.3722000000000003</c:v>
                </c:pt>
                <c:pt idx="288">
                  <c:v>4.3875000000000002</c:v>
                </c:pt>
                <c:pt idx="289">
                  <c:v>4.4027000000000003</c:v>
                </c:pt>
                <c:pt idx="290">
                  <c:v>4.4180000000000001</c:v>
                </c:pt>
                <c:pt idx="291">
                  <c:v>4.4332000000000003</c:v>
                </c:pt>
                <c:pt idx="292">
                  <c:v>4.4484000000000004</c:v>
                </c:pt>
                <c:pt idx="293">
                  <c:v>4.4637000000000002</c:v>
                </c:pt>
                <c:pt idx="294">
                  <c:v>4.4789000000000003</c:v>
                </c:pt>
                <c:pt idx="295">
                  <c:v>4.4941000000000004</c:v>
                </c:pt>
                <c:pt idx="296">
                  <c:v>4.5094000000000003</c:v>
                </c:pt>
                <c:pt idx="297">
                  <c:v>4.5246000000000004</c:v>
                </c:pt>
                <c:pt idx="298">
                  <c:v>4.5397999999999996</c:v>
                </c:pt>
                <c:pt idx="299">
                  <c:v>4.5551000000000004</c:v>
                </c:pt>
                <c:pt idx="300">
                  <c:v>4.5702999999999996</c:v>
                </c:pt>
                <c:pt idx="301">
                  <c:v>4.5854999999999997</c:v>
                </c:pt>
                <c:pt idx="302">
                  <c:v>4.6007999999999996</c:v>
                </c:pt>
                <c:pt idx="303">
                  <c:v>4.6159999999999997</c:v>
                </c:pt>
                <c:pt idx="304">
                  <c:v>4.6311999999999998</c:v>
                </c:pt>
                <c:pt idx="305">
                  <c:v>4.6464999999999996</c:v>
                </c:pt>
                <c:pt idx="306">
                  <c:v>4.6616999999999997</c:v>
                </c:pt>
                <c:pt idx="307">
                  <c:v>4.6768999999999998</c:v>
                </c:pt>
                <c:pt idx="308">
                  <c:v>4.6921999999999997</c:v>
                </c:pt>
                <c:pt idx="309">
                  <c:v>4.7073999999999998</c:v>
                </c:pt>
                <c:pt idx="310">
                  <c:v>4.7225999999999999</c:v>
                </c:pt>
                <c:pt idx="311">
                  <c:v>4.7378999999999998</c:v>
                </c:pt>
                <c:pt idx="312">
                  <c:v>4.7530999999999999</c:v>
                </c:pt>
                <c:pt idx="313">
                  <c:v>4.7683</c:v>
                </c:pt>
                <c:pt idx="314">
                  <c:v>4.7835999999999999</c:v>
                </c:pt>
                <c:pt idx="315">
                  <c:v>4.7988</c:v>
                </c:pt>
                <c:pt idx="316">
                  <c:v>4.8140000000000001</c:v>
                </c:pt>
                <c:pt idx="317">
                  <c:v>4.8292999999999999</c:v>
                </c:pt>
                <c:pt idx="318">
                  <c:v>4.8445</c:v>
                </c:pt>
                <c:pt idx="319">
                  <c:v>4.8597000000000001</c:v>
                </c:pt>
                <c:pt idx="320">
                  <c:v>4.875</c:v>
                </c:pt>
                <c:pt idx="321">
                  <c:v>4.8902000000000001</c:v>
                </c:pt>
                <c:pt idx="322">
                  <c:v>4.9055</c:v>
                </c:pt>
                <c:pt idx="323">
                  <c:v>4.9207000000000001</c:v>
                </c:pt>
                <c:pt idx="324">
                  <c:v>4.9359000000000002</c:v>
                </c:pt>
                <c:pt idx="325">
                  <c:v>4.9512</c:v>
                </c:pt>
                <c:pt idx="326">
                  <c:v>4.9664000000000001</c:v>
                </c:pt>
                <c:pt idx="327">
                  <c:v>4.9816000000000003</c:v>
                </c:pt>
                <c:pt idx="328">
                  <c:v>4.9969000000000001</c:v>
                </c:pt>
                <c:pt idx="329">
                  <c:v>5.0121000000000002</c:v>
                </c:pt>
                <c:pt idx="330">
                  <c:v>5.0273000000000003</c:v>
                </c:pt>
                <c:pt idx="331">
                  <c:v>5.0426000000000002</c:v>
                </c:pt>
                <c:pt idx="332">
                  <c:v>5.0578000000000003</c:v>
                </c:pt>
                <c:pt idx="333">
                  <c:v>5.0730000000000004</c:v>
                </c:pt>
                <c:pt idx="334">
                  <c:v>5.0883000000000003</c:v>
                </c:pt>
                <c:pt idx="335">
                  <c:v>5.1035000000000004</c:v>
                </c:pt>
                <c:pt idx="336">
                  <c:v>5.1186999999999996</c:v>
                </c:pt>
                <c:pt idx="337">
                  <c:v>5.1340000000000003</c:v>
                </c:pt>
                <c:pt idx="338">
                  <c:v>5.1492000000000004</c:v>
                </c:pt>
                <c:pt idx="339">
                  <c:v>5.1643999999999997</c:v>
                </c:pt>
                <c:pt idx="340">
                  <c:v>5.1797000000000004</c:v>
                </c:pt>
                <c:pt idx="341">
                  <c:v>5.1948999999999996</c:v>
                </c:pt>
                <c:pt idx="342">
                  <c:v>5.2100999999999997</c:v>
                </c:pt>
                <c:pt idx="343">
                  <c:v>5.2253999999999996</c:v>
                </c:pt>
                <c:pt idx="344">
                  <c:v>5.2405999999999997</c:v>
                </c:pt>
                <c:pt idx="345">
                  <c:v>5.2557999999999998</c:v>
                </c:pt>
                <c:pt idx="346">
                  <c:v>5.2710999999999997</c:v>
                </c:pt>
                <c:pt idx="347">
                  <c:v>5.2862999999999998</c:v>
                </c:pt>
                <c:pt idx="348">
                  <c:v>5.3014999999999999</c:v>
                </c:pt>
                <c:pt idx="349">
                  <c:v>5.3167999999999997</c:v>
                </c:pt>
                <c:pt idx="350">
                  <c:v>5.3319999999999999</c:v>
                </c:pt>
                <c:pt idx="351">
                  <c:v>5.3472</c:v>
                </c:pt>
                <c:pt idx="352">
                  <c:v>5.3624999999999998</c:v>
                </c:pt>
                <c:pt idx="353">
                  <c:v>5.3776999999999999</c:v>
                </c:pt>
                <c:pt idx="354">
                  <c:v>5.3929</c:v>
                </c:pt>
                <c:pt idx="355">
                  <c:v>5.4081999999999999</c:v>
                </c:pt>
                <c:pt idx="356">
                  <c:v>5.4234</c:v>
                </c:pt>
                <c:pt idx="357">
                  <c:v>5.4386999999999999</c:v>
                </c:pt>
                <c:pt idx="358">
                  <c:v>5.4539</c:v>
                </c:pt>
                <c:pt idx="359">
                  <c:v>5.4691000000000001</c:v>
                </c:pt>
                <c:pt idx="360">
                  <c:v>5.4843999999999999</c:v>
                </c:pt>
                <c:pt idx="361">
                  <c:v>5.4996</c:v>
                </c:pt>
                <c:pt idx="362">
                  <c:v>5.5148000000000001</c:v>
                </c:pt>
                <c:pt idx="363">
                  <c:v>5.5301</c:v>
                </c:pt>
                <c:pt idx="364">
                  <c:v>5.5453000000000001</c:v>
                </c:pt>
                <c:pt idx="365">
                  <c:v>5.5605000000000002</c:v>
                </c:pt>
                <c:pt idx="366">
                  <c:v>5.5758000000000001</c:v>
                </c:pt>
                <c:pt idx="367">
                  <c:v>5.5910000000000002</c:v>
                </c:pt>
                <c:pt idx="368">
                  <c:v>5.6062000000000003</c:v>
                </c:pt>
                <c:pt idx="369">
                  <c:v>5.6215000000000002</c:v>
                </c:pt>
                <c:pt idx="370">
                  <c:v>5.6367000000000003</c:v>
                </c:pt>
                <c:pt idx="371">
                  <c:v>5.6519000000000004</c:v>
                </c:pt>
                <c:pt idx="372">
                  <c:v>5.6672000000000002</c:v>
                </c:pt>
                <c:pt idx="373">
                  <c:v>5.6824000000000003</c:v>
                </c:pt>
                <c:pt idx="374">
                  <c:v>5.6976000000000004</c:v>
                </c:pt>
                <c:pt idx="375">
                  <c:v>5.7129000000000003</c:v>
                </c:pt>
                <c:pt idx="376">
                  <c:v>5.7281000000000004</c:v>
                </c:pt>
                <c:pt idx="377">
                  <c:v>5.7432999999999996</c:v>
                </c:pt>
                <c:pt idx="378">
                  <c:v>5.7586000000000004</c:v>
                </c:pt>
                <c:pt idx="379">
                  <c:v>5.7737999999999996</c:v>
                </c:pt>
                <c:pt idx="380">
                  <c:v>5.7889999999999997</c:v>
                </c:pt>
                <c:pt idx="381">
                  <c:v>5.8042999999999996</c:v>
                </c:pt>
                <c:pt idx="382">
                  <c:v>5.8194999999999997</c:v>
                </c:pt>
                <c:pt idx="383">
                  <c:v>5.8346999999999998</c:v>
                </c:pt>
                <c:pt idx="384">
                  <c:v>5.85</c:v>
                </c:pt>
                <c:pt idx="385">
                  <c:v>5.8651999999999997</c:v>
                </c:pt>
                <c:pt idx="386">
                  <c:v>5.8803999999999998</c:v>
                </c:pt>
                <c:pt idx="387">
                  <c:v>5.8956999999999997</c:v>
                </c:pt>
                <c:pt idx="388">
                  <c:v>5.9108999999999998</c:v>
                </c:pt>
                <c:pt idx="389">
                  <c:v>5.9260999999999999</c:v>
                </c:pt>
                <c:pt idx="390">
                  <c:v>5.9413999999999998</c:v>
                </c:pt>
                <c:pt idx="391">
                  <c:v>5.9565999999999999</c:v>
                </c:pt>
                <c:pt idx="392">
                  <c:v>5.9718999999999998</c:v>
                </c:pt>
                <c:pt idx="393">
                  <c:v>5.9870999999999999</c:v>
                </c:pt>
                <c:pt idx="394">
                  <c:v>6.0023</c:v>
                </c:pt>
                <c:pt idx="395">
                  <c:v>6.0175999999999998</c:v>
                </c:pt>
                <c:pt idx="396">
                  <c:v>6.0327999999999999</c:v>
                </c:pt>
                <c:pt idx="397">
                  <c:v>6.048</c:v>
                </c:pt>
                <c:pt idx="398">
                  <c:v>6.0632999999999999</c:v>
                </c:pt>
                <c:pt idx="399">
                  <c:v>6.0785</c:v>
                </c:pt>
                <c:pt idx="400">
                  <c:v>6.0937000000000001</c:v>
                </c:pt>
                <c:pt idx="401">
                  <c:v>6.109</c:v>
                </c:pt>
                <c:pt idx="402">
                  <c:v>6.1242000000000001</c:v>
                </c:pt>
                <c:pt idx="403">
                  <c:v>6.1394000000000002</c:v>
                </c:pt>
                <c:pt idx="404">
                  <c:v>6.1547000000000001</c:v>
                </c:pt>
                <c:pt idx="405">
                  <c:v>6.1699000000000002</c:v>
                </c:pt>
                <c:pt idx="406">
                  <c:v>6.1851000000000003</c:v>
                </c:pt>
                <c:pt idx="407">
                  <c:v>6.2004000000000001</c:v>
                </c:pt>
                <c:pt idx="408">
                  <c:v>6.2156000000000002</c:v>
                </c:pt>
                <c:pt idx="409">
                  <c:v>6.2308000000000003</c:v>
                </c:pt>
                <c:pt idx="410">
                  <c:v>6.2461000000000002</c:v>
                </c:pt>
                <c:pt idx="411">
                  <c:v>6.2613000000000003</c:v>
                </c:pt>
                <c:pt idx="412">
                  <c:v>6.2765000000000004</c:v>
                </c:pt>
                <c:pt idx="413">
                  <c:v>6.2918000000000003</c:v>
                </c:pt>
                <c:pt idx="414">
                  <c:v>6.3070000000000004</c:v>
                </c:pt>
                <c:pt idx="415">
                  <c:v>6.3221999999999996</c:v>
                </c:pt>
                <c:pt idx="416">
                  <c:v>6.3375000000000004</c:v>
                </c:pt>
                <c:pt idx="417">
                  <c:v>6.3526999999999996</c:v>
                </c:pt>
                <c:pt idx="418">
                  <c:v>6.3678999999999997</c:v>
                </c:pt>
                <c:pt idx="419">
                  <c:v>6.3832000000000004</c:v>
                </c:pt>
                <c:pt idx="420">
                  <c:v>6.3983999999999996</c:v>
                </c:pt>
                <c:pt idx="421">
                  <c:v>6.4135999999999997</c:v>
                </c:pt>
                <c:pt idx="422">
                  <c:v>6.4288999999999996</c:v>
                </c:pt>
                <c:pt idx="423">
                  <c:v>6.4440999999999997</c:v>
                </c:pt>
                <c:pt idx="424">
                  <c:v>6.4593999999999996</c:v>
                </c:pt>
                <c:pt idx="425">
                  <c:v>6.4745999999999997</c:v>
                </c:pt>
                <c:pt idx="426">
                  <c:v>6.4897999999999998</c:v>
                </c:pt>
                <c:pt idx="427">
                  <c:v>6.5050999999999997</c:v>
                </c:pt>
                <c:pt idx="428">
                  <c:v>6.5202999999999998</c:v>
                </c:pt>
                <c:pt idx="429">
                  <c:v>6.5354999999999999</c:v>
                </c:pt>
                <c:pt idx="430">
                  <c:v>6.5507999999999997</c:v>
                </c:pt>
                <c:pt idx="431">
                  <c:v>6.5659999999999998</c:v>
                </c:pt>
                <c:pt idx="432">
                  <c:v>6.5811999999999999</c:v>
                </c:pt>
                <c:pt idx="433">
                  <c:v>6.5964999999999998</c:v>
                </c:pt>
                <c:pt idx="434">
                  <c:v>6.6116999999999999</c:v>
                </c:pt>
                <c:pt idx="435">
                  <c:v>6.6269</c:v>
                </c:pt>
                <c:pt idx="436">
                  <c:v>6.6421999999999999</c:v>
                </c:pt>
                <c:pt idx="437">
                  <c:v>6.6574</c:v>
                </c:pt>
                <c:pt idx="438">
                  <c:v>6.6726000000000001</c:v>
                </c:pt>
                <c:pt idx="439">
                  <c:v>6.6879</c:v>
                </c:pt>
                <c:pt idx="440">
                  <c:v>6.7031000000000001</c:v>
                </c:pt>
                <c:pt idx="441">
                  <c:v>6.7183000000000002</c:v>
                </c:pt>
                <c:pt idx="442">
                  <c:v>6.7336</c:v>
                </c:pt>
                <c:pt idx="443">
                  <c:v>6.7488000000000001</c:v>
                </c:pt>
                <c:pt idx="444">
                  <c:v>6.7640000000000002</c:v>
                </c:pt>
                <c:pt idx="445">
                  <c:v>6.7793000000000001</c:v>
                </c:pt>
                <c:pt idx="446">
                  <c:v>6.7945000000000002</c:v>
                </c:pt>
                <c:pt idx="447">
                  <c:v>6.8097000000000003</c:v>
                </c:pt>
                <c:pt idx="448">
                  <c:v>6.8250000000000002</c:v>
                </c:pt>
                <c:pt idx="449">
                  <c:v>6.8402000000000003</c:v>
                </c:pt>
                <c:pt idx="450">
                  <c:v>6.8554000000000004</c:v>
                </c:pt>
                <c:pt idx="451">
                  <c:v>6.8707000000000003</c:v>
                </c:pt>
                <c:pt idx="452">
                  <c:v>6.8859000000000004</c:v>
                </c:pt>
                <c:pt idx="453">
                  <c:v>6.9010999999999996</c:v>
                </c:pt>
                <c:pt idx="454">
                  <c:v>6.9164000000000003</c:v>
                </c:pt>
                <c:pt idx="455">
                  <c:v>6.9316000000000004</c:v>
                </c:pt>
                <c:pt idx="456">
                  <c:v>6.9467999999999996</c:v>
                </c:pt>
                <c:pt idx="457">
                  <c:v>6.9621000000000004</c:v>
                </c:pt>
                <c:pt idx="458">
                  <c:v>6.9772999999999996</c:v>
                </c:pt>
                <c:pt idx="459">
                  <c:v>6.9926000000000004</c:v>
                </c:pt>
                <c:pt idx="460">
                  <c:v>7.0077999999999996</c:v>
                </c:pt>
                <c:pt idx="461">
                  <c:v>7.0229999999999997</c:v>
                </c:pt>
                <c:pt idx="462">
                  <c:v>7.0382999999999996</c:v>
                </c:pt>
                <c:pt idx="463">
                  <c:v>7.0534999999999997</c:v>
                </c:pt>
                <c:pt idx="464">
                  <c:v>7.0686999999999998</c:v>
                </c:pt>
                <c:pt idx="465">
                  <c:v>7.0839999999999996</c:v>
                </c:pt>
                <c:pt idx="466">
                  <c:v>7.0991999999999997</c:v>
                </c:pt>
                <c:pt idx="467">
                  <c:v>7.1143999999999998</c:v>
                </c:pt>
                <c:pt idx="468">
                  <c:v>7.1296999999999997</c:v>
                </c:pt>
                <c:pt idx="469">
                  <c:v>7.1448999999999998</c:v>
                </c:pt>
                <c:pt idx="470">
                  <c:v>7.1600999999999999</c:v>
                </c:pt>
                <c:pt idx="471">
                  <c:v>7.1753999999999998</c:v>
                </c:pt>
                <c:pt idx="472">
                  <c:v>7.1905999999999999</c:v>
                </c:pt>
                <c:pt idx="473">
                  <c:v>7.2058</c:v>
                </c:pt>
                <c:pt idx="474">
                  <c:v>7.2210999999999999</c:v>
                </c:pt>
                <c:pt idx="475">
                  <c:v>7.2363</c:v>
                </c:pt>
                <c:pt idx="476">
                  <c:v>7.2515000000000001</c:v>
                </c:pt>
                <c:pt idx="477">
                  <c:v>7.2667999999999999</c:v>
                </c:pt>
                <c:pt idx="478">
                  <c:v>7.282</c:v>
                </c:pt>
                <c:pt idx="479">
                  <c:v>7.2972000000000001</c:v>
                </c:pt>
                <c:pt idx="480">
                  <c:v>7.3125</c:v>
                </c:pt>
                <c:pt idx="481">
                  <c:v>7.3277000000000001</c:v>
                </c:pt>
                <c:pt idx="482">
                  <c:v>7.3429000000000002</c:v>
                </c:pt>
                <c:pt idx="483">
                  <c:v>7.3582000000000001</c:v>
                </c:pt>
                <c:pt idx="484">
                  <c:v>7.3734000000000002</c:v>
                </c:pt>
                <c:pt idx="485">
                  <c:v>7.3886000000000003</c:v>
                </c:pt>
                <c:pt idx="486">
                  <c:v>7.4039000000000001</c:v>
                </c:pt>
                <c:pt idx="487">
                  <c:v>7.4191000000000003</c:v>
                </c:pt>
                <c:pt idx="488">
                  <c:v>7.4343000000000004</c:v>
                </c:pt>
                <c:pt idx="489">
                  <c:v>7.4496000000000002</c:v>
                </c:pt>
                <c:pt idx="490">
                  <c:v>7.4648000000000003</c:v>
                </c:pt>
                <c:pt idx="491">
                  <c:v>7.4801000000000002</c:v>
                </c:pt>
                <c:pt idx="492">
                  <c:v>7.4953000000000003</c:v>
                </c:pt>
                <c:pt idx="493">
                  <c:v>7.5105000000000004</c:v>
                </c:pt>
                <c:pt idx="494">
                  <c:v>7.5258000000000003</c:v>
                </c:pt>
                <c:pt idx="495">
                  <c:v>7.5410000000000004</c:v>
                </c:pt>
                <c:pt idx="496">
                  <c:v>7.5561999999999996</c:v>
                </c:pt>
                <c:pt idx="497">
                  <c:v>7.5715000000000003</c:v>
                </c:pt>
                <c:pt idx="498">
                  <c:v>7.5867000000000004</c:v>
                </c:pt>
                <c:pt idx="499">
                  <c:v>7.6018999999999997</c:v>
                </c:pt>
                <c:pt idx="500">
                  <c:v>7.6172000000000004</c:v>
                </c:pt>
                <c:pt idx="501">
                  <c:v>7.6323999999999996</c:v>
                </c:pt>
                <c:pt idx="502">
                  <c:v>7.6475999999999997</c:v>
                </c:pt>
                <c:pt idx="503">
                  <c:v>7.6628999999999996</c:v>
                </c:pt>
                <c:pt idx="504">
                  <c:v>7.6780999999999997</c:v>
                </c:pt>
                <c:pt idx="505">
                  <c:v>7.6932999999999998</c:v>
                </c:pt>
                <c:pt idx="506">
                  <c:v>7.7085999999999997</c:v>
                </c:pt>
                <c:pt idx="507">
                  <c:v>7.7237999999999998</c:v>
                </c:pt>
                <c:pt idx="508">
                  <c:v>7.7389999999999999</c:v>
                </c:pt>
                <c:pt idx="509">
                  <c:v>7.7542999999999997</c:v>
                </c:pt>
                <c:pt idx="510">
                  <c:v>7.7694999999999999</c:v>
                </c:pt>
                <c:pt idx="511">
                  <c:v>7.7847</c:v>
                </c:pt>
                <c:pt idx="512">
                  <c:v>7.8</c:v>
                </c:pt>
                <c:pt idx="513">
                  <c:v>7.8151999999999999</c:v>
                </c:pt>
                <c:pt idx="514">
                  <c:v>7.8304</c:v>
                </c:pt>
                <c:pt idx="515">
                  <c:v>7.8456999999999999</c:v>
                </c:pt>
                <c:pt idx="516">
                  <c:v>7.8609</c:v>
                </c:pt>
                <c:pt idx="517">
                  <c:v>7.8761000000000001</c:v>
                </c:pt>
                <c:pt idx="518">
                  <c:v>7.8914</c:v>
                </c:pt>
                <c:pt idx="519">
                  <c:v>7.9066000000000001</c:v>
                </c:pt>
                <c:pt idx="520">
                  <c:v>7.9218000000000002</c:v>
                </c:pt>
                <c:pt idx="521">
                  <c:v>7.9371</c:v>
                </c:pt>
                <c:pt idx="522">
                  <c:v>7.9523000000000001</c:v>
                </c:pt>
                <c:pt idx="523">
                  <c:v>7.9675000000000002</c:v>
                </c:pt>
                <c:pt idx="524">
                  <c:v>7.9828000000000001</c:v>
                </c:pt>
                <c:pt idx="525">
                  <c:v>7.9980000000000002</c:v>
                </c:pt>
                <c:pt idx="526">
                  <c:v>8.0132999999999992</c:v>
                </c:pt>
                <c:pt idx="527">
                  <c:v>8.0284999999999993</c:v>
                </c:pt>
                <c:pt idx="528">
                  <c:v>8.0436999999999994</c:v>
                </c:pt>
                <c:pt idx="529">
                  <c:v>8.0589999999999993</c:v>
                </c:pt>
                <c:pt idx="530">
                  <c:v>8.0741999999999994</c:v>
                </c:pt>
                <c:pt idx="531">
                  <c:v>8.0893999999999995</c:v>
                </c:pt>
                <c:pt idx="532">
                  <c:v>8.1046999999999993</c:v>
                </c:pt>
                <c:pt idx="533">
                  <c:v>8.1198999999999995</c:v>
                </c:pt>
                <c:pt idx="534">
                  <c:v>8.1350999999999996</c:v>
                </c:pt>
                <c:pt idx="535">
                  <c:v>8.1503999999999994</c:v>
                </c:pt>
                <c:pt idx="536">
                  <c:v>8.1655999999999995</c:v>
                </c:pt>
                <c:pt idx="537">
                  <c:v>8.1807999999999996</c:v>
                </c:pt>
                <c:pt idx="538">
                  <c:v>8.1960999999999995</c:v>
                </c:pt>
                <c:pt idx="539">
                  <c:v>8.2112999999999996</c:v>
                </c:pt>
                <c:pt idx="540">
                  <c:v>8.2264999999999997</c:v>
                </c:pt>
                <c:pt idx="541">
                  <c:v>8.2417999999999996</c:v>
                </c:pt>
                <c:pt idx="542">
                  <c:v>8.2569999999999997</c:v>
                </c:pt>
                <c:pt idx="543">
                  <c:v>8.2721999999999998</c:v>
                </c:pt>
                <c:pt idx="544">
                  <c:v>8.2874999999999996</c:v>
                </c:pt>
                <c:pt idx="545">
                  <c:v>8.3026999999999997</c:v>
                </c:pt>
                <c:pt idx="546">
                  <c:v>8.3178999999999998</c:v>
                </c:pt>
                <c:pt idx="547">
                  <c:v>8.3331999999999997</c:v>
                </c:pt>
                <c:pt idx="548">
                  <c:v>8.3483999999999998</c:v>
                </c:pt>
                <c:pt idx="549">
                  <c:v>8.3635999999999999</c:v>
                </c:pt>
                <c:pt idx="550">
                  <c:v>8.3788999999999998</c:v>
                </c:pt>
                <c:pt idx="551">
                  <c:v>8.3940999999999999</c:v>
                </c:pt>
                <c:pt idx="552">
                  <c:v>8.4093</c:v>
                </c:pt>
                <c:pt idx="553">
                  <c:v>8.4245999999999999</c:v>
                </c:pt>
                <c:pt idx="554">
                  <c:v>8.4398</c:v>
                </c:pt>
                <c:pt idx="555">
                  <c:v>8.4550000000000001</c:v>
                </c:pt>
                <c:pt idx="556">
                  <c:v>8.4702999999999999</c:v>
                </c:pt>
                <c:pt idx="557">
                  <c:v>8.4855</c:v>
                </c:pt>
                <c:pt idx="558">
                  <c:v>8.5007000000000001</c:v>
                </c:pt>
                <c:pt idx="559">
                  <c:v>8.516</c:v>
                </c:pt>
                <c:pt idx="560">
                  <c:v>8.5312000000000001</c:v>
                </c:pt>
                <c:pt idx="561">
                  <c:v>8.5465</c:v>
                </c:pt>
                <c:pt idx="562">
                  <c:v>8.5617000000000001</c:v>
                </c:pt>
                <c:pt idx="563">
                  <c:v>8.5769000000000002</c:v>
                </c:pt>
                <c:pt idx="564">
                  <c:v>8.5922000000000001</c:v>
                </c:pt>
                <c:pt idx="565">
                  <c:v>8.6074000000000002</c:v>
                </c:pt>
                <c:pt idx="566">
                  <c:v>8.6226000000000003</c:v>
                </c:pt>
                <c:pt idx="567">
                  <c:v>8.6379000000000001</c:v>
                </c:pt>
                <c:pt idx="568">
                  <c:v>8.6531000000000002</c:v>
                </c:pt>
                <c:pt idx="569">
                  <c:v>8.6683000000000003</c:v>
                </c:pt>
                <c:pt idx="570">
                  <c:v>8.6836000000000002</c:v>
                </c:pt>
                <c:pt idx="571">
                  <c:v>8.6988000000000003</c:v>
                </c:pt>
                <c:pt idx="572">
                  <c:v>8.7140000000000004</c:v>
                </c:pt>
                <c:pt idx="573">
                  <c:v>8.7293000000000003</c:v>
                </c:pt>
                <c:pt idx="574">
                  <c:v>8.7445000000000004</c:v>
                </c:pt>
                <c:pt idx="575">
                  <c:v>8.7597000000000005</c:v>
                </c:pt>
                <c:pt idx="576">
                  <c:v>8.7750000000000004</c:v>
                </c:pt>
                <c:pt idx="577">
                  <c:v>8.7902000000000005</c:v>
                </c:pt>
                <c:pt idx="578">
                  <c:v>8.8054000000000006</c:v>
                </c:pt>
                <c:pt idx="579">
                  <c:v>8.8207000000000004</c:v>
                </c:pt>
                <c:pt idx="580">
                  <c:v>8.8359000000000005</c:v>
                </c:pt>
                <c:pt idx="581">
                  <c:v>8.8511000000000006</c:v>
                </c:pt>
                <c:pt idx="582">
                  <c:v>8.8664000000000005</c:v>
                </c:pt>
                <c:pt idx="583">
                  <c:v>8.8816000000000006</c:v>
                </c:pt>
                <c:pt idx="584">
                  <c:v>8.8968000000000007</c:v>
                </c:pt>
                <c:pt idx="585">
                  <c:v>8.9121000000000006</c:v>
                </c:pt>
                <c:pt idx="586">
                  <c:v>8.9273000000000007</c:v>
                </c:pt>
                <c:pt idx="587">
                  <c:v>8.9425000000000008</c:v>
                </c:pt>
                <c:pt idx="588">
                  <c:v>8.9578000000000007</c:v>
                </c:pt>
                <c:pt idx="589">
                  <c:v>8.9730000000000008</c:v>
                </c:pt>
                <c:pt idx="590">
                  <c:v>8.9882000000000009</c:v>
                </c:pt>
                <c:pt idx="591">
                  <c:v>9.0035000000000007</c:v>
                </c:pt>
                <c:pt idx="592">
                  <c:v>9.0187000000000008</c:v>
                </c:pt>
                <c:pt idx="593">
                  <c:v>9.0340000000000007</c:v>
                </c:pt>
                <c:pt idx="594">
                  <c:v>9.0492000000000008</c:v>
                </c:pt>
                <c:pt idx="595">
                  <c:v>9.0643999999999991</c:v>
                </c:pt>
                <c:pt idx="596">
                  <c:v>9.0797000000000008</c:v>
                </c:pt>
                <c:pt idx="597">
                  <c:v>9.0949000000000009</c:v>
                </c:pt>
                <c:pt idx="598">
                  <c:v>9.1100999999999992</c:v>
                </c:pt>
                <c:pt idx="599">
                  <c:v>9.1254000000000008</c:v>
                </c:pt>
                <c:pt idx="600">
                  <c:v>9.1405999999999992</c:v>
                </c:pt>
                <c:pt idx="601">
                  <c:v>9.1557999999999993</c:v>
                </c:pt>
                <c:pt idx="602">
                  <c:v>9.1710999999999991</c:v>
                </c:pt>
                <c:pt idx="603">
                  <c:v>9.1862999999999992</c:v>
                </c:pt>
                <c:pt idx="604">
                  <c:v>9.2014999999999993</c:v>
                </c:pt>
                <c:pt idx="605">
                  <c:v>9.2167999999999992</c:v>
                </c:pt>
                <c:pt idx="606">
                  <c:v>9.2319999999999993</c:v>
                </c:pt>
                <c:pt idx="607">
                  <c:v>9.2471999999999994</c:v>
                </c:pt>
                <c:pt idx="608">
                  <c:v>9.2624999999999993</c:v>
                </c:pt>
                <c:pt idx="609">
                  <c:v>9.2776999999999994</c:v>
                </c:pt>
                <c:pt idx="610">
                  <c:v>9.2928999999999995</c:v>
                </c:pt>
                <c:pt idx="611">
                  <c:v>9.3081999999999994</c:v>
                </c:pt>
                <c:pt idx="612">
                  <c:v>9.3233999999999995</c:v>
                </c:pt>
                <c:pt idx="613">
                  <c:v>9.3385999999999996</c:v>
                </c:pt>
                <c:pt idx="614">
                  <c:v>9.3538999999999994</c:v>
                </c:pt>
                <c:pt idx="615">
                  <c:v>9.3690999999999995</c:v>
                </c:pt>
                <c:pt idx="616">
                  <c:v>9.3842999999999996</c:v>
                </c:pt>
                <c:pt idx="617">
                  <c:v>9.3995999999999995</c:v>
                </c:pt>
                <c:pt idx="618">
                  <c:v>9.4147999999999996</c:v>
                </c:pt>
                <c:pt idx="619">
                  <c:v>9.43</c:v>
                </c:pt>
                <c:pt idx="620">
                  <c:v>9.4452999999999996</c:v>
                </c:pt>
                <c:pt idx="621">
                  <c:v>9.4604999999999997</c:v>
                </c:pt>
                <c:pt idx="622">
                  <c:v>9.4756999999999998</c:v>
                </c:pt>
                <c:pt idx="623">
                  <c:v>9.4909999999999997</c:v>
                </c:pt>
                <c:pt idx="624">
                  <c:v>9.5061999999999998</c:v>
                </c:pt>
                <c:pt idx="625">
                  <c:v>9.5213999999999999</c:v>
                </c:pt>
                <c:pt idx="626">
                  <c:v>9.5366999999999997</c:v>
                </c:pt>
                <c:pt idx="627">
                  <c:v>9.5518999999999998</c:v>
                </c:pt>
                <c:pt idx="628">
                  <c:v>9.5671999999999997</c:v>
                </c:pt>
                <c:pt idx="629">
                  <c:v>9.5823999999999998</c:v>
                </c:pt>
                <c:pt idx="630">
                  <c:v>9.5975999999999999</c:v>
                </c:pt>
                <c:pt idx="631">
                  <c:v>9.6128999999999998</c:v>
                </c:pt>
                <c:pt idx="632">
                  <c:v>9.6280999999999999</c:v>
                </c:pt>
                <c:pt idx="633">
                  <c:v>9.6433</c:v>
                </c:pt>
                <c:pt idx="634">
                  <c:v>9.6585999999999999</c:v>
                </c:pt>
                <c:pt idx="635">
                  <c:v>9.6738</c:v>
                </c:pt>
                <c:pt idx="636">
                  <c:v>9.6890000000000001</c:v>
                </c:pt>
                <c:pt idx="637">
                  <c:v>9.7042999999999999</c:v>
                </c:pt>
                <c:pt idx="638">
                  <c:v>9.7195</c:v>
                </c:pt>
                <c:pt idx="639">
                  <c:v>9.7347000000000001</c:v>
                </c:pt>
                <c:pt idx="640">
                  <c:v>9.75</c:v>
                </c:pt>
                <c:pt idx="641">
                  <c:v>9.7652000000000001</c:v>
                </c:pt>
                <c:pt idx="642">
                  <c:v>9.7804000000000002</c:v>
                </c:pt>
                <c:pt idx="643">
                  <c:v>9.7957000000000001</c:v>
                </c:pt>
                <c:pt idx="644">
                  <c:v>9.8109000000000002</c:v>
                </c:pt>
                <c:pt idx="645">
                  <c:v>9.8261000000000003</c:v>
                </c:pt>
                <c:pt idx="646">
                  <c:v>9.8414000000000001</c:v>
                </c:pt>
                <c:pt idx="647">
                  <c:v>9.8566000000000003</c:v>
                </c:pt>
                <c:pt idx="648">
                  <c:v>9.8718000000000004</c:v>
                </c:pt>
                <c:pt idx="649">
                  <c:v>9.8871000000000002</c:v>
                </c:pt>
                <c:pt idx="650">
                  <c:v>9.9023000000000003</c:v>
                </c:pt>
                <c:pt idx="651">
                  <c:v>9.9175000000000004</c:v>
                </c:pt>
                <c:pt idx="652">
                  <c:v>9.9328000000000003</c:v>
                </c:pt>
                <c:pt idx="653">
                  <c:v>9.9480000000000004</c:v>
                </c:pt>
                <c:pt idx="654">
                  <c:v>9.9632000000000005</c:v>
                </c:pt>
                <c:pt idx="655">
                  <c:v>9.9785000000000004</c:v>
                </c:pt>
                <c:pt idx="656">
                  <c:v>9.9937000000000005</c:v>
                </c:pt>
                <c:pt idx="657">
                  <c:v>10.008900000000001</c:v>
                </c:pt>
                <c:pt idx="658">
                  <c:v>10.0242</c:v>
                </c:pt>
                <c:pt idx="659">
                  <c:v>10.039400000000001</c:v>
                </c:pt>
                <c:pt idx="660">
                  <c:v>10.054600000000001</c:v>
                </c:pt>
                <c:pt idx="661">
                  <c:v>10.069900000000001</c:v>
                </c:pt>
                <c:pt idx="662">
                  <c:v>10.085100000000001</c:v>
                </c:pt>
                <c:pt idx="663">
                  <c:v>10.1004</c:v>
                </c:pt>
                <c:pt idx="664">
                  <c:v>10.115600000000001</c:v>
                </c:pt>
                <c:pt idx="665">
                  <c:v>10.130800000000001</c:v>
                </c:pt>
                <c:pt idx="666">
                  <c:v>10.146100000000001</c:v>
                </c:pt>
                <c:pt idx="667">
                  <c:v>10.161300000000001</c:v>
                </c:pt>
                <c:pt idx="668">
                  <c:v>10.176500000000001</c:v>
                </c:pt>
                <c:pt idx="669">
                  <c:v>10.191800000000001</c:v>
                </c:pt>
                <c:pt idx="670">
                  <c:v>10.207000000000001</c:v>
                </c:pt>
                <c:pt idx="671">
                  <c:v>10.222200000000001</c:v>
                </c:pt>
                <c:pt idx="672">
                  <c:v>10.237500000000001</c:v>
                </c:pt>
                <c:pt idx="673">
                  <c:v>10.252700000000001</c:v>
                </c:pt>
                <c:pt idx="674">
                  <c:v>10.267899999999999</c:v>
                </c:pt>
                <c:pt idx="675">
                  <c:v>10.283200000000001</c:v>
                </c:pt>
                <c:pt idx="676">
                  <c:v>10.298400000000001</c:v>
                </c:pt>
                <c:pt idx="677">
                  <c:v>10.313599999999999</c:v>
                </c:pt>
                <c:pt idx="678">
                  <c:v>10.328900000000001</c:v>
                </c:pt>
                <c:pt idx="679">
                  <c:v>10.344099999999999</c:v>
                </c:pt>
                <c:pt idx="680">
                  <c:v>10.359299999999999</c:v>
                </c:pt>
                <c:pt idx="681">
                  <c:v>10.374599999999999</c:v>
                </c:pt>
                <c:pt idx="682">
                  <c:v>10.389799999999999</c:v>
                </c:pt>
                <c:pt idx="683">
                  <c:v>10.404999999999999</c:v>
                </c:pt>
                <c:pt idx="684">
                  <c:v>10.420299999999999</c:v>
                </c:pt>
                <c:pt idx="685">
                  <c:v>10.435499999999999</c:v>
                </c:pt>
                <c:pt idx="686">
                  <c:v>10.450699999999999</c:v>
                </c:pt>
                <c:pt idx="687">
                  <c:v>10.465999999999999</c:v>
                </c:pt>
                <c:pt idx="688">
                  <c:v>10.481199999999999</c:v>
                </c:pt>
                <c:pt idx="689">
                  <c:v>10.4964</c:v>
                </c:pt>
                <c:pt idx="690">
                  <c:v>10.511699999999999</c:v>
                </c:pt>
                <c:pt idx="691">
                  <c:v>10.526899999999999</c:v>
                </c:pt>
                <c:pt idx="692">
                  <c:v>10.5421</c:v>
                </c:pt>
                <c:pt idx="693">
                  <c:v>10.557399999999999</c:v>
                </c:pt>
                <c:pt idx="694">
                  <c:v>10.5726</c:v>
                </c:pt>
                <c:pt idx="695">
                  <c:v>10.587899999999999</c:v>
                </c:pt>
                <c:pt idx="696">
                  <c:v>10.6031</c:v>
                </c:pt>
                <c:pt idx="697">
                  <c:v>10.6183</c:v>
                </c:pt>
                <c:pt idx="698">
                  <c:v>10.633599999999999</c:v>
                </c:pt>
                <c:pt idx="699">
                  <c:v>10.6488</c:v>
                </c:pt>
                <c:pt idx="700">
                  <c:v>10.664</c:v>
                </c:pt>
                <c:pt idx="701">
                  <c:v>10.6793</c:v>
                </c:pt>
                <c:pt idx="702">
                  <c:v>10.6945</c:v>
                </c:pt>
                <c:pt idx="703">
                  <c:v>10.7097</c:v>
                </c:pt>
                <c:pt idx="704">
                  <c:v>10.725</c:v>
                </c:pt>
                <c:pt idx="705">
                  <c:v>10.7402</c:v>
                </c:pt>
                <c:pt idx="706">
                  <c:v>10.7554</c:v>
                </c:pt>
                <c:pt idx="707">
                  <c:v>10.7707</c:v>
                </c:pt>
                <c:pt idx="708">
                  <c:v>10.7859</c:v>
                </c:pt>
                <c:pt idx="709">
                  <c:v>10.8011</c:v>
                </c:pt>
                <c:pt idx="710">
                  <c:v>10.8164</c:v>
                </c:pt>
                <c:pt idx="711">
                  <c:v>10.8316</c:v>
                </c:pt>
                <c:pt idx="712">
                  <c:v>10.8468</c:v>
                </c:pt>
                <c:pt idx="713">
                  <c:v>10.8621</c:v>
                </c:pt>
                <c:pt idx="714">
                  <c:v>10.8773</c:v>
                </c:pt>
                <c:pt idx="715">
                  <c:v>10.8925</c:v>
                </c:pt>
                <c:pt idx="716">
                  <c:v>10.9078</c:v>
                </c:pt>
                <c:pt idx="717">
                  <c:v>10.923</c:v>
                </c:pt>
                <c:pt idx="718">
                  <c:v>10.9382</c:v>
                </c:pt>
                <c:pt idx="719">
                  <c:v>10.9535</c:v>
                </c:pt>
                <c:pt idx="720">
                  <c:v>10.9687</c:v>
                </c:pt>
                <c:pt idx="721">
                  <c:v>10.9839</c:v>
                </c:pt>
                <c:pt idx="722">
                  <c:v>10.9992</c:v>
                </c:pt>
                <c:pt idx="723">
                  <c:v>11.0144</c:v>
                </c:pt>
                <c:pt idx="724">
                  <c:v>11.0296</c:v>
                </c:pt>
                <c:pt idx="725">
                  <c:v>11.0449</c:v>
                </c:pt>
                <c:pt idx="726">
                  <c:v>11.0601</c:v>
                </c:pt>
                <c:pt idx="727">
                  <c:v>11.0753</c:v>
                </c:pt>
                <c:pt idx="728">
                  <c:v>11.0906</c:v>
                </c:pt>
                <c:pt idx="729">
                  <c:v>11.1058</c:v>
                </c:pt>
                <c:pt idx="730">
                  <c:v>11.1211</c:v>
                </c:pt>
                <c:pt idx="731">
                  <c:v>11.1363</c:v>
                </c:pt>
                <c:pt idx="732">
                  <c:v>11.1515</c:v>
                </c:pt>
                <c:pt idx="733">
                  <c:v>11.1668</c:v>
                </c:pt>
                <c:pt idx="734">
                  <c:v>11.182</c:v>
                </c:pt>
                <c:pt idx="735">
                  <c:v>11.1972</c:v>
                </c:pt>
                <c:pt idx="736">
                  <c:v>11.2125</c:v>
                </c:pt>
                <c:pt idx="737">
                  <c:v>11.2277</c:v>
                </c:pt>
                <c:pt idx="738">
                  <c:v>11.242900000000001</c:v>
                </c:pt>
                <c:pt idx="739">
                  <c:v>11.2582</c:v>
                </c:pt>
                <c:pt idx="740">
                  <c:v>11.273400000000001</c:v>
                </c:pt>
                <c:pt idx="741">
                  <c:v>11.288600000000001</c:v>
                </c:pt>
                <c:pt idx="742">
                  <c:v>11.303900000000001</c:v>
                </c:pt>
                <c:pt idx="743">
                  <c:v>11.319100000000001</c:v>
                </c:pt>
                <c:pt idx="744">
                  <c:v>11.334300000000001</c:v>
                </c:pt>
                <c:pt idx="745">
                  <c:v>11.349600000000001</c:v>
                </c:pt>
                <c:pt idx="746">
                  <c:v>11.364800000000001</c:v>
                </c:pt>
                <c:pt idx="747">
                  <c:v>11.38</c:v>
                </c:pt>
                <c:pt idx="748">
                  <c:v>11.395300000000001</c:v>
                </c:pt>
                <c:pt idx="749">
                  <c:v>11.410500000000001</c:v>
                </c:pt>
                <c:pt idx="750">
                  <c:v>11.425700000000001</c:v>
                </c:pt>
                <c:pt idx="751">
                  <c:v>11.441000000000001</c:v>
                </c:pt>
                <c:pt idx="752">
                  <c:v>11.456200000000001</c:v>
                </c:pt>
                <c:pt idx="753">
                  <c:v>11.471399999999999</c:v>
                </c:pt>
                <c:pt idx="754">
                  <c:v>11.486700000000001</c:v>
                </c:pt>
                <c:pt idx="755">
                  <c:v>11.501899999999999</c:v>
                </c:pt>
                <c:pt idx="756">
                  <c:v>11.517099999999999</c:v>
                </c:pt>
                <c:pt idx="757">
                  <c:v>11.532400000000001</c:v>
                </c:pt>
                <c:pt idx="758">
                  <c:v>11.547599999999999</c:v>
                </c:pt>
                <c:pt idx="759">
                  <c:v>11.562799999999999</c:v>
                </c:pt>
                <c:pt idx="760">
                  <c:v>11.578099999999999</c:v>
                </c:pt>
                <c:pt idx="761">
                  <c:v>11.593299999999999</c:v>
                </c:pt>
                <c:pt idx="762">
                  <c:v>11.608599999999999</c:v>
                </c:pt>
                <c:pt idx="763">
                  <c:v>11.623799999999999</c:v>
                </c:pt>
                <c:pt idx="764">
                  <c:v>11.638999999999999</c:v>
                </c:pt>
                <c:pt idx="765">
                  <c:v>11.654299999999999</c:v>
                </c:pt>
                <c:pt idx="766">
                  <c:v>11.669499999999999</c:v>
                </c:pt>
                <c:pt idx="767">
                  <c:v>11.684699999999999</c:v>
                </c:pt>
                <c:pt idx="768">
                  <c:v>11.7</c:v>
                </c:pt>
                <c:pt idx="769">
                  <c:v>11.715199999999999</c:v>
                </c:pt>
                <c:pt idx="770">
                  <c:v>11.730399999999999</c:v>
                </c:pt>
                <c:pt idx="771">
                  <c:v>11.745699999999999</c:v>
                </c:pt>
                <c:pt idx="772">
                  <c:v>11.760899999999999</c:v>
                </c:pt>
                <c:pt idx="773">
                  <c:v>11.7761</c:v>
                </c:pt>
                <c:pt idx="774">
                  <c:v>11.791399999999999</c:v>
                </c:pt>
                <c:pt idx="775">
                  <c:v>11.8066</c:v>
                </c:pt>
                <c:pt idx="776">
                  <c:v>11.8218</c:v>
                </c:pt>
                <c:pt idx="777">
                  <c:v>11.8371</c:v>
                </c:pt>
                <c:pt idx="778">
                  <c:v>11.8523</c:v>
                </c:pt>
                <c:pt idx="779">
                  <c:v>11.8675</c:v>
                </c:pt>
                <c:pt idx="780">
                  <c:v>11.8828</c:v>
                </c:pt>
                <c:pt idx="781">
                  <c:v>11.898</c:v>
                </c:pt>
                <c:pt idx="782">
                  <c:v>11.9132</c:v>
                </c:pt>
                <c:pt idx="783">
                  <c:v>11.9285</c:v>
                </c:pt>
                <c:pt idx="784">
                  <c:v>11.9437</c:v>
                </c:pt>
                <c:pt idx="785">
                  <c:v>11.9589</c:v>
                </c:pt>
                <c:pt idx="786">
                  <c:v>11.9742</c:v>
                </c:pt>
                <c:pt idx="787">
                  <c:v>11.9894</c:v>
                </c:pt>
                <c:pt idx="788">
                  <c:v>12.0046</c:v>
                </c:pt>
                <c:pt idx="789">
                  <c:v>12.0199</c:v>
                </c:pt>
                <c:pt idx="790">
                  <c:v>12.0351</c:v>
                </c:pt>
                <c:pt idx="791">
                  <c:v>12.0503</c:v>
                </c:pt>
                <c:pt idx="792">
                  <c:v>12.0656</c:v>
                </c:pt>
                <c:pt idx="793">
                  <c:v>12.0808</c:v>
                </c:pt>
                <c:pt idx="794">
                  <c:v>12.096</c:v>
                </c:pt>
                <c:pt idx="795">
                  <c:v>12.1113</c:v>
                </c:pt>
                <c:pt idx="796">
                  <c:v>12.1265</c:v>
                </c:pt>
                <c:pt idx="797">
                  <c:v>12.1418</c:v>
                </c:pt>
                <c:pt idx="798">
                  <c:v>12.157</c:v>
                </c:pt>
                <c:pt idx="799">
                  <c:v>12.1722</c:v>
                </c:pt>
                <c:pt idx="800">
                  <c:v>12.1875</c:v>
                </c:pt>
                <c:pt idx="801">
                  <c:v>12.2027</c:v>
                </c:pt>
                <c:pt idx="802">
                  <c:v>12.2179</c:v>
                </c:pt>
                <c:pt idx="803">
                  <c:v>12.2332</c:v>
                </c:pt>
                <c:pt idx="804">
                  <c:v>12.2484</c:v>
                </c:pt>
                <c:pt idx="805">
                  <c:v>12.2636</c:v>
                </c:pt>
                <c:pt idx="806">
                  <c:v>12.2789</c:v>
                </c:pt>
                <c:pt idx="807">
                  <c:v>12.2941</c:v>
                </c:pt>
                <c:pt idx="808">
                  <c:v>12.3093</c:v>
                </c:pt>
                <c:pt idx="809">
                  <c:v>12.3246</c:v>
                </c:pt>
                <c:pt idx="810">
                  <c:v>12.3398</c:v>
                </c:pt>
                <c:pt idx="811">
                  <c:v>12.355</c:v>
                </c:pt>
                <c:pt idx="812">
                  <c:v>12.3703</c:v>
                </c:pt>
                <c:pt idx="813">
                  <c:v>12.3855</c:v>
                </c:pt>
                <c:pt idx="814">
                  <c:v>12.400700000000001</c:v>
                </c:pt>
                <c:pt idx="815">
                  <c:v>12.416</c:v>
                </c:pt>
                <c:pt idx="816">
                  <c:v>12.4312</c:v>
                </c:pt>
                <c:pt idx="817">
                  <c:v>12.446400000000001</c:v>
                </c:pt>
                <c:pt idx="818">
                  <c:v>12.4617</c:v>
                </c:pt>
                <c:pt idx="819">
                  <c:v>12.476900000000001</c:v>
                </c:pt>
                <c:pt idx="820">
                  <c:v>12.492100000000001</c:v>
                </c:pt>
                <c:pt idx="821">
                  <c:v>12.507400000000001</c:v>
                </c:pt>
                <c:pt idx="822">
                  <c:v>12.522600000000001</c:v>
                </c:pt>
                <c:pt idx="823">
                  <c:v>12.537800000000001</c:v>
                </c:pt>
                <c:pt idx="824">
                  <c:v>12.553100000000001</c:v>
                </c:pt>
                <c:pt idx="825">
                  <c:v>12.568300000000001</c:v>
                </c:pt>
                <c:pt idx="826">
                  <c:v>12.583500000000001</c:v>
                </c:pt>
                <c:pt idx="827">
                  <c:v>12.598800000000001</c:v>
                </c:pt>
                <c:pt idx="828">
                  <c:v>12.614000000000001</c:v>
                </c:pt>
                <c:pt idx="829">
                  <c:v>12.629200000000001</c:v>
                </c:pt>
                <c:pt idx="830">
                  <c:v>12.644500000000001</c:v>
                </c:pt>
                <c:pt idx="831">
                  <c:v>12.659700000000001</c:v>
                </c:pt>
                <c:pt idx="832">
                  <c:v>12.675000000000001</c:v>
                </c:pt>
                <c:pt idx="833">
                  <c:v>12.690200000000001</c:v>
                </c:pt>
                <c:pt idx="834">
                  <c:v>12.705399999999999</c:v>
                </c:pt>
                <c:pt idx="835">
                  <c:v>12.720700000000001</c:v>
                </c:pt>
                <c:pt idx="836">
                  <c:v>12.735900000000001</c:v>
                </c:pt>
                <c:pt idx="837">
                  <c:v>12.751099999999999</c:v>
                </c:pt>
                <c:pt idx="838">
                  <c:v>12.766400000000001</c:v>
                </c:pt>
                <c:pt idx="839">
                  <c:v>12.781599999999999</c:v>
                </c:pt>
                <c:pt idx="840">
                  <c:v>12.796799999999999</c:v>
                </c:pt>
                <c:pt idx="841">
                  <c:v>12.812099999999999</c:v>
                </c:pt>
                <c:pt idx="842">
                  <c:v>12.827299999999999</c:v>
                </c:pt>
                <c:pt idx="843">
                  <c:v>12.842499999999999</c:v>
                </c:pt>
                <c:pt idx="844">
                  <c:v>12.857799999999999</c:v>
                </c:pt>
                <c:pt idx="845">
                  <c:v>12.872999999999999</c:v>
                </c:pt>
                <c:pt idx="846">
                  <c:v>12.888199999999999</c:v>
                </c:pt>
                <c:pt idx="847">
                  <c:v>12.903499999999999</c:v>
                </c:pt>
                <c:pt idx="848">
                  <c:v>12.918699999999999</c:v>
                </c:pt>
                <c:pt idx="849">
                  <c:v>12.9339</c:v>
                </c:pt>
                <c:pt idx="850">
                  <c:v>12.949199999999999</c:v>
                </c:pt>
                <c:pt idx="851">
                  <c:v>12.964399999999999</c:v>
                </c:pt>
                <c:pt idx="852">
                  <c:v>12.9796</c:v>
                </c:pt>
                <c:pt idx="853">
                  <c:v>12.994899999999999</c:v>
                </c:pt>
                <c:pt idx="854">
                  <c:v>13.0101</c:v>
                </c:pt>
                <c:pt idx="855">
                  <c:v>13.0253</c:v>
                </c:pt>
                <c:pt idx="856">
                  <c:v>13.0406</c:v>
                </c:pt>
                <c:pt idx="857">
                  <c:v>13.0558</c:v>
                </c:pt>
                <c:pt idx="858">
                  <c:v>13.071</c:v>
                </c:pt>
                <c:pt idx="859">
                  <c:v>13.0863</c:v>
                </c:pt>
                <c:pt idx="860">
                  <c:v>13.1015</c:v>
                </c:pt>
                <c:pt idx="861">
                  <c:v>13.1167</c:v>
                </c:pt>
                <c:pt idx="862">
                  <c:v>13.132</c:v>
                </c:pt>
                <c:pt idx="863">
                  <c:v>13.1472</c:v>
                </c:pt>
                <c:pt idx="864">
                  <c:v>13.1625</c:v>
                </c:pt>
                <c:pt idx="865">
                  <c:v>13.1777</c:v>
                </c:pt>
                <c:pt idx="866">
                  <c:v>13.1929</c:v>
                </c:pt>
                <c:pt idx="867">
                  <c:v>13.2082</c:v>
                </c:pt>
                <c:pt idx="868">
                  <c:v>13.2234</c:v>
                </c:pt>
                <c:pt idx="869">
                  <c:v>13.2386</c:v>
                </c:pt>
                <c:pt idx="870">
                  <c:v>13.2539</c:v>
                </c:pt>
                <c:pt idx="871">
                  <c:v>13.2691</c:v>
                </c:pt>
                <c:pt idx="872">
                  <c:v>13.2843</c:v>
                </c:pt>
                <c:pt idx="873">
                  <c:v>13.2996</c:v>
                </c:pt>
                <c:pt idx="874">
                  <c:v>13.3148</c:v>
                </c:pt>
                <c:pt idx="875">
                  <c:v>13.33</c:v>
                </c:pt>
                <c:pt idx="876">
                  <c:v>13.3453</c:v>
                </c:pt>
                <c:pt idx="877">
                  <c:v>13.3605</c:v>
                </c:pt>
                <c:pt idx="878">
                  <c:v>13.3757</c:v>
                </c:pt>
                <c:pt idx="879">
                  <c:v>13.391</c:v>
                </c:pt>
                <c:pt idx="880">
                  <c:v>13.4062</c:v>
                </c:pt>
                <c:pt idx="881">
                  <c:v>13.4214</c:v>
                </c:pt>
                <c:pt idx="882">
                  <c:v>13.4367</c:v>
                </c:pt>
                <c:pt idx="883">
                  <c:v>13.4519</c:v>
                </c:pt>
                <c:pt idx="884">
                  <c:v>13.4671</c:v>
                </c:pt>
                <c:pt idx="885">
                  <c:v>13.4824</c:v>
                </c:pt>
                <c:pt idx="886">
                  <c:v>13.4976</c:v>
                </c:pt>
                <c:pt idx="887">
                  <c:v>13.5128</c:v>
                </c:pt>
                <c:pt idx="888">
                  <c:v>13.5281</c:v>
                </c:pt>
                <c:pt idx="889">
                  <c:v>13.5433</c:v>
                </c:pt>
                <c:pt idx="890">
                  <c:v>13.5585</c:v>
                </c:pt>
                <c:pt idx="891">
                  <c:v>13.5738</c:v>
                </c:pt>
                <c:pt idx="892">
                  <c:v>13.589</c:v>
                </c:pt>
                <c:pt idx="893">
                  <c:v>13.604200000000001</c:v>
                </c:pt>
                <c:pt idx="894">
                  <c:v>13.6195</c:v>
                </c:pt>
                <c:pt idx="895">
                  <c:v>13.6347</c:v>
                </c:pt>
                <c:pt idx="896">
                  <c:v>13.649900000000001</c:v>
                </c:pt>
                <c:pt idx="897">
                  <c:v>13.6652</c:v>
                </c:pt>
                <c:pt idx="898">
                  <c:v>13.680400000000001</c:v>
                </c:pt>
                <c:pt idx="899">
                  <c:v>13.6957</c:v>
                </c:pt>
                <c:pt idx="900">
                  <c:v>13.710900000000001</c:v>
                </c:pt>
                <c:pt idx="901">
                  <c:v>13.726100000000001</c:v>
                </c:pt>
                <c:pt idx="902">
                  <c:v>13.741400000000001</c:v>
                </c:pt>
                <c:pt idx="903">
                  <c:v>13.756600000000001</c:v>
                </c:pt>
                <c:pt idx="904">
                  <c:v>13.771800000000001</c:v>
                </c:pt>
                <c:pt idx="905">
                  <c:v>13.787100000000001</c:v>
                </c:pt>
                <c:pt idx="906">
                  <c:v>13.802300000000001</c:v>
                </c:pt>
                <c:pt idx="907">
                  <c:v>13.817500000000001</c:v>
                </c:pt>
                <c:pt idx="908">
                  <c:v>13.832800000000001</c:v>
                </c:pt>
                <c:pt idx="909">
                  <c:v>13.848000000000001</c:v>
                </c:pt>
                <c:pt idx="910">
                  <c:v>13.863200000000001</c:v>
                </c:pt>
                <c:pt idx="911">
                  <c:v>13.878500000000001</c:v>
                </c:pt>
                <c:pt idx="912">
                  <c:v>13.893700000000001</c:v>
                </c:pt>
                <c:pt idx="913">
                  <c:v>13.908899999999999</c:v>
                </c:pt>
                <c:pt idx="914">
                  <c:v>13.924200000000001</c:v>
                </c:pt>
                <c:pt idx="915">
                  <c:v>13.939399999999999</c:v>
                </c:pt>
                <c:pt idx="916">
                  <c:v>13.954599999999999</c:v>
                </c:pt>
                <c:pt idx="917">
                  <c:v>13.969900000000001</c:v>
                </c:pt>
                <c:pt idx="918">
                  <c:v>13.985099999999999</c:v>
                </c:pt>
                <c:pt idx="919">
                  <c:v>14.000299999999999</c:v>
                </c:pt>
                <c:pt idx="920">
                  <c:v>14.015599999999999</c:v>
                </c:pt>
                <c:pt idx="921">
                  <c:v>14.030799999999999</c:v>
                </c:pt>
                <c:pt idx="922">
                  <c:v>14.045999999999999</c:v>
                </c:pt>
                <c:pt idx="923">
                  <c:v>14.061299999999999</c:v>
                </c:pt>
                <c:pt idx="924">
                  <c:v>14.076499999999999</c:v>
                </c:pt>
                <c:pt idx="925">
                  <c:v>14.091699999999999</c:v>
                </c:pt>
                <c:pt idx="926">
                  <c:v>14.106999999999999</c:v>
                </c:pt>
                <c:pt idx="927">
                  <c:v>14.122199999999999</c:v>
                </c:pt>
                <c:pt idx="928">
                  <c:v>14.1374</c:v>
                </c:pt>
                <c:pt idx="929">
                  <c:v>14.152699999999999</c:v>
                </c:pt>
                <c:pt idx="930">
                  <c:v>14.167899999999999</c:v>
                </c:pt>
                <c:pt idx="931">
                  <c:v>14.183199999999999</c:v>
                </c:pt>
                <c:pt idx="932">
                  <c:v>14.198399999999999</c:v>
                </c:pt>
                <c:pt idx="933">
                  <c:v>14.2136</c:v>
                </c:pt>
                <c:pt idx="934">
                  <c:v>14.228899999999999</c:v>
                </c:pt>
                <c:pt idx="935">
                  <c:v>14.2441</c:v>
                </c:pt>
                <c:pt idx="936">
                  <c:v>14.2593</c:v>
                </c:pt>
                <c:pt idx="937">
                  <c:v>14.2746</c:v>
                </c:pt>
                <c:pt idx="938">
                  <c:v>14.2898</c:v>
                </c:pt>
                <c:pt idx="939">
                  <c:v>14.305</c:v>
                </c:pt>
                <c:pt idx="940">
                  <c:v>14.3203</c:v>
                </c:pt>
                <c:pt idx="941">
                  <c:v>14.3355</c:v>
                </c:pt>
                <c:pt idx="942">
                  <c:v>14.3507</c:v>
                </c:pt>
                <c:pt idx="943">
                  <c:v>14.366</c:v>
                </c:pt>
                <c:pt idx="944">
                  <c:v>14.3812</c:v>
                </c:pt>
                <c:pt idx="945">
                  <c:v>14.3964</c:v>
                </c:pt>
                <c:pt idx="946">
                  <c:v>14.4117</c:v>
                </c:pt>
                <c:pt idx="947">
                  <c:v>14.4269</c:v>
                </c:pt>
                <c:pt idx="948">
                  <c:v>14.4421</c:v>
                </c:pt>
                <c:pt idx="949">
                  <c:v>14.4574</c:v>
                </c:pt>
                <c:pt idx="950">
                  <c:v>14.4726</c:v>
                </c:pt>
                <c:pt idx="951">
                  <c:v>14.4878</c:v>
                </c:pt>
                <c:pt idx="952">
                  <c:v>14.5031</c:v>
                </c:pt>
                <c:pt idx="953">
                  <c:v>14.5183</c:v>
                </c:pt>
                <c:pt idx="954">
                  <c:v>14.5335</c:v>
                </c:pt>
                <c:pt idx="955">
                  <c:v>14.5488</c:v>
                </c:pt>
                <c:pt idx="956">
                  <c:v>14.564</c:v>
                </c:pt>
                <c:pt idx="957">
                  <c:v>14.5792</c:v>
                </c:pt>
                <c:pt idx="958">
                  <c:v>14.5945</c:v>
                </c:pt>
                <c:pt idx="959">
                  <c:v>14.6097</c:v>
                </c:pt>
                <c:pt idx="960">
                  <c:v>14.6249</c:v>
                </c:pt>
                <c:pt idx="961">
                  <c:v>14.6402</c:v>
                </c:pt>
                <c:pt idx="962">
                  <c:v>14.6554</c:v>
                </c:pt>
                <c:pt idx="963">
                  <c:v>14.6706</c:v>
                </c:pt>
                <c:pt idx="964">
                  <c:v>14.6859</c:v>
                </c:pt>
                <c:pt idx="965">
                  <c:v>14.7011</c:v>
                </c:pt>
                <c:pt idx="966">
                  <c:v>14.7164</c:v>
                </c:pt>
                <c:pt idx="967">
                  <c:v>14.7316</c:v>
                </c:pt>
                <c:pt idx="968">
                  <c:v>14.7468</c:v>
                </c:pt>
                <c:pt idx="969">
                  <c:v>14.7621</c:v>
                </c:pt>
                <c:pt idx="970">
                  <c:v>14.7773</c:v>
                </c:pt>
                <c:pt idx="971">
                  <c:v>14.7925</c:v>
                </c:pt>
                <c:pt idx="972">
                  <c:v>14.8078</c:v>
                </c:pt>
                <c:pt idx="973">
                  <c:v>14.823</c:v>
                </c:pt>
                <c:pt idx="974">
                  <c:v>14.838200000000001</c:v>
                </c:pt>
                <c:pt idx="975">
                  <c:v>14.8535</c:v>
                </c:pt>
                <c:pt idx="976">
                  <c:v>14.8687</c:v>
                </c:pt>
                <c:pt idx="977">
                  <c:v>14.883900000000001</c:v>
                </c:pt>
                <c:pt idx="978">
                  <c:v>14.8992</c:v>
                </c:pt>
                <c:pt idx="979">
                  <c:v>14.914400000000001</c:v>
                </c:pt>
                <c:pt idx="980">
                  <c:v>14.929600000000001</c:v>
                </c:pt>
                <c:pt idx="981">
                  <c:v>14.944900000000001</c:v>
                </c:pt>
                <c:pt idx="982">
                  <c:v>14.960100000000001</c:v>
                </c:pt>
                <c:pt idx="983">
                  <c:v>14.975300000000001</c:v>
                </c:pt>
                <c:pt idx="984">
                  <c:v>14.990600000000001</c:v>
                </c:pt>
                <c:pt idx="985">
                  <c:v>15.005800000000001</c:v>
                </c:pt>
                <c:pt idx="986">
                  <c:v>15.021000000000001</c:v>
                </c:pt>
                <c:pt idx="987">
                  <c:v>15.036300000000001</c:v>
                </c:pt>
                <c:pt idx="988">
                  <c:v>15.051500000000001</c:v>
                </c:pt>
                <c:pt idx="989">
                  <c:v>15.066700000000001</c:v>
                </c:pt>
                <c:pt idx="990">
                  <c:v>15.082000000000001</c:v>
                </c:pt>
                <c:pt idx="991">
                  <c:v>15.097200000000001</c:v>
                </c:pt>
                <c:pt idx="992">
                  <c:v>15.112399999999999</c:v>
                </c:pt>
                <c:pt idx="993">
                  <c:v>15.127700000000001</c:v>
                </c:pt>
                <c:pt idx="994">
                  <c:v>15.142899999999999</c:v>
                </c:pt>
                <c:pt idx="995">
                  <c:v>15.158099999999999</c:v>
                </c:pt>
                <c:pt idx="996">
                  <c:v>15.173400000000001</c:v>
                </c:pt>
                <c:pt idx="997">
                  <c:v>15.188599999999999</c:v>
                </c:pt>
                <c:pt idx="998">
                  <c:v>15.203799999999999</c:v>
                </c:pt>
                <c:pt idx="999">
                  <c:v>15.219099999999999</c:v>
                </c:pt>
                <c:pt idx="1000">
                  <c:v>15.234299999999999</c:v>
                </c:pt>
                <c:pt idx="1001">
                  <c:v>15.249599999999999</c:v>
                </c:pt>
                <c:pt idx="1002">
                  <c:v>15.264799999999999</c:v>
                </c:pt>
                <c:pt idx="1003">
                  <c:v>15.28</c:v>
                </c:pt>
                <c:pt idx="1004">
                  <c:v>15.295299999999999</c:v>
                </c:pt>
                <c:pt idx="1005">
                  <c:v>15.310499999999999</c:v>
                </c:pt>
                <c:pt idx="1006">
                  <c:v>15.325699999999999</c:v>
                </c:pt>
                <c:pt idx="1007">
                  <c:v>15.340999999999999</c:v>
                </c:pt>
                <c:pt idx="1008">
                  <c:v>15.356199999999999</c:v>
                </c:pt>
                <c:pt idx="1009">
                  <c:v>15.3714</c:v>
                </c:pt>
                <c:pt idx="1010">
                  <c:v>15.386699999999999</c:v>
                </c:pt>
                <c:pt idx="1011">
                  <c:v>15.401899999999999</c:v>
                </c:pt>
                <c:pt idx="1012">
                  <c:v>15.4171</c:v>
                </c:pt>
                <c:pt idx="1013">
                  <c:v>15.432399999999999</c:v>
                </c:pt>
                <c:pt idx="1014">
                  <c:v>15.4476</c:v>
                </c:pt>
                <c:pt idx="1015">
                  <c:v>15.4628</c:v>
                </c:pt>
                <c:pt idx="1016">
                  <c:v>15.4781</c:v>
                </c:pt>
                <c:pt idx="1017">
                  <c:v>15.4933</c:v>
                </c:pt>
                <c:pt idx="1018">
                  <c:v>15.5085</c:v>
                </c:pt>
                <c:pt idx="1019">
                  <c:v>15.5238</c:v>
                </c:pt>
                <c:pt idx="1020">
                  <c:v>15.539</c:v>
                </c:pt>
                <c:pt idx="1021">
                  <c:v>15.5542</c:v>
                </c:pt>
                <c:pt idx="1022">
                  <c:v>15.5695</c:v>
                </c:pt>
                <c:pt idx="1023">
                  <c:v>15.5847</c:v>
                </c:pt>
                <c:pt idx="1024">
                  <c:v>15.5999</c:v>
                </c:pt>
                <c:pt idx="1025">
                  <c:v>15.6152</c:v>
                </c:pt>
                <c:pt idx="1026">
                  <c:v>15.6304</c:v>
                </c:pt>
                <c:pt idx="1027">
                  <c:v>15.6456</c:v>
                </c:pt>
                <c:pt idx="1028">
                  <c:v>15.6609</c:v>
                </c:pt>
                <c:pt idx="1029">
                  <c:v>15.6761</c:v>
                </c:pt>
                <c:pt idx="1030">
                  <c:v>15.6913</c:v>
                </c:pt>
                <c:pt idx="1031">
                  <c:v>15.7066</c:v>
                </c:pt>
                <c:pt idx="1032">
                  <c:v>15.7218</c:v>
                </c:pt>
                <c:pt idx="1033">
                  <c:v>15.7371</c:v>
                </c:pt>
                <c:pt idx="1034">
                  <c:v>15.7523</c:v>
                </c:pt>
                <c:pt idx="1035">
                  <c:v>15.7675</c:v>
                </c:pt>
                <c:pt idx="1036">
                  <c:v>15.7828</c:v>
                </c:pt>
                <c:pt idx="1037">
                  <c:v>15.798</c:v>
                </c:pt>
                <c:pt idx="1038">
                  <c:v>15.8132</c:v>
                </c:pt>
                <c:pt idx="1039">
                  <c:v>15.8285</c:v>
                </c:pt>
                <c:pt idx="1040">
                  <c:v>15.8437</c:v>
                </c:pt>
                <c:pt idx="1041">
                  <c:v>15.8589</c:v>
                </c:pt>
                <c:pt idx="1042">
                  <c:v>15.8742</c:v>
                </c:pt>
                <c:pt idx="1043">
                  <c:v>15.8894</c:v>
                </c:pt>
                <c:pt idx="1044">
                  <c:v>15.9046</c:v>
                </c:pt>
                <c:pt idx="1045">
                  <c:v>15.9199</c:v>
                </c:pt>
                <c:pt idx="1046">
                  <c:v>15.9351</c:v>
                </c:pt>
                <c:pt idx="1047">
                  <c:v>15.9503</c:v>
                </c:pt>
                <c:pt idx="1048">
                  <c:v>15.9656</c:v>
                </c:pt>
                <c:pt idx="1049">
                  <c:v>15.9808</c:v>
                </c:pt>
                <c:pt idx="1050">
                  <c:v>15.996</c:v>
                </c:pt>
                <c:pt idx="1051">
                  <c:v>16.011299999999999</c:v>
                </c:pt>
                <c:pt idx="1052">
                  <c:v>16.026499999999999</c:v>
                </c:pt>
                <c:pt idx="1053">
                  <c:v>16.041699999999999</c:v>
                </c:pt>
                <c:pt idx="1054">
                  <c:v>16.056999999999999</c:v>
                </c:pt>
                <c:pt idx="1055">
                  <c:v>16.072199999999999</c:v>
                </c:pt>
                <c:pt idx="1056">
                  <c:v>16.087399999999999</c:v>
                </c:pt>
                <c:pt idx="1057">
                  <c:v>16.102699999999999</c:v>
                </c:pt>
                <c:pt idx="1058">
                  <c:v>16.117899999999999</c:v>
                </c:pt>
                <c:pt idx="1059">
                  <c:v>16.133099999999999</c:v>
                </c:pt>
                <c:pt idx="1060">
                  <c:v>16.148399999999999</c:v>
                </c:pt>
                <c:pt idx="1061">
                  <c:v>16.163599999999999</c:v>
                </c:pt>
                <c:pt idx="1062">
                  <c:v>16.178799999999999</c:v>
                </c:pt>
                <c:pt idx="1063">
                  <c:v>16.194099999999999</c:v>
                </c:pt>
                <c:pt idx="1064">
                  <c:v>16.209299999999999</c:v>
                </c:pt>
                <c:pt idx="1065">
                  <c:v>16.224499999999999</c:v>
                </c:pt>
                <c:pt idx="1066">
                  <c:v>16.239799999999999</c:v>
                </c:pt>
                <c:pt idx="1067">
                  <c:v>16.254999999999999</c:v>
                </c:pt>
                <c:pt idx="1068">
                  <c:v>16.270299999999999</c:v>
                </c:pt>
                <c:pt idx="1069">
                  <c:v>16.285499999999999</c:v>
                </c:pt>
                <c:pt idx="1070">
                  <c:v>16.300699999999999</c:v>
                </c:pt>
                <c:pt idx="1071">
                  <c:v>16.315999999999999</c:v>
                </c:pt>
                <c:pt idx="1072">
                  <c:v>16.331199999999999</c:v>
                </c:pt>
                <c:pt idx="1073">
                  <c:v>16.346399999999999</c:v>
                </c:pt>
                <c:pt idx="1074">
                  <c:v>16.361699999999999</c:v>
                </c:pt>
                <c:pt idx="1075">
                  <c:v>16.376899999999999</c:v>
                </c:pt>
                <c:pt idx="1076">
                  <c:v>16.392099999999999</c:v>
                </c:pt>
                <c:pt idx="1077">
                  <c:v>16.407399999999999</c:v>
                </c:pt>
                <c:pt idx="1078">
                  <c:v>16.422599999999999</c:v>
                </c:pt>
                <c:pt idx="1079">
                  <c:v>16.437799999999999</c:v>
                </c:pt>
                <c:pt idx="1080">
                  <c:v>16.453099999999999</c:v>
                </c:pt>
                <c:pt idx="1081">
                  <c:v>16.468299999999999</c:v>
                </c:pt>
                <c:pt idx="1082">
                  <c:v>16.483499999999999</c:v>
                </c:pt>
                <c:pt idx="1083">
                  <c:v>16.498799999999999</c:v>
                </c:pt>
                <c:pt idx="1084">
                  <c:v>16.513999999999999</c:v>
                </c:pt>
                <c:pt idx="1085">
                  <c:v>16.529199999999999</c:v>
                </c:pt>
                <c:pt idx="1086">
                  <c:v>16.544499999999999</c:v>
                </c:pt>
                <c:pt idx="1087">
                  <c:v>16.559699999999999</c:v>
                </c:pt>
                <c:pt idx="1088">
                  <c:v>16.5749</c:v>
                </c:pt>
                <c:pt idx="1089">
                  <c:v>16.590199999999999</c:v>
                </c:pt>
                <c:pt idx="1090">
                  <c:v>16.605399999999999</c:v>
                </c:pt>
                <c:pt idx="1091">
                  <c:v>16.6206</c:v>
                </c:pt>
                <c:pt idx="1092">
                  <c:v>16.635899999999999</c:v>
                </c:pt>
                <c:pt idx="1093">
                  <c:v>16.6511</c:v>
                </c:pt>
                <c:pt idx="1094">
                  <c:v>16.6663</c:v>
                </c:pt>
                <c:pt idx="1095">
                  <c:v>16.6816</c:v>
                </c:pt>
                <c:pt idx="1096">
                  <c:v>16.6968</c:v>
                </c:pt>
                <c:pt idx="1097">
                  <c:v>16.712</c:v>
                </c:pt>
                <c:pt idx="1098">
                  <c:v>16.7273</c:v>
                </c:pt>
                <c:pt idx="1099">
                  <c:v>16.7425</c:v>
                </c:pt>
                <c:pt idx="1100">
                  <c:v>16.7577</c:v>
                </c:pt>
                <c:pt idx="1101">
                  <c:v>16.773</c:v>
                </c:pt>
                <c:pt idx="1102">
                  <c:v>16.7882</c:v>
                </c:pt>
                <c:pt idx="1103">
                  <c:v>16.8035</c:v>
                </c:pt>
                <c:pt idx="1104">
                  <c:v>16.8187</c:v>
                </c:pt>
                <c:pt idx="1105">
                  <c:v>16.8339</c:v>
                </c:pt>
                <c:pt idx="1106">
                  <c:v>16.8492</c:v>
                </c:pt>
                <c:pt idx="1107">
                  <c:v>16.8644</c:v>
                </c:pt>
                <c:pt idx="1108">
                  <c:v>16.8796</c:v>
                </c:pt>
                <c:pt idx="1109">
                  <c:v>16.8949</c:v>
                </c:pt>
                <c:pt idx="1110">
                  <c:v>16.9101</c:v>
                </c:pt>
                <c:pt idx="1111">
                  <c:v>16.9253</c:v>
                </c:pt>
                <c:pt idx="1112">
                  <c:v>16.9406</c:v>
                </c:pt>
                <c:pt idx="1113">
                  <c:v>16.9558</c:v>
                </c:pt>
                <c:pt idx="1114">
                  <c:v>16.971</c:v>
                </c:pt>
                <c:pt idx="1115">
                  <c:v>16.9863</c:v>
                </c:pt>
                <c:pt idx="1116">
                  <c:v>17.0015</c:v>
                </c:pt>
                <c:pt idx="1117">
                  <c:v>17.0167</c:v>
                </c:pt>
                <c:pt idx="1118">
                  <c:v>17.032</c:v>
                </c:pt>
                <c:pt idx="1119">
                  <c:v>17.0472</c:v>
                </c:pt>
                <c:pt idx="1120">
                  <c:v>17.0624</c:v>
                </c:pt>
                <c:pt idx="1121">
                  <c:v>17.0777</c:v>
                </c:pt>
                <c:pt idx="1122">
                  <c:v>17.0929</c:v>
                </c:pt>
                <c:pt idx="1123">
                  <c:v>17.1081</c:v>
                </c:pt>
                <c:pt idx="1124">
                  <c:v>17.1234</c:v>
                </c:pt>
                <c:pt idx="1125">
                  <c:v>17.1386</c:v>
                </c:pt>
                <c:pt idx="1126">
                  <c:v>17.1538</c:v>
                </c:pt>
                <c:pt idx="1127">
                  <c:v>17.1691</c:v>
                </c:pt>
                <c:pt idx="1128">
                  <c:v>17.1843</c:v>
                </c:pt>
                <c:pt idx="1129">
                  <c:v>17.1995</c:v>
                </c:pt>
                <c:pt idx="1130">
                  <c:v>17.2148</c:v>
                </c:pt>
                <c:pt idx="1131">
                  <c:v>17.23</c:v>
                </c:pt>
                <c:pt idx="1132">
                  <c:v>17.245200000000001</c:v>
                </c:pt>
                <c:pt idx="1133">
                  <c:v>17.2605</c:v>
                </c:pt>
                <c:pt idx="1134">
                  <c:v>17.275700000000001</c:v>
                </c:pt>
                <c:pt idx="1135">
                  <c:v>17.291</c:v>
                </c:pt>
                <c:pt idx="1136">
                  <c:v>17.3062</c:v>
                </c:pt>
                <c:pt idx="1137">
                  <c:v>17.321400000000001</c:v>
                </c:pt>
                <c:pt idx="1138">
                  <c:v>17.3367</c:v>
                </c:pt>
                <c:pt idx="1139">
                  <c:v>17.351900000000001</c:v>
                </c:pt>
                <c:pt idx="1140">
                  <c:v>17.367100000000001</c:v>
                </c:pt>
                <c:pt idx="1141">
                  <c:v>17.382400000000001</c:v>
                </c:pt>
                <c:pt idx="1142">
                  <c:v>17.397600000000001</c:v>
                </c:pt>
                <c:pt idx="1143">
                  <c:v>17.412800000000001</c:v>
                </c:pt>
                <c:pt idx="1144">
                  <c:v>17.428100000000001</c:v>
                </c:pt>
                <c:pt idx="1145">
                  <c:v>17.443300000000001</c:v>
                </c:pt>
                <c:pt idx="1146">
                  <c:v>17.458500000000001</c:v>
                </c:pt>
                <c:pt idx="1147">
                  <c:v>17.473800000000001</c:v>
                </c:pt>
                <c:pt idx="1148">
                  <c:v>17.489000000000001</c:v>
                </c:pt>
                <c:pt idx="1149">
                  <c:v>17.504200000000001</c:v>
                </c:pt>
                <c:pt idx="1150">
                  <c:v>17.519500000000001</c:v>
                </c:pt>
                <c:pt idx="1151">
                  <c:v>17.534700000000001</c:v>
                </c:pt>
                <c:pt idx="1152">
                  <c:v>17.549900000000001</c:v>
                </c:pt>
                <c:pt idx="1153">
                  <c:v>17.565200000000001</c:v>
                </c:pt>
                <c:pt idx="1154">
                  <c:v>17.580400000000001</c:v>
                </c:pt>
                <c:pt idx="1155">
                  <c:v>17.595600000000001</c:v>
                </c:pt>
                <c:pt idx="1156">
                  <c:v>17.610900000000001</c:v>
                </c:pt>
                <c:pt idx="1157">
                  <c:v>17.626100000000001</c:v>
                </c:pt>
                <c:pt idx="1158">
                  <c:v>17.641300000000001</c:v>
                </c:pt>
                <c:pt idx="1159">
                  <c:v>17.656600000000001</c:v>
                </c:pt>
                <c:pt idx="1160">
                  <c:v>17.671800000000001</c:v>
                </c:pt>
                <c:pt idx="1161">
                  <c:v>17.687000000000001</c:v>
                </c:pt>
                <c:pt idx="1162">
                  <c:v>17.702300000000001</c:v>
                </c:pt>
                <c:pt idx="1163">
                  <c:v>17.717500000000001</c:v>
                </c:pt>
                <c:pt idx="1164">
                  <c:v>17.732700000000001</c:v>
                </c:pt>
                <c:pt idx="1165">
                  <c:v>17.748000000000001</c:v>
                </c:pt>
                <c:pt idx="1166">
                  <c:v>17.763200000000001</c:v>
                </c:pt>
                <c:pt idx="1167">
                  <c:v>17.778400000000001</c:v>
                </c:pt>
                <c:pt idx="1168">
                  <c:v>17.793700000000001</c:v>
                </c:pt>
                <c:pt idx="1169">
                  <c:v>17.808900000000001</c:v>
                </c:pt>
                <c:pt idx="1170">
                  <c:v>17.824200000000001</c:v>
                </c:pt>
                <c:pt idx="1171">
                  <c:v>17.839400000000001</c:v>
                </c:pt>
                <c:pt idx="1172">
                  <c:v>17.854600000000001</c:v>
                </c:pt>
                <c:pt idx="1173">
                  <c:v>17.869900000000001</c:v>
                </c:pt>
                <c:pt idx="1174">
                  <c:v>17.885100000000001</c:v>
                </c:pt>
                <c:pt idx="1175">
                  <c:v>17.900300000000001</c:v>
                </c:pt>
                <c:pt idx="1176">
                  <c:v>17.915600000000001</c:v>
                </c:pt>
                <c:pt idx="1177">
                  <c:v>17.930800000000001</c:v>
                </c:pt>
                <c:pt idx="1178">
                  <c:v>17.946000000000002</c:v>
                </c:pt>
                <c:pt idx="1179">
                  <c:v>17.961300000000001</c:v>
                </c:pt>
                <c:pt idx="1180">
                  <c:v>17.976500000000001</c:v>
                </c:pt>
                <c:pt idx="1181">
                  <c:v>17.991700000000002</c:v>
                </c:pt>
                <c:pt idx="1182">
                  <c:v>18.007000000000001</c:v>
                </c:pt>
                <c:pt idx="1183">
                  <c:v>18.022200000000002</c:v>
                </c:pt>
                <c:pt idx="1184">
                  <c:v>18.037400000000002</c:v>
                </c:pt>
                <c:pt idx="1185">
                  <c:v>18.052700000000002</c:v>
                </c:pt>
                <c:pt idx="1186">
                  <c:v>18.067900000000002</c:v>
                </c:pt>
                <c:pt idx="1187">
                  <c:v>18.083100000000002</c:v>
                </c:pt>
                <c:pt idx="1188">
                  <c:v>18.098400000000002</c:v>
                </c:pt>
                <c:pt idx="1189">
                  <c:v>18.113600000000002</c:v>
                </c:pt>
                <c:pt idx="1190">
                  <c:v>18.128799999999998</c:v>
                </c:pt>
                <c:pt idx="1191">
                  <c:v>18.144100000000002</c:v>
                </c:pt>
                <c:pt idx="1192">
                  <c:v>18.159300000000002</c:v>
                </c:pt>
                <c:pt idx="1193">
                  <c:v>18.174499999999998</c:v>
                </c:pt>
                <c:pt idx="1194">
                  <c:v>18.189800000000002</c:v>
                </c:pt>
                <c:pt idx="1195">
                  <c:v>18.204999999999998</c:v>
                </c:pt>
                <c:pt idx="1196">
                  <c:v>18.220199999999998</c:v>
                </c:pt>
                <c:pt idx="1197">
                  <c:v>18.235499999999998</c:v>
                </c:pt>
                <c:pt idx="1198">
                  <c:v>18.250699999999998</c:v>
                </c:pt>
                <c:pt idx="1199">
                  <c:v>18.265899999999998</c:v>
                </c:pt>
                <c:pt idx="1200">
                  <c:v>18.281199999999998</c:v>
                </c:pt>
                <c:pt idx="1201">
                  <c:v>18.296399999999998</c:v>
                </c:pt>
                <c:pt idx="1202">
                  <c:v>18.311599999999999</c:v>
                </c:pt>
                <c:pt idx="1203">
                  <c:v>18.326899999999998</c:v>
                </c:pt>
                <c:pt idx="1204">
                  <c:v>18.342099999999999</c:v>
                </c:pt>
                <c:pt idx="1205">
                  <c:v>18.357399999999998</c:v>
                </c:pt>
                <c:pt idx="1206">
                  <c:v>18.372599999999998</c:v>
                </c:pt>
                <c:pt idx="1207">
                  <c:v>18.387799999999999</c:v>
                </c:pt>
                <c:pt idx="1208">
                  <c:v>18.403099999999998</c:v>
                </c:pt>
                <c:pt idx="1209">
                  <c:v>18.418299999999999</c:v>
                </c:pt>
                <c:pt idx="1210">
                  <c:v>18.433499999999999</c:v>
                </c:pt>
                <c:pt idx="1211">
                  <c:v>18.448799999999999</c:v>
                </c:pt>
                <c:pt idx="1212">
                  <c:v>18.463999999999999</c:v>
                </c:pt>
                <c:pt idx="1213">
                  <c:v>18.479199999999999</c:v>
                </c:pt>
                <c:pt idx="1214">
                  <c:v>18.494499999999999</c:v>
                </c:pt>
                <c:pt idx="1215">
                  <c:v>18.509699999999999</c:v>
                </c:pt>
                <c:pt idx="1216">
                  <c:v>18.524899999999999</c:v>
                </c:pt>
                <c:pt idx="1217">
                  <c:v>18.540199999999999</c:v>
                </c:pt>
                <c:pt idx="1218">
                  <c:v>18.555399999999999</c:v>
                </c:pt>
                <c:pt idx="1219">
                  <c:v>18.570599999999999</c:v>
                </c:pt>
                <c:pt idx="1220">
                  <c:v>18.585899999999999</c:v>
                </c:pt>
                <c:pt idx="1221">
                  <c:v>18.601099999999999</c:v>
                </c:pt>
                <c:pt idx="1222">
                  <c:v>18.616299999999999</c:v>
                </c:pt>
                <c:pt idx="1223">
                  <c:v>18.631599999999999</c:v>
                </c:pt>
                <c:pt idx="1224">
                  <c:v>18.646799999999999</c:v>
                </c:pt>
                <c:pt idx="1225">
                  <c:v>18.661999999999999</c:v>
                </c:pt>
                <c:pt idx="1226">
                  <c:v>18.677299999999999</c:v>
                </c:pt>
                <c:pt idx="1227">
                  <c:v>18.692499999999999</c:v>
                </c:pt>
                <c:pt idx="1228">
                  <c:v>18.707699999999999</c:v>
                </c:pt>
                <c:pt idx="1229">
                  <c:v>18.722999999999999</c:v>
                </c:pt>
                <c:pt idx="1230">
                  <c:v>18.738199999999999</c:v>
                </c:pt>
                <c:pt idx="1231">
                  <c:v>18.753399999999999</c:v>
                </c:pt>
                <c:pt idx="1232">
                  <c:v>18.768699999999999</c:v>
                </c:pt>
                <c:pt idx="1233">
                  <c:v>18.783899999999999</c:v>
                </c:pt>
                <c:pt idx="1234">
                  <c:v>18.799099999999999</c:v>
                </c:pt>
                <c:pt idx="1235">
                  <c:v>18.814399999999999</c:v>
                </c:pt>
                <c:pt idx="1236">
                  <c:v>18.829599999999999</c:v>
                </c:pt>
                <c:pt idx="1237">
                  <c:v>18.844899999999999</c:v>
                </c:pt>
                <c:pt idx="1238">
                  <c:v>18.860099999999999</c:v>
                </c:pt>
                <c:pt idx="1239">
                  <c:v>18.875299999999999</c:v>
                </c:pt>
                <c:pt idx="1240">
                  <c:v>18.890599999999999</c:v>
                </c:pt>
                <c:pt idx="1241">
                  <c:v>18.905799999999999</c:v>
                </c:pt>
                <c:pt idx="1242">
                  <c:v>18.920999999999999</c:v>
                </c:pt>
                <c:pt idx="1243">
                  <c:v>18.936299999999999</c:v>
                </c:pt>
                <c:pt idx="1244">
                  <c:v>18.951499999999999</c:v>
                </c:pt>
                <c:pt idx="1245">
                  <c:v>18.966699999999999</c:v>
                </c:pt>
                <c:pt idx="1246">
                  <c:v>18.981999999999999</c:v>
                </c:pt>
                <c:pt idx="1247">
                  <c:v>18.997199999999999</c:v>
                </c:pt>
                <c:pt idx="1248">
                  <c:v>19.0124</c:v>
                </c:pt>
                <c:pt idx="1249">
                  <c:v>19.027699999999999</c:v>
                </c:pt>
                <c:pt idx="1250">
                  <c:v>19.042899999999999</c:v>
                </c:pt>
                <c:pt idx="1251">
                  <c:v>19.0581</c:v>
                </c:pt>
                <c:pt idx="1252">
                  <c:v>19.073399999999999</c:v>
                </c:pt>
                <c:pt idx="1253">
                  <c:v>19.0886</c:v>
                </c:pt>
                <c:pt idx="1254">
                  <c:v>19.1038</c:v>
                </c:pt>
                <c:pt idx="1255">
                  <c:v>19.1191</c:v>
                </c:pt>
                <c:pt idx="1256">
                  <c:v>19.1343</c:v>
                </c:pt>
                <c:pt idx="1257">
                  <c:v>19.1495</c:v>
                </c:pt>
                <c:pt idx="1258">
                  <c:v>19.1648</c:v>
                </c:pt>
                <c:pt idx="1259">
                  <c:v>19.18</c:v>
                </c:pt>
                <c:pt idx="1260">
                  <c:v>19.1952</c:v>
                </c:pt>
                <c:pt idx="1261">
                  <c:v>19.2105</c:v>
                </c:pt>
                <c:pt idx="1262">
                  <c:v>19.2257</c:v>
                </c:pt>
                <c:pt idx="1263">
                  <c:v>19.2409</c:v>
                </c:pt>
                <c:pt idx="1264">
                  <c:v>19.2562</c:v>
                </c:pt>
                <c:pt idx="1265">
                  <c:v>19.2714</c:v>
                </c:pt>
                <c:pt idx="1266">
                  <c:v>19.2866</c:v>
                </c:pt>
                <c:pt idx="1267">
                  <c:v>19.3019</c:v>
                </c:pt>
                <c:pt idx="1268">
                  <c:v>19.3171</c:v>
                </c:pt>
                <c:pt idx="1269">
                  <c:v>19.3323</c:v>
                </c:pt>
                <c:pt idx="1270">
                  <c:v>19.3476</c:v>
                </c:pt>
                <c:pt idx="1271">
                  <c:v>19.3628</c:v>
                </c:pt>
                <c:pt idx="1272">
                  <c:v>19.3781</c:v>
                </c:pt>
                <c:pt idx="1273">
                  <c:v>19.3933</c:v>
                </c:pt>
                <c:pt idx="1274">
                  <c:v>19.4085</c:v>
                </c:pt>
                <c:pt idx="1275">
                  <c:v>19.4238</c:v>
                </c:pt>
                <c:pt idx="1276">
                  <c:v>19.439</c:v>
                </c:pt>
                <c:pt idx="1277">
                  <c:v>19.4542</c:v>
                </c:pt>
                <c:pt idx="1278">
                  <c:v>19.4695</c:v>
                </c:pt>
                <c:pt idx="1279">
                  <c:v>19.4847</c:v>
                </c:pt>
                <c:pt idx="1280">
                  <c:v>19.4999</c:v>
                </c:pt>
                <c:pt idx="1281">
                  <c:v>19.5152</c:v>
                </c:pt>
                <c:pt idx="1282">
                  <c:v>19.5304</c:v>
                </c:pt>
                <c:pt idx="1283">
                  <c:v>19.5456</c:v>
                </c:pt>
                <c:pt idx="1284">
                  <c:v>19.5609</c:v>
                </c:pt>
                <c:pt idx="1285">
                  <c:v>19.5761</c:v>
                </c:pt>
                <c:pt idx="1286">
                  <c:v>19.5913</c:v>
                </c:pt>
                <c:pt idx="1287">
                  <c:v>19.6066</c:v>
                </c:pt>
                <c:pt idx="1288">
                  <c:v>19.6218</c:v>
                </c:pt>
                <c:pt idx="1289">
                  <c:v>19.637</c:v>
                </c:pt>
                <c:pt idx="1290">
                  <c:v>19.6523</c:v>
                </c:pt>
                <c:pt idx="1291">
                  <c:v>19.6675</c:v>
                </c:pt>
                <c:pt idx="1292">
                  <c:v>19.682700000000001</c:v>
                </c:pt>
                <c:pt idx="1293">
                  <c:v>19.698</c:v>
                </c:pt>
                <c:pt idx="1294">
                  <c:v>19.713200000000001</c:v>
                </c:pt>
                <c:pt idx="1295">
                  <c:v>19.728400000000001</c:v>
                </c:pt>
                <c:pt idx="1296">
                  <c:v>19.7437</c:v>
                </c:pt>
                <c:pt idx="1297">
                  <c:v>19.758900000000001</c:v>
                </c:pt>
                <c:pt idx="1298">
                  <c:v>19.774100000000001</c:v>
                </c:pt>
                <c:pt idx="1299">
                  <c:v>19.789400000000001</c:v>
                </c:pt>
                <c:pt idx="1300">
                  <c:v>19.804600000000001</c:v>
                </c:pt>
                <c:pt idx="1301">
                  <c:v>19.819800000000001</c:v>
                </c:pt>
                <c:pt idx="1302">
                  <c:v>19.835100000000001</c:v>
                </c:pt>
                <c:pt idx="1303">
                  <c:v>19.850300000000001</c:v>
                </c:pt>
                <c:pt idx="1304">
                  <c:v>19.865600000000001</c:v>
                </c:pt>
                <c:pt idx="1305">
                  <c:v>19.880800000000001</c:v>
                </c:pt>
                <c:pt idx="1306">
                  <c:v>19.896000000000001</c:v>
                </c:pt>
                <c:pt idx="1307">
                  <c:v>19.911300000000001</c:v>
                </c:pt>
                <c:pt idx="1308">
                  <c:v>19.926500000000001</c:v>
                </c:pt>
                <c:pt idx="1309">
                  <c:v>19.941700000000001</c:v>
                </c:pt>
                <c:pt idx="1310">
                  <c:v>19.957000000000001</c:v>
                </c:pt>
                <c:pt idx="1311">
                  <c:v>19.972200000000001</c:v>
                </c:pt>
                <c:pt idx="1312">
                  <c:v>19.987400000000001</c:v>
                </c:pt>
                <c:pt idx="1313">
                  <c:v>20.002700000000001</c:v>
                </c:pt>
                <c:pt idx="1314">
                  <c:v>20.017900000000001</c:v>
                </c:pt>
                <c:pt idx="1315">
                  <c:v>20.033100000000001</c:v>
                </c:pt>
                <c:pt idx="1316">
                  <c:v>20.048400000000001</c:v>
                </c:pt>
                <c:pt idx="1317">
                  <c:v>20.063600000000001</c:v>
                </c:pt>
                <c:pt idx="1318">
                  <c:v>20.078800000000001</c:v>
                </c:pt>
                <c:pt idx="1319">
                  <c:v>20.094100000000001</c:v>
                </c:pt>
                <c:pt idx="1320">
                  <c:v>20.109300000000001</c:v>
                </c:pt>
                <c:pt idx="1321">
                  <c:v>20.124500000000001</c:v>
                </c:pt>
                <c:pt idx="1322">
                  <c:v>20.139800000000001</c:v>
                </c:pt>
                <c:pt idx="1323">
                  <c:v>20.155000000000001</c:v>
                </c:pt>
                <c:pt idx="1324">
                  <c:v>20.170200000000001</c:v>
                </c:pt>
                <c:pt idx="1325">
                  <c:v>20.185500000000001</c:v>
                </c:pt>
                <c:pt idx="1326">
                  <c:v>20.200700000000001</c:v>
                </c:pt>
                <c:pt idx="1327">
                  <c:v>20.215900000000001</c:v>
                </c:pt>
                <c:pt idx="1328">
                  <c:v>20.231200000000001</c:v>
                </c:pt>
                <c:pt idx="1329">
                  <c:v>20.246400000000001</c:v>
                </c:pt>
                <c:pt idx="1330">
                  <c:v>20.261600000000001</c:v>
                </c:pt>
                <c:pt idx="1331">
                  <c:v>20.276900000000001</c:v>
                </c:pt>
                <c:pt idx="1332">
                  <c:v>20.292100000000001</c:v>
                </c:pt>
                <c:pt idx="1333">
                  <c:v>20.307300000000001</c:v>
                </c:pt>
                <c:pt idx="1334">
                  <c:v>20.322600000000001</c:v>
                </c:pt>
                <c:pt idx="1335">
                  <c:v>20.337800000000001</c:v>
                </c:pt>
                <c:pt idx="1336">
                  <c:v>20.353000000000002</c:v>
                </c:pt>
                <c:pt idx="1337">
                  <c:v>20.368300000000001</c:v>
                </c:pt>
                <c:pt idx="1338">
                  <c:v>20.383500000000002</c:v>
                </c:pt>
                <c:pt idx="1339">
                  <c:v>20.398800000000001</c:v>
                </c:pt>
                <c:pt idx="1340">
                  <c:v>20.414000000000001</c:v>
                </c:pt>
                <c:pt idx="1341">
                  <c:v>20.429200000000002</c:v>
                </c:pt>
                <c:pt idx="1342">
                  <c:v>20.444500000000001</c:v>
                </c:pt>
                <c:pt idx="1343">
                  <c:v>20.459700000000002</c:v>
                </c:pt>
                <c:pt idx="1344">
                  <c:v>20.474900000000002</c:v>
                </c:pt>
                <c:pt idx="1345">
                  <c:v>20.490200000000002</c:v>
                </c:pt>
                <c:pt idx="1346">
                  <c:v>20.505400000000002</c:v>
                </c:pt>
                <c:pt idx="1347">
                  <c:v>20.520600000000002</c:v>
                </c:pt>
                <c:pt idx="1348">
                  <c:v>20.535900000000002</c:v>
                </c:pt>
                <c:pt idx="1349">
                  <c:v>20.551100000000002</c:v>
                </c:pt>
                <c:pt idx="1350">
                  <c:v>20.566299999999998</c:v>
                </c:pt>
                <c:pt idx="1351">
                  <c:v>20.581600000000002</c:v>
                </c:pt>
                <c:pt idx="1352">
                  <c:v>20.596800000000002</c:v>
                </c:pt>
                <c:pt idx="1353">
                  <c:v>20.611999999999998</c:v>
                </c:pt>
                <c:pt idx="1354">
                  <c:v>20.627300000000002</c:v>
                </c:pt>
                <c:pt idx="1355">
                  <c:v>20.642499999999998</c:v>
                </c:pt>
                <c:pt idx="1356">
                  <c:v>20.657699999999998</c:v>
                </c:pt>
                <c:pt idx="1357">
                  <c:v>20.672999999999998</c:v>
                </c:pt>
                <c:pt idx="1358">
                  <c:v>20.688199999999998</c:v>
                </c:pt>
                <c:pt idx="1359">
                  <c:v>20.703399999999998</c:v>
                </c:pt>
                <c:pt idx="1360">
                  <c:v>20.718699999999998</c:v>
                </c:pt>
                <c:pt idx="1361">
                  <c:v>20.733899999999998</c:v>
                </c:pt>
                <c:pt idx="1362">
                  <c:v>20.749099999999999</c:v>
                </c:pt>
                <c:pt idx="1363">
                  <c:v>20.764399999999998</c:v>
                </c:pt>
                <c:pt idx="1364">
                  <c:v>20.779599999999999</c:v>
                </c:pt>
                <c:pt idx="1365">
                  <c:v>20.794799999999999</c:v>
                </c:pt>
                <c:pt idx="1366">
                  <c:v>20.810099999999998</c:v>
                </c:pt>
                <c:pt idx="1367">
                  <c:v>20.825299999999999</c:v>
                </c:pt>
                <c:pt idx="1368">
                  <c:v>20.840499999999999</c:v>
                </c:pt>
                <c:pt idx="1369">
                  <c:v>20.855799999999999</c:v>
                </c:pt>
                <c:pt idx="1370">
                  <c:v>20.870999999999999</c:v>
                </c:pt>
                <c:pt idx="1371">
                  <c:v>20.886199999999999</c:v>
                </c:pt>
                <c:pt idx="1372">
                  <c:v>20.901499999999999</c:v>
                </c:pt>
                <c:pt idx="1373">
                  <c:v>20.916699999999999</c:v>
                </c:pt>
                <c:pt idx="1374">
                  <c:v>20.931999999999999</c:v>
                </c:pt>
                <c:pt idx="1375">
                  <c:v>20.947199999999999</c:v>
                </c:pt>
                <c:pt idx="1376">
                  <c:v>20.962399999999999</c:v>
                </c:pt>
                <c:pt idx="1377">
                  <c:v>20.977699999999999</c:v>
                </c:pt>
                <c:pt idx="1378">
                  <c:v>20.992899999999999</c:v>
                </c:pt>
                <c:pt idx="1379">
                  <c:v>21.008099999999999</c:v>
                </c:pt>
                <c:pt idx="1380">
                  <c:v>21.023399999999999</c:v>
                </c:pt>
                <c:pt idx="1381">
                  <c:v>21.038599999999999</c:v>
                </c:pt>
                <c:pt idx="1382">
                  <c:v>21.053799999999999</c:v>
                </c:pt>
                <c:pt idx="1383">
                  <c:v>21.069099999999999</c:v>
                </c:pt>
                <c:pt idx="1384">
                  <c:v>21.084299999999999</c:v>
                </c:pt>
                <c:pt idx="1385">
                  <c:v>21.099499999999999</c:v>
                </c:pt>
                <c:pt idx="1386">
                  <c:v>21.114799999999999</c:v>
                </c:pt>
                <c:pt idx="1387">
                  <c:v>21.13</c:v>
                </c:pt>
                <c:pt idx="1388">
                  <c:v>21.145199999999999</c:v>
                </c:pt>
                <c:pt idx="1389">
                  <c:v>21.160499999999999</c:v>
                </c:pt>
                <c:pt idx="1390">
                  <c:v>21.175699999999999</c:v>
                </c:pt>
                <c:pt idx="1391">
                  <c:v>21.190899999999999</c:v>
                </c:pt>
                <c:pt idx="1392">
                  <c:v>21.206199999999999</c:v>
                </c:pt>
                <c:pt idx="1393">
                  <c:v>21.221399999999999</c:v>
                </c:pt>
                <c:pt idx="1394">
                  <c:v>21.236599999999999</c:v>
                </c:pt>
                <c:pt idx="1395">
                  <c:v>21.251899999999999</c:v>
                </c:pt>
                <c:pt idx="1396">
                  <c:v>21.267099999999999</c:v>
                </c:pt>
                <c:pt idx="1397">
                  <c:v>21.282299999999999</c:v>
                </c:pt>
                <c:pt idx="1398">
                  <c:v>21.297599999999999</c:v>
                </c:pt>
                <c:pt idx="1399">
                  <c:v>21.312799999999999</c:v>
                </c:pt>
                <c:pt idx="1400">
                  <c:v>21.327999999999999</c:v>
                </c:pt>
                <c:pt idx="1401">
                  <c:v>21.343299999999999</c:v>
                </c:pt>
                <c:pt idx="1402">
                  <c:v>21.358499999999999</c:v>
                </c:pt>
                <c:pt idx="1403">
                  <c:v>21.373699999999999</c:v>
                </c:pt>
                <c:pt idx="1404">
                  <c:v>21.388999999999999</c:v>
                </c:pt>
                <c:pt idx="1405">
                  <c:v>21.404199999999999</c:v>
                </c:pt>
                <c:pt idx="1406">
                  <c:v>21.419499999999999</c:v>
                </c:pt>
                <c:pt idx="1407">
                  <c:v>21.434699999999999</c:v>
                </c:pt>
                <c:pt idx="1408">
                  <c:v>21.4499</c:v>
                </c:pt>
                <c:pt idx="1409">
                  <c:v>21.465199999999999</c:v>
                </c:pt>
                <c:pt idx="1410">
                  <c:v>21.480399999999999</c:v>
                </c:pt>
                <c:pt idx="1411">
                  <c:v>21.4956</c:v>
                </c:pt>
                <c:pt idx="1412">
                  <c:v>21.510899999999999</c:v>
                </c:pt>
                <c:pt idx="1413">
                  <c:v>21.5261</c:v>
                </c:pt>
                <c:pt idx="1414">
                  <c:v>21.5413</c:v>
                </c:pt>
                <c:pt idx="1415">
                  <c:v>21.5566</c:v>
                </c:pt>
                <c:pt idx="1416">
                  <c:v>21.5718</c:v>
                </c:pt>
                <c:pt idx="1417">
                  <c:v>21.587</c:v>
                </c:pt>
                <c:pt idx="1418">
                  <c:v>21.6023</c:v>
                </c:pt>
                <c:pt idx="1419">
                  <c:v>21.6175</c:v>
                </c:pt>
                <c:pt idx="1420">
                  <c:v>21.6327</c:v>
                </c:pt>
                <c:pt idx="1421">
                  <c:v>21.648</c:v>
                </c:pt>
                <c:pt idx="1422">
                  <c:v>21.6632</c:v>
                </c:pt>
                <c:pt idx="1423">
                  <c:v>21.6784</c:v>
                </c:pt>
                <c:pt idx="1424">
                  <c:v>21.6937</c:v>
                </c:pt>
                <c:pt idx="1425">
                  <c:v>21.7089</c:v>
                </c:pt>
                <c:pt idx="1426">
                  <c:v>21.7241</c:v>
                </c:pt>
                <c:pt idx="1427">
                  <c:v>21.7394</c:v>
                </c:pt>
                <c:pt idx="1428">
                  <c:v>21.7546</c:v>
                </c:pt>
                <c:pt idx="1429">
                  <c:v>21.7698</c:v>
                </c:pt>
                <c:pt idx="1430">
                  <c:v>21.7851</c:v>
                </c:pt>
                <c:pt idx="1431">
                  <c:v>21.8003</c:v>
                </c:pt>
                <c:pt idx="1432">
                  <c:v>21.8155</c:v>
                </c:pt>
                <c:pt idx="1433">
                  <c:v>21.8308</c:v>
                </c:pt>
                <c:pt idx="1434">
                  <c:v>21.846</c:v>
                </c:pt>
                <c:pt idx="1435">
                  <c:v>21.8612</c:v>
                </c:pt>
                <c:pt idx="1436">
                  <c:v>21.8765</c:v>
                </c:pt>
                <c:pt idx="1437">
                  <c:v>21.8917</c:v>
                </c:pt>
                <c:pt idx="1438">
                  <c:v>21.9069</c:v>
                </c:pt>
                <c:pt idx="1439">
                  <c:v>21.9222</c:v>
                </c:pt>
                <c:pt idx="1440">
                  <c:v>21.9374</c:v>
                </c:pt>
                <c:pt idx="1441">
                  <c:v>21.9527</c:v>
                </c:pt>
                <c:pt idx="1442">
                  <c:v>21.9679</c:v>
                </c:pt>
                <c:pt idx="1443">
                  <c:v>21.9831</c:v>
                </c:pt>
                <c:pt idx="1444">
                  <c:v>21.9984</c:v>
                </c:pt>
                <c:pt idx="1445">
                  <c:v>22.0136</c:v>
                </c:pt>
                <c:pt idx="1446">
                  <c:v>22.0288</c:v>
                </c:pt>
                <c:pt idx="1447">
                  <c:v>22.0441</c:v>
                </c:pt>
                <c:pt idx="1448">
                  <c:v>22.0593</c:v>
                </c:pt>
                <c:pt idx="1449">
                  <c:v>22.0745</c:v>
                </c:pt>
                <c:pt idx="1450">
                  <c:v>22.0898</c:v>
                </c:pt>
                <c:pt idx="1451">
                  <c:v>22.105</c:v>
                </c:pt>
                <c:pt idx="1452">
                  <c:v>22.120200000000001</c:v>
                </c:pt>
                <c:pt idx="1453">
                  <c:v>22.1355</c:v>
                </c:pt>
                <c:pt idx="1454">
                  <c:v>22.150700000000001</c:v>
                </c:pt>
                <c:pt idx="1455">
                  <c:v>22.165900000000001</c:v>
                </c:pt>
                <c:pt idx="1456">
                  <c:v>22.1812</c:v>
                </c:pt>
                <c:pt idx="1457">
                  <c:v>22.196400000000001</c:v>
                </c:pt>
                <c:pt idx="1458">
                  <c:v>22.211600000000001</c:v>
                </c:pt>
                <c:pt idx="1459">
                  <c:v>22.226900000000001</c:v>
                </c:pt>
                <c:pt idx="1460">
                  <c:v>22.242100000000001</c:v>
                </c:pt>
                <c:pt idx="1461">
                  <c:v>22.257300000000001</c:v>
                </c:pt>
                <c:pt idx="1462">
                  <c:v>22.272600000000001</c:v>
                </c:pt>
                <c:pt idx="1463">
                  <c:v>22.287800000000001</c:v>
                </c:pt>
                <c:pt idx="1464">
                  <c:v>22.303000000000001</c:v>
                </c:pt>
                <c:pt idx="1465">
                  <c:v>22.318300000000001</c:v>
                </c:pt>
                <c:pt idx="1466">
                  <c:v>22.333500000000001</c:v>
                </c:pt>
                <c:pt idx="1467">
                  <c:v>22.348700000000001</c:v>
                </c:pt>
                <c:pt idx="1468">
                  <c:v>22.364000000000001</c:v>
                </c:pt>
                <c:pt idx="1469">
                  <c:v>22.379200000000001</c:v>
                </c:pt>
                <c:pt idx="1470">
                  <c:v>22.394400000000001</c:v>
                </c:pt>
                <c:pt idx="1471">
                  <c:v>22.409700000000001</c:v>
                </c:pt>
                <c:pt idx="1472">
                  <c:v>22.424900000000001</c:v>
                </c:pt>
                <c:pt idx="1473">
                  <c:v>22.440100000000001</c:v>
                </c:pt>
                <c:pt idx="1474">
                  <c:v>22.455400000000001</c:v>
                </c:pt>
                <c:pt idx="1475">
                  <c:v>22.470600000000001</c:v>
                </c:pt>
                <c:pt idx="1476">
                  <c:v>22.485900000000001</c:v>
                </c:pt>
                <c:pt idx="1477">
                  <c:v>22.501100000000001</c:v>
                </c:pt>
                <c:pt idx="1478">
                  <c:v>22.516300000000001</c:v>
                </c:pt>
                <c:pt idx="1479">
                  <c:v>22.531600000000001</c:v>
                </c:pt>
                <c:pt idx="1480">
                  <c:v>22.546800000000001</c:v>
                </c:pt>
                <c:pt idx="1481">
                  <c:v>22.562000000000001</c:v>
                </c:pt>
                <c:pt idx="1482">
                  <c:v>22.577300000000001</c:v>
                </c:pt>
                <c:pt idx="1483">
                  <c:v>22.592500000000001</c:v>
                </c:pt>
                <c:pt idx="1484">
                  <c:v>22.607700000000001</c:v>
                </c:pt>
                <c:pt idx="1485">
                  <c:v>22.623000000000001</c:v>
                </c:pt>
                <c:pt idx="1486">
                  <c:v>22.638200000000001</c:v>
                </c:pt>
                <c:pt idx="1487">
                  <c:v>22.653400000000001</c:v>
                </c:pt>
                <c:pt idx="1488">
                  <c:v>22.668700000000001</c:v>
                </c:pt>
                <c:pt idx="1489">
                  <c:v>22.683900000000001</c:v>
                </c:pt>
                <c:pt idx="1490">
                  <c:v>22.699100000000001</c:v>
                </c:pt>
                <c:pt idx="1491">
                  <c:v>22.714400000000001</c:v>
                </c:pt>
                <c:pt idx="1492">
                  <c:v>22.729600000000001</c:v>
                </c:pt>
                <c:pt idx="1493">
                  <c:v>22.744800000000001</c:v>
                </c:pt>
                <c:pt idx="1494">
                  <c:v>22.760100000000001</c:v>
                </c:pt>
                <c:pt idx="1495">
                  <c:v>22.775300000000001</c:v>
                </c:pt>
                <c:pt idx="1496">
                  <c:v>22.790500000000002</c:v>
                </c:pt>
                <c:pt idx="1497">
                  <c:v>22.805800000000001</c:v>
                </c:pt>
                <c:pt idx="1498">
                  <c:v>22.821000000000002</c:v>
                </c:pt>
                <c:pt idx="1499">
                  <c:v>22.836200000000002</c:v>
                </c:pt>
                <c:pt idx="1500">
                  <c:v>22.851500000000001</c:v>
                </c:pt>
                <c:pt idx="1501">
                  <c:v>22.866700000000002</c:v>
                </c:pt>
                <c:pt idx="1502">
                  <c:v>22.881900000000002</c:v>
                </c:pt>
                <c:pt idx="1503">
                  <c:v>22.897200000000002</c:v>
                </c:pt>
                <c:pt idx="1504">
                  <c:v>22.912400000000002</c:v>
                </c:pt>
                <c:pt idx="1505">
                  <c:v>22.927600000000002</c:v>
                </c:pt>
                <c:pt idx="1506">
                  <c:v>22.942900000000002</c:v>
                </c:pt>
                <c:pt idx="1507">
                  <c:v>22.958100000000002</c:v>
                </c:pt>
                <c:pt idx="1508">
                  <c:v>22.973400000000002</c:v>
                </c:pt>
                <c:pt idx="1509">
                  <c:v>22.988600000000002</c:v>
                </c:pt>
                <c:pt idx="1510">
                  <c:v>23.003799999999998</c:v>
                </c:pt>
                <c:pt idx="1511">
                  <c:v>23.019100000000002</c:v>
                </c:pt>
                <c:pt idx="1512">
                  <c:v>23.034300000000002</c:v>
                </c:pt>
                <c:pt idx="1513">
                  <c:v>23.049499999999998</c:v>
                </c:pt>
                <c:pt idx="1514">
                  <c:v>23.064800000000002</c:v>
                </c:pt>
                <c:pt idx="1515">
                  <c:v>23.08</c:v>
                </c:pt>
                <c:pt idx="1516">
                  <c:v>23.095199999999998</c:v>
                </c:pt>
                <c:pt idx="1517">
                  <c:v>23.110499999999998</c:v>
                </c:pt>
                <c:pt idx="1518">
                  <c:v>23.125699999999998</c:v>
                </c:pt>
                <c:pt idx="1519">
                  <c:v>23.140899999999998</c:v>
                </c:pt>
                <c:pt idx="1520">
                  <c:v>23.156199999999998</c:v>
                </c:pt>
                <c:pt idx="1521">
                  <c:v>23.171399999999998</c:v>
                </c:pt>
                <c:pt idx="1522">
                  <c:v>23.186599999999999</c:v>
                </c:pt>
                <c:pt idx="1523">
                  <c:v>23.201899999999998</c:v>
                </c:pt>
                <c:pt idx="1524">
                  <c:v>23.217099999999999</c:v>
                </c:pt>
                <c:pt idx="1525">
                  <c:v>23.232299999999999</c:v>
                </c:pt>
                <c:pt idx="1526">
                  <c:v>23.247599999999998</c:v>
                </c:pt>
                <c:pt idx="1527">
                  <c:v>23.262799999999999</c:v>
                </c:pt>
                <c:pt idx="1528">
                  <c:v>23.277999999999999</c:v>
                </c:pt>
                <c:pt idx="1529">
                  <c:v>23.293299999999999</c:v>
                </c:pt>
                <c:pt idx="1530">
                  <c:v>23.308499999999999</c:v>
                </c:pt>
                <c:pt idx="1531">
                  <c:v>23.323699999999999</c:v>
                </c:pt>
                <c:pt idx="1532">
                  <c:v>23.338999999999999</c:v>
                </c:pt>
                <c:pt idx="1533">
                  <c:v>23.354199999999999</c:v>
                </c:pt>
                <c:pt idx="1534">
                  <c:v>23.369399999999999</c:v>
                </c:pt>
                <c:pt idx="1535">
                  <c:v>23.384699999999999</c:v>
                </c:pt>
                <c:pt idx="1536">
                  <c:v>23.399899999999999</c:v>
                </c:pt>
                <c:pt idx="1537">
                  <c:v>23.415099999999999</c:v>
                </c:pt>
                <c:pt idx="1538">
                  <c:v>23.430399999999999</c:v>
                </c:pt>
                <c:pt idx="1539">
                  <c:v>23.445599999999999</c:v>
                </c:pt>
                <c:pt idx="1540">
                  <c:v>23.460799999999999</c:v>
                </c:pt>
                <c:pt idx="1541">
                  <c:v>23.476099999999999</c:v>
                </c:pt>
                <c:pt idx="1542">
                  <c:v>23.491299999999999</c:v>
                </c:pt>
                <c:pt idx="1543">
                  <c:v>23.506599999999999</c:v>
                </c:pt>
                <c:pt idx="1544">
                  <c:v>23.521799999999999</c:v>
                </c:pt>
                <c:pt idx="1545">
                  <c:v>23.536999999999999</c:v>
                </c:pt>
                <c:pt idx="1546">
                  <c:v>23.552299999999999</c:v>
                </c:pt>
                <c:pt idx="1547">
                  <c:v>23.567499999999999</c:v>
                </c:pt>
                <c:pt idx="1548">
                  <c:v>23.582699999999999</c:v>
                </c:pt>
                <c:pt idx="1549">
                  <c:v>23.597999999999999</c:v>
                </c:pt>
                <c:pt idx="1550">
                  <c:v>23.613199999999999</c:v>
                </c:pt>
                <c:pt idx="1551">
                  <c:v>23.628399999999999</c:v>
                </c:pt>
                <c:pt idx="1552">
                  <c:v>23.643699999999999</c:v>
                </c:pt>
                <c:pt idx="1553">
                  <c:v>23.658899999999999</c:v>
                </c:pt>
                <c:pt idx="1554">
                  <c:v>23.674099999999999</c:v>
                </c:pt>
                <c:pt idx="1555">
                  <c:v>23.689399999999999</c:v>
                </c:pt>
                <c:pt idx="1556">
                  <c:v>23.704599999999999</c:v>
                </c:pt>
                <c:pt idx="1557">
                  <c:v>23.719799999999999</c:v>
                </c:pt>
                <c:pt idx="1558">
                  <c:v>23.735099999999999</c:v>
                </c:pt>
                <c:pt idx="1559">
                  <c:v>23.750299999999999</c:v>
                </c:pt>
                <c:pt idx="1560">
                  <c:v>23.765499999999999</c:v>
                </c:pt>
                <c:pt idx="1561">
                  <c:v>23.780799999999999</c:v>
                </c:pt>
                <c:pt idx="1562">
                  <c:v>23.795999999999999</c:v>
                </c:pt>
                <c:pt idx="1563">
                  <c:v>23.811199999999999</c:v>
                </c:pt>
                <c:pt idx="1564">
                  <c:v>23.826499999999999</c:v>
                </c:pt>
                <c:pt idx="1565">
                  <c:v>23.841699999999999</c:v>
                </c:pt>
                <c:pt idx="1566">
                  <c:v>23.8569</c:v>
                </c:pt>
                <c:pt idx="1567">
                  <c:v>23.872199999999999</c:v>
                </c:pt>
                <c:pt idx="1568">
                  <c:v>23.8874</c:v>
                </c:pt>
                <c:pt idx="1569">
                  <c:v>23.9026</c:v>
                </c:pt>
                <c:pt idx="1570">
                  <c:v>23.917899999999999</c:v>
                </c:pt>
                <c:pt idx="1571">
                  <c:v>23.9331</c:v>
                </c:pt>
                <c:pt idx="1572">
                  <c:v>23.9483</c:v>
                </c:pt>
                <c:pt idx="1573">
                  <c:v>23.9636</c:v>
                </c:pt>
                <c:pt idx="1574">
                  <c:v>23.9788</c:v>
                </c:pt>
                <c:pt idx="1575">
                  <c:v>23.9941</c:v>
                </c:pt>
                <c:pt idx="1576">
                  <c:v>24.0093</c:v>
                </c:pt>
                <c:pt idx="1577">
                  <c:v>24.0245</c:v>
                </c:pt>
                <c:pt idx="1578">
                  <c:v>24.0398</c:v>
                </c:pt>
                <c:pt idx="1579">
                  <c:v>24.055</c:v>
                </c:pt>
                <c:pt idx="1580">
                  <c:v>24.0702</c:v>
                </c:pt>
                <c:pt idx="1581">
                  <c:v>24.0855</c:v>
                </c:pt>
                <c:pt idx="1582">
                  <c:v>24.1007</c:v>
                </c:pt>
                <c:pt idx="1583">
                  <c:v>24.1159</c:v>
                </c:pt>
                <c:pt idx="1584">
                  <c:v>24.1312</c:v>
                </c:pt>
                <c:pt idx="1585">
                  <c:v>24.1464</c:v>
                </c:pt>
                <c:pt idx="1586">
                  <c:v>24.1616</c:v>
                </c:pt>
                <c:pt idx="1587">
                  <c:v>24.1769</c:v>
                </c:pt>
                <c:pt idx="1588">
                  <c:v>24.1921</c:v>
                </c:pt>
                <c:pt idx="1589">
                  <c:v>24.2073</c:v>
                </c:pt>
                <c:pt idx="1590">
                  <c:v>24.2226</c:v>
                </c:pt>
                <c:pt idx="1591">
                  <c:v>24.2378</c:v>
                </c:pt>
                <c:pt idx="1592">
                  <c:v>24.253</c:v>
                </c:pt>
                <c:pt idx="1593">
                  <c:v>24.2683</c:v>
                </c:pt>
                <c:pt idx="1594">
                  <c:v>24.2835</c:v>
                </c:pt>
                <c:pt idx="1595">
                  <c:v>24.2987</c:v>
                </c:pt>
                <c:pt idx="1596">
                  <c:v>24.314</c:v>
                </c:pt>
                <c:pt idx="1597">
                  <c:v>24.3292</c:v>
                </c:pt>
                <c:pt idx="1598">
                  <c:v>24.3444</c:v>
                </c:pt>
                <c:pt idx="1599">
                  <c:v>24.3597</c:v>
                </c:pt>
                <c:pt idx="1600">
                  <c:v>24.3749</c:v>
                </c:pt>
                <c:pt idx="1601">
                  <c:v>24.3901</c:v>
                </c:pt>
                <c:pt idx="1602">
                  <c:v>24.4054</c:v>
                </c:pt>
                <c:pt idx="1603">
                  <c:v>24.4206</c:v>
                </c:pt>
                <c:pt idx="1604">
                  <c:v>24.4358</c:v>
                </c:pt>
                <c:pt idx="1605">
                  <c:v>24.4511</c:v>
                </c:pt>
                <c:pt idx="1606">
                  <c:v>24.4663</c:v>
                </c:pt>
                <c:pt idx="1607">
                  <c:v>24.4815</c:v>
                </c:pt>
                <c:pt idx="1608">
                  <c:v>24.4968</c:v>
                </c:pt>
                <c:pt idx="1609">
                  <c:v>24.512</c:v>
                </c:pt>
                <c:pt idx="1610">
                  <c:v>24.5273</c:v>
                </c:pt>
                <c:pt idx="1611">
                  <c:v>24.5425</c:v>
                </c:pt>
                <c:pt idx="1612">
                  <c:v>24.557700000000001</c:v>
                </c:pt>
                <c:pt idx="1613">
                  <c:v>24.573</c:v>
                </c:pt>
                <c:pt idx="1614">
                  <c:v>24.588200000000001</c:v>
                </c:pt>
                <c:pt idx="1615">
                  <c:v>24.603400000000001</c:v>
                </c:pt>
                <c:pt idx="1616">
                  <c:v>24.6187</c:v>
                </c:pt>
                <c:pt idx="1617">
                  <c:v>24.633900000000001</c:v>
                </c:pt>
                <c:pt idx="1618">
                  <c:v>24.649100000000001</c:v>
                </c:pt>
                <c:pt idx="1619">
                  <c:v>24.664400000000001</c:v>
                </c:pt>
                <c:pt idx="1620">
                  <c:v>24.679600000000001</c:v>
                </c:pt>
                <c:pt idx="1621">
                  <c:v>24.694800000000001</c:v>
                </c:pt>
                <c:pt idx="1622">
                  <c:v>24.710100000000001</c:v>
                </c:pt>
                <c:pt idx="1623">
                  <c:v>24.725300000000001</c:v>
                </c:pt>
                <c:pt idx="1624">
                  <c:v>24.740500000000001</c:v>
                </c:pt>
                <c:pt idx="1625">
                  <c:v>24.755800000000001</c:v>
                </c:pt>
                <c:pt idx="1626">
                  <c:v>24.771000000000001</c:v>
                </c:pt>
                <c:pt idx="1627">
                  <c:v>24.786200000000001</c:v>
                </c:pt>
                <c:pt idx="1628">
                  <c:v>24.801500000000001</c:v>
                </c:pt>
                <c:pt idx="1629">
                  <c:v>24.816700000000001</c:v>
                </c:pt>
                <c:pt idx="1630">
                  <c:v>24.831900000000001</c:v>
                </c:pt>
                <c:pt idx="1631">
                  <c:v>24.847200000000001</c:v>
                </c:pt>
                <c:pt idx="1632">
                  <c:v>24.862400000000001</c:v>
                </c:pt>
                <c:pt idx="1633">
                  <c:v>24.877600000000001</c:v>
                </c:pt>
                <c:pt idx="1634">
                  <c:v>24.892900000000001</c:v>
                </c:pt>
                <c:pt idx="1635">
                  <c:v>24.908100000000001</c:v>
                </c:pt>
                <c:pt idx="1636">
                  <c:v>24.923300000000001</c:v>
                </c:pt>
                <c:pt idx="1637">
                  <c:v>24.938600000000001</c:v>
                </c:pt>
                <c:pt idx="1638">
                  <c:v>24.953800000000001</c:v>
                </c:pt>
                <c:pt idx="1639">
                  <c:v>24.969000000000001</c:v>
                </c:pt>
                <c:pt idx="1640">
                  <c:v>24.984300000000001</c:v>
                </c:pt>
                <c:pt idx="1641">
                  <c:v>24.999500000000001</c:v>
                </c:pt>
                <c:pt idx="1642">
                  <c:v>25.014700000000001</c:v>
                </c:pt>
                <c:pt idx="1643">
                  <c:v>25.03</c:v>
                </c:pt>
                <c:pt idx="1644">
                  <c:v>25.045200000000001</c:v>
                </c:pt>
                <c:pt idx="1645">
                  <c:v>25.060500000000001</c:v>
                </c:pt>
                <c:pt idx="1646">
                  <c:v>25.075700000000001</c:v>
                </c:pt>
                <c:pt idx="1647">
                  <c:v>25.090900000000001</c:v>
                </c:pt>
                <c:pt idx="1648">
                  <c:v>25.106200000000001</c:v>
                </c:pt>
                <c:pt idx="1649">
                  <c:v>25.121400000000001</c:v>
                </c:pt>
                <c:pt idx="1650">
                  <c:v>25.136600000000001</c:v>
                </c:pt>
                <c:pt idx="1651">
                  <c:v>25.151900000000001</c:v>
                </c:pt>
                <c:pt idx="1652">
                  <c:v>25.167100000000001</c:v>
                </c:pt>
                <c:pt idx="1653">
                  <c:v>25.182300000000001</c:v>
                </c:pt>
                <c:pt idx="1654">
                  <c:v>25.197600000000001</c:v>
                </c:pt>
                <c:pt idx="1655">
                  <c:v>25.212800000000001</c:v>
                </c:pt>
                <c:pt idx="1656">
                  <c:v>25.228000000000002</c:v>
                </c:pt>
                <c:pt idx="1657">
                  <c:v>25.243300000000001</c:v>
                </c:pt>
                <c:pt idx="1658">
                  <c:v>25.258500000000002</c:v>
                </c:pt>
                <c:pt idx="1659">
                  <c:v>25.273700000000002</c:v>
                </c:pt>
                <c:pt idx="1660">
                  <c:v>25.289000000000001</c:v>
                </c:pt>
                <c:pt idx="1661">
                  <c:v>25.304200000000002</c:v>
                </c:pt>
                <c:pt idx="1662">
                  <c:v>25.319400000000002</c:v>
                </c:pt>
                <c:pt idx="1663">
                  <c:v>25.334700000000002</c:v>
                </c:pt>
                <c:pt idx="1664">
                  <c:v>25.349900000000002</c:v>
                </c:pt>
                <c:pt idx="1665">
                  <c:v>25.365100000000002</c:v>
                </c:pt>
                <c:pt idx="1666">
                  <c:v>25.380400000000002</c:v>
                </c:pt>
                <c:pt idx="1667">
                  <c:v>25.395600000000002</c:v>
                </c:pt>
                <c:pt idx="1668">
                  <c:v>25.410799999999998</c:v>
                </c:pt>
                <c:pt idx="1669">
                  <c:v>25.426100000000002</c:v>
                </c:pt>
                <c:pt idx="1670">
                  <c:v>25.441299999999998</c:v>
                </c:pt>
                <c:pt idx="1671">
                  <c:v>25.456499999999998</c:v>
                </c:pt>
                <c:pt idx="1672">
                  <c:v>25.471800000000002</c:v>
                </c:pt>
                <c:pt idx="1673">
                  <c:v>25.486999999999998</c:v>
                </c:pt>
                <c:pt idx="1674">
                  <c:v>25.502199999999998</c:v>
                </c:pt>
                <c:pt idx="1675">
                  <c:v>25.517499999999998</c:v>
                </c:pt>
                <c:pt idx="1676">
                  <c:v>25.532699999999998</c:v>
                </c:pt>
                <c:pt idx="1677">
                  <c:v>25.547999999999998</c:v>
                </c:pt>
                <c:pt idx="1678">
                  <c:v>25.563199999999998</c:v>
                </c:pt>
                <c:pt idx="1679">
                  <c:v>25.578399999999998</c:v>
                </c:pt>
                <c:pt idx="1680">
                  <c:v>25.593699999999998</c:v>
                </c:pt>
                <c:pt idx="1681">
                  <c:v>25.608899999999998</c:v>
                </c:pt>
                <c:pt idx="1682">
                  <c:v>25.624099999999999</c:v>
                </c:pt>
                <c:pt idx="1683">
                  <c:v>25.639399999999998</c:v>
                </c:pt>
                <c:pt idx="1684">
                  <c:v>25.654599999999999</c:v>
                </c:pt>
                <c:pt idx="1685">
                  <c:v>25.669799999999999</c:v>
                </c:pt>
                <c:pt idx="1686">
                  <c:v>25.685099999999998</c:v>
                </c:pt>
                <c:pt idx="1687">
                  <c:v>25.700299999999999</c:v>
                </c:pt>
                <c:pt idx="1688">
                  <c:v>25.715499999999999</c:v>
                </c:pt>
                <c:pt idx="1689">
                  <c:v>25.730799999999999</c:v>
                </c:pt>
                <c:pt idx="1690">
                  <c:v>25.745999999999999</c:v>
                </c:pt>
                <c:pt idx="1691">
                  <c:v>25.761199999999999</c:v>
                </c:pt>
                <c:pt idx="1692">
                  <c:v>25.776499999999999</c:v>
                </c:pt>
                <c:pt idx="1693">
                  <c:v>25.791699999999999</c:v>
                </c:pt>
                <c:pt idx="1694">
                  <c:v>25.806899999999999</c:v>
                </c:pt>
                <c:pt idx="1695">
                  <c:v>25.822199999999999</c:v>
                </c:pt>
                <c:pt idx="1696">
                  <c:v>25.837399999999999</c:v>
                </c:pt>
                <c:pt idx="1697">
                  <c:v>25.852599999999999</c:v>
                </c:pt>
                <c:pt idx="1698">
                  <c:v>25.867899999999999</c:v>
                </c:pt>
                <c:pt idx="1699">
                  <c:v>25.883099999999999</c:v>
                </c:pt>
                <c:pt idx="1700">
                  <c:v>25.898299999999999</c:v>
                </c:pt>
                <c:pt idx="1701">
                  <c:v>25.913599999999999</c:v>
                </c:pt>
                <c:pt idx="1702">
                  <c:v>25.928799999999999</c:v>
                </c:pt>
                <c:pt idx="1703">
                  <c:v>25.943999999999999</c:v>
                </c:pt>
                <c:pt idx="1704">
                  <c:v>25.959299999999999</c:v>
                </c:pt>
                <c:pt idx="1705">
                  <c:v>25.974499999999999</c:v>
                </c:pt>
                <c:pt idx="1706">
                  <c:v>25.989699999999999</c:v>
                </c:pt>
                <c:pt idx="1707">
                  <c:v>26.004999999999999</c:v>
                </c:pt>
                <c:pt idx="1708">
                  <c:v>26.020199999999999</c:v>
                </c:pt>
                <c:pt idx="1709">
                  <c:v>26.035399999999999</c:v>
                </c:pt>
                <c:pt idx="1710">
                  <c:v>26.050699999999999</c:v>
                </c:pt>
                <c:pt idx="1711">
                  <c:v>26.065899999999999</c:v>
                </c:pt>
                <c:pt idx="1712">
                  <c:v>26.081199999999999</c:v>
                </c:pt>
                <c:pt idx="1713">
                  <c:v>26.096399999999999</c:v>
                </c:pt>
                <c:pt idx="1714">
                  <c:v>26.111599999999999</c:v>
                </c:pt>
                <c:pt idx="1715">
                  <c:v>26.126899999999999</c:v>
                </c:pt>
                <c:pt idx="1716">
                  <c:v>26.142099999999999</c:v>
                </c:pt>
                <c:pt idx="1717">
                  <c:v>26.157299999999999</c:v>
                </c:pt>
                <c:pt idx="1718">
                  <c:v>26.172599999999999</c:v>
                </c:pt>
                <c:pt idx="1719">
                  <c:v>26.187799999999999</c:v>
                </c:pt>
                <c:pt idx="1720">
                  <c:v>26.202999999999999</c:v>
                </c:pt>
                <c:pt idx="1721">
                  <c:v>26.218299999999999</c:v>
                </c:pt>
                <c:pt idx="1722">
                  <c:v>26.233499999999999</c:v>
                </c:pt>
                <c:pt idx="1723">
                  <c:v>26.248699999999999</c:v>
                </c:pt>
                <c:pt idx="1724">
                  <c:v>26.263999999999999</c:v>
                </c:pt>
                <c:pt idx="1725">
                  <c:v>26.279199999999999</c:v>
                </c:pt>
                <c:pt idx="1726">
                  <c:v>26.2944</c:v>
                </c:pt>
                <c:pt idx="1727">
                  <c:v>26.309699999999999</c:v>
                </c:pt>
                <c:pt idx="1728">
                  <c:v>26.3249</c:v>
                </c:pt>
                <c:pt idx="1729">
                  <c:v>26.3401</c:v>
                </c:pt>
                <c:pt idx="1730">
                  <c:v>26.355399999999999</c:v>
                </c:pt>
                <c:pt idx="1731">
                  <c:v>26.3706</c:v>
                </c:pt>
                <c:pt idx="1732">
                  <c:v>26.3858</c:v>
                </c:pt>
                <c:pt idx="1733">
                  <c:v>26.4011</c:v>
                </c:pt>
                <c:pt idx="1734">
                  <c:v>26.4163</c:v>
                </c:pt>
                <c:pt idx="1735">
                  <c:v>26.4315</c:v>
                </c:pt>
                <c:pt idx="1736">
                  <c:v>26.4468</c:v>
                </c:pt>
                <c:pt idx="1737">
                  <c:v>26.462</c:v>
                </c:pt>
                <c:pt idx="1738">
                  <c:v>26.4772</c:v>
                </c:pt>
                <c:pt idx="1739">
                  <c:v>26.4925</c:v>
                </c:pt>
                <c:pt idx="1740">
                  <c:v>26.5077</c:v>
                </c:pt>
                <c:pt idx="1741">
                  <c:v>26.5229</c:v>
                </c:pt>
                <c:pt idx="1742">
                  <c:v>26.5382</c:v>
                </c:pt>
                <c:pt idx="1743">
                  <c:v>26.5534</c:v>
                </c:pt>
                <c:pt idx="1744">
                  <c:v>26.5687</c:v>
                </c:pt>
                <c:pt idx="1745">
                  <c:v>26.5839</c:v>
                </c:pt>
                <c:pt idx="1746">
                  <c:v>26.5991</c:v>
                </c:pt>
                <c:pt idx="1747">
                  <c:v>26.6144</c:v>
                </c:pt>
                <c:pt idx="1748">
                  <c:v>26.6296</c:v>
                </c:pt>
                <c:pt idx="1749">
                  <c:v>26.6448</c:v>
                </c:pt>
                <c:pt idx="1750">
                  <c:v>26.6601</c:v>
                </c:pt>
                <c:pt idx="1751">
                  <c:v>26.6753</c:v>
                </c:pt>
                <c:pt idx="1752">
                  <c:v>26.6905</c:v>
                </c:pt>
                <c:pt idx="1753">
                  <c:v>26.7058</c:v>
                </c:pt>
                <c:pt idx="1754">
                  <c:v>26.721</c:v>
                </c:pt>
                <c:pt idx="1755">
                  <c:v>26.7362</c:v>
                </c:pt>
                <c:pt idx="1756">
                  <c:v>26.7515</c:v>
                </c:pt>
                <c:pt idx="1757">
                  <c:v>26.7667</c:v>
                </c:pt>
                <c:pt idx="1758">
                  <c:v>26.7819</c:v>
                </c:pt>
                <c:pt idx="1759">
                  <c:v>26.7972</c:v>
                </c:pt>
                <c:pt idx="1760">
                  <c:v>26.8124</c:v>
                </c:pt>
                <c:pt idx="1761">
                  <c:v>26.8276</c:v>
                </c:pt>
                <c:pt idx="1762">
                  <c:v>26.8429</c:v>
                </c:pt>
                <c:pt idx="1763">
                  <c:v>26.8581</c:v>
                </c:pt>
                <c:pt idx="1764">
                  <c:v>26.873329999999999</c:v>
                </c:pt>
                <c:pt idx="1765">
                  <c:v>26.888559999999998</c:v>
                </c:pt>
                <c:pt idx="1766">
                  <c:v>26.903789999999997</c:v>
                </c:pt>
                <c:pt idx="1767">
                  <c:v>26.919019999999996</c:v>
                </c:pt>
                <c:pt idx="1768">
                  <c:v>26.934249999999995</c:v>
                </c:pt>
                <c:pt idx="1769">
                  <c:v>26.949479999999994</c:v>
                </c:pt>
                <c:pt idx="1770">
                  <c:v>26.964709999999993</c:v>
                </c:pt>
                <c:pt idx="1771">
                  <c:v>26.979939999999992</c:v>
                </c:pt>
                <c:pt idx="1772">
                  <c:v>26.995169999999991</c:v>
                </c:pt>
                <c:pt idx="1773">
                  <c:v>27.01039999999999</c:v>
                </c:pt>
                <c:pt idx="1774">
                  <c:v>27.025629999999989</c:v>
                </c:pt>
                <c:pt idx="1775">
                  <c:v>27.040859999999988</c:v>
                </c:pt>
                <c:pt idx="1776">
                  <c:v>27.056089999999987</c:v>
                </c:pt>
                <c:pt idx="1777">
                  <c:v>27.071319999999986</c:v>
                </c:pt>
                <c:pt idx="1778">
                  <c:v>27.086549999999985</c:v>
                </c:pt>
                <c:pt idx="1779">
                  <c:v>27.101779999999984</c:v>
                </c:pt>
                <c:pt idx="1780">
                  <c:v>27.117009999999983</c:v>
                </c:pt>
                <c:pt idx="1781">
                  <c:v>27.132239999999982</c:v>
                </c:pt>
                <c:pt idx="1782">
                  <c:v>27.147469999999981</c:v>
                </c:pt>
                <c:pt idx="1783">
                  <c:v>27.16269999999998</c:v>
                </c:pt>
                <c:pt idx="1784">
                  <c:v>27.177929999999979</c:v>
                </c:pt>
                <c:pt idx="1785">
                  <c:v>27.193159999999978</c:v>
                </c:pt>
                <c:pt idx="1786">
                  <c:v>27.208389999999977</c:v>
                </c:pt>
                <c:pt idx="1787">
                  <c:v>27.223619999999976</c:v>
                </c:pt>
                <c:pt idx="1788">
                  <c:v>27.238849999999974</c:v>
                </c:pt>
                <c:pt idx="1789">
                  <c:v>27.254079999999973</c:v>
                </c:pt>
                <c:pt idx="1790">
                  <c:v>27.269309999999972</c:v>
                </c:pt>
                <c:pt idx="1791">
                  <c:v>27.284539999999971</c:v>
                </c:pt>
                <c:pt idx="1792">
                  <c:v>27.29976999999997</c:v>
                </c:pt>
                <c:pt idx="1793">
                  <c:v>27.314999999999969</c:v>
                </c:pt>
                <c:pt idx="1794">
                  <c:v>27.330229999999968</c:v>
                </c:pt>
                <c:pt idx="1795">
                  <c:v>27.345459999999967</c:v>
                </c:pt>
                <c:pt idx="1796">
                  <c:v>27.360689999999966</c:v>
                </c:pt>
                <c:pt idx="1797">
                  <c:v>27.375919999999965</c:v>
                </c:pt>
                <c:pt idx="1798">
                  <c:v>27.391149999999964</c:v>
                </c:pt>
                <c:pt idx="1799">
                  <c:v>27.406379999999963</c:v>
                </c:pt>
                <c:pt idx="1800">
                  <c:v>27.421609999999962</c:v>
                </c:pt>
                <c:pt idx="1801">
                  <c:v>27.436839999999961</c:v>
                </c:pt>
                <c:pt idx="1802">
                  <c:v>27.45206999999996</c:v>
                </c:pt>
                <c:pt idx="1803">
                  <c:v>27.467299999999959</c:v>
                </c:pt>
                <c:pt idx="1804">
                  <c:v>27.482529999999958</c:v>
                </c:pt>
                <c:pt idx="1805">
                  <c:v>27.497759999999957</c:v>
                </c:pt>
                <c:pt idx="1806">
                  <c:v>27.512989999999956</c:v>
                </c:pt>
                <c:pt idx="1807">
                  <c:v>27.528219999999955</c:v>
                </c:pt>
                <c:pt idx="1808">
                  <c:v>27.543449999999954</c:v>
                </c:pt>
                <c:pt idx="1809">
                  <c:v>27.558679999999953</c:v>
                </c:pt>
                <c:pt idx="1810">
                  <c:v>27.573909999999952</c:v>
                </c:pt>
                <c:pt idx="1811">
                  <c:v>27.589139999999951</c:v>
                </c:pt>
                <c:pt idx="1812">
                  <c:v>27.60436999999995</c:v>
                </c:pt>
                <c:pt idx="1813">
                  <c:v>27.619599999999949</c:v>
                </c:pt>
                <c:pt idx="1814">
                  <c:v>27.634829999999948</c:v>
                </c:pt>
                <c:pt idx="1815">
                  <c:v>27.650059999999947</c:v>
                </c:pt>
                <c:pt idx="1816">
                  <c:v>27.665289999999946</c:v>
                </c:pt>
                <c:pt idx="1817">
                  <c:v>27.680519999999945</c:v>
                </c:pt>
                <c:pt idx="1818">
                  <c:v>27.695749999999943</c:v>
                </c:pt>
                <c:pt idx="1819">
                  <c:v>27.710979999999942</c:v>
                </c:pt>
                <c:pt idx="1820">
                  <c:v>27.726209999999941</c:v>
                </c:pt>
                <c:pt idx="1821">
                  <c:v>27.74143999999994</c:v>
                </c:pt>
                <c:pt idx="1822">
                  <c:v>27.756669999999939</c:v>
                </c:pt>
                <c:pt idx="1823">
                  <c:v>27.771899999999938</c:v>
                </c:pt>
                <c:pt idx="1824">
                  <c:v>27.787129999999937</c:v>
                </c:pt>
                <c:pt idx="1825">
                  <c:v>27.802359999999936</c:v>
                </c:pt>
                <c:pt idx="1826">
                  <c:v>27.817589999999935</c:v>
                </c:pt>
                <c:pt idx="1827">
                  <c:v>27.832819999999934</c:v>
                </c:pt>
                <c:pt idx="1828">
                  <c:v>27.848049999999933</c:v>
                </c:pt>
                <c:pt idx="1829">
                  <c:v>27.863279999999932</c:v>
                </c:pt>
                <c:pt idx="1830">
                  <c:v>27.878509999999931</c:v>
                </c:pt>
                <c:pt idx="1831">
                  <c:v>27.89373999999993</c:v>
                </c:pt>
                <c:pt idx="1832">
                  <c:v>27.908969999999929</c:v>
                </c:pt>
                <c:pt idx="1833">
                  <c:v>27.924199999999928</c:v>
                </c:pt>
                <c:pt idx="1834">
                  <c:v>27.939429999999927</c:v>
                </c:pt>
                <c:pt idx="1835">
                  <c:v>27.954659999999926</c:v>
                </c:pt>
                <c:pt idx="1836">
                  <c:v>27.969889999999925</c:v>
                </c:pt>
                <c:pt idx="1837">
                  <c:v>27.985119999999924</c:v>
                </c:pt>
                <c:pt idx="1838">
                  <c:v>28.000349999999923</c:v>
                </c:pt>
                <c:pt idx="1839">
                  <c:v>28.015579999999922</c:v>
                </c:pt>
                <c:pt idx="1840">
                  <c:v>28.030809999999921</c:v>
                </c:pt>
                <c:pt idx="1841">
                  <c:v>28.04603999999992</c:v>
                </c:pt>
                <c:pt idx="1842">
                  <c:v>28.061269999999919</c:v>
                </c:pt>
                <c:pt idx="1843">
                  <c:v>28.076499999999918</c:v>
                </c:pt>
                <c:pt idx="1844">
                  <c:v>28.091729999999917</c:v>
                </c:pt>
                <c:pt idx="1845">
                  <c:v>28.106959999999916</c:v>
                </c:pt>
                <c:pt idx="1846">
                  <c:v>28.122189999999915</c:v>
                </c:pt>
                <c:pt idx="1847">
                  <c:v>28.137419999999914</c:v>
                </c:pt>
                <c:pt idx="1848">
                  <c:v>28.152649999999912</c:v>
                </c:pt>
                <c:pt idx="1849">
                  <c:v>28.167879999999911</c:v>
                </c:pt>
                <c:pt idx="1850">
                  <c:v>28.18310999999991</c:v>
                </c:pt>
                <c:pt idx="1851">
                  <c:v>28.198339999999909</c:v>
                </c:pt>
                <c:pt idx="1852">
                  <c:v>28.213569999999908</c:v>
                </c:pt>
                <c:pt idx="1853">
                  <c:v>28.228799999999907</c:v>
                </c:pt>
                <c:pt idx="1854">
                  <c:v>28.244029999999906</c:v>
                </c:pt>
                <c:pt idx="1855">
                  <c:v>28.259259999999905</c:v>
                </c:pt>
                <c:pt idx="1856">
                  <c:v>28.274489999999904</c:v>
                </c:pt>
                <c:pt idx="1857">
                  <c:v>28.289719999999903</c:v>
                </c:pt>
                <c:pt idx="1858">
                  <c:v>28.304949999999902</c:v>
                </c:pt>
                <c:pt idx="1859">
                  <c:v>28.320179999999901</c:v>
                </c:pt>
                <c:pt idx="1860">
                  <c:v>28.3354099999999</c:v>
                </c:pt>
                <c:pt idx="1861">
                  <c:v>28.350639999999899</c:v>
                </c:pt>
                <c:pt idx="1862">
                  <c:v>28.365869999999898</c:v>
                </c:pt>
                <c:pt idx="1863">
                  <c:v>28.381099999999897</c:v>
                </c:pt>
                <c:pt idx="1864">
                  <c:v>28.396329999999896</c:v>
                </c:pt>
                <c:pt idx="1865">
                  <c:v>28.411559999999895</c:v>
                </c:pt>
                <c:pt idx="1866">
                  <c:v>28.426789999999894</c:v>
                </c:pt>
                <c:pt idx="1867">
                  <c:v>28.442019999999893</c:v>
                </c:pt>
                <c:pt idx="1868">
                  <c:v>28.457249999999892</c:v>
                </c:pt>
                <c:pt idx="1869">
                  <c:v>28.472479999999891</c:v>
                </c:pt>
                <c:pt idx="1870">
                  <c:v>28.48770999999989</c:v>
                </c:pt>
                <c:pt idx="1871">
                  <c:v>28.502939999999889</c:v>
                </c:pt>
                <c:pt idx="1872">
                  <c:v>28.518169999999888</c:v>
                </c:pt>
                <c:pt idx="1873">
                  <c:v>28.533399999999887</c:v>
                </c:pt>
                <c:pt idx="1874">
                  <c:v>28.548629999999886</c:v>
                </c:pt>
                <c:pt idx="1875">
                  <c:v>28.563859999999885</c:v>
                </c:pt>
                <c:pt idx="1876">
                  <c:v>28.579089999999884</c:v>
                </c:pt>
                <c:pt idx="1877">
                  <c:v>28.594319999999882</c:v>
                </c:pt>
                <c:pt idx="1878">
                  <c:v>28.609549999999881</c:v>
                </c:pt>
                <c:pt idx="1879">
                  <c:v>28.62477999999988</c:v>
                </c:pt>
                <c:pt idx="1880">
                  <c:v>28.640009999999879</c:v>
                </c:pt>
                <c:pt idx="1881">
                  <c:v>28.655239999999878</c:v>
                </c:pt>
                <c:pt idx="1882">
                  <c:v>28.670469999999877</c:v>
                </c:pt>
                <c:pt idx="1883">
                  <c:v>28.685699999999876</c:v>
                </c:pt>
                <c:pt idx="1884">
                  <c:v>28.700929999999875</c:v>
                </c:pt>
                <c:pt idx="1885">
                  <c:v>28.716159999999874</c:v>
                </c:pt>
                <c:pt idx="1886">
                  <c:v>28.731389999999873</c:v>
                </c:pt>
                <c:pt idx="1887">
                  <c:v>28.746619999999872</c:v>
                </c:pt>
                <c:pt idx="1888">
                  <c:v>28.761849999999871</c:v>
                </c:pt>
                <c:pt idx="1889">
                  <c:v>28.77707999999987</c:v>
                </c:pt>
                <c:pt idx="1890">
                  <c:v>28.792309999999869</c:v>
                </c:pt>
                <c:pt idx="1891">
                  <c:v>28.807539999999868</c:v>
                </c:pt>
                <c:pt idx="1892">
                  <c:v>28.822769999999867</c:v>
                </c:pt>
                <c:pt idx="1893">
                  <c:v>28.837999999999866</c:v>
                </c:pt>
                <c:pt idx="1894">
                  <c:v>28.853229999999865</c:v>
                </c:pt>
                <c:pt idx="1895">
                  <c:v>28.868459999999864</c:v>
                </c:pt>
                <c:pt idx="1896">
                  <c:v>28.883689999999863</c:v>
                </c:pt>
                <c:pt idx="1897">
                  <c:v>28.898919999999862</c:v>
                </c:pt>
                <c:pt idx="1898">
                  <c:v>28.914149999999861</c:v>
                </c:pt>
                <c:pt idx="1899">
                  <c:v>28.92937999999986</c:v>
                </c:pt>
                <c:pt idx="1900">
                  <c:v>28.944609999999859</c:v>
                </c:pt>
                <c:pt idx="1901">
                  <c:v>28.959839999999858</c:v>
                </c:pt>
                <c:pt idx="1902">
                  <c:v>28.975069999999857</c:v>
                </c:pt>
                <c:pt idx="1903">
                  <c:v>28.990299999999856</c:v>
                </c:pt>
                <c:pt idx="1904">
                  <c:v>29.005529999999855</c:v>
                </c:pt>
                <c:pt idx="1905">
                  <c:v>29.020759999999854</c:v>
                </c:pt>
                <c:pt idx="1906">
                  <c:v>29.035989999999853</c:v>
                </c:pt>
                <c:pt idx="1907">
                  <c:v>29.051219999999851</c:v>
                </c:pt>
                <c:pt idx="1908">
                  <c:v>29.06644999999985</c:v>
                </c:pt>
                <c:pt idx="1909">
                  <c:v>29.081679999999849</c:v>
                </c:pt>
                <c:pt idx="1910">
                  <c:v>29.096909999999848</c:v>
                </c:pt>
                <c:pt idx="1911">
                  <c:v>29.112139999999847</c:v>
                </c:pt>
                <c:pt idx="1912">
                  <c:v>29.127369999999846</c:v>
                </c:pt>
                <c:pt idx="1913">
                  <c:v>29.142599999999845</c:v>
                </c:pt>
                <c:pt idx="1914">
                  <c:v>29.157829999999844</c:v>
                </c:pt>
                <c:pt idx="1915">
                  <c:v>29.173059999999843</c:v>
                </c:pt>
                <c:pt idx="1916">
                  <c:v>29.188289999999842</c:v>
                </c:pt>
                <c:pt idx="1917">
                  <c:v>29.203519999999841</c:v>
                </c:pt>
                <c:pt idx="1918">
                  <c:v>29.21874999999984</c:v>
                </c:pt>
                <c:pt idx="1919">
                  <c:v>29.233979999999839</c:v>
                </c:pt>
                <c:pt idx="1920">
                  <c:v>29.249209999999838</c:v>
                </c:pt>
                <c:pt idx="1921">
                  <c:v>29.264439999999837</c:v>
                </c:pt>
                <c:pt idx="1922">
                  <c:v>29.279669999999836</c:v>
                </c:pt>
                <c:pt idx="1923">
                  <c:v>29.294899999999835</c:v>
                </c:pt>
                <c:pt idx="1924">
                  <c:v>29.310129999999834</c:v>
                </c:pt>
                <c:pt idx="1925">
                  <c:v>29.325359999999833</c:v>
                </c:pt>
                <c:pt idx="1926">
                  <c:v>29.340589999999832</c:v>
                </c:pt>
                <c:pt idx="1927">
                  <c:v>29.355819999999831</c:v>
                </c:pt>
                <c:pt idx="1928">
                  <c:v>29.37104999999983</c:v>
                </c:pt>
                <c:pt idx="1929">
                  <c:v>29.386279999999829</c:v>
                </c:pt>
                <c:pt idx="1930">
                  <c:v>29.401509999999828</c:v>
                </c:pt>
                <c:pt idx="1931">
                  <c:v>29.416739999999827</c:v>
                </c:pt>
                <c:pt idx="1932">
                  <c:v>29.431969999999826</c:v>
                </c:pt>
                <c:pt idx="1933">
                  <c:v>29.447199999999825</c:v>
                </c:pt>
                <c:pt idx="1934">
                  <c:v>29.462429999999824</c:v>
                </c:pt>
                <c:pt idx="1935">
                  <c:v>29.477659999999823</c:v>
                </c:pt>
                <c:pt idx="1936">
                  <c:v>29.492889999999822</c:v>
                </c:pt>
                <c:pt idx="1937">
                  <c:v>29.50811999999982</c:v>
                </c:pt>
                <c:pt idx="1938">
                  <c:v>29.523349999999819</c:v>
                </c:pt>
                <c:pt idx="1939">
                  <c:v>29.538579999999818</c:v>
                </c:pt>
                <c:pt idx="1940">
                  <c:v>29.553809999999817</c:v>
                </c:pt>
                <c:pt idx="1941">
                  <c:v>29.569039999999816</c:v>
                </c:pt>
                <c:pt idx="1942">
                  <c:v>29.584269999999815</c:v>
                </c:pt>
                <c:pt idx="1943">
                  <c:v>29.599499999999814</c:v>
                </c:pt>
                <c:pt idx="1944">
                  <c:v>29.614729999999813</c:v>
                </c:pt>
                <c:pt idx="1945">
                  <c:v>29.629959999999812</c:v>
                </c:pt>
                <c:pt idx="1946">
                  <c:v>29.645189999999811</c:v>
                </c:pt>
                <c:pt idx="1947">
                  <c:v>29.66041999999981</c:v>
                </c:pt>
                <c:pt idx="1948">
                  <c:v>29.675649999999809</c:v>
                </c:pt>
                <c:pt idx="1949">
                  <c:v>29.690879999999808</c:v>
                </c:pt>
                <c:pt idx="1950">
                  <c:v>29.706109999999807</c:v>
                </c:pt>
                <c:pt idx="1951">
                  <c:v>29.721339999999806</c:v>
                </c:pt>
                <c:pt idx="1952">
                  <c:v>29.736569999999805</c:v>
                </c:pt>
                <c:pt idx="1953">
                  <c:v>29.751799999999804</c:v>
                </c:pt>
                <c:pt idx="1954">
                  <c:v>29.767029999999803</c:v>
                </c:pt>
                <c:pt idx="1955">
                  <c:v>29.782259999999802</c:v>
                </c:pt>
                <c:pt idx="1956">
                  <c:v>29.797489999999801</c:v>
                </c:pt>
                <c:pt idx="1957">
                  <c:v>29.8127199999998</c:v>
                </c:pt>
                <c:pt idx="1958">
                  <c:v>29.827949999999799</c:v>
                </c:pt>
                <c:pt idx="1959">
                  <c:v>29.843179999999798</c:v>
                </c:pt>
                <c:pt idx="1960">
                  <c:v>29.858409999999797</c:v>
                </c:pt>
                <c:pt idx="1961">
                  <c:v>29.873639999999796</c:v>
                </c:pt>
                <c:pt idx="1962">
                  <c:v>29.888869999999795</c:v>
                </c:pt>
                <c:pt idx="1963">
                  <c:v>29.904099999999794</c:v>
                </c:pt>
                <c:pt idx="1964">
                  <c:v>29.919329999999793</c:v>
                </c:pt>
                <c:pt idx="1965">
                  <c:v>29.934559999999792</c:v>
                </c:pt>
                <c:pt idx="1966">
                  <c:v>29.949789999999791</c:v>
                </c:pt>
                <c:pt idx="1967">
                  <c:v>29.965019999999789</c:v>
                </c:pt>
                <c:pt idx="1968">
                  <c:v>29.980249999999788</c:v>
                </c:pt>
                <c:pt idx="1969">
                  <c:v>29.995479999999787</c:v>
                </c:pt>
                <c:pt idx="1970">
                  <c:v>30.010709999999786</c:v>
                </c:pt>
                <c:pt idx="1971">
                  <c:v>30.025939999999785</c:v>
                </c:pt>
                <c:pt idx="1972">
                  <c:v>30.041169999999784</c:v>
                </c:pt>
                <c:pt idx="1973">
                  <c:v>30.056399999999783</c:v>
                </c:pt>
                <c:pt idx="1974">
                  <c:v>30.071629999999782</c:v>
                </c:pt>
                <c:pt idx="1975">
                  <c:v>30.086859999999781</c:v>
                </c:pt>
                <c:pt idx="1976">
                  <c:v>30.10208999999978</c:v>
                </c:pt>
                <c:pt idx="1977">
                  <c:v>30.117319999999779</c:v>
                </c:pt>
                <c:pt idx="1978">
                  <c:v>30.132549999999778</c:v>
                </c:pt>
                <c:pt idx="1979">
                  <c:v>30.147779999999777</c:v>
                </c:pt>
                <c:pt idx="1980">
                  <c:v>30.163009999999776</c:v>
                </c:pt>
                <c:pt idx="1981">
                  <c:v>30.178239999999775</c:v>
                </c:pt>
                <c:pt idx="1982">
                  <c:v>30.193469999999774</c:v>
                </c:pt>
                <c:pt idx="1983">
                  <c:v>30.208699999999773</c:v>
                </c:pt>
                <c:pt idx="1984">
                  <c:v>30.223929999999772</c:v>
                </c:pt>
                <c:pt idx="1985">
                  <c:v>30.239159999999771</c:v>
                </c:pt>
                <c:pt idx="1986">
                  <c:v>30.25438999999977</c:v>
                </c:pt>
                <c:pt idx="1987">
                  <c:v>30.269619999999769</c:v>
                </c:pt>
                <c:pt idx="1988">
                  <c:v>30.284849999999768</c:v>
                </c:pt>
                <c:pt idx="1989">
                  <c:v>30.300079999999767</c:v>
                </c:pt>
                <c:pt idx="1990">
                  <c:v>30.315309999999766</c:v>
                </c:pt>
                <c:pt idx="1991">
                  <c:v>30.330539999999765</c:v>
                </c:pt>
                <c:pt idx="1992">
                  <c:v>30.345769999999764</c:v>
                </c:pt>
                <c:pt idx="1993">
                  <c:v>30.360999999999763</c:v>
                </c:pt>
                <c:pt idx="1994">
                  <c:v>30.376229999999762</c:v>
                </c:pt>
                <c:pt idx="1995">
                  <c:v>30.391459999999761</c:v>
                </c:pt>
                <c:pt idx="1996">
                  <c:v>30.40668999999976</c:v>
                </c:pt>
                <c:pt idx="1997">
                  <c:v>30.421919999999758</c:v>
                </c:pt>
                <c:pt idx="1998">
                  <c:v>30.437149999999757</c:v>
                </c:pt>
                <c:pt idx="1999">
                  <c:v>30.452379999999756</c:v>
                </c:pt>
                <c:pt idx="2000">
                  <c:v>30.467609999999755</c:v>
                </c:pt>
                <c:pt idx="2001">
                  <c:v>30.482839999999754</c:v>
                </c:pt>
                <c:pt idx="2002">
                  <c:v>30.498069999999753</c:v>
                </c:pt>
                <c:pt idx="2003">
                  <c:v>30.513299999999752</c:v>
                </c:pt>
                <c:pt idx="2004">
                  <c:v>30.528529999999751</c:v>
                </c:pt>
                <c:pt idx="2005">
                  <c:v>30.54375999999975</c:v>
                </c:pt>
                <c:pt idx="2006">
                  <c:v>30.558989999999749</c:v>
                </c:pt>
                <c:pt idx="2007">
                  <c:v>30.574219999999748</c:v>
                </c:pt>
                <c:pt idx="2008">
                  <c:v>30.589449999999747</c:v>
                </c:pt>
                <c:pt idx="2009">
                  <c:v>30.604679999999746</c:v>
                </c:pt>
                <c:pt idx="2010">
                  <c:v>30.619909999999745</c:v>
                </c:pt>
                <c:pt idx="2011">
                  <c:v>30.635139999999744</c:v>
                </c:pt>
                <c:pt idx="2012">
                  <c:v>30.650369999999743</c:v>
                </c:pt>
                <c:pt idx="2013">
                  <c:v>30.665599999999742</c:v>
                </c:pt>
                <c:pt idx="2014">
                  <c:v>30.680829999999741</c:v>
                </c:pt>
                <c:pt idx="2015">
                  <c:v>30.69605999999974</c:v>
                </c:pt>
                <c:pt idx="2016">
                  <c:v>30.711289999999739</c:v>
                </c:pt>
                <c:pt idx="2017">
                  <c:v>30.726519999999738</c:v>
                </c:pt>
                <c:pt idx="2018">
                  <c:v>30.741749999999737</c:v>
                </c:pt>
                <c:pt idx="2019">
                  <c:v>30.756979999999736</c:v>
                </c:pt>
                <c:pt idx="2020">
                  <c:v>30.772209999999735</c:v>
                </c:pt>
                <c:pt idx="2021">
                  <c:v>30.787439999999734</c:v>
                </c:pt>
                <c:pt idx="2022">
                  <c:v>30.802669999999733</c:v>
                </c:pt>
                <c:pt idx="2023">
                  <c:v>30.817899999999732</c:v>
                </c:pt>
                <c:pt idx="2024">
                  <c:v>30.833129999999731</c:v>
                </c:pt>
                <c:pt idx="2025">
                  <c:v>30.84835999999973</c:v>
                </c:pt>
                <c:pt idx="2026">
                  <c:v>30.863589999999729</c:v>
                </c:pt>
                <c:pt idx="2027">
                  <c:v>30.878819999999727</c:v>
                </c:pt>
                <c:pt idx="2028">
                  <c:v>30.894049999999726</c:v>
                </c:pt>
                <c:pt idx="2029">
                  <c:v>30.909279999999725</c:v>
                </c:pt>
                <c:pt idx="2030">
                  <c:v>30.924509999999724</c:v>
                </c:pt>
                <c:pt idx="2031">
                  <c:v>30.939739999999723</c:v>
                </c:pt>
                <c:pt idx="2032">
                  <c:v>30.954969999999722</c:v>
                </c:pt>
                <c:pt idx="2033">
                  <c:v>30.970199999999721</c:v>
                </c:pt>
                <c:pt idx="2034">
                  <c:v>30.98542999999972</c:v>
                </c:pt>
                <c:pt idx="2035">
                  <c:v>31.000659999999719</c:v>
                </c:pt>
                <c:pt idx="2036">
                  <c:v>31.015889999999718</c:v>
                </c:pt>
                <c:pt idx="2037">
                  <c:v>31.031119999999717</c:v>
                </c:pt>
                <c:pt idx="2038">
                  <c:v>31.046349999999716</c:v>
                </c:pt>
                <c:pt idx="2039">
                  <c:v>31.061579999999715</c:v>
                </c:pt>
                <c:pt idx="2040">
                  <c:v>31.076809999999714</c:v>
                </c:pt>
                <c:pt idx="2041">
                  <c:v>31.092039999999713</c:v>
                </c:pt>
                <c:pt idx="2042">
                  <c:v>31.107269999999712</c:v>
                </c:pt>
                <c:pt idx="2043">
                  <c:v>31.122499999999711</c:v>
                </c:pt>
                <c:pt idx="2044">
                  <c:v>31.13772999999971</c:v>
                </c:pt>
                <c:pt idx="2045">
                  <c:v>31.152959999999709</c:v>
                </c:pt>
                <c:pt idx="2046">
                  <c:v>31.168189999999708</c:v>
                </c:pt>
                <c:pt idx="2047">
                  <c:v>31.183419999999707</c:v>
                </c:pt>
                <c:pt idx="2048">
                  <c:v>31.198649999999706</c:v>
                </c:pt>
                <c:pt idx="2049">
                  <c:v>31.213879999999705</c:v>
                </c:pt>
                <c:pt idx="2050">
                  <c:v>31.229109999999704</c:v>
                </c:pt>
                <c:pt idx="2051">
                  <c:v>31.244339999999703</c:v>
                </c:pt>
                <c:pt idx="2052">
                  <c:v>31.259569999999702</c:v>
                </c:pt>
                <c:pt idx="2053">
                  <c:v>31.274799999999701</c:v>
                </c:pt>
                <c:pt idx="2054">
                  <c:v>31.2900299999997</c:v>
                </c:pt>
                <c:pt idx="2055">
                  <c:v>31.305259999999699</c:v>
                </c:pt>
                <c:pt idx="2056">
                  <c:v>31.320489999999698</c:v>
                </c:pt>
                <c:pt idx="2057">
                  <c:v>31.335719999999696</c:v>
                </c:pt>
                <c:pt idx="2058">
                  <c:v>31.350949999999695</c:v>
                </c:pt>
                <c:pt idx="2059">
                  <c:v>31.366179999999694</c:v>
                </c:pt>
                <c:pt idx="2060">
                  <c:v>31.381409999999693</c:v>
                </c:pt>
                <c:pt idx="2061">
                  <c:v>31.396639999999692</c:v>
                </c:pt>
                <c:pt idx="2062">
                  <c:v>31.411869999999691</c:v>
                </c:pt>
                <c:pt idx="2063">
                  <c:v>31.42709999999969</c:v>
                </c:pt>
                <c:pt idx="2064">
                  <c:v>31.442329999999689</c:v>
                </c:pt>
                <c:pt idx="2065">
                  <c:v>31.457559999999688</c:v>
                </c:pt>
                <c:pt idx="2066">
                  <c:v>31.472789999999687</c:v>
                </c:pt>
                <c:pt idx="2067">
                  <c:v>31.488019999999686</c:v>
                </c:pt>
                <c:pt idx="2068">
                  <c:v>31.503249999999685</c:v>
                </c:pt>
                <c:pt idx="2069">
                  <c:v>31.518479999999684</c:v>
                </c:pt>
                <c:pt idx="2070">
                  <c:v>31.533709999999683</c:v>
                </c:pt>
                <c:pt idx="2071">
                  <c:v>31.548939999999682</c:v>
                </c:pt>
                <c:pt idx="2072">
                  <c:v>31.564169999999681</c:v>
                </c:pt>
                <c:pt idx="2073">
                  <c:v>31.57939999999968</c:v>
                </c:pt>
                <c:pt idx="2074">
                  <c:v>31.594629999999679</c:v>
                </c:pt>
                <c:pt idx="2075">
                  <c:v>31.609859999999678</c:v>
                </c:pt>
                <c:pt idx="2076">
                  <c:v>31.625089999999677</c:v>
                </c:pt>
                <c:pt idx="2077">
                  <c:v>31.640319999999676</c:v>
                </c:pt>
                <c:pt idx="2078">
                  <c:v>31.655549999999675</c:v>
                </c:pt>
                <c:pt idx="2079">
                  <c:v>31.670779999999674</c:v>
                </c:pt>
                <c:pt idx="2080">
                  <c:v>31.686009999999673</c:v>
                </c:pt>
                <c:pt idx="2081">
                  <c:v>31.701239999999672</c:v>
                </c:pt>
                <c:pt idx="2082">
                  <c:v>31.716469999999671</c:v>
                </c:pt>
                <c:pt idx="2083">
                  <c:v>31.73169999999967</c:v>
                </c:pt>
                <c:pt idx="2084">
                  <c:v>31.746929999999669</c:v>
                </c:pt>
                <c:pt idx="2085">
                  <c:v>31.762159999999668</c:v>
                </c:pt>
                <c:pt idx="2086">
                  <c:v>31.777389999999667</c:v>
                </c:pt>
                <c:pt idx="2087">
                  <c:v>31.792619999999665</c:v>
                </c:pt>
                <c:pt idx="2088">
                  <c:v>31.807849999999664</c:v>
                </c:pt>
                <c:pt idx="2089">
                  <c:v>31.823079999999663</c:v>
                </c:pt>
                <c:pt idx="2090">
                  <c:v>31.838309999999662</c:v>
                </c:pt>
                <c:pt idx="2091">
                  <c:v>31.853539999999661</c:v>
                </c:pt>
                <c:pt idx="2092">
                  <c:v>31.86876999999966</c:v>
                </c:pt>
                <c:pt idx="2093">
                  <c:v>31.883999999999659</c:v>
                </c:pt>
                <c:pt idx="2094">
                  <c:v>31.899229999999658</c:v>
                </c:pt>
                <c:pt idx="2095">
                  <c:v>31.914459999999657</c:v>
                </c:pt>
                <c:pt idx="2096">
                  <c:v>31.929689999999656</c:v>
                </c:pt>
                <c:pt idx="2097">
                  <c:v>31.944919999999655</c:v>
                </c:pt>
                <c:pt idx="2098">
                  <c:v>31.960149999999654</c:v>
                </c:pt>
                <c:pt idx="2099">
                  <c:v>31.975379999999653</c:v>
                </c:pt>
                <c:pt idx="2100">
                  <c:v>31.990609999999652</c:v>
                </c:pt>
                <c:pt idx="2101">
                  <c:v>32.005839999999651</c:v>
                </c:pt>
                <c:pt idx="2102">
                  <c:v>32.021069999999654</c:v>
                </c:pt>
                <c:pt idx="2103">
                  <c:v>32.036299999999656</c:v>
                </c:pt>
                <c:pt idx="2104">
                  <c:v>32.051529999999659</c:v>
                </c:pt>
                <c:pt idx="2105">
                  <c:v>32.066759999999661</c:v>
                </c:pt>
                <c:pt idx="2106">
                  <c:v>32.081989999999664</c:v>
                </c:pt>
                <c:pt idx="2107">
                  <c:v>32.097219999999666</c:v>
                </c:pt>
                <c:pt idx="2108">
                  <c:v>32.112449999999669</c:v>
                </c:pt>
                <c:pt idx="2109">
                  <c:v>32.127679999999671</c:v>
                </c:pt>
                <c:pt idx="2110">
                  <c:v>32.142909999999674</c:v>
                </c:pt>
                <c:pt idx="2111">
                  <c:v>32.158139999999676</c:v>
                </c:pt>
                <c:pt idx="2112">
                  <c:v>32.173369999999679</c:v>
                </c:pt>
                <c:pt idx="2113">
                  <c:v>32.188599999999681</c:v>
                </c:pt>
                <c:pt idx="2114">
                  <c:v>32.203829999999684</c:v>
                </c:pt>
                <c:pt idx="2115">
                  <c:v>32.219059999999686</c:v>
                </c:pt>
                <c:pt idx="2116">
                  <c:v>32.234289999999689</c:v>
                </c:pt>
                <c:pt idx="2117">
                  <c:v>32.249519999999691</c:v>
                </c:pt>
                <c:pt idx="2118">
                  <c:v>32.264749999999694</c:v>
                </c:pt>
                <c:pt idx="2119">
                  <c:v>32.279979999999696</c:v>
                </c:pt>
                <c:pt idx="2120">
                  <c:v>32.295209999999699</c:v>
                </c:pt>
                <c:pt idx="2121">
                  <c:v>32.310439999999701</c:v>
                </c:pt>
                <c:pt idx="2122">
                  <c:v>32.325669999999704</c:v>
                </c:pt>
                <c:pt idx="2123">
                  <c:v>32.340899999999706</c:v>
                </c:pt>
                <c:pt idx="2124">
                  <c:v>32.356129999999709</c:v>
                </c:pt>
                <c:pt idx="2125">
                  <c:v>32.371359999999711</c:v>
                </c:pt>
                <c:pt idx="2126">
                  <c:v>32.386589999999714</c:v>
                </c:pt>
                <c:pt idx="2127">
                  <c:v>32.401819999999717</c:v>
                </c:pt>
                <c:pt idx="2128">
                  <c:v>32.417049999999719</c:v>
                </c:pt>
                <c:pt idx="2129">
                  <c:v>32.432279999999722</c:v>
                </c:pt>
                <c:pt idx="2130">
                  <c:v>32.447509999999724</c:v>
                </c:pt>
                <c:pt idx="2131">
                  <c:v>32.462739999999727</c:v>
                </c:pt>
                <c:pt idx="2132">
                  <c:v>32.477969999999729</c:v>
                </c:pt>
                <c:pt idx="2133">
                  <c:v>32.493199999999732</c:v>
                </c:pt>
                <c:pt idx="2134">
                  <c:v>32.508429999999734</c:v>
                </c:pt>
                <c:pt idx="2135">
                  <c:v>32.523659999999737</c:v>
                </c:pt>
                <c:pt idx="2136">
                  <c:v>32.538889999999739</c:v>
                </c:pt>
                <c:pt idx="2137">
                  <c:v>32.554119999999742</c:v>
                </c:pt>
                <c:pt idx="2138">
                  <c:v>32.569349999999744</c:v>
                </c:pt>
                <c:pt idx="2139">
                  <c:v>32.584579999999747</c:v>
                </c:pt>
                <c:pt idx="2140">
                  <c:v>32.599809999999749</c:v>
                </c:pt>
                <c:pt idx="2141">
                  <c:v>32.615039999999752</c:v>
                </c:pt>
                <c:pt idx="2142">
                  <c:v>32.630269999999754</c:v>
                </c:pt>
                <c:pt idx="2143">
                  <c:v>32.645499999999757</c:v>
                </c:pt>
                <c:pt idx="2144">
                  <c:v>32.660729999999759</c:v>
                </c:pt>
                <c:pt idx="2145">
                  <c:v>32.675959999999762</c:v>
                </c:pt>
                <c:pt idx="2146">
                  <c:v>32.691189999999764</c:v>
                </c:pt>
                <c:pt idx="2147">
                  <c:v>32.706419999999767</c:v>
                </c:pt>
                <c:pt idx="2148">
                  <c:v>32.721649999999769</c:v>
                </c:pt>
                <c:pt idx="2149">
                  <c:v>32.736879999999772</c:v>
                </c:pt>
                <c:pt idx="2150">
                  <c:v>32.752109999999774</c:v>
                </c:pt>
                <c:pt idx="2151">
                  <c:v>32.767339999999777</c:v>
                </c:pt>
                <c:pt idx="2152">
                  <c:v>32.782569999999779</c:v>
                </c:pt>
                <c:pt idx="2153">
                  <c:v>32.797799999999782</c:v>
                </c:pt>
                <c:pt idx="2154">
                  <c:v>32.813029999999785</c:v>
                </c:pt>
                <c:pt idx="2155">
                  <c:v>32.828259999999787</c:v>
                </c:pt>
                <c:pt idx="2156">
                  <c:v>32.84348999999979</c:v>
                </c:pt>
                <c:pt idx="2157">
                  <c:v>32.858719999999792</c:v>
                </c:pt>
                <c:pt idx="2158">
                  <c:v>32.873949999999795</c:v>
                </c:pt>
                <c:pt idx="2159">
                  <c:v>32.889179999999797</c:v>
                </c:pt>
                <c:pt idx="2160">
                  <c:v>32.9044099999998</c:v>
                </c:pt>
                <c:pt idx="2161">
                  <c:v>32.919639999999802</c:v>
                </c:pt>
                <c:pt idx="2162">
                  <c:v>32.934869999999805</c:v>
                </c:pt>
                <c:pt idx="2163">
                  <c:v>32.950099999999807</c:v>
                </c:pt>
                <c:pt idx="2164">
                  <c:v>32.96532999999981</c:v>
                </c:pt>
                <c:pt idx="2165">
                  <c:v>32.980559999999812</c:v>
                </c:pt>
                <c:pt idx="2166">
                  <c:v>32.995789999999815</c:v>
                </c:pt>
                <c:pt idx="2167">
                  <c:v>33.011019999999817</c:v>
                </c:pt>
                <c:pt idx="2168">
                  <c:v>33.02624999999982</c:v>
                </c:pt>
                <c:pt idx="2169">
                  <c:v>33.041479999999822</c:v>
                </c:pt>
                <c:pt idx="2170">
                  <c:v>33.056709999999825</c:v>
                </c:pt>
                <c:pt idx="2171">
                  <c:v>33.071939999999827</c:v>
                </c:pt>
                <c:pt idx="2172">
                  <c:v>33.08716999999983</c:v>
                </c:pt>
                <c:pt idx="2173">
                  <c:v>33.102399999999832</c:v>
                </c:pt>
                <c:pt idx="2174">
                  <c:v>33.117629999999835</c:v>
                </c:pt>
                <c:pt idx="2175">
                  <c:v>33.132859999999837</c:v>
                </c:pt>
                <c:pt idx="2176">
                  <c:v>33.14808999999984</c:v>
                </c:pt>
                <c:pt idx="2177">
                  <c:v>33.163319999999842</c:v>
                </c:pt>
                <c:pt idx="2178">
                  <c:v>33.178549999999845</c:v>
                </c:pt>
                <c:pt idx="2179">
                  <c:v>33.193779999999848</c:v>
                </c:pt>
                <c:pt idx="2180">
                  <c:v>33.20900999999985</c:v>
                </c:pt>
                <c:pt idx="2181">
                  <c:v>33.224239999999853</c:v>
                </c:pt>
                <c:pt idx="2182">
                  <c:v>33.239469999999855</c:v>
                </c:pt>
                <c:pt idx="2183">
                  <c:v>33.254699999999858</c:v>
                </c:pt>
                <c:pt idx="2184">
                  <c:v>33.26992999999986</c:v>
                </c:pt>
                <c:pt idx="2185">
                  <c:v>33.285159999999863</c:v>
                </c:pt>
                <c:pt idx="2186">
                  <c:v>33.300389999999865</c:v>
                </c:pt>
                <c:pt idx="2187">
                  <c:v>33.315619999999868</c:v>
                </c:pt>
                <c:pt idx="2188">
                  <c:v>33.33084999999987</c:v>
                </c:pt>
                <c:pt idx="2189">
                  <c:v>33.346079999999873</c:v>
                </c:pt>
                <c:pt idx="2190">
                  <c:v>33.361309999999875</c:v>
                </c:pt>
                <c:pt idx="2191">
                  <c:v>33.376539999999878</c:v>
                </c:pt>
                <c:pt idx="2192">
                  <c:v>33.39176999999988</c:v>
                </c:pt>
                <c:pt idx="2193">
                  <c:v>33.406999999999883</c:v>
                </c:pt>
                <c:pt idx="2194">
                  <c:v>33.422229999999885</c:v>
                </c:pt>
                <c:pt idx="2195">
                  <c:v>33.437459999999888</c:v>
                </c:pt>
                <c:pt idx="2196">
                  <c:v>33.45268999999989</c:v>
                </c:pt>
                <c:pt idx="2197">
                  <c:v>33.467919999999893</c:v>
                </c:pt>
                <c:pt idx="2198">
                  <c:v>33.483149999999895</c:v>
                </c:pt>
                <c:pt idx="2199">
                  <c:v>33.498379999999898</c:v>
                </c:pt>
                <c:pt idx="2200">
                  <c:v>33.5136099999999</c:v>
                </c:pt>
                <c:pt idx="2201">
                  <c:v>33.528839999999903</c:v>
                </c:pt>
                <c:pt idx="2202">
                  <c:v>33.544069999999905</c:v>
                </c:pt>
                <c:pt idx="2203">
                  <c:v>33.559299999999908</c:v>
                </c:pt>
                <c:pt idx="2204">
                  <c:v>33.574529999999911</c:v>
                </c:pt>
                <c:pt idx="2205">
                  <c:v>33.589759999999913</c:v>
                </c:pt>
                <c:pt idx="2206">
                  <c:v>33.604989999999916</c:v>
                </c:pt>
                <c:pt idx="2207">
                  <c:v>33.620219999999918</c:v>
                </c:pt>
                <c:pt idx="2208">
                  <c:v>33.635449999999921</c:v>
                </c:pt>
                <c:pt idx="2209">
                  <c:v>33.650679999999923</c:v>
                </c:pt>
                <c:pt idx="2210">
                  <c:v>33.665909999999926</c:v>
                </c:pt>
                <c:pt idx="2211">
                  <c:v>33.681139999999928</c:v>
                </c:pt>
                <c:pt idx="2212">
                  <c:v>33.696369999999931</c:v>
                </c:pt>
                <c:pt idx="2213">
                  <c:v>33.711599999999933</c:v>
                </c:pt>
                <c:pt idx="2214">
                  <c:v>33.726829999999936</c:v>
                </c:pt>
                <c:pt idx="2215">
                  <c:v>33.742059999999938</c:v>
                </c:pt>
                <c:pt idx="2216">
                  <c:v>33.757289999999941</c:v>
                </c:pt>
                <c:pt idx="2217">
                  <c:v>33.772519999999943</c:v>
                </c:pt>
                <c:pt idx="2218">
                  <c:v>33.787749999999946</c:v>
                </c:pt>
                <c:pt idx="2219">
                  <c:v>33.802979999999948</c:v>
                </c:pt>
                <c:pt idx="2220">
                  <c:v>33.818209999999951</c:v>
                </c:pt>
                <c:pt idx="2221">
                  <c:v>33.833439999999953</c:v>
                </c:pt>
                <c:pt idx="2222">
                  <c:v>33.848669999999956</c:v>
                </c:pt>
                <c:pt idx="2223">
                  <c:v>33.863899999999958</c:v>
                </c:pt>
                <c:pt idx="2224">
                  <c:v>33.879129999999961</c:v>
                </c:pt>
                <c:pt idx="2225">
                  <c:v>33.894359999999963</c:v>
                </c:pt>
                <c:pt idx="2226">
                  <c:v>33.909589999999966</c:v>
                </c:pt>
                <c:pt idx="2227">
                  <c:v>33.924819999999968</c:v>
                </c:pt>
                <c:pt idx="2228">
                  <c:v>33.940049999999971</c:v>
                </c:pt>
                <c:pt idx="2229">
                  <c:v>33.955279999999973</c:v>
                </c:pt>
                <c:pt idx="2230">
                  <c:v>33.970509999999976</c:v>
                </c:pt>
                <c:pt idx="2231">
                  <c:v>33.985739999999979</c:v>
                </c:pt>
                <c:pt idx="2232">
                  <c:v>34.000969999999981</c:v>
                </c:pt>
                <c:pt idx="2233">
                  <c:v>34.016199999999984</c:v>
                </c:pt>
                <c:pt idx="2234">
                  <c:v>34.031429999999986</c:v>
                </c:pt>
                <c:pt idx="2235">
                  <c:v>34.046659999999989</c:v>
                </c:pt>
                <c:pt idx="2236">
                  <c:v>34.061889999999991</c:v>
                </c:pt>
                <c:pt idx="2237">
                  <c:v>34.077119999999994</c:v>
                </c:pt>
                <c:pt idx="2238">
                  <c:v>34.092349999999996</c:v>
                </c:pt>
                <c:pt idx="2239">
                  <c:v>34.107579999999999</c:v>
                </c:pt>
                <c:pt idx="2240">
                  <c:v>34.122810000000001</c:v>
                </c:pt>
                <c:pt idx="2241">
                  <c:v>34.138040000000004</c:v>
                </c:pt>
                <c:pt idx="2242">
                  <c:v>34.153270000000006</c:v>
                </c:pt>
                <c:pt idx="2243">
                  <c:v>34.168500000000009</c:v>
                </c:pt>
                <c:pt idx="2244">
                  <c:v>34.183730000000011</c:v>
                </c:pt>
                <c:pt idx="2245">
                  <c:v>34.198960000000014</c:v>
                </c:pt>
                <c:pt idx="2246">
                  <c:v>34.214190000000016</c:v>
                </c:pt>
                <c:pt idx="2247">
                  <c:v>34.229420000000019</c:v>
                </c:pt>
                <c:pt idx="2248">
                  <c:v>34.244650000000021</c:v>
                </c:pt>
                <c:pt idx="2249">
                  <c:v>34.259880000000024</c:v>
                </c:pt>
                <c:pt idx="2250">
                  <c:v>34.275110000000026</c:v>
                </c:pt>
                <c:pt idx="2251">
                  <c:v>34.290340000000029</c:v>
                </c:pt>
                <c:pt idx="2252">
                  <c:v>34.305570000000031</c:v>
                </c:pt>
                <c:pt idx="2253">
                  <c:v>34.320800000000034</c:v>
                </c:pt>
                <c:pt idx="2254">
                  <c:v>34.336030000000036</c:v>
                </c:pt>
                <c:pt idx="2255">
                  <c:v>34.351260000000039</c:v>
                </c:pt>
                <c:pt idx="2256">
                  <c:v>34.366490000000042</c:v>
                </c:pt>
                <c:pt idx="2257">
                  <c:v>34.381720000000044</c:v>
                </c:pt>
                <c:pt idx="2258">
                  <c:v>34.396950000000047</c:v>
                </c:pt>
                <c:pt idx="2259">
                  <c:v>34.412180000000049</c:v>
                </c:pt>
                <c:pt idx="2260">
                  <c:v>34.427410000000052</c:v>
                </c:pt>
                <c:pt idx="2261">
                  <c:v>34.442640000000054</c:v>
                </c:pt>
                <c:pt idx="2262">
                  <c:v>34.457870000000057</c:v>
                </c:pt>
                <c:pt idx="2263">
                  <c:v>34.473100000000059</c:v>
                </c:pt>
                <c:pt idx="2264">
                  <c:v>34.488330000000062</c:v>
                </c:pt>
                <c:pt idx="2265">
                  <c:v>34.503560000000064</c:v>
                </c:pt>
                <c:pt idx="2266">
                  <c:v>34.518790000000067</c:v>
                </c:pt>
                <c:pt idx="2267">
                  <c:v>34.534020000000069</c:v>
                </c:pt>
                <c:pt idx="2268">
                  <c:v>34.549250000000072</c:v>
                </c:pt>
                <c:pt idx="2269">
                  <c:v>34.564480000000074</c:v>
                </c:pt>
                <c:pt idx="2270">
                  <c:v>34.579710000000077</c:v>
                </c:pt>
                <c:pt idx="2271">
                  <c:v>34.594940000000079</c:v>
                </c:pt>
                <c:pt idx="2272">
                  <c:v>34.610170000000082</c:v>
                </c:pt>
                <c:pt idx="2273">
                  <c:v>34.625400000000084</c:v>
                </c:pt>
                <c:pt idx="2274">
                  <c:v>34.640630000000087</c:v>
                </c:pt>
                <c:pt idx="2275">
                  <c:v>34.655860000000089</c:v>
                </c:pt>
                <c:pt idx="2276">
                  <c:v>34.671090000000092</c:v>
                </c:pt>
                <c:pt idx="2277">
                  <c:v>34.686320000000094</c:v>
                </c:pt>
                <c:pt idx="2278">
                  <c:v>34.701550000000097</c:v>
                </c:pt>
                <c:pt idx="2279">
                  <c:v>34.716780000000099</c:v>
                </c:pt>
                <c:pt idx="2280">
                  <c:v>34.732010000000102</c:v>
                </c:pt>
                <c:pt idx="2281">
                  <c:v>34.747240000000104</c:v>
                </c:pt>
                <c:pt idx="2282">
                  <c:v>34.762470000000107</c:v>
                </c:pt>
                <c:pt idx="2283">
                  <c:v>34.77770000000011</c:v>
                </c:pt>
                <c:pt idx="2284">
                  <c:v>34.792930000000112</c:v>
                </c:pt>
                <c:pt idx="2285">
                  <c:v>34.808160000000115</c:v>
                </c:pt>
                <c:pt idx="2286">
                  <c:v>34.823390000000117</c:v>
                </c:pt>
                <c:pt idx="2287">
                  <c:v>34.83862000000012</c:v>
                </c:pt>
                <c:pt idx="2288">
                  <c:v>34.853850000000122</c:v>
                </c:pt>
                <c:pt idx="2289">
                  <c:v>34.869080000000125</c:v>
                </c:pt>
                <c:pt idx="2290">
                  <c:v>34.884310000000127</c:v>
                </c:pt>
                <c:pt idx="2291">
                  <c:v>34.89954000000013</c:v>
                </c:pt>
                <c:pt idx="2292">
                  <c:v>34.914770000000132</c:v>
                </c:pt>
                <c:pt idx="2293">
                  <c:v>34.930000000000135</c:v>
                </c:pt>
                <c:pt idx="2294">
                  <c:v>34.945230000000137</c:v>
                </c:pt>
                <c:pt idx="2295">
                  <c:v>34.96046000000014</c:v>
                </c:pt>
                <c:pt idx="2296">
                  <c:v>34.975690000000142</c:v>
                </c:pt>
                <c:pt idx="2297">
                  <c:v>34.990920000000145</c:v>
                </c:pt>
                <c:pt idx="2298">
                  <c:v>35.006150000000147</c:v>
                </c:pt>
                <c:pt idx="2299">
                  <c:v>35.02138000000015</c:v>
                </c:pt>
                <c:pt idx="2300">
                  <c:v>35.036610000000152</c:v>
                </c:pt>
                <c:pt idx="2301">
                  <c:v>35.051840000000155</c:v>
                </c:pt>
                <c:pt idx="2302">
                  <c:v>35.067070000000157</c:v>
                </c:pt>
                <c:pt idx="2303">
                  <c:v>35.08230000000016</c:v>
                </c:pt>
                <c:pt idx="2304">
                  <c:v>35.097530000000162</c:v>
                </c:pt>
                <c:pt idx="2305">
                  <c:v>35.112760000000165</c:v>
                </c:pt>
                <c:pt idx="2306">
                  <c:v>35.127990000000167</c:v>
                </c:pt>
                <c:pt idx="2307">
                  <c:v>35.14322000000017</c:v>
                </c:pt>
                <c:pt idx="2308">
                  <c:v>35.158450000000173</c:v>
                </c:pt>
                <c:pt idx="2309">
                  <c:v>35.173680000000175</c:v>
                </c:pt>
                <c:pt idx="2310">
                  <c:v>35.188910000000178</c:v>
                </c:pt>
                <c:pt idx="2311">
                  <c:v>35.20414000000018</c:v>
                </c:pt>
                <c:pt idx="2312">
                  <c:v>35.219370000000183</c:v>
                </c:pt>
                <c:pt idx="2313">
                  <c:v>35.234600000000185</c:v>
                </c:pt>
                <c:pt idx="2314">
                  <c:v>35.249830000000188</c:v>
                </c:pt>
                <c:pt idx="2315">
                  <c:v>35.26506000000019</c:v>
                </c:pt>
                <c:pt idx="2316">
                  <c:v>35.280290000000193</c:v>
                </c:pt>
                <c:pt idx="2317">
                  <c:v>35.295520000000195</c:v>
                </c:pt>
                <c:pt idx="2318">
                  <c:v>35.310750000000198</c:v>
                </c:pt>
                <c:pt idx="2319">
                  <c:v>35.3259800000002</c:v>
                </c:pt>
                <c:pt idx="2320">
                  <c:v>35.341210000000203</c:v>
                </c:pt>
                <c:pt idx="2321">
                  <c:v>35.356440000000205</c:v>
                </c:pt>
                <c:pt idx="2322">
                  <c:v>35.371670000000208</c:v>
                </c:pt>
                <c:pt idx="2323">
                  <c:v>35.38690000000021</c:v>
                </c:pt>
                <c:pt idx="2324">
                  <c:v>35.402130000000213</c:v>
                </c:pt>
                <c:pt idx="2325">
                  <c:v>35.417360000000215</c:v>
                </c:pt>
                <c:pt idx="2326">
                  <c:v>35.432590000000218</c:v>
                </c:pt>
                <c:pt idx="2327">
                  <c:v>35.44782000000022</c:v>
                </c:pt>
                <c:pt idx="2328">
                  <c:v>35.463050000000223</c:v>
                </c:pt>
                <c:pt idx="2329">
                  <c:v>35.478280000000225</c:v>
                </c:pt>
                <c:pt idx="2330">
                  <c:v>35.493510000000228</c:v>
                </c:pt>
                <c:pt idx="2331">
                  <c:v>35.50874000000023</c:v>
                </c:pt>
                <c:pt idx="2332">
                  <c:v>35.523970000000233</c:v>
                </c:pt>
                <c:pt idx="2333">
                  <c:v>35.539200000000235</c:v>
                </c:pt>
                <c:pt idx="2334">
                  <c:v>35.554430000000238</c:v>
                </c:pt>
                <c:pt idx="2335">
                  <c:v>35.569660000000241</c:v>
                </c:pt>
                <c:pt idx="2336">
                  <c:v>35.584890000000243</c:v>
                </c:pt>
                <c:pt idx="2337">
                  <c:v>35.600120000000246</c:v>
                </c:pt>
                <c:pt idx="2338">
                  <c:v>35.615350000000248</c:v>
                </c:pt>
                <c:pt idx="2339">
                  <c:v>35.630580000000251</c:v>
                </c:pt>
                <c:pt idx="2340">
                  <c:v>35.645810000000253</c:v>
                </c:pt>
                <c:pt idx="2341">
                  <c:v>35.661040000000256</c:v>
                </c:pt>
                <c:pt idx="2342">
                  <c:v>35.676270000000258</c:v>
                </c:pt>
                <c:pt idx="2343">
                  <c:v>35.691500000000261</c:v>
                </c:pt>
                <c:pt idx="2344">
                  <c:v>35.706730000000263</c:v>
                </c:pt>
                <c:pt idx="2345">
                  <c:v>35.721960000000266</c:v>
                </c:pt>
                <c:pt idx="2346">
                  <c:v>35.737190000000268</c:v>
                </c:pt>
                <c:pt idx="2347">
                  <c:v>35.752420000000271</c:v>
                </c:pt>
                <c:pt idx="2348">
                  <c:v>35.767650000000273</c:v>
                </c:pt>
                <c:pt idx="2349">
                  <c:v>35.782880000000276</c:v>
                </c:pt>
                <c:pt idx="2350">
                  <c:v>35.798110000000278</c:v>
                </c:pt>
                <c:pt idx="2351">
                  <c:v>35.813340000000281</c:v>
                </c:pt>
                <c:pt idx="2352">
                  <c:v>35.828570000000283</c:v>
                </c:pt>
                <c:pt idx="2353">
                  <c:v>35.843800000000286</c:v>
                </c:pt>
                <c:pt idx="2354">
                  <c:v>35.859030000000288</c:v>
                </c:pt>
                <c:pt idx="2355">
                  <c:v>35.874260000000291</c:v>
                </c:pt>
                <c:pt idx="2356">
                  <c:v>35.889490000000293</c:v>
                </c:pt>
                <c:pt idx="2357">
                  <c:v>35.904720000000296</c:v>
                </c:pt>
                <c:pt idx="2358">
                  <c:v>35.919950000000298</c:v>
                </c:pt>
                <c:pt idx="2359">
                  <c:v>35.935180000000301</c:v>
                </c:pt>
                <c:pt idx="2360">
                  <c:v>35.950410000000304</c:v>
                </c:pt>
                <c:pt idx="2361">
                  <c:v>35.965640000000306</c:v>
                </c:pt>
                <c:pt idx="2362">
                  <c:v>35.980870000000309</c:v>
                </c:pt>
                <c:pt idx="2363">
                  <c:v>35.996100000000311</c:v>
                </c:pt>
                <c:pt idx="2364">
                  <c:v>36.011330000000314</c:v>
                </c:pt>
                <c:pt idx="2365">
                  <c:v>36.026560000000316</c:v>
                </c:pt>
                <c:pt idx="2366">
                  <c:v>36.041790000000319</c:v>
                </c:pt>
                <c:pt idx="2367">
                  <c:v>36.057020000000321</c:v>
                </c:pt>
                <c:pt idx="2368">
                  <c:v>36.072250000000324</c:v>
                </c:pt>
                <c:pt idx="2369">
                  <c:v>36.087480000000326</c:v>
                </c:pt>
                <c:pt idx="2370">
                  <c:v>36.102710000000329</c:v>
                </c:pt>
                <c:pt idx="2371">
                  <c:v>36.117940000000331</c:v>
                </c:pt>
                <c:pt idx="2372">
                  <c:v>36.133170000000334</c:v>
                </c:pt>
                <c:pt idx="2373">
                  <c:v>36.148400000000336</c:v>
                </c:pt>
                <c:pt idx="2374">
                  <c:v>36.163630000000339</c:v>
                </c:pt>
                <c:pt idx="2375">
                  <c:v>36.178860000000341</c:v>
                </c:pt>
                <c:pt idx="2376">
                  <c:v>36.194090000000344</c:v>
                </c:pt>
                <c:pt idx="2377">
                  <c:v>36.209320000000346</c:v>
                </c:pt>
                <c:pt idx="2378">
                  <c:v>36.224550000000349</c:v>
                </c:pt>
                <c:pt idx="2379">
                  <c:v>36.239780000000351</c:v>
                </c:pt>
                <c:pt idx="2380">
                  <c:v>36.255010000000354</c:v>
                </c:pt>
                <c:pt idx="2381">
                  <c:v>36.270240000000356</c:v>
                </c:pt>
                <c:pt idx="2382">
                  <c:v>36.285470000000359</c:v>
                </c:pt>
                <c:pt idx="2383">
                  <c:v>36.300700000000361</c:v>
                </c:pt>
                <c:pt idx="2384">
                  <c:v>36.315930000000364</c:v>
                </c:pt>
                <c:pt idx="2385">
                  <c:v>36.331160000000366</c:v>
                </c:pt>
                <c:pt idx="2386">
                  <c:v>36.346390000000369</c:v>
                </c:pt>
                <c:pt idx="2387">
                  <c:v>36.361620000000372</c:v>
                </c:pt>
                <c:pt idx="2388">
                  <c:v>36.376850000000374</c:v>
                </c:pt>
                <c:pt idx="2389">
                  <c:v>36.392080000000377</c:v>
                </c:pt>
                <c:pt idx="2390">
                  <c:v>36.407310000000379</c:v>
                </c:pt>
                <c:pt idx="2391">
                  <c:v>36.422540000000382</c:v>
                </c:pt>
                <c:pt idx="2392">
                  <c:v>36.437770000000384</c:v>
                </c:pt>
                <c:pt idx="2393">
                  <c:v>36.453000000000387</c:v>
                </c:pt>
                <c:pt idx="2394">
                  <c:v>36.468230000000389</c:v>
                </c:pt>
                <c:pt idx="2395">
                  <c:v>36.483460000000392</c:v>
                </c:pt>
                <c:pt idx="2396">
                  <c:v>36.498690000000394</c:v>
                </c:pt>
                <c:pt idx="2397">
                  <c:v>36.513920000000397</c:v>
                </c:pt>
                <c:pt idx="2398">
                  <c:v>36.529150000000399</c:v>
                </c:pt>
                <c:pt idx="2399">
                  <c:v>36.544380000000402</c:v>
                </c:pt>
                <c:pt idx="2400">
                  <c:v>36.559610000000404</c:v>
                </c:pt>
                <c:pt idx="2401">
                  <c:v>36.574840000000407</c:v>
                </c:pt>
                <c:pt idx="2402">
                  <c:v>36.590070000000409</c:v>
                </c:pt>
                <c:pt idx="2403">
                  <c:v>36.605300000000412</c:v>
                </c:pt>
                <c:pt idx="2404">
                  <c:v>36.620530000000414</c:v>
                </c:pt>
                <c:pt idx="2405">
                  <c:v>36.635760000000417</c:v>
                </c:pt>
                <c:pt idx="2406">
                  <c:v>36.650990000000419</c:v>
                </c:pt>
                <c:pt idx="2407">
                  <c:v>36.666220000000422</c:v>
                </c:pt>
                <c:pt idx="2408">
                  <c:v>36.681450000000424</c:v>
                </c:pt>
                <c:pt idx="2409">
                  <c:v>36.696680000000427</c:v>
                </c:pt>
                <c:pt idx="2410">
                  <c:v>36.711910000000429</c:v>
                </c:pt>
                <c:pt idx="2411">
                  <c:v>36.727140000000432</c:v>
                </c:pt>
                <c:pt idx="2412">
                  <c:v>36.742370000000435</c:v>
                </c:pt>
                <c:pt idx="2413">
                  <c:v>36.757600000000437</c:v>
                </c:pt>
                <c:pt idx="2414">
                  <c:v>36.77283000000044</c:v>
                </c:pt>
                <c:pt idx="2415">
                  <c:v>36.788060000000442</c:v>
                </c:pt>
                <c:pt idx="2416">
                  <c:v>36.803290000000445</c:v>
                </c:pt>
                <c:pt idx="2417">
                  <c:v>36.818520000000447</c:v>
                </c:pt>
                <c:pt idx="2418">
                  <c:v>36.83375000000045</c:v>
                </c:pt>
                <c:pt idx="2419">
                  <c:v>36.848980000000452</c:v>
                </c:pt>
                <c:pt idx="2420">
                  <c:v>36.864210000000455</c:v>
                </c:pt>
                <c:pt idx="2421">
                  <c:v>36.879440000000457</c:v>
                </c:pt>
                <c:pt idx="2422">
                  <c:v>36.89467000000046</c:v>
                </c:pt>
                <c:pt idx="2423">
                  <c:v>36.909900000000462</c:v>
                </c:pt>
                <c:pt idx="2424">
                  <c:v>36.925130000000465</c:v>
                </c:pt>
                <c:pt idx="2425">
                  <c:v>36.940360000000467</c:v>
                </c:pt>
                <c:pt idx="2426">
                  <c:v>36.95559000000047</c:v>
                </c:pt>
                <c:pt idx="2427">
                  <c:v>36.970820000000472</c:v>
                </c:pt>
                <c:pt idx="2428">
                  <c:v>36.986050000000475</c:v>
                </c:pt>
                <c:pt idx="2429">
                  <c:v>37.001280000000477</c:v>
                </c:pt>
                <c:pt idx="2430">
                  <c:v>37.01651000000048</c:v>
                </c:pt>
                <c:pt idx="2431">
                  <c:v>37.031740000000482</c:v>
                </c:pt>
                <c:pt idx="2432">
                  <c:v>37.046970000000485</c:v>
                </c:pt>
                <c:pt idx="2433">
                  <c:v>37.062200000000487</c:v>
                </c:pt>
                <c:pt idx="2434">
                  <c:v>37.07743000000049</c:v>
                </c:pt>
                <c:pt idx="2435">
                  <c:v>37.092660000000492</c:v>
                </c:pt>
                <c:pt idx="2436">
                  <c:v>37.107890000000495</c:v>
                </c:pt>
                <c:pt idx="2437">
                  <c:v>37.123120000000497</c:v>
                </c:pt>
                <c:pt idx="2438">
                  <c:v>37.1383500000005</c:v>
                </c:pt>
                <c:pt idx="2439">
                  <c:v>37.153580000000503</c:v>
                </c:pt>
                <c:pt idx="2440">
                  <c:v>37.168810000000505</c:v>
                </c:pt>
                <c:pt idx="2441">
                  <c:v>37.184040000000508</c:v>
                </c:pt>
                <c:pt idx="2442">
                  <c:v>37.19927000000051</c:v>
                </c:pt>
                <c:pt idx="2443">
                  <c:v>37.214500000000513</c:v>
                </c:pt>
                <c:pt idx="2444">
                  <c:v>37.229730000000515</c:v>
                </c:pt>
                <c:pt idx="2445">
                  <c:v>37.244960000000518</c:v>
                </c:pt>
                <c:pt idx="2446">
                  <c:v>37.26019000000052</c:v>
                </c:pt>
                <c:pt idx="2447">
                  <c:v>37.275420000000523</c:v>
                </c:pt>
                <c:pt idx="2448">
                  <c:v>37.290650000000525</c:v>
                </c:pt>
                <c:pt idx="2449">
                  <c:v>37.305880000000528</c:v>
                </c:pt>
                <c:pt idx="2450">
                  <c:v>37.32111000000053</c:v>
                </c:pt>
                <c:pt idx="2451">
                  <c:v>37.336340000000533</c:v>
                </c:pt>
                <c:pt idx="2452">
                  <c:v>37.351570000000535</c:v>
                </c:pt>
                <c:pt idx="2453">
                  <c:v>37.366800000000538</c:v>
                </c:pt>
                <c:pt idx="2454">
                  <c:v>37.38203000000054</c:v>
                </c:pt>
                <c:pt idx="2455">
                  <c:v>37.397260000000543</c:v>
                </c:pt>
                <c:pt idx="2456">
                  <c:v>37.412490000000545</c:v>
                </c:pt>
                <c:pt idx="2457">
                  <c:v>37.427720000000548</c:v>
                </c:pt>
                <c:pt idx="2458">
                  <c:v>37.44295000000055</c:v>
                </c:pt>
                <c:pt idx="2459">
                  <c:v>37.458180000000553</c:v>
                </c:pt>
                <c:pt idx="2460">
                  <c:v>37.473410000000555</c:v>
                </c:pt>
                <c:pt idx="2461">
                  <c:v>37.488640000000558</c:v>
                </c:pt>
                <c:pt idx="2462">
                  <c:v>37.50387000000056</c:v>
                </c:pt>
                <c:pt idx="2463">
                  <c:v>37.519100000000563</c:v>
                </c:pt>
                <c:pt idx="2464">
                  <c:v>37.534330000000566</c:v>
                </c:pt>
                <c:pt idx="2465">
                  <c:v>37.549560000000568</c:v>
                </c:pt>
                <c:pt idx="2466">
                  <c:v>37.564790000000571</c:v>
                </c:pt>
                <c:pt idx="2467">
                  <c:v>37.580020000000573</c:v>
                </c:pt>
                <c:pt idx="2468">
                  <c:v>37.595250000000576</c:v>
                </c:pt>
                <c:pt idx="2469">
                  <c:v>37.610480000000578</c:v>
                </c:pt>
                <c:pt idx="2470">
                  <c:v>37.625710000000581</c:v>
                </c:pt>
                <c:pt idx="2471">
                  <c:v>37.640940000000583</c:v>
                </c:pt>
                <c:pt idx="2472">
                  <c:v>37.656170000000586</c:v>
                </c:pt>
                <c:pt idx="2473">
                  <c:v>37.671400000000588</c:v>
                </c:pt>
                <c:pt idx="2474">
                  <c:v>37.686630000000591</c:v>
                </c:pt>
                <c:pt idx="2475">
                  <c:v>37.701860000000593</c:v>
                </c:pt>
                <c:pt idx="2476">
                  <c:v>37.717090000000596</c:v>
                </c:pt>
                <c:pt idx="2477">
                  <c:v>37.732320000000598</c:v>
                </c:pt>
                <c:pt idx="2478">
                  <c:v>37.747550000000601</c:v>
                </c:pt>
                <c:pt idx="2479">
                  <c:v>37.762780000000603</c:v>
                </c:pt>
                <c:pt idx="2480">
                  <c:v>37.778010000000606</c:v>
                </c:pt>
                <c:pt idx="2481">
                  <c:v>37.793240000000608</c:v>
                </c:pt>
                <c:pt idx="2482">
                  <c:v>37.808470000000611</c:v>
                </c:pt>
                <c:pt idx="2483">
                  <c:v>37.823700000000613</c:v>
                </c:pt>
                <c:pt idx="2484">
                  <c:v>37.838930000000616</c:v>
                </c:pt>
                <c:pt idx="2485">
                  <c:v>37.854160000000618</c:v>
                </c:pt>
                <c:pt idx="2486">
                  <c:v>37.869390000000621</c:v>
                </c:pt>
                <c:pt idx="2487">
                  <c:v>37.884620000000623</c:v>
                </c:pt>
                <c:pt idx="2488">
                  <c:v>37.899850000000626</c:v>
                </c:pt>
                <c:pt idx="2489">
                  <c:v>37.915080000000629</c:v>
                </c:pt>
                <c:pt idx="2490">
                  <c:v>37.930310000000631</c:v>
                </c:pt>
                <c:pt idx="2491">
                  <c:v>37.945540000000634</c:v>
                </c:pt>
                <c:pt idx="2492">
                  <c:v>37.960770000000636</c:v>
                </c:pt>
                <c:pt idx="2493">
                  <c:v>37.976000000000639</c:v>
                </c:pt>
                <c:pt idx="2494">
                  <c:v>37.991230000000641</c:v>
                </c:pt>
                <c:pt idx="2495">
                  <c:v>38.006460000000644</c:v>
                </c:pt>
                <c:pt idx="2496">
                  <c:v>38.021690000000646</c:v>
                </c:pt>
                <c:pt idx="2497">
                  <c:v>38.036920000000649</c:v>
                </c:pt>
                <c:pt idx="2498">
                  <c:v>38.052150000000651</c:v>
                </c:pt>
                <c:pt idx="2499">
                  <c:v>38.067380000000654</c:v>
                </c:pt>
                <c:pt idx="2500">
                  <c:v>38.082610000000656</c:v>
                </c:pt>
                <c:pt idx="2501">
                  <c:v>38.097840000000659</c:v>
                </c:pt>
                <c:pt idx="2502">
                  <c:v>38.113070000000661</c:v>
                </c:pt>
                <c:pt idx="2503">
                  <c:v>38.128300000000664</c:v>
                </c:pt>
                <c:pt idx="2504">
                  <c:v>38.143530000000666</c:v>
                </c:pt>
                <c:pt idx="2505">
                  <c:v>38.158760000000669</c:v>
                </c:pt>
                <c:pt idx="2506">
                  <c:v>38.173990000000671</c:v>
                </c:pt>
                <c:pt idx="2507">
                  <c:v>38.189220000000674</c:v>
                </c:pt>
                <c:pt idx="2508">
                  <c:v>38.204450000000676</c:v>
                </c:pt>
                <c:pt idx="2509">
                  <c:v>38.219680000000679</c:v>
                </c:pt>
                <c:pt idx="2510">
                  <c:v>38.234910000000681</c:v>
                </c:pt>
                <c:pt idx="2511">
                  <c:v>38.250140000000684</c:v>
                </c:pt>
                <c:pt idx="2512">
                  <c:v>38.265370000000686</c:v>
                </c:pt>
                <c:pt idx="2513">
                  <c:v>38.280600000000689</c:v>
                </c:pt>
                <c:pt idx="2514">
                  <c:v>38.295830000000691</c:v>
                </c:pt>
                <c:pt idx="2515">
                  <c:v>38.311060000000694</c:v>
                </c:pt>
                <c:pt idx="2516">
                  <c:v>38.326290000000697</c:v>
                </c:pt>
                <c:pt idx="2517">
                  <c:v>38.341520000000699</c:v>
                </c:pt>
                <c:pt idx="2518">
                  <c:v>38.356750000000702</c:v>
                </c:pt>
                <c:pt idx="2519">
                  <c:v>38.371980000000704</c:v>
                </c:pt>
                <c:pt idx="2520">
                  <c:v>38.387210000000707</c:v>
                </c:pt>
                <c:pt idx="2521">
                  <c:v>38.402440000000709</c:v>
                </c:pt>
                <c:pt idx="2522">
                  <c:v>38.417670000000712</c:v>
                </c:pt>
                <c:pt idx="2523">
                  <c:v>38.432900000000714</c:v>
                </c:pt>
                <c:pt idx="2524">
                  <c:v>38.448130000000717</c:v>
                </c:pt>
                <c:pt idx="2525">
                  <c:v>38.463360000000719</c:v>
                </c:pt>
                <c:pt idx="2526">
                  <c:v>38.478590000000722</c:v>
                </c:pt>
                <c:pt idx="2527">
                  <c:v>38.493820000000724</c:v>
                </c:pt>
                <c:pt idx="2528">
                  <c:v>38.509050000000727</c:v>
                </c:pt>
                <c:pt idx="2529">
                  <c:v>38.524280000000729</c:v>
                </c:pt>
                <c:pt idx="2530">
                  <c:v>38.539510000000732</c:v>
                </c:pt>
                <c:pt idx="2531">
                  <c:v>38.554740000000734</c:v>
                </c:pt>
                <c:pt idx="2532">
                  <c:v>38.569970000000737</c:v>
                </c:pt>
                <c:pt idx="2533">
                  <c:v>38.585200000000739</c:v>
                </c:pt>
                <c:pt idx="2534">
                  <c:v>38.600430000000742</c:v>
                </c:pt>
                <c:pt idx="2535">
                  <c:v>38.615660000000744</c:v>
                </c:pt>
                <c:pt idx="2536">
                  <c:v>38.630890000000747</c:v>
                </c:pt>
                <c:pt idx="2537">
                  <c:v>38.646120000000749</c:v>
                </c:pt>
                <c:pt idx="2538">
                  <c:v>38.661350000000752</c:v>
                </c:pt>
                <c:pt idx="2539">
                  <c:v>38.676580000000754</c:v>
                </c:pt>
                <c:pt idx="2540">
                  <c:v>38.691810000000757</c:v>
                </c:pt>
                <c:pt idx="2541">
                  <c:v>38.70704000000076</c:v>
                </c:pt>
                <c:pt idx="2542">
                  <c:v>38.722270000000762</c:v>
                </c:pt>
                <c:pt idx="2543">
                  <c:v>38.737500000000765</c:v>
                </c:pt>
                <c:pt idx="2544">
                  <c:v>38.752730000000767</c:v>
                </c:pt>
                <c:pt idx="2545">
                  <c:v>38.76796000000077</c:v>
                </c:pt>
                <c:pt idx="2546">
                  <c:v>38.783190000000772</c:v>
                </c:pt>
                <c:pt idx="2547">
                  <c:v>38.798420000000775</c:v>
                </c:pt>
                <c:pt idx="2548">
                  <c:v>38.813650000000777</c:v>
                </c:pt>
                <c:pt idx="2549">
                  <c:v>38.82888000000078</c:v>
                </c:pt>
                <c:pt idx="2550">
                  <c:v>38.844110000000782</c:v>
                </c:pt>
                <c:pt idx="2551">
                  <c:v>38.859340000000785</c:v>
                </c:pt>
                <c:pt idx="2552">
                  <c:v>38.874570000000787</c:v>
                </c:pt>
                <c:pt idx="2553">
                  <c:v>38.88980000000079</c:v>
                </c:pt>
                <c:pt idx="2554">
                  <c:v>38.905030000000792</c:v>
                </c:pt>
                <c:pt idx="2555">
                  <c:v>38.920260000000795</c:v>
                </c:pt>
                <c:pt idx="2556">
                  <c:v>38.935490000000797</c:v>
                </c:pt>
                <c:pt idx="2557">
                  <c:v>38.9507200000008</c:v>
                </c:pt>
                <c:pt idx="2558">
                  <c:v>38.965950000000802</c:v>
                </c:pt>
                <c:pt idx="2559">
                  <c:v>38.981180000000805</c:v>
                </c:pt>
                <c:pt idx="2560">
                  <c:v>38.996410000000807</c:v>
                </c:pt>
                <c:pt idx="2561">
                  <c:v>39.01164000000081</c:v>
                </c:pt>
                <c:pt idx="2562">
                  <c:v>39.026870000000812</c:v>
                </c:pt>
                <c:pt idx="2563">
                  <c:v>39.042100000000815</c:v>
                </c:pt>
                <c:pt idx="2564">
                  <c:v>39.057330000000817</c:v>
                </c:pt>
                <c:pt idx="2565">
                  <c:v>39.07256000000082</c:v>
                </c:pt>
                <c:pt idx="2566">
                  <c:v>39.087790000000822</c:v>
                </c:pt>
                <c:pt idx="2567">
                  <c:v>39.103020000000825</c:v>
                </c:pt>
                <c:pt idx="2568">
                  <c:v>39.118250000000828</c:v>
                </c:pt>
                <c:pt idx="2569">
                  <c:v>39.13348000000083</c:v>
                </c:pt>
                <c:pt idx="2570">
                  <c:v>39.148710000000833</c:v>
                </c:pt>
                <c:pt idx="2571">
                  <c:v>39.163940000000835</c:v>
                </c:pt>
                <c:pt idx="2572">
                  <c:v>39.179170000000838</c:v>
                </c:pt>
                <c:pt idx="2573">
                  <c:v>39.19440000000084</c:v>
                </c:pt>
                <c:pt idx="2574">
                  <c:v>39.209630000000843</c:v>
                </c:pt>
                <c:pt idx="2575">
                  <c:v>39.224860000000845</c:v>
                </c:pt>
                <c:pt idx="2576">
                  <c:v>39.240090000000848</c:v>
                </c:pt>
                <c:pt idx="2577">
                  <c:v>39.25532000000085</c:v>
                </c:pt>
                <c:pt idx="2578">
                  <c:v>39.270550000000853</c:v>
                </c:pt>
                <c:pt idx="2579">
                  <c:v>39.285780000000855</c:v>
                </c:pt>
                <c:pt idx="2580">
                  <c:v>39.301010000000858</c:v>
                </c:pt>
                <c:pt idx="2581">
                  <c:v>39.31624000000086</c:v>
                </c:pt>
                <c:pt idx="2582">
                  <c:v>39.331470000000863</c:v>
                </c:pt>
                <c:pt idx="2583">
                  <c:v>39.346700000000865</c:v>
                </c:pt>
                <c:pt idx="2584">
                  <c:v>39.361930000000868</c:v>
                </c:pt>
                <c:pt idx="2585">
                  <c:v>39.37716000000087</c:v>
                </c:pt>
                <c:pt idx="2586">
                  <c:v>39.392390000000873</c:v>
                </c:pt>
                <c:pt idx="2587">
                  <c:v>39.407620000000875</c:v>
                </c:pt>
                <c:pt idx="2588">
                  <c:v>39.422850000000878</c:v>
                </c:pt>
                <c:pt idx="2589">
                  <c:v>39.43808000000088</c:v>
                </c:pt>
                <c:pt idx="2590">
                  <c:v>39.453310000000883</c:v>
                </c:pt>
                <c:pt idx="2591">
                  <c:v>39.468540000000885</c:v>
                </c:pt>
                <c:pt idx="2592">
                  <c:v>39.483770000000888</c:v>
                </c:pt>
                <c:pt idx="2593">
                  <c:v>39.499000000000891</c:v>
                </c:pt>
                <c:pt idx="2594">
                  <c:v>39.514230000000893</c:v>
                </c:pt>
                <c:pt idx="2595">
                  <c:v>39.529460000000896</c:v>
                </c:pt>
                <c:pt idx="2596">
                  <c:v>39.544690000000898</c:v>
                </c:pt>
                <c:pt idx="2597">
                  <c:v>39.559920000000901</c:v>
                </c:pt>
                <c:pt idx="2598">
                  <c:v>39.575150000000903</c:v>
                </c:pt>
                <c:pt idx="2599">
                  <c:v>39.590380000000906</c:v>
                </c:pt>
                <c:pt idx="2600">
                  <c:v>39.605610000000908</c:v>
                </c:pt>
                <c:pt idx="2601">
                  <c:v>39.620840000000911</c:v>
                </c:pt>
                <c:pt idx="2602">
                  <c:v>39.636070000000913</c:v>
                </c:pt>
                <c:pt idx="2603">
                  <c:v>39.651300000000916</c:v>
                </c:pt>
                <c:pt idx="2604">
                  <c:v>39.666530000000918</c:v>
                </c:pt>
                <c:pt idx="2605">
                  <c:v>39.681760000000921</c:v>
                </c:pt>
                <c:pt idx="2606">
                  <c:v>39.696990000000923</c:v>
                </c:pt>
                <c:pt idx="2607">
                  <c:v>39.712220000000926</c:v>
                </c:pt>
                <c:pt idx="2608">
                  <c:v>39.727450000000928</c:v>
                </c:pt>
                <c:pt idx="2609">
                  <c:v>39.742680000000931</c:v>
                </c:pt>
                <c:pt idx="2610">
                  <c:v>39.757910000000933</c:v>
                </c:pt>
                <c:pt idx="2611">
                  <c:v>39.773140000000936</c:v>
                </c:pt>
                <c:pt idx="2612">
                  <c:v>39.788370000000938</c:v>
                </c:pt>
                <c:pt idx="2613">
                  <c:v>39.803600000000941</c:v>
                </c:pt>
                <c:pt idx="2614">
                  <c:v>39.818830000000943</c:v>
                </c:pt>
                <c:pt idx="2615">
                  <c:v>39.834060000000946</c:v>
                </c:pt>
                <c:pt idx="2616">
                  <c:v>39.849290000000948</c:v>
                </c:pt>
                <c:pt idx="2617">
                  <c:v>39.864520000000951</c:v>
                </c:pt>
                <c:pt idx="2618">
                  <c:v>39.879750000000953</c:v>
                </c:pt>
                <c:pt idx="2619">
                  <c:v>39.894980000000956</c:v>
                </c:pt>
                <c:pt idx="2620">
                  <c:v>39.910210000000959</c:v>
                </c:pt>
                <c:pt idx="2621">
                  <c:v>39.925440000000961</c:v>
                </c:pt>
                <c:pt idx="2622">
                  <c:v>39.940670000000964</c:v>
                </c:pt>
                <c:pt idx="2623">
                  <c:v>39.955900000000966</c:v>
                </c:pt>
                <c:pt idx="2624">
                  <c:v>39.971130000000969</c:v>
                </c:pt>
                <c:pt idx="2625">
                  <c:v>39.986360000000971</c:v>
                </c:pt>
                <c:pt idx="2626">
                  <c:v>40.001590000000974</c:v>
                </c:pt>
                <c:pt idx="2627">
                  <c:v>40.016820000000976</c:v>
                </c:pt>
                <c:pt idx="2628">
                  <c:v>40.032050000000979</c:v>
                </c:pt>
                <c:pt idx="2629">
                  <c:v>40.047280000000981</c:v>
                </c:pt>
                <c:pt idx="2630">
                  <c:v>40.062510000000984</c:v>
                </c:pt>
                <c:pt idx="2631">
                  <c:v>40.077740000000986</c:v>
                </c:pt>
                <c:pt idx="2632">
                  <c:v>40.092970000000989</c:v>
                </c:pt>
                <c:pt idx="2633">
                  <c:v>40.108200000000991</c:v>
                </c:pt>
                <c:pt idx="2634">
                  <c:v>40.123430000000994</c:v>
                </c:pt>
                <c:pt idx="2635">
                  <c:v>40.138660000000996</c:v>
                </c:pt>
                <c:pt idx="2636">
                  <c:v>40.153890000000999</c:v>
                </c:pt>
                <c:pt idx="2637">
                  <c:v>40.169120000001001</c:v>
                </c:pt>
                <c:pt idx="2638">
                  <c:v>40.184350000001004</c:v>
                </c:pt>
                <c:pt idx="2639">
                  <c:v>40.199580000001006</c:v>
                </c:pt>
                <c:pt idx="2640">
                  <c:v>40.214810000001009</c:v>
                </c:pt>
                <c:pt idx="2641">
                  <c:v>40.230040000001011</c:v>
                </c:pt>
                <c:pt idx="2642">
                  <c:v>40.245270000001014</c:v>
                </c:pt>
                <c:pt idx="2643">
                  <c:v>40.260500000001016</c:v>
                </c:pt>
                <c:pt idx="2644">
                  <c:v>40.275730000001019</c:v>
                </c:pt>
                <c:pt idx="2645">
                  <c:v>40.290960000001022</c:v>
                </c:pt>
                <c:pt idx="2646">
                  <c:v>40.306190000001024</c:v>
                </c:pt>
                <c:pt idx="2647">
                  <c:v>40.321420000001027</c:v>
                </c:pt>
                <c:pt idx="2648">
                  <c:v>40.336650000001029</c:v>
                </c:pt>
                <c:pt idx="2649">
                  <c:v>40.351880000001032</c:v>
                </c:pt>
                <c:pt idx="2650">
                  <c:v>40.367110000001034</c:v>
                </c:pt>
                <c:pt idx="2651">
                  <c:v>40.382340000001037</c:v>
                </c:pt>
                <c:pt idx="2652">
                  <c:v>40.397570000001039</c:v>
                </c:pt>
                <c:pt idx="2653">
                  <c:v>40.412800000001042</c:v>
                </c:pt>
                <c:pt idx="2654">
                  <c:v>40.428030000001044</c:v>
                </c:pt>
                <c:pt idx="2655">
                  <c:v>40.443260000001047</c:v>
                </c:pt>
                <c:pt idx="2656">
                  <c:v>40.458490000001049</c:v>
                </c:pt>
                <c:pt idx="2657">
                  <c:v>40.473720000001052</c:v>
                </c:pt>
                <c:pt idx="2658">
                  <c:v>40.488950000001054</c:v>
                </c:pt>
                <c:pt idx="2659">
                  <c:v>40.504180000001057</c:v>
                </c:pt>
                <c:pt idx="2660">
                  <c:v>40.519410000001059</c:v>
                </c:pt>
                <c:pt idx="2661">
                  <c:v>40.534640000001062</c:v>
                </c:pt>
                <c:pt idx="2662">
                  <c:v>40.549870000001064</c:v>
                </c:pt>
                <c:pt idx="2663">
                  <c:v>40.565100000001067</c:v>
                </c:pt>
                <c:pt idx="2664">
                  <c:v>40.580330000001069</c:v>
                </c:pt>
                <c:pt idx="2665">
                  <c:v>40.595560000001072</c:v>
                </c:pt>
                <c:pt idx="2666">
                  <c:v>40.610790000001074</c:v>
                </c:pt>
                <c:pt idx="2667">
                  <c:v>40.626020000001077</c:v>
                </c:pt>
                <c:pt idx="2668">
                  <c:v>40.641250000001079</c:v>
                </c:pt>
                <c:pt idx="2669">
                  <c:v>40.656480000001082</c:v>
                </c:pt>
                <c:pt idx="2670">
                  <c:v>40.671710000001084</c:v>
                </c:pt>
                <c:pt idx="2671">
                  <c:v>40.686940000001087</c:v>
                </c:pt>
                <c:pt idx="2672">
                  <c:v>40.70217000000109</c:v>
                </c:pt>
                <c:pt idx="2673">
                  <c:v>40.717400000001092</c:v>
                </c:pt>
                <c:pt idx="2674">
                  <c:v>40.732630000001095</c:v>
                </c:pt>
                <c:pt idx="2675">
                  <c:v>40.747860000001097</c:v>
                </c:pt>
                <c:pt idx="2676">
                  <c:v>40.7630900000011</c:v>
                </c:pt>
                <c:pt idx="2677">
                  <c:v>40.778320000001102</c:v>
                </c:pt>
                <c:pt idx="2678">
                  <c:v>40.793550000001105</c:v>
                </c:pt>
                <c:pt idx="2679">
                  <c:v>40.808780000001107</c:v>
                </c:pt>
                <c:pt idx="2680">
                  <c:v>40.82401000000111</c:v>
                </c:pt>
                <c:pt idx="2681">
                  <c:v>40.839240000001112</c:v>
                </c:pt>
                <c:pt idx="2682">
                  <c:v>40.854470000001115</c:v>
                </c:pt>
                <c:pt idx="2683">
                  <c:v>40.869700000001117</c:v>
                </c:pt>
                <c:pt idx="2684">
                  <c:v>40.88493000000112</c:v>
                </c:pt>
                <c:pt idx="2685">
                  <c:v>40.900160000001122</c:v>
                </c:pt>
                <c:pt idx="2686">
                  <c:v>40.915390000001125</c:v>
                </c:pt>
                <c:pt idx="2687">
                  <c:v>40.930620000001127</c:v>
                </c:pt>
                <c:pt idx="2688">
                  <c:v>40.94585000000113</c:v>
                </c:pt>
                <c:pt idx="2689">
                  <c:v>40.961080000001132</c:v>
                </c:pt>
                <c:pt idx="2690">
                  <c:v>40.976310000001135</c:v>
                </c:pt>
                <c:pt idx="2691">
                  <c:v>40.991540000001137</c:v>
                </c:pt>
                <c:pt idx="2692">
                  <c:v>41.00677000000114</c:v>
                </c:pt>
                <c:pt idx="2693">
                  <c:v>41.022000000001142</c:v>
                </c:pt>
                <c:pt idx="2694">
                  <c:v>41.037230000001145</c:v>
                </c:pt>
                <c:pt idx="2695">
                  <c:v>41.052460000001147</c:v>
                </c:pt>
                <c:pt idx="2696">
                  <c:v>41.06769000000115</c:v>
                </c:pt>
                <c:pt idx="2697">
                  <c:v>41.082920000001153</c:v>
                </c:pt>
                <c:pt idx="2698">
                  <c:v>41.098150000001155</c:v>
                </c:pt>
                <c:pt idx="2699">
                  <c:v>41.113380000001158</c:v>
                </c:pt>
                <c:pt idx="2700">
                  <c:v>41.12861000000116</c:v>
                </c:pt>
                <c:pt idx="2701">
                  <c:v>41.143840000001163</c:v>
                </c:pt>
                <c:pt idx="2702">
                  <c:v>41.159070000001165</c:v>
                </c:pt>
                <c:pt idx="2703">
                  <c:v>41.174300000001168</c:v>
                </c:pt>
                <c:pt idx="2704">
                  <c:v>41.18953000000117</c:v>
                </c:pt>
                <c:pt idx="2705">
                  <c:v>41.204760000001173</c:v>
                </c:pt>
                <c:pt idx="2706">
                  <c:v>41.219990000001175</c:v>
                </c:pt>
                <c:pt idx="2707">
                  <c:v>41.235220000001178</c:v>
                </c:pt>
                <c:pt idx="2708">
                  <c:v>41.25045000000118</c:v>
                </c:pt>
                <c:pt idx="2709">
                  <c:v>41.265680000001183</c:v>
                </c:pt>
                <c:pt idx="2710">
                  <c:v>41.280910000001185</c:v>
                </c:pt>
                <c:pt idx="2711">
                  <c:v>41.296140000001188</c:v>
                </c:pt>
                <c:pt idx="2712">
                  <c:v>41.31137000000119</c:v>
                </c:pt>
                <c:pt idx="2713">
                  <c:v>41.326600000001193</c:v>
                </c:pt>
                <c:pt idx="2714">
                  <c:v>41.341830000001195</c:v>
                </c:pt>
                <c:pt idx="2715">
                  <c:v>41.357060000001198</c:v>
                </c:pt>
                <c:pt idx="2716">
                  <c:v>41.3722900000012</c:v>
                </c:pt>
                <c:pt idx="2717">
                  <c:v>41.387520000001203</c:v>
                </c:pt>
                <c:pt idx="2718">
                  <c:v>41.402750000001205</c:v>
                </c:pt>
                <c:pt idx="2719">
                  <c:v>41.417980000001208</c:v>
                </c:pt>
                <c:pt idx="2720">
                  <c:v>41.43321000000121</c:v>
                </c:pt>
                <c:pt idx="2721">
                  <c:v>41.448440000001213</c:v>
                </c:pt>
                <c:pt idx="2722">
                  <c:v>41.463670000001215</c:v>
                </c:pt>
                <c:pt idx="2723">
                  <c:v>41.478900000001218</c:v>
                </c:pt>
                <c:pt idx="2724">
                  <c:v>41.494130000001221</c:v>
                </c:pt>
                <c:pt idx="2725">
                  <c:v>41.509360000001223</c:v>
                </c:pt>
                <c:pt idx="2726">
                  <c:v>41.524590000001226</c:v>
                </c:pt>
                <c:pt idx="2727">
                  <c:v>41.539820000001228</c:v>
                </c:pt>
                <c:pt idx="2728">
                  <c:v>41.555050000001231</c:v>
                </c:pt>
                <c:pt idx="2729">
                  <c:v>41.570280000001233</c:v>
                </c:pt>
                <c:pt idx="2730">
                  <c:v>41.585510000001236</c:v>
                </c:pt>
                <c:pt idx="2731">
                  <c:v>41.600740000001238</c:v>
                </c:pt>
                <c:pt idx="2732">
                  <c:v>41.615970000001241</c:v>
                </c:pt>
                <c:pt idx="2733">
                  <c:v>41.631200000001243</c:v>
                </c:pt>
                <c:pt idx="2734">
                  <c:v>41.646430000001246</c:v>
                </c:pt>
                <c:pt idx="2735">
                  <c:v>41.661660000001248</c:v>
                </c:pt>
                <c:pt idx="2736">
                  <c:v>41.676890000001251</c:v>
                </c:pt>
                <c:pt idx="2737">
                  <c:v>41.692120000001253</c:v>
                </c:pt>
                <c:pt idx="2738">
                  <c:v>41.707350000001256</c:v>
                </c:pt>
                <c:pt idx="2739">
                  <c:v>41.722580000001258</c:v>
                </c:pt>
                <c:pt idx="2740">
                  <c:v>41.737810000001261</c:v>
                </c:pt>
                <c:pt idx="2741">
                  <c:v>41.753040000001263</c:v>
                </c:pt>
                <c:pt idx="2742">
                  <c:v>41.768270000001266</c:v>
                </c:pt>
                <c:pt idx="2743">
                  <c:v>41.783500000001268</c:v>
                </c:pt>
                <c:pt idx="2744">
                  <c:v>41.798730000001271</c:v>
                </c:pt>
                <c:pt idx="2745">
                  <c:v>41.813960000001273</c:v>
                </c:pt>
                <c:pt idx="2746">
                  <c:v>41.829190000001276</c:v>
                </c:pt>
                <c:pt idx="2747">
                  <c:v>41.844420000001278</c:v>
                </c:pt>
                <c:pt idx="2748">
                  <c:v>41.859650000001281</c:v>
                </c:pt>
                <c:pt idx="2749">
                  <c:v>41.874880000001284</c:v>
                </c:pt>
                <c:pt idx="2750">
                  <c:v>41.890110000001286</c:v>
                </c:pt>
                <c:pt idx="2751">
                  <c:v>41.905340000001289</c:v>
                </c:pt>
                <c:pt idx="2752">
                  <c:v>41.920570000001291</c:v>
                </c:pt>
                <c:pt idx="2753">
                  <c:v>41.935800000001294</c:v>
                </c:pt>
                <c:pt idx="2754">
                  <c:v>41.951030000001296</c:v>
                </c:pt>
                <c:pt idx="2755">
                  <c:v>41.966260000001299</c:v>
                </c:pt>
                <c:pt idx="2756">
                  <c:v>41.981490000001301</c:v>
                </c:pt>
                <c:pt idx="2757">
                  <c:v>41.996720000001304</c:v>
                </c:pt>
                <c:pt idx="2758">
                  <c:v>42.011950000001306</c:v>
                </c:pt>
                <c:pt idx="2759">
                  <c:v>42.027180000001309</c:v>
                </c:pt>
                <c:pt idx="2760">
                  <c:v>42.042410000001311</c:v>
                </c:pt>
                <c:pt idx="2761">
                  <c:v>42.057640000001314</c:v>
                </c:pt>
                <c:pt idx="2762">
                  <c:v>42.072870000001316</c:v>
                </c:pt>
                <c:pt idx="2763">
                  <c:v>42.088100000001319</c:v>
                </c:pt>
                <c:pt idx="2764">
                  <c:v>42.103330000001321</c:v>
                </c:pt>
                <c:pt idx="2765">
                  <c:v>42.118560000001324</c:v>
                </c:pt>
                <c:pt idx="2766">
                  <c:v>42.133790000001326</c:v>
                </c:pt>
                <c:pt idx="2767">
                  <c:v>42.149020000001329</c:v>
                </c:pt>
                <c:pt idx="2768">
                  <c:v>42.164250000001331</c:v>
                </c:pt>
                <c:pt idx="2769">
                  <c:v>42.179480000001334</c:v>
                </c:pt>
                <c:pt idx="2770">
                  <c:v>42.194710000001336</c:v>
                </c:pt>
                <c:pt idx="2771">
                  <c:v>42.209940000001339</c:v>
                </c:pt>
                <c:pt idx="2772">
                  <c:v>42.225170000001341</c:v>
                </c:pt>
                <c:pt idx="2773">
                  <c:v>42.240400000001344</c:v>
                </c:pt>
                <c:pt idx="2774">
                  <c:v>42.255630000001347</c:v>
                </c:pt>
                <c:pt idx="2775">
                  <c:v>42.270860000001349</c:v>
                </c:pt>
                <c:pt idx="2776">
                  <c:v>42.286090000001352</c:v>
                </c:pt>
                <c:pt idx="2777">
                  <c:v>42.301320000001354</c:v>
                </c:pt>
                <c:pt idx="2778">
                  <c:v>42.316550000001357</c:v>
                </c:pt>
                <c:pt idx="2779">
                  <c:v>42.331780000001359</c:v>
                </c:pt>
                <c:pt idx="2780">
                  <c:v>42.347010000001362</c:v>
                </c:pt>
                <c:pt idx="2781">
                  <c:v>42.362240000001364</c:v>
                </c:pt>
                <c:pt idx="2782">
                  <c:v>42.377470000001367</c:v>
                </c:pt>
                <c:pt idx="2783">
                  <c:v>42.392700000001369</c:v>
                </c:pt>
                <c:pt idx="2784">
                  <c:v>42.407930000001372</c:v>
                </c:pt>
                <c:pt idx="2785">
                  <c:v>42.423160000001374</c:v>
                </c:pt>
                <c:pt idx="2786">
                  <c:v>42.438390000001377</c:v>
                </c:pt>
                <c:pt idx="2787">
                  <c:v>42.453620000001379</c:v>
                </c:pt>
                <c:pt idx="2788">
                  <c:v>42.468850000001382</c:v>
                </c:pt>
                <c:pt idx="2789">
                  <c:v>42.484080000001384</c:v>
                </c:pt>
                <c:pt idx="2790">
                  <c:v>42.499310000001387</c:v>
                </c:pt>
                <c:pt idx="2791">
                  <c:v>42.514540000001389</c:v>
                </c:pt>
                <c:pt idx="2792">
                  <c:v>42.529770000001392</c:v>
                </c:pt>
                <c:pt idx="2793">
                  <c:v>42.545000000001394</c:v>
                </c:pt>
                <c:pt idx="2794">
                  <c:v>42.560230000001397</c:v>
                </c:pt>
                <c:pt idx="2795">
                  <c:v>42.575460000001399</c:v>
                </c:pt>
                <c:pt idx="2796">
                  <c:v>42.590690000001402</c:v>
                </c:pt>
                <c:pt idx="2797">
                  <c:v>42.605920000001404</c:v>
                </c:pt>
                <c:pt idx="2798">
                  <c:v>42.621150000001407</c:v>
                </c:pt>
                <c:pt idx="2799">
                  <c:v>42.636380000001409</c:v>
                </c:pt>
                <c:pt idx="2800">
                  <c:v>42.651610000001412</c:v>
                </c:pt>
                <c:pt idx="2801">
                  <c:v>42.666840000001415</c:v>
                </c:pt>
                <c:pt idx="2802">
                  <c:v>42.682070000001417</c:v>
                </c:pt>
                <c:pt idx="2803">
                  <c:v>42.69730000000142</c:v>
                </c:pt>
                <c:pt idx="2804">
                  <c:v>42.712530000001422</c:v>
                </c:pt>
                <c:pt idx="2805">
                  <c:v>42.727760000001425</c:v>
                </c:pt>
                <c:pt idx="2806">
                  <c:v>42.742990000001427</c:v>
                </c:pt>
                <c:pt idx="2807">
                  <c:v>42.75822000000143</c:v>
                </c:pt>
                <c:pt idx="2808">
                  <c:v>42.773450000001432</c:v>
                </c:pt>
                <c:pt idx="2809">
                  <c:v>42.788680000001435</c:v>
                </c:pt>
                <c:pt idx="2810">
                  <c:v>42.803910000001437</c:v>
                </c:pt>
                <c:pt idx="2811">
                  <c:v>42.81914000000144</c:v>
                </c:pt>
                <c:pt idx="2812">
                  <c:v>42.834370000001442</c:v>
                </c:pt>
                <c:pt idx="2813">
                  <c:v>42.849600000001445</c:v>
                </c:pt>
                <c:pt idx="2814">
                  <c:v>42.864830000001447</c:v>
                </c:pt>
                <c:pt idx="2815">
                  <c:v>42.88006000000145</c:v>
                </c:pt>
                <c:pt idx="2816">
                  <c:v>42.895290000001452</c:v>
                </c:pt>
                <c:pt idx="2817">
                  <c:v>42.910520000001455</c:v>
                </c:pt>
                <c:pt idx="2818">
                  <c:v>42.925750000001457</c:v>
                </c:pt>
                <c:pt idx="2819">
                  <c:v>42.94098000000146</c:v>
                </c:pt>
                <c:pt idx="2820">
                  <c:v>42.956210000001462</c:v>
                </c:pt>
                <c:pt idx="2821">
                  <c:v>42.971440000001465</c:v>
                </c:pt>
                <c:pt idx="2822">
                  <c:v>42.986670000001467</c:v>
                </c:pt>
                <c:pt idx="2823">
                  <c:v>43.00190000000147</c:v>
                </c:pt>
                <c:pt idx="2824">
                  <c:v>43.017130000001472</c:v>
                </c:pt>
                <c:pt idx="2825">
                  <c:v>43.032360000001475</c:v>
                </c:pt>
                <c:pt idx="2826">
                  <c:v>43.047590000001478</c:v>
                </c:pt>
                <c:pt idx="2827">
                  <c:v>43.06282000000148</c:v>
                </c:pt>
                <c:pt idx="2828">
                  <c:v>43.078050000001483</c:v>
                </c:pt>
                <c:pt idx="2829">
                  <c:v>43.093280000001485</c:v>
                </c:pt>
                <c:pt idx="2830">
                  <c:v>43.108510000001488</c:v>
                </c:pt>
                <c:pt idx="2831">
                  <c:v>43.12374000000149</c:v>
                </c:pt>
                <c:pt idx="2832">
                  <c:v>43.138970000001493</c:v>
                </c:pt>
                <c:pt idx="2833">
                  <c:v>43.154200000001495</c:v>
                </c:pt>
                <c:pt idx="2834">
                  <c:v>43.169430000001498</c:v>
                </c:pt>
                <c:pt idx="2835">
                  <c:v>43.1846600000015</c:v>
                </c:pt>
                <c:pt idx="2836">
                  <c:v>43.199890000001503</c:v>
                </c:pt>
                <c:pt idx="2837">
                  <c:v>43.215120000001505</c:v>
                </c:pt>
                <c:pt idx="2838">
                  <c:v>43.230350000001508</c:v>
                </c:pt>
                <c:pt idx="2839">
                  <c:v>43.24558000000151</c:v>
                </c:pt>
                <c:pt idx="2840">
                  <c:v>43.260810000001513</c:v>
                </c:pt>
                <c:pt idx="2841">
                  <c:v>43.276040000001515</c:v>
                </c:pt>
                <c:pt idx="2842">
                  <c:v>43.291270000001518</c:v>
                </c:pt>
                <c:pt idx="2843">
                  <c:v>43.30650000000152</c:v>
                </c:pt>
                <c:pt idx="2844">
                  <c:v>43.321730000001523</c:v>
                </c:pt>
                <c:pt idx="2845">
                  <c:v>43.336960000001525</c:v>
                </c:pt>
                <c:pt idx="2846">
                  <c:v>43.352190000001528</c:v>
                </c:pt>
                <c:pt idx="2847">
                  <c:v>43.36742000000153</c:v>
                </c:pt>
                <c:pt idx="2848">
                  <c:v>43.382650000001533</c:v>
                </c:pt>
                <c:pt idx="2849">
                  <c:v>43.397880000001535</c:v>
                </c:pt>
                <c:pt idx="2850">
                  <c:v>43.413110000001538</c:v>
                </c:pt>
                <c:pt idx="2851">
                  <c:v>43.42834000000154</c:v>
                </c:pt>
                <c:pt idx="2852">
                  <c:v>43.443570000001543</c:v>
                </c:pt>
                <c:pt idx="2853">
                  <c:v>43.458800000001546</c:v>
                </c:pt>
                <c:pt idx="2854">
                  <c:v>43.474030000001548</c:v>
                </c:pt>
                <c:pt idx="2855">
                  <c:v>43.489260000001551</c:v>
                </c:pt>
                <c:pt idx="2856">
                  <c:v>43.504490000001553</c:v>
                </c:pt>
                <c:pt idx="2857">
                  <c:v>43.519720000001556</c:v>
                </c:pt>
                <c:pt idx="2858">
                  <c:v>43.534950000001558</c:v>
                </c:pt>
                <c:pt idx="2859">
                  <c:v>43.550180000001561</c:v>
                </c:pt>
                <c:pt idx="2860">
                  <c:v>43.565410000001563</c:v>
                </c:pt>
                <c:pt idx="2861">
                  <c:v>43.580640000001566</c:v>
                </c:pt>
                <c:pt idx="2862">
                  <c:v>43.595870000001568</c:v>
                </c:pt>
                <c:pt idx="2863">
                  <c:v>43.611100000001571</c:v>
                </c:pt>
                <c:pt idx="2864">
                  <c:v>43.626330000001573</c:v>
                </c:pt>
                <c:pt idx="2865">
                  <c:v>43.641560000001576</c:v>
                </c:pt>
                <c:pt idx="2866">
                  <c:v>43.656790000001578</c:v>
                </c:pt>
                <c:pt idx="2867">
                  <c:v>43.672020000001581</c:v>
                </c:pt>
                <c:pt idx="2868">
                  <c:v>43.687250000001583</c:v>
                </c:pt>
                <c:pt idx="2869">
                  <c:v>43.702480000001586</c:v>
                </c:pt>
                <c:pt idx="2870">
                  <c:v>43.717710000001588</c:v>
                </c:pt>
                <c:pt idx="2871">
                  <c:v>43.732940000001591</c:v>
                </c:pt>
                <c:pt idx="2872">
                  <c:v>43.748170000001593</c:v>
                </c:pt>
                <c:pt idx="2873">
                  <c:v>43.763400000001596</c:v>
                </c:pt>
                <c:pt idx="2874">
                  <c:v>43.778630000001598</c:v>
                </c:pt>
                <c:pt idx="2875">
                  <c:v>43.793860000001601</c:v>
                </c:pt>
                <c:pt idx="2876">
                  <c:v>43.809090000001603</c:v>
                </c:pt>
                <c:pt idx="2877">
                  <c:v>43.824320000001606</c:v>
                </c:pt>
                <c:pt idx="2878">
                  <c:v>43.839550000001609</c:v>
                </c:pt>
                <c:pt idx="2879">
                  <c:v>43.854780000001611</c:v>
                </c:pt>
                <c:pt idx="2880">
                  <c:v>43.870010000001614</c:v>
                </c:pt>
                <c:pt idx="2881">
                  <c:v>43.885240000001616</c:v>
                </c:pt>
                <c:pt idx="2882">
                  <c:v>43.900470000001619</c:v>
                </c:pt>
                <c:pt idx="2883">
                  <c:v>43.915700000001621</c:v>
                </c:pt>
                <c:pt idx="2884">
                  <c:v>43.930930000001624</c:v>
                </c:pt>
                <c:pt idx="2885">
                  <c:v>43.946160000001626</c:v>
                </c:pt>
                <c:pt idx="2886">
                  <c:v>43.961390000001629</c:v>
                </c:pt>
                <c:pt idx="2887">
                  <c:v>43.976620000001631</c:v>
                </c:pt>
                <c:pt idx="2888">
                  <c:v>43.991850000001634</c:v>
                </c:pt>
                <c:pt idx="2889">
                  <c:v>44.007080000001636</c:v>
                </c:pt>
                <c:pt idx="2890">
                  <c:v>44.022310000001639</c:v>
                </c:pt>
                <c:pt idx="2891">
                  <c:v>44.037540000001641</c:v>
                </c:pt>
                <c:pt idx="2892">
                  <c:v>44.052770000001644</c:v>
                </c:pt>
                <c:pt idx="2893">
                  <c:v>44.068000000001646</c:v>
                </c:pt>
                <c:pt idx="2894">
                  <c:v>44.083230000001649</c:v>
                </c:pt>
                <c:pt idx="2895">
                  <c:v>44.098460000001651</c:v>
                </c:pt>
                <c:pt idx="2896">
                  <c:v>44.113690000001654</c:v>
                </c:pt>
                <c:pt idx="2897">
                  <c:v>44.128920000001656</c:v>
                </c:pt>
                <c:pt idx="2898">
                  <c:v>44.144150000001659</c:v>
                </c:pt>
                <c:pt idx="2899">
                  <c:v>44.159380000001661</c:v>
                </c:pt>
                <c:pt idx="2900">
                  <c:v>44.174610000001664</c:v>
                </c:pt>
                <c:pt idx="2901">
                  <c:v>44.189840000001666</c:v>
                </c:pt>
                <c:pt idx="2902">
                  <c:v>44.205070000001669</c:v>
                </c:pt>
                <c:pt idx="2903">
                  <c:v>44.220300000001671</c:v>
                </c:pt>
                <c:pt idx="2904">
                  <c:v>44.235530000001674</c:v>
                </c:pt>
                <c:pt idx="2905">
                  <c:v>44.250760000001677</c:v>
                </c:pt>
                <c:pt idx="2906">
                  <c:v>44.265990000001679</c:v>
                </c:pt>
                <c:pt idx="2907">
                  <c:v>44.281220000001682</c:v>
                </c:pt>
                <c:pt idx="2908">
                  <c:v>44.296450000001684</c:v>
                </c:pt>
                <c:pt idx="2909">
                  <c:v>44.311680000001687</c:v>
                </c:pt>
                <c:pt idx="2910">
                  <c:v>44.326910000001689</c:v>
                </c:pt>
                <c:pt idx="2911">
                  <c:v>44.342140000001692</c:v>
                </c:pt>
                <c:pt idx="2912">
                  <c:v>44.357370000001694</c:v>
                </c:pt>
                <c:pt idx="2913">
                  <c:v>44.372600000001697</c:v>
                </c:pt>
                <c:pt idx="2914">
                  <c:v>44.387830000001699</c:v>
                </c:pt>
                <c:pt idx="2915">
                  <c:v>44.403060000001702</c:v>
                </c:pt>
                <c:pt idx="2916">
                  <c:v>44.418290000001704</c:v>
                </c:pt>
                <c:pt idx="2917">
                  <c:v>44.433520000001707</c:v>
                </c:pt>
                <c:pt idx="2918">
                  <c:v>44.448750000001709</c:v>
                </c:pt>
                <c:pt idx="2919">
                  <c:v>44.463980000001712</c:v>
                </c:pt>
                <c:pt idx="2920">
                  <c:v>44.479210000001714</c:v>
                </c:pt>
                <c:pt idx="2921">
                  <c:v>44.494440000001717</c:v>
                </c:pt>
                <c:pt idx="2922">
                  <c:v>44.509670000001719</c:v>
                </c:pt>
                <c:pt idx="2923">
                  <c:v>44.524900000001722</c:v>
                </c:pt>
                <c:pt idx="2924">
                  <c:v>44.540130000001724</c:v>
                </c:pt>
                <c:pt idx="2925">
                  <c:v>44.555360000001727</c:v>
                </c:pt>
                <c:pt idx="2926">
                  <c:v>44.570590000001729</c:v>
                </c:pt>
                <c:pt idx="2927">
                  <c:v>44.585820000001732</c:v>
                </c:pt>
                <c:pt idx="2928">
                  <c:v>44.601050000001734</c:v>
                </c:pt>
                <c:pt idx="2929">
                  <c:v>44.616280000001737</c:v>
                </c:pt>
                <c:pt idx="2930">
                  <c:v>44.63151000000174</c:v>
                </c:pt>
                <c:pt idx="2931">
                  <c:v>44.646740000001742</c:v>
                </c:pt>
                <c:pt idx="2932">
                  <c:v>44.661970000001745</c:v>
                </c:pt>
                <c:pt idx="2933">
                  <c:v>44.677200000001747</c:v>
                </c:pt>
                <c:pt idx="2934">
                  <c:v>44.69243000000175</c:v>
                </c:pt>
                <c:pt idx="2935">
                  <c:v>44.707660000001752</c:v>
                </c:pt>
                <c:pt idx="2936">
                  <c:v>44.722890000001755</c:v>
                </c:pt>
                <c:pt idx="2937">
                  <c:v>44.738120000001757</c:v>
                </c:pt>
                <c:pt idx="2938">
                  <c:v>44.75335000000176</c:v>
                </c:pt>
                <c:pt idx="2939">
                  <c:v>44.768580000001762</c:v>
                </c:pt>
                <c:pt idx="2940">
                  <c:v>44.783810000001765</c:v>
                </c:pt>
                <c:pt idx="2941">
                  <c:v>44.799040000001767</c:v>
                </c:pt>
                <c:pt idx="2942">
                  <c:v>44.81427000000177</c:v>
                </c:pt>
                <c:pt idx="2943">
                  <c:v>44.829500000001772</c:v>
                </c:pt>
                <c:pt idx="2944">
                  <c:v>44.844730000001775</c:v>
                </c:pt>
                <c:pt idx="2945">
                  <c:v>44.859960000001777</c:v>
                </c:pt>
                <c:pt idx="2946">
                  <c:v>44.87519000000178</c:v>
                </c:pt>
                <c:pt idx="2947">
                  <c:v>44.890420000001782</c:v>
                </c:pt>
                <c:pt idx="2948">
                  <c:v>44.905650000001785</c:v>
                </c:pt>
                <c:pt idx="2949">
                  <c:v>44.920880000001787</c:v>
                </c:pt>
                <c:pt idx="2950">
                  <c:v>44.93611000000179</c:v>
                </c:pt>
                <c:pt idx="2951">
                  <c:v>44.951340000001792</c:v>
                </c:pt>
                <c:pt idx="2952">
                  <c:v>44.966570000001795</c:v>
                </c:pt>
                <c:pt idx="2953">
                  <c:v>44.981800000001797</c:v>
                </c:pt>
                <c:pt idx="2954">
                  <c:v>44.9970300000018</c:v>
                </c:pt>
                <c:pt idx="2955">
                  <c:v>45.012260000001802</c:v>
                </c:pt>
                <c:pt idx="2956">
                  <c:v>45.027490000001805</c:v>
                </c:pt>
                <c:pt idx="2957">
                  <c:v>45.042720000001808</c:v>
                </c:pt>
                <c:pt idx="2958">
                  <c:v>45.05795000000181</c:v>
                </c:pt>
                <c:pt idx="2959">
                  <c:v>45.073180000001813</c:v>
                </c:pt>
                <c:pt idx="2960">
                  <c:v>45.088410000001815</c:v>
                </c:pt>
                <c:pt idx="2961">
                  <c:v>45.103640000001818</c:v>
                </c:pt>
                <c:pt idx="2962">
                  <c:v>45.11887000000182</c:v>
                </c:pt>
                <c:pt idx="2963">
                  <c:v>45.134100000001823</c:v>
                </c:pt>
                <c:pt idx="2964">
                  <c:v>45.149330000001825</c:v>
                </c:pt>
                <c:pt idx="2965">
                  <c:v>45.164560000001828</c:v>
                </c:pt>
                <c:pt idx="2966">
                  <c:v>45.17979000000183</c:v>
                </c:pt>
                <c:pt idx="2967">
                  <c:v>45.195020000001833</c:v>
                </c:pt>
                <c:pt idx="2968">
                  <c:v>45.210250000001835</c:v>
                </c:pt>
                <c:pt idx="2969">
                  <c:v>45.225480000001838</c:v>
                </c:pt>
                <c:pt idx="2970">
                  <c:v>45.24071000000184</c:v>
                </c:pt>
                <c:pt idx="2971">
                  <c:v>45.255940000001843</c:v>
                </c:pt>
                <c:pt idx="2972">
                  <c:v>45.271170000001845</c:v>
                </c:pt>
                <c:pt idx="2973">
                  <c:v>45.286400000001848</c:v>
                </c:pt>
                <c:pt idx="2974">
                  <c:v>45.30163000000185</c:v>
                </c:pt>
                <c:pt idx="2975">
                  <c:v>45.316860000001853</c:v>
                </c:pt>
                <c:pt idx="2976">
                  <c:v>45.332090000001855</c:v>
                </c:pt>
                <c:pt idx="2977">
                  <c:v>45.347320000001858</c:v>
                </c:pt>
                <c:pt idx="2978">
                  <c:v>45.36255000000186</c:v>
                </c:pt>
                <c:pt idx="2979">
                  <c:v>45.377780000001863</c:v>
                </c:pt>
                <c:pt idx="2980">
                  <c:v>45.393010000001865</c:v>
                </c:pt>
                <c:pt idx="2981">
                  <c:v>45.408240000001868</c:v>
                </c:pt>
                <c:pt idx="2982">
                  <c:v>45.423470000001871</c:v>
                </c:pt>
                <c:pt idx="2983">
                  <c:v>45.438700000001873</c:v>
                </c:pt>
                <c:pt idx="2984">
                  <c:v>45.453930000001876</c:v>
                </c:pt>
                <c:pt idx="2985">
                  <c:v>45.469160000001878</c:v>
                </c:pt>
                <c:pt idx="2986">
                  <c:v>45.484390000001881</c:v>
                </c:pt>
                <c:pt idx="2987">
                  <c:v>45.499620000001883</c:v>
                </c:pt>
                <c:pt idx="2988">
                  <c:v>45.514850000001886</c:v>
                </c:pt>
                <c:pt idx="2989">
                  <c:v>45.530080000001888</c:v>
                </c:pt>
                <c:pt idx="2990">
                  <c:v>45.545310000001891</c:v>
                </c:pt>
                <c:pt idx="2991">
                  <c:v>45.560540000001893</c:v>
                </c:pt>
                <c:pt idx="2992">
                  <c:v>45.575770000001896</c:v>
                </c:pt>
                <c:pt idx="2993">
                  <c:v>45.591000000001898</c:v>
                </c:pt>
                <c:pt idx="2994">
                  <c:v>45.606230000001901</c:v>
                </c:pt>
                <c:pt idx="2995">
                  <c:v>45.621460000001903</c:v>
                </c:pt>
                <c:pt idx="2996">
                  <c:v>45.636690000001906</c:v>
                </c:pt>
                <c:pt idx="2997">
                  <c:v>45.651920000001908</c:v>
                </c:pt>
                <c:pt idx="2998">
                  <c:v>45.667150000001911</c:v>
                </c:pt>
                <c:pt idx="2999">
                  <c:v>45.682380000001913</c:v>
                </c:pt>
                <c:pt idx="3000">
                  <c:v>45.697610000001916</c:v>
                </c:pt>
                <c:pt idx="3001">
                  <c:v>45.712840000001918</c:v>
                </c:pt>
                <c:pt idx="3002">
                  <c:v>45.728070000001921</c:v>
                </c:pt>
                <c:pt idx="3003">
                  <c:v>45.743300000001923</c:v>
                </c:pt>
                <c:pt idx="3004">
                  <c:v>45.758530000001926</c:v>
                </c:pt>
                <c:pt idx="3005">
                  <c:v>45.773760000001928</c:v>
                </c:pt>
                <c:pt idx="3006">
                  <c:v>45.788990000001931</c:v>
                </c:pt>
                <c:pt idx="3007">
                  <c:v>45.804220000001933</c:v>
                </c:pt>
                <c:pt idx="3008">
                  <c:v>45.819450000001936</c:v>
                </c:pt>
                <c:pt idx="3009">
                  <c:v>45.834680000001939</c:v>
                </c:pt>
                <c:pt idx="3010">
                  <c:v>45.849910000001941</c:v>
                </c:pt>
                <c:pt idx="3011">
                  <c:v>45.865140000001944</c:v>
                </c:pt>
                <c:pt idx="3012">
                  <c:v>45.880370000001946</c:v>
                </c:pt>
                <c:pt idx="3013">
                  <c:v>45.895600000001949</c:v>
                </c:pt>
                <c:pt idx="3014">
                  <c:v>45.910830000001951</c:v>
                </c:pt>
                <c:pt idx="3015">
                  <c:v>45.926060000001954</c:v>
                </c:pt>
                <c:pt idx="3016">
                  <c:v>45.941290000001956</c:v>
                </c:pt>
                <c:pt idx="3017">
                  <c:v>45.956520000001959</c:v>
                </c:pt>
                <c:pt idx="3018">
                  <c:v>45.971750000001961</c:v>
                </c:pt>
                <c:pt idx="3019">
                  <c:v>45.986980000001964</c:v>
                </c:pt>
                <c:pt idx="3020">
                  <c:v>46.002210000001966</c:v>
                </c:pt>
                <c:pt idx="3021">
                  <c:v>46.017440000001969</c:v>
                </c:pt>
                <c:pt idx="3022">
                  <c:v>46.032670000001971</c:v>
                </c:pt>
                <c:pt idx="3023">
                  <c:v>46.047900000001974</c:v>
                </c:pt>
                <c:pt idx="3024">
                  <c:v>46.063130000001976</c:v>
                </c:pt>
                <c:pt idx="3025">
                  <c:v>46.078360000001979</c:v>
                </c:pt>
                <c:pt idx="3026">
                  <c:v>46.093590000001981</c:v>
                </c:pt>
                <c:pt idx="3027">
                  <c:v>46.108820000001984</c:v>
                </c:pt>
                <c:pt idx="3028">
                  <c:v>46.124050000001986</c:v>
                </c:pt>
                <c:pt idx="3029">
                  <c:v>46.139280000001989</c:v>
                </c:pt>
                <c:pt idx="3030">
                  <c:v>46.154510000001991</c:v>
                </c:pt>
                <c:pt idx="3031">
                  <c:v>46.169740000001994</c:v>
                </c:pt>
                <c:pt idx="3032">
                  <c:v>46.184970000001996</c:v>
                </c:pt>
                <c:pt idx="3033">
                  <c:v>46.200200000001999</c:v>
                </c:pt>
                <c:pt idx="3034">
                  <c:v>46.215430000002002</c:v>
                </c:pt>
                <c:pt idx="3035">
                  <c:v>46.230660000002004</c:v>
                </c:pt>
                <c:pt idx="3036">
                  <c:v>46.245890000002007</c:v>
                </c:pt>
                <c:pt idx="3037">
                  <c:v>46.261120000002009</c:v>
                </c:pt>
                <c:pt idx="3038">
                  <c:v>46.276350000002012</c:v>
                </c:pt>
                <c:pt idx="3039">
                  <c:v>46.291580000002014</c:v>
                </c:pt>
                <c:pt idx="3040">
                  <c:v>46.306810000002017</c:v>
                </c:pt>
                <c:pt idx="3041">
                  <c:v>46.322040000002019</c:v>
                </c:pt>
                <c:pt idx="3042">
                  <c:v>46.337270000002022</c:v>
                </c:pt>
                <c:pt idx="3043">
                  <c:v>46.352500000002024</c:v>
                </c:pt>
                <c:pt idx="3044">
                  <c:v>46.367730000002027</c:v>
                </c:pt>
                <c:pt idx="3045">
                  <c:v>46.382960000002029</c:v>
                </c:pt>
                <c:pt idx="3046">
                  <c:v>46.398190000002032</c:v>
                </c:pt>
                <c:pt idx="3047">
                  <c:v>46.413420000002034</c:v>
                </c:pt>
                <c:pt idx="3048">
                  <c:v>46.428650000002037</c:v>
                </c:pt>
                <c:pt idx="3049">
                  <c:v>46.443880000002039</c:v>
                </c:pt>
                <c:pt idx="3050">
                  <c:v>46.459110000002042</c:v>
                </c:pt>
                <c:pt idx="3051">
                  <c:v>46.474340000002044</c:v>
                </c:pt>
                <c:pt idx="3052">
                  <c:v>46.489570000002047</c:v>
                </c:pt>
                <c:pt idx="3053">
                  <c:v>46.504800000002049</c:v>
                </c:pt>
                <c:pt idx="3054">
                  <c:v>46.520030000002052</c:v>
                </c:pt>
                <c:pt idx="3055">
                  <c:v>46.535260000002054</c:v>
                </c:pt>
                <c:pt idx="3056">
                  <c:v>46.550490000002057</c:v>
                </c:pt>
                <c:pt idx="3057">
                  <c:v>46.565720000002059</c:v>
                </c:pt>
                <c:pt idx="3058">
                  <c:v>46.580950000002062</c:v>
                </c:pt>
                <c:pt idx="3059">
                  <c:v>46.596180000002065</c:v>
                </c:pt>
                <c:pt idx="3060">
                  <c:v>46.611410000002067</c:v>
                </c:pt>
                <c:pt idx="3061">
                  <c:v>46.62664000000207</c:v>
                </c:pt>
                <c:pt idx="3062">
                  <c:v>46.641870000002072</c:v>
                </c:pt>
                <c:pt idx="3063">
                  <c:v>46.657100000002075</c:v>
                </c:pt>
                <c:pt idx="3064">
                  <c:v>46.672330000002077</c:v>
                </c:pt>
                <c:pt idx="3065">
                  <c:v>46.68756000000208</c:v>
                </c:pt>
                <c:pt idx="3066">
                  <c:v>46.702790000002082</c:v>
                </c:pt>
                <c:pt idx="3067">
                  <c:v>46.718020000002085</c:v>
                </c:pt>
                <c:pt idx="3068">
                  <c:v>46.733250000002087</c:v>
                </c:pt>
                <c:pt idx="3069">
                  <c:v>46.74848000000209</c:v>
                </c:pt>
                <c:pt idx="3070">
                  <c:v>46.763710000002092</c:v>
                </c:pt>
                <c:pt idx="3071">
                  <c:v>46.778940000002095</c:v>
                </c:pt>
                <c:pt idx="3072">
                  <c:v>46.794170000002097</c:v>
                </c:pt>
                <c:pt idx="3073">
                  <c:v>46.8094000000021</c:v>
                </c:pt>
                <c:pt idx="3074">
                  <c:v>46.824630000002102</c:v>
                </c:pt>
                <c:pt idx="3075">
                  <c:v>46.839860000002105</c:v>
                </c:pt>
                <c:pt idx="3076">
                  <c:v>46.855090000002107</c:v>
                </c:pt>
                <c:pt idx="3077">
                  <c:v>46.87032000000211</c:v>
                </c:pt>
                <c:pt idx="3078">
                  <c:v>46.885550000002112</c:v>
                </c:pt>
                <c:pt idx="3079">
                  <c:v>46.900780000002115</c:v>
                </c:pt>
                <c:pt idx="3080">
                  <c:v>46.916010000002117</c:v>
                </c:pt>
                <c:pt idx="3081">
                  <c:v>46.93124000000212</c:v>
                </c:pt>
                <c:pt idx="3082">
                  <c:v>46.946470000002122</c:v>
                </c:pt>
                <c:pt idx="3083">
                  <c:v>46.961700000002125</c:v>
                </c:pt>
                <c:pt idx="3084">
                  <c:v>46.976930000002127</c:v>
                </c:pt>
                <c:pt idx="3085">
                  <c:v>46.99216000000213</c:v>
                </c:pt>
                <c:pt idx="3086">
                  <c:v>47.007390000002133</c:v>
                </c:pt>
                <c:pt idx="3087">
                  <c:v>47.022620000002135</c:v>
                </c:pt>
                <c:pt idx="3088">
                  <c:v>47.037850000002138</c:v>
                </c:pt>
                <c:pt idx="3089">
                  <c:v>47.05308000000214</c:v>
                </c:pt>
                <c:pt idx="3090">
                  <c:v>47.068310000002143</c:v>
                </c:pt>
                <c:pt idx="3091">
                  <c:v>47.083540000002145</c:v>
                </c:pt>
                <c:pt idx="3092">
                  <c:v>47.098770000002148</c:v>
                </c:pt>
                <c:pt idx="3093">
                  <c:v>47.11400000000215</c:v>
                </c:pt>
                <c:pt idx="3094">
                  <c:v>47.129230000002153</c:v>
                </c:pt>
                <c:pt idx="3095">
                  <c:v>47.144460000002155</c:v>
                </c:pt>
                <c:pt idx="3096">
                  <c:v>47.159690000002158</c:v>
                </c:pt>
                <c:pt idx="3097">
                  <c:v>47.17492000000216</c:v>
                </c:pt>
                <c:pt idx="3098">
                  <c:v>47.190150000002163</c:v>
                </c:pt>
                <c:pt idx="3099">
                  <c:v>47.205380000002165</c:v>
                </c:pt>
                <c:pt idx="3100">
                  <c:v>47.220610000002168</c:v>
                </c:pt>
                <c:pt idx="3101">
                  <c:v>47.23584000000217</c:v>
                </c:pt>
                <c:pt idx="3102">
                  <c:v>47.251070000002173</c:v>
                </c:pt>
                <c:pt idx="3103">
                  <c:v>47.266300000002175</c:v>
                </c:pt>
                <c:pt idx="3104">
                  <c:v>47.281530000002178</c:v>
                </c:pt>
                <c:pt idx="3105">
                  <c:v>47.29676000000218</c:v>
                </c:pt>
                <c:pt idx="3106">
                  <c:v>47.311990000002183</c:v>
                </c:pt>
                <c:pt idx="3107">
                  <c:v>47.327220000002185</c:v>
                </c:pt>
                <c:pt idx="3108">
                  <c:v>47.342450000002188</c:v>
                </c:pt>
                <c:pt idx="3109">
                  <c:v>47.35768000000219</c:v>
                </c:pt>
                <c:pt idx="3110">
                  <c:v>47.372910000002193</c:v>
                </c:pt>
                <c:pt idx="3111">
                  <c:v>47.388140000002196</c:v>
                </c:pt>
                <c:pt idx="3112">
                  <c:v>47.403370000002198</c:v>
                </c:pt>
                <c:pt idx="3113">
                  <c:v>47.418600000002201</c:v>
                </c:pt>
                <c:pt idx="3114">
                  <c:v>47.433830000002203</c:v>
                </c:pt>
                <c:pt idx="3115">
                  <c:v>47.449060000002206</c:v>
                </c:pt>
                <c:pt idx="3116">
                  <c:v>47.464290000002208</c:v>
                </c:pt>
                <c:pt idx="3117">
                  <c:v>47.479520000002211</c:v>
                </c:pt>
                <c:pt idx="3118">
                  <c:v>47.494750000002213</c:v>
                </c:pt>
                <c:pt idx="3119">
                  <c:v>47.509980000002216</c:v>
                </c:pt>
                <c:pt idx="3120">
                  <c:v>47.525210000002218</c:v>
                </c:pt>
                <c:pt idx="3121">
                  <c:v>47.540440000002221</c:v>
                </c:pt>
                <c:pt idx="3122">
                  <c:v>47.555670000002223</c:v>
                </c:pt>
                <c:pt idx="3123">
                  <c:v>47.570900000002226</c:v>
                </c:pt>
                <c:pt idx="3124">
                  <c:v>47.586130000002228</c:v>
                </c:pt>
                <c:pt idx="3125">
                  <c:v>47.601360000002231</c:v>
                </c:pt>
                <c:pt idx="3126">
                  <c:v>47.616590000002233</c:v>
                </c:pt>
                <c:pt idx="3127">
                  <c:v>47.631820000002236</c:v>
                </c:pt>
                <c:pt idx="3128">
                  <c:v>47.647050000002238</c:v>
                </c:pt>
                <c:pt idx="3129">
                  <c:v>47.662280000002241</c:v>
                </c:pt>
                <c:pt idx="3130">
                  <c:v>47.677510000002243</c:v>
                </c:pt>
                <c:pt idx="3131">
                  <c:v>47.692740000002246</c:v>
                </c:pt>
                <c:pt idx="3132">
                  <c:v>47.707970000002248</c:v>
                </c:pt>
                <c:pt idx="3133">
                  <c:v>47.723200000002251</c:v>
                </c:pt>
                <c:pt idx="3134">
                  <c:v>47.738430000002253</c:v>
                </c:pt>
                <c:pt idx="3135">
                  <c:v>47.753660000002256</c:v>
                </c:pt>
                <c:pt idx="3136">
                  <c:v>47.768890000002258</c:v>
                </c:pt>
                <c:pt idx="3137">
                  <c:v>47.784120000002261</c:v>
                </c:pt>
                <c:pt idx="3138">
                  <c:v>47.799350000002264</c:v>
                </c:pt>
                <c:pt idx="3139">
                  <c:v>47.814580000002266</c:v>
                </c:pt>
                <c:pt idx="3140">
                  <c:v>47.829810000002269</c:v>
                </c:pt>
                <c:pt idx="3141">
                  <c:v>47.845040000002271</c:v>
                </c:pt>
                <c:pt idx="3142">
                  <c:v>47.860270000002274</c:v>
                </c:pt>
                <c:pt idx="3143">
                  <c:v>47.875500000002276</c:v>
                </c:pt>
                <c:pt idx="3144">
                  <c:v>47.890730000002279</c:v>
                </c:pt>
                <c:pt idx="3145">
                  <c:v>47.905960000002281</c:v>
                </c:pt>
                <c:pt idx="3146">
                  <c:v>47.921190000002284</c:v>
                </c:pt>
                <c:pt idx="3147">
                  <c:v>47.936420000002286</c:v>
                </c:pt>
                <c:pt idx="3148">
                  <c:v>47.951650000002289</c:v>
                </c:pt>
                <c:pt idx="3149">
                  <c:v>47.966880000002291</c:v>
                </c:pt>
                <c:pt idx="3150">
                  <c:v>47.982110000002294</c:v>
                </c:pt>
                <c:pt idx="3151">
                  <c:v>47.997340000002296</c:v>
                </c:pt>
                <c:pt idx="3152">
                  <c:v>48.012570000002299</c:v>
                </c:pt>
                <c:pt idx="3153">
                  <c:v>48.027800000002301</c:v>
                </c:pt>
                <c:pt idx="3154">
                  <c:v>48.043030000002304</c:v>
                </c:pt>
                <c:pt idx="3155">
                  <c:v>48.058260000002306</c:v>
                </c:pt>
                <c:pt idx="3156">
                  <c:v>48.073490000002309</c:v>
                </c:pt>
                <c:pt idx="3157">
                  <c:v>48.088720000002311</c:v>
                </c:pt>
                <c:pt idx="3158">
                  <c:v>48.103950000002314</c:v>
                </c:pt>
                <c:pt idx="3159">
                  <c:v>48.119180000002316</c:v>
                </c:pt>
                <c:pt idx="3160">
                  <c:v>48.134410000002319</c:v>
                </c:pt>
                <c:pt idx="3161">
                  <c:v>48.149640000002321</c:v>
                </c:pt>
                <c:pt idx="3162">
                  <c:v>48.164870000002324</c:v>
                </c:pt>
                <c:pt idx="3163">
                  <c:v>48.180100000002327</c:v>
                </c:pt>
                <c:pt idx="3164">
                  <c:v>48.195330000002329</c:v>
                </c:pt>
                <c:pt idx="3165">
                  <c:v>48.210560000002332</c:v>
                </c:pt>
                <c:pt idx="3166">
                  <c:v>48.225790000002334</c:v>
                </c:pt>
                <c:pt idx="3167">
                  <c:v>48.241020000002337</c:v>
                </c:pt>
                <c:pt idx="3168">
                  <c:v>48.256250000002339</c:v>
                </c:pt>
                <c:pt idx="3169">
                  <c:v>48.271480000002342</c:v>
                </c:pt>
                <c:pt idx="3170">
                  <c:v>48.286710000002344</c:v>
                </c:pt>
                <c:pt idx="3171">
                  <c:v>48.301940000002347</c:v>
                </c:pt>
                <c:pt idx="3172">
                  <c:v>48.317170000002349</c:v>
                </c:pt>
                <c:pt idx="3173">
                  <c:v>48.332400000002352</c:v>
                </c:pt>
                <c:pt idx="3174">
                  <c:v>48.347630000002354</c:v>
                </c:pt>
                <c:pt idx="3175">
                  <c:v>48.362860000002357</c:v>
                </c:pt>
                <c:pt idx="3176">
                  <c:v>48.378090000002359</c:v>
                </c:pt>
                <c:pt idx="3177">
                  <c:v>48.393320000002362</c:v>
                </c:pt>
                <c:pt idx="3178">
                  <c:v>48.408550000002364</c:v>
                </c:pt>
                <c:pt idx="3179">
                  <c:v>48.423780000002367</c:v>
                </c:pt>
                <c:pt idx="3180">
                  <c:v>48.439010000002369</c:v>
                </c:pt>
                <c:pt idx="3181">
                  <c:v>48.454240000002372</c:v>
                </c:pt>
                <c:pt idx="3182">
                  <c:v>48.469470000002374</c:v>
                </c:pt>
                <c:pt idx="3183">
                  <c:v>48.484700000002377</c:v>
                </c:pt>
                <c:pt idx="3184">
                  <c:v>48.499930000002379</c:v>
                </c:pt>
                <c:pt idx="3185">
                  <c:v>48.515160000002382</c:v>
                </c:pt>
                <c:pt idx="3186">
                  <c:v>48.530390000002384</c:v>
                </c:pt>
                <c:pt idx="3187">
                  <c:v>48.545620000002387</c:v>
                </c:pt>
                <c:pt idx="3188">
                  <c:v>48.560850000002389</c:v>
                </c:pt>
                <c:pt idx="3189">
                  <c:v>48.576080000002392</c:v>
                </c:pt>
                <c:pt idx="3190">
                  <c:v>48.591310000002395</c:v>
                </c:pt>
                <c:pt idx="3191">
                  <c:v>48.606540000002397</c:v>
                </c:pt>
                <c:pt idx="3192">
                  <c:v>48.6217700000024</c:v>
                </c:pt>
                <c:pt idx="3193">
                  <c:v>48.637000000002402</c:v>
                </c:pt>
                <c:pt idx="3194">
                  <c:v>48.652230000002405</c:v>
                </c:pt>
                <c:pt idx="3195">
                  <c:v>48.667460000002407</c:v>
                </c:pt>
                <c:pt idx="3196">
                  <c:v>48.68269000000241</c:v>
                </c:pt>
                <c:pt idx="3197">
                  <c:v>48.697920000002412</c:v>
                </c:pt>
                <c:pt idx="3198">
                  <c:v>48.713150000002415</c:v>
                </c:pt>
                <c:pt idx="3199">
                  <c:v>48.728380000002417</c:v>
                </c:pt>
                <c:pt idx="3200">
                  <c:v>48.74361000000242</c:v>
                </c:pt>
                <c:pt idx="3201">
                  <c:v>48.758840000002422</c:v>
                </c:pt>
                <c:pt idx="3202">
                  <c:v>48.774070000002425</c:v>
                </c:pt>
                <c:pt idx="3203">
                  <c:v>48.789300000002427</c:v>
                </c:pt>
                <c:pt idx="3204">
                  <c:v>48.80453000000243</c:v>
                </c:pt>
                <c:pt idx="3205">
                  <c:v>48.819760000002432</c:v>
                </c:pt>
                <c:pt idx="3206">
                  <c:v>48.834990000002435</c:v>
                </c:pt>
                <c:pt idx="3207">
                  <c:v>48.850220000002437</c:v>
                </c:pt>
                <c:pt idx="3208">
                  <c:v>48.86545000000244</c:v>
                </c:pt>
                <c:pt idx="3209">
                  <c:v>48.880680000002442</c:v>
                </c:pt>
                <c:pt idx="3210">
                  <c:v>48.895910000002445</c:v>
                </c:pt>
                <c:pt idx="3211">
                  <c:v>48.911140000002447</c:v>
                </c:pt>
                <c:pt idx="3212">
                  <c:v>48.92637000000245</c:v>
                </c:pt>
                <c:pt idx="3213">
                  <c:v>48.941600000002452</c:v>
                </c:pt>
                <c:pt idx="3214">
                  <c:v>48.956830000002455</c:v>
                </c:pt>
                <c:pt idx="3215">
                  <c:v>48.972060000002458</c:v>
                </c:pt>
                <c:pt idx="3216">
                  <c:v>48.98729000000246</c:v>
                </c:pt>
                <c:pt idx="3217">
                  <c:v>49.002520000002463</c:v>
                </c:pt>
                <c:pt idx="3218">
                  <c:v>49.017750000002465</c:v>
                </c:pt>
                <c:pt idx="3219">
                  <c:v>49.032980000002468</c:v>
                </c:pt>
                <c:pt idx="3220">
                  <c:v>49.04821000000247</c:v>
                </c:pt>
                <c:pt idx="3221">
                  <c:v>49.063440000002473</c:v>
                </c:pt>
                <c:pt idx="3222">
                  <c:v>49.078670000002475</c:v>
                </c:pt>
                <c:pt idx="3223">
                  <c:v>49.093900000002478</c:v>
                </c:pt>
                <c:pt idx="3224">
                  <c:v>49.10913000000248</c:v>
                </c:pt>
                <c:pt idx="3225">
                  <c:v>49.124360000002483</c:v>
                </c:pt>
                <c:pt idx="3226">
                  <c:v>49.139590000002485</c:v>
                </c:pt>
                <c:pt idx="3227">
                  <c:v>49.154820000002488</c:v>
                </c:pt>
                <c:pt idx="3228">
                  <c:v>49.17005000000249</c:v>
                </c:pt>
                <c:pt idx="3229">
                  <c:v>49.185280000002493</c:v>
                </c:pt>
                <c:pt idx="3230">
                  <c:v>49.200510000002495</c:v>
                </c:pt>
                <c:pt idx="3231">
                  <c:v>49.215740000002498</c:v>
                </c:pt>
                <c:pt idx="3232">
                  <c:v>49.2309700000025</c:v>
                </c:pt>
                <c:pt idx="3233">
                  <c:v>49.246200000002503</c:v>
                </c:pt>
                <c:pt idx="3234">
                  <c:v>49.261430000002505</c:v>
                </c:pt>
                <c:pt idx="3235">
                  <c:v>49.276660000002508</c:v>
                </c:pt>
                <c:pt idx="3236">
                  <c:v>49.29189000000251</c:v>
                </c:pt>
                <c:pt idx="3237">
                  <c:v>49.307120000002513</c:v>
                </c:pt>
                <c:pt idx="3238">
                  <c:v>49.322350000002515</c:v>
                </c:pt>
                <c:pt idx="3239">
                  <c:v>49.337580000002518</c:v>
                </c:pt>
                <c:pt idx="3240">
                  <c:v>49.35281000000252</c:v>
                </c:pt>
                <c:pt idx="3241">
                  <c:v>49.368040000002523</c:v>
                </c:pt>
                <c:pt idx="3242">
                  <c:v>49.383270000002526</c:v>
                </c:pt>
                <c:pt idx="3243">
                  <c:v>49.398500000002528</c:v>
                </c:pt>
                <c:pt idx="3244">
                  <c:v>49.413730000002531</c:v>
                </c:pt>
                <c:pt idx="3245">
                  <c:v>49.428960000002533</c:v>
                </c:pt>
                <c:pt idx="3246">
                  <c:v>49.444190000002536</c:v>
                </c:pt>
                <c:pt idx="3247">
                  <c:v>49.459420000002538</c:v>
                </c:pt>
                <c:pt idx="3248">
                  <c:v>49.474650000002541</c:v>
                </c:pt>
                <c:pt idx="3249">
                  <c:v>49.489880000002543</c:v>
                </c:pt>
              </c:numCache>
            </c:numRef>
          </c:xVal>
          <c:yVal>
            <c:numRef>
              <c:f>Varadero!$I$2:$I$3251</c:f>
              <c:numCache>
                <c:formatCode>0.0000</c:formatCode>
                <c:ptCount val="3250"/>
                <c:pt idx="0">
                  <c:v>1.1541269616680458E-4</c:v>
                </c:pt>
                <c:pt idx="1">
                  <c:v>2.5916048013409691E-2</c:v>
                </c:pt>
                <c:pt idx="2">
                  <c:v>4.5595442309387113E-2</c:v>
                </c:pt>
                <c:pt idx="3">
                  <c:v>8.5530956908139319E-2</c:v>
                </c:pt>
                <c:pt idx="4">
                  <c:v>0.1361109637350163</c:v>
                </c:pt>
                <c:pt idx="5">
                  <c:v>0.19361405814337271</c:v>
                </c:pt>
                <c:pt idx="6">
                  <c:v>0.24655981360165544</c:v>
                </c:pt>
                <c:pt idx="7">
                  <c:v>0.29661274977338187</c:v>
                </c:pt>
                <c:pt idx="8">
                  <c:v>0.33906147482120819</c:v>
                </c:pt>
                <c:pt idx="9">
                  <c:v>0.3738460653512401</c:v>
                </c:pt>
                <c:pt idx="10">
                  <c:v>0.39924867070014514</c:v>
                </c:pt>
                <c:pt idx="11">
                  <c:v>0.41841596012774701</c:v>
                </c:pt>
                <c:pt idx="12">
                  <c:v>0.42867990039073872</c:v>
                </c:pt>
                <c:pt idx="13">
                  <c:v>0.43738905288108959</c:v>
                </c:pt>
                <c:pt idx="14">
                  <c:v>0.44521624556767347</c:v>
                </c:pt>
                <c:pt idx="15">
                  <c:v>0.45613226393960871</c:v>
                </c:pt>
                <c:pt idx="16">
                  <c:v>0.46759502249022494</c:v>
                </c:pt>
                <c:pt idx="17">
                  <c:v>0.47771226195878214</c:v>
                </c:pt>
                <c:pt idx="18">
                  <c:v>0.48312014402455045</c:v>
                </c:pt>
                <c:pt idx="19">
                  <c:v>0.4831765052225484</c:v>
                </c:pt>
                <c:pt idx="20">
                  <c:v>0.47668486748329592</c:v>
                </c:pt>
                <c:pt idx="21">
                  <c:v>0.47044589522350611</c:v>
                </c:pt>
                <c:pt idx="22">
                  <c:v>0.46635024510931616</c:v>
                </c:pt>
                <c:pt idx="23">
                  <c:v>0.46663571905955448</c:v>
                </c:pt>
                <c:pt idx="24">
                  <c:v>0.47154781284533315</c:v>
                </c:pt>
                <c:pt idx="25">
                  <c:v>0.47969621015092767</c:v>
                </c:pt>
                <c:pt idx="26">
                  <c:v>0.48716711958359943</c:v>
                </c:pt>
                <c:pt idx="27">
                  <c:v>0.49262840710752631</c:v>
                </c:pt>
                <c:pt idx="28">
                  <c:v>0.49569933471763</c:v>
                </c:pt>
                <c:pt idx="29">
                  <c:v>0.49648622230851941</c:v>
                </c:pt>
                <c:pt idx="30">
                  <c:v>0.49486226620441681</c:v>
                </c:pt>
                <c:pt idx="31">
                  <c:v>0.49468453594263556</c:v>
                </c:pt>
                <c:pt idx="32">
                  <c:v>0.49547179113582224</c:v>
                </c:pt>
                <c:pt idx="33">
                  <c:v>0.49952321876936034</c:v>
                </c:pt>
                <c:pt idx="34">
                  <c:v>0.50832097077000049</c:v>
                </c:pt>
                <c:pt idx="35">
                  <c:v>0.52266653697039722</c:v>
                </c:pt>
                <c:pt idx="36">
                  <c:v>0.53934307175972063</c:v>
                </c:pt>
                <c:pt idx="37">
                  <c:v>0.5586527282014172</c:v>
                </c:pt>
                <c:pt idx="38">
                  <c:v>0.5768894650502594</c:v>
                </c:pt>
                <c:pt idx="39">
                  <c:v>0.59148991111270077</c:v>
                </c:pt>
                <c:pt idx="40">
                  <c:v>0.60085456788855085</c:v>
                </c:pt>
                <c:pt idx="41">
                  <c:v>0.60542308594748284</c:v>
                </c:pt>
                <c:pt idx="42">
                  <c:v>0.60796413444603536</c:v>
                </c:pt>
                <c:pt idx="43">
                  <c:v>0.61165918233756245</c:v>
                </c:pt>
                <c:pt idx="44">
                  <c:v>0.61715544193331107</c:v>
                </c:pt>
                <c:pt idx="45">
                  <c:v>0.62433824729233112</c:v>
                </c:pt>
                <c:pt idx="46">
                  <c:v>0.63206401231172293</c:v>
                </c:pt>
                <c:pt idx="47">
                  <c:v>0.6356836721593857</c:v>
                </c:pt>
                <c:pt idx="48">
                  <c:v>0.63594981537809947</c:v>
                </c:pt>
                <c:pt idx="49">
                  <c:v>0.63285601465930641</c:v>
                </c:pt>
                <c:pt idx="50">
                  <c:v>0.62602362954195623</c:v>
                </c:pt>
                <c:pt idx="51">
                  <c:v>0.61560530067982189</c:v>
                </c:pt>
                <c:pt idx="52">
                  <c:v>0.60573224872687936</c:v>
                </c:pt>
                <c:pt idx="53">
                  <c:v>0.59550681580332931</c:v>
                </c:pt>
                <c:pt idx="54">
                  <c:v>0.58645810819879196</c:v>
                </c:pt>
                <c:pt idx="55">
                  <c:v>0.5821248722516934</c:v>
                </c:pt>
                <c:pt idx="56">
                  <c:v>0.58198091884572356</c:v>
                </c:pt>
                <c:pt idx="57">
                  <c:v>0.58475903170794163</c:v>
                </c:pt>
                <c:pt idx="58">
                  <c:v>0.58907198636836566</c:v>
                </c:pt>
                <c:pt idx="59">
                  <c:v>0.59326899259191768</c:v>
                </c:pt>
                <c:pt idx="60">
                  <c:v>0.59530248977828837</c:v>
                </c:pt>
                <c:pt idx="61">
                  <c:v>0.59682734514740299</c:v>
                </c:pt>
                <c:pt idx="62">
                  <c:v>0.59886755195253538</c:v>
                </c:pt>
                <c:pt idx="63">
                  <c:v>0.6021953399065586</c:v>
                </c:pt>
                <c:pt idx="64">
                  <c:v>0.60540240842600301</c:v>
                </c:pt>
                <c:pt idx="65">
                  <c:v>0.60604019034737333</c:v>
                </c:pt>
                <c:pt idx="66">
                  <c:v>0.60165899752085994</c:v>
                </c:pt>
                <c:pt idx="67">
                  <c:v>0.58974629195822725</c:v>
                </c:pt>
                <c:pt idx="68">
                  <c:v>0.57037893644402904</c:v>
                </c:pt>
                <c:pt idx="69">
                  <c:v>0.54713038750111997</c:v>
                </c:pt>
                <c:pt idx="70">
                  <c:v>0.52410597854599639</c:v>
                </c:pt>
                <c:pt idx="71">
                  <c:v>0.50057219702130984</c:v>
                </c:pt>
                <c:pt idx="72">
                  <c:v>0.48094598901283719</c:v>
                </c:pt>
                <c:pt idx="73">
                  <c:v>0.46464369129706967</c:v>
                </c:pt>
                <c:pt idx="74">
                  <c:v>0.44966967030770827</c:v>
                </c:pt>
                <c:pt idx="75">
                  <c:v>0.43373477242839109</c:v>
                </c:pt>
                <c:pt idx="76">
                  <c:v>0.42135677163328106</c:v>
                </c:pt>
                <c:pt idx="77">
                  <c:v>0.40976354645483176</c:v>
                </c:pt>
                <c:pt idx="78">
                  <c:v>0.39999352265823196</c:v>
                </c:pt>
                <c:pt idx="79">
                  <c:v>0.39190181120283585</c:v>
                </c:pt>
                <c:pt idx="80">
                  <c:v>0.38650925846292966</c:v>
                </c:pt>
                <c:pt idx="81">
                  <c:v>0.38182501349040537</c:v>
                </c:pt>
                <c:pt idx="82">
                  <c:v>0.37761274833717351</c:v>
                </c:pt>
                <c:pt idx="83">
                  <c:v>0.3754820215401321</c:v>
                </c:pt>
                <c:pt idx="84">
                  <c:v>0.37715597443121041</c:v>
                </c:pt>
                <c:pt idx="85">
                  <c:v>0.38381017233862902</c:v>
                </c:pt>
                <c:pt idx="86">
                  <c:v>0.39399509206200856</c:v>
                </c:pt>
                <c:pt idx="87">
                  <c:v>0.41568877307287888</c:v>
                </c:pt>
                <c:pt idx="88">
                  <c:v>0.44055776154717297</c:v>
                </c:pt>
                <c:pt idx="89">
                  <c:v>0.47030342829069466</c:v>
                </c:pt>
                <c:pt idx="90">
                  <c:v>0.50488183247973828</c:v>
                </c:pt>
                <c:pt idx="91">
                  <c:v>0.54779537048026627</c:v>
                </c:pt>
                <c:pt idx="92">
                  <c:v>0.59145197468913657</c:v>
                </c:pt>
                <c:pt idx="93">
                  <c:v>0.64213691831747499</c:v>
                </c:pt>
                <c:pt idx="94">
                  <c:v>0.69224656342277224</c:v>
                </c:pt>
                <c:pt idx="95">
                  <c:v>0.74507708102660064</c:v>
                </c:pt>
                <c:pt idx="96">
                  <c:v>0.78983993437449906</c:v>
                </c:pt>
                <c:pt idx="97">
                  <c:v>0.82569974072305719</c:v>
                </c:pt>
                <c:pt idx="98">
                  <c:v>0.85204442915905976</c:v>
                </c:pt>
                <c:pt idx="99">
                  <c:v>0.87062496948862811</c:v>
                </c:pt>
                <c:pt idx="100">
                  <c:v>0.87459676484456694</c:v>
                </c:pt>
                <c:pt idx="101">
                  <c:v>0.87229642197675039</c:v>
                </c:pt>
                <c:pt idx="102">
                  <c:v>0.86501082918657701</c:v>
                </c:pt>
                <c:pt idx="103">
                  <c:v>0.85929825490393874</c:v>
                </c:pt>
                <c:pt idx="104">
                  <c:v>0.856431915721516</c:v>
                </c:pt>
                <c:pt idx="105">
                  <c:v>0.85811345571404318</c:v>
                </c:pt>
                <c:pt idx="106">
                  <c:v>0.86406971193919668</c:v>
                </c:pt>
                <c:pt idx="107">
                  <c:v>0.87175412736785862</c:v>
                </c:pt>
                <c:pt idx="108">
                  <c:v>0.87530999124843367</c:v>
                </c:pt>
                <c:pt idx="109">
                  <c:v>0.87672359606074568</c:v>
                </c:pt>
                <c:pt idx="110">
                  <c:v>0.8762771489811203</c:v>
                </c:pt>
                <c:pt idx="111">
                  <c:v>0.87998623287473032</c:v>
                </c:pt>
                <c:pt idx="112">
                  <c:v>0.88542562183359197</c:v>
                </c:pt>
                <c:pt idx="113">
                  <c:v>0.89188468301936175</c:v>
                </c:pt>
                <c:pt idx="114">
                  <c:v>0.8993702336087408</c:v>
                </c:pt>
                <c:pt idx="115">
                  <c:v>0.91078384861252115</c:v>
                </c:pt>
                <c:pt idx="116">
                  <c:v>0.92282235419464576</c:v>
                </c:pt>
                <c:pt idx="117">
                  <c:v>0.93753434966913496</c:v>
                </c:pt>
                <c:pt idx="118">
                  <c:v>0.95290027482644646</c:v>
                </c:pt>
                <c:pt idx="119">
                  <c:v>0.96671912042814823</c:v>
                </c:pt>
                <c:pt idx="120">
                  <c:v>0.9735122313099791</c:v>
                </c:pt>
                <c:pt idx="121">
                  <c:v>0.96925477304831564</c:v>
                </c:pt>
                <c:pt idx="122">
                  <c:v>0.95367674368552924</c:v>
                </c:pt>
                <c:pt idx="123">
                  <c:v>0.92952835096304454</c:v>
                </c:pt>
                <c:pt idx="124">
                  <c:v>0.8994275659576888</c:v>
                </c:pt>
                <c:pt idx="125">
                  <c:v>0.8679705809131103</c:v>
                </c:pt>
                <c:pt idx="126">
                  <c:v>0.83975979105630372</c:v>
                </c:pt>
                <c:pt idx="127">
                  <c:v>0.81685386865018283</c:v>
                </c:pt>
                <c:pt idx="128">
                  <c:v>0.79788890265227053</c:v>
                </c:pt>
                <c:pt idx="129">
                  <c:v>0.78112207040967852</c:v>
                </c:pt>
                <c:pt idx="130">
                  <c:v>0.76652385468583284</c:v>
                </c:pt>
                <c:pt idx="131">
                  <c:v>0.75462467721317605</c:v>
                </c:pt>
                <c:pt idx="132">
                  <c:v>0.74414906941792303</c:v>
                </c:pt>
                <c:pt idx="133">
                  <c:v>0.73394074305611523</c:v>
                </c:pt>
                <c:pt idx="134">
                  <c:v>0.72597541189460757</c:v>
                </c:pt>
                <c:pt idx="135">
                  <c:v>0.7141919949421871</c:v>
                </c:pt>
                <c:pt idx="136">
                  <c:v>0.69945900311222642</c:v>
                </c:pt>
                <c:pt idx="137">
                  <c:v>0.68209622032857176</c:v>
                </c:pt>
                <c:pt idx="138">
                  <c:v>0.66552312664716629</c:v>
                </c:pt>
                <c:pt idx="139">
                  <c:v>0.64986211859463083</c:v>
                </c:pt>
                <c:pt idx="140">
                  <c:v>0.63696377539435167</c:v>
                </c:pt>
                <c:pt idx="141">
                  <c:v>0.62493045316382012</c:v>
                </c:pt>
                <c:pt idx="142">
                  <c:v>0.61599521774832044</c:v>
                </c:pt>
                <c:pt idx="143">
                  <c:v>0.60643809899684376</c:v>
                </c:pt>
                <c:pt idx="144">
                  <c:v>0.59757740221877398</c:v>
                </c:pt>
                <c:pt idx="145">
                  <c:v>0.58979740679257109</c:v>
                </c:pt>
                <c:pt idx="146">
                  <c:v>0.58152615531078089</c:v>
                </c:pt>
                <c:pt idx="147">
                  <c:v>0.57199196604799674</c:v>
                </c:pt>
                <c:pt idx="148">
                  <c:v>0.56508196378518283</c:v>
                </c:pt>
                <c:pt idx="149">
                  <c:v>0.56025582224411752</c:v>
                </c:pt>
                <c:pt idx="150">
                  <c:v>0.55878538992227555</c:v>
                </c:pt>
                <c:pt idx="151">
                  <c:v>0.56182092949605822</c:v>
                </c:pt>
                <c:pt idx="152">
                  <c:v>0.56601971400825124</c:v>
                </c:pt>
                <c:pt idx="153">
                  <c:v>0.56970740903471129</c:v>
                </c:pt>
                <c:pt idx="154">
                  <c:v>0.57081302976514237</c:v>
                </c:pt>
                <c:pt idx="155">
                  <c:v>0.5701100192980576</c:v>
                </c:pt>
                <c:pt idx="156">
                  <c:v>0.56811684506735238</c:v>
                </c:pt>
                <c:pt idx="157">
                  <c:v>0.56831833356362615</c:v>
                </c:pt>
                <c:pt idx="158">
                  <c:v>0.57084232003028412</c:v>
                </c:pt>
                <c:pt idx="159">
                  <c:v>0.57672956167984468</c:v>
                </c:pt>
                <c:pt idx="160">
                  <c:v>0.58107279933611788</c:v>
                </c:pt>
                <c:pt idx="161">
                  <c:v>0.58179027113712034</c:v>
                </c:pt>
                <c:pt idx="162">
                  <c:v>0.57784625014824009</c:v>
                </c:pt>
                <c:pt idx="163">
                  <c:v>0.57094322007369358</c:v>
                </c:pt>
                <c:pt idx="164">
                  <c:v>0.56213692530082104</c:v>
                </c:pt>
                <c:pt idx="165">
                  <c:v>0.55592792086647969</c:v>
                </c:pt>
                <c:pt idx="166">
                  <c:v>0.55293287324877571</c:v>
                </c:pt>
                <c:pt idx="167">
                  <c:v>0.54943260337700783</c:v>
                </c:pt>
                <c:pt idx="168">
                  <c:v>0.5442842043101157</c:v>
                </c:pt>
                <c:pt idx="169">
                  <c:v>0.53534496173524548</c:v>
                </c:pt>
                <c:pt idx="170">
                  <c:v>0.52190866900459398</c:v>
                </c:pt>
                <c:pt idx="171">
                  <c:v>0.50506334431787336</c:v>
                </c:pt>
                <c:pt idx="172">
                  <c:v>0.48947772109162951</c:v>
                </c:pt>
                <c:pt idx="173">
                  <c:v>0.4754955564436909</c:v>
                </c:pt>
                <c:pt idx="174">
                  <c:v>0.4645522256744426</c:v>
                </c:pt>
                <c:pt idx="175">
                  <c:v>0.45744794752415346</c:v>
                </c:pt>
                <c:pt idx="176">
                  <c:v>0.45462331361020886</c:v>
                </c:pt>
                <c:pt idx="177">
                  <c:v>0.45471880228094519</c:v>
                </c:pt>
                <c:pt idx="178">
                  <c:v>0.45639448359729107</c:v>
                </c:pt>
                <c:pt idx="179">
                  <c:v>0.45916619707763556</c:v>
                </c:pt>
                <c:pt idx="180">
                  <c:v>0.46377042578204958</c:v>
                </c:pt>
                <c:pt idx="181">
                  <c:v>0.47083128540857699</c:v>
                </c:pt>
                <c:pt idx="182">
                  <c:v>0.48025041863532508</c:v>
                </c:pt>
                <c:pt idx="183">
                  <c:v>0.49589879568918566</c:v>
                </c:pt>
                <c:pt idx="184">
                  <c:v>0.51141180006185538</c:v>
                </c:pt>
                <c:pt idx="185">
                  <c:v>0.52514759293176561</c:v>
                </c:pt>
                <c:pt idx="186">
                  <c:v>0.53429264691387435</c:v>
                </c:pt>
                <c:pt idx="187">
                  <c:v>0.53967574498205428</c:v>
                </c:pt>
                <c:pt idx="188">
                  <c:v>0.5378588528554894</c:v>
                </c:pt>
                <c:pt idx="189">
                  <c:v>0.53680155196080903</c:v>
                </c:pt>
                <c:pt idx="190">
                  <c:v>0.53599745214588446</c:v>
                </c:pt>
                <c:pt idx="191">
                  <c:v>0.53721181702173659</c:v>
                </c:pt>
                <c:pt idx="192">
                  <c:v>0.54057297433848361</c:v>
                </c:pt>
                <c:pt idx="193">
                  <c:v>0.54722845545495691</c:v>
                </c:pt>
                <c:pt idx="194">
                  <c:v>0.55682394603608731</c:v>
                </c:pt>
                <c:pt idx="195">
                  <c:v>0.57028954354989947</c:v>
                </c:pt>
                <c:pt idx="196">
                  <c:v>0.58588563528363413</c:v>
                </c:pt>
                <c:pt idx="197">
                  <c:v>0.60313120416667632</c:v>
                </c:pt>
                <c:pt idx="198">
                  <c:v>0.62024756021541894</c:v>
                </c:pt>
                <c:pt idx="199">
                  <c:v>0.64011953814136602</c:v>
                </c:pt>
                <c:pt idx="200">
                  <c:v>0.65684113143667222</c:v>
                </c:pt>
                <c:pt idx="201">
                  <c:v>0.6711446517146088</c:v>
                </c:pt>
                <c:pt idx="202">
                  <c:v>0.68338888128140773</c:v>
                </c:pt>
                <c:pt idx="203">
                  <c:v>0.69394640993480716</c:v>
                </c:pt>
                <c:pt idx="204">
                  <c:v>0.69875500193334483</c:v>
                </c:pt>
                <c:pt idx="205">
                  <c:v>0.70316957184755935</c:v>
                </c:pt>
                <c:pt idx="206">
                  <c:v>0.70745800922093949</c:v>
                </c:pt>
                <c:pt idx="207">
                  <c:v>0.71013176240227605</c:v>
                </c:pt>
                <c:pt idx="208">
                  <c:v>0.71132055236524649</c:v>
                </c:pt>
                <c:pt idx="209">
                  <c:v>0.71237489989260783</c:v>
                </c:pt>
                <c:pt idx="210">
                  <c:v>0.71627687592376665</c:v>
                </c:pt>
                <c:pt idx="211">
                  <c:v>0.72317656972662903</c:v>
                </c:pt>
                <c:pt idx="212">
                  <c:v>0.73337017643826174</c:v>
                </c:pt>
                <c:pt idx="213">
                  <c:v>0.74812799662672469</c:v>
                </c:pt>
                <c:pt idx="214">
                  <c:v>0.76531050790199384</c:v>
                </c:pt>
                <c:pt idx="215">
                  <c:v>0.7841242319209013</c:v>
                </c:pt>
                <c:pt idx="216">
                  <c:v>0.79789380046733638</c:v>
                </c:pt>
                <c:pt idx="217">
                  <c:v>0.80976786999380346</c:v>
                </c:pt>
                <c:pt idx="218">
                  <c:v>0.82337807760300141</c:v>
                </c:pt>
                <c:pt idx="219">
                  <c:v>0.84030089608998326</c:v>
                </c:pt>
                <c:pt idx="220">
                  <c:v>0.85717461118290361</c:v>
                </c:pt>
                <c:pt idx="221">
                  <c:v>0.87785443628204496</c:v>
                </c:pt>
                <c:pt idx="222">
                  <c:v>0.89852119710719669</c:v>
                </c:pt>
                <c:pt idx="223">
                  <c:v>0.91671302297941526</c:v>
                </c:pt>
                <c:pt idx="224">
                  <c:v>0.92672879720370294</c:v>
                </c:pt>
                <c:pt idx="225">
                  <c:v>0.92936716569015576</c:v>
                </c:pt>
                <c:pt idx="226">
                  <c:v>0.92866887474462179</c:v>
                </c:pt>
                <c:pt idx="227">
                  <c:v>0.92521319435365501</c:v>
                </c:pt>
                <c:pt idx="228">
                  <c:v>0.9179918401565893</c:v>
                </c:pt>
                <c:pt idx="229">
                  <c:v>0.90991361861791753</c:v>
                </c:pt>
                <c:pt idx="230">
                  <c:v>0.90300272835129825</c:v>
                </c:pt>
                <c:pt idx="231">
                  <c:v>0.88991156853060083</c:v>
                </c:pt>
                <c:pt idx="232">
                  <c:v>0.87471130886560766</c:v>
                </c:pt>
                <c:pt idx="233">
                  <c:v>0.85514701739037347</c:v>
                </c:pt>
                <c:pt idx="234">
                  <c:v>0.83511510778784381</c:v>
                </c:pt>
                <c:pt idx="235">
                  <c:v>0.81321771641313412</c:v>
                </c:pt>
                <c:pt idx="236">
                  <c:v>0.79565328410265956</c:v>
                </c:pt>
                <c:pt idx="237">
                  <c:v>0.7787322066708896</c:v>
                </c:pt>
                <c:pt idx="238">
                  <c:v>0.76480631523704212</c:v>
                </c:pt>
                <c:pt idx="239">
                  <c:v>0.74844772500559575</c:v>
                </c:pt>
                <c:pt idx="240">
                  <c:v>0.73560586560235808</c:v>
                </c:pt>
                <c:pt idx="241">
                  <c:v>0.72500552498908666</c:v>
                </c:pt>
                <c:pt idx="242">
                  <c:v>0.71744584466873285</c:v>
                </c:pt>
                <c:pt idx="243">
                  <c:v>0.71154042364540704</c:v>
                </c:pt>
                <c:pt idx="244">
                  <c:v>0.71028268642709058</c:v>
                </c:pt>
                <c:pt idx="245">
                  <c:v>0.70820569843077608</c:v>
                </c:pt>
                <c:pt idx="246">
                  <c:v>0.70572019311391143</c:v>
                </c:pt>
                <c:pt idx="247">
                  <c:v>0.70664557824688279</c:v>
                </c:pt>
                <c:pt idx="248">
                  <c:v>0.70798154525526291</c:v>
                </c:pt>
                <c:pt idx="249">
                  <c:v>0.71095938804316727</c:v>
                </c:pt>
                <c:pt idx="250">
                  <c:v>0.71558580275212214</c:v>
                </c:pt>
                <c:pt idx="251">
                  <c:v>0.72241880408245507</c:v>
                </c:pt>
                <c:pt idx="252">
                  <c:v>0.72541792968802776</c:v>
                </c:pt>
                <c:pt idx="253">
                  <c:v>0.72553056181836306</c:v>
                </c:pt>
                <c:pt idx="254">
                  <c:v>0.72247993790578668</c:v>
                </c:pt>
                <c:pt idx="255">
                  <c:v>0.71435202862452951</c:v>
                </c:pt>
                <c:pt idx="256">
                  <c:v>0.70323495688745885</c:v>
                </c:pt>
                <c:pt idx="257">
                  <c:v>0.69065773258444152</c:v>
                </c:pt>
                <c:pt idx="258">
                  <c:v>0.68002774512356723</c:v>
                </c:pt>
                <c:pt idx="259">
                  <c:v>0.66997317665244915</c:v>
                </c:pt>
                <c:pt idx="260">
                  <c:v>0.66170194394447235</c:v>
                </c:pt>
                <c:pt idx="261">
                  <c:v>0.65251094693206269</c:v>
                </c:pt>
                <c:pt idx="262">
                  <c:v>0.64401640555646056</c:v>
                </c:pt>
                <c:pt idx="263">
                  <c:v>0.62900971327415744</c:v>
                </c:pt>
                <c:pt idx="264">
                  <c:v>0.61376358290458954</c:v>
                </c:pt>
                <c:pt idx="265">
                  <c:v>0.59729816618529485</c:v>
                </c:pt>
                <c:pt idx="266">
                  <c:v>0.58042544911301885</c:v>
                </c:pt>
                <c:pt idx="267">
                  <c:v>0.56121531329126062</c:v>
                </c:pt>
                <c:pt idx="268">
                  <c:v>0.54461019292551172</c:v>
                </c:pt>
                <c:pt idx="269">
                  <c:v>0.5240558968820821</c:v>
                </c:pt>
                <c:pt idx="270">
                  <c:v>0.50332492812053908</c:v>
                </c:pt>
                <c:pt idx="271">
                  <c:v>0.47807322670722802</c:v>
                </c:pt>
                <c:pt idx="272">
                  <c:v>0.45560812020302344</c:v>
                </c:pt>
                <c:pt idx="273">
                  <c:v>0.43645513643970263</c:v>
                </c:pt>
                <c:pt idx="274">
                  <c:v>0.42196779681136837</c:v>
                </c:pt>
                <c:pt idx="275">
                  <c:v>0.41071695671886621</c:v>
                </c:pt>
                <c:pt idx="276">
                  <c:v>0.40681776332363456</c:v>
                </c:pt>
                <c:pt idx="277">
                  <c:v>0.40304774582659963</c:v>
                </c:pt>
                <c:pt idx="278">
                  <c:v>0.40047696697429302</c:v>
                </c:pt>
                <c:pt idx="279">
                  <c:v>0.39755446614429835</c:v>
                </c:pt>
                <c:pt idx="280">
                  <c:v>0.39321610362566967</c:v>
                </c:pt>
                <c:pt idx="281">
                  <c:v>0.38676601768091623</c:v>
                </c:pt>
                <c:pt idx="282">
                  <c:v>0.3785828216665128</c:v>
                </c:pt>
                <c:pt idx="283">
                  <c:v>0.37056168656900912</c:v>
                </c:pt>
                <c:pt idx="284">
                  <c:v>0.3646754165411763</c:v>
                </c:pt>
                <c:pt idx="285">
                  <c:v>0.36240627804783715</c:v>
                </c:pt>
                <c:pt idx="286">
                  <c:v>0.36385262060126089</c:v>
                </c:pt>
                <c:pt idx="287">
                  <c:v>0.36855800481279583</c:v>
                </c:pt>
                <c:pt idx="288">
                  <c:v>0.37339357766127573</c:v>
                </c:pt>
                <c:pt idx="289">
                  <c:v>0.37754053323228759</c:v>
                </c:pt>
                <c:pt idx="290">
                  <c:v>0.38146252023305866</c:v>
                </c:pt>
                <c:pt idx="291">
                  <c:v>0.38657075831442128</c:v>
                </c:pt>
                <c:pt idx="292">
                  <c:v>0.39595328288235671</c:v>
                </c:pt>
                <c:pt idx="293">
                  <c:v>0.40992166394955903</c:v>
                </c:pt>
                <c:pt idx="294">
                  <c:v>0.42689673378170512</c:v>
                </c:pt>
                <c:pt idx="295">
                  <c:v>0.45245774735411809</c:v>
                </c:pt>
                <c:pt idx="296">
                  <c:v>0.47824697571694624</c:v>
                </c:pt>
                <c:pt idx="297">
                  <c:v>0.50236594600568896</c:v>
                </c:pt>
                <c:pt idx="298">
                  <c:v>0.52346766221639418</c:v>
                </c:pt>
                <c:pt idx="299">
                  <c:v>0.54144932779518518</c:v>
                </c:pt>
                <c:pt idx="300">
                  <c:v>0.54903583729488836</c:v>
                </c:pt>
                <c:pt idx="301">
                  <c:v>0.55574568538961466</c:v>
                </c:pt>
                <c:pt idx="302">
                  <c:v>0.56066941338676546</c:v>
                </c:pt>
                <c:pt idx="303">
                  <c:v>0.56909101209387325</c:v>
                </c:pt>
                <c:pt idx="304">
                  <c:v>0.5780599783753485</c:v>
                </c:pt>
                <c:pt idx="305">
                  <c:v>0.58797269412428876</c:v>
                </c:pt>
                <c:pt idx="306">
                  <c:v>0.59831686140624196</c:v>
                </c:pt>
                <c:pt idx="307">
                  <c:v>0.61119959748822505</c:v>
                </c:pt>
                <c:pt idx="308">
                  <c:v>0.62269233583578654</c:v>
                </c:pt>
                <c:pt idx="309">
                  <c:v>0.6362254829572207</c:v>
                </c:pt>
                <c:pt idx="310">
                  <c:v>0.64955889219863283</c:v>
                </c:pt>
                <c:pt idx="311">
                  <c:v>0.66456568170757724</c:v>
                </c:pt>
                <c:pt idx="312">
                  <c:v>0.67480065660038469</c:v>
                </c:pt>
                <c:pt idx="313">
                  <c:v>0.68007513989970969</c:v>
                </c:pt>
                <c:pt idx="314">
                  <c:v>0.68184704098522597</c:v>
                </c:pt>
                <c:pt idx="315">
                  <c:v>0.68173002587608145</c:v>
                </c:pt>
                <c:pt idx="316">
                  <c:v>0.67837684290987488</c:v>
                </c:pt>
                <c:pt idx="317">
                  <c:v>0.6773172239513815</c:v>
                </c:pt>
                <c:pt idx="318">
                  <c:v>0.67881774714500143</c:v>
                </c:pt>
                <c:pt idx="319">
                  <c:v>0.68787770042329821</c:v>
                </c:pt>
                <c:pt idx="320">
                  <c:v>0.69954205728234986</c:v>
                </c:pt>
                <c:pt idx="321">
                  <c:v>0.71288651888357091</c:v>
                </c:pt>
                <c:pt idx="322">
                  <c:v>0.72724757124301365</c:v>
                </c:pt>
                <c:pt idx="323">
                  <c:v>0.74318898085737961</c:v>
                </c:pt>
                <c:pt idx="324">
                  <c:v>0.75478553042325158</c:v>
                </c:pt>
                <c:pt idx="325">
                  <c:v>0.76669986752705455</c:v>
                </c:pt>
                <c:pt idx="326">
                  <c:v>0.77684779323341735</c:v>
                </c:pt>
                <c:pt idx="327">
                  <c:v>0.78339919004606384</c:v>
                </c:pt>
                <c:pt idx="328">
                  <c:v>0.78563518352189454</c:v>
                </c:pt>
                <c:pt idx="329">
                  <c:v>0.78313058626317689</c:v>
                </c:pt>
                <c:pt idx="330">
                  <c:v>0.77613667622242077</c:v>
                </c:pt>
                <c:pt idx="331">
                  <c:v>0.76610823138152462</c:v>
                </c:pt>
                <c:pt idx="332">
                  <c:v>0.75459320717552714</c:v>
                </c:pt>
                <c:pt idx="333">
                  <c:v>0.74229652231364485</c:v>
                </c:pt>
                <c:pt idx="334">
                  <c:v>0.7308723293616145</c:v>
                </c:pt>
                <c:pt idx="335">
                  <c:v>0.71621952044327808</c:v>
                </c:pt>
                <c:pt idx="336">
                  <c:v>0.70340403618258929</c:v>
                </c:pt>
                <c:pt idx="337">
                  <c:v>0.69294404306800228</c:v>
                </c:pt>
                <c:pt idx="338">
                  <c:v>0.68562295145239205</c:v>
                </c:pt>
                <c:pt idx="339">
                  <c:v>0.68047413143997393</c:v>
                </c:pt>
                <c:pt idx="340">
                  <c:v>0.67977175443077054</c:v>
                </c:pt>
                <c:pt idx="341">
                  <c:v>0.67718690897506828</c:v>
                </c:pt>
                <c:pt idx="342">
                  <c:v>0.67232243848807105</c:v>
                </c:pt>
                <c:pt idx="343">
                  <c:v>0.67054951676396668</c:v>
                </c:pt>
                <c:pt idx="344">
                  <c:v>0.66837584106342829</c:v>
                </c:pt>
                <c:pt idx="345">
                  <c:v>0.66781078822375772</c:v>
                </c:pt>
                <c:pt idx="346">
                  <c:v>0.66992573251718823</c:v>
                </c:pt>
                <c:pt idx="347">
                  <c:v>0.67392098638054387</c:v>
                </c:pt>
                <c:pt idx="348">
                  <c:v>0.67348900457564653</c:v>
                </c:pt>
                <c:pt idx="349">
                  <c:v>0.67198381420733289</c:v>
                </c:pt>
                <c:pt idx="350">
                  <c:v>0.67021153151316937</c:v>
                </c:pt>
                <c:pt idx="351">
                  <c:v>0.66669970670848033</c:v>
                </c:pt>
                <c:pt idx="352">
                  <c:v>0.66426238369811741</c:v>
                </c:pt>
                <c:pt idx="353">
                  <c:v>0.66169401207844558</c:v>
                </c:pt>
                <c:pt idx="354">
                  <c:v>0.66059664171728028</c:v>
                </c:pt>
                <c:pt idx="355">
                  <c:v>0.65976670744669275</c:v>
                </c:pt>
                <c:pt idx="356">
                  <c:v>0.66107334022038011</c:v>
                </c:pt>
                <c:pt idx="357">
                  <c:v>0.6622467648029321</c:v>
                </c:pt>
                <c:pt idx="358">
                  <c:v>0.6648915054325566</c:v>
                </c:pt>
                <c:pt idx="359">
                  <c:v>0.66513005984294404</c:v>
                </c:pt>
                <c:pt idx="360">
                  <c:v>0.66443256585541677</c:v>
                </c:pt>
                <c:pt idx="361">
                  <c:v>0.66066256341951701</c:v>
                </c:pt>
                <c:pt idx="362">
                  <c:v>0.65356698000912394</c:v>
                </c:pt>
                <c:pt idx="363">
                  <c:v>0.64105098457839005</c:v>
                </c:pt>
                <c:pt idx="364">
                  <c:v>0.62569564414580925</c:v>
                </c:pt>
                <c:pt idx="365">
                  <c:v>0.60676953052172056</c:v>
                </c:pt>
                <c:pt idx="366">
                  <c:v>0.58798795431067663</c:v>
                </c:pt>
                <c:pt idx="367">
                  <c:v>0.56780959271897402</c:v>
                </c:pt>
                <c:pt idx="368">
                  <c:v>0.55189069515131139</c:v>
                </c:pt>
                <c:pt idx="369">
                  <c:v>0.5387495365104632</c:v>
                </c:pt>
                <c:pt idx="370">
                  <c:v>0.52884481334871236</c:v>
                </c:pt>
                <c:pt idx="371">
                  <c:v>0.51974110469053048</c:v>
                </c:pt>
                <c:pt idx="372">
                  <c:v>0.51343536623527841</c:v>
                </c:pt>
                <c:pt idx="373">
                  <c:v>0.50589847467172422</c:v>
                </c:pt>
                <c:pt idx="374">
                  <c:v>0.49913674657638513</c:v>
                </c:pt>
                <c:pt idx="375">
                  <c:v>0.49190132467460318</c:v>
                </c:pt>
                <c:pt idx="376">
                  <c:v>0.4876634464333417</c:v>
                </c:pt>
                <c:pt idx="377">
                  <c:v>0.48677543268380985</c:v>
                </c:pt>
                <c:pt idx="378">
                  <c:v>0.488860220943451</c:v>
                </c:pt>
                <c:pt idx="379">
                  <c:v>0.49181599920631613</c:v>
                </c:pt>
                <c:pt idx="380">
                  <c:v>0.49589485849057441</c:v>
                </c:pt>
                <c:pt idx="381">
                  <c:v>0.49873588403479258</c:v>
                </c:pt>
                <c:pt idx="382">
                  <c:v>0.50070763683788133</c:v>
                </c:pt>
                <c:pt idx="383">
                  <c:v>0.49769656009770663</c:v>
                </c:pt>
                <c:pt idx="384">
                  <c:v>0.49369574095258473</c:v>
                </c:pt>
                <c:pt idx="385">
                  <c:v>0.4894552568089488</c:v>
                </c:pt>
                <c:pt idx="386">
                  <c:v>0.48522403759050087</c:v>
                </c:pt>
                <c:pt idx="387">
                  <c:v>0.48075536529187773</c:v>
                </c:pt>
                <c:pt idx="388">
                  <c:v>0.47999415489791636</c:v>
                </c:pt>
                <c:pt idx="389">
                  <c:v>0.48281272366117817</c:v>
                </c:pt>
                <c:pt idx="390">
                  <c:v>0.48872996228834192</c:v>
                </c:pt>
                <c:pt idx="391">
                  <c:v>0.50263238042532077</c:v>
                </c:pt>
                <c:pt idx="392">
                  <c:v>0.51725679217186049</c:v>
                </c:pt>
                <c:pt idx="393">
                  <c:v>0.53375395367105394</c:v>
                </c:pt>
                <c:pt idx="394">
                  <c:v>0.55139623518256209</c:v>
                </c:pt>
                <c:pt idx="395">
                  <c:v>0.56990034555779556</c:v>
                </c:pt>
                <c:pt idx="396">
                  <c:v>0.5818181830112652</c:v>
                </c:pt>
                <c:pt idx="397">
                  <c:v>0.59184626049133204</c:v>
                </c:pt>
                <c:pt idx="398">
                  <c:v>0.59930901245886647</c:v>
                </c:pt>
                <c:pt idx="399">
                  <c:v>0.59923232544511618</c:v>
                </c:pt>
                <c:pt idx="400">
                  <c:v>0.59460497267771306</c:v>
                </c:pt>
                <c:pt idx="401">
                  <c:v>0.5866189807407749</c:v>
                </c:pt>
                <c:pt idx="402">
                  <c:v>0.57762916773698281</c:v>
                </c:pt>
                <c:pt idx="403">
                  <c:v>0.56687747320706716</c:v>
                </c:pt>
                <c:pt idx="404">
                  <c:v>0.5579668482113378</c:v>
                </c:pt>
                <c:pt idx="405">
                  <c:v>0.54845582200626075</c:v>
                </c:pt>
                <c:pt idx="406">
                  <c:v>0.5391137589485836</c:v>
                </c:pt>
                <c:pt idx="407">
                  <c:v>0.5280468793900448</c:v>
                </c:pt>
                <c:pt idx="408">
                  <c:v>0.51980011157498063</c:v>
                </c:pt>
                <c:pt idx="409">
                  <c:v>0.51471640597275736</c:v>
                </c:pt>
                <c:pt idx="410">
                  <c:v>0.51277259966106614</c:v>
                </c:pt>
                <c:pt idx="411">
                  <c:v>0.51370843338977157</c:v>
                </c:pt>
                <c:pt idx="412">
                  <c:v>0.52091585266031126</c:v>
                </c:pt>
                <c:pt idx="413">
                  <c:v>0.53079457446168199</c:v>
                </c:pt>
                <c:pt idx="414">
                  <c:v>0.54147701443187979</c:v>
                </c:pt>
                <c:pt idx="415">
                  <c:v>0.55526867217476317</c:v>
                </c:pt>
                <c:pt idx="416">
                  <c:v>0.56683359587276816</c:v>
                </c:pt>
                <c:pt idx="417">
                  <c:v>0.57446447955499913</c:v>
                </c:pt>
                <c:pt idx="418">
                  <c:v>0.57760779579453292</c:v>
                </c:pt>
                <c:pt idx="419">
                  <c:v>0.5788221352862698</c:v>
                </c:pt>
                <c:pt idx="420">
                  <c:v>0.57527319847675729</c:v>
                </c:pt>
                <c:pt idx="421">
                  <c:v>0.57250093237138833</c:v>
                </c:pt>
                <c:pt idx="422">
                  <c:v>0.57088742216142196</c:v>
                </c:pt>
                <c:pt idx="423">
                  <c:v>0.56966014316660141</c:v>
                </c:pt>
                <c:pt idx="424">
                  <c:v>0.57010036211156456</c:v>
                </c:pt>
                <c:pt idx="425">
                  <c:v>0.57143897742211713</c:v>
                </c:pt>
                <c:pt idx="426">
                  <c:v>0.57354837376483347</c:v>
                </c:pt>
                <c:pt idx="427">
                  <c:v>0.57874635422869158</c:v>
                </c:pt>
                <c:pt idx="428">
                  <c:v>0.5898951678876081</c:v>
                </c:pt>
                <c:pt idx="429">
                  <c:v>0.60343309401330358</c:v>
                </c:pt>
                <c:pt idx="430">
                  <c:v>0.61756601159303981</c:v>
                </c:pt>
                <c:pt idx="431">
                  <c:v>0.63282782110188263</c:v>
                </c:pt>
                <c:pt idx="432">
                  <c:v>0.64460840854271995</c:v>
                </c:pt>
                <c:pt idx="433">
                  <c:v>0.65246276216511512</c:v>
                </c:pt>
                <c:pt idx="434">
                  <c:v>0.6567541600310649</c:v>
                </c:pt>
                <c:pt idx="435">
                  <c:v>0.66078596733489914</c:v>
                </c:pt>
                <c:pt idx="436">
                  <c:v>0.66269544916915224</c:v>
                </c:pt>
                <c:pt idx="437">
                  <c:v>0.66460557016880595</c:v>
                </c:pt>
                <c:pt idx="438">
                  <c:v>0.66452095015732526</c:v>
                </c:pt>
                <c:pt idx="439">
                  <c:v>0.665101344974109</c:v>
                </c:pt>
                <c:pt idx="440">
                  <c:v>0.6652826233356991</c:v>
                </c:pt>
                <c:pt idx="441">
                  <c:v>0.66626218032936424</c:v>
                </c:pt>
                <c:pt idx="442">
                  <c:v>0.67003818733644005</c:v>
                </c:pt>
                <c:pt idx="443">
                  <c:v>0.67795700065356324</c:v>
                </c:pt>
                <c:pt idx="444">
                  <c:v>0.68696897389905565</c:v>
                </c:pt>
                <c:pt idx="445">
                  <c:v>0.69560496722766896</c:v>
                </c:pt>
                <c:pt idx="446">
                  <c:v>0.70332191568995872</c:v>
                </c:pt>
                <c:pt idx="447">
                  <c:v>0.71295088485945379</c:v>
                </c:pt>
                <c:pt idx="448">
                  <c:v>0.71894997941408911</c:v>
                </c:pt>
                <c:pt idx="449">
                  <c:v>0.72319625333005999</c:v>
                </c:pt>
                <c:pt idx="450">
                  <c:v>0.7289424359666471</c:v>
                </c:pt>
                <c:pt idx="451">
                  <c:v>0.73728634136202109</c:v>
                </c:pt>
                <c:pt idx="452">
                  <c:v>0.74278394185859342</c:v>
                </c:pt>
                <c:pt idx="453">
                  <c:v>0.7499316162580415</c:v>
                </c:pt>
                <c:pt idx="454">
                  <c:v>0.75668328550293551</c:v>
                </c:pt>
                <c:pt idx="455">
                  <c:v>0.75974153797578614</c:v>
                </c:pt>
                <c:pt idx="456">
                  <c:v>0.75813644400861102</c:v>
                </c:pt>
                <c:pt idx="457">
                  <c:v>0.75064474346256072</c:v>
                </c:pt>
                <c:pt idx="458">
                  <c:v>0.73676682286432094</c:v>
                </c:pt>
                <c:pt idx="459">
                  <c:v>0.71956972529212593</c:v>
                </c:pt>
                <c:pt idx="460">
                  <c:v>0.70153418658955469</c:v>
                </c:pt>
                <c:pt idx="461">
                  <c:v>0.68465993165669292</c:v>
                </c:pt>
                <c:pt idx="462">
                  <c:v>0.67186832034984512</c:v>
                </c:pt>
                <c:pt idx="463">
                  <c:v>0.66962284350251611</c:v>
                </c:pt>
                <c:pt idx="464">
                  <c:v>0.67243764341593537</c:v>
                </c:pt>
                <c:pt idx="465">
                  <c:v>0.68126985541033025</c:v>
                </c:pt>
                <c:pt idx="466">
                  <c:v>0.69376194224876475</c:v>
                </c:pt>
                <c:pt idx="467">
                  <c:v>0.70780326035684304</c:v>
                </c:pt>
                <c:pt idx="468">
                  <c:v>0.71744459913330128</c:v>
                </c:pt>
                <c:pt idx="469">
                  <c:v>0.72657960315023373</c:v>
                </c:pt>
                <c:pt idx="470">
                  <c:v>0.73288329250306794</c:v>
                </c:pt>
                <c:pt idx="471">
                  <c:v>0.73701767477423641</c:v>
                </c:pt>
                <c:pt idx="472">
                  <c:v>0.73787777833976675</c:v>
                </c:pt>
                <c:pt idx="473">
                  <c:v>0.73545798731102041</c:v>
                </c:pt>
                <c:pt idx="474">
                  <c:v>0.7301720632679356</c:v>
                </c:pt>
                <c:pt idx="475">
                  <c:v>0.72393839451520825</c:v>
                </c:pt>
                <c:pt idx="476">
                  <c:v>0.7179860759004042</c:v>
                </c:pt>
                <c:pt idx="477">
                  <c:v>0.71584484587939312</c:v>
                </c:pt>
                <c:pt idx="478">
                  <c:v>0.7168300073962286</c:v>
                </c:pt>
                <c:pt idx="479">
                  <c:v>0.72353736953160641</c:v>
                </c:pt>
                <c:pt idx="480">
                  <c:v>0.73094795077178787</c:v>
                </c:pt>
                <c:pt idx="481">
                  <c:v>0.73742189717030127</c:v>
                </c:pt>
                <c:pt idx="482">
                  <c:v>0.73842264782121758</c:v>
                </c:pt>
                <c:pt idx="483">
                  <c:v>0.73229560270373495</c:v>
                </c:pt>
                <c:pt idx="484">
                  <c:v>0.71676064044542975</c:v>
                </c:pt>
                <c:pt idx="485">
                  <c:v>0.69709824089014161</c:v>
                </c:pt>
                <c:pt idx="486">
                  <c:v>0.67688607805559975</c:v>
                </c:pt>
                <c:pt idx="487">
                  <c:v>0.65253930851958508</c:v>
                </c:pt>
                <c:pt idx="488">
                  <c:v>0.63262824649910254</c:v>
                </c:pt>
                <c:pt idx="489">
                  <c:v>0.61509083889845562</c:v>
                </c:pt>
                <c:pt idx="490">
                  <c:v>0.59936199895472531</c:v>
                </c:pt>
                <c:pt idx="491">
                  <c:v>0.58346403164524263</c:v>
                </c:pt>
                <c:pt idx="492">
                  <c:v>0.57386228365721947</c:v>
                </c:pt>
                <c:pt idx="493">
                  <c:v>0.56506706067524803</c:v>
                </c:pt>
                <c:pt idx="494">
                  <c:v>0.55784156784501981</c:v>
                </c:pt>
                <c:pt idx="495">
                  <c:v>0.54794408912412229</c:v>
                </c:pt>
                <c:pt idx="496">
                  <c:v>0.53719167764944753</c:v>
                </c:pt>
                <c:pt idx="497">
                  <c:v>0.52509009811190777</c:v>
                </c:pt>
                <c:pt idx="498">
                  <c:v>0.51330089110202681</c:v>
                </c:pt>
                <c:pt idx="499">
                  <c:v>0.50295023362233149</c:v>
                </c:pt>
                <c:pt idx="500">
                  <c:v>0.49777395507694716</c:v>
                </c:pt>
                <c:pt idx="501">
                  <c:v>0.49410761332947073</c:v>
                </c:pt>
                <c:pt idx="502">
                  <c:v>0.49181945658263443</c:v>
                </c:pt>
                <c:pt idx="503">
                  <c:v>0.49378227869409247</c:v>
                </c:pt>
                <c:pt idx="504">
                  <c:v>0.4968763881002059</c:v>
                </c:pt>
                <c:pt idx="505">
                  <c:v>0.50123352315356728</c:v>
                </c:pt>
                <c:pt idx="506">
                  <c:v>0.50787165252235733</c:v>
                </c:pt>
                <c:pt idx="507">
                  <c:v>0.51732183102073925</c:v>
                </c:pt>
                <c:pt idx="508">
                  <c:v>0.52580227566292403</c:v>
                </c:pt>
                <c:pt idx="509">
                  <c:v>0.53713599541977486</c:v>
                </c:pt>
                <c:pt idx="510">
                  <c:v>0.54982333103982284</c:v>
                </c:pt>
                <c:pt idx="511">
                  <c:v>0.56272056346322064</c:v>
                </c:pt>
                <c:pt idx="512">
                  <c:v>0.57231400726518744</c:v>
                </c:pt>
                <c:pt idx="513">
                  <c:v>0.57673119893292701</c:v>
                </c:pt>
                <c:pt idx="514">
                  <c:v>0.57411239941436676</c:v>
                </c:pt>
                <c:pt idx="515">
                  <c:v>0.56590310605517413</c:v>
                </c:pt>
                <c:pt idx="516">
                  <c:v>0.55422489425416688</c:v>
                </c:pt>
                <c:pt idx="517">
                  <c:v>0.54349936332604809</c:v>
                </c:pt>
                <c:pt idx="518">
                  <c:v>0.53422825634973681</c:v>
                </c:pt>
                <c:pt idx="519">
                  <c:v>0.5238417279181018</c:v>
                </c:pt>
                <c:pt idx="520">
                  <c:v>0.51451495027362915</c:v>
                </c:pt>
                <c:pt idx="521">
                  <c:v>0.50471730934464321</c:v>
                </c:pt>
                <c:pt idx="522">
                  <c:v>0.49332297835339017</c:v>
                </c:pt>
                <c:pt idx="523">
                  <c:v>0.48223576415389346</c:v>
                </c:pt>
                <c:pt idx="524">
                  <c:v>0.47581748655645412</c:v>
                </c:pt>
                <c:pt idx="525">
                  <c:v>0.47315396047435343</c:v>
                </c:pt>
                <c:pt idx="526">
                  <c:v>0.47448339615625895</c:v>
                </c:pt>
                <c:pt idx="527">
                  <c:v>0.48984846038637764</c:v>
                </c:pt>
                <c:pt idx="528">
                  <c:v>0.50823354485747829</c:v>
                </c:pt>
                <c:pt idx="529">
                  <c:v>0.5288133703248995</c:v>
                </c:pt>
                <c:pt idx="530">
                  <c:v>0.54879700322795344</c:v>
                </c:pt>
                <c:pt idx="531">
                  <c:v>0.56737949250345832</c:v>
                </c:pt>
                <c:pt idx="532">
                  <c:v>0.57419377521563864</c:v>
                </c:pt>
                <c:pt idx="533">
                  <c:v>0.58049874556299741</c:v>
                </c:pt>
                <c:pt idx="534">
                  <c:v>0.58537338294431418</c:v>
                </c:pt>
                <c:pt idx="535">
                  <c:v>0.59300977804199329</c:v>
                </c:pt>
                <c:pt idx="536">
                  <c:v>0.60171682820704586</c:v>
                </c:pt>
                <c:pt idx="537">
                  <c:v>0.60938968772842783</c:v>
                </c:pt>
                <c:pt idx="538">
                  <c:v>0.61284551973270984</c:v>
                </c:pt>
                <c:pt idx="539">
                  <c:v>0.60864103711882511</c:v>
                </c:pt>
                <c:pt idx="540">
                  <c:v>0.59394068235530284</c:v>
                </c:pt>
                <c:pt idx="541">
                  <c:v>0.57258199747033689</c:v>
                </c:pt>
                <c:pt idx="542">
                  <c:v>0.54848130451736554</c:v>
                </c:pt>
                <c:pt idx="543">
                  <c:v>0.52504045669900856</c:v>
                </c:pt>
                <c:pt idx="544">
                  <c:v>0.50816053776163206</c:v>
                </c:pt>
                <c:pt idx="545">
                  <c:v>0.49793312316695804</c:v>
                </c:pt>
                <c:pt idx="546">
                  <c:v>0.49375298399062661</c:v>
                </c:pt>
                <c:pt idx="547">
                  <c:v>0.49407552246556002</c:v>
                </c:pt>
                <c:pt idx="548">
                  <c:v>0.49639616423855426</c:v>
                </c:pt>
                <c:pt idx="549">
                  <c:v>0.4993426333479401</c:v>
                </c:pt>
                <c:pt idx="550">
                  <c:v>0.50216570254159387</c:v>
                </c:pt>
                <c:pt idx="551">
                  <c:v>0.51038516623407582</c:v>
                </c:pt>
                <c:pt idx="552">
                  <c:v>0.51926007230038262</c:v>
                </c:pt>
                <c:pt idx="553">
                  <c:v>0.53120420038904448</c:v>
                </c:pt>
                <c:pt idx="554">
                  <c:v>0.5434582481102479</c:v>
                </c:pt>
                <c:pt idx="555">
                  <c:v>0.55436094560076365</c:v>
                </c:pt>
                <c:pt idx="556">
                  <c:v>0.55619914546586124</c:v>
                </c:pt>
                <c:pt idx="557">
                  <c:v>0.55355971391874426</c:v>
                </c:pt>
                <c:pt idx="558">
                  <c:v>0.54595498680086463</c:v>
                </c:pt>
                <c:pt idx="559">
                  <c:v>0.53521464661909202</c:v>
                </c:pt>
                <c:pt idx="560">
                  <c:v>0.52529267491376264</c:v>
                </c:pt>
                <c:pt idx="561">
                  <c:v>0.51856203367818587</c:v>
                </c:pt>
                <c:pt idx="562">
                  <c:v>0.51511344535981651</c:v>
                </c:pt>
                <c:pt idx="563">
                  <c:v>0.5143008195646156</c:v>
                </c:pt>
                <c:pt idx="564">
                  <c:v>0.5142402927049986</c:v>
                </c:pt>
                <c:pt idx="565">
                  <c:v>0.51242967796440442</c:v>
                </c:pt>
                <c:pt idx="566">
                  <c:v>0.50812785075269362</c:v>
                </c:pt>
                <c:pt idx="567">
                  <c:v>0.49936854252103891</c:v>
                </c:pt>
                <c:pt idx="568">
                  <c:v>0.49040756215257053</c:v>
                </c:pt>
                <c:pt idx="569">
                  <c:v>0.48346077106538621</c:v>
                </c:pt>
                <c:pt idx="570">
                  <c:v>0.48022239879881351</c:v>
                </c:pt>
                <c:pt idx="571">
                  <c:v>0.48017842627021773</c:v>
                </c:pt>
                <c:pt idx="572">
                  <c:v>0.48516679734786611</c:v>
                </c:pt>
                <c:pt idx="573">
                  <c:v>0.49114873629697037</c:v>
                </c:pt>
                <c:pt idx="574">
                  <c:v>0.49739048654737977</c:v>
                </c:pt>
                <c:pt idx="575">
                  <c:v>0.50327426288230304</c:v>
                </c:pt>
                <c:pt idx="576">
                  <c:v>0.50892146069553834</c:v>
                </c:pt>
                <c:pt idx="577">
                  <c:v>0.51420575448835792</c:v>
                </c:pt>
                <c:pt idx="578">
                  <c:v>0.51738106260225192</c:v>
                </c:pt>
                <c:pt idx="579">
                  <c:v>0.51943670571355605</c:v>
                </c:pt>
                <c:pt idx="580">
                  <c:v>0.52074472864211996</c:v>
                </c:pt>
                <c:pt idx="581">
                  <c:v>0.52317407794276471</c:v>
                </c:pt>
                <c:pt idx="582">
                  <c:v>0.52585351614360165</c:v>
                </c:pt>
                <c:pt idx="583">
                  <c:v>0.53115802660255695</c:v>
                </c:pt>
                <c:pt idx="584">
                  <c:v>0.53521840337847437</c:v>
                </c:pt>
                <c:pt idx="585">
                  <c:v>0.53715236558648827</c:v>
                </c:pt>
                <c:pt idx="586">
                  <c:v>0.53508007912007249</c:v>
                </c:pt>
                <c:pt idx="587">
                  <c:v>0.52926733432704642</c:v>
                </c:pt>
                <c:pt idx="588">
                  <c:v>0.51987359295577462</c:v>
                </c:pt>
                <c:pt idx="589">
                  <c:v>0.51065333840634575</c:v>
                </c:pt>
                <c:pt idx="590">
                  <c:v>0.50221927199401017</c:v>
                </c:pt>
                <c:pt idx="591">
                  <c:v>0.49456185163842509</c:v>
                </c:pt>
                <c:pt idx="592">
                  <c:v>0.49089497440226509</c:v>
                </c:pt>
                <c:pt idx="593">
                  <c:v>0.48881954602803895</c:v>
                </c:pt>
                <c:pt idx="594">
                  <c:v>0.48625629250054175</c:v>
                </c:pt>
                <c:pt idx="595">
                  <c:v>0.48186624615020751</c:v>
                </c:pt>
                <c:pt idx="596">
                  <c:v>0.47687448612911343</c:v>
                </c:pt>
                <c:pt idx="597">
                  <c:v>0.46995193913579419</c:v>
                </c:pt>
                <c:pt idx="598">
                  <c:v>0.46292850971714961</c:v>
                </c:pt>
                <c:pt idx="599">
                  <c:v>0.45388051011955827</c:v>
                </c:pt>
                <c:pt idx="600">
                  <c:v>0.4476249735146946</c:v>
                </c:pt>
                <c:pt idx="601">
                  <c:v>0.44341901664743566</c:v>
                </c:pt>
                <c:pt idx="602">
                  <c:v>0.4399360299315051</c:v>
                </c:pt>
                <c:pt idx="603">
                  <c:v>0.43657625183921694</c:v>
                </c:pt>
                <c:pt idx="604">
                  <c:v>0.43608130014416618</c:v>
                </c:pt>
                <c:pt idx="605">
                  <c:v>0.4348700621134019</c:v>
                </c:pt>
                <c:pt idx="606">
                  <c:v>0.43318208911181805</c:v>
                </c:pt>
                <c:pt idx="607">
                  <c:v>0.42816241737986094</c:v>
                </c:pt>
                <c:pt idx="608">
                  <c:v>0.42208648821393435</c:v>
                </c:pt>
                <c:pt idx="609">
                  <c:v>0.41472784040826427</c:v>
                </c:pt>
                <c:pt idx="610">
                  <c:v>0.40633772756400738</c:v>
                </c:pt>
                <c:pt idx="611">
                  <c:v>0.39774969470548627</c:v>
                </c:pt>
                <c:pt idx="612">
                  <c:v>0.39397842560295343</c:v>
                </c:pt>
                <c:pt idx="613">
                  <c:v>0.39312776515766579</c:v>
                </c:pt>
                <c:pt idx="614">
                  <c:v>0.39589834373538751</c:v>
                </c:pt>
                <c:pt idx="615">
                  <c:v>0.40454583390062826</c:v>
                </c:pt>
                <c:pt idx="616">
                  <c:v>0.41490168342186545</c:v>
                </c:pt>
                <c:pt idx="617">
                  <c:v>0.42616415284107578</c:v>
                </c:pt>
                <c:pt idx="618">
                  <c:v>0.43906956645607503</c:v>
                </c:pt>
                <c:pt idx="619">
                  <c:v>0.45498607944417824</c:v>
                </c:pt>
                <c:pt idx="620">
                  <c:v>0.47105273494067224</c:v>
                </c:pt>
                <c:pt idx="621">
                  <c:v>0.48998383972647247</c:v>
                </c:pt>
                <c:pt idx="622">
                  <c:v>0.50948488085744337</c:v>
                </c:pt>
                <c:pt idx="623">
                  <c:v>0.53221248398612009</c:v>
                </c:pt>
                <c:pt idx="624">
                  <c:v>0.55073844161230545</c:v>
                </c:pt>
                <c:pt idx="625">
                  <c:v>0.56481580679218601</c:v>
                </c:pt>
                <c:pt idx="626">
                  <c:v>0.57396669697219038</c:v>
                </c:pt>
                <c:pt idx="627">
                  <c:v>0.57902892819066631</c:v>
                </c:pt>
                <c:pt idx="628">
                  <c:v>0.57726088232375883</c:v>
                </c:pt>
                <c:pt idx="629">
                  <c:v>0.57678263926759232</c:v>
                </c:pt>
                <c:pt idx="630">
                  <c:v>0.57811080236333612</c:v>
                </c:pt>
                <c:pt idx="631">
                  <c:v>0.58539318582456823</c:v>
                </c:pt>
                <c:pt idx="632">
                  <c:v>0.59478419172173969</c:v>
                </c:pt>
                <c:pt idx="633">
                  <c:v>0.60631066441883175</c:v>
                </c:pt>
                <c:pt idx="634">
                  <c:v>0.61934611345276047</c:v>
                </c:pt>
                <c:pt idx="635">
                  <c:v>0.6328562117554184</c:v>
                </c:pt>
                <c:pt idx="636">
                  <c:v>0.64365636266218496</c:v>
                </c:pt>
                <c:pt idx="637">
                  <c:v>0.65517696406354475</c:v>
                </c:pt>
                <c:pt idx="638">
                  <c:v>0.66528183363218696</c:v>
                </c:pt>
                <c:pt idx="639">
                  <c:v>0.66750265434203448</c:v>
                </c:pt>
                <c:pt idx="640">
                  <c:v>0.66569905530614326</c:v>
                </c:pt>
                <c:pt idx="641">
                  <c:v>0.65947219646273425</c:v>
                </c:pt>
                <c:pt idx="642">
                  <c:v>0.6511172198860824</c:v>
                </c:pt>
                <c:pt idx="643">
                  <c:v>0.64184967556011308</c:v>
                </c:pt>
                <c:pt idx="644">
                  <c:v>0.6356621669545508</c:v>
                </c:pt>
                <c:pt idx="645">
                  <c:v>0.62921916865220229</c:v>
                </c:pt>
                <c:pt idx="646">
                  <c:v>0.62371390039285102</c:v>
                </c:pt>
                <c:pt idx="647">
                  <c:v>0.62443358935689186</c:v>
                </c:pt>
                <c:pt idx="648">
                  <c:v>0.6271427880159417</c:v>
                </c:pt>
                <c:pt idx="649">
                  <c:v>0.63371201256077703</c:v>
                </c:pt>
                <c:pt idx="650">
                  <c:v>0.64470957465034329</c:v>
                </c:pt>
                <c:pt idx="651">
                  <c:v>0.65952402192189974</c:v>
                </c:pt>
                <c:pt idx="652">
                  <c:v>0.66997291117938418</c:v>
                </c:pt>
                <c:pt idx="653">
                  <c:v>0.68006375646062689</c:v>
                </c:pt>
                <c:pt idx="654">
                  <c:v>0.68883838039601042</c:v>
                </c:pt>
                <c:pt idx="655">
                  <c:v>0.69014904532206456</c:v>
                </c:pt>
                <c:pt idx="656">
                  <c:v>0.68819223161662735</c:v>
                </c:pt>
                <c:pt idx="657">
                  <c:v>0.68473912865814968</c:v>
                </c:pt>
                <c:pt idx="658">
                  <c:v>0.67854443617998506</c:v>
                </c:pt>
                <c:pt idx="659">
                  <c:v>0.67142169708509503</c:v>
                </c:pt>
                <c:pt idx="660">
                  <c:v>0.66891146903169918</c:v>
                </c:pt>
                <c:pt idx="661">
                  <c:v>0.66586621036811988</c:v>
                </c:pt>
                <c:pt idx="662">
                  <c:v>0.66228801274292859</c:v>
                </c:pt>
                <c:pt idx="663">
                  <c:v>0.66248352880508321</c:v>
                </c:pt>
                <c:pt idx="664">
                  <c:v>0.66415909864129374</c:v>
                </c:pt>
                <c:pt idx="665">
                  <c:v>0.66785487143471456</c:v>
                </c:pt>
                <c:pt idx="666">
                  <c:v>0.67519715243373357</c:v>
                </c:pt>
                <c:pt idx="667">
                  <c:v>0.68512660870733899</c:v>
                </c:pt>
                <c:pt idx="668">
                  <c:v>0.69223050453323121</c:v>
                </c:pt>
                <c:pt idx="669">
                  <c:v>0.69703508431123384</c:v>
                </c:pt>
                <c:pt idx="670">
                  <c:v>0.69898665333013377</c:v>
                </c:pt>
                <c:pt idx="671">
                  <c:v>0.6933298748098552</c:v>
                </c:pt>
                <c:pt idx="672">
                  <c:v>0.68538895643534392</c:v>
                </c:pt>
                <c:pt idx="673">
                  <c:v>0.67666791648735447</c:v>
                </c:pt>
                <c:pt idx="674">
                  <c:v>0.66838372977867266</c:v>
                </c:pt>
                <c:pt idx="675">
                  <c:v>0.66147016718930651</c:v>
                </c:pt>
                <c:pt idx="676">
                  <c:v>0.65965795971650143</c:v>
                </c:pt>
                <c:pt idx="677">
                  <c:v>0.65798218443282641</c:v>
                </c:pt>
                <c:pt idx="678">
                  <c:v>0.65577501454119802</c:v>
                </c:pt>
                <c:pt idx="679">
                  <c:v>0.65077334238709394</c:v>
                </c:pt>
                <c:pt idx="680">
                  <c:v>0.64498744755423909</c:v>
                </c:pt>
                <c:pt idx="681">
                  <c:v>0.6386890360028864</c:v>
                </c:pt>
                <c:pt idx="682">
                  <c:v>0.63465698625282851</c:v>
                </c:pt>
                <c:pt idx="683">
                  <c:v>0.63472816877424054</c:v>
                </c:pt>
                <c:pt idx="684">
                  <c:v>0.64154532680409238</c:v>
                </c:pt>
                <c:pt idx="685">
                  <c:v>0.65143014051304127</c:v>
                </c:pt>
                <c:pt idx="686">
                  <c:v>0.66401215128992197</c:v>
                </c:pt>
                <c:pt idx="687">
                  <c:v>0.6773133683127629</c:v>
                </c:pt>
                <c:pt idx="688">
                  <c:v>0.68864923402174461</c:v>
                </c:pt>
                <c:pt idx="689">
                  <c:v>0.69732266253482056</c:v>
                </c:pt>
                <c:pt idx="690">
                  <c:v>0.70398753467106667</c:v>
                </c:pt>
                <c:pt idx="691">
                  <c:v>0.7071433439580459</c:v>
                </c:pt>
                <c:pt idx="692">
                  <c:v>0.70516059992154234</c:v>
                </c:pt>
                <c:pt idx="693">
                  <c:v>0.69940326311761658</c:v>
                </c:pt>
                <c:pt idx="694">
                  <c:v>0.69083944682876552</c:v>
                </c:pt>
                <c:pt idx="695">
                  <c:v>0.68043415479884051</c:v>
                </c:pt>
                <c:pt idx="696">
                  <c:v>0.6698093180992768</c:v>
                </c:pt>
                <c:pt idx="697">
                  <c:v>0.66069327805687228</c:v>
                </c:pt>
                <c:pt idx="698">
                  <c:v>0.65320253892727975</c:v>
                </c:pt>
                <c:pt idx="699">
                  <c:v>0.64587025615903415</c:v>
                </c:pt>
                <c:pt idx="700">
                  <c:v>0.63869558670095072</c:v>
                </c:pt>
                <c:pt idx="701">
                  <c:v>0.6312837367117845</c:v>
                </c:pt>
                <c:pt idx="702">
                  <c:v>0.62324612020174319</c:v>
                </c:pt>
                <c:pt idx="703">
                  <c:v>0.60848183990926941</c:v>
                </c:pt>
                <c:pt idx="704">
                  <c:v>0.5935582783528619</c:v>
                </c:pt>
                <c:pt idx="705">
                  <c:v>0.57784070492270556</c:v>
                </c:pt>
                <c:pt idx="706">
                  <c:v>0.5628753516516809</c:v>
                </c:pt>
                <c:pt idx="707">
                  <c:v>0.549281338606049</c:v>
                </c:pt>
                <c:pt idx="708">
                  <c:v>0.54446071078600644</c:v>
                </c:pt>
                <c:pt idx="709">
                  <c:v>0.54179262258587668</c:v>
                </c:pt>
                <c:pt idx="710">
                  <c:v>0.54101541806205644</c:v>
                </c:pt>
                <c:pt idx="711">
                  <c:v>0.54225085236022774</c:v>
                </c:pt>
                <c:pt idx="712">
                  <c:v>0.54348639532013743</c:v>
                </c:pt>
                <c:pt idx="713">
                  <c:v>0.54170340071725942</c:v>
                </c:pt>
                <c:pt idx="714">
                  <c:v>0.53703841108791905</c:v>
                </c:pt>
                <c:pt idx="715">
                  <c:v>0.52976312160302541</c:v>
                </c:pt>
                <c:pt idx="716">
                  <c:v>0.52226872799229507</c:v>
                </c:pt>
                <c:pt idx="717">
                  <c:v>0.51889930885108637</c:v>
                </c:pt>
                <c:pt idx="718">
                  <c:v>0.52025182858073094</c:v>
                </c:pt>
                <c:pt idx="719">
                  <c:v>0.53081625436415003</c:v>
                </c:pt>
                <c:pt idx="720">
                  <c:v>0.54568880575421785</c:v>
                </c:pt>
                <c:pt idx="721">
                  <c:v>0.56229337448605188</c:v>
                </c:pt>
                <c:pt idx="722">
                  <c:v>0.57849705077122826</c:v>
                </c:pt>
                <c:pt idx="723">
                  <c:v>0.59544089537783917</c:v>
                </c:pt>
                <c:pt idx="724">
                  <c:v>0.60926660400126953</c:v>
                </c:pt>
                <c:pt idx="725">
                  <c:v>0.62434389697103931</c:v>
                </c:pt>
                <c:pt idx="726">
                  <c:v>0.63886651285895713</c:v>
                </c:pt>
                <c:pt idx="727">
                  <c:v>0.6491517425266996</c:v>
                </c:pt>
                <c:pt idx="728">
                  <c:v>0.65540783001057334</c:v>
                </c:pt>
                <c:pt idx="729">
                  <c:v>0.65799705002563069</c:v>
                </c:pt>
                <c:pt idx="730">
                  <c:v>0.65743203835749708</c:v>
                </c:pt>
                <c:pt idx="731">
                  <c:v>0.65542054971407993</c:v>
                </c:pt>
                <c:pt idx="732">
                  <c:v>0.65419803612935312</c:v>
                </c:pt>
                <c:pt idx="733">
                  <c:v>0.65402681385522476</c:v>
                </c:pt>
                <c:pt idx="734">
                  <c:v>0.65490749296044348</c:v>
                </c:pt>
                <c:pt idx="735">
                  <c:v>0.65802716772214431</c:v>
                </c:pt>
                <c:pt idx="736">
                  <c:v>0.66088806797803001</c:v>
                </c:pt>
                <c:pt idx="737">
                  <c:v>0.66454604394133776</c:v>
                </c:pt>
                <c:pt idx="738">
                  <c:v>0.66821087299964532</c:v>
                </c:pt>
                <c:pt idx="739">
                  <c:v>0.67135269687775523</c:v>
                </c:pt>
                <c:pt idx="740">
                  <c:v>0.67264279538756211</c:v>
                </c:pt>
                <c:pt idx="741">
                  <c:v>0.67340366278821606</c:v>
                </c:pt>
                <c:pt idx="742">
                  <c:v>0.67336878857657334</c:v>
                </c:pt>
                <c:pt idx="743">
                  <c:v>0.67001763082311783</c:v>
                </c:pt>
                <c:pt idx="744">
                  <c:v>0.66415402299413029</c:v>
                </c:pt>
                <c:pt idx="745">
                  <c:v>0.65341827734123958</c:v>
                </c:pt>
                <c:pt idx="746">
                  <c:v>0.63917674737253516</c:v>
                </c:pt>
                <c:pt idx="747">
                  <c:v>0.62252773364685454</c:v>
                </c:pt>
                <c:pt idx="748">
                  <c:v>0.60714464089330533</c:v>
                </c:pt>
                <c:pt idx="749">
                  <c:v>0.59326584424512385</c:v>
                </c:pt>
                <c:pt idx="750">
                  <c:v>0.5833068041056354</c:v>
                </c:pt>
                <c:pt idx="751">
                  <c:v>0.57312853705952904</c:v>
                </c:pt>
                <c:pt idx="752">
                  <c:v>0.56400799253137857</c:v>
                </c:pt>
                <c:pt idx="753">
                  <c:v>0.55491911080665102</c:v>
                </c:pt>
                <c:pt idx="754">
                  <c:v>0.54636719258770294</c:v>
                </c:pt>
                <c:pt idx="755">
                  <c:v>0.53960841990296593</c:v>
                </c:pt>
                <c:pt idx="756">
                  <c:v>0.53739873041576347</c:v>
                </c:pt>
                <c:pt idx="757">
                  <c:v>0.53556763272655838</c:v>
                </c:pt>
                <c:pt idx="758">
                  <c:v>0.53373713426546476</c:v>
                </c:pt>
                <c:pt idx="759">
                  <c:v>0.53115286195743749</c:v>
                </c:pt>
                <c:pt idx="760">
                  <c:v>0.52944981702414529</c:v>
                </c:pt>
                <c:pt idx="761">
                  <c:v>0.53038642105286771</c:v>
                </c:pt>
                <c:pt idx="762">
                  <c:v>0.53409495506010207</c:v>
                </c:pt>
                <c:pt idx="763">
                  <c:v>0.53932696703398308</c:v>
                </c:pt>
                <c:pt idx="764">
                  <c:v>0.54609510401442962</c:v>
                </c:pt>
                <c:pt idx="765">
                  <c:v>0.5518701400165682</c:v>
                </c:pt>
                <c:pt idx="766">
                  <c:v>0.55524231700753501</c:v>
                </c:pt>
                <c:pt idx="767">
                  <c:v>0.55913150281311996</c:v>
                </c:pt>
                <c:pt idx="768">
                  <c:v>0.56328502675942904</c:v>
                </c:pt>
                <c:pt idx="769">
                  <c:v>0.56706384331893878</c:v>
                </c:pt>
                <c:pt idx="770">
                  <c:v>0.56931122321234551</c:v>
                </c:pt>
                <c:pt idx="771">
                  <c:v>0.5709196169635018</c:v>
                </c:pt>
                <c:pt idx="772">
                  <c:v>0.56983272610339042</c:v>
                </c:pt>
                <c:pt idx="773">
                  <c:v>0.5678480338920594</c:v>
                </c:pt>
                <c:pt idx="774">
                  <c:v>0.56573568545854092</c:v>
                </c:pt>
                <c:pt idx="775">
                  <c:v>0.56029545199771302</c:v>
                </c:pt>
                <c:pt idx="776">
                  <c:v>0.55346171549737622</c:v>
                </c:pt>
                <c:pt idx="777">
                  <c:v>0.54410168136830328</c:v>
                </c:pt>
                <c:pt idx="778">
                  <c:v>0.53237230673710789</c:v>
                </c:pt>
                <c:pt idx="779">
                  <c:v>0.51730618974460996</c:v>
                </c:pt>
                <c:pt idx="780">
                  <c:v>0.50358695249508412</c:v>
                </c:pt>
                <c:pt idx="781">
                  <c:v>0.48920775038740683</c:v>
                </c:pt>
                <c:pt idx="782">
                  <c:v>0.47615513118751074</c:v>
                </c:pt>
                <c:pt idx="783">
                  <c:v>0.46648957079328535</c:v>
                </c:pt>
                <c:pt idx="784">
                  <c:v>0.45967542188427557</c:v>
                </c:pt>
                <c:pt idx="785">
                  <c:v>0.45446582244242933</c:v>
                </c:pt>
                <c:pt idx="786">
                  <c:v>0.45036214833279425</c:v>
                </c:pt>
                <c:pt idx="787">
                  <c:v>0.44796563881205481</c:v>
                </c:pt>
                <c:pt idx="788">
                  <c:v>0.44581368877473032</c:v>
                </c:pt>
                <c:pt idx="789">
                  <c:v>0.44601820357445515</c:v>
                </c:pt>
                <c:pt idx="790">
                  <c:v>0.44865198214483776</c:v>
                </c:pt>
                <c:pt idx="791">
                  <c:v>0.45640841838449131</c:v>
                </c:pt>
                <c:pt idx="792">
                  <c:v>0.46579047068072055</c:v>
                </c:pt>
                <c:pt idx="793">
                  <c:v>0.47805467216917003</c:v>
                </c:pt>
                <c:pt idx="794">
                  <c:v>0.4930047705707612</c:v>
                </c:pt>
                <c:pt idx="795">
                  <c:v>0.51032099897325311</c:v>
                </c:pt>
                <c:pt idx="796">
                  <c:v>0.52651628690742358</c:v>
                </c:pt>
                <c:pt idx="797">
                  <c:v>0.54308675079078328</c:v>
                </c:pt>
                <c:pt idx="798">
                  <c:v>0.55696016973174567</c:v>
                </c:pt>
                <c:pt idx="799">
                  <c:v>0.5674399578807271</c:v>
                </c:pt>
                <c:pt idx="800">
                  <c:v>0.57460789644309196</c:v>
                </c:pt>
                <c:pt idx="801">
                  <c:v>0.57998544963762011</c:v>
                </c:pt>
                <c:pt idx="802">
                  <c:v>0.5839492086578757</c:v>
                </c:pt>
                <c:pt idx="803">
                  <c:v>0.5881782003787156</c:v>
                </c:pt>
                <c:pt idx="804">
                  <c:v>0.59228432198518466</c:v>
                </c:pt>
                <c:pt idx="805">
                  <c:v>0.59769928758760071</c:v>
                </c:pt>
                <c:pt idx="806">
                  <c:v>0.60299492158060619</c:v>
                </c:pt>
                <c:pt idx="807">
                  <c:v>0.61813241326815083</c:v>
                </c:pt>
                <c:pt idx="808">
                  <c:v>0.63362388719290197</c:v>
                </c:pt>
                <c:pt idx="809">
                  <c:v>0.65120110947622278</c:v>
                </c:pt>
                <c:pt idx="810">
                  <c:v>0.66902681531281882</c:v>
                </c:pt>
                <c:pt idx="811">
                  <c:v>0.68723719960111385</c:v>
                </c:pt>
                <c:pt idx="812">
                  <c:v>0.69662682934699904</c:v>
                </c:pt>
                <c:pt idx="813">
                  <c:v>0.70713172327964136</c:v>
                </c:pt>
                <c:pt idx="814">
                  <c:v>0.71631227882027126</c:v>
                </c:pt>
                <c:pt idx="815">
                  <c:v>0.72415565702040352</c:v>
                </c:pt>
                <c:pt idx="816">
                  <c:v>0.73393477595117074</c:v>
                </c:pt>
                <c:pt idx="817">
                  <c:v>0.74525593331909623</c:v>
                </c:pt>
                <c:pt idx="818">
                  <c:v>0.75537679515066847</c:v>
                </c:pt>
                <c:pt idx="819">
                  <c:v>0.7626266699703026</c:v>
                </c:pt>
                <c:pt idx="820">
                  <c:v>0.76753932148998916</c:v>
                </c:pt>
                <c:pt idx="821">
                  <c:v>0.76816570725200894</c:v>
                </c:pt>
                <c:pt idx="822">
                  <c:v>0.76574856670738867</c:v>
                </c:pt>
                <c:pt idx="823">
                  <c:v>0.76112362186266869</c:v>
                </c:pt>
                <c:pt idx="824">
                  <c:v>0.75595494002835373</c:v>
                </c:pt>
                <c:pt idx="825">
                  <c:v>0.75038276989830299</c:v>
                </c:pt>
                <c:pt idx="826">
                  <c:v>0.74386014969526892</c:v>
                </c:pt>
                <c:pt idx="827">
                  <c:v>0.73680435333748717</c:v>
                </c:pt>
                <c:pt idx="828">
                  <c:v>0.73195261893233976</c:v>
                </c:pt>
                <c:pt idx="829">
                  <c:v>0.73011361997196078</c:v>
                </c:pt>
                <c:pt idx="830">
                  <c:v>0.73182775495776919</c:v>
                </c:pt>
                <c:pt idx="831">
                  <c:v>0.73874380289346309</c:v>
                </c:pt>
                <c:pt idx="832">
                  <c:v>0.74773533447888085</c:v>
                </c:pt>
                <c:pt idx="833">
                  <c:v>0.75813042405387088</c:v>
                </c:pt>
                <c:pt idx="834">
                  <c:v>0.76897386547203694</c:v>
                </c:pt>
                <c:pt idx="835">
                  <c:v>0.77804977009252108</c:v>
                </c:pt>
                <c:pt idx="836">
                  <c:v>0.78339730894504578</c:v>
                </c:pt>
                <c:pt idx="837">
                  <c:v>0.78583209742452464</c:v>
                </c:pt>
                <c:pt idx="838">
                  <c:v>0.78618225832563238</c:v>
                </c:pt>
                <c:pt idx="839">
                  <c:v>0.78153078189481406</c:v>
                </c:pt>
                <c:pt idx="840">
                  <c:v>0.77563922201639435</c:v>
                </c:pt>
                <c:pt idx="841">
                  <c:v>0.76740942464110518</c:v>
                </c:pt>
                <c:pt idx="842">
                  <c:v>0.75741115728971098</c:v>
                </c:pt>
                <c:pt idx="843">
                  <c:v>0.74415335063154187</c:v>
                </c:pt>
                <c:pt idx="844">
                  <c:v>0.73177391287159421</c:v>
                </c:pt>
                <c:pt idx="845">
                  <c:v>0.71890381631766331</c:v>
                </c:pt>
                <c:pt idx="846">
                  <c:v>0.70785139255887164</c:v>
                </c:pt>
                <c:pt idx="847">
                  <c:v>0.69576344457369432</c:v>
                </c:pt>
                <c:pt idx="848">
                  <c:v>0.68534026601328424</c:v>
                </c:pt>
                <c:pt idx="849">
                  <c:v>0.67589407304679683</c:v>
                </c:pt>
                <c:pt idx="850">
                  <c:v>0.66688133358863344</c:v>
                </c:pt>
                <c:pt idx="851">
                  <c:v>0.65829889743678505</c:v>
                </c:pt>
                <c:pt idx="852">
                  <c:v>0.65292824685536466</c:v>
                </c:pt>
                <c:pt idx="853">
                  <c:v>0.64915887922370086</c:v>
                </c:pt>
                <c:pt idx="854">
                  <c:v>0.64658714755050428</c:v>
                </c:pt>
                <c:pt idx="855">
                  <c:v>0.64797397357337538</c:v>
                </c:pt>
                <c:pt idx="856">
                  <c:v>0.64724189258822473</c:v>
                </c:pt>
                <c:pt idx="857">
                  <c:v>0.64465796929081787</c:v>
                </c:pt>
                <c:pt idx="858">
                  <c:v>0.64075579422751849</c:v>
                </c:pt>
                <c:pt idx="859">
                  <c:v>0.6365964644772234</c:v>
                </c:pt>
                <c:pt idx="860">
                  <c:v>0.63033942938706566</c:v>
                </c:pt>
                <c:pt idx="861">
                  <c:v>0.62541065364324955</c:v>
                </c:pt>
                <c:pt idx="862">
                  <c:v>0.62219549296693477</c:v>
                </c:pt>
                <c:pt idx="863">
                  <c:v>0.6148001305373676</c:v>
                </c:pt>
                <c:pt idx="864">
                  <c:v>0.60573435726722624</c:v>
                </c:pt>
                <c:pt idx="865">
                  <c:v>0.5948883045181258</c:v>
                </c:pt>
                <c:pt idx="866">
                  <c:v>0.58357644399516684</c:v>
                </c:pt>
                <c:pt idx="867">
                  <c:v>0.57206296149363389</c:v>
                </c:pt>
                <c:pt idx="868">
                  <c:v>0.56482602922923819</c:v>
                </c:pt>
                <c:pt idx="869">
                  <c:v>0.55914356475903337</c:v>
                </c:pt>
                <c:pt idx="870">
                  <c:v>0.55500386461626661</c:v>
                </c:pt>
                <c:pt idx="871">
                  <c:v>0.55774725989227114</c:v>
                </c:pt>
                <c:pt idx="872">
                  <c:v>0.56177066232246353</c:v>
                </c:pt>
                <c:pt idx="873">
                  <c:v>0.56618404290594149</c:v>
                </c:pt>
                <c:pt idx="874">
                  <c:v>0.57060548858758187</c:v>
                </c:pt>
                <c:pt idx="875">
                  <c:v>0.57567680753251249</c:v>
                </c:pt>
                <c:pt idx="876">
                  <c:v>0.57458740423852572</c:v>
                </c:pt>
                <c:pt idx="877">
                  <c:v>0.57311371218103457</c:v>
                </c:pt>
                <c:pt idx="878">
                  <c:v>0.57176952703919537</c:v>
                </c:pt>
                <c:pt idx="879">
                  <c:v>0.57440167401411935</c:v>
                </c:pt>
                <c:pt idx="880">
                  <c:v>0.5788358935734903</c:v>
                </c:pt>
                <c:pt idx="881">
                  <c:v>0.58701618086271579</c:v>
                </c:pt>
                <c:pt idx="882">
                  <c:v>0.59910933610157402</c:v>
                </c:pt>
                <c:pt idx="883">
                  <c:v>0.61634660457141222</c:v>
                </c:pt>
                <c:pt idx="884">
                  <c:v>0.63527747513064525</c:v>
                </c:pt>
                <c:pt idx="885">
                  <c:v>0.65487426223585798</c:v>
                </c:pt>
                <c:pt idx="886">
                  <c:v>0.67221198229542678</c:v>
                </c:pt>
                <c:pt idx="887">
                  <c:v>0.68751200165453685</c:v>
                </c:pt>
                <c:pt idx="888">
                  <c:v>0.69777693234535731</c:v>
                </c:pt>
                <c:pt idx="889">
                  <c:v>0.70241319034446148</c:v>
                </c:pt>
                <c:pt idx="890">
                  <c:v>0.70476341488590599</c:v>
                </c:pt>
                <c:pt idx="891">
                  <c:v>0.70873495620460891</c:v>
                </c:pt>
                <c:pt idx="892">
                  <c:v>0.71460417100230544</c:v>
                </c:pt>
                <c:pt idx="893">
                  <c:v>0.72197550064771898</c:v>
                </c:pt>
                <c:pt idx="894">
                  <c:v>0.72936412887180946</c:v>
                </c:pt>
                <c:pt idx="895">
                  <c:v>0.73704237569869957</c:v>
                </c:pt>
                <c:pt idx="896">
                  <c:v>0.74310011088379579</c:v>
                </c:pt>
                <c:pt idx="897">
                  <c:v>0.74643466209553144</c:v>
                </c:pt>
                <c:pt idx="898">
                  <c:v>0.74895189064948575</c:v>
                </c:pt>
                <c:pt idx="899">
                  <c:v>0.7532505361497488</c:v>
                </c:pt>
                <c:pt idx="900">
                  <c:v>0.75728035454662834</c:v>
                </c:pt>
                <c:pt idx="901">
                  <c:v>0.76076552423882571</c:v>
                </c:pt>
                <c:pt idx="902">
                  <c:v>0.76301754959486046</c:v>
                </c:pt>
                <c:pt idx="903">
                  <c:v>0.76348474607721972</c:v>
                </c:pt>
                <c:pt idx="904">
                  <c:v>0.76202968295037454</c:v>
                </c:pt>
                <c:pt idx="905">
                  <c:v>0.75879242719704587</c:v>
                </c:pt>
                <c:pt idx="906">
                  <c:v>0.75405271472550006</c:v>
                </c:pt>
                <c:pt idx="907">
                  <c:v>0.74781823657874258</c:v>
                </c:pt>
                <c:pt idx="908">
                  <c:v>0.74050708400883614</c:v>
                </c:pt>
                <c:pt idx="909">
                  <c:v>0.73239883309961096</c:v>
                </c:pt>
                <c:pt idx="910">
                  <c:v>0.72444949390444013</c:v>
                </c:pt>
                <c:pt idx="911">
                  <c:v>0.71638784423777491</c:v>
                </c:pt>
                <c:pt idx="912">
                  <c:v>0.70902349631882611</c:v>
                </c:pt>
                <c:pt idx="913">
                  <c:v>0.70275436521388568</c:v>
                </c:pt>
                <c:pt idx="914">
                  <c:v>0.69730555224342061</c:v>
                </c:pt>
                <c:pt idx="915">
                  <c:v>0.69159989503512975</c:v>
                </c:pt>
                <c:pt idx="916">
                  <c:v>0.68630771206922447</c:v>
                </c:pt>
                <c:pt idx="917">
                  <c:v>0.68035910294062296</c:v>
                </c:pt>
                <c:pt idx="918">
                  <c:v>0.67469061315159795</c:v>
                </c:pt>
                <c:pt idx="919">
                  <c:v>0.67009736237153494</c:v>
                </c:pt>
                <c:pt idx="920">
                  <c:v>0.66728314702620506</c:v>
                </c:pt>
                <c:pt idx="921">
                  <c:v>0.66553179936368223</c:v>
                </c:pt>
                <c:pt idx="922">
                  <c:v>0.66590403302287204</c:v>
                </c:pt>
                <c:pt idx="923">
                  <c:v>0.66760495419702004</c:v>
                </c:pt>
                <c:pt idx="924">
                  <c:v>0.66944067324588452</c:v>
                </c:pt>
                <c:pt idx="925">
                  <c:v>0.6719446990390906</c:v>
                </c:pt>
                <c:pt idx="926">
                  <c:v>0.67578552749800647</c:v>
                </c:pt>
                <c:pt idx="927">
                  <c:v>0.67709669559410179</c:v>
                </c:pt>
                <c:pt idx="928">
                  <c:v>0.67573892890848219</c:v>
                </c:pt>
                <c:pt idx="929">
                  <c:v>0.67198052305728673</c:v>
                </c:pt>
                <c:pt idx="930">
                  <c:v>0.66609507681213997</c:v>
                </c:pt>
                <c:pt idx="931">
                  <c:v>0.65875897726390531</c:v>
                </c:pt>
                <c:pt idx="932">
                  <c:v>0.6530281150000915</c:v>
                </c:pt>
                <c:pt idx="933">
                  <c:v>0.64743883586445916</c:v>
                </c:pt>
                <c:pt idx="934">
                  <c:v>0.64212227560243529</c:v>
                </c:pt>
                <c:pt idx="935">
                  <c:v>0.64011039573905182</c:v>
                </c:pt>
                <c:pt idx="936">
                  <c:v>0.6380989890122275</c:v>
                </c:pt>
                <c:pt idx="937">
                  <c:v>0.63661521216436201</c:v>
                </c:pt>
                <c:pt idx="938">
                  <c:v>0.63790083329313452</c:v>
                </c:pt>
                <c:pt idx="939">
                  <c:v>0.64182991673525636</c:v>
                </c:pt>
                <c:pt idx="940">
                  <c:v>0.64404628853857993</c:v>
                </c:pt>
                <c:pt idx="941">
                  <c:v>0.64560351036057362</c:v>
                </c:pt>
                <c:pt idx="942">
                  <c:v>0.64636755936622625</c:v>
                </c:pt>
                <c:pt idx="943">
                  <c:v>0.64262772613791652</c:v>
                </c:pt>
                <c:pt idx="944">
                  <c:v>0.63664477180214507</c:v>
                </c:pt>
                <c:pt idx="945">
                  <c:v>0.62856391986216775</c:v>
                </c:pt>
                <c:pt idx="946">
                  <c:v>0.62011003889686034</c:v>
                </c:pt>
                <c:pt idx="947">
                  <c:v>0.61115629098632462</c:v>
                </c:pt>
                <c:pt idx="948">
                  <c:v>0.60431787235434387</c:v>
                </c:pt>
                <c:pt idx="949">
                  <c:v>0.59788544453753667</c:v>
                </c:pt>
                <c:pt idx="950">
                  <c:v>0.59211623646543554</c:v>
                </c:pt>
                <c:pt idx="951">
                  <c:v>0.58687670257173929</c:v>
                </c:pt>
                <c:pt idx="952">
                  <c:v>0.58112736491975625</c:v>
                </c:pt>
                <c:pt idx="953">
                  <c:v>0.57396855125364055</c:v>
                </c:pt>
                <c:pt idx="954">
                  <c:v>0.56566915420754871</c:v>
                </c:pt>
                <c:pt idx="955">
                  <c:v>0.55816469290008885</c:v>
                </c:pt>
                <c:pt idx="956">
                  <c:v>0.55208788680250698</c:v>
                </c:pt>
                <c:pt idx="957">
                  <c:v>0.5488351022752963</c:v>
                </c:pt>
                <c:pt idx="958">
                  <c:v>0.54916274349094885</c:v>
                </c:pt>
                <c:pt idx="959">
                  <c:v>0.55628169466106525</c:v>
                </c:pt>
                <c:pt idx="960">
                  <c:v>0.56368446679411022</c:v>
                </c:pt>
                <c:pt idx="961">
                  <c:v>0.56879073359467114</c:v>
                </c:pt>
                <c:pt idx="962">
                  <c:v>0.56848157611440409</c:v>
                </c:pt>
                <c:pt idx="963">
                  <c:v>0.56185383944371892</c:v>
                </c:pt>
                <c:pt idx="964">
                  <c:v>0.54409469996765614</c:v>
                </c:pt>
                <c:pt idx="965">
                  <c:v>0.52266608375962176</c:v>
                </c:pt>
                <c:pt idx="966">
                  <c:v>0.50131366686846179</c:v>
                </c:pt>
                <c:pt idx="967">
                  <c:v>0.48762752350911209</c:v>
                </c:pt>
                <c:pt idx="968">
                  <c:v>0.48071833803742858</c:v>
                </c:pt>
                <c:pt idx="969">
                  <c:v>0.48163941872175858</c:v>
                </c:pt>
                <c:pt idx="970">
                  <c:v>0.48753969875235542</c:v>
                </c:pt>
                <c:pt idx="971">
                  <c:v>0.49621300173425115</c:v>
                </c:pt>
                <c:pt idx="972">
                  <c:v>0.50379710213760898</c:v>
                </c:pt>
                <c:pt idx="973">
                  <c:v>0.51343361940175103</c:v>
                </c:pt>
                <c:pt idx="974">
                  <c:v>0.52350094133676872</c:v>
                </c:pt>
                <c:pt idx="975">
                  <c:v>0.53809174625225564</c:v>
                </c:pt>
                <c:pt idx="976">
                  <c:v>0.5554933185587444</c:v>
                </c:pt>
                <c:pt idx="977">
                  <c:v>0.57589882006222015</c:v>
                </c:pt>
                <c:pt idx="978">
                  <c:v>0.59662599353112233</c:v>
                </c:pt>
                <c:pt idx="979">
                  <c:v>0.61727788818324103</c:v>
                </c:pt>
                <c:pt idx="980">
                  <c:v>0.63344456535519467</c:v>
                </c:pt>
                <c:pt idx="981">
                  <c:v>0.6466393161234808</c:v>
                </c:pt>
                <c:pt idx="982">
                  <c:v>0.65640879673362473</c:v>
                </c:pt>
                <c:pt idx="983">
                  <c:v>0.66513923029306743</c:v>
                </c:pt>
                <c:pt idx="984">
                  <c:v>0.67607096096348129</c:v>
                </c:pt>
                <c:pt idx="985">
                  <c:v>0.6907296496023726</c:v>
                </c:pt>
                <c:pt idx="986">
                  <c:v>0.70679618215886597</c:v>
                </c:pt>
                <c:pt idx="987">
                  <c:v>0.72170644359672675</c:v>
                </c:pt>
                <c:pt idx="988">
                  <c:v>0.73350536024151947</c:v>
                </c:pt>
                <c:pt idx="989">
                  <c:v>0.7378628209514293</c:v>
                </c:pt>
                <c:pt idx="990">
                  <c:v>0.73350732270431829</c:v>
                </c:pt>
                <c:pt idx="991">
                  <c:v>0.71910747800082153</c:v>
                </c:pt>
                <c:pt idx="992">
                  <c:v>0.7034167849128018</c:v>
                </c:pt>
                <c:pt idx="993">
                  <c:v>0.68686686480472992</c:v>
                </c:pt>
                <c:pt idx="994">
                  <c:v>0.67285327505964831</c:v>
                </c:pt>
                <c:pt idx="995">
                  <c:v>0.66295291105815535</c:v>
                </c:pt>
                <c:pt idx="996">
                  <c:v>0.66195966951432039</c:v>
                </c:pt>
                <c:pt idx="997">
                  <c:v>0.66285049490714965</c:v>
                </c:pt>
                <c:pt idx="998">
                  <c:v>0.66549157955254234</c:v>
                </c:pt>
                <c:pt idx="999">
                  <c:v>0.67826177495407225</c:v>
                </c:pt>
                <c:pt idx="1000">
                  <c:v>0.69203696874262388</c:v>
                </c:pt>
                <c:pt idx="1001">
                  <c:v>0.70805965905498114</c:v>
                </c:pt>
                <c:pt idx="1002">
                  <c:v>0.72718915144034457</c:v>
                </c:pt>
                <c:pt idx="1003">
                  <c:v>0.74906481849089512</c:v>
                </c:pt>
                <c:pt idx="1004">
                  <c:v>0.76259363712513295</c:v>
                </c:pt>
                <c:pt idx="1005">
                  <c:v>0.77366306102444182</c:v>
                </c:pt>
                <c:pt idx="1006">
                  <c:v>0.77931133033703626</c:v>
                </c:pt>
                <c:pt idx="1007">
                  <c:v>0.78035096384126612</c:v>
                </c:pt>
                <c:pt idx="1008">
                  <c:v>0.77817725589048181</c:v>
                </c:pt>
                <c:pt idx="1009">
                  <c:v>0.77433183422362795</c:v>
                </c:pt>
                <c:pt idx="1010">
                  <c:v>0.77188553859768816</c:v>
                </c:pt>
                <c:pt idx="1011">
                  <c:v>0.77306296174806532</c:v>
                </c:pt>
                <c:pt idx="1012">
                  <c:v>0.77493757058377399</c:v>
                </c:pt>
                <c:pt idx="1013">
                  <c:v>0.77444260481267235</c:v>
                </c:pt>
                <c:pt idx="1014">
                  <c:v>0.77004990691430752</c:v>
                </c:pt>
                <c:pt idx="1015">
                  <c:v>0.76080784703191673</c:v>
                </c:pt>
                <c:pt idx="1016">
                  <c:v>0.74980057600400285</c:v>
                </c:pt>
                <c:pt idx="1017">
                  <c:v>0.7375988402170377</c:v>
                </c:pt>
                <c:pt idx="1018">
                  <c:v>0.72668478691337435</c:v>
                </c:pt>
                <c:pt idx="1019">
                  <c:v>0.71922988011499867</c:v>
                </c:pt>
                <c:pt idx="1020">
                  <c:v>0.71725384719778185</c:v>
                </c:pt>
                <c:pt idx="1021">
                  <c:v>0.71773663462487536</c:v>
                </c:pt>
                <c:pt idx="1022">
                  <c:v>0.72190815232024541</c:v>
                </c:pt>
                <c:pt idx="1023">
                  <c:v>0.73183761574546746</c:v>
                </c:pt>
                <c:pt idx="1024">
                  <c:v>0.74193409903927621</c:v>
                </c:pt>
                <c:pt idx="1025">
                  <c:v>0.7505424727581439</c:v>
                </c:pt>
                <c:pt idx="1026">
                  <c:v>0.75834179328966322</c:v>
                </c:pt>
                <c:pt idx="1027">
                  <c:v>0.76546446516183353</c:v>
                </c:pt>
                <c:pt idx="1028">
                  <c:v>0.76816148928525141</c:v>
                </c:pt>
                <c:pt idx="1029">
                  <c:v>0.76975015026874538</c:v>
                </c:pt>
                <c:pt idx="1030">
                  <c:v>0.77009066289124495</c:v>
                </c:pt>
                <c:pt idx="1031">
                  <c:v>0.769599604115761</c:v>
                </c:pt>
                <c:pt idx="1032">
                  <c:v>0.76869315711246855</c:v>
                </c:pt>
                <c:pt idx="1033">
                  <c:v>0.77069651012229168</c:v>
                </c:pt>
                <c:pt idx="1034">
                  <c:v>0.77700145017169875</c:v>
                </c:pt>
                <c:pt idx="1035">
                  <c:v>0.78693466271916834</c:v>
                </c:pt>
                <c:pt idx="1036">
                  <c:v>0.79703397260490072</c:v>
                </c:pt>
                <c:pt idx="1037">
                  <c:v>0.80534066329207921</c:v>
                </c:pt>
                <c:pt idx="1038">
                  <c:v>0.81015901032497051</c:v>
                </c:pt>
                <c:pt idx="1039">
                  <c:v>0.81203676540738035</c:v>
                </c:pt>
                <c:pt idx="1040">
                  <c:v>0.81433566012420966</c:v>
                </c:pt>
                <c:pt idx="1041">
                  <c:v>0.81944306230626074</c:v>
                </c:pt>
                <c:pt idx="1042">
                  <c:v>0.82948242005398087</c:v>
                </c:pt>
                <c:pt idx="1043">
                  <c:v>0.84364580183633342</c:v>
                </c:pt>
                <c:pt idx="1044">
                  <c:v>0.86013349435160436</c:v>
                </c:pt>
                <c:pt idx="1045">
                  <c:v>0.87412514307252176</c:v>
                </c:pt>
                <c:pt idx="1046">
                  <c:v>0.88401821592738195</c:v>
                </c:pt>
                <c:pt idx="1047">
                  <c:v>0.89278807666853899</c:v>
                </c:pt>
                <c:pt idx="1048">
                  <c:v>0.89870479969201922</c:v>
                </c:pt>
                <c:pt idx="1049">
                  <c:v>0.901469558793074</c:v>
                </c:pt>
                <c:pt idx="1050">
                  <c:v>0.90050304325241715</c:v>
                </c:pt>
                <c:pt idx="1051">
                  <c:v>0.89323278291666341</c:v>
                </c:pt>
                <c:pt idx="1052">
                  <c:v>0.87880215154720964</c:v>
                </c:pt>
                <c:pt idx="1053">
                  <c:v>0.86371978654523374</c:v>
                </c:pt>
                <c:pt idx="1054">
                  <c:v>0.85138900963769559</c:v>
                </c:pt>
                <c:pt idx="1055">
                  <c:v>0.84502790611867651</c:v>
                </c:pt>
                <c:pt idx="1056">
                  <c:v>0.84403958370034615</c:v>
                </c:pt>
                <c:pt idx="1057">
                  <c:v>0.84545203181174566</c:v>
                </c:pt>
                <c:pt idx="1058">
                  <c:v>0.84587584239851044</c:v>
                </c:pt>
                <c:pt idx="1059">
                  <c:v>0.84403995078083471</c:v>
                </c:pt>
                <c:pt idx="1060">
                  <c:v>0.83670618028917809</c:v>
                </c:pt>
                <c:pt idx="1061">
                  <c:v>0.82587523899113979</c:v>
                </c:pt>
                <c:pt idx="1062">
                  <c:v>0.81298003707984123</c:v>
                </c:pt>
                <c:pt idx="1063">
                  <c:v>0.79150673803786653</c:v>
                </c:pt>
                <c:pt idx="1064">
                  <c:v>0.76672611543498526</c:v>
                </c:pt>
                <c:pt idx="1065">
                  <c:v>0.73954212167253031</c:v>
                </c:pt>
                <c:pt idx="1066">
                  <c:v>0.71138239216841037</c:v>
                </c:pt>
                <c:pt idx="1067">
                  <c:v>0.68309114217867939</c:v>
                </c:pt>
                <c:pt idx="1068">
                  <c:v>0.66252452112946114</c:v>
                </c:pt>
                <c:pt idx="1069">
                  <c:v>0.64568029320611364</c:v>
                </c:pt>
                <c:pt idx="1070">
                  <c:v>0.63433484133101337</c:v>
                </c:pt>
                <c:pt idx="1071">
                  <c:v>0.63078296959097968</c:v>
                </c:pt>
                <c:pt idx="1072">
                  <c:v>0.63183485350915425</c:v>
                </c:pt>
                <c:pt idx="1073">
                  <c:v>0.6347298334367254</c:v>
                </c:pt>
                <c:pt idx="1074">
                  <c:v>0.63604702314419737</c:v>
                </c:pt>
                <c:pt idx="1075">
                  <c:v>0.6344669550310198</c:v>
                </c:pt>
                <c:pt idx="1076">
                  <c:v>0.62763058128912741</c:v>
                </c:pt>
                <c:pt idx="1077">
                  <c:v>0.6195030377618046</c:v>
                </c:pt>
                <c:pt idx="1078">
                  <c:v>0.61114073816991676</c:v>
                </c:pt>
                <c:pt idx="1079">
                  <c:v>0.61009741263335449</c:v>
                </c:pt>
                <c:pt idx="1080">
                  <c:v>0.61401188018279806</c:v>
                </c:pt>
                <c:pt idx="1081">
                  <c:v>0.62369427111434395</c:v>
                </c:pt>
                <c:pt idx="1082">
                  <c:v>0.63604668066322756</c:v>
                </c:pt>
                <c:pt idx="1083">
                  <c:v>0.64938503172984907</c:v>
                </c:pt>
                <c:pt idx="1084">
                  <c:v>0.65866885640377637</c:v>
                </c:pt>
                <c:pt idx="1085">
                  <c:v>0.66785177571876775</c:v>
                </c:pt>
                <c:pt idx="1086">
                  <c:v>0.67532711210070206</c:v>
                </c:pt>
                <c:pt idx="1087">
                  <c:v>0.6809471443888262</c:v>
                </c:pt>
                <c:pt idx="1088">
                  <c:v>0.68563897858284295</c:v>
                </c:pt>
                <c:pt idx="1089">
                  <c:v>0.68765217996307471</c:v>
                </c:pt>
                <c:pt idx="1090">
                  <c:v>0.6844315435427254</c:v>
                </c:pt>
                <c:pt idx="1091">
                  <c:v>0.67559439082890838</c:v>
                </c:pt>
                <c:pt idx="1092">
                  <c:v>0.66159345765560684</c:v>
                </c:pt>
                <c:pt idx="1093">
                  <c:v>0.64541630990033039</c:v>
                </c:pt>
                <c:pt idx="1094">
                  <c:v>0.62986339356813059</c:v>
                </c:pt>
                <c:pt idx="1095">
                  <c:v>0.61479598518004441</c:v>
                </c:pt>
                <c:pt idx="1096">
                  <c:v>0.60267660820666713</c:v>
                </c:pt>
                <c:pt idx="1097">
                  <c:v>0.59333463682535836</c:v>
                </c:pt>
                <c:pt idx="1098">
                  <c:v>0.58531918854961751</c:v>
                </c:pt>
                <c:pt idx="1099">
                  <c:v>0.57771654179359599</c:v>
                </c:pt>
                <c:pt idx="1100">
                  <c:v>0.57270440826071212</c:v>
                </c:pt>
                <c:pt idx="1101">
                  <c:v>0.56949727168863651</c:v>
                </c:pt>
                <c:pt idx="1102">
                  <c:v>0.567575111456323</c:v>
                </c:pt>
                <c:pt idx="1103">
                  <c:v>0.56693474560658941</c:v>
                </c:pt>
                <c:pt idx="1104">
                  <c:v>0.56706293778747574</c:v>
                </c:pt>
                <c:pt idx="1105">
                  <c:v>0.56872841634457549</c:v>
                </c:pt>
                <c:pt idx="1106">
                  <c:v>0.5716779111347432</c:v>
                </c:pt>
                <c:pt idx="1107">
                  <c:v>0.57655912563321576</c:v>
                </c:pt>
                <c:pt idx="1108">
                  <c:v>0.58106390249049211</c:v>
                </c:pt>
                <c:pt idx="1109">
                  <c:v>0.58364191449383362</c:v>
                </c:pt>
                <c:pt idx="1110">
                  <c:v>0.58325496731045723</c:v>
                </c:pt>
                <c:pt idx="1111">
                  <c:v>0.57668751357137427</c:v>
                </c:pt>
                <c:pt idx="1112">
                  <c:v>0.56860013195089065</c:v>
                </c:pt>
                <c:pt idx="1113">
                  <c:v>0.55964686491334215</c:v>
                </c:pt>
                <c:pt idx="1114">
                  <c:v>0.5509828229972199</c:v>
                </c:pt>
                <c:pt idx="1115">
                  <c:v>0.54247886206092766</c:v>
                </c:pt>
                <c:pt idx="1116">
                  <c:v>0.53678535621873691</c:v>
                </c:pt>
                <c:pt idx="1117">
                  <c:v>0.52933390049858819</c:v>
                </c:pt>
                <c:pt idx="1118">
                  <c:v>0.52140938237124734</c:v>
                </c:pt>
                <c:pt idx="1119">
                  <c:v>0.51239320577961989</c:v>
                </c:pt>
                <c:pt idx="1120">
                  <c:v>0.50254947979035514</c:v>
                </c:pt>
                <c:pt idx="1121">
                  <c:v>0.49325125665610087</c:v>
                </c:pt>
                <c:pt idx="1122">
                  <c:v>0.48559931748705432</c:v>
                </c:pt>
                <c:pt idx="1123">
                  <c:v>0.47957514408740565</c:v>
                </c:pt>
                <c:pt idx="1124">
                  <c:v>0.47663271235398236</c:v>
                </c:pt>
                <c:pt idx="1125">
                  <c:v>0.47785957284669556</c:v>
                </c:pt>
                <c:pt idx="1126">
                  <c:v>0.4819095891467936</c:v>
                </c:pt>
                <c:pt idx="1127">
                  <c:v>0.49237542584500837</c:v>
                </c:pt>
                <c:pt idx="1128">
                  <c:v>0.50326400765210044</c:v>
                </c:pt>
                <c:pt idx="1129">
                  <c:v>0.51483044756344087</c:v>
                </c:pt>
                <c:pt idx="1130">
                  <c:v>0.52520272357011655</c:v>
                </c:pt>
                <c:pt idx="1131">
                  <c:v>0.5342363227341127</c:v>
                </c:pt>
                <c:pt idx="1132">
                  <c:v>0.53750038801460431</c:v>
                </c:pt>
                <c:pt idx="1133">
                  <c:v>0.53988514233441309</c:v>
                </c:pt>
                <c:pt idx="1134">
                  <c:v>0.54050487107022316</c:v>
                </c:pt>
                <c:pt idx="1135">
                  <c:v>0.53721721897338648</c:v>
                </c:pt>
                <c:pt idx="1136">
                  <c:v>0.53343346122552271</c:v>
                </c:pt>
                <c:pt idx="1137">
                  <c:v>0.52827796735797627</c:v>
                </c:pt>
                <c:pt idx="1138">
                  <c:v>0.52226181082422807</c:v>
                </c:pt>
                <c:pt idx="1139">
                  <c:v>0.51614017446946392</c:v>
                </c:pt>
                <c:pt idx="1140">
                  <c:v>0.51289767830207278</c:v>
                </c:pt>
                <c:pt idx="1141">
                  <c:v>0.50953716205034782</c:v>
                </c:pt>
                <c:pt idx="1142">
                  <c:v>0.5066793187871752</c:v>
                </c:pt>
                <c:pt idx="1143">
                  <c:v>0.50667473178394384</c:v>
                </c:pt>
                <c:pt idx="1144">
                  <c:v>0.5072901099109719</c:v>
                </c:pt>
                <c:pt idx="1145">
                  <c:v>0.50964145830754881</c:v>
                </c:pt>
                <c:pt idx="1146">
                  <c:v>0.51398250849817628</c:v>
                </c:pt>
                <c:pt idx="1147">
                  <c:v>0.51932744903119266</c:v>
                </c:pt>
                <c:pt idx="1148">
                  <c:v>0.52243717433518666</c:v>
                </c:pt>
                <c:pt idx="1149">
                  <c:v>0.52267930676702323</c:v>
                </c:pt>
                <c:pt idx="1150">
                  <c:v>0.51955613295787895</c:v>
                </c:pt>
                <c:pt idx="1151">
                  <c:v>0.51171971048541431</c:v>
                </c:pt>
                <c:pt idx="1152">
                  <c:v>0.50255681167603539</c:v>
                </c:pt>
                <c:pt idx="1153">
                  <c:v>0.49282378659135351</c:v>
                </c:pt>
                <c:pt idx="1154">
                  <c:v>0.48619968164778787</c:v>
                </c:pt>
                <c:pt idx="1155">
                  <c:v>0.48277502909874342</c:v>
                </c:pt>
                <c:pt idx="1156">
                  <c:v>0.48497547090306498</c:v>
                </c:pt>
                <c:pt idx="1157">
                  <c:v>0.49036339007647334</c:v>
                </c:pt>
                <c:pt idx="1158">
                  <c:v>0.4982237031517307</c:v>
                </c:pt>
                <c:pt idx="1159">
                  <c:v>0.51031569508282448</c:v>
                </c:pt>
                <c:pt idx="1160">
                  <c:v>0.52371871765573774</c:v>
                </c:pt>
                <c:pt idx="1161">
                  <c:v>0.5385800018553506</c:v>
                </c:pt>
                <c:pt idx="1162">
                  <c:v>0.55479907574440901</c:v>
                </c:pt>
                <c:pt idx="1163">
                  <c:v>0.5721464154477377</c:v>
                </c:pt>
                <c:pt idx="1164">
                  <c:v>0.58628830957240152</c:v>
                </c:pt>
                <c:pt idx="1165">
                  <c:v>0.59896518732288428</c:v>
                </c:pt>
                <c:pt idx="1166">
                  <c:v>0.60821685240476109</c:v>
                </c:pt>
                <c:pt idx="1167">
                  <c:v>0.6193130951679543</c:v>
                </c:pt>
                <c:pt idx="1168">
                  <c:v>0.62928326931517109</c:v>
                </c:pt>
                <c:pt idx="1169">
                  <c:v>0.63981099111073425</c:v>
                </c:pt>
                <c:pt idx="1170">
                  <c:v>0.65050822214876702</c:v>
                </c:pt>
                <c:pt idx="1171">
                  <c:v>0.66150780146013299</c:v>
                </c:pt>
                <c:pt idx="1172">
                  <c:v>0.6672688734766975</c:v>
                </c:pt>
                <c:pt idx="1173">
                  <c:v>0.67356833526388704</c:v>
                </c:pt>
                <c:pt idx="1174">
                  <c:v>0.67882072117088521</c:v>
                </c:pt>
                <c:pt idx="1175">
                  <c:v>0.6787826539642865</c:v>
                </c:pt>
                <c:pt idx="1176">
                  <c:v>0.67781868017630986</c:v>
                </c:pt>
                <c:pt idx="1177">
                  <c:v>0.6757976682111354</c:v>
                </c:pt>
                <c:pt idx="1178">
                  <c:v>0.67127181630759691</c:v>
                </c:pt>
                <c:pt idx="1179">
                  <c:v>0.66557030089808178</c:v>
                </c:pt>
                <c:pt idx="1180">
                  <c:v>0.66461388600368576</c:v>
                </c:pt>
                <c:pt idx="1181">
                  <c:v>0.66326377231453171</c:v>
                </c:pt>
                <c:pt idx="1182">
                  <c:v>0.66296624061940002</c:v>
                </c:pt>
                <c:pt idx="1183">
                  <c:v>0.66799399273042048</c:v>
                </c:pt>
                <c:pt idx="1184">
                  <c:v>0.6739583026799113</c:v>
                </c:pt>
                <c:pt idx="1185">
                  <c:v>0.68126370488068932</c:v>
                </c:pt>
                <c:pt idx="1186">
                  <c:v>0.69071902549196573</c:v>
                </c:pt>
                <c:pt idx="1187">
                  <c:v>0.69914518092125844</c:v>
                </c:pt>
                <c:pt idx="1188">
                  <c:v>0.69998668497852268</c:v>
                </c:pt>
                <c:pt idx="1189">
                  <c:v>0.69762640521172214</c:v>
                </c:pt>
                <c:pt idx="1190">
                  <c:v>0.69233535008956404</c:v>
                </c:pt>
                <c:pt idx="1191">
                  <c:v>0.67881975215137547</c:v>
                </c:pt>
                <c:pt idx="1192">
                  <c:v>0.66562476340061638</c:v>
                </c:pt>
                <c:pt idx="1193">
                  <c:v>0.65577104151139154</c:v>
                </c:pt>
                <c:pt idx="1194">
                  <c:v>0.64791432821215544</c:v>
                </c:pt>
                <c:pt idx="1195">
                  <c:v>0.6404683242464555</c:v>
                </c:pt>
                <c:pt idx="1196">
                  <c:v>0.63839572472450012</c:v>
                </c:pt>
                <c:pt idx="1197">
                  <c:v>0.63488596100418471</c:v>
                </c:pt>
                <c:pt idx="1198">
                  <c:v>0.6302039636339748</c:v>
                </c:pt>
                <c:pt idx="1199">
                  <c:v>0.6237040229136136</c:v>
                </c:pt>
                <c:pt idx="1200">
                  <c:v>0.61539835371676932</c:v>
                </c:pt>
                <c:pt idx="1201">
                  <c:v>0.60607946758146169</c:v>
                </c:pt>
                <c:pt idx="1202">
                  <c:v>0.59782096767455173</c:v>
                </c:pt>
                <c:pt idx="1203">
                  <c:v>0.59087123754455761</c:v>
                </c:pt>
                <c:pt idx="1204">
                  <c:v>0.58445004356172525</c:v>
                </c:pt>
                <c:pt idx="1205">
                  <c:v>0.57714586096613885</c:v>
                </c:pt>
                <c:pt idx="1206">
                  <c:v>0.56871086556696016</c:v>
                </c:pt>
                <c:pt idx="1207">
                  <c:v>0.55902977086418892</c:v>
                </c:pt>
                <c:pt idx="1208">
                  <c:v>0.55026930672693863</c:v>
                </c:pt>
                <c:pt idx="1209">
                  <c:v>0.54444096004106557</c:v>
                </c:pt>
                <c:pt idx="1210">
                  <c:v>0.5422825423759684</c:v>
                </c:pt>
                <c:pt idx="1211">
                  <c:v>0.54126085847593153</c:v>
                </c:pt>
                <c:pt idx="1212">
                  <c:v>0.54011263811176979</c:v>
                </c:pt>
                <c:pt idx="1213">
                  <c:v>0.53644189116204444</c:v>
                </c:pt>
                <c:pt idx="1214">
                  <c:v>0.53101342638663318</c:v>
                </c:pt>
                <c:pt idx="1215">
                  <c:v>0.52584587520887383</c:v>
                </c:pt>
                <c:pt idx="1216">
                  <c:v>0.52168932193725015</c:v>
                </c:pt>
                <c:pt idx="1217">
                  <c:v>0.51891490655863792</c:v>
                </c:pt>
                <c:pt idx="1218">
                  <c:v>0.51776888806522547</c:v>
                </c:pt>
                <c:pt idx="1219">
                  <c:v>0.51862607771739733</c:v>
                </c:pt>
                <c:pt idx="1220">
                  <c:v>0.51960937868665935</c:v>
                </c:pt>
                <c:pt idx="1221">
                  <c:v>0.52285370331372805</c:v>
                </c:pt>
                <c:pt idx="1222">
                  <c:v>0.52711210783569706</c:v>
                </c:pt>
                <c:pt idx="1223">
                  <c:v>0.53554980225064075</c:v>
                </c:pt>
                <c:pt idx="1224">
                  <c:v>0.54529583645090396</c:v>
                </c:pt>
                <c:pt idx="1225">
                  <c:v>0.5596909171194171</c:v>
                </c:pt>
                <c:pt idx="1226">
                  <c:v>0.57805220952726211</c:v>
                </c:pt>
                <c:pt idx="1227">
                  <c:v>0.60125427671162734</c:v>
                </c:pt>
                <c:pt idx="1228">
                  <c:v>0.62285332193027942</c:v>
                </c:pt>
                <c:pt idx="1229">
                  <c:v>0.64226722235826827</c:v>
                </c:pt>
                <c:pt idx="1230">
                  <c:v>0.65610619473249343</c:v>
                </c:pt>
                <c:pt idx="1231">
                  <c:v>0.66200292699107044</c:v>
                </c:pt>
                <c:pt idx="1232">
                  <c:v>0.66336893258932694</c:v>
                </c:pt>
                <c:pt idx="1233">
                  <c:v>0.66233009361347994</c:v>
                </c:pt>
                <c:pt idx="1234">
                  <c:v>0.6602221282151447</c:v>
                </c:pt>
                <c:pt idx="1235">
                  <c:v>0.65704646143205558</c:v>
                </c:pt>
                <c:pt idx="1236">
                  <c:v>0.65507267957865756</c:v>
                </c:pt>
                <c:pt idx="1237">
                  <c:v>0.65136596084093723</c:v>
                </c:pt>
                <c:pt idx="1238">
                  <c:v>0.64659742055964131</c:v>
                </c:pt>
                <c:pt idx="1239">
                  <c:v>0.64409406951655934</c:v>
                </c:pt>
                <c:pt idx="1240">
                  <c:v>0.64345266871431606</c:v>
                </c:pt>
                <c:pt idx="1241">
                  <c:v>0.6454730171179125</c:v>
                </c:pt>
                <c:pt idx="1242">
                  <c:v>0.64989718527796869</c:v>
                </c:pt>
                <c:pt idx="1243">
                  <c:v>0.65620358230717946</c:v>
                </c:pt>
                <c:pt idx="1244">
                  <c:v>0.66360297543743341</c:v>
                </c:pt>
                <c:pt idx="1245">
                  <c:v>0.67304759075835086</c:v>
                </c:pt>
                <c:pt idx="1246">
                  <c:v>0.68334286417311452</c:v>
                </c:pt>
                <c:pt idx="1247">
                  <c:v>0.6998009653065056</c:v>
                </c:pt>
                <c:pt idx="1248">
                  <c:v>0.71773577316609505</c:v>
                </c:pt>
                <c:pt idx="1249">
                  <c:v>0.73617510888244142</c:v>
                </c:pt>
                <c:pt idx="1250">
                  <c:v>0.75319915725242004</c:v>
                </c:pt>
                <c:pt idx="1251">
                  <c:v>0.76613692290222568</c:v>
                </c:pt>
                <c:pt idx="1252">
                  <c:v>0.76643727415343521</c:v>
                </c:pt>
                <c:pt idx="1253">
                  <c:v>0.75839990123229362</c:v>
                </c:pt>
                <c:pt idx="1254">
                  <c:v>0.7426445793099955</c:v>
                </c:pt>
                <c:pt idx="1255">
                  <c:v>0.72436689220434647</c:v>
                </c:pt>
                <c:pt idx="1256">
                  <c:v>0.70770543407564535</c:v>
                </c:pt>
                <c:pt idx="1257">
                  <c:v>0.69534975016704603</c:v>
                </c:pt>
                <c:pt idx="1258">
                  <c:v>0.68819234365776827</c:v>
                </c:pt>
                <c:pt idx="1259">
                  <c:v>0.68619236726146682</c:v>
                </c:pt>
                <c:pt idx="1260">
                  <c:v>0.68446462722272017</c:v>
                </c:pt>
                <c:pt idx="1261">
                  <c:v>0.6808471888900921</c:v>
                </c:pt>
                <c:pt idx="1262">
                  <c:v>0.6760222204443509</c:v>
                </c:pt>
                <c:pt idx="1263">
                  <c:v>0.66918938391483396</c:v>
                </c:pt>
                <c:pt idx="1264">
                  <c:v>0.66224097698872331</c:v>
                </c:pt>
                <c:pt idx="1265">
                  <c:v>0.65731861659310609</c:v>
                </c:pt>
                <c:pt idx="1266">
                  <c:v>0.65374215003706748</c:v>
                </c:pt>
                <c:pt idx="1267">
                  <c:v>0.6512388854902138</c:v>
                </c:pt>
                <c:pt idx="1268">
                  <c:v>0.65073919071332287</c:v>
                </c:pt>
                <c:pt idx="1269">
                  <c:v>0.64970635931965059</c:v>
                </c:pt>
                <c:pt idx="1270">
                  <c:v>0.64840732521670752</c:v>
                </c:pt>
                <c:pt idx="1271">
                  <c:v>0.65084179725620916</c:v>
                </c:pt>
                <c:pt idx="1272">
                  <c:v>0.65421248417176492</c:v>
                </c:pt>
                <c:pt idx="1273">
                  <c:v>0.65825520344336375</c:v>
                </c:pt>
                <c:pt idx="1274">
                  <c:v>0.66417870232771203</c:v>
                </c:pt>
                <c:pt idx="1275">
                  <c:v>0.6723974768047235</c:v>
                </c:pt>
                <c:pt idx="1276">
                  <c:v>0.68010013515320489</c:v>
                </c:pt>
                <c:pt idx="1277">
                  <c:v>0.6883628236271454</c:v>
                </c:pt>
                <c:pt idx="1278">
                  <c:v>0.69664799622126106</c:v>
                </c:pt>
                <c:pt idx="1279">
                  <c:v>0.70169558814578703</c:v>
                </c:pt>
                <c:pt idx="1280">
                  <c:v>0.7026748277651631</c:v>
                </c:pt>
                <c:pt idx="1281">
                  <c:v>0.6997183364308871</c:v>
                </c:pt>
                <c:pt idx="1282">
                  <c:v>0.69365159901226436</c:v>
                </c:pt>
                <c:pt idx="1283">
                  <c:v>0.68395647658702574</c:v>
                </c:pt>
                <c:pt idx="1284">
                  <c:v>0.6724167276853793</c:v>
                </c:pt>
                <c:pt idx="1285">
                  <c:v>0.65985872157055092</c:v>
                </c:pt>
                <c:pt idx="1286">
                  <c:v>0.64789374371302533</c:v>
                </c:pt>
                <c:pt idx="1287">
                  <c:v>0.63373552850137116</c:v>
                </c:pt>
                <c:pt idx="1288">
                  <c:v>0.62149999138301926</c:v>
                </c:pt>
                <c:pt idx="1289">
                  <c:v>0.61102935611852871</c:v>
                </c:pt>
                <c:pt idx="1290">
                  <c:v>0.60164919783772264</c:v>
                </c:pt>
                <c:pt idx="1291">
                  <c:v>0.59230690162203081</c:v>
                </c:pt>
                <c:pt idx="1292">
                  <c:v>0.58663247324626333</c:v>
                </c:pt>
                <c:pt idx="1293">
                  <c:v>0.58136071813122014</c:v>
                </c:pt>
                <c:pt idx="1294">
                  <c:v>0.57648930492541994</c:v>
                </c:pt>
                <c:pt idx="1295">
                  <c:v>0.57472378321181794</c:v>
                </c:pt>
                <c:pt idx="1296">
                  <c:v>0.57450770888060065</c:v>
                </c:pt>
                <c:pt idx="1297">
                  <c:v>0.57622704861378948</c:v>
                </c:pt>
                <c:pt idx="1298">
                  <c:v>0.57975632776179786</c:v>
                </c:pt>
                <c:pt idx="1299">
                  <c:v>0.58367813445681938</c:v>
                </c:pt>
                <c:pt idx="1300">
                  <c:v>0.58294247137914867</c:v>
                </c:pt>
                <c:pt idx="1301">
                  <c:v>0.57871722675481052</c:v>
                </c:pt>
                <c:pt idx="1302">
                  <c:v>0.57089381554641305</c:v>
                </c:pt>
                <c:pt idx="1303">
                  <c:v>0.55963770167256588</c:v>
                </c:pt>
                <c:pt idx="1304">
                  <c:v>0.5470384127088006</c:v>
                </c:pt>
                <c:pt idx="1305">
                  <c:v>0.5353990755473671</c:v>
                </c:pt>
                <c:pt idx="1306">
                  <c:v>0.52571438657367175</c:v>
                </c:pt>
                <c:pt idx="1307">
                  <c:v>0.51858674330899901</c:v>
                </c:pt>
                <c:pt idx="1308">
                  <c:v>0.51348929824321365</c:v>
                </c:pt>
                <c:pt idx="1309">
                  <c:v>0.5104061880493872</c:v>
                </c:pt>
                <c:pt idx="1310">
                  <c:v>0.50820324442602594</c:v>
                </c:pt>
                <c:pt idx="1311">
                  <c:v>0.50775134610657569</c:v>
                </c:pt>
                <c:pt idx="1312">
                  <c:v>0.50817434103363501</c:v>
                </c:pt>
                <c:pt idx="1313">
                  <c:v>0.51122286648089232</c:v>
                </c:pt>
                <c:pt idx="1314">
                  <c:v>0.51658120489739168</c:v>
                </c:pt>
                <c:pt idx="1315">
                  <c:v>0.52585105827341516</c:v>
                </c:pt>
                <c:pt idx="1316">
                  <c:v>0.53794067208771734</c:v>
                </c:pt>
                <c:pt idx="1317">
                  <c:v>0.55238351339004521</c:v>
                </c:pt>
                <c:pt idx="1318">
                  <c:v>0.56678501734226394</c:v>
                </c:pt>
                <c:pt idx="1319">
                  <c:v>0.58720945008509073</c:v>
                </c:pt>
                <c:pt idx="1320">
                  <c:v>0.60740892164272275</c:v>
                </c:pt>
                <c:pt idx="1321">
                  <c:v>0.62566494488669644</c:v>
                </c:pt>
                <c:pt idx="1322">
                  <c:v>0.64113895160799328</c:v>
                </c:pt>
                <c:pt idx="1323">
                  <c:v>0.65550350123356549</c:v>
                </c:pt>
                <c:pt idx="1324">
                  <c:v>0.6618159514265527</c:v>
                </c:pt>
                <c:pt idx="1325">
                  <c:v>0.66574337195303623</c:v>
                </c:pt>
                <c:pt idx="1326">
                  <c:v>0.66740919148181044</c:v>
                </c:pt>
                <c:pt idx="1327">
                  <c:v>0.66827626375174143</c:v>
                </c:pt>
                <c:pt idx="1328">
                  <c:v>0.66927623272288661</c:v>
                </c:pt>
                <c:pt idx="1329">
                  <c:v>0.6700097657802434</c:v>
                </c:pt>
                <c:pt idx="1330">
                  <c:v>0.67047682728597746</c:v>
                </c:pt>
                <c:pt idx="1331">
                  <c:v>0.67427609721156012</c:v>
                </c:pt>
                <c:pt idx="1332">
                  <c:v>0.68168609030389449</c:v>
                </c:pt>
                <c:pt idx="1333">
                  <c:v>0.68924672378917029</c:v>
                </c:pt>
                <c:pt idx="1334">
                  <c:v>0.69601823991531619</c:v>
                </c:pt>
                <c:pt idx="1335">
                  <c:v>0.70266818252200702</c:v>
                </c:pt>
                <c:pt idx="1336">
                  <c:v>0.70528716127197977</c:v>
                </c:pt>
                <c:pt idx="1337">
                  <c:v>0.70413558179768154</c:v>
                </c:pt>
                <c:pt idx="1338">
                  <c:v>0.70392706377278158</c:v>
                </c:pt>
                <c:pt idx="1339">
                  <c:v>0.70748822299928715</c:v>
                </c:pt>
                <c:pt idx="1340">
                  <c:v>0.71469498683489885</c:v>
                </c:pt>
                <c:pt idx="1341">
                  <c:v>0.72516543451142701</c:v>
                </c:pt>
                <c:pt idx="1342">
                  <c:v>0.73675625551589641</c:v>
                </c:pt>
                <c:pt idx="1343">
                  <c:v>0.74797738457136609</c:v>
                </c:pt>
                <c:pt idx="1344">
                  <c:v>0.75472013764217483</c:v>
                </c:pt>
                <c:pt idx="1345">
                  <c:v>0.75818901135949557</c:v>
                </c:pt>
                <c:pt idx="1346">
                  <c:v>0.7601544355670945</c:v>
                </c:pt>
                <c:pt idx="1347">
                  <c:v>0.76294174617081878</c:v>
                </c:pt>
                <c:pt idx="1348">
                  <c:v>0.76573032774200755</c:v>
                </c:pt>
                <c:pt idx="1349">
                  <c:v>0.77099034854335413</c:v>
                </c:pt>
                <c:pt idx="1350">
                  <c:v>0.77749445279559781</c:v>
                </c:pt>
                <c:pt idx="1351">
                  <c:v>0.78552459850664613</c:v>
                </c:pt>
                <c:pt idx="1352">
                  <c:v>0.78901571477806298</c:v>
                </c:pt>
                <c:pt idx="1353">
                  <c:v>0.78671512164483204</c:v>
                </c:pt>
                <c:pt idx="1354">
                  <c:v>0.77877637059437421</c:v>
                </c:pt>
                <c:pt idx="1355">
                  <c:v>0.76579304483931732</c:v>
                </c:pt>
                <c:pt idx="1356">
                  <c:v>0.74824030296438049</c:v>
                </c:pt>
                <c:pt idx="1357">
                  <c:v>0.73336640344404402</c:v>
                </c:pt>
                <c:pt idx="1358">
                  <c:v>0.72369364754865428</c:v>
                </c:pt>
                <c:pt idx="1359">
                  <c:v>0.7127130344620074</c:v>
                </c:pt>
                <c:pt idx="1360">
                  <c:v>0.70418818530391403</c:v>
                </c:pt>
                <c:pt idx="1361">
                  <c:v>0.69809625661057628</c:v>
                </c:pt>
                <c:pt idx="1362">
                  <c:v>0.69255310586478969</c:v>
                </c:pt>
                <c:pt idx="1363">
                  <c:v>0.68662417397719278</c:v>
                </c:pt>
                <c:pt idx="1364">
                  <c:v>0.68482735919647497</c:v>
                </c:pt>
                <c:pt idx="1365">
                  <c:v>0.68130693239090134</c:v>
                </c:pt>
                <c:pt idx="1366">
                  <c:v>0.67593804952754644</c:v>
                </c:pt>
                <c:pt idx="1367">
                  <c:v>0.6709784357183316</c:v>
                </c:pt>
                <c:pt idx="1368">
                  <c:v>0.66655772392257184</c:v>
                </c:pt>
                <c:pt idx="1369">
                  <c:v>0.66385785796931029</c:v>
                </c:pt>
                <c:pt idx="1370">
                  <c:v>0.66195157127835746</c:v>
                </c:pt>
                <c:pt idx="1371">
                  <c:v>0.66202052986480742</c:v>
                </c:pt>
                <c:pt idx="1372">
                  <c:v>0.6626159644589491</c:v>
                </c:pt>
                <c:pt idx="1373">
                  <c:v>0.66334266263026376</c:v>
                </c:pt>
                <c:pt idx="1374">
                  <c:v>0.66262193526042801</c:v>
                </c:pt>
                <c:pt idx="1375">
                  <c:v>0.66598026886695438</c:v>
                </c:pt>
                <c:pt idx="1376">
                  <c:v>0.67145128002298915</c:v>
                </c:pt>
                <c:pt idx="1377">
                  <c:v>0.67825209697086852</c:v>
                </c:pt>
                <c:pt idx="1378">
                  <c:v>0.68493439412429569</c:v>
                </c:pt>
                <c:pt idx="1379">
                  <c:v>0.69149720701916173</c:v>
                </c:pt>
                <c:pt idx="1380">
                  <c:v>0.69457704194672687</c:v>
                </c:pt>
                <c:pt idx="1381">
                  <c:v>0.69406954654846365</c:v>
                </c:pt>
                <c:pt idx="1382">
                  <c:v>0.68997360277117314</c:v>
                </c:pt>
                <c:pt idx="1383">
                  <c:v>0.67806427649995138</c:v>
                </c:pt>
                <c:pt idx="1384">
                  <c:v>0.66685745447991829</c:v>
                </c:pt>
                <c:pt idx="1385">
                  <c:v>0.65568994357074928</c:v>
                </c:pt>
                <c:pt idx="1386">
                  <c:v>0.64364628484303188</c:v>
                </c:pt>
                <c:pt idx="1387">
                  <c:v>0.63138980917499254</c:v>
                </c:pt>
                <c:pt idx="1388">
                  <c:v>0.62554179791950759</c:v>
                </c:pt>
                <c:pt idx="1389">
                  <c:v>0.62203801835318129</c:v>
                </c:pt>
                <c:pt idx="1390">
                  <c:v>0.62177976477552765</c:v>
                </c:pt>
                <c:pt idx="1391">
                  <c:v>0.62854224179054774</c:v>
                </c:pt>
                <c:pt idx="1392">
                  <c:v>0.63663295654751628</c:v>
                </c:pt>
                <c:pt idx="1393">
                  <c:v>0.64501625635248294</c:v>
                </c:pt>
                <c:pt idx="1394">
                  <c:v>0.64988218417484334</c:v>
                </c:pt>
                <c:pt idx="1395">
                  <c:v>0.64989285802941987</c:v>
                </c:pt>
                <c:pt idx="1396">
                  <c:v>0.64019258517160715</c:v>
                </c:pt>
                <c:pt idx="1397">
                  <c:v>0.6266087584852853</c:v>
                </c:pt>
                <c:pt idx="1398">
                  <c:v>0.61088468274139596</c:v>
                </c:pt>
                <c:pt idx="1399">
                  <c:v>0.58971780850275102</c:v>
                </c:pt>
                <c:pt idx="1400">
                  <c:v>0.57152697564674326</c:v>
                </c:pt>
                <c:pt idx="1401">
                  <c:v>0.55802750276624635</c:v>
                </c:pt>
                <c:pt idx="1402">
                  <c:v>0.55104111529016186</c:v>
                </c:pt>
                <c:pt idx="1403">
                  <c:v>0.55102075699943376</c:v>
                </c:pt>
                <c:pt idx="1404">
                  <c:v>0.56445729692433999</c:v>
                </c:pt>
                <c:pt idx="1405">
                  <c:v>0.5843952851920895</c:v>
                </c:pt>
                <c:pt idx="1406">
                  <c:v>0.608145217581057</c:v>
                </c:pt>
                <c:pt idx="1407">
                  <c:v>0.64461886946079394</c:v>
                </c:pt>
                <c:pt idx="1408">
                  <c:v>0.68002756438849798</c:v>
                </c:pt>
                <c:pt idx="1409">
                  <c:v>0.71267467708771171</c:v>
                </c:pt>
                <c:pt idx="1410">
                  <c:v>0.74312018845412109</c:v>
                </c:pt>
                <c:pt idx="1411">
                  <c:v>0.7721022166518382</c:v>
                </c:pt>
                <c:pt idx="1412">
                  <c:v>0.78596823026504103</c:v>
                </c:pt>
                <c:pt idx="1413">
                  <c:v>0.79615045405050955</c:v>
                </c:pt>
                <c:pt idx="1414">
                  <c:v>0.80316653572531804</c:v>
                </c:pt>
                <c:pt idx="1415">
                  <c:v>0.80824805729497906</c:v>
                </c:pt>
                <c:pt idx="1416">
                  <c:v>0.81026693038201747</c:v>
                </c:pt>
                <c:pt idx="1417">
                  <c:v>0.81061106583769049</c:v>
                </c:pt>
                <c:pt idx="1418">
                  <c:v>0.81235353870858373</c:v>
                </c:pt>
                <c:pt idx="1419">
                  <c:v>0.81577786464997271</c:v>
                </c:pt>
                <c:pt idx="1420">
                  <c:v>0.81892761611002618</c:v>
                </c:pt>
                <c:pt idx="1421">
                  <c:v>0.82306511828929352</c:v>
                </c:pt>
                <c:pt idx="1422">
                  <c:v>0.82763280258901417</c:v>
                </c:pt>
                <c:pt idx="1423">
                  <c:v>0.83108227929733558</c:v>
                </c:pt>
                <c:pt idx="1424">
                  <c:v>0.83101355043667624</c:v>
                </c:pt>
                <c:pt idx="1425">
                  <c:v>0.82812741986500571</c:v>
                </c:pt>
                <c:pt idx="1426">
                  <c:v>0.82538282030199395</c:v>
                </c:pt>
                <c:pt idx="1427">
                  <c:v>0.82362313947465382</c:v>
                </c:pt>
                <c:pt idx="1428">
                  <c:v>0.82087907235080415</c:v>
                </c:pt>
                <c:pt idx="1429">
                  <c:v>0.81658942550487035</c:v>
                </c:pt>
                <c:pt idx="1430">
                  <c:v>0.8117409114024724</c:v>
                </c:pt>
                <c:pt idx="1431">
                  <c:v>0.79989411323776793</c:v>
                </c:pt>
                <c:pt idx="1432">
                  <c:v>0.78641002475817756</c:v>
                </c:pt>
                <c:pt idx="1433">
                  <c:v>0.77158598497450526</c:v>
                </c:pt>
                <c:pt idx="1434">
                  <c:v>0.7570981894898059</c:v>
                </c:pt>
                <c:pt idx="1435">
                  <c:v>0.74239378614214668</c:v>
                </c:pt>
                <c:pt idx="1436">
                  <c:v>0.73309535536603654</c:v>
                </c:pt>
                <c:pt idx="1437">
                  <c:v>0.72409363155361006</c:v>
                </c:pt>
                <c:pt idx="1438">
                  <c:v>0.7164775272677596</c:v>
                </c:pt>
                <c:pt idx="1439">
                  <c:v>0.71391885715093173</c:v>
                </c:pt>
                <c:pt idx="1440">
                  <c:v>0.71490740960560639</c:v>
                </c:pt>
                <c:pt idx="1441">
                  <c:v>0.71931371569503755</c:v>
                </c:pt>
                <c:pt idx="1442">
                  <c:v>0.72688159408283415</c:v>
                </c:pt>
                <c:pt idx="1443">
                  <c:v>0.73695070638822313</c:v>
                </c:pt>
                <c:pt idx="1444">
                  <c:v>0.74761274246328535</c:v>
                </c:pt>
                <c:pt idx="1445">
                  <c:v>0.76081679990491446</c:v>
                </c:pt>
                <c:pt idx="1446">
                  <c:v>0.7751854568816291</c:v>
                </c:pt>
                <c:pt idx="1447">
                  <c:v>0.78723693792679961</c:v>
                </c:pt>
                <c:pt idx="1448">
                  <c:v>0.79554098440248155</c:v>
                </c:pt>
                <c:pt idx="1449">
                  <c:v>0.79936741522669752</c:v>
                </c:pt>
                <c:pt idx="1450">
                  <c:v>0.80094867355387456</c:v>
                </c:pt>
                <c:pt idx="1451">
                  <c:v>0.80070326094294975</c:v>
                </c:pt>
                <c:pt idx="1452">
                  <c:v>0.79947498371020687</c:v>
                </c:pt>
                <c:pt idx="1453">
                  <c:v>0.79474039694741871</c:v>
                </c:pt>
                <c:pt idx="1454">
                  <c:v>0.78637629880304427</c:v>
                </c:pt>
                <c:pt idx="1455">
                  <c:v>0.76926333138079972</c:v>
                </c:pt>
                <c:pt idx="1456">
                  <c:v>0.75017315087483749</c:v>
                </c:pt>
                <c:pt idx="1457">
                  <c:v>0.73051829427332315</c:v>
                </c:pt>
                <c:pt idx="1458">
                  <c:v>0.71413421083457895</c:v>
                </c:pt>
                <c:pt idx="1459">
                  <c:v>0.70042488437306472</c:v>
                </c:pt>
                <c:pt idx="1460">
                  <c:v>0.69124787585736591</c:v>
                </c:pt>
                <c:pt idx="1461">
                  <c:v>0.68345205243625684</c:v>
                </c:pt>
                <c:pt idx="1462">
                  <c:v>0.67877751067059988</c:v>
                </c:pt>
                <c:pt idx="1463">
                  <c:v>0.68017147343962203</c:v>
                </c:pt>
                <c:pt idx="1464">
                  <c:v>0.68399451164132696</c:v>
                </c:pt>
                <c:pt idx="1465">
                  <c:v>0.68985004367182068</c:v>
                </c:pt>
                <c:pt idx="1466">
                  <c:v>0.69544532974185258</c:v>
                </c:pt>
                <c:pt idx="1467">
                  <c:v>0.69928620289855947</c:v>
                </c:pt>
                <c:pt idx="1468">
                  <c:v>0.69946617175050974</c:v>
                </c:pt>
                <c:pt idx="1469">
                  <c:v>0.69896788167777246</c:v>
                </c:pt>
                <c:pt idx="1470">
                  <c:v>0.6988766623783691</c:v>
                </c:pt>
                <c:pt idx="1471">
                  <c:v>0.69661696806288331</c:v>
                </c:pt>
                <c:pt idx="1472">
                  <c:v>0.69219425890216368</c:v>
                </c:pt>
                <c:pt idx="1473">
                  <c:v>0.68480969382510903</c:v>
                </c:pt>
                <c:pt idx="1474">
                  <c:v>0.67650422842568103</c:v>
                </c:pt>
                <c:pt idx="1475">
                  <c:v>0.66849339109618588</c:v>
                </c:pt>
                <c:pt idx="1476">
                  <c:v>0.66331626980465941</c:v>
                </c:pt>
                <c:pt idx="1477">
                  <c:v>0.66055491999183624</c:v>
                </c:pt>
                <c:pt idx="1478">
                  <c:v>0.65926608560514066</c:v>
                </c:pt>
                <c:pt idx="1479">
                  <c:v>0.65504268907530627</c:v>
                </c:pt>
                <c:pt idx="1480">
                  <c:v>0.64909653214924889</c:v>
                </c:pt>
                <c:pt idx="1481">
                  <c:v>0.64130736377935271</c:v>
                </c:pt>
                <c:pt idx="1482">
                  <c:v>0.63460099997490216</c:v>
                </c:pt>
                <c:pt idx="1483">
                  <c:v>0.63134558242194827</c:v>
                </c:pt>
                <c:pt idx="1484">
                  <c:v>0.63232034705452467</c:v>
                </c:pt>
                <c:pt idx="1485">
                  <c:v>0.63223798686604471</c:v>
                </c:pt>
                <c:pt idx="1486">
                  <c:v>0.63070270876908663</c:v>
                </c:pt>
                <c:pt idx="1487">
                  <c:v>0.63022448716311619</c:v>
                </c:pt>
                <c:pt idx="1488">
                  <c:v>0.62684502843477508</c:v>
                </c:pt>
                <c:pt idx="1489">
                  <c:v>0.62281266116730161</c:v>
                </c:pt>
                <c:pt idx="1490">
                  <c:v>0.61983870894630422</c:v>
                </c:pt>
                <c:pt idx="1491">
                  <c:v>0.61594994558181071</c:v>
                </c:pt>
                <c:pt idx="1492">
                  <c:v>0.60683347941151944</c:v>
                </c:pt>
                <c:pt idx="1493">
                  <c:v>0.59514923489642291</c:v>
                </c:pt>
                <c:pt idx="1494">
                  <c:v>0.58132349823611096</c:v>
                </c:pt>
                <c:pt idx="1495">
                  <c:v>0.57092550824460131</c:v>
                </c:pt>
                <c:pt idx="1496">
                  <c:v>0.56557956049822256</c:v>
                </c:pt>
                <c:pt idx="1497">
                  <c:v>0.56358064029770483</c:v>
                </c:pt>
                <c:pt idx="1498">
                  <c:v>0.56337927379331276</c:v>
                </c:pt>
                <c:pt idx="1499">
                  <c:v>0.56433243200442662</c:v>
                </c:pt>
                <c:pt idx="1500">
                  <c:v>0.562720001465015</c:v>
                </c:pt>
                <c:pt idx="1501">
                  <c:v>0.55841970833899202</c:v>
                </c:pt>
                <c:pt idx="1502">
                  <c:v>0.55297939268100871</c:v>
                </c:pt>
                <c:pt idx="1503">
                  <c:v>0.54984632249350573</c:v>
                </c:pt>
                <c:pt idx="1504">
                  <c:v>0.54913777778628148</c:v>
                </c:pt>
                <c:pt idx="1505">
                  <c:v>0.55085075144860463</c:v>
                </c:pt>
                <c:pt idx="1506">
                  <c:v>0.55575625378226667</c:v>
                </c:pt>
                <c:pt idx="1507">
                  <c:v>0.56464349612121167</c:v>
                </c:pt>
                <c:pt idx="1508">
                  <c:v>0.57665490494818461</c:v>
                </c:pt>
                <c:pt idx="1509">
                  <c:v>0.5937828595537924</c:v>
                </c:pt>
                <c:pt idx="1510">
                  <c:v>0.61403753423266272</c:v>
                </c:pt>
                <c:pt idx="1511">
                  <c:v>0.64208498633378408</c:v>
                </c:pt>
                <c:pt idx="1512">
                  <c:v>0.66721410014550619</c:v>
                </c:pt>
                <c:pt idx="1513">
                  <c:v>0.687315144906256</c:v>
                </c:pt>
                <c:pt idx="1514">
                  <c:v>0.69849625479886757</c:v>
                </c:pt>
                <c:pt idx="1515">
                  <c:v>0.7003874881390022</c:v>
                </c:pt>
                <c:pt idx="1516">
                  <c:v>0.68719741197379969</c:v>
                </c:pt>
                <c:pt idx="1517">
                  <c:v>0.67047106404883916</c:v>
                </c:pt>
                <c:pt idx="1518">
                  <c:v>0.65213319264300651</c:v>
                </c:pt>
                <c:pt idx="1519">
                  <c:v>0.63788081622810544</c:v>
                </c:pt>
                <c:pt idx="1520">
                  <c:v>0.62476210519853836</c:v>
                </c:pt>
                <c:pt idx="1521">
                  <c:v>0.61341300764536633</c:v>
                </c:pt>
                <c:pt idx="1522">
                  <c:v>0.60614878254292759</c:v>
                </c:pt>
                <c:pt idx="1523">
                  <c:v>0.60357940828475942</c:v>
                </c:pt>
                <c:pt idx="1524">
                  <c:v>0.60114400216035435</c:v>
                </c:pt>
                <c:pt idx="1525">
                  <c:v>0.60000770362241429</c:v>
                </c:pt>
                <c:pt idx="1526">
                  <c:v>0.60016758871909559</c:v>
                </c:pt>
                <c:pt idx="1527">
                  <c:v>0.59838563053330152</c:v>
                </c:pt>
                <c:pt idx="1528">
                  <c:v>0.59376349100362646</c:v>
                </c:pt>
                <c:pt idx="1529">
                  <c:v>0.58876628833689204</c:v>
                </c:pt>
                <c:pt idx="1530">
                  <c:v>0.58635390134747467</c:v>
                </c:pt>
                <c:pt idx="1531">
                  <c:v>0.58574495360646195</c:v>
                </c:pt>
                <c:pt idx="1532">
                  <c:v>0.58655033289341962</c:v>
                </c:pt>
                <c:pt idx="1533">
                  <c:v>0.5887705827930646</c:v>
                </c:pt>
                <c:pt idx="1534">
                  <c:v>0.59137797348428767</c:v>
                </c:pt>
                <c:pt idx="1535">
                  <c:v>0.59837279805417842</c:v>
                </c:pt>
                <c:pt idx="1536">
                  <c:v>0.60499537808306869</c:v>
                </c:pt>
                <c:pt idx="1537">
                  <c:v>0.61318909895961027</c:v>
                </c:pt>
                <c:pt idx="1538">
                  <c:v>0.62348912068407047</c:v>
                </c:pt>
                <c:pt idx="1539">
                  <c:v>0.6348716997988969</c:v>
                </c:pt>
                <c:pt idx="1540">
                  <c:v>0.64144127688685348</c:v>
                </c:pt>
                <c:pt idx="1541">
                  <c:v>0.64697238186160355</c:v>
                </c:pt>
                <c:pt idx="1542">
                  <c:v>0.65027559472573049</c:v>
                </c:pt>
                <c:pt idx="1543">
                  <c:v>0.65371247974889723</c:v>
                </c:pt>
                <c:pt idx="1544">
                  <c:v>0.65543941093728841</c:v>
                </c:pt>
                <c:pt idx="1545">
                  <c:v>0.65650794257757639</c:v>
                </c:pt>
                <c:pt idx="1546">
                  <c:v>0.65863025968281586</c:v>
                </c:pt>
                <c:pt idx="1547">
                  <c:v>0.66154427953222572</c:v>
                </c:pt>
                <c:pt idx="1548">
                  <c:v>0.66063516984390425</c:v>
                </c:pt>
                <c:pt idx="1549">
                  <c:v>0.65801526470488325</c:v>
                </c:pt>
                <c:pt idx="1550">
                  <c:v>0.65474225185008983</c:v>
                </c:pt>
                <c:pt idx="1551">
                  <c:v>0.64963846922511759</c:v>
                </c:pt>
                <c:pt idx="1552">
                  <c:v>0.64480904671950456</c:v>
                </c:pt>
                <c:pt idx="1553">
                  <c:v>0.6410364633501402</c:v>
                </c:pt>
                <c:pt idx="1554">
                  <c:v>0.63779300696072028</c:v>
                </c:pt>
                <c:pt idx="1555">
                  <c:v>0.6355975608356027</c:v>
                </c:pt>
                <c:pt idx="1556">
                  <c:v>0.63522795846664915</c:v>
                </c:pt>
                <c:pt idx="1557">
                  <c:v>0.63550957166806654</c:v>
                </c:pt>
                <c:pt idx="1558">
                  <c:v>0.6360510434108877</c:v>
                </c:pt>
                <c:pt idx="1559">
                  <c:v>0.63815527630415703</c:v>
                </c:pt>
                <c:pt idx="1560">
                  <c:v>0.64130294631547458</c:v>
                </c:pt>
                <c:pt idx="1561">
                  <c:v>0.64667202219215147</c:v>
                </c:pt>
                <c:pt idx="1562">
                  <c:v>0.65453632373615001</c:v>
                </c:pt>
                <c:pt idx="1563">
                  <c:v>0.66425855610039186</c:v>
                </c:pt>
                <c:pt idx="1564">
                  <c:v>0.67387831362625106</c:v>
                </c:pt>
                <c:pt idx="1565">
                  <c:v>0.68088269872527063</c:v>
                </c:pt>
                <c:pt idx="1566">
                  <c:v>0.68379876959175423</c:v>
                </c:pt>
                <c:pt idx="1567">
                  <c:v>0.67865569039629314</c:v>
                </c:pt>
                <c:pt idx="1568">
                  <c:v>0.66695004736129837</c:v>
                </c:pt>
                <c:pt idx="1569">
                  <c:v>0.64838058441654778</c:v>
                </c:pt>
                <c:pt idx="1570">
                  <c:v>0.62568253435361942</c:v>
                </c:pt>
                <c:pt idx="1571">
                  <c:v>0.6019172616250259</c:v>
                </c:pt>
                <c:pt idx="1572">
                  <c:v>0.57991417841760218</c:v>
                </c:pt>
                <c:pt idx="1573">
                  <c:v>0.55975870665479954</c:v>
                </c:pt>
                <c:pt idx="1574">
                  <c:v>0.54352949331840439</c:v>
                </c:pt>
                <c:pt idx="1575">
                  <c:v>0.53250728456999086</c:v>
                </c:pt>
                <c:pt idx="1576">
                  <c:v>0.52191715757684698</c:v>
                </c:pt>
                <c:pt idx="1577">
                  <c:v>0.51289524820431054</c:v>
                </c:pt>
                <c:pt idx="1578">
                  <c:v>0.50464124284549694</c:v>
                </c:pt>
                <c:pt idx="1579">
                  <c:v>0.4954388618664155</c:v>
                </c:pt>
                <c:pt idx="1580">
                  <c:v>0.48154216643681796</c:v>
                </c:pt>
                <c:pt idx="1581">
                  <c:v>0.46629129796370267</c:v>
                </c:pt>
                <c:pt idx="1582">
                  <c:v>0.45174887023831101</c:v>
                </c:pt>
                <c:pt idx="1583">
                  <c:v>0.43885153478405525</c:v>
                </c:pt>
                <c:pt idx="1584">
                  <c:v>0.43181602227916571</c:v>
                </c:pt>
                <c:pt idx="1585">
                  <c:v>0.43530736556255278</c:v>
                </c:pt>
                <c:pt idx="1586">
                  <c:v>0.44880124988279746</c:v>
                </c:pt>
                <c:pt idx="1587">
                  <c:v>0.46938913181432329</c:v>
                </c:pt>
                <c:pt idx="1588">
                  <c:v>0.49620008601554988</c:v>
                </c:pt>
                <c:pt idx="1589">
                  <c:v>0.52400809181009966</c:v>
                </c:pt>
                <c:pt idx="1590">
                  <c:v>0.54843407903034869</c:v>
                </c:pt>
                <c:pt idx="1591">
                  <c:v>0.56794945498455207</c:v>
                </c:pt>
                <c:pt idx="1592">
                  <c:v>0.58177685475956131</c:v>
                </c:pt>
                <c:pt idx="1593">
                  <c:v>0.58993394501006102</c:v>
                </c:pt>
                <c:pt idx="1594">
                  <c:v>0.59389311332917027</c:v>
                </c:pt>
                <c:pt idx="1595">
                  <c:v>0.59452649018548087</c:v>
                </c:pt>
                <c:pt idx="1596">
                  <c:v>0.59362176665827082</c:v>
                </c:pt>
                <c:pt idx="1597">
                  <c:v>0.59297308934584492</c:v>
                </c:pt>
                <c:pt idx="1598">
                  <c:v>0.59232453417568742</c:v>
                </c:pt>
                <c:pt idx="1599">
                  <c:v>0.59539604805314994</c:v>
                </c:pt>
                <c:pt idx="1600">
                  <c:v>0.60143229521571551</c:v>
                </c:pt>
                <c:pt idx="1601">
                  <c:v>0.61175143873736337</c:v>
                </c:pt>
                <c:pt idx="1602">
                  <c:v>0.62523952473980338</c:v>
                </c:pt>
                <c:pt idx="1603">
                  <c:v>0.64155588924599638</c:v>
                </c:pt>
                <c:pt idx="1604">
                  <c:v>0.65600894418238997</c:v>
                </c:pt>
                <c:pt idx="1605">
                  <c:v>0.66869659006210869</c:v>
                </c:pt>
                <c:pt idx="1606">
                  <c:v>0.67746478120368647</c:v>
                </c:pt>
                <c:pt idx="1607">
                  <c:v>0.67854746041423952</c:v>
                </c:pt>
                <c:pt idx="1608">
                  <c:v>0.67484731416082855</c:v>
                </c:pt>
                <c:pt idx="1609">
                  <c:v>0.6690288784750309</c:v>
                </c:pt>
                <c:pt idx="1610">
                  <c:v>0.66255784588636368</c:v>
                </c:pt>
                <c:pt idx="1611">
                  <c:v>0.65649386361187878</c:v>
                </c:pt>
                <c:pt idx="1612">
                  <c:v>0.65597860045624801</c:v>
                </c:pt>
                <c:pt idx="1613">
                  <c:v>0.65731231998337036</c:v>
                </c:pt>
                <c:pt idx="1614">
                  <c:v>0.65917639060255595</c:v>
                </c:pt>
                <c:pt idx="1615">
                  <c:v>0.66249971972686683</c:v>
                </c:pt>
                <c:pt idx="1616">
                  <c:v>0.66755448953061869</c:v>
                </c:pt>
                <c:pt idx="1617">
                  <c:v>0.67448522549347456</c:v>
                </c:pt>
                <c:pt idx="1618">
                  <c:v>0.68330744006681177</c:v>
                </c:pt>
                <c:pt idx="1619">
                  <c:v>0.69310218846945137</c:v>
                </c:pt>
                <c:pt idx="1620">
                  <c:v>0.70091856488062954</c:v>
                </c:pt>
                <c:pt idx="1621">
                  <c:v>0.70512086263900531</c:v>
                </c:pt>
                <c:pt idx="1622">
                  <c:v>0.70501520898806513</c:v>
                </c:pt>
                <c:pt idx="1623">
                  <c:v>0.70275327502655549</c:v>
                </c:pt>
                <c:pt idx="1624">
                  <c:v>0.69820304764494878</c:v>
                </c:pt>
                <c:pt idx="1625">
                  <c:v>0.69285122050345627</c:v>
                </c:pt>
                <c:pt idx="1626">
                  <c:v>0.6883108315747184</c:v>
                </c:pt>
                <c:pt idx="1627">
                  <c:v>0.68578559866694511</c:v>
                </c:pt>
                <c:pt idx="1628">
                  <c:v>0.68527202935414711</c:v>
                </c:pt>
                <c:pt idx="1629">
                  <c:v>0.68771098551410914</c:v>
                </c:pt>
                <c:pt idx="1630">
                  <c:v>0.69243988015843849</c:v>
                </c:pt>
                <c:pt idx="1631">
                  <c:v>0.70338830785821715</c:v>
                </c:pt>
                <c:pt idx="1632">
                  <c:v>0.7156068575808664</c:v>
                </c:pt>
                <c:pt idx="1633">
                  <c:v>0.72802118143878125</c:v>
                </c:pt>
                <c:pt idx="1634">
                  <c:v>0.73912614956761125</c:v>
                </c:pt>
                <c:pt idx="1635">
                  <c:v>0.74890534909514783</c:v>
                </c:pt>
                <c:pt idx="1636">
                  <c:v>0.75555315672273782</c:v>
                </c:pt>
                <c:pt idx="1637">
                  <c:v>0.76512035382873034</c:v>
                </c:pt>
                <c:pt idx="1638">
                  <c:v>0.77735892474037438</c:v>
                </c:pt>
                <c:pt idx="1639">
                  <c:v>0.79537175109699876</c:v>
                </c:pt>
                <c:pt idx="1640">
                  <c:v>0.81433927110754722</c:v>
                </c:pt>
                <c:pt idx="1641">
                  <c:v>0.83032073933762507</c:v>
                </c:pt>
                <c:pt idx="1642">
                  <c:v>0.83958498018060357</c:v>
                </c:pt>
                <c:pt idx="1643">
                  <c:v>0.84127505701875971</c:v>
                </c:pt>
                <c:pt idx="1644">
                  <c:v>0.83460990718554362</c:v>
                </c:pt>
                <c:pt idx="1645">
                  <c:v>0.82499050507820193</c:v>
                </c:pt>
                <c:pt idx="1646">
                  <c:v>0.81497161713978195</c:v>
                </c:pt>
                <c:pt idx="1647">
                  <c:v>0.80497794863432859</c:v>
                </c:pt>
                <c:pt idx="1648">
                  <c:v>0.79977075662295982</c:v>
                </c:pt>
                <c:pt idx="1649">
                  <c:v>0.79820986604094291</c:v>
                </c:pt>
                <c:pt idx="1650">
                  <c:v>0.79917112199759754</c:v>
                </c:pt>
                <c:pt idx="1651">
                  <c:v>0.79887133802922894</c:v>
                </c:pt>
                <c:pt idx="1652">
                  <c:v>0.79787046648339399</c:v>
                </c:pt>
                <c:pt idx="1653">
                  <c:v>0.7944870552801262</c:v>
                </c:pt>
                <c:pt idx="1654">
                  <c:v>0.78956656158387206</c:v>
                </c:pt>
                <c:pt idx="1655">
                  <c:v>0.79360548147795662</c:v>
                </c:pt>
                <c:pt idx="1656">
                  <c:v>0.80200417253396372</c:v>
                </c:pt>
                <c:pt idx="1657">
                  <c:v>0.8146581864855168</c:v>
                </c:pt>
                <c:pt idx="1658">
                  <c:v>0.82609209416487517</c:v>
                </c:pt>
                <c:pt idx="1659">
                  <c:v>0.83671832184081874</c:v>
                </c:pt>
                <c:pt idx="1660">
                  <c:v>0.8355713848601185</c:v>
                </c:pt>
                <c:pt idx="1661">
                  <c:v>0.82775439665113426</c:v>
                </c:pt>
                <c:pt idx="1662">
                  <c:v>0.81415613927743402</c:v>
                </c:pt>
                <c:pt idx="1663">
                  <c:v>0.79540530642459861</c:v>
                </c:pt>
                <c:pt idx="1664">
                  <c:v>0.77675268818039478</c:v>
                </c:pt>
                <c:pt idx="1665">
                  <c:v>0.75972838483449312</c:v>
                </c:pt>
                <c:pt idx="1666">
                  <c:v>0.7468000872506636</c:v>
                </c:pt>
                <c:pt idx="1667">
                  <c:v>0.73833483375697206</c:v>
                </c:pt>
                <c:pt idx="1668">
                  <c:v>0.73830108947305073</c:v>
                </c:pt>
                <c:pt idx="1669">
                  <c:v>0.74089295980573655</c:v>
                </c:pt>
                <c:pt idx="1670">
                  <c:v>0.74542632019034094</c:v>
                </c:pt>
                <c:pt idx="1671">
                  <c:v>0.75677380405230343</c:v>
                </c:pt>
                <c:pt idx="1672">
                  <c:v>0.76956488487787467</c:v>
                </c:pt>
                <c:pt idx="1673">
                  <c:v>0.78157361162848937</c:v>
                </c:pt>
                <c:pt idx="1674">
                  <c:v>0.79138218254706671</c:v>
                </c:pt>
                <c:pt idx="1675">
                  <c:v>0.80108466037685855</c:v>
                </c:pt>
                <c:pt idx="1676">
                  <c:v>0.80714184238646014</c:v>
                </c:pt>
                <c:pt idx="1677">
                  <c:v>0.81321286113855173</c:v>
                </c:pt>
                <c:pt idx="1678">
                  <c:v>0.81858809888184714</c:v>
                </c:pt>
                <c:pt idx="1679">
                  <c:v>0.82468598619118294</c:v>
                </c:pt>
                <c:pt idx="1680">
                  <c:v>0.82994258532802112</c:v>
                </c:pt>
                <c:pt idx="1681">
                  <c:v>0.83221268770515266</c:v>
                </c:pt>
                <c:pt idx="1682">
                  <c:v>0.83234465322861373</c:v>
                </c:pt>
                <c:pt idx="1683">
                  <c:v>0.8316202224076088</c:v>
                </c:pt>
                <c:pt idx="1684">
                  <c:v>0.826759309242034</c:v>
                </c:pt>
                <c:pt idx="1685">
                  <c:v>0.81663931198600859</c:v>
                </c:pt>
                <c:pt idx="1686">
                  <c:v>0.80130432328817502</c:v>
                </c:pt>
                <c:pt idx="1687">
                  <c:v>0.76734959489661259</c:v>
                </c:pt>
                <c:pt idx="1688">
                  <c:v>0.73180359084631263</c:v>
                </c:pt>
                <c:pt idx="1689">
                  <c:v>0.69706925598777836</c:v>
                </c:pt>
                <c:pt idx="1690">
                  <c:v>0.66693233403180963</c:v>
                </c:pt>
                <c:pt idx="1691">
                  <c:v>0.64180369538843562</c:v>
                </c:pt>
                <c:pt idx="1692">
                  <c:v>0.63491124415761413</c:v>
                </c:pt>
                <c:pt idx="1693">
                  <c:v>0.63110677127417381</c:v>
                </c:pt>
                <c:pt idx="1694">
                  <c:v>0.63064671752859713</c:v>
                </c:pt>
                <c:pt idx="1695">
                  <c:v>0.63032074718477371</c:v>
                </c:pt>
                <c:pt idx="1696">
                  <c:v>0.62945952997647014</c:v>
                </c:pt>
                <c:pt idx="1697">
                  <c:v>0.62806320308655283</c:v>
                </c:pt>
                <c:pt idx="1698">
                  <c:v>0.62827142384125056</c:v>
                </c:pt>
                <c:pt idx="1699">
                  <c:v>0.62914906164967266</c:v>
                </c:pt>
                <c:pt idx="1700">
                  <c:v>0.63069661021896262</c:v>
                </c:pt>
                <c:pt idx="1701">
                  <c:v>0.63398895681617407</c:v>
                </c:pt>
                <c:pt idx="1702">
                  <c:v>0.63903407573082938</c:v>
                </c:pt>
                <c:pt idx="1703">
                  <c:v>0.64989089502650865</c:v>
                </c:pt>
                <c:pt idx="1704">
                  <c:v>0.66581940064745093</c:v>
                </c:pt>
                <c:pt idx="1705">
                  <c:v>0.68663802274429542</c:v>
                </c:pt>
                <c:pt idx="1706">
                  <c:v>0.70693345078512015</c:v>
                </c:pt>
                <c:pt idx="1707">
                  <c:v>0.72086040510487537</c:v>
                </c:pt>
                <c:pt idx="1708">
                  <c:v>0.72123371567077643</c:v>
                </c:pt>
                <c:pt idx="1709">
                  <c:v>0.71205867476720985</c:v>
                </c:pt>
                <c:pt idx="1710">
                  <c:v>0.69631416114438338</c:v>
                </c:pt>
                <c:pt idx="1711">
                  <c:v>0.67970654614913251</c:v>
                </c:pt>
                <c:pt idx="1712">
                  <c:v>0.66632711148006996</c:v>
                </c:pt>
                <c:pt idx="1713">
                  <c:v>0.65585767091278335</c:v>
                </c:pt>
                <c:pt idx="1714">
                  <c:v>0.64961326392783114</c:v>
                </c:pt>
                <c:pt idx="1715">
                  <c:v>0.6471579885559775</c:v>
                </c:pt>
                <c:pt idx="1716">
                  <c:v>0.6472653468647237</c:v>
                </c:pt>
                <c:pt idx="1717">
                  <c:v>0.65033896581701522</c:v>
                </c:pt>
                <c:pt idx="1718">
                  <c:v>0.65557701308619232</c:v>
                </c:pt>
                <c:pt idx="1719">
                  <c:v>0.6564941299803051</c:v>
                </c:pt>
                <c:pt idx="1720">
                  <c:v>0.65457356650735732</c:v>
                </c:pt>
                <c:pt idx="1721">
                  <c:v>0.64995797559166779</c:v>
                </c:pt>
                <c:pt idx="1722">
                  <c:v>0.64225975102162625</c:v>
                </c:pt>
                <c:pt idx="1723">
                  <c:v>0.63472073015031472</c:v>
                </c:pt>
                <c:pt idx="1724">
                  <c:v>0.63295554208282812</c:v>
                </c:pt>
                <c:pt idx="1725">
                  <c:v>0.63360009456423461</c:v>
                </c:pt>
                <c:pt idx="1726">
                  <c:v>0.63611944514063912</c:v>
                </c:pt>
                <c:pt idx="1727">
                  <c:v>0.64441156397299415</c:v>
                </c:pt>
                <c:pt idx="1728">
                  <c:v>0.65245737571073648</c:v>
                </c:pt>
                <c:pt idx="1729">
                  <c:v>0.65836302965549154</c:v>
                </c:pt>
                <c:pt idx="1730">
                  <c:v>0.66225137457371386</c:v>
                </c:pt>
                <c:pt idx="1731">
                  <c:v>0.66276191290967512</c:v>
                </c:pt>
                <c:pt idx="1732">
                  <c:v>0.65706076580705886</c:v>
                </c:pt>
                <c:pt idx="1733">
                  <c:v>0.64881868231813655</c:v>
                </c:pt>
                <c:pt idx="1734">
                  <c:v>0.63926581397364979</c:v>
                </c:pt>
                <c:pt idx="1735">
                  <c:v>0.62615194908293637</c:v>
                </c:pt>
                <c:pt idx="1736">
                  <c:v>0.61364024301920594</c:v>
                </c:pt>
                <c:pt idx="1737">
                  <c:v>0.60145907502182938</c:v>
                </c:pt>
                <c:pt idx="1738">
                  <c:v>0.59078610227584227</c:v>
                </c:pt>
                <c:pt idx="1739">
                  <c:v>0.58029497290381471</c:v>
                </c:pt>
                <c:pt idx="1740">
                  <c:v>0.57245642509082018</c:v>
                </c:pt>
                <c:pt idx="1741">
                  <c:v>0.56477657388902303</c:v>
                </c:pt>
                <c:pt idx="1742">
                  <c:v>0.55738396150296332</c:v>
                </c:pt>
                <c:pt idx="1743">
                  <c:v>0.55091979603821384</c:v>
                </c:pt>
                <c:pt idx="1744">
                  <c:v>0.54691972016904267</c:v>
                </c:pt>
                <c:pt idx="1745">
                  <c:v>0.54614072885772558</c:v>
                </c:pt>
                <c:pt idx="1746">
                  <c:v>0.54780548637399062</c:v>
                </c:pt>
                <c:pt idx="1747">
                  <c:v>0.55127353388461375</c:v>
                </c:pt>
                <c:pt idx="1748">
                  <c:v>0.55732739530201514</c:v>
                </c:pt>
                <c:pt idx="1749">
                  <c:v>0.56456048090743072</c:v>
                </c:pt>
                <c:pt idx="1750">
                  <c:v>0.572982994412921</c:v>
                </c:pt>
                <c:pt idx="1751">
                  <c:v>0.58914049863959816</c:v>
                </c:pt>
                <c:pt idx="1752">
                  <c:v>0.60843211917596529</c:v>
                </c:pt>
                <c:pt idx="1753">
                  <c:v>0.62999419248715438</c:v>
                </c:pt>
                <c:pt idx="1754">
                  <c:v>0.65481545190984536</c:v>
                </c:pt>
                <c:pt idx="1755">
                  <c:v>0.68135027003304194</c:v>
                </c:pt>
                <c:pt idx="1756">
                  <c:v>0.70280238667897355</c:v>
                </c:pt>
                <c:pt idx="1757">
                  <c:v>0.72372080235702896</c:v>
                </c:pt>
                <c:pt idx="1758">
                  <c:v>0.74063113691697857</c:v>
                </c:pt>
                <c:pt idx="1759">
                  <c:v>0.75568569399913355</c:v>
                </c:pt>
                <c:pt idx="1760">
                  <c:v>0.76690435864735251</c:v>
                </c:pt>
                <c:pt idx="1761">
                  <c:v>0.77536374591525636</c:v>
                </c:pt>
                <c:pt idx="1762">
                  <c:v>0.78944950568968819</c:v>
                </c:pt>
                <c:pt idx="1763">
                  <c:v>0.80274660926289465</c:v>
                </c:pt>
                <c:pt idx="1764">
                  <c:v>0.80903120439173881</c:v>
                </c:pt>
                <c:pt idx="1765">
                  <c:v>0.81108822064879638</c:v>
                </c:pt>
                <c:pt idx="1766">
                  <c:v>0.80863052112962286</c:v>
                </c:pt>
                <c:pt idx="1767">
                  <c:v>0.79478397994101024</c:v>
                </c:pt>
                <c:pt idx="1768">
                  <c:v>0.77709058312955626</c:v>
                </c:pt>
                <c:pt idx="1769">
                  <c:v>0.7601963061984861</c:v>
                </c:pt>
                <c:pt idx="1770">
                  <c:v>0.74450433056326204</c:v>
                </c:pt>
                <c:pt idx="1771">
                  <c:v>0.72944809933819876</c:v>
                </c:pt>
                <c:pt idx="1772">
                  <c:v>0.71338028777767604</c:v>
                </c:pt>
                <c:pt idx="1773">
                  <c:v>0.69944448976570606</c:v>
                </c:pt>
                <c:pt idx="1774">
                  <c:v>0.68583441462918338</c:v>
                </c:pt>
                <c:pt idx="1775">
                  <c:v>0.67256482124701333</c:v>
                </c:pt>
                <c:pt idx="1776">
                  <c:v>0.66164119228023033</c:v>
                </c:pt>
                <c:pt idx="1777">
                  <c:v>0.65383671491186612</c:v>
                </c:pt>
                <c:pt idx="1778">
                  <c:v>0.64592493459275513</c:v>
                </c:pt>
                <c:pt idx="1779">
                  <c:v>0.6404300687013561</c:v>
                </c:pt>
                <c:pt idx="1780">
                  <c:v>0.63600949847615684</c:v>
                </c:pt>
                <c:pt idx="1781">
                  <c:v>0.62987885956237466</c:v>
                </c:pt>
                <c:pt idx="1782">
                  <c:v>0.6244245588710331</c:v>
                </c:pt>
                <c:pt idx="1783">
                  <c:v>0.62148673788977227</c:v>
                </c:pt>
                <c:pt idx="1784">
                  <c:v>0.61789541921900504</c:v>
                </c:pt>
                <c:pt idx="1785">
                  <c:v>0.61417957767014475</c:v>
                </c:pt>
                <c:pt idx="1786">
                  <c:v>0.61309368889459359</c:v>
                </c:pt>
                <c:pt idx="1787">
                  <c:v>0.61371464263319053</c:v>
                </c:pt>
                <c:pt idx="1788">
                  <c:v>0.61459759745323606</c:v>
                </c:pt>
                <c:pt idx="1789">
                  <c:v>0.61639988707862758</c:v>
                </c:pt>
                <c:pt idx="1790">
                  <c:v>0.61833393147141524</c:v>
                </c:pt>
                <c:pt idx="1791">
                  <c:v>0.62355829525232265</c:v>
                </c:pt>
                <c:pt idx="1792">
                  <c:v>0.63037398154315527</c:v>
                </c:pt>
                <c:pt idx="1793">
                  <c:v>0.63892573225921256</c:v>
                </c:pt>
                <c:pt idx="1794">
                  <c:v>0.65162174158726205</c:v>
                </c:pt>
                <c:pt idx="1795">
                  <c:v>0.66865217286489342</c:v>
                </c:pt>
                <c:pt idx="1796">
                  <c:v>0.68457081234305583</c:v>
                </c:pt>
                <c:pt idx="1797">
                  <c:v>0.69841058194538896</c:v>
                </c:pt>
                <c:pt idx="1798">
                  <c:v>0.71163324544927797</c:v>
                </c:pt>
                <c:pt idx="1799">
                  <c:v>0.71864445564287582</c:v>
                </c:pt>
                <c:pt idx="1800">
                  <c:v>0.72117214062824664</c:v>
                </c:pt>
                <c:pt idx="1801">
                  <c:v>0.7192077769263534</c:v>
                </c:pt>
                <c:pt idx="1802">
                  <c:v>0.71425662423809333</c:v>
                </c:pt>
                <c:pt idx="1803">
                  <c:v>0.70403430869295514</c:v>
                </c:pt>
                <c:pt idx="1804">
                  <c:v>0.69156220465854845</c:v>
                </c:pt>
                <c:pt idx="1805">
                  <c:v>0.67834578723560734</c:v>
                </c:pt>
                <c:pt idx="1806">
                  <c:v>0.66653160356173469</c:v>
                </c:pt>
                <c:pt idx="1807">
                  <c:v>0.65397655514400677</c:v>
                </c:pt>
                <c:pt idx="1808">
                  <c:v>0.64465796929081798</c:v>
                </c:pt>
                <c:pt idx="1809">
                  <c:v>0.63959590575763237</c:v>
                </c:pt>
                <c:pt idx="1810">
                  <c:v>0.63652224247223743</c:v>
                </c:pt>
                <c:pt idx="1811">
                  <c:v>0.63476994095973438</c:v>
                </c:pt>
                <c:pt idx="1812">
                  <c:v>0.63617888167685921</c:v>
                </c:pt>
                <c:pt idx="1813">
                  <c:v>0.63719302063861816</c:v>
                </c:pt>
                <c:pt idx="1814">
                  <c:v>0.63820681122698286</c:v>
                </c:pt>
                <c:pt idx="1815">
                  <c:v>0.6396160895323475</c:v>
                </c:pt>
                <c:pt idx="1816">
                  <c:v>0.64023437275146777</c:v>
                </c:pt>
                <c:pt idx="1817">
                  <c:v>0.63979843068803277</c:v>
                </c:pt>
                <c:pt idx="1818">
                  <c:v>0.64147100077988195</c:v>
                </c:pt>
                <c:pt idx="1819">
                  <c:v>0.64393590582774651</c:v>
                </c:pt>
                <c:pt idx="1820">
                  <c:v>0.64534607168479718</c:v>
                </c:pt>
                <c:pt idx="1821">
                  <c:v>0.64556834324968448</c:v>
                </c:pt>
                <c:pt idx="1822">
                  <c:v>0.64565847932391962</c:v>
                </c:pt>
                <c:pt idx="1823">
                  <c:v>0.64614442957657015</c:v>
                </c:pt>
                <c:pt idx="1824">
                  <c:v>0.6468940881707903</c:v>
                </c:pt>
                <c:pt idx="1825">
                  <c:v>0.64658817834799298</c:v>
                </c:pt>
                <c:pt idx="1826">
                  <c:v>0.64575519312087182</c:v>
                </c:pt>
                <c:pt idx="1827">
                  <c:v>0.64413221645342611</c:v>
                </c:pt>
                <c:pt idx="1828">
                  <c:v>0.6384338384302165</c:v>
                </c:pt>
                <c:pt idx="1829">
                  <c:v>0.62960560358991868</c:v>
                </c:pt>
                <c:pt idx="1830">
                  <c:v>0.6218551455360174</c:v>
                </c:pt>
                <c:pt idx="1831">
                  <c:v>0.61673488047900937</c:v>
                </c:pt>
                <c:pt idx="1832">
                  <c:v>0.61292674556468685</c:v>
                </c:pt>
                <c:pt idx="1833">
                  <c:v>0.60977490910756726</c:v>
                </c:pt>
                <c:pt idx="1834">
                  <c:v>0.60611006458840266</c:v>
                </c:pt>
                <c:pt idx="1835">
                  <c:v>0.60064139227213353</c:v>
                </c:pt>
                <c:pt idx="1836">
                  <c:v>0.59247996171909167</c:v>
                </c:pt>
                <c:pt idx="1837">
                  <c:v>0.58280958848739661</c:v>
                </c:pt>
                <c:pt idx="1838">
                  <c:v>0.57279941668461343</c:v>
                </c:pt>
                <c:pt idx="1839">
                  <c:v>0.5651052678992502</c:v>
                </c:pt>
                <c:pt idx="1840">
                  <c:v>0.56009657499331877</c:v>
                </c:pt>
                <c:pt idx="1841">
                  <c:v>0.55801476404995765</c:v>
                </c:pt>
                <c:pt idx="1842">
                  <c:v>0.55885730952371238</c:v>
                </c:pt>
                <c:pt idx="1843">
                  <c:v>0.56492987366912628</c:v>
                </c:pt>
                <c:pt idx="1844">
                  <c:v>0.57756809469596992</c:v>
                </c:pt>
                <c:pt idx="1845">
                  <c:v>0.59675970556678626</c:v>
                </c:pt>
                <c:pt idx="1846">
                  <c:v>0.62109850953119317</c:v>
                </c:pt>
                <c:pt idx="1847">
                  <c:v>0.6504699063568492</c:v>
                </c:pt>
                <c:pt idx="1848">
                  <c:v>0.68275533774066433</c:v>
                </c:pt>
                <c:pt idx="1849">
                  <c:v>0.71478198199528642</c:v>
                </c:pt>
                <c:pt idx="1850">
                  <c:v>0.74555798289678066</c:v>
                </c:pt>
                <c:pt idx="1851">
                  <c:v>0.77668805404560481</c:v>
                </c:pt>
                <c:pt idx="1852">
                  <c:v>0.80844722868679542</c:v>
                </c:pt>
                <c:pt idx="1853">
                  <c:v>0.83758355733467071</c:v>
                </c:pt>
                <c:pt idx="1854">
                  <c:v>0.86215624730011831</c:v>
                </c:pt>
                <c:pt idx="1855">
                  <c:v>0.8790391546057873</c:v>
                </c:pt>
                <c:pt idx="1856">
                  <c:v>0.8842242181497002</c:v>
                </c:pt>
                <c:pt idx="1857">
                  <c:v>0.87304937261361204</c:v>
                </c:pt>
                <c:pt idx="1858">
                  <c:v>0.84891178326167638</c:v>
                </c:pt>
                <c:pt idx="1859">
                  <c:v>0.81826708359458389</c:v>
                </c:pt>
                <c:pt idx="1860">
                  <c:v>0.7866035108668652</c:v>
                </c:pt>
                <c:pt idx="1861">
                  <c:v>0.75895567147642884</c:v>
                </c:pt>
                <c:pt idx="1862">
                  <c:v>0.74006511895188232</c:v>
                </c:pt>
                <c:pt idx="1863">
                  <c:v>0.72937839633993296</c:v>
                </c:pt>
                <c:pt idx="1864">
                  <c:v>0.72393644901629217</c:v>
                </c:pt>
                <c:pt idx="1865">
                  <c:v>0.71849774362966778</c:v>
                </c:pt>
                <c:pt idx="1866">
                  <c:v>0.71073159463394664</c:v>
                </c:pt>
                <c:pt idx="1867">
                  <c:v>0.70160965914302698</c:v>
                </c:pt>
                <c:pt idx="1868">
                  <c:v>0.69114189913429747</c:v>
                </c:pt>
                <c:pt idx="1869">
                  <c:v>0.6764915041161037</c:v>
                </c:pt>
                <c:pt idx="1870">
                  <c:v>0.66433129667798763</c:v>
                </c:pt>
                <c:pt idx="1871">
                  <c:v>0.65342202021329465</c:v>
                </c:pt>
                <c:pt idx="1872">
                  <c:v>0.64697576164564152</c:v>
                </c:pt>
                <c:pt idx="1873">
                  <c:v>0.64591013475582604</c:v>
                </c:pt>
                <c:pt idx="1874">
                  <c:v>0.64928553344314832</c:v>
                </c:pt>
                <c:pt idx="1875">
                  <c:v>0.65374974152898102</c:v>
                </c:pt>
                <c:pt idx="1876">
                  <c:v>0.66066455375707966</c:v>
                </c:pt>
                <c:pt idx="1877">
                  <c:v>0.66258240829964099</c:v>
                </c:pt>
                <c:pt idx="1878">
                  <c:v>0.65894085859817864</c:v>
                </c:pt>
                <c:pt idx="1879">
                  <c:v>0.65353897511734216</c:v>
                </c:pt>
                <c:pt idx="1880">
                  <c:v>0.6466549213400854</c:v>
                </c:pt>
                <c:pt idx="1881">
                  <c:v>0.63789326396741541</c:v>
                </c:pt>
                <c:pt idx="1882">
                  <c:v>0.63009054606583359</c:v>
                </c:pt>
                <c:pt idx="1883">
                  <c:v>0.62377676012335881</c:v>
                </c:pt>
                <c:pt idx="1884">
                  <c:v>0.61814063887596304</c:v>
                </c:pt>
                <c:pt idx="1885">
                  <c:v>0.61250994105213274</c:v>
                </c:pt>
                <c:pt idx="1886">
                  <c:v>0.60528267014784354</c:v>
                </c:pt>
                <c:pt idx="1887">
                  <c:v>0.59766784754065794</c:v>
                </c:pt>
                <c:pt idx="1888">
                  <c:v>0.59126257138487393</c:v>
                </c:pt>
                <c:pt idx="1889">
                  <c:v>0.58526394038227303</c:v>
                </c:pt>
                <c:pt idx="1890">
                  <c:v>0.58059660866605056</c:v>
                </c:pt>
                <c:pt idx="1891">
                  <c:v>0.57699084593235672</c:v>
                </c:pt>
                <c:pt idx="1892">
                  <c:v>0.57180029649112485</c:v>
                </c:pt>
                <c:pt idx="1893">
                  <c:v>0.56437356940453798</c:v>
                </c:pt>
                <c:pt idx="1894">
                  <c:v>0.55328381913441493</c:v>
                </c:pt>
                <c:pt idx="1895">
                  <c:v>0.53883924924030002</c:v>
                </c:pt>
                <c:pt idx="1896">
                  <c:v>0.52447077770543704</c:v>
                </c:pt>
                <c:pt idx="1897">
                  <c:v>0.51379159997427493</c:v>
                </c:pt>
                <c:pt idx="1898">
                  <c:v>0.50701229347932431</c:v>
                </c:pt>
                <c:pt idx="1899">
                  <c:v>0.50861173891205513</c:v>
                </c:pt>
                <c:pt idx="1900">
                  <c:v>0.51668215133702344</c:v>
                </c:pt>
                <c:pt idx="1901">
                  <c:v>0.52817984821740405</c:v>
                </c:pt>
                <c:pt idx="1902">
                  <c:v>0.54264097296720015</c:v>
                </c:pt>
                <c:pt idx="1903">
                  <c:v>0.55576241157733286</c:v>
                </c:pt>
                <c:pt idx="1904">
                  <c:v>0.56512455743372181</c:v>
                </c:pt>
                <c:pt idx="1905">
                  <c:v>0.57268266437263127</c:v>
                </c:pt>
                <c:pt idx="1906">
                  <c:v>0.57958966057282701</c:v>
                </c:pt>
                <c:pt idx="1907">
                  <c:v>0.5845034638001595</c:v>
                </c:pt>
                <c:pt idx="1908">
                  <c:v>0.59062711886560071</c:v>
                </c:pt>
                <c:pt idx="1909">
                  <c:v>0.59796737752836304</c:v>
                </c:pt>
                <c:pt idx="1910">
                  <c:v>0.60586025668941657</c:v>
                </c:pt>
                <c:pt idx="1911">
                  <c:v>0.61674038146335886</c:v>
                </c:pt>
                <c:pt idx="1912">
                  <c:v>0.62982707869651866</c:v>
                </c:pt>
                <c:pt idx="1913">
                  <c:v>0.64487573245657914</c:v>
                </c:pt>
                <c:pt idx="1914">
                  <c:v>0.66026891300497459</c:v>
                </c:pt>
                <c:pt idx="1915">
                  <c:v>0.67366595183725453</c:v>
                </c:pt>
                <c:pt idx="1916">
                  <c:v>0.68683721846475265</c:v>
                </c:pt>
                <c:pt idx="1917">
                  <c:v>0.69977844233899711</c:v>
                </c:pt>
                <c:pt idx="1918">
                  <c:v>0.70941921589426737</c:v>
                </c:pt>
                <c:pt idx="1919">
                  <c:v>0.71824356454309413</c:v>
                </c:pt>
                <c:pt idx="1920">
                  <c:v>0.72484594412377334</c:v>
                </c:pt>
                <c:pt idx="1921">
                  <c:v>0.72781552877184696</c:v>
                </c:pt>
                <c:pt idx="1922">
                  <c:v>0.72826553449562459</c:v>
                </c:pt>
                <c:pt idx="1923">
                  <c:v>0.73067364548951064</c:v>
                </c:pt>
                <c:pt idx="1924">
                  <c:v>0.73714281952181904</c:v>
                </c:pt>
                <c:pt idx="1925">
                  <c:v>0.74994245269179538</c:v>
                </c:pt>
                <c:pt idx="1926">
                  <c:v>0.76659571674132065</c:v>
                </c:pt>
                <c:pt idx="1927">
                  <c:v>0.78303595779408863</c:v>
                </c:pt>
                <c:pt idx="1928">
                  <c:v>0.79840217452814843</c:v>
                </c:pt>
                <c:pt idx="1929">
                  <c:v>0.81110464940583882</c:v>
                </c:pt>
                <c:pt idx="1930">
                  <c:v>0.82212021186928175</c:v>
                </c:pt>
                <c:pt idx="1931">
                  <c:v>0.82970890808259723</c:v>
                </c:pt>
                <c:pt idx="1932">
                  <c:v>0.83414050006912166</c:v>
                </c:pt>
                <c:pt idx="1933">
                  <c:v>0.83411426826779544</c:v>
                </c:pt>
                <c:pt idx="1934">
                  <c:v>0.82605173539435284</c:v>
                </c:pt>
                <c:pt idx="1935">
                  <c:v>0.80945351860311776</c:v>
                </c:pt>
                <c:pt idx="1936">
                  <c:v>0.78856509929325136</c:v>
                </c:pt>
                <c:pt idx="1937">
                  <c:v>0.76783402471874262</c:v>
                </c:pt>
                <c:pt idx="1938">
                  <c:v>0.74851766665703212</c:v>
                </c:pt>
                <c:pt idx="1939">
                  <c:v>0.7326730784850507</c:v>
                </c:pt>
                <c:pt idx="1940">
                  <c:v>0.72107201035410085</c:v>
                </c:pt>
                <c:pt idx="1941">
                  <c:v>0.71489911237809411</c:v>
                </c:pt>
                <c:pt idx="1942">
                  <c:v>0.71480025489153631</c:v>
                </c:pt>
                <c:pt idx="1943">
                  <c:v>0.71966156776220747</c:v>
                </c:pt>
                <c:pt idx="1944">
                  <c:v>0.72839357432328977</c:v>
                </c:pt>
                <c:pt idx="1945">
                  <c:v>0.73838904466840971</c:v>
                </c:pt>
                <c:pt idx="1946">
                  <c:v>0.74854620064614108</c:v>
                </c:pt>
                <c:pt idx="1947">
                  <c:v>0.7558008241636418</c:v>
                </c:pt>
                <c:pt idx="1948">
                  <c:v>0.75721075219389467</c:v>
                </c:pt>
                <c:pt idx="1949">
                  <c:v>0.75527991152826246</c:v>
                </c:pt>
                <c:pt idx="1950">
                  <c:v>0.75279696346699609</c:v>
                </c:pt>
                <c:pt idx="1951">
                  <c:v>0.74823850613249399</c:v>
                </c:pt>
                <c:pt idx="1952">
                  <c:v>0.74244687265121401</c:v>
                </c:pt>
                <c:pt idx="1953">
                  <c:v>0.73694875779518876</c:v>
                </c:pt>
                <c:pt idx="1954">
                  <c:v>0.72775320082373463</c:v>
                </c:pt>
                <c:pt idx="1955">
                  <c:v>0.71476335305484817</c:v>
                </c:pt>
                <c:pt idx="1956">
                  <c:v>0.69790093501662787</c:v>
                </c:pt>
                <c:pt idx="1957">
                  <c:v>0.67589468127738095</c:v>
                </c:pt>
                <c:pt idx="1958">
                  <c:v>0.65141507668844822</c:v>
                </c:pt>
                <c:pt idx="1959">
                  <c:v>0.62718451853505253</c:v>
                </c:pt>
                <c:pt idx="1960">
                  <c:v>0.60268373057592739</c:v>
                </c:pt>
                <c:pt idx="1961">
                  <c:v>0.5793571421216841</c:v>
                </c:pt>
                <c:pt idx="1962">
                  <c:v>0.56051581233596892</c:v>
                </c:pt>
                <c:pt idx="1963">
                  <c:v>0.54605167552266076</c:v>
                </c:pt>
                <c:pt idx="1964">
                  <c:v>0.53702019615567798</c:v>
                </c:pt>
                <c:pt idx="1965">
                  <c:v>0.5322077926652008</c:v>
                </c:pt>
                <c:pt idx="1966">
                  <c:v>0.53107420170274688</c:v>
                </c:pt>
                <c:pt idx="1967">
                  <c:v>0.53259662329910284</c:v>
                </c:pt>
                <c:pt idx="1968">
                  <c:v>0.53500359863410951</c:v>
                </c:pt>
                <c:pt idx="1969">
                  <c:v>0.53855052779365253</c:v>
                </c:pt>
                <c:pt idx="1970">
                  <c:v>0.54476383463070999</c:v>
                </c:pt>
                <c:pt idx="1971">
                  <c:v>0.55338920133632818</c:v>
                </c:pt>
                <c:pt idx="1972">
                  <c:v>0.56089598065146951</c:v>
                </c:pt>
                <c:pt idx="1973">
                  <c:v>0.56599143198524371</c:v>
                </c:pt>
                <c:pt idx="1974">
                  <c:v>0.56596697677300789</c:v>
                </c:pt>
                <c:pt idx="1975">
                  <c:v>0.56133452340557577</c:v>
                </c:pt>
                <c:pt idx="1976">
                  <c:v>0.55085012616592643</c:v>
                </c:pt>
                <c:pt idx="1977">
                  <c:v>0.5394016211054522</c:v>
                </c:pt>
                <c:pt idx="1978">
                  <c:v>0.52965139131848682</c:v>
                </c:pt>
                <c:pt idx="1979">
                  <c:v>0.52358703919572092</c:v>
                </c:pt>
                <c:pt idx="1980">
                  <c:v>0.51854341950246563</c:v>
                </c:pt>
                <c:pt idx="1981">
                  <c:v>0.51789425786004062</c:v>
                </c:pt>
                <c:pt idx="1982">
                  <c:v>0.51749619667096192</c:v>
                </c:pt>
                <c:pt idx="1983">
                  <c:v>0.51672204344150308</c:v>
                </c:pt>
                <c:pt idx="1984">
                  <c:v>0.51394607515980795</c:v>
                </c:pt>
                <c:pt idx="1985">
                  <c:v>0.51017447222124412</c:v>
                </c:pt>
                <c:pt idx="1986">
                  <c:v>0.50491502573482205</c:v>
                </c:pt>
                <c:pt idx="1987">
                  <c:v>0.49904834433269823</c:v>
                </c:pt>
                <c:pt idx="1988">
                  <c:v>0.49394205088809495</c:v>
                </c:pt>
                <c:pt idx="1989">
                  <c:v>0.48674965525275371</c:v>
                </c:pt>
                <c:pt idx="1990">
                  <c:v>0.47958400837084963</c:v>
                </c:pt>
                <c:pt idx="1991">
                  <c:v>0.47060798874997617</c:v>
                </c:pt>
                <c:pt idx="1992">
                  <c:v>0.46082160915394854</c:v>
                </c:pt>
                <c:pt idx="1993">
                  <c:v>0.44987581551909472</c:v>
                </c:pt>
                <c:pt idx="1994">
                  <c:v>0.44224709007241902</c:v>
                </c:pt>
                <c:pt idx="1995">
                  <c:v>0.43597170124975188</c:v>
                </c:pt>
                <c:pt idx="1996">
                  <c:v>0.43103577310114577</c:v>
                </c:pt>
                <c:pt idx="1997">
                  <c:v>0.42623353173770107</c:v>
                </c:pt>
                <c:pt idx="1998">
                  <c:v>0.42168297113682801</c:v>
                </c:pt>
                <c:pt idx="1999">
                  <c:v>0.41809536064678293</c:v>
                </c:pt>
                <c:pt idx="2000">
                  <c:v>0.41831497297470249</c:v>
                </c:pt>
                <c:pt idx="2001">
                  <c:v>0.42186651739173187</c:v>
                </c:pt>
                <c:pt idx="2002">
                  <c:v>0.43044543933033247</c:v>
                </c:pt>
                <c:pt idx="2003">
                  <c:v>0.44472801706159309</c:v>
                </c:pt>
                <c:pt idx="2004">
                  <c:v>0.46448104600414952</c:v>
                </c:pt>
                <c:pt idx="2005">
                  <c:v>0.48974611395249451</c:v>
                </c:pt>
                <c:pt idx="2006">
                  <c:v>0.52096968732308957</c:v>
                </c:pt>
                <c:pt idx="2007">
                  <c:v>0.5580072841453716</c:v>
                </c:pt>
                <c:pt idx="2008">
                  <c:v>0.60370404187884241</c:v>
                </c:pt>
                <c:pt idx="2009">
                  <c:v>0.65702379475958794</c:v>
                </c:pt>
                <c:pt idx="2010">
                  <c:v>0.71101709600272234</c:v>
                </c:pt>
                <c:pt idx="2011">
                  <c:v>0.76396472650318448</c:v>
                </c:pt>
                <c:pt idx="2012">
                  <c:v>0.81348610914000641</c:v>
                </c:pt>
                <c:pt idx="2013">
                  <c:v>0.85496536371367915</c:v>
                </c:pt>
                <c:pt idx="2014">
                  <c:v>0.89064373367305028</c:v>
                </c:pt>
                <c:pt idx="2015">
                  <c:v>0.91773179650959891</c:v>
                </c:pt>
                <c:pt idx="2016">
                  <c:v>0.93458357019930149</c:v>
                </c:pt>
                <c:pt idx="2017">
                  <c:v>0.94323435870043826</c:v>
                </c:pt>
                <c:pt idx="2018">
                  <c:v>0.94420876244653495</c:v>
                </c:pt>
                <c:pt idx="2019">
                  <c:v>0.93373938852506688</c:v>
                </c:pt>
                <c:pt idx="2020">
                  <c:v>0.92113607150742904</c:v>
                </c:pt>
                <c:pt idx="2021">
                  <c:v>0.9107316982589293</c:v>
                </c:pt>
                <c:pt idx="2022">
                  <c:v>0.90007046255692813</c:v>
                </c:pt>
                <c:pt idx="2023">
                  <c:v>0.89530492975574361</c:v>
                </c:pt>
                <c:pt idx="2024">
                  <c:v>0.898846410272647</c:v>
                </c:pt>
                <c:pt idx="2025">
                  <c:v>0.90640911536450863</c:v>
                </c:pt>
                <c:pt idx="2026">
                  <c:v>0.91528157110850694</c:v>
                </c:pt>
                <c:pt idx="2027">
                  <c:v>0.92648325911302465</c:v>
                </c:pt>
                <c:pt idx="2028">
                  <c:v>0.93106470325250612</c:v>
                </c:pt>
                <c:pt idx="2029">
                  <c:v>0.92467208483739083</c:v>
                </c:pt>
                <c:pt idx="2030">
                  <c:v>0.90808023371959801</c:v>
                </c:pt>
                <c:pt idx="2031">
                  <c:v>0.88599225260626358</c:v>
                </c:pt>
                <c:pt idx="2032">
                  <c:v>0.86191269488332667</c:v>
                </c:pt>
                <c:pt idx="2033">
                  <c:v>0.83884350622438997</c:v>
                </c:pt>
                <c:pt idx="2034">
                  <c:v>0.82040939666058088</c:v>
                </c:pt>
                <c:pt idx="2035">
                  <c:v>0.80932820910915537</c:v>
                </c:pt>
                <c:pt idx="2036">
                  <c:v>0.80380069597244785</c:v>
                </c:pt>
                <c:pt idx="2037">
                  <c:v>0.80329423778270059</c:v>
                </c:pt>
                <c:pt idx="2038">
                  <c:v>0.80529674604029711</c:v>
                </c:pt>
                <c:pt idx="2039">
                  <c:v>0.80771934744156582</c:v>
                </c:pt>
                <c:pt idx="2040">
                  <c:v>0.81070284400448389</c:v>
                </c:pt>
                <c:pt idx="2041">
                  <c:v>0.81312991338666318</c:v>
                </c:pt>
                <c:pt idx="2042">
                  <c:v>0.81038698137428045</c:v>
                </c:pt>
                <c:pt idx="2043">
                  <c:v>0.80485588891310111</c:v>
                </c:pt>
                <c:pt idx="2044">
                  <c:v>0.79502007488048265</c:v>
                </c:pt>
                <c:pt idx="2045">
                  <c:v>0.77981121495289218</c:v>
                </c:pt>
                <c:pt idx="2046">
                  <c:v>0.76054414475391252</c:v>
                </c:pt>
                <c:pt idx="2047">
                  <c:v>0.73961758108666931</c:v>
                </c:pt>
                <c:pt idx="2048">
                  <c:v>0.72019022093706553</c:v>
                </c:pt>
                <c:pt idx="2049">
                  <c:v>0.70709845574795738</c:v>
                </c:pt>
                <c:pt idx="2050">
                  <c:v>0.69769895861889064</c:v>
                </c:pt>
                <c:pt idx="2051">
                  <c:v>0.69155369124764132</c:v>
                </c:pt>
                <c:pt idx="2052">
                  <c:v>0.68971633414469247</c:v>
                </c:pt>
                <c:pt idx="2053">
                  <c:v>0.68841689893013402</c:v>
                </c:pt>
                <c:pt idx="2054">
                  <c:v>0.68497150579666632</c:v>
                </c:pt>
                <c:pt idx="2055">
                  <c:v>0.68166377498487329</c:v>
                </c:pt>
                <c:pt idx="2056">
                  <c:v>0.67916276183798052</c:v>
                </c:pt>
                <c:pt idx="2057">
                  <c:v>0.67920605922175192</c:v>
                </c:pt>
                <c:pt idx="2058">
                  <c:v>0.68246416834806056</c:v>
                </c:pt>
                <c:pt idx="2059">
                  <c:v>0.68760545312410504</c:v>
                </c:pt>
                <c:pt idx="2060">
                  <c:v>0.6941025943730289</c:v>
                </c:pt>
                <c:pt idx="2061">
                  <c:v>0.70034523327461384</c:v>
                </c:pt>
                <c:pt idx="2062">
                  <c:v>0.70403478604710679</c:v>
                </c:pt>
                <c:pt idx="2063">
                  <c:v>0.70637724536883961</c:v>
                </c:pt>
                <c:pt idx="2064">
                  <c:v>0.70669263334321109</c:v>
                </c:pt>
                <c:pt idx="2065">
                  <c:v>0.70389939221636078</c:v>
                </c:pt>
                <c:pt idx="2066">
                  <c:v>0.70083876192011985</c:v>
                </c:pt>
                <c:pt idx="2067">
                  <c:v>0.69629846199323575</c:v>
                </c:pt>
                <c:pt idx="2068">
                  <c:v>0.68773163437356455</c:v>
                </c:pt>
                <c:pt idx="2069">
                  <c:v>0.67744977917151605</c:v>
                </c:pt>
                <c:pt idx="2070">
                  <c:v>0.66840537976880832</c:v>
                </c:pt>
                <c:pt idx="2071">
                  <c:v>0.66098649244282337</c:v>
                </c:pt>
                <c:pt idx="2072">
                  <c:v>0.65943209703525485</c:v>
                </c:pt>
                <c:pt idx="2073">
                  <c:v>0.6639999744861399</c:v>
                </c:pt>
                <c:pt idx="2074">
                  <c:v>0.6747216551747881</c:v>
                </c:pt>
                <c:pt idx="2075">
                  <c:v>0.69019020124292363</c:v>
                </c:pt>
                <c:pt idx="2076">
                  <c:v>0.70858736380270559</c:v>
                </c:pt>
                <c:pt idx="2077">
                  <c:v>0.72424434373557345</c:v>
                </c:pt>
                <c:pt idx="2078">
                  <c:v>0.73793443161710348</c:v>
                </c:pt>
                <c:pt idx="2079">
                  <c:v>0.74935371383890204</c:v>
                </c:pt>
                <c:pt idx="2080">
                  <c:v>0.76357383049890171</c:v>
                </c:pt>
                <c:pt idx="2081">
                  <c:v>0.77952341090553268</c:v>
                </c:pt>
                <c:pt idx="2082">
                  <c:v>0.79806400997405436</c:v>
                </c:pt>
                <c:pt idx="2083">
                  <c:v>0.81797469996778283</c:v>
                </c:pt>
                <c:pt idx="2084">
                  <c:v>0.83899510888742534</c:v>
                </c:pt>
                <c:pt idx="2085">
                  <c:v>0.85830155854634138</c:v>
                </c:pt>
                <c:pt idx="2086">
                  <c:v>0.87215423803766956</c:v>
                </c:pt>
                <c:pt idx="2087">
                  <c:v>0.88005786453839185</c:v>
                </c:pt>
                <c:pt idx="2088">
                  <c:v>0.88082839320938111</c:v>
                </c:pt>
                <c:pt idx="2089">
                  <c:v>0.87531621462161191</c:v>
                </c:pt>
                <c:pt idx="2090">
                  <c:v>0.86155907667174225</c:v>
                </c:pt>
                <c:pt idx="2091">
                  <c:v>0.84544854068413955</c:v>
                </c:pt>
                <c:pt idx="2092">
                  <c:v>0.83081979965313135</c:v>
                </c:pt>
                <c:pt idx="2093">
                  <c:v>0.82102529081640763</c:v>
                </c:pt>
                <c:pt idx="2094">
                  <c:v>0.81588382005223226</c:v>
                </c:pt>
                <c:pt idx="2095">
                  <c:v>0.81355232358144236</c:v>
                </c:pt>
                <c:pt idx="2096">
                  <c:v>0.81066176469753626</c:v>
                </c:pt>
                <c:pt idx="2097">
                  <c:v>0.80497590958782617</c:v>
                </c:pt>
                <c:pt idx="2098">
                  <c:v>0.79427811662179593</c:v>
                </c:pt>
                <c:pt idx="2099">
                  <c:v>0.77875592233041802</c:v>
                </c:pt>
                <c:pt idx="2100">
                  <c:v>0.76385974413819746</c:v>
                </c:pt>
                <c:pt idx="2101">
                  <c:v>0.75536030331195902</c:v>
                </c:pt>
                <c:pt idx="2102">
                  <c:v>0.7537315279306871</c:v>
                </c:pt>
                <c:pt idx="2103">
                  <c:v>0.75637114983995912</c:v>
                </c:pt>
                <c:pt idx="2104">
                  <c:v>0.76301607575177122</c:v>
                </c:pt>
                <c:pt idx="2105">
                  <c:v>0.77092348031092262</c:v>
                </c:pt>
                <c:pt idx="2106">
                  <c:v>0.77885302383395616</c:v>
                </c:pt>
                <c:pt idx="2107">
                  <c:v>0.78833667461807189</c:v>
                </c:pt>
                <c:pt idx="2108">
                  <c:v>0.80204507851327</c:v>
                </c:pt>
                <c:pt idx="2109">
                  <c:v>0.81918955144257788</c:v>
                </c:pt>
                <c:pt idx="2110">
                  <c:v>0.83614500749278542</c:v>
                </c:pt>
                <c:pt idx="2111">
                  <c:v>0.84893085415593328</c:v>
                </c:pt>
                <c:pt idx="2112">
                  <c:v>0.85635872861319295</c:v>
                </c:pt>
                <c:pt idx="2113">
                  <c:v>0.85782252431004802</c:v>
                </c:pt>
                <c:pt idx="2114">
                  <c:v>0.85487530810878543</c:v>
                </c:pt>
                <c:pt idx="2115">
                  <c:v>0.85264069342631277</c:v>
                </c:pt>
                <c:pt idx="2116">
                  <c:v>0.85410306627424337</c:v>
                </c:pt>
                <c:pt idx="2117">
                  <c:v>0.8565628189813973</c:v>
                </c:pt>
                <c:pt idx="2118">
                  <c:v>0.86144803801126946</c:v>
                </c:pt>
                <c:pt idx="2119">
                  <c:v>0.86534226497835509</c:v>
                </c:pt>
                <c:pt idx="2120">
                  <c:v>0.86538448463862538</c:v>
                </c:pt>
                <c:pt idx="2121">
                  <c:v>0.86114468592150195</c:v>
                </c:pt>
                <c:pt idx="2122">
                  <c:v>0.85605405031095227</c:v>
                </c:pt>
                <c:pt idx="2123">
                  <c:v>0.8504003223504274</c:v>
                </c:pt>
                <c:pt idx="2124">
                  <c:v>0.84688514880128829</c:v>
                </c:pt>
                <c:pt idx="2125">
                  <c:v>0.84394032225259008</c:v>
                </c:pt>
                <c:pt idx="2126">
                  <c:v>0.83886923007952707</c:v>
                </c:pt>
                <c:pt idx="2127">
                  <c:v>0.83040591757825</c:v>
                </c:pt>
                <c:pt idx="2128">
                  <c:v>0.82040825867652012</c:v>
                </c:pt>
                <c:pt idx="2129">
                  <c:v>0.80987415421675346</c:v>
                </c:pt>
                <c:pt idx="2130">
                  <c:v>0.79965097564342402</c:v>
                </c:pt>
                <c:pt idx="2131">
                  <c:v>0.79155458750542929</c:v>
                </c:pt>
                <c:pt idx="2132">
                  <c:v>0.78515197420134519</c:v>
                </c:pt>
                <c:pt idx="2133">
                  <c:v>0.77876007716739604</c:v>
                </c:pt>
                <c:pt idx="2134">
                  <c:v>0.77307490755973629</c:v>
                </c:pt>
                <c:pt idx="2135">
                  <c:v>0.76739814119229932</c:v>
                </c:pt>
                <c:pt idx="2136">
                  <c:v>0.76131390397810983</c:v>
                </c:pt>
                <c:pt idx="2137">
                  <c:v>0.75690135423364058</c:v>
                </c:pt>
                <c:pt idx="2138">
                  <c:v>0.75194037096772992</c:v>
                </c:pt>
                <c:pt idx="2139">
                  <c:v>0.74298223622541371</c:v>
                </c:pt>
                <c:pt idx="2140">
                  <c:v>0.73129689394272479</c:v>
                </c:pt>
                <c:pt idx="2141">
                  <c:v>0.71732609287219573</c:v>
                </c:pt>
                <c:pt idx="2142">
                  <c:v>0.70001467974891207</c:v>
                </c:pt>
                <c:pt idx="2143">
                  <c:v>0.68131478998832784</c:v>
                </c:pt>
                <c:pt idx="2144">
                  <c:v>0.6647486149638725</c:v>
                </c:pt>
                <c:pt idx="2145">
                  <c:v>0.65161888206581819</c:v>
                </c:pt>
                <c:pt idx="2146">
                  <c:v>0.64054692057545892</c:v>
                </c:pt>
                <c:pt idx="2147">
                  <c:v>0.63004827601312874</c:v>
                </c:pt>
                <c:pt idx="2148">
                  <c:v>0.6186641360444799</c:v>
                </c:pt>
                <c:pt idx="2149">
                  <c:v>0.60482948650152069</c:v>
                </c:pt>
                <c:pt idx="2150">
                  <c:v>0.59002262320746846</c:v>
                </c:pt>
                <c:pt idx="2151">
                  <c:v>0.57517158040297589</c:v>
                </c:pt>
                <c:pt idx="2152">
                  <c:v>0.56195826059961662</c:v>
                </c:pt>
                <c:pt idx="2153">
                  <c:v>0.55202834189117245</c:v>
                </c:pt>
                <c:pt idx="2154">
                  <c:v>0.54777910008010788</c:v>
                </c:pt>
                <c:pt idx="2155">
                  <c:v>0.54789719155168992</c:v>
                </c:pt>
                <c:pt idx="2156">
                  <c:v>0.55045649238535288</c:v>
                </c:pt>
                <c:pt idx="2157">
                  <c:v>0.55469345748343324</c:v>
                </c:pt>
                <c:pt idx="2158">
                  <c:v>0.5612642062417138</c:v>
                </c:pt>
                <c:pt idx="2159">
                  <c:v>0.56889303786410717</c:v>
                </c:pt>
                <c:pt idx="2160">
                  <c:v>0.57759058824231546</c:v>
                </c:pt>
                <c:pt idx="2161">
                  <c:v>0.58789150120921441</c:v>
                </c:pt>
                <c:pt idx="2162">
                  <c:v>0.59994806915562504</c:v>
                </c:pt>
                <c:pt idx="2163">
                  <c:v>0.6122001789641216</c:v>
                </c:pt>
                <c:pt idx="2164">
                  <c:v>0.62292424810667668</c:v>
                </c:pt>
                <c:pt idx="2165">
                  <c:v>0.63116654337556477</c:v>
                </c:pt>
                <c:pt idx="2166">
                  <c:v>0.63850327639740256</c:v>
                </c:pt>
                <c:pt idx="2167">
                  <c:v>0.64706889933560496</c:v>
                </c:pt>
                <c:pt idx="2168">
                  <c:v>0.65676262788373052</c:v>
                </c:pt>
                <c:pt idx="2169">
                  <c:v>0.66731177935833796</c:v>
                </c:pt>
                <c:pt idx="2170">
                  <c:v>0.68022110745248765</c:v>
                </c:pt>
                <c:pt idx="2171">
                  <c:v>0.69661918768337328</c:v>
                </c:pt>
                <c:pt idx="2172">
                  <c:v>0.71519305567540536</c:v>
                </c:pt>
                <c:pt idx="2173">
                  <c:v>0.73806581025661544</c:v>
                </c:pt>
                <c:pt idx="2174">
                  <c:v>0.76589758917185569</c:v>
                </c:pt>
                <c:pt idx="2175">
                  <c:v>0.7959884145869115</c:v>
                </c:pt>
                <c:pt idx="2176">
                  <c:v>0.8272490294367757</c:v>
                </c:pt>
                <c:pt idx="2177">
                  <c:v>0.85681358308939781</c:v>
                </c:pt>
                <c:pt idx="2178">
                  <c:v>0.8806983794105806</c:v>
                </c:pt>
                <c:pt idx="2179">
                  <c:v>0.89205833672354562</c:v>
                </c:pt>
                <c:pt idx="2180">
                  <c:v>0.89600852131632835</c:v>
                </c:pt>
                <c:pt idx="2181">
                  <c:v>0.8885740787402665</c:v>
                </c:pt>
                <c:pt idx="2182">
                  <c:v>0.87401984102778008</c:v>
                </c:pt>
                <c:pt idx="2183">
                  <c:v>0.85618129488571804</c:v>
                </c:pt>
                <c:pt idx="2184">
                  <c:v>0.84360356893205668</c:v>
                </c:pt>
                <c:pt idx="2185">
                  <c:v>0.83264087732264347</c:v>
                </c:pt>
                <c:pt idx="2186">
                  <c:v>0.8280191503601354</c:v>
                </c:pt>
                <c:pt idx="2187">
                  <c:v>0.82612822251755158</c:v>
                </c:pt>
                <c:pt idx="2188">
                  <c:v>0.82265637556662274</c:v>
                </c:pt>
                <c:pt idx="2189">
                  <c:v>0.81631502059839467</c:v>
                </c:pt>
                <c:pt idx="2190">
                  <c:v>0.80854771207342857</c:v>
                </c:pt>
                <c:pt idx="2191">
                  <c:v>0.79921953425982051</c:v>
                </c:pt>
                <c:pt idx="2192">
                  <c:v>0.79133367354894224</c:v>
                </c:pt>
                <c:pt idx="2193">
                  <c:v>0.78644842491052747</c:v>
                </c:pt>
                <c:pt idx="2194">
                  <c:v>0.78512378316047693</c:v>
                </c:pt>
                <c:pt idx="2195">
                  <c:v>0.78807405536305952</c:v>
                </c:pt>
                <c:pt idx="2196">
                  <c:v>0.79503125226164884</c:v>
                </c:pt>
                <c:pt idx="2197">
                  <c:v>0.80143732030616766</c:v>
                </c:pt>
                <c:pt idx="2198">
                  <c:v>0.80858073518268947</c:v>
                </c:pt>
                <c:pt idx="2199">
                  <c:v>0.81459429025278507</c:v>
                </c:pt>
                <c:pt idx="2200">
                  <c:v>0.81918136580920387</c:v>
                </c:pt>
                <c:pt idx="2201">
                  <c:v>0.8208887475792388</c:v>
                </c:pt>
                <c:pt idx="2202">
                  <c:v>0.82317722192091058</c:v>
                </c:pt>
                <c:pt idx="2203">
                  <c:v>0.82489059962442646</c:v>
                </c:pt>
                <c:pt idx="2204">
                  <c:v>0.82559231558076118</c:v>
                </c:pt>
                <c:pt idx="2205">
                  <c:v>0.8226714717126975</c:v>
                </c:pt>
                <c:pt idx="2206">
                  <c:v>0.81511976008613807</c:v>
                </c:pt>
                <c:pt idx="2207">
                  <c:v>0.80325026790724419</c:v>
                </c:pt>
                <c:pt idx="2208">
                  <c:v>0.7892569051300613</c:v>
                </c:pt>
                <c:pt idx="2209">
                  <c:v>0.77473762057415463</c:v>
                </c:pt>
                <c:pt idx="2210">
                  <c:v>0.76084010350249387</c:v>
                </c:pt>
                <c:pt idx="2211">
                  <c:v>0.74954575375158206</c:v>
                </c:pt>
                <c:pt idx="2212">
                  <c:v>0.73983926444743708</c:v>
                </c:pt>
                <c:pt idx="2213">
                  <c:v>0.72930656366417279</c:v>
                </c:pt>
                <c:pt idx="2214">
                  <c:v>0.71809655343654344</c:v>
                </c:pt>
                <c:pt idx="2215">
                  <c:v>0.70607624396038482</c:v>
                </c:pt>
                <c:pt idx="2216">
                  <c:v>0.69395421175728489</c:v>
                </c:pt>
                <c:pt idx="2217">
                  <c:v>0.68201054628400148</c:v>
                </c:pt>
                <c:pt idx="2218">
                  <c:v>0.67371357727970327</c:v>
                </c:pt>
                <c:pt idx="2219">
                  <c:v>0.66862088420551935</c:v>
                </c:pt>
                <c:pt idx="2220">
                  <c:v>0.6654716709657692</c:v>
                </c:pt>
                <c:pt idx="2221">
                  <c:v>0.66190746317705718</c:v>
                </c:pt>
                <c:pt idx="2222">
                  <c:v>0.65779117489148897</c:v>
                </c:pt>
                <c:pt idx="2223">
                  <c:v>0.65132876552452712</c:v>
                </c:pt>
                <c:pt idx="2224">
                  <c:v>0.64418660538795625</c:v>
                </c:pt>
                <c:pt idx="2225">
                  <c:v>0.63746898314968703</c:v>
                </c:pt>
                <c:pt idx="2226">
                  <c:v>0.6308991584985375</c:v>
                </c:pt>
                <c:pt idx="2227">
                  <c:v>0.62488693380708527</c:v>
                </c:pt>
                <c:pt idx="2228">
                  <c:v>0.62285004213711492</c:v>
                </c:pt>
                <c:pt idx="2229">
                  <c:v>0.62218176264079439</c:v>
                </c:pt>
                <c:pt idx="2230">
                  <c:v>0.6224723190047956</c:v>
                </c:pt>
                <c:pt idx="2231">
                  <c:v>0.62454607884000146</c:v>
                </c:pt>
                <c:pt idx="2232">
                  <c:v>0.62634906002112467</c:v>
                </c:pt>
                <c:pt idx="2233">
                  <c:v>0.62266061662434369</c:v>
                </c:pt>
                <c:pt idx="2234">
                  <c:v>0.61501505631177644</c:v>
                </c:pt>
                <c:pt idx="2235">
                  <c:v>0.60236730525388604</c:v>
                </c:pt>
                <c:pt idx="2236">
                  <c:v>0.58399364125868669</c:v>
                </c:pt>
                <c:pt idx="2237">
                  <c:v>0.56350669622830096</c:v>
                </c:pt>
                <c:pt idx="2238">
                  <c:v>0.54083979384164849</c:v>
                </c:pt>
                <c:pt idx="2239">
                  <c:v>0.5197326422809081</c:v>
                </c:pt>
                <c:pt idx="2240">
                  <c:v>0.50131421523481801</c:v>
                </c:pt>
                <c:pt idx="2241">
                  <c:v>0.48808974823631562</c:v>
                </c:pt>
                <c:pt idx="2242">
                  <c:v>0.47828937462204496</c:v>
                </c:pt>
                <c:pt idx="2243">
                  <c:v>0.47441119360351108</c:v>
                </c:pt>
                <c:pt idx="2244">
                  <c:v>0.4751344858683918</c:v>
                </c:pt>
                <c:pt idx="2245">
                  <c:v>0.48109762834027681</c:v>
                </c:pt>
                <c:pt idx="2246">
                  <c:v>0.49105490877767677</c:v>
                </c:pt>
                <c:pt idx="2247">
                  <c:v>0.50635412793684609</c:v>
                </c:pt>
                <c:pt idx="2248">
                  <c:v>0.52214416100799987</c:v>
                </c:pt>
                <c:pt idx="2249">
                  <c:v>0.53724973726820302</c:v>
                </c:pt>
                <c:pt idx="2250">
                  <c:v>0.55020131707179454</c:v>
                </c:pt>
                <c:pt idx="2251">
                  <c:v>0.56016697382614011</c:v>
                </c:pt>
                <c:pt idx="2252">
                  <c:v>0.56657926775894962</c:v>
                </c:pt>
                <c:pt idx="2253">
                  <c:v>0.57207174565543428</c:v>
                </c:pt>
                <c:pt idx="2254">
                  <c:v>0.57623966620709344</c:v>
                </c:pt>
                <c:pt idx="2255">
                  <c:v>0.58027760528295458</c:v>
                </c:pt>
                <c:pt idx="2256">
                  <c:v>0.58565436944272908</c:v>
                </c:pt>
                <c:pt idx="2257">
                  <c:v>0.59036913122823198</c:v>
                </c:pt>
                <c:pt idx="2258">
                  <c:v>0.59441918090694035</c:v>
                </c:pt>
                <c:pt idx="2259">
                  <c:v>0.59833764139986223</c:v>
                </c:pt>
                <c:pt idx="2260">
                  <c:v>0.60306502557369646</c:v>
                </c:pt>
                <c:pt idx="2261">
                  <c:v>0.60820075840781351</c:v>
                </c:pt>
                <c:pt idx="2262">
                  <c:v>0.61482481981163151</c:v>
                </c:pt>
                <c:pt idx="2263">
                  <c:v>0.62362286385064913</c:v>
                </c:pt>
                <c:pt idx="2264">
                  <c:v>0.63475071765657221</c:v>
                </c:pt>
                <c:pt idx="2265">
                  <c:v>0.64741544115251537</c:v>
                </c:pt>
                <c:pt idx="2266">
                  <c:v>0.6652008414138838</c:v>
                </c:pt>
                <c:pt idx="2267">
                  <c:v>0.68764599870272891</c:v>
                </c:pt>
                <c:pt idx="2268">
                  <c:v>0.71513071242113035</c:v>
                </c:pt>
                <c:pt idx="2269">
                  <c:v>0.7469357684781025</c:v>
                </c:pt>
                <c:pt idx="2270">
                  <c:v>0.78146755082368324</c:v>
                </c:pt>
                <c:pt idx="2271">
                  <c:v>0.81591354707676766</c:v>
                </c:pt>
                <c:pt idx="2272">
                  <c:v>0.85214087068481914</c:v>
                </c:pt>
                <c:pt idx="2273">
                  <c:v>0.88592701299487764</c:v>
                </c:pt>
                <c:pt idx="2274">
                  <c:v>0.91098274258895018</c:v>
                </c:pt>
                <c:pt idx="2275">
                  <c:v>0.92476262317323321</c:v>
                </c:pt>
                <c:pt idx="2276">
                  <c:v>0.92182593911641586</c:v>
                </c:pt>
                <c:pt idx="2277">
                  <c:v>0.90002955103263682</c:v>
                </c:pt>
                <c:pt idx="2278">
                  <c:v>0.86467838375166961</c:v>
                </c:pt>
                <c:pt idx="2279">
                  <c:v>0.82539433657197625</c:v>
                </c:pt>
                <c:pt idx="2280">
                  <c:v>0.78773582763961347</c:v>
                </c:pt>
                <c:pt idx="2281">
                  <c:v>0.75630737937223202</c:v>
                </c:pt>
                <c:pt idx="2282">
                  <c:v>0.72940086231621259</c:v>
                </c:pt>
                <c:pt idx="2283">
                  <c:v>0.70483035710896169</c:v>
                </c:pt>
                <c:pt idx="2284">
                  <c:v>0.68254357048789083</c:v>
                </c:pt>
                <c:pt idx="2285">
                  <c:v>0.66262728503619783</c:v>
                </c:pt>
                <c:pt idx="2286">
                  <c:v>0.64503272192065364</c:v>
                </c:pt>
                <c:pt idx="2287">
                  <c:v>0.63347157338076143</c:v>
                </c:pt>
                <c:pt idx="2288">
                  <c:v>0.62973276310939641</c:v>
                </c:pt>
                <c:pt idx="2289">
                  <c:v>0.63108995894127229</c:v>
                </c:pt>
                <c:pt idx="2290">
                  <c:v>0.63647011230493578</c:v>
                </c:pt>
                <c:pt idx="2291">
                  <c:v>0.64629704030290058</c:v>
                </c:pt>
                <c:pt idx="2292">
                  <c:v>0.65723244800309999</c:v>
                </c:pt>
                <c:pt idx="2293">
                  <c:v>0.66793139497143938</c:v>
                </c:pt>
                <c:pt idx="2294">
                  <c:v>0.67893519003101377</c:v>
                </c:pt>
                <c:pt idx="2295">
                  <c:v>0.6868329698100657</c:v>
                </c:pt>
                <c:pt idx="2296">
                  <c:v>0.69310499237707779</c:v>
                </c:pt>
                <c:pt idx="2297">
                  <c:v>0.70253647941725728</c:v>
                </c:pt>
                <c:pt idx="2298">
                  <c:v>0.71281511454009705</c:v>
                </c:pt>
                <c:pt idx="2299">
                  <c:v>0.72063472436546783</c:v>
                </c:pt>
                <c:pt idx="2300">
                  <c:v>0.72958298494463247</c:v>
                </c:pt>
                <c:pt idx="2301">
                  <c:v>0.73800552747318027</c:v>
                </c:pt>
                <c:pt idx="2302">
                  <c:v>0.74728826027041217</c:v>
                </c:pt>
                <c:pt idx="2303">
                  <c:v>0.75869651873753075</c:v>
                </c:pt>
                <c:pt idx="2304">
                  <c:v>0.77323594357506586</c:v>
                </c:pt>
                <c:pt idx="2305">
                  <c:v>0.78953906128567908</c:v>
                </c:pt>
                <c:pt idx="2306">
                  <c:v>0.80621249547256113</c:v>
                </c:pt>
                <c:pt idx="2307">
                  <c:v>0.81585384043042575</c:v>
                </c:pt>
                <c:pt idx="2308">
                  <c:v>0.82053445158113869</c:v>
                </c:pt>
                <c:pt idx="2309">
                  <c:v>0.82236957511100151</c:v>
                </c:pt>
                <c:pt idx="2310">
                  <c:v>0.82007098384894939</c:v>
                </c:pt>
                <c:pt idx="2311">
                  <c:v>0.81350376847608108</c:v>
                </c:pt>
                <c:pt idx="2312">
                  <c:v>0.8053866269014841</c:v>
                </c:pt>
                <c:pt idx="2313">
                  <c:v>0.79587231529413771</c:v>
                </c:pt>
                <c:pt idx="2314">
                  <c:v>0.7863840044071021</c:v>
                </c:pt>
                <c:pt idx="2315">
                  <c:v>0.77621772415756252</c:v>
                </c:pt>
                <c:pt idx="2316">
                  <c:v>0.76776483754273184</c:v>
                </c:pt>
                <c:pt idx="2317">
                  <c:v>0.7617130445670468</c:v>
                </c:pt>
                <c:pt idx="2318">
                  <c:v>0.75665028398630108</c:v>
                </c:pt>
                <c:pt idx="2319">
                  <c:v>0.7525721237662174</c:v>
                </c:pt>
                <c:pt idx="2320">
                  <c:v>0.74975442610345244</c:v>
                </c:pt>
                <c:pt idx="2321">
                  <c:v>0.74763598684325416</c:v>
                </c:pt>
                <c:pt idx="2322">
                  <c:v>0.74844741451322117</c:v>
                </c:pt>
                <c:pt idx="2323">
                  <c:v>0.75428853202436941</c:v>
                </c:pt>
                <c:pt idx="2324">
                  <c:v>0.76420771932460552</c:v>
                </c:pt>
                <c:pt idx="2325">
                  <c:v>0.77782235833273716</c:v>
                </c:pt>
                <c:pt idx="2326">
                  <c:v>0.79050840431173619</c:v>
                </c:pt>
                <c:pt idx="2327">
                  <c:v>0.79558518164447944</c:v>
                </c:pt>
                <c:pt idx="2328">
                  <c:v>0.79216491891773655</c:v>
                </c:pt>
                <c:pt idx="2329">
                  <c:v>0.78097679663653563</c:v>
                </c:pt>
                <c:pt idx="2330">
                  <c:v>0.76673308921416972</c:v>
                </c:pt>
                <c:pt idx="2331">
                  <c:v>0.75366952328117987</c:v>
                </c:pt>
                <c:pt idx="2332">
                  <c:v>0.7455392141622017</c:v>
                </c:pt>
                <c:pt idx="2333">
                  <c:v>0.74091073878345315</c:v>
                </c:pt>
                <c:pt idx="2334">
                  <c:v>0.73893376595086713</c:v>
                </c:pt>
                <c:pt idx="2335">
                  <c:v>0.7350091082112733</c:v>
                </c:pt>
                <c:pt idx="2336">
                  <c:v>0.72775580396731798</c:v>
                </c:pt>
                <c:pt idx="2337">
                  <c:v>0.72093368388390178</c:v>
                </c:pt>
                <c:pt idx="2338">
                  <c:v>0.71772104153019511</c:v>
                </c:pt>
                <c:pt idx="2339">
                  <c:v>0.71838405081028223</c:v>
                </c:pt>
                <c:pt idx="2340">
                  <c:v>0.72583961110346373</c:v>
                </c:pt>
                <c:pt idx="2341">
                  <c:v>0.73944425011105208</c:v>
                </c:pt>
                <c:pt idx="2342">
                  <c:v>0.75353436119157746</c:v>
                </c:pt>
                <c:pt idx="2343">
                  <c:v>0.76572266087808005</c:v>
                </c:pt>
                <c:pt idx="2344">
                  <c:v>0.77570272875976054</c:v>
                </c:pt>
                <c:pt idx="2345">
                  <c:v>0.78161373243190346</c:v>
                </c:pt>
                <c:pt idx="2346">
                  <c:v>0.78867075387545427</c:v>
                </c:pt>
                <c:pt idx="2347">
                  <c:v>0.80328242273989048</c:v>
                </c:pt>
                <c:pt idx="2348">
                  <c:v>0.82368941155602471</c:v>
                </c:pt>
                <c:pt idx="2349">
                  <c:v>0.84970834610769774</c:v>
                </c:pt>
                <c:pt idx="2350">
                  <c:v>0.87869531646000421</c:v>
                </c:pt>
                <c:pt idx="2351">
                  <c:v>0.90147223764162832</c:v>
                </c:pt>
                <c:pt idx="2352">
                  <c:v>0.9087984665846992</c:v>
                </c:pt>
                <c:pt idx="2353">
                  <c:v>0.90028226322423954</c:v>
                </c:pt>
                <c:pt idx="2354">
                  <c:v>0.8777762466192145</c:v>
                </c:pt>
                <c:pt idx="2355">
                  <c:v>0.84832115678232356</c:v>
                </c:pt>
                <c:pt idx="2356">
                  <c:v>0.81996716262324043</c:v>
                </c:pt>
                <c:pt idx="2357">
                  <c:v>0.79710528453232887</c:v>
                </c:pt>
                <c:pt idx="2358">
                  <c:v>0.78175355292631754</c:v>
                </c:pt>
                <c:pt idx="2359">
                  <c:v>0.7731032985372317</c:v>
                </c:pt>
                <c:pt idx="2360">
                  <c:v>0.76856293210400317</c:v>
                </c:pt>
                <c:pt idx="2361">
                  <c:v>0.76515568515384402</c:v>
                </c:pt>
                <c:pt idx="2362">
                  <c:v>0.76048436931121222</c:v>
                </c:pt>
                <c:pt idx="2363">
                  <c:v>0.75455464844457243</c:v>
                </c:pt>
                <c:pt idx="2364">
                  <c:v>0.74625228875072303</c:v>
                </c:pt>
                <c:pt idx="2365">
                  <c:v>0.73457991811928181</c:v>
                </c:pt>
                <c:pt idx="2366">
                  <c:v>0.72045333763020103</c:v>
                </c:pt>
                <c:pt idx="2367">
                  <c:v>0.70681059056971529</c:v>
                </c:pt>
                <c:pt idx="2368">
                  <c:v>0.69350934409921172</c:v>
                </c:pt>
                <c:pt idx="2369">
                  <c:v>0.68054590341274135</c:v>
                </c:pt>
                <c:pt idx="2370">
                  <c:v>0.67023522425736815</c:v>
                </c:pt>
                <c:pt idx="2371">
                  <c:v>0.66458858320840919</c:v>
                </c:pt>
                <c:pt idx="2372">
                  <c:v>0.665618661865923</c:v>
                </c:pt>
                <c:pt idx="2373">
                  <c:v>0.67237582000738616</c:v>
                </c:pt>
                <c:pt idx="2374">
                  <c:v>0.68544956373544341</c:v>
                </c:pt>
                <c:pt idx="2375">
                  <c:v>0.70202930932087204</c:v>
                </c:pt>
                <c:pt idx="2376">
                  <c:v>0.71995188134676258</c:v>
                </c:pt>
                <c:pt idx="2377">
                  <c:v>0.73700510555229914</c:v>
                </c:pt>
                <c:pt idx="2378">
                  <c:v>0.75260948873343836</c:v>
                </c:pt>
                <c:pt idx="2379">
                  <c:v>0.76420622564430885</c:v>
                </c:pt>
                <c:pt idx="2380">
                  <c:v>0.7699154906075133</c:v>
                </c:pt>
                <c:pt idx="2381">
                  <c:v>0.76815542234097811</c:v>
                </c:pt>
                <c:pt idx="2382">
                  <c:v>0.76118900844006132</c:v>
                </c:pt>
                <c:pt idx="2383">
                  <c:v>0.75409905065930005</c:v>
                </c:pt>
                <c:pt idx="2384">
                  <c:v>0.75094730689704614</c:v>
                </c:pt>
                <c:pt idx="2385">
                  <c:v>0.75172128010976869</c:v>
                </c:pt>
                <c:pt idx="2386">
                  <c:v>0.75909183173279693</c:v>
                </c:pt>
                <c:pt idx="2387">
                  <c:v>0.76845081503663171</c:v>
                </c:pt>
                <c:pt idx="2388">
                  <c:v>0.7764237786439101</c:v>
                </c:pt>
                <c:pt idx="2389">
                  <c:v>0.7825755396546239</c:v>
                </c:pt>
                <c:pt idx="2390">
                  <c:v>0.79015678201962192</c:v>
                </c:pt>
                <c:pt idx="2391">
                  <c:v>0.79633321630930509</c:v>
                </c:pt>
                <c:pt idx="2392">
                  <c:v>0.80209346689342453</c:v>
                </c:pt>
                <c:pt idx="2393">
                  <c:v>0.80886125072299775</c:v>
                </c:pt>
                <c:pt idx="2394">
                  <c:v>0.81392804283247633</c:v>
                </c:pt>
                <c:pt idx="2395">
                  <c:v>0.81557007602024301</c:v>
                </c:pt>
                <c:pt idx="2396">
                  <c:v>0.81807069234771868</c:v>
                </c:pt>
                <c:pt idx="2397">
                  <c:v>0.82229066345970292</c:v>
                </c:pt>
                <c:pt idx="2398">
                  <c:v>0.82737527257046395</c:v>
                </c:pt>
                <c:pt idx="2399">
                  <c:v>0.83332821541883739</c:v>
                </c:pt>
                <c:pt idx="2400">
                  <c:v>0.84202572304474466</c:v>
                </c:pt>
                <c:pt idx="2401">
                  <c:v>0.8510323541568493</c:v>
                </c:pt>
                <c:pt idx="2402">
                  <c:v>0.85933816054809509</c:v>
                </c:pt>
                <c:pt idx="2403">
                  <c:v>0.86534315499329706</c:v>
                </c:pt>
                <c:pt idx="2404">
                  <c:v>0.86787561125247081</c:v>
                </c:pt>
                <c:pt idx="2405">
                  <c:v>0.86461010243762593</c:v>
                </c:pt>
                <c:pt idx="2406">
                  <c:v>0.85397563448560365</c:v>
                </c:pt>
                <c:pt idx="2407">
                  <c:v>0.83862680037616155</c:v>
                </c:pt>
                <c:pt idx="2408">
                  <c:v>0.82105993447466918</c:v>
                </c:pt>
                <c:pt idx="2409">
                  <c:v>0.80344505268589705</c:v>
                </c:pt>
                <c:pt idx="2410">
                  <c:v>0.78578508471655106</c:v>
                </c:pt>
                <c:pt idx="2411">
                  <c:v>0.77019400365513879</c:v>
                </c:pt>
                <c:pt idx="2412">
                  <c:v>0.75580297253515871</c:v>
                </c:pt>
                <c:pt idx="2413">
                  <c:v>0.7441308796486712</c:v>
                </c:pt>
                <c:pt idx="2414">
                  <c:v>0.73514714348150512</c:v>
                </c:pt>
                <c:pt idx="2415">
                  <c:v>0.73118933281263787</c:v>
                </c:pt>
                <c:pt idx="2416">
                  <c:v>0.731402390651685</c:v>
                </c:pt>
                <c:pt idx="2417">
                  <c:v>0.73439541451423052</c:v>
                </c:pt>
                <c:pt idx="2418">
                  <c:v>0.73780907536578566</c:v>
                </c:pt>
                <c:pt idx="2419">
                  <c:v>0.74192304213173033</c:v>
                </c:pt>
                <c:pt idx="2420">
                  <c:v>0.74548360153513904</c:v>
                </c:pt>
                <c:pt idx="2421">
                  <c:v>0.74890801670290796</c:v>
                </c:pt>
                <c:pt idx="2422">
                  <c:v>0.75247580912477607</c:v>
                </c:pt>
                <c:pt idx="2423">
                  <c:v>0.75674736511683538</c:v>
                </c:pt>
                <c:pt idx="2424">
                  <c:v>0.76172543763261535</c:v>
                </c:pt>
                <c:pt idx="2425">
                  <c:v>0.7700836483991047</c:v>
                </c:pt>
                <c:pt idx="2426">
                  <c:v>0.78410796825771345</c:v>
                </c:pt>
                <c:pt idx="2427">
                  <c:v>0.80443924404627931</c:v>
                </c:pt>
                <c:pt idx="2428">
                  <c:v>0.82990248356070784</c:v>
                </c:pt>
                <c:pt idx="2429">
                  <c:v>0.86003015236811053</c:v>
                </c:pt>
                <c:pt idx="2430">
                  <c:v>0.89006601354471548</c:v>
                </c:pt>
                <c:pt idx="2431">
                  <c:v>0.89080378332920929</c:v>
                </c:pt>
                <c:pt idx="2432">
                  <c:v>0.88178782743136463</c:v>
                </c:pt>
                <c:pt idx="2433">
                  <c:v>0.86236449595327913</c:v>
                </c:pt>
                <c:pt idx="2434">
                  <c:v>0.83126891651040347</c:v>
                </c:pt>
                <c:pt idx="2435">
                  <c:v>0.79420438271667126</c:v>
                </c:pt>
                <c:pt idx="2436">
                  <c:v>0.77793757704003907</c:v>
                </c:pt>
                <c:pt idx="2437">
                  <c:v>0.76652495219487493</c:v>
                </c:pt>
                <c:pt idx="2438">
                  <c:v>0.76160133868149926</c:v>
                </c:pt>
                <c:pt idx="2439">
                  <c:v>0.76468388710878576</c:v>
                </c:pt>
                <c:pt idx="2440">
                  <c:v>0.7741071985325827</c:v>
                </c:pt>
                <c:pt idx="2441">
                  <c:v>0.78865619831967204</c:v>
                </c:pt>
                <c:pt idx="2442">
                  <c:v>0.80427159794721326</c:v>
                </c:pt>
                <c:pt idx="2443">
                  <c:v>0.81996546611309951</c:v>
                </c:pt>
                <c:pt idx="2444">
                  <c:v>0.83703098345874127</c:v>
                </c:pt>
                <c:pt idx="2445">
                  <c:v>0.85404250349897903</c:v>
                </c:pt>
                <c:pt idx="2446">
                  <c:v>0.87012573457119124</c:v>
                </c:pt>
                <c:pt idx="2447">
                  <c:v>0.88482786082274334</c:v>
                </c:pt>
                <c:pt idx="2448">
                  <c:v>0.89988677919099092</c:v>
                </c:pt>
                <c:pt idx="2449">
                  <c:v>0.91060367048000912</c:v>
                </c:pt>
                <c:pt idx="2450">
                  <c:v>0.91737901248669373</c:v>
                </c:pt>
                <c:pt idx="2451">
                  <c:v>0.91812798132765838</c:v>
                </c:pt>
                <c:pt idx="2452">
                  <c:v>0.9107875545093217</c:v>
                </c:pt>
                <c:pt idx="2453">
                  <c:v>0.89291533925298217</c:v>
                </c:pt>
                <c:pt idx="2454">
                  <c:v>0.86959891046302296</c:v>
                </c:pt>
                <c:pt idx="2455">
                  <c:v>0.84123557934721849</c:v>
                </c:pt>
                <c:pt idx="2456">
                  <c:v>0.80995323809326203</c:v>
                </c:pt>
                <c:pt idx="2457">
                  <c:v>0.77895623711264483</c:v>
                </c:pt>
                <c:pt idx="2458">
                  <c:v>0.74853089690154884</c:v>
                </c:pt>
                <c:pt idx="2459">
                  <c:v>0.7192310331057693</c:v>
                </c:pt>
                <c:pt idx="2460">
                  <c:v>0.69227495753268964</c:v>
                </c:pt>
                <c:pt idx="2461">
                  <c:v>0.66992940672496859</c:v>
                </c:pt>
                <c:pt idx="2462">
                  <c:v>0.65195794548925923</c:v>
                </c:pt>
                <c:pt idx="2463">
                  <c:v>0.63881950791047837</c:v>
                </c:pt>
                <c:pt idx="2464">
                  <c:v>0.63152165327029108</c:v>
                </c:pt>
                <c:pt idx="2465">
                  <c:v>0.6300183319358551</c:v>
                </c:pt>
                <c:pt idx="2466">
                  <c:v>0.63147398677685851</c:v>
                </c:pt>
                <c:pt idx="2467">
                  <c:v>0.6348168705524867</c:v>
                </c:pt>
                <c:pt idx="2468">
                  <c:v>0.63910965696156674</c:v>
                </c:pt>
                <c:pt idx="2469">
                  <c:v>0.64138299896455742</c:v>
                </c:pt>
                <c:pt idx="2470">
                  <c:v>0.63825371986079205</c:v>
                </c:pt>
                <c:pt idx="2471">
                  <c:v>0.63027800572338577</c:v>
                </c:pt>
                <c:pt idx="2472">
                  <c:v>0.62111694113360771</c:v>
                </c:pt>
                <c:pt idx="2473">
                  <c:v>0.61399239389139315</c:v>
                </c:pt>
                <c:pt idx="2474">
                  <c:v>0.60995623143695077</c:v>
                </c:pt>
                <c:pt idx="2475">
                  <c:v>0.61113228211126158</c:v>
                </c:pt>
                <c:pt idx="2476">
                  <c:v>0.61927231234299662</c:v>
                </c:pt>
                <c:pt idx="2477">
                  <c:v>0.63444719514032066</c:v>
                </c:pt>
                <c:pt idx="2478">
                  <c:v>0.65514983785453407</c:v>
                </c:pt>
                <c:pt idx="2479">
                  <c:v>0.67999754034491389</c:v>
                </c:pt>
                <c:pt idx="2480">
                  <c:v>0.70632356927975015</c:v>
                </c:pt>
                <c:pt idx="2481">
                  <c:v>0.73150143668768131</c:v>
                </c:pt>
                <c:pt idx="2482">
                  <c:v>0.75126646921798779</c:v>
                </c:pt>
                <c:pt idx="2483">
                  <c:v>0.76338497524722126</c:v>
                </c:pt>
                <c:pt idx="2484">
                  <c:v>0.7673371052488076</c:v>
                </c:pt>
                <c:pt idx="2485">
                  <c:v>0.76450173786247133</c:v>
                </c:pt>
                <c:pt idx="2486">
                  <c:v>0.75574067492338715</c:v>
                </c:pt>
                <c:pt idx="2487">
                  <c:v>0.74517508671683863</c:v>
                </c:pt>
                <c:pt idx="2488">
                  <c:v>0.73422275242769963</c:v>
                </c:pt>
                <c:pt idx="2489">
                  <c:v>0.7238654942179954</c:v>
                </c:pt>
                <c:pt idx="2490">
                  <c:v>0.71688202516282773</c:v>
                </c:pt>
                <c:pt idx="2491">
                  <c:v>0.71505918317557915</c:v>
                </c:pt>
                <c:pt idx="2492">
                  <c:v>0.71476743406635845</c:v>
                </c:pt>
                <c:pt idx="2493">
                  <c:v>0.71489331772857512</c:v>
                </c:pt>
                <c:pt idx="2494">
                  <c:v>0.71641229617737301</c:v>
                </c:pt>
                <c:pt idx="2495">
                  <c:v>0.71848995447407604</c:v>
                </c:pt>
                <c:pt idx="2496">
                  <c:v>0.72175498536841265</c:v>
                </c:pt>
                <c:pt idx="2497">
                  <c:v>0.73005446386806394</c:v>
                </c:pt>
                <c:pt idx="2498">
                  <c:v>0.74497289407188416</c:v>
                </c:pt>
                <c:pt idx="2499">
                  <c:v>0.76448056598679603</c:v>
                </c:pt>
                <c:pt idx="2500">
                  <c:v>0.78481336866593598</c:v>
                </c:pt>
                <c:pt idx="2501">
                  <c:v>0.80097428643014845</c:v>
                </c:pt>
                <c:pt idx="2502">
                  <c:v>0.80931591367705524</c:v>
                </c:pt>
                <c:pt idx="2503">
                  <c:v>0.81207721080369588</c:v>
                </c:pt>
                <c:pt idx="2504">
                  <c:v>0.80924802791595174</c:v>
                </c:pt>
                <c:pt idx="2505">
                  <c:v>0.80098962254739636</c:v>
                </c:pt>
                <c:pt idx="2506">
                  <c:v>0.78919601648889959</c:v>
                </c:pt>
                <c:pt idx="2507">
                  <c:v>0.77560868533663851</c:v>
                </c:pt>
                <c:pt idx="2508">
                  <c:v>0.75659056405287539</c:v>
                </c:pt>
                <c:pt idx="2509">
                  <c:v>0.73546047415635674</c:v>
                </c:pt>
                <c:pt idx="2510">
                  <c:v>0.71379425644259953</c:v>
                </c:pt>
                <c:pt idx="2511">
                  <c:v>0.6922980392135063</c:v>
                </c:pt>
                <c:pt idx="2512">
                  <c:v>0.66974547673713047</c:v>
                </c:pt>
                <c:pt idx="2513">
                  <c:v>0.6482002081769952</c:v>
                </c:pt>
                <c:pt idx="2514">
                  <c:v>0.62348485829860878</c:v>
                </c:pt>
                <c:pt idx="2515">
                  <c:v>0.59742663686702047</c:v>
                </c:pt>
                <c:pt idx="2516">
                  <c:v>0.57336208003378364</c:v>
                </c:pt>
                <c:pt idx="2517">
                  <c:v>0.55644829245799543</c:v>
                </c:pt>
                <c:pt idx="2518">
                  <c:v>0.54665978375453095</c:v>
                </c:pt>
                <c:pt idx="2519">
                  <c:v>0.54454858009349028</c:v>
                </c:pt>
                <c:pt idx="2520">
                  <c:v>0.54917845226553696</c:v>
                </c:pt>
                <c:pt idx="2521">
                  <c:v>0.55615764282622859</c:v>
                </c:pt>
                <c:pt idx="2522">
                  <c:v>0.56198092653153953</c:v>
                </c:pt>
                <c:pt idx="2523">
                  <c:v>0.56546396069386162</c:v>
                </c:pt>
                <c:pt idx="2524">
                  <c:v>0.56711985122341735</c:v>
                </c:pt>
                <c:pt idx="2525">
                  <c:v>0.56590197373571816</c:v>
                </c:pt>
                <c:pt idx="2526">
                  <c:v>0.56338050367988468</c:v>
                </c:pt>
                <c:pt idx="2527">
                  <c:v>0.55890991435543791</c:v>
                </c:pt>
                <c:pt idx="2528">
                  <c:v>0.55172500688206905</c:v>
                </c:pt>
                <c:pt idx="2529">
                  <c:v>0.54082163769113978</c:v>
                </c:pt>
                <c:pt idx="2530">
                  <c:v>0.52715473091008491</c:v>
                </c:pt>
                <c:pt idx="2531">
                  <c:v>0.51116218231250643</c:v>
                </c:pt>
                <c:pt idx="2532">
                  <c:v>0.49454191862848507</c:v>
                </c:pt>
                <c:pt idx="2533">
                  <c:v>0.47931608330709136</c:v>
                </c:pt>
                <c:pt idx="2534">
                  <c:v>0.46844035686674074</c:v>
                </c:pt>
                <c:pt idx="2535">
                  <c:v>0.46283290353687451</c:v>
                </c:pt>
                <c:pt idx="2536">
                  <c:v>0.46269198620727775</c:v>
                </c:pt>
                <c:pt idx="2537">
                  <c:v>0.46552827189128837</c:v>
                </c:pt>
                <c:pt idx="2538">
                  <c:v>0.46923801031573165</c:v>
                </c:pt>
                <c:pt idx="2539">
                  <c:v>0.4712099919531908</c:v>
                </c:pt>
                <c:pt idx="2540">
                  <c:v>0.47168885281543438</c:v>
                </c:pt>
                <c:pt idx="2541">
                  <c:v>0.47129671194035938</c:v>
                </c:pt>
                <c:pt idx="2542">
                  <c:v>0.47314438600776959</c:v>
                </c:pt>
                <c:pt idx="2543">
                  <c:v>0.47648844473138902</c:v>
                </c:pt>
                <c:pt idx="2544">
                  <c:v>0.48208557508952254</c:v>
                </c:pt>
                <c:pt idx="2545">
                  <c:v>0.48807220687317204</c:v>
                </c:pt>
                <c:pt idx="2546">
                  <c:v>0.49457721296282503</c:v>
                </c:pt>
                <c:pt idx="2547">
                  <c:v>0.50147837580114552</c:v>
                </c:pt>
                <c:pt idx="2548">
                  <c:v>0.50802012562715815</c:v>
                </c:pt>
                <c:pt idx="2549">
                  <c:v>0.51496064503282757</c:v>
                </c:pt>
                <c:pt idx="2550">
                  <c:v>0.5229392538923977</c:v>
                </c:pt>
                <c:pt idx="2551">
                  <c:v>0.53043318609475698</c:v>
                </c:pt>
                <c:pt idx="2552">
                  <c:v>0.53602796488633908</c:v>
                </c:pt>
                <c:pt idx="2553">
                  <c:v>0.54304707841358635</c:v>
                </c:pt>
                <c:pt idx="2554">
                  <c:v>0.5522758662264815</c:v>
                </c:pt>
                <c:pt idx="2555">
                  <c:v>0.56361085047108594</c:v>
                </c:pt>
                <c:pt idx="2556">
                  <c:v>0.57747110065982099</c:v>
                </c:pt>
                <c:pt idx="2557">
                  <c:v>0.59271808340233312</c:v>
                </c:pt>
                <c:pt idx="2558">
                  <c:v>0.60660420427479722</c:v>
                </c:pt>
                <c:pt idx="2559">
                  <c:v>0.61936996642102737</c:v>
                </c:pt>
                <c:pt idx="2560">
                  <c:v>0.63232761165302631</c:v>
                </c:pt>
                <c:pt idx="2561">
                  <c:v>0.64454224032664365</c:v>
                </c:pt>
                <c:pt idx="2562">
                  <c:v>0.65364506544917067</c:v>
                </c:pt>
                <c:pt idx="2563">
                  <c:v>0.66089694133299781</c:v>
                </c:pt>
                <c:pt idx="2564">
                  <c:v>0.66614701020958833</c:v>
                </c:pt>
                <c:pt idx="2565">
                  <c:v>0.66816768186374398</c:v>
                </c:pt>
                <c:pt idx="2566">
                  <c:v>0.66829960045838632</c:v>
                </c:pt>
                <c:pt idx="2567">
                  <c:v>0.66978216914977484</c:v>
                </c:pt>
                <c:pt idx="2568">
                  <c:v>0.67383595364973425</c:v>
                </c:pt>
                <c:pt idx="2569">
                  <c:v>0.6802018952312221</c:v>
                </c:pt>
                <c:pt idx="2570">
                  <c:v>0.68794449056857288</c:v>
                </c:pt>
                <c:pt idx="2571">
                  <c:v>0.69625685459773701</c:v>
                </c:pt>
                <c:pt idx="2572">
                  <c:v>0.70623912472925376</c:v>
                </c:pt>
                <c:pt idx="2573">
                  <c:v>0.71873480416928837</c:v>
                </c:pt>
                <c:pt idx="2574">
                  <c:v>0.73336113773357081</c:v>
                </c:pt>
                <c:pt idx="2575">
                  <c:v>0.75321025907422245</c:v>
                </c:pt>
                <c:pt idx="2576">
                  <c:v>0.77810251475776959</c:v>
                </c:pt>
                <c:pt idx="2577">
                  <c:v>0.8073041265303712</c:v>
                </c:pt>
                <c:pt idx="2578">
                  <c:v>0.83777631710943745</c:v>
                </c:pt>
                <c:pt idx="2579">
                  <c:v>0.86521597354576019</c:v>
                </c:pt>
                <c:pt idx="2580">
                  <c:v>0.88533401917868815</c:v>
                </c:pt>
                <c:pt idx="2581">
                  <c:v>0.8987259214122576</c:v>
                </c:pt>
                <c:pt idx="2582">
                  <c:v>0.90837551972639152</c:v>
                </c:pt>
                <c:pt idx="2583">
                  <c:v>0.91542067977180874</c:v>
                </c:pt>
                <c:pt idx="2584">
                  <c:v>0.92248128019393916</c:v>
                </c:pt>
                <c:pt idx="2585">
                  <c:v>0.92985079862676223</c:v>
                </c:pt>
                <c:pt idx="2586">
                  <c:v>0.93664864662279335</c:v>
                </c:pt>
                <c:pt idx="2587">
                  <c:v>0.93830578260429587</c:v>
                </c:pt>
                <c:pt idx="2588">
                  <c:v>0.93775552410877305</c:v>
                </c:pt>
                <c:pt idx="2589">
                  <c:v>0.93588100517552408</c:v>
                </c:pt>
                <c:pt idx="2590">
                  <c:v>0.93444817474446962</c:v>
                </c:pt>
                <c:pt idx="2591">
                  <c:v>0.93448631196940313</c:v>
                </c:pt>
                <c:pt idx="2592">
                  <c:v>0.93526060775152275</c:v>
                </c:pt>
                <c:pt idx="2593">
                  <c:v>0.93118015285823685</c:v>
                </c:pt>
                <c:pt idx="2594">
                  <c:v>0.9218178667384197</c:v>
                </c:pt>
                <c:pt idx="2595">
                  <c:v>0.90560394862129134</c:v>
                </c:pt>
                <c:pt idx="2596">
                  <c:v>0.88117451097955091</c:v>
                </c:pt>
                <c:pt idx="2597">
                  <c:v>0.85186079889421518</c:v>
                </c:pt>
                <c:pt idx="2598">
                  <c:v>0.82164186561073316</c:v>
                </c:pt>
                <c:pt idx="2599">
                  <c:v>0.79352352947767058</c:v>
                </c:pt>
                <c:pt idx="2600">
                  <c:v>0.77041234628431332</c:v>
                </c:pt>
                <c:pt idx="2601">
                  <c:v>0.75612399320626411</c:v>
                </c:pt>
                <c:pt idx="2602">
                  <c:v>0.75082259529281092</c:v>
                </c:pt>
                <c:pt idx="2603">
                  <c:v>0.7515309389571696</c:v>
                </c:pt>
                <c:pt idx="2604">
                  <c:v>0.7555957221388192</c:v>
                </c:pt>
                <c:pt idx="2605">
                  <c:v>0.76134933381770231</c:v>
                </c:pt>
                <c:pt idx="2606">
                  <c:v>0.76332441016967578</c:v>
                </c:pt>
                <c:pt idx="2607">
                  <c:v>0.7584281495099443</c:v>
                </c:pt>
                <c:pt idx="2608">
                  <c:v>0.75157985249493442</c:v>
                </c:pt>
                <c:pt idx="2609">
                  <c:v>0.74334982198383215</c:v>
                </c:pt>
                <c:pt idx="2610">
                  <c:v>0.73472225547679804</c:v>
                </c:pt>
                <c:pt idx="2611">
                  <c:v>0.72889264586204416</c:v>
                </c:pt>
                <c:pt idx="2612">
                  <c:v>0.72584567257896182</c:v>
                </c:pt>
                <c:pt idx="2613">
                  <c:v>0.72252346568911818</c:v>
                </c:pt>
                <c:pt idx="2614">
                  <c:v>0.71906578518456321</c:v>
                </c:pt>
                <c:pt idx="2615">
                  <c:v>0.71727142924041609</c:v>
                </c:pt>
                <c:pt idx="2616">
                  <c:v>0.71727591381837186</c:v>
                </c:pt>
                <c:pt idx="2617">
                  <c:v>0.72185207838747401</c:v>
                </c:pt>
                <c:pt idx="2618">
                  <c:v>0.73144030558178152</c:v>
                </c:pt>
                <c:pt idx="2619">
                  <c:v>0.74483332543421388</c:v>
                </c:pt>
                <c:pt idx="2620">
                  <c:v>0.75899132213887643</c:v>
                </c:pt>
                <c:pt idx="2621">
                  <c:v>0.77350111939237121</c:v>
                </c:pt>
                <c:pt idx="2622">
                  <c:v>0.78524819566790272</c:v>
                </c:pt>
                <c:pt idx="2623">
                  <c:v>0.79178621443826613</c:v>
                </c:pt>
                <c:pt idx="2624">
                  <c:v>0.79265425627801978</c:v>
                </c:pt>
                <c:pt idx="2625">
                  <c:v>0.79082500411046264</c:v>
                </c:pt>
                <c:pt idx="2626">
                  <c:v>0.78573425004844377</c:v>
                </c:pt>
                <c:pt idx="2627">
                  <c:v>0.77996756926673538</c:v>
                </c:pt>
                <c:pt idx="2628">
                  <c:v>0.77322396600115428</c:v>
                </c:pt>
                <c:pt idx="2629">
                  <c:v>0.76508806289461173</c:v>
                </c:pt>
                <c:pt idx="2630">
                  <c:v>0.75080340518318478</c:v>
                </c:pt>
                <c:pt idx="2631">
                  <c:v>0.73115484190605085</c:v>
                </c:pt>
                <c:pt idx="2632">
                  <c:v>0.706941414005819</c:v>
                </c:pt>
                <c:pt idx="2633">
                  <c:v>0.68293473519855885</c:v>
                </c:pt>
                <c:pt idx="2634">
                  <c:v>0.66416162985663763</c:v>
                </c:pt>
                <c:pt idx="2635">
                  <c:v>0.65498524558420113</c:v>
                </c:pt>
                <c:pt idx="2636">
                  <c:v>0.65476388781881434</c:v>
                </c:pt>
                <c:pt idx="2637">
                  <c:v>0.66199952093360759</c:v>
                </c:pt>
                <c:pt idx="2638">
                  <c:v>0.67429363240911699</c:v>
                </c:pt>
                <c:pt idx="2639">
                  <c:v>0.69020362061541451</c:v>
                </c:pt>
                <c:pt idx="2640">
                  <c:v>0.7075800325009407</c:v>
                </c:pt>
                <c:pt idx="2641">
                  <c:v>0.72741844527165522</c:v>
                </c:pt>
                <c:pt idx="2642">
                  <c:v>0.75032313256260208</c:v>
                </c:pt>
                <c:pt idx="2643">
                  <c:v>0.77565210637719173</c:v>
                </c:pt>
                <c:pt idx="2644">
                  <c:v>0.80061202353685945</c:v>
                </c:pt>
                <c:pt idx="2645">
                  <c:v>0.82618893423451256</c:v>
                </c:pt>
                <c:pt idx="2646">
                  <c:v>0.85109059477195281</c:v>
                </c:pt>
                <c:pt idx="2647">
                  <c:v>0.87195667657261566</c:v>
                </c:pt>
                <c:pt idx="2648">
                  <c:v>0.8865265788692106</c:v>
                </c:pt>
                <c:pt idx="2649">
                  <c:v>0.89559897203024674</c:v>
                </c:pt>
                <c:pt idx="2650">
                  <c:v>0.89606614700869747</c:v>
                </c:pt>
                <c:pt idx="2651">
                  <c:v>0.88821826799645454</c:v>
                </c:pt>
                <c:pt idx="2652">
                  <c:v>0.87574019465206954</c:v>
                </c:pt>
                <c:pt idx="2653">
                  <c:v>0.86258442302962957</c:v>
                </c:pt>
                <c:pt idx="2654">
                  <c:v>0.8496244715313106</c:v>
                </c:pt>
                <c:pt idx="2655">
                  <c:v>0.83743304957261822</c:v>
                </c:pt>
                <c:pt idx="2656">
                  <c:v>0.82614580240174029</c:v>
                </c:pt>
                <c:pt idx="2657">
                  <c:v>0.81418568660799884</c:v>
                </c:pt>
                <c:pt idx="2658">
                  <c:v>0.80184476306962904</c:v>
                </c:pt>
                <c:pt idx="2659">
                  <c:v>0.79096737770002967</c:v>
                </c:pt>
                <c:pt idx="2660">
                  <c:v>0.78478553411276852</c:v>
                </c:pt>
                <c:pt idx="2661">
                  <c:v>0.7822836458359459</c:v>
                </c:pt>
                <c:pt idx="2662">
                  <c:v>0.78542794489213796</c:v>
                </c:pt>
                <c:pt idx="2663">
                  <c:v>0.79564996151895717</c:v>
                </c:pt>
                <c:pt idx="2664">
                  <c:v>0.81130631098917427</c:v>
                </c:pt>
                <c:pt idx="2665">
                  <c:v>0.83003792626460893</c:v>
                </c:pt>
                <c:pt idx="2666">
                  <c:v>0.85174839207734332</c:v>
                </c:pt>
                <c:pt idx="2667">
                  <c:v>0.87257715235579159</c:v>
                </c:pt>
                <c:pt idx="2668">
                  <c:v>0.89192263599895893</c:v>
                </c:pt>
                <c:pt idx="2669">
                  <c:v>0.90888010349036452</c:v>
                </c:pt>
                <c:pt idx="2670">
                  <c:v>0.92047986940176252</c:v>
                </c:pt>
                <c:pt idx="2671">
                  <c:v>0.92197385963851453</c:v>
                </c:pt>
                <c:pt idx="2672">
                  <c:v>0.91730765085652444</c:v>
                </c:pt>
                <c:pt idx="2673">
                  <c:v>0.90519109851827195</c:v>
                </c:pt>
                <c:pt idx="2674">
                  <c:v>0.88817047915633718</c:v>
                </c:pt>
                <c:pt idx="2675">
                  <c:v>0.87224591051582712</c:v>
                </c:pt>
                <c:pt idx="2676">
                  <c:v>0.86302797169270973</c:v>
                </c:pt>
                <c:pt idx="2677">
                  <c:v>0.86104003459524658</c:v>
                </c:pt>
                <c:pt idx="2678">
                  <c:v>0.86612318622654472</c:v>
                </c:pt>
                <c:pt idx="2679">
                  <c:v>0.87700216579513746</c:v>
                </c:pt>
                <c:pt idx="2680">
                  <c:v>0.89110948286784131</c:v>
                </c:pt>
                <c:pt idx="2681">
                  <c:v>0.90658297488574002</c:v>
                </c:pt>
                <c:pt idx="2682">
                  <c:v>0.91772316374851826</c:v>
                </c:pt>
                <c:pt idx="2683">
                  <c:v>0.92155896896482048</c:v>
                </c:pt>
                <c:pt idx="2684">
                  <c:v>0.91558198781407485</c:v>
                </c:pt>
                <c:pt idx="2685">
                  <c:v>0.89969639152057546</c:v>
                </c:pt>
                <c:pt idx="2686">
                  <c:v>0.87649324326319045</c:v>
                </c:pt>
                <c:pt idx="2687">
                  <c:v>0.84927722967269514</c:v>
                </c:pt>
                <c:pt idx="2688">
                  <c:v>0.81786551643496752</c:v>
                </c:pt>
                <c:pt idx="2689">
                  <c:v>0.78506229065315269</c:v>
                </c:pt>
                <c:pt idx="2690">
                  <c:v>0.75357409592003133</c:v>
                </c:pt>
                <c:pt idx="2691">
                  <c:v>0.72558652612051222</c:v>
                </c:pt>
                <c:pt idx="2692">
                  <c:v>0.70183585177658125</c:v>
                </c:pt>
                <c:pt idx="2693">
                  <c:v>0.68283603275222204</c:v>
                </c:pt>
                <c:pt idx="2694">
                  <c:v>0.66749054872319424</c:v>
                </c:pt>
                <c:pt idx="2695">
                  <c:v>0.65479572977474121</c:v>
                </c:pt>
                <c:pt idx="2696">
                  <c:v>0.64350801567197502</c:v>
                </c:pt>
                <c:pt idx="2697">
                  <c:v>0.63200983812604572</c:v>
                </c:pt>
                <c:pt idx="2698">
                  <c:v>0.6256155790265755</c:v>
                </c:pt>
                <c:pt idx="2699">
                  <c:v>0.62282216269386304</c:v>
                </c:pt>
                <c:pt idx="2700">
                  <c:v>0.62295115976901327</c:v>
                </c:pt>
                <c:pt idx="2701">
                  <c:v>0.62453971265063968</c:v>
                </c:pt>
                <c:pt idx="2702">
                  <c:v>0.62732319675157766</c:v>
                </c:pt>
                <c:pt idx="2703">
                  <c:v>0.62784901351872457</c:v>
                </c:pt>
                <c:pt idx="2704">
                  <c:v>0.62810947973851261</c:v>
                </c:pt>
                <c:pt idx="2705">
                  <c:v>0.62783870788019525</c:v>
                </c:pt>
                <c:pt idx="2706">
                  <c:v>0.62823154628376188</c:v>
                </c:pt>
                <c:pt idx="2707">
                  <c:v>0.6311460432022028</c:v>
                </c:pt>
                <c:pt idx="2708">
                  <c:v>0.63579075710126509</c:v>
                </c:pt>
                <c:pt idx="2709">
                  <c:v>0.64110684410893926</c:v>
                </c:pt>
                <c:pt idx="2710">
                  <c:v>0.64643032655688004</c:v>
                </c:pt>
                <c:pt idx="2711">
                  <c:v>0.65122628000010718</c:v>
                </c:pt>
                <c:pt idx="2712">
                  <c:v>0.6558941822106209</c:v>
                </c:pt>
                <c:pt idx="2713">
                  <c:v>0.66271271618032801</c:v>
                </c:pt>
                <c:pt idx="2714">
                  <c:v>0.67183030019111989</c:v>
                </c:pt>
                <c:pt idx="2715">
                  <c:v>0.68448337346230181</c:v>
                </c:pt>
                <c:pt idx="2716">
                  <c:v>0.69827157593074252</c:v>
                </c:pt>
                <c:pt idx="2717">
                  <c:v>0.71402757518638249</c:v>
                </c:pt>
                <c:pt idx="2718">
                  <c:v>0.7286249384856075</c:v>
                </c:pt>
                <c:pt idx="2719">
                  <c:v>0.74177045581195178</c:v>
                </c:pt>
                <c:pt idx="2720">
                  <c:v>0.7546885433760393</c:v>
                </c:pt>
                <c:pt idx="2721">
                  <c:v>0.76862404050767852</c:v>
                </c:pt>
                <c:pt idx="2722">
                  <c:v>0.78219438577956613</c:v>
                </c:pt>
                <c:pt idx="2723">
                  <c:v>0.79399643433309264</c:v>
                </c:pt>
                <c:pt idx="2724">
                  <c:v>0.80387161933020335</c:v>
                </c:pt>
                <c:pt idx="2725">
                  <c:v>0.80717230053062439</c:v>
                </c:pt>
                <c:pt idx="2726">
                  <c:v>0.80584608074217079</c:v>
                </c:pt>
                <c:pt idx="2727">
                  <c:v>0.80158213949380686</c:v>
                </c:pt>
                <c:pt idx="2728">
                  <c:v>0.79984180473924726</c:v>
                </c:pt>
                <c:pt idx="2729">
                  <c:v>0.8004786996707749</c:v>
                </c:pt>
                <c:pt idx="2730">
                  <c:v>0.8032126579288652</c:v>
                </c:pt>
                <c:pt idx="2731">
                  <c:v>0.80273067794437503</c:v>
                </c:pt>
                <c:pt idx="2732">
                  <c:v>0.79708362814678879</c:v>
                </c:pt>
                <c:pt idx="2733">
                  <c:v>0.78352498297290707</c:v>
                </c:pt>
                <c:pt idx="2734">
                  <c:v>0.76588795874068483</c:v>
                </c:pt>
                <c:pt idx="2735">
                  <c:v>0.74836122737326927</c:v>
                </c:pt>
                <c:pt idx="2736">
                  <c:v>0.7350400466770779</c:v>
                </c:pt>
                <c:pt idx="2737">
                  <c:v>0.72559491420345945</c:v>
                </c:pt>
                <c:pt idx="2738">
                  <c:v>0.72039277939907309</c:v>
                </c:pt>
                <c:pt idx="2739">
                  <c:v>0.7156102282178558</c:v>
                </c:pt>
                <c:pt idx="2740">
                  <c:v>0.71110909256711763</c:v>
                </c:pt>
                <c:pt idx="2741">
                  <c:v>0.70607787614139161</c:v>
                </c:pt>
                <c:pt idx="2742">
                  <c:v>0.70213647859543438</c:v>
                </c:pt>
                <c:pt idx="2743">
                  <c:v>0.69928012427426856</c:v>
                </c:pt>
                <c:pt idx="2744">
                  <c:v>0.69790738555158893</c:v>
                </c:pt>
                <c:pt idx="2745">
                  <c:v>0.69761162448638936</c:v>
                </c:pt>
                <c:pt idx="2746">
                  <c:v>0.70013975221396674</c:v>
                </c:pt>
                <c:pt idx="2747">
                  <c:v>0.70455333886214988</c:v>
                </c:pt>
                <c:pt idx="2748">
                  <c:v>0.71153435047615821</c:v>
                </c:pt>
                <c:pt idx="2749">
                  <c:v>0.72042202976432268</c:v>
                </c:pt>
                <c:pt idx="2750">
                  <c:v>0.72743160933093609</c:v>
                </c:pt>
                <c:pt idx="2751">
                  <c:v>0.73119356062002805</c:v>
                </c:pt>
                <c:pt idx="2752">
                  <c:v>0.73251353859741808</c:v>
                </c:pt>
                <c:pt idx="2753">
                  <c:v>0.73193284336319753</c:v>
                </c:pt>
                <c:pt idx="2754">
                  <c:v>0.72999678863609552</c:v>
                </c:pt>
                <c:pt idx="2755">
                  <c:v>0.7273858546820271</c:v>
                </c:pt>
                <c:pt idx="2756">
                  <c:v>0.72518470358032294</c:v>
                </c:pt>
                <c:pt idx="2757">
                  <c:v>0.72447331406524995</c:v>
                </c:pt>
                <c:pt idx="2758">
                  <c:v>0.72322201985569434</c:v>
                </c:pt>
                <c:pt idx="2759">
                  <c:v>0.72176731711456543</c:v>
                </c:pt>
                <c:pt idx="2760">
                  <c:v>0.72179820741509892</c:v>
                </c:pt>
                <c:pt idx="2761">
                  <c:v>0.72345011738921161</c:v>
                </c:pt>
                <c:pt idx="2762">
                  <c:v>0.72564368241118837</c:v>
                </c:pt>
                <c:pt idx="2763">
                  <c:v>0.73081755900515999</c:v>
                </c:pt>
                <c:pt idx="2764">
                  <c:v>0.7388512392167369</c:v>
                </c:pt>
                <c:pt idx="2765">
                  <c:v>0.74786058667913113</c:v>
                </c:pt>
                <c:pt idx="2766">
                  <c:v>0.75375598789189924</c:v>
                </c:pt>
                <c:pt idx="2767">
                  <c:v>0.75337873585446291</c:v>
                </c:pt>
                <c:pt idx="2768">
                  <c:v>0.74496061232219912</c:v>
                </c:pt>
                <c:pt idx="2769">
                  <c:v>0.73046322291722132</c:v>
                </c:pt>
                <c:pt idx="2770">
                  <c:v>0.71199400333059537</c:v>
                </c:pt>
                <c:pt idx="2771">
                  <c:v>0.69297163020690977</c:v>
                </c:pt>
                <c:pt idx="2772">
                  <c:v>0.67699883597777255</c:v>
                </c:pt>
                <c:pt idx="2773">
                  <c:v>0.66442386247443941</c:v>
                </c:pt>
                <c:pt idx="2774">
                  <c:v>0.65546602342482274</c:v>
                </c:pt>
                <c:pt idx="2775">
                  <c:v>0.6502217625200587</c:v>
                </c:pt>
                <c:pt idx="2776">
                  <c:v>0.6490645962186653</c:v>
                </c:pt>
                <c:pt idx="2777">
                  <c:v>0.6488292336092133</c:v>
                </c:pt>
                <c:pt idx="2778">
                  <c:v>0.64964696309320025</c:v>
                </c:pt>
                <c:pt idx="2779">
                  <c:v>0.64954333904341266</c:v>
                </c:pt>
                <c:pt idx="2780">
                  <c:v>0.64930792740077115</c:v>
                </c:pt>
                <c:pt idx="2781">
                  <c:v>0.64683569737607394</c:v>
                </c:pt>
                <c:pt idx="2782">
                  <c:v>0.64357716109208962</c:v>
                </c:pt>
                <c:pt idx="2783">
                  <c:v>0.63966615213022626</c:v>
                </c:pt>
                <c:pt idx="2784">
                  <c:v>0.63615379247900505</c:v>
                </c:pt>
                <c:pt idx="2785">
                  <c:v>0.6322534267903166</c:v>
                </c:pt>
                <c:pt idx="2786">
                  <c:v>0.62822829083971121</c:v>
                </c:pt>
                <c:pt idx="2787">
                  <c:v>0.62355691111129408</c:v>
                </c:pt>
                <c:pt idx="2788">
                  <c:v>0.61915469589218453</c:v>
                </c:pt>
                <c:pt idx="2789">
                  <c:v>0.61501966320013213</c:v>
                </c:pt>
                <c:pt idx="2790">
                  <c:v>0.6127079605252661</c:v>
                </c:pt>
                <c:pt idx="2791">
                  <c:v>0.61494229018763158</c:v>
                </c:pt>
                <c:pt idx="2792">
                  <c:v>0.62277828000607682</c:v>
                </c:pt>
                <c:pt idx="2793">
                  <c:v>0.63417194790565345</c:v>
                </c:pt>
                <c:pt idx="2794">
                  <c:v>0.64969720027367661</c:v>
                </c:pt>
                <c:pt idx="2795">
                  <c:v>0.6670383942486553</c:v>
                </c:pt>
                <c:pt idx="2796">
                  <c:v>0.6859598556803187</c:v>
                </c:pt>
                <c:pt idx="2797">
                  <c:v>0.70595264744331576</c:v>
                </c:pt>
                <c:pt idx="2798">
                  <c:v>0.72703429247074636</c:v>
                </c:pt>
                <c:pt idx="2799">
                  <c:v>0.74704117454176622</c:v>
                </c:pt>
                <c:pt idx="2800">
                  <c:v>0.76622086446233517</c:v>
                </c:pt>
                <c:pt idx="2801">
                  <c:v>0.78317465204730308</c:v>
                </c:pt>
                <c:pt idx="2802">
                  <c:v>0.79855617366400133</c:v>
                </c:pt>
                <c:pt idx="2803">
                  <c:v>0.81261946527347695</c:v>
                </c:pt>
                <c:pt idx="2804">
                  <c:v>0.82576494579674087</c:v>
                </c:pt>
                <c:pt idx="2805">
                  <c:v>0.83896315520655973</c:v>
                </c:pt>
                <c:pt idx="2806">
                  <c:v>0.85249494363511236</c:v>
                </c:pt>
                <c:pt idx="2807">
                  <c:v>0.86721195401604478</c:v>
                </c:pt>
                <c:pt idx="2808">
                  <c:v>0.88327021667534744</c:v>
                </c:pt>
                <c:pt idx="2809">
                  <c:v>0.90054348838546816</c:v>
                </c:pt>
                <c:pt idx="2810">
                  <c:v>0.91890367881475699</c:v>
                </c:pt>
                <c:pt idx="2811">
                  <c:v>0.93562564780275725</c:v>
                </c:pt>
                <c:pt idx="2812">
                  <c:v>0.9482263421430589</c:v>
                </c:pt>
                <c:pt idx="2813">
                  <c:v>0.9526077007989362</c:v>
                </c:pt>
                <c:pt idx="2814">
                  <c:v>0.94917525427765692</c:v>
                </c:pt>
                <c:pt idx="2815">
                  <c:v>0.93794904212648533</c:v>
                </c:pt>
                <c:pt idx="2816">
                  <c:v>0.91928388248638337</c:v>
                </c:pt>
                <c:pt idx="2817">
                  <c:v>0.89428859893408486</c:v>
                </c:pt>
                <c:pt idx="2818">
                  <c:v>0.86988670376346966</c:v>
                </c:pt>
                <c:pt idx="2819">
                  <c:v>0.84747870493705513</c:v>
                </c:pt>
                <c:pt idx="2820">
                  <c:v>0.82871029945465535</c:v>
                </c:pt>
                <c:pt idx="2821">
                  <c:v>0.81784727615859187</c:v>
                </c:pt>
                <c:pt idx="2822">
                  <c:v>0.81439672491057269</c:v>
                </c:pt>
                <c:pt idx="2823">
                  <c:v>0.81680190831562005</c:v>
                </c:pt>
                <c:pt idx="2824">
                  <c:v>0.82423743855925191</c:v>
                </c:pt>
                <c:pt idx="2825">
                  <c:v>0.83448758171657755</c:v>
                </c:pt>
                <c:pt idx="2826">
                  <c:v>0.8446234464626875</c:v>
                </c:pt>
                <c:pt idx="2827">
                  <c:v>0.85661688738318786</c:v>
                </c:pt>
                <c:pt idx="2828">
                  <c:v>0.86935345350708282</c:v>
                </c:pt>
                <c:pt idx="2829">
                  <c:v>0.88284030084336163</c:v>
                </c:pt>
                <c:pt idx="2830">
                  <c:v>0.89580221717274655</c:v>
                </c:pt>
                <c:pt idx="2831">
                  <c:v>0.90751838993320588</c:v>
                </c:pt>
                <c:pt idx="2832">
                  <c:v>0.91597270313871115</c:v>
                </c:pt>
                <c:pt idx="2833">
                  <c:v>0.92272167466169264</c:v>
                </c:pt>
                <c:pt idx="2834">
                  <c:v>0.92718243572373582</c:v>
                </c:pt>
                <c:pt idx="2835">
                  <c:v>0.93207752888554929</c:v>
                </c:pt>
                <c:pt idx="2836">
                  <c:v>0.94057380580883443</c:v>
                </c:pt>
                <c:pt idx="2837">
                  <c:v>0.95327047188671543</c:v>
                </c:pt>
                <c:pt idx="2838">
                  <c:v>0.96977058663807192</c:v>
                </c:pt>
                <c:pt idx="2839">
                  <c:v>0.98822535504767173</c:v>
                </c:pt>
                <c:pt idx="2840">
                  <c:v>1.0089505595674706</c:v>
                </c:pt>
                <c:pt idx="2841">
                  <c:v>1.0325663121612711</c:v>
                </c:pt>
                <c:pt idx="2842">
                  <c:v>1.0577839940168019</c:v>
                </c:pt>
                <c:pt idx="2843">
                  <c:v>1.0822458966697357</c:v>
                </c:pt>
                <c:pt idx="2844">
                  <c:v>1.1029461945765209</c:v>
                </c:pt>
                <c:pt idx="2845">
                  <c:v>1.1180342860740735</c:v>
                </c:pt>
                <c:pt idx="2846">
                  <c:v>1.1217530377922296</c:v>
                </c:pt>
                <c:pt idx="2847">
                  <c:v>1.114531642184023</c:v>
                </c:pt>
                <c:pt idx="2848">
                  <c:v>1.0991139137466208</c:v>
                </c:pt>
                <c:pt idx="2849">
                  <c:v>1.0809329669862664</c:v>
                </c:pt>
                <c:pt idx="2850">
                  <c:v>1.0617998492247038</c:v>
                </c:pt>
                <c:pt idx="2851">
                  <c:v>1.044378381840148</c:v>
                </c:pt>
                <c:pt idx="2852">
                  <c:v>1.0273286290321297</c:v>
                </c:pt>
                <c:pt idx="2853">
                  <c:v>1.0097715266252838</c:v>
                </c:pt>
                <c:pt idx="2854">
                  <c:v>0.99069927315785389</c:v>
                </c:pt>
                <c:pt idx="2855">
                  <c:v>0.96883583355906733</c:v>
                </c:pt>
                <c:pt idx="2856">
                  <c:v>0.94566702572909489</c:v>
                </c:pt>
                <c:pt idx="2857">
                  <c:v>0.92321742446449451</c:v>
                </c:pt>
                <c:pt idx="2858">
                  <c:v>0.9020449269406382</c:v>
                </c:pt>
                <c:pt idx="2859">
                  <c:v>0.88184837894670298</c:v>
                </c:pt>
                <c:pt idx="2860">
                  <c:v>0.86612083840251175</c:v>
                </c:pt>
                <c:pt idx="2861">
                  <c:v>0.85340422405179406</c:v>
                </c:pt>
                <c:pt idx="2862">
                  <c:v>0.8474298800238016</c:v>
                </c:pt>
                <c:pt idx="2863">
                  <c:v>0.84732135745340764</c:v>
                </c:pt>
                <c:pt idx="2864">
                  <c:v>0.85475137365768916</c:v>
                </c:pt>
                <c:pt idx="2865">
                  <c:v>0.86639711236539407</c:v>
                </c:pt>
                <c:pt idx="2866">
                  <c:v>0.88257833666935537</c:v>
                </c:pt>
                <c:pt idx="2867">
                  <c:v>0.89670498293572987</c:v>
                </c:pt>
                <c:pt idx="2868">
                  <c:v>0.90847019691322906</c:v>
                </c:pt>
                <c:pt idx="2869">
                  <c:v>0.91728419550433249</c:v>
                </c:pt>
                <c:pt idx="2870">
                  <c:v>0.9231269054079142</c:v>
                </c:pt>
                <c:pt idx="2871">
                  <c:v>0.92513324339375769</c:v>
                </c:pt>
                <c:pt idx="2872">
                  <c:v>0.92699770464857345</c:v>
                </c:pt>
                <c:pt idx="2873">
                  <c:v>0.92758124151489552</c:v>
                </c:pt>
                <c:pt idx="2874">
                  <c:v>0.92759533209637379</c:v>
                </c:pt>
                <c:pt idx="2875">
                  <c:v>0.9267563874060043</c:v>
                </c:pt>
                <c:pt idx="2876">
                  <c:v>0.92407066793146608</c:v>
                </c:pt>
                <c:pt idx="2877">
                  <c:v>0.91798267349076079</c:v>
                </c:pt>
                <c:pt idx="2878">
                  <c:v>0.91275710412789579</c:v>
                </c:pt>
                <c:pt idx="2879">
                  <c:v>0.90768229423197</c:v>
                </c:pt>
                <c:pt idx="2880">
                  <c:v>0.90233414490947306</c:v>
                </c:pt>
                <c:pt idx="2881">
                  <c:v>0.89741884507726666</c:v>
                </c:pt>
                <c:pt idx="2882">
                  <c:v>0.89293479018612576</c:v>
                </c:pt>
                <c:pt idx="2883">
                  <c:v>0.88621066025800832</c:v>
                </c:pt>
                <c:pt idx="2884">
                  <c:v>0.87768135682807291</c:v>
                </c:pt>
                <c:pt idx="2885">
                  <c:v>0.86777964906305605</c:v>
                </c:pt>
                <c:pt idx="2886">
                  <c:v>0.85916272490837398</c:v>
                </c:pt>
                <c:pt idx="2887">
                  <c:v>0.8532104677939053</c:v>
                </c:pt>
                <c:pt idx="2888">
                  <c:v>0.84990765324540629</c:v>
                </c:pt>
                <c:pt idx="2889">
                  <c:v>0.84924466210667471</c:v>
                </c:pt>
                <c:pt idx="2890">
                  <c:v>0.85155608191394705</c:v>
                </c:pt>
                <c:pt idx="2891">
                  <c:v>0.85609517392683743</c:v>
                </c:pt>
                <c:pt idx="2892">
                  <c:v>0.86259220936896086</c:v>
                </c:pt>
                <c:pt idx="2893">
                  <c:v>0.87161910900749551</c:v>
                </c:pt>
                <c:pt idx="2894">
                  <c:v>0.8812331529003512</c:v>
                </c:pt>
                <c:pt idx="2895">
                  <c:v>0.89129872308440228</c:v>
                </c:pt>
                <c:pt idx="2896">
                  <c:v>0.90026848123290626</c:v>
                </c:pt>
                <c:pt idx="2897">
                  <c:v>0.90714456532471677</c:v>
                </c:pt>
                <c:pt idx="2898">
                  <c:v>0.90908533885237675</c:v>
                </c:pt>
                <c:pt idx="2899">
                  <c:v>0.90735181912660967</c:v>
                </c:pt>
                <c:pt idx="2900">
                  <c:v>0.90307662233312014</c:v>
                </c:pt>
                <c:pt idx="2901">
                  <c:v>0.89513885024104156</c:v>
                </c:pt>
                <c:pt idx="2902">
                  <c:v>0.88327968238240606</c:v>
                </c:pt>
                <c:pt idx="2903">
                  <c:v>0.87005453745732009</c:v>
                </c:pt>
                <c:pt idx="2904">
                  <c:v>0.85631538493937787</c:v>
                </c:pt>
                <c:pt idx="2905">
                  <c:v>0.84054063626831266</c:v>
                </c:pt>
                <c:pt idx="2906">
                  <c:v>0.82427896058576522</c:v>
                </c:pt>
                <c:pt idx="2907">
                  <c:v>0.8085018185910573</c:v>
                </c:pt>
                <c:pt idx="2908">
                  <c:v>0.79512258961554572</c:v>
                </c:pt>
                <c:pt idx="2909">
                  <c:v>0.78616497600341495</c:v>
                </c:pt>
                <c:pt idx="2910">
                  <c:v>0.78405384632348241</c:v>
                </c:pt>
                <c:pt idx="2911">
                  <c:v>0.7879589638518224</c:v>
                </c:pt>
                <c:pt idx="2912">
                  <c:v>0.79598456781563276</c:v>
                </c:pt>
                <c:pt idx="2913">
                  <c:v>0.8032078558297957</c:v>
                </c:pt>
                <c:pt idx="2914">
                  <c:v>0.80934719064041916</c:v>
                </c:pt>
                <c:pt idx="2915">
                  <c:v>0.81481035857468176</c:v>
                </c:pt>
                <c:pt idx="2916">
                  <c:v>0.82083804697240592</c:v>
                </c:pt>
                <c:pt idx="2917">
                  <c:v>0.82812695804544689</c:v>
                </c:pt>
                <c:pt idx="2918">
                  <c:v>0.83793836114692588</c:v>
                </c:pt>
                <c:pt idx="2919">
                  <c:v>0.84792140195205701</c:v>
                </c:pt>
                <c:pt idx="2920">
                  <c:v>0.85807724164405075</c:v>
                </c:pt>
                <c:pt idx="2921">
                  <c:v>0.86756513908880384</c:v>
                </c:pt>
                <c:pt idx="2922">
                  <c:v>0.87595614407459965</c:v>
                </c:pt>
                <c:pt idx="2923">
                  <c:v>0.88352361573255545</c:v>
                </c:pt>
                <c:pt idx="2924">
                  <c:v>0.88898960553416817</c:v>
                </c:pt>
                <c:pt idx="2925">
                  <c:v>0.89007993729632995</c:v>
                </c:pt>
                <c:pt idx="2926">
                  <c:v>0.88805973692554763</c:v>
                </c:pt>
                <c:pt idx="2927">
                  <c:v>0.88505095845152892</c:v>
                </c:pt>
                <c:pt idx="2928">
                  <c:v>0.88232574892763016</c:v>
                </c:pt>
                <c:pt idx="2929">
                  <c:v>0.88044837802889364</c:v>
                </c:pt>
                <c:pt idx="2930">
                  <c:v>0.87871210915730391</c:v>
                </c:pt>
                <c:pt idx="2931">
                  <c:v>0.87754048838442467</c:v>
                </c:pt>
                <c:pt idx="2932">
                  <c:v>0.87622757591150091</c:v>
                </c:pt>
                <c:pt idx="2933">
                  <c:v>0.87477344067002538</c:v>
                </c:pt>
                <c:pt idx="2934">
                  <c:v>0.87247361926178035</c:v>
                </c:pt>
                <c:pt idx="2935">
                  <c:v>0.87003366830495632</c:v>
                </c:pt>
                <c:pt idx="2936">
                  <c:v>0.86393411631135819</c:v>
                </c:pt>
                <c:pt idx="2937">
                  <c:v>0.85321001247010009</c:v>
                </c:pt>
                <c:pt idx="2938">
                  <c:v>0.83929861821439145</c:v>
                </c:pt>
                <c:pt idx="2939">
                  <c:v>0.82418496685817932</c:v>
                </c:pt>
                <c:pt idx="2940">
                  <c:v>0.80927149265121312</c:v>
                </c:pt>
                <c:pt idx="2941">
                  <c:v>0.79690341160711997</c:v>
                </c:pt>
                <c:pt idx="2942">
                  <c:v>0.78856948027137586</c:v>
                </c:pt>
                <c:pt idx="2943">
                  <c:v>0.78245322350706159</c:v>
                </c:pt>
                <c:pt idx="2944">
                  <c:v>0.7786806200810763</c:v>
                </c:pt>
                <c:pt idx="2945">
                  <c:v>0.77422482212749444</c:v>
                </c:pt>
                <c:pt idx="2946">
                  <c:v>0.76854045564131213</c:v>
                </c:pt>
                <c:pt idx="2947">
                  <c:v>0.75985625768479292</c:v>
                </c:pt>
                <c:pt idx="2948">
                  <c:v>0.74914919825739468</c:v>
                </c:pt>
                <c:pt idx="2949">
                  <c:v>0.73711802296394446</c:v>
                </c:pt>
                <c:pt idx="2950">
                  <c:v>0.7274284851421029</c:v>
                </c:pt>
                <c:pt idx="2951">
                  <c:v>0.72032972762045366</c:v>
                </c:pt>
                <c:pt idx="2952">
                  <c:v>0.71661430273293747</c:v>
                </c:pt>
                <c:pt idx="2953">
                  <c:v>0.71573198390591986</c:v>
                </c:pt>
                <c:pt idx="2954">
                  <c:v>0.71525408850778871</c:v>
                </c:pt>
                <c:pt idx="2955">
                  <c:v>0.714236614082289</c:v>
                </c:pt>
                <c:pt idx="2956">
                  <c:v>0.71220000933484007</c:v>
                </c:pt>
                <c:pt idx="2957">
                  <c:v>0.71393649536125248</c:v>
                </c:pt>
                <c:pt idx="2958">
                  <c:v>0.71688784044588816</c:v>
                </c:pt>
                <c:pt idx="2959">
                  <c:v>0.72186856507481423</c:v>
                </c:pt>
                <c:pt idx="2960">
                  <c:v>0.72848276226705988</c:v>
                </c:pt>
                <c:pt idx="2961">
                  <c:v>0.73660521318572147</c:v>
                </c:pt>
                <c:pt idx="2962">
                  <c:v>0.74270744533803934</c:v>
                </c:pt>
                <c:pt idx="2963">
                  <c:v>0.74745852751735131</c:v>
                </c:pt>
                <c:pt idx="2964">
                  <c:v>0.7530361613782901</c:v>
                </c:pt>
                <c:pt idx="2965">
                  <c:v>0.759444387242452</c:v>
                </c:pt>
                <c:pt idx="2966">
                  <c:v>0.76737435332313819</c:v>
                </c:pt>
                <c:pt idx="2967">
                  <c:v>0.77573649360513741</c:v>
                </c:pt>
                <c:pt idx="2968">
                  <c:v>0.78632774205691736</c:v>
                </c:pt>
                <c:pt idx="2969">
                  <c:v>0.79639979915961168</c:v>
                </c:pt>
                <c:pt idx="2970">
                  <c:v>0.80539257216571014</c:v>
                </c:pt>
                <c:pt idx="2971">
                  <c:v>0.81260087965764161</c:v>
                </c:pt>
                <c:pt idx="2972">
                  <c:v>0.81982466441102886</c:v>
                </c:pt>
                <c:pt idx="2973">
                  <c:v>0.82580695239963842</c:v>
                </c:pt>
                <c:pt idx="2974">
                  <c:v>0.83068067128995315</c:v>
                </c:pt>
                <c:pt idx="2975">
                  <c:v>0.83472094739940472</c:v>
                </c:pt>
                <c:pt idx="2976">
                  <c:v>0.83722419003818127</c:v>
                </c:pt>
                <c:pt idx="2977">
                  <c:v>0.83552546269119743</c:v>
                </c:pt>
                <c:pt idx="2978">
                  <c:v>0.83005036893869011</c:v>
                </c:pt>
                <c:pt idx="2979">
                  <c:v>0.82249121973553074</c:v>
                </c:pt>
                <c:pt idx="2980">
                  <c:v>0.81314041867265541</c:v>
                </c:pt>
                <c:pt idx="2981">
                  <c:v>0.80284511524438962</c:v>
                </c:pt>
                <c:pt idx="2982">
                  <c:v>0.79534848860677676</c:v>
                </c:pt>
                <c:pt idx="2983">
                  <c:v>0.79201273289283836</c:v>
                </c:pt>
                <c:pt idx="2984">
                  <c:v>0.79116655178308071</c:v>
                </c:pt>
                <c:pt idx="2985">
                  <c:v>0.79557400761688568</c:v>
                </c:pt>
                <c:pt idx="2986">
                  <c:v>0.808587960247661</c:v>
                </c:pt>
                <c:pt idx="2987">
                  <c:v>0.82863237599731576</c:v>
                </c:pt>
                <c:pt idx="2988">
                  <c:v>0.85371901280979046</c:v>
                </c:pt>
                <c:pt idx="2989">
                  <c:v>0.88366853955386915</c:v>
                </c:pt>
                <c:pt idx="2990">
                  <c:v>0.9137247992930595</c:v>
                </c:pt>
                <c:pt idx="2991">
                  <c:v>0.93854640481352625</c:v>
                </c:pt>
                <c:pt idx="2992">
                  <c:v>0.95628636397865785</c:v>
                </c:pt>
                <c:pt idx="2993">
                  <c:v>0.96786038417858922</c:v>
                </c:pt>
                <c:pt idx="2994">
                  <c:v>0.97379492167379766</c:v>
                </c:pt>
                <c:pt idx="2995">
                  <c:v>0.97493676235899474</c:v>
                </c:pt>
                <c:pt idx="2996">
                  <c:v>0.97229962080822496</c:v>
                </c:pt>
                <c:pt idx="2997">
                  <c:v>0.96647134371133725</c:v>
                </c:pt>
                <c:pt idx="2998">
                  <c:v>0.95992761157602469</c:v>
                </c:pt>
                <c:pt idx="2999">
                  <c:v>0.95324989369346091</c:v>
                </c:pt>
                <c:pt idx="3000">
                  <c:v>0.94730595911778226</c:v>
                </c:pt>
                <c:pt idx="3001">
                  <c:v>0.94367801509206906</c:v>
                </c:pt>
                <c:pt idx="3002">
                  <c:v>0.94120653903482576</c:v>
                </c:pt>
                <c:pt idx="3003">
                  <c:v>0.93513757841995893</c:v>
                </c:pt>
                <c:pt idx="3004">
                  <c:v>0.92606287556684708</c:v>
                </c:pt>
                <c:pt idx="3005">
                  <c:v>0.91486238765650219</c:v>
                </c:pt>
                <c:pt idx="3006">
                  <c:v>0.90341048443789851</c:v>
                </c:pt>
                <c:pt idx="3007">
                  <c:v>0.89313254174655698</c:v>
                </c:pt>
                <c:pt idx="3008">
                  <c:v>0.8860063207472284</c:v>
                </c:pt>
                <c:pt idx="3009">
                  <c:v>0.88187170578625973</c:v>
                </c:pt>
                <c:pt idx="3010">
                  <c:v>0.88000947559340115</c:v>
                </c:pt>
                <c:pt idx="3011">
                  <c:v>0.87758174841173764</c:v>
                </c:pt>
                <c:pt idx="3012">
                  <c:v>0.87317426350898453</c:v>
                </c:pt>
                <c:pt idx="3013">
                  <c:v>0.86439457493644578</c:v>
                </c:pt>
                <c:pt idx="3014">
                  <c:v>0.85197866095929298</c:v>
                </c:pt>
                <c:pt idx="3015">
                  <c:v>0.83680611087341206</c:v>
                </c:pt>
                <c:pt idx="3016">
                  <c:v>0.81933231293011444</c:v>
                </c:pt>
                <c:pt idx="3017">
                  <c:v>0.80042616078822271</c:v>
                </c:pt>
                <c:pt idx="3018">
                  <c:v>0.78397111142921927</c:v>
                </c:pt>
                <c:pt idx="3019">
                  <c:v>0.76883451149500981</c:v>
                </c:pt>
                <c:pt idx="3020">
                  <c:v>0.75459007384147947</c:v>
                </c:pt>
                <c:pt idx="3021">
                  <c:v>0.74151467167315976</c:v>
                </c:pt>
                <c:pt idx="3022">
                  <c:v>0.73039079047578193</c:v>
                </c:pt>
                <c:pt idx="3023">
                  <c:v>0.71971272502336869</c:v>
                </c:pt>
                <c:pt idx="3024">
                  <c:v>0.70988014653102927</c:v>
                </c:pt>
                <c:pt idx="3025">
                  <c:v>0.70061676563718989</c:v>
                </c:pt>
                <c:pt idx="3026">
                  <c:v>0.69165044368818651</c:v>
                </c:pt>
                <c:pt idx="3027">
                  <c:v>0.68351185951323101</c:v>
                </c:pt>
                <c:pt idx="3028">
                  <c:v>0.67792206283076584</c:v>
                </c:pt>
                <c:pt idx="3029">
                  <c:v>0.67327274156663874</c:v>
                </c:pt>
                <c:pt idx="3030">
                  <c:v>0.67141534974640871</c:v>
                </c:pt>
                <c:pt idx="3031">
                  <c:v>0.67154812667006192</c:v>
                </c:pt>
                <c:pt idx="3032">
                  <c:v>0.67367136147825535</c:v>
                </c:pt>
                <c:pt idx="3033">
                  <c:v>0.67526503790852987</c:v>
                </c:pt>
                <c:pt idx="3034">
                  <c:v>0.67685929145210955</c:v>
                </c:pt>
                <c:pt idx="3035">
                  <c:v>0.67579623819836931</c:v>
                </c:pt>
                <c:pt idx="3036">
                  <c:v>0.6734059535603456</c:v>
                </c:pt>
                <c:pt idx="3037">
                  <c:v>0.66876392021184738</c:v>
                </c:pt>
                <c:pt idx="3038">
                  <c:v>0.66479126112921938</c:v>
                </c:pt>
                <c:pt idx="3039">
                  <c:v>0.66254258608979688</c:v>
                </c:pt>
                <c:pt idx="3040">
                  <c:v>0.66465881301535679</c:v>
                </c:pt>
                <c:pt idx="3041">
                  <c:v>0.67048678105889536</c:v>
                </c:pt>
                <c:pt idx="3042">
                  <c:v>0.67978419300230342</c:v>
                </c:pt>
                <c:pt idx="3043">
                  <c:v>0.68897961328168367</c:v>
                </c:pt>
                <c:pt idx="3044">
                  <c:v>0.69740171075393431</c:v>
                </c:pt>
                <c:pt idx="3045">
                  <c:v>0.70370112720105016</c:v>
                </c:pt>
                <c:pt idx="3046">
                  <c:v>0.70907336084727213</c:v>
                </c:pt>
                <c:pt idx="3047">
                  <c:v>0.71337834786715792</c:v>
                </c:pt>
                <c:pt idx="3048">
                  <c:v>0.71930794092240002</c:v>
                </c:pt>
                <c:pt idx="3049">
                  <c:v>0.7272781036807231</c:v>
                </c:pt>
                <c:pt idx="3050">
                  <c:v>0.73757579459957889</c:v>
                </c:pt>
                <c:pt idx="3051">
                  <c:v>0.74940746684197268</c:v>
                </c:pt>
                <c:pt idx="3052">
                  <c:v>0.76320089886528164</c:v>
                </c:pt>
                <c:pt idx="3053">
                  <c:v>0.77966901201187722</c:v>
                </c:pt>
                <c:pt idx="3054">
                  <c:v>0.79719100610793381</c:v>
                </c:pt>
                <c:pt idx="3055">
                  <c:v>0.8149471677116551</c:v>
                </c:pt>
                <c:pt idx="3056">
                  <c:v>0.83237916062931405</c:v>
                </c:pt>
                <c:pt idx="3057">
                  <c:v>0.85046349662933707</c:v>
                </c:pt>
                <c:pt idx="3058">
                  <c:v>0.86581775738412459</c:v>
                </c:pt>
                <c:pt idx="3059">
                  <c:v>0.88024644957657905</c:v>
                </c:pt>
                <c:pt idx="3060">
                  <c:v>0.89032465940992533</c:v>
                </c:pt>
                <c:pt idx="3061">
                  <c:v>0.89231534748333863</c:v>
                </c:pt>
                <c:pt idx="3062">
                  <c:v>0.88336640149903789</c:v>
                </c:pt>
                <c:pt idx="3063">
                  <c:v>0.86426510533069933</c:v>
                </c:pt>
                <c:pt idx="3064">
                  <c:v>0.83531697582172659</c:v>
                </c:pt>
                <c:pt idx="3065">
                  <c:v>0.80203717635605021</c:v>
                </c:pt>
                <c:pt idx="3066">
                  <c:v>0.77197335810745171</c:v>
                </c:pt>
                <c:pt idx="3067">
                  <c:v>0.7485902411993951</c:v>
                </c:pt>
                <c:pt idx="3068">
                  <c:v>0.73391310865699577</c:v>
                </c:pt>
                <c:pt idx="3069">
                  <c:v>0.72727775198996736</c:v>
                </c:pt>
                <c:pt idx="3070">
                  <c:v>0.72565479193433169</c:v>
                </c:pt>
                <c:pt idx="3071">
                  <c:v>0.72524954230480498</c:v>
                </c:pt>
                <c:pt idx="3072">
                  <c:v>0.72362769400662819</c:v>
                </c:pt>
                <c:pt idx="3073">
                  <c:v>0.71768936306904751</c:v>
                </c:pt>
                <c:pt idx="3074">
                  <c:v>0.70974520050742385</c:v>
                </c:pt>
                <c:pt idx="3075">
                  <c:v>0.70356681897214457</c:v>
                </c:pt>
                <c:pt idx="3076">
                  <c:v>0.70356681897214457</c:v>
                </c:pt>
                <c:pt idx="3077">
                  <c:v>0.71391674510385261</c:v>
                </c:pt>
                <c:pt idx="3078">
                  <c:v>0.73445561637560663</c:v>
                </c:pt>
                <c:pt idx="3079">
                  <c:v>0.7610119859268516</c:v>
                </c:pt>
                <c:pt idx="3080">
                  <c:v>0.79124782560993434</c:v>
                </c:pt>
                <c:pt idx="3081">
                  <c:v>0.8198187980743189</c:v>
                </c:pt>
                <c:pt idx="3082">
                  <c:v>0.84330198938678769</c:v>
                </c:pt>
                <c:pt idx="3083">
                  <c:v>0.86257158264463429</c:v>
                </c:pt>
                <c:pt idx="3084">
                  <c:v>0.87897078560031061</c:v>
                </c:pt>
                <c:pt idx="3085">
                  <c:v>0.89089310497745211</c:v>
                </c:pt>
                <c:pt idx="3086">
                  <c:v>0.90128598073351873</c:v>
                </c:pt>
                <c:pt idx="3087">
                  <c:v>0.90788819227173134</c:v>
                </c:pt>
                <c:pt idx="3088">
                  <c:v>0.91106998131370109</c:v>
                </c:pt>
                <c:pt idx="3089">
                  <c:v>0.90925033003114819</c:v>
                </c:pt>
                <c:pt idx="3090">
                  <c:v>0.90272131944630962</c:v>
                </c:pt>
                <c:pt idx="3091">
                  <c:v>0.88866417098135786</c:v>
                </c:pt>
                <c:pt idx="3092">
                  <c:v>0.87027503595921274</c:v>
                </c:pt>
                <c:pt idx="3093">
                  <c:v>0.85043301265702198</c:v>
                </c:pt>
                <c:pt idx="3094">
                  <c:v>0.83293956309878048</c:v>
                </c:pt>
                <c:pt idx="3095">
                  <c:v>0.81971180726169601</c:v>
                </c:pt>
                <c:pt idx="3096">
                  <c:v>0.81278701810603116</c:v>
                </c:pt>
                <c:pt idx="3097">
                  <c:v>0.81073623641334469</c:v>
                </c:pt>
                <c:pt idx="3098">
                  <c:v>0.81188240729984817</c:v>
                </c:pt>
                <c:pt idx="3099">
                  <c:v>0.81428072374125671</c:v>
                </c:pt>
                <c:pt idx="3100">
                  <c:v>0.81863082451351987</c:v>
                </c:pt>
                <c:pt idx="3101">
                  <c:v>0.82466109557323319</c:v>
                </c:pt>
                <c:pt idx="3102">
                  <c:v>0.8332205936965954</c:v>
                </c:pt>
                <c:pt idx="3103">
                  <c:v>0.8476987163317693</c:v>
                </c:pt>
                <c:pt idx="3104">
                  <c:v>0.87128155707583332</c:v>
                </c:pt>
                <c:pt idx="3105">
                  <c:v>0.90343534878252696</c:v>
                </c:pt>
                <c:pt idx="3106">
                  <c:v>0.94726608345784691</c:v>
                </c:pt>
                <c:pt idx="3107">
                  <c:v>1.0028636316941326</c:v>
                </c:pt>
                <c:pt idx="3108">
                  <c:v>1.0660642583474038</c:v>
                </c:pt>
                <c:pt idx="3109">
                  <c:v>1.128090832371887</c:v>
                </c:pt>
                <c:pt idx="3110">
                  <c:v>1.1825742219136421</c:v>
                </c:pt>
                <c:pt idx="3111">
                  <c:v>1.2189038896132647</c:v>
                </c:pt>
                <c:pt idx="3112">
                  <c:v>1.233111018175699</c:v>
                </c:pt>
                <c:pt idx="3113">
                  <c:v>1.2246950173180275</c:v>
                </c:pt>
                <c:pt idx="3114">
                  <c:v>1.1978974861750391</c:v>
                </c:pt>
                <c:pt idx="3115">
                  <c:v>1.1563553475499075</c:v>
                </c:pt>
                <c:pt idx="3116">
                  <c:v>1.1063108298960995</c:v>
                </c:pt>
                <c:pt idx="3117">
                  <c:v>1.0519186183452049</c:v>
                </c:pt>
                <c:pt idx="3118">
                  <c:v>1.0002530653944675</c:v>
                </c:pt>
                <c:pt idx="3119">
                  <c:v>0.95979671946270861</c:v>
                </c:pt>
                <c:pt idx="3120">
                  <c:v>0.93513071600285635</c:v>
                </c:pt>
                <c:pt idx="3121">
                  <c:v>0.92926977276072931</c:v>
                </c:pt>
                <c:pt idx="3122">
                  <c:v>0.94256222694960967</c:v>
                </c:pt>
                <c:pt idx="3123">
                  <c:v>0.96953810097993998</c:v>
                </c:pt>
                <c:pt idx="3124">
                  <c:v>1.0076888271867395</c:v>
                </c:pt>
                <c:pt idx="3125">
                  <c:v>1.060288316472217</c:v>
                </c:pt>
                <c:pt idx="3126">
                  <c:v>1.1231717227699534</c:v>
                </c:pt>
                <c:pt idx="3127">
                  <c:v>1.1924358436328324</c:v>
                </c:pt>
                <c:pt idx="3128">
                  <c:v>1.2636356853595219</c:v>
                </c:pt>
                <c:pt idx="3129">
                  <c:v>1.3240588715233075</c:v>
                </c:pt>
                <c:pt idx="3130">
                  <c:v>1.3604773430729766</c:v>
                </c:pt>
                <c:pt idx="3131">
                  <c:v>1.370652128085287</c:v>
                </c:pt>
                <c:pt idx="3132">
                  <c:v>1.356960261701845</c:v>
                </c:pt>
                <c:pt idx="3133">
                  <c:v>1.3222426791608437</c:v>
                </c:pt>
                <c:pt idx="3134">
                  <c:v>1.2790248563267537</c:v>
                </c:pt>
                <c:pt idx="3135">
                  <c:v>1.2361598405970389</c:v>
                </c:pt>
                <c:pt idx="3136">
                  <c:v>1.2002359055551919</c:v>
                </c:pt>
                <c:pt idx="3137">
                  <c:v>1.1718762006945145</c:v>
                </c:pt>
                <c:pt idx="3138">
                  <c:v>1.1547468374648573</c:v>
                </c:pt>
                <c:pt idx="3139">
                  <c:v>1.1470624704300798</c:v>
                </c:pt>
                <c:pt idx="3140">
                  <c:v>1.1502938449480886</c:v>
                </c:pt>
                <c:pt idx="3141">
                  <c:v>1.1611201975829657</c:v>
                </c:pt>
                <c:pt idx="3142">
                  <c:v>1.1792889237919915</c:v>
                </c:pt>
                <c:pt idx="3143">
                  <c:v>1.201510851334759</c:v>
                </c:pt>
                <c:pt idx="3144">
                  <c:v>1.2275318957786923</c:v>
                </c:pt>
                <c:pt idx="3145">
                  <c:v>1.2541552703944436</c:v>
                </c:pt>
                <c:pt idx="3146">
                  <c:v>1.2827882145379979</c:v>
                </c:pt>
                <c:pt idx="3147">
                  <c:v>1.3118941035504528</c:v>
                </c:pt>
                <c:pt idx="3148">
                  <c:v>1.3421056940346323</c:v>
                </c:pt>
                <c:pt idx="3149">
                  <c:v>1.3712200327677129</c:v>
                </c:pt>
                <c:pt idx="3150">
                  <c:v>1.3981017448939881</c:v>
                </c:pt>
                <c:pt idx="3151">
                  <c:v>1.419999432152796</c:v>
                </c:pt>
                <c:pt idx="3152">
                  <c:v>1.434931948834016</c:v>
                </c:pt>
                <c:pt idx="3153">
                  <c:v>1.4412195103385834</c:v>
                </c:pt>
                <c:pt idx="3154">
                  <c:v>1.4343651215447812</c:v>
                </c:pt>
                <c:pt idx="3155">
                  <c:v>1.4151996556982021</c:v>
                </c:pt>
                <c:pt idx="3156">
                  <c:v>1.3852638579914909</c:v>
                </c:pt>
                <c:pt idx="3157">
                  <c:v>1.3491407538490852</c:v>
                </c:pt>
                <c:pt idx="3158">
                  <c:v>1.3143268776296724</c:v>
                </c:pt>
                <c:pt idx="3159">
                  <c:v>1.2898686599507558</c:v>
                </c:pt>
                <c:pt idx="3160">
                  <c:v>1.2737657620628433</c:v>
                </c:pt>
                <c:pt idx="3161">
                  <c:v>1.2651719102305388</c:v>
                </c:pt>
                <c:pt idx="3162">
                  <c:v>1.2607876724460625</c:v>
                </c:pt>
                <c:pt idx="3163">
                  <c:v>1.2588944154251895</c:v>
                </c:pt>
                <c:pt idx="3164">
                  <c:v>1.255755275828043</c:v>
                </c:pt>
                <c:pt idx="3165">
                  <c:v>1.2557286867087374</c:v>
                </c:pt>
                <c:pt idx="3166">
                  <c:v>1.2552348602902397</c:v>
                </c:pt>
                <c:pt idx="3167">
                  <c:v>1.2555201078019473</c:v>
                </c:pt>
                <c:pt idx="3168">
                  <c:v>1.2562733211009112</c:v>
                </c:pt>
                <c:pt idx="3169">
                  <c:v>1.2606154606589954</c:v>
                </c:pt>
                <c:pt idx="3170">
                  <c:v>1.2679342709524895</c:v>
                </c:pt>
                <c:pt idx="3171">
                  <c:v>1.2840467971733287</c:v>
                </c:pt>
                <c:pt idx="3172">
                  <c:v>1.3106210610057236</c:v>
                </c:pt>
                <c:pt idx="3173">
                  <c:v>1.3473462467162145</c:v>
                </c:pt>
                <c:pt idx="3174">
                  <c:v>1.3888263578239795</c:v>
                </c:pt>
                <c:pt idx="3175">
                  <c:v>1.4306427659656373</c:v>
                </c:pt>
                <c:pt idx="3176">
                  <c:v>1.4710041976985282</c:v>
                </c:pt>
                <c:pt idx="3177">
                  <c:v>1.5083962036138148</c:v>
                </c:pt>
                <c:pt idx="3178">
                  <c:v>1.5368331456504065</c:v>
                </c:pt>
                <c:pt idx="3179">
                  <c:v>1.5515615840353096</c:v>
                </c:pt>
                <c:pt idx="3180">
                  <c:v>1.5491715705276266</c:v>
                </c:pt>
                <c:pt idx="3181">
                  <c:v>1.5291718250456179</c:v>
                </c:pt>
                <c:pt idx="3182">
                  <c:v>1.4938368675885185</c:v>
                </c:pt>
                <c:pt idx="3183">
                  <c:v>1.4500703263705486</c:v>
                </c:pt>
                <c:pt idx="3184">
                  <c:v>1.4054655961473461</c:v>
                </c:pt>
                <c:pt idx="3185">
                  <c:v>1.3667751534655412</c:v>
                </c:pt>
                <c:pt idx="3186">
                  <c:v>1.3370783719404362</c:v>
                </c:pt>
                <c:pt idx="3187">
                  <c:v>1.3144995161636028</c:v>
                </c:pt>
                <c:pt idx="3188">
                  <c:v>1.2967442136277068</c:v>
                </c:pt>
                <c:pt idx="3189">
                  <c:v>1.2840863620855376</c:v>
                </c:pt>
                <c:pt idx="3190">
                  <c:v>1.2730255566399835</c:v>
                </c:pt>
                <c:pt idx="3191">
                  <c:v>1.2586769562902982</c:v>
                </c:pt>
                <c:pt idx="3192">
                  <c:v>1.2442014264689156</c:v>
                </c:pt>
                <c:pt idx="3193">
                  <c:v>1.2321041946239411</c:v>
                </c:pt>
                <c:pt idx="3194">
                  <c:v>1.2237777921610764</c:v>
                </c:pt>
                <c:pt idx="3195">
                  <c:v>1.2213962887442151</c:v>
                </c:pt>
                <c:pt idx="3196">
                  <c:v>1.2227671062518113</c:v>
                </c:pt>
                <c:pt idx="3197">
                  <c:v>1.2261745890707274</c:v>
                </c:pt>
                <c:pt idx="3198">
                  <c:v>1.2272363286299002</c:v>
                </c:pt>
                <c:pt idx="3199">
                  <c:v>1.2212498346000573</c:v>
                </c:pt>
                <c:pt idx="3200">
                  <c:v>1.2035486410895082</c:v>
                </c:pt>
                <c:pt idx="3201">
                  <c:v>1.1779725597549522</c:v>
                </c:pt>
                <c:pt idx="3202">
                  <c:v>1.1423268447356223</c:v>
                </c:pt>
                <c:pt idx="3203">
                  <c:v>1.0971417877749952</c:v>
                </c:pt>
                <c:pt idx="3204">
                  <c:v>1.043916636310481</c:v>
                </c:pt>
                <c:pt idx="3205">
                  <c:v>0.98386444364772774</c:v>
                </c:pt>
                <c:pt idx="3206">
                  <c:v>0.91967363929620694</c:v>
                </c:pt>
                <c:pt idx="3207">
                  <c:v>0.85335290739658831</c:v>
                </c:pt>
                <c:pt idx="3208">
                  <c:v>0.78596979647642229</c:v>
                </c:pt>
                <c:pt idx="3209">
                  <c:v>0.71702967683801755</c:v>
                </c:pt>
                <c:pt idx="3210">
                  <c:v>0.64855311353178968</c:v>
                </c:pt>
                <c:pt idx="3211">
                  <c:v>0.5790070903375506</c:v>
                </c:pt>
                <c:pt idx="3212">
                  <c:v>0.50861102420519877</c:v>
                </c:pt>
                <c:pt idx="3213">
                  <c:v>0.43913336551675458</c:v>
                </c:pt>
                <c:pt idx="3214">
                  <c:v>0.37692126744040932</c:v>
                </c:pt>
                <c:pt idx="3215">
                  <c:v>0.32401219705196738</c:v>
                </c:pt>
                <c:pt idx="3216">
                  <c:v>0.2809923112241336</c:v>
                </c:pt>
                <c:pt idx="3217">
                  <c:v>0.24863439199156318</c:v>
                </c:pt>
                <c:pt idx="3218">
                  <c:v>0.22544327475480863</c:v>
                </c:pt>
                <c:pt idx="3219">
                  <c:v>0.20699404769558435</c:v>
                </c:pt>
                <c:pt idx="3220">
                  <c:v>0.19153711983498006</c:v>
                </c:pt>
                <c:pt idx="3221">
                  <c:v>0.17775447939881098</c:v>
                </c:pt>
                <c:pt idx="3222">
                  <c:v>0.16442180184071495</c:v>
                </c:pt>
                <c:pt idx="3223">
                  <c:v>0.15153806001399248</c:v>
                </c:pt>
                <c:pt idx="3224">
                  <c:v>0.13919513730215519</c:v>
                </c:pt>
                <c:pt idx="3225">
                  <c:v>0.12792998094216704</c:v>
                </c:pt>
                <c:pt idx="3226">
                  <c:v>0.1180569359044162</c:v>
                </c:pt>
                <c:pt idx="3227">
                  <c:v>0.10855642633105107</c:v>
                </c:pt>
                <c:pt idx="3228">
                  <c:v>9.798024561727775E-2</c:v>
                </c:pt>
                <c:pt idx="3229">
                  <c:v>8.4060690877861791E-2</c:v>
                </c:pt>
                <c:pt idx="3230">
                  <c:v>6.7801092955779935E-2</c:v>
                </c:pt>
                <c:pt idx="3231">
                  <c:v>5.1359692973571437E-2</c:v>
                </c:pt>
                <c:pt idx="3232">
                  <c:v>3.6259835714887147E-2</c:v>
                </c:pt>
                <c:pt idx="3233">
                  <c:v>2.4074464077685702E-2</c:v>
                </c:pt>
                <c:pt idx="3234">
                  <c:v>1.6089910558778602E-2</c:v>
                </c:pt>
                <c:pt idx="3235">
                  <c:v>1.1028166770141351E-2</c:v>
                </c:pt>
                <c:pt idx="3236">
                  <c:v>7.4654902033414444E-3</c:v>
                </c:pt>
                <c:pt idx="3237">
                  <c:v>4.8441224658552244E-3</c:v>
                </c:pt>
                <c:pt idx="3238">
                  <c:v>2.8904547159031096E-3</c:v>
                </c:pt>
                <c:pt idx="3239">
                  <c:v>1.5545873749933648E-3</c:v>
                </c:pt>
                <c:pt idx="3240">
                  <c:v>7.3336226212481306E-4</c:v>
                </c:pt>
                <c:pt idx="3241">
                  <c:v>2.9273500024647631E-4</c:v>
                </c:pt>
                <c:pt idx="3242">
                  <c:v>1.4189555804231259E-4</c:v>
                </c:pt>
                <c:pt idx="3243">
                  <c:v>1.2504425930014943E-4</c:v>
                </c:pt>
                <c:pt idx="3244">
                  <c:v>1.2504425930014943E-4</c:v>
                </c:pt>
                <c:pt idx="3245">
                  <c:v>1.2504425930014943E-4</c:v>
                </c:pt>
                <c:pt idx="3246">
                  <c:v>1.2504425930014943E-4</c:v>
                </c:pt>
                <c:pt idx="3247">
                  <c:v>1.2504425930014943E-4</c:v>
                </c:pt>
                <c:pt idx="3248">
                  <c:v>1.2504425930014943E-4</c:v>
                </c:pt>
                <c:pt idx="3249">
                  <c:v>1.2504425930014943E-4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2E-42FE-BC56-5747F22B2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667024"/>
        <c:axId val="1933662128"/>
      </c:scatterChart>
      <c:valAx>
        <c:axId val="1933667024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>
                    <a:solidFill>
                      <a:schemeClr val="tx1"/>
                    </a:solidFill>
                  </a:rPr>
                  <a:t>Distancia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62128"/>
        <c:crosses val="autoZero"/>
        <c:crossBetween val="midCat"/>
        <c:majorUnit val="1"/>
      </c:valAx>
      <c:valAx>
        <c:axId val="1933662128"/>
        <c:scaling>
          <c:orientation val="minMax"/>
          <c:max val="1.6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>
                    <a:solidFill>
                      <a:schemeClr val="tx1"/>
                    </a:solidFill>
                  </a:rPr>
                  <a:t>Densidad esquelética (g cm-3)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6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4803149606299213" l="0.70866141732283472" r="0.70866141732283472" t="0.74803149606299213" header="0.31496062992125984" footer="0.31496062992125984"/>
    <c:pageSetup orientation="landscape" horizontalDpi="1200" verticalDpi="12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'[1]Temp-aire'!$C$9</c:f>
              <c:strCache>
                <c:ptCount val="1"/>
                <c:pt idx="0">
                  <c:v>Temp (°C)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'[1]Temp-aire'!$D$22:$D$741</c:f>
              <c:numCache>
                <c:formatCode>General</c:formatCode>
                <c:ptCount val="720"/>
                <c:pt idx="0">
                  <c:v>19725</c:v>
                </c:pt>
                <c:pt idx="1">
                  <c:v>19756</c:v>
                </c:pt>
                <c:pt idx="2">
                  <c:v>19784</c:v>
                </c:pt>
                <c:pt idx="3">
                  <c:v>19815</c:v>
                </c:pt>
                <c:pt idx="4">
                  <c:v>19845</c:v>
                </c:pt>
                <c:pt idx="5">
                  <c:v>19876</c:v>
                </c:pt>
                <c:pt idx="6">
                  <c:v>19906</c:v>
                </c:pt>
                <c:pt idx="7">
                  <c:v>19937</c:v>
                </c:pt>
                <c:pt idx="8">
                  <c:v>19968</c:v>
                </c:pt>
                <c:pt idx="9">
                  <c:v>19998</c:v>
                </c:pt>
                <c:pt idx="10">
                  <c:v>20029</c:v>
                </c:pt>
                <c:pt idx="11">
                  <c:v>20059</c:v>
                </c:pt>
                <c:pt idx="12">
                  <c:v>20090</c:v>
                </c:pt>
                <c:pt idx="13">
                  <c:v>20121</c:v>
                </c:pt>
                <c:pt idx="14">
                  <c:v>20149</c:v>
                </c:pt>
                <c:pt idx="15">
                  <c:v>20180</c:v>
                </c:pt>
                <c:pt idx="16">
                  <c:v>20210</c:v>
                </c:pt>
                <c:pt idx="17">
                  <c:v>20241</c:v>
                </c:pt>
                <c:pt idx="18">
                  <c:v>20271</c:v>
                </c:pt>
                <c:pt idx="19">
                  <c:v>20302</c:v>
                </c:pt>
                <c:pt idx="20">
                  <c:v>20333</c:v>
                </c:pt>
                <c:pt idx="21">
                  <c:v>20363</c:v>
                </c:pt>
                <c:pt idx="22">
                  <c:v>20394</c:v>
                </c:pt>
                <c:pt idx="23">
                  <c:v>20424</c:v>
                </c:pt>
                <c:pt idx="24">
                  <c:v>20455</c:v>
                </c:pt>
                <c:pt idx="25">
                  <c:v>20486</c:v>
                </c:pt>
                <c:pt idx="26">
                  <c:v>20515</c:v>
                </c:pt>
                <c:pt idx="27">
                  <c:v>20546</c:v>
                </c:pt>
                <c:pt idx="28">
                  <c:v>20576</c:v>
                </c:pt>
                <c:pt idx="29">
                  <c:v>20607</c:v>
                </c:pt>
                <c:pt idx="30">
                  <c:v>20637</c:v>
                </c:pt>
                <c:pt idx="31">
                  <c:v>20668</c:v>
                </c:pt>
                <c:pt idx="32">
                  <c:v>20699</c:v>
                </c:pt>
                <c:pt idx="33">
                  <c:v>20729</c:v>
                </c:pt>
                <c:pt idx="34">
                  <c:v>20760</c:v>
                </c:pt>
                <c:pt idx="35">
                  <c:v>20790</c:v>
                </c:pt>
                <c:pt idx="36">
                  <c:v>20821</c:v>
                </c:pt>
                <c:pt idx="37">
                  <c:v>20852</c:v>
                </c:pt>
                <c:pt idx="38">
                  <c:v>20880</c:v>
                </c:pt>
                <c:pt idx="39">
                  <c:v>20911</c:v>
                </c:pt>
                <c:pt idx="40">
                  <c:v>20941</c:v>
                </c:pt>
                <c:pt idx="41">
                  <c:v>20972</c:v>
                </c:pt>
                <c:pt idx="42">
                  <c:v>21002</c:v>
                </c:pt>
                <c:pt idx="43">
                  <c:v>21033</c:v>
                </c:pt>
                <c:pt idx="44">
                  <c:v>21064</c:v>
                </c:pt>
                <c:pt idx="45">
                  <c:v>21094</c:v>
                </c:pt>
                <c:pt idx="46">
                  <c:v>21125</c:v>
                </c:pt>
                <c:pt idx="47">
                  <c:v>21155</c:v>
                </c:pt>
                <c:pt idx="48">
                  <c:v>21186</c:v>
                </c:pt>
                <c:pt idx="49">
                  <c:v>21217</c:v>
                </c:pt>
                <c:pt idx="50">
                  <c:v>21245</c:v>
                </c:pt>
                <c:pt idx="51">
                  <c:v>21276</c:v>
                </c:pt>
                <c:pt idx="52">
                  <c:v>21306</c:v>
                </c:pt>
                <c:pt idx="53">
                  <c:v>21337</c:v>
                </c:pt>
                <c:pt idx="54">
                  <c:v>21367</c:v>
                </c:pt>
                <c:pt idx="55">
                  <c:v>21398</c:v>
                </c:pt>
                <c:pt idx="56">
                  <c:v>21429</c:v>
                </c:pt>
                <c:pt idx="57">
                  <c:v>21459</c:v>
                </c:pt>
                <c:pt idx="58">
                  <c:v>21490</c:v>
                </c:pt>
                <c:pt idx="59">
                  <c:v>21520</c:v>
                </c:pt>
                <c:pt idx="60">
                  <c:v>21551</c:v>
                </c:pt>
                <c:pt idx="61">
                  <c:v>21582</c:v>
                </c:pt>
                <c:pt idx="62">
                  <c:v>21610</c:v>
                </c:pt>
                <c:pt idx="63">
                  <c:v>21641</c:v>
                </c:pt>
                <c:pt idx="64">
                  <c:v>21671</c:v>
                </c:pt>
                <c:pt idx="65">
                  <c:v>21702</c:v>
                </c:pt>
                <c:pt idx="66">
                  <c:v>21732</c:v>
                </c:pt>
                <c:pt idx="67">
                  <c:v>21763</c:v>
                </c:pt>
                <c:pt idx="68">
                  <c:v>21794</c:v>
                </c:pt>
                <c:pt idx="69">
                  <c:v>21824</c:v>
                </c:pt>
                <c:pt idx="70">
                  <c:v>21855</c:v>
                </c:pt>
                <c:pt idx="71">
                  <c:v>21885</c:v>
                </c:pt>
                <c:pt idx="72">
                  <c:v>21916</c:v>
                </c:pt>
                <c:pt idx="73">
                  <c:v>21947</c:v>
                </c:pt>
                <c:pt idx="74">
                  <c:v>21976</c:v>
                </c:pt>
                <c:pt idx="75">
                  <c:v>22007</c:v>
                </c:pt>
                <c:pt idx="76">
                  <c:v>22037</c:v>
                </c:pt>
                <c:pt idx="77">
                  <c:v>22068</c:v>
                </c:pt>
                <c:pt idx="78">
                  <c:v>22098</c:v>
                </c:pt>
                <c:pt idx="79">
                  <c:v>22129</c:v>
                </c:pt>
                <c:pt idx="80">
                  <c:v>22160</c:v>
                </c:pt>
                <c:pt idx="81">
                  <c:v>22190</c:v>
                </c:pt>
                <c:pt idx="82">
                  <c:v>22221</c:v>
                </c:pt>
                <c:pt idx="83">
                  <c:v>22251</c:v>
                </c:pt>
                <c:pt idx="84">
                  <c:v>22282</c:v>
                </c:pt>
                <c:pt idx="85">
                  <c:v>22313</c:v>
                </c:pt>
                <c:pt idx="86">
                  <c:v>22341</c:v>
                </c:pt>
                <c:pt idx="87">
                  <c:v>22372</c:v>
                </c:pt>
                <c:pt idx="88">
                  <c:v>22402</c:v>
                </c:pt>
                <c:pt idx="89">
                  <c:v>22433</c:v>
                </c:pt>
                <c:pt idx="90">
                  <c:v>22463</c:v>
                </c:pt>
                <c:pt idx="91">
                  <c:v>22494</c:v>
                </c:pt>
                <c:pt idx="92">
                  <c:v>22525</c:v>
                </c:pt>
                <c:pt idx="93">
                  <c:v>22555</c:v>
                </c:pt>
                <c:pt idx="94">
                  <c:v>22586</c:v>
                </c:pt>
                <c:pt idx="95">
                  <c:v>22616</c:v>
                </c:pt>
                <c:pt idx="96">
                  <c:v>22647</c:v>
                </c:pt>
                <c:pt idx="97">
                  <c:v>22678</c:v>
                </c:pt>
                <c:pt idx="98">
                  <c:v>22706</c:v>
                </c:pt>
                <c:pt idx="99">
                  <c:v>22737</c:v>
                </c:pt>
                <c:pt idx="100">
                  <c:v>22767</c:v>
                </c:pt>
                <c:pt idx="101">
                  <c:v>22798</c:v>
                </c:pt>
                <c:pt idx="102">
                  <c:v>22828</c:v>
                </c:pt>
                <c:pt idx="103">
                  <c:v>22859</c:v>
                </c:pt>
                <c:pt idx="104">
                  <c:v>22890</c:v>
                </c:pt>
                <c:pt idx="105">
                  <c:v>22920</c:v>
                </c:pt>
                <c:pt idx="106">
                  <c:v>22951</c:v>
                </c:pt>
                <c:pt idx="107">
                  <c:v>22981</c:v>
                </c:pt>
                <c:pt idx="108">
                  <c:v>23012</c:v>
                </c:pt>
                <c:pt idx="109">
                  <c:v>23043</c:v>
                </c:pt>
                <c:pt idx="110">
                  <c:v>23071</c:v>
                </c:pt>
                <c:pt idx="111">
                  <c:v>23102</c:v>
                </c:pt>
                <c:pt idx="112">
                  <c:v>23132</c:v>
                </c:pt>
                <c:pt idx="113">
                  <c:v>23163</c:v>
                </c:pt>
                <c:pt idx="114">
                  <c:v>23193</c:v>
                </c:pt>
                <c:pt idx="115">
                  <c:v>23224</c:v>
                </c:pt>
                <c:pt idx="116">
                  <c:v>23255</c:v>
                </c:pt>
                <c:pt idx="117">
                  <c:v>23285</c:v>
                </c:pt>
                <c:pt idx="118">
                  <c:v>23316</c:v>
                </c:pt>
                <c:pt idx="119">
                  <c:v>23346</c:v>
                </c:pt>
                <c:pt idx="120">
                  <c:v>23377</c:v>
                </c:pt>
                <c:pt idx="121">
                  <c:v>23408</c:v>
                </c:pt>
                <c:pt idx="122">
                  <c:v>23437</c:v>
                </c:pt>
                <c:pt idx="123">
                  <c:v>23468</c:v>
                </c:pt>
                <c:pt idx="124">
                  <c:v>23498</c:v>
                </c:pt>
                <c:pt idx="125">
                  <c:v>23529</c:v>
                </c:pt>
                <c:pt idx="126">
                  <c:v>23559</c:v>
                </c:pt>
                <c:pt idx="127">
                  <c:v>23590</c:v>
                </c:pt>
                <c:pt idx="128">
                  <c:v>23621</c:v>
                </c:pt>
                <c:pt idx="129">
                  <c:v>23651</c:v>
                </c:pt>
                <c:pt idx="130">
                  <c:v>23682</c:v>
                </c:pt>
                <c:pt idx="131">
                  <c:v>23712</c:v>
                </c:pt>
                <c:pt idx="132">
                  <c:v>23743</c:v>
                </c:pt>
                <c:pt idx="133">
                  <c:v>23774</c:v>
                </c:pt>
                <c:pt idx="134">
                  <c:v>23802</c:v>
                </c:pt>
                <c:pt idx="135">
                  <c:v>23833</c:v>
                </c:pt>
                <c:pt idx="136">
                  <c:v>23863</c:v>
                </c:pt>
                <c:pt idx="137">
                  <c:v>23894</c:v>
                </c:pt>
                <c:pt idx="138">
                  <c:v>23924</c:v>
                </c:pt>
                <c:pt idx="139">
                  <c:v>23955</c:v>
                </c:pt>
                <c:pt idx="140">
                  <c:v>23986</c:v>
                </c:pt>
                <c:pt idx="141">
                  <c:v>24016</c:v>
                </c:pt>
                <c:pt idx="142">
                  <c:v>24047</c:v>
                </c:pt>
                <c:pt idx="143">
                  <c:v>24077</c:v>
                </c:pt>
                <c:pt idx="144">
                  <c:v>24108</c:v>
                </c:pt>
                <c:pt idx="145">
                  <c:v>24139</c:v>
                </c:pt>
                <c:pt idx="146">
                  <c:v>24167</c:v>
                </c:pt>
                <c:pt idx="147">
                  <c:v>24198</c:v>
                </c:pt>
                <c:pt idx="148">
                  <c:v>24228</c:v>
                </c:pt>
                <c:pt idx="149">
                  <c:v>24259</c:v>
                </c:pt>
                <c:pt idx="150">
                  <c:v>24289</c:v>
                </c:pt>
                <c:pt idx="151">
                  <c:v>24320</c:v>
                </c:pt>
                <c:pt idx="152">
                  <c:v>24351</c:v>
                </c:pt>
                <c:pt idx="153">
                  <c:v>24381</c:v>
                </c:pt>
                <c:pt idx="154">
                  <c:v>24412</c:v>
                </c:pt>
                <c:pt idx="155">
                  <c:v>24442</c:v>
                </c:pt>
                <c:pt idx="156">
                  <c:v>24473</c:v>
                </c:pt>
                <c:pt idx="157">
                  <c:v>24504</c:v>
                </c:pt>
                <c:pt idx="158">
                  <c:v>24532</c:v>
                </c:pt>
                <c:pt idx="159">
                  <c:v>24563</c:v>
                </c:pt>
                <c:pt idx="160">
                  <c:v>24593</c:v>
                </c:pt>
                <c:pt idx="161">
                  <c:v>24624</c:v>
                </c:pt>
                <c:pt idx="162">
                  <c:v>24654</c:v>
                </c:pt>
                <c:pt idx="163">
                  <c:v>24685</c:v>
                </c:pt>
                <c:pt idx="164">
                  <c:v>24716</c:v>
                </c:pt>
                <c:pt idx="165">
                  <c:v>24746</c:v>
                </c:pt>
                <c:pt idx="166">
                  <c:v>24777</c:v>
                </c:pt>
                <c:pt idx="167">
                  <c:v>24807</c:v>
                </c:pt>
                <c:pt idx="168">
                  <c:v>24838</c:v>
                </c:pt>
                <c:pt idx="169">
                  <c:v>24869</c:v>
                </c:pt>
                <c:pt idx="170">
                  <c:v>24898</c:v>
                </c:pt>
                <c:pt idx="171">
                  <c:v>24929</c:v>
                </c:pt>
                <c:pt idx="172">
                  <c:v>24959</c:v>
                </c:pt>
                <c:pt idx="173">
                  <c:v>24990</c:v>
                </c:pt>
                <c:pt idx="174">
                  <c:v>25020</c:v>
                </c:pt>
                <c:pt idx="175">
                  <c:v>25051</c:v>
                </c:pt>
                <c:pt idx="176">
                  <c:v>25082</c:v>
                </c:pt>
                <c:pt idx="177">
                  <c:v>25112</c:v>
                </c:pt>
                <c:pt idx="178">
                  <c:v>25143</c:v>
                </c:pt>
                <c:pt idx="179">
                  <c:v>25173</c:v>
                </c:pt>
                <c:pt idx="180">
                  <c:v>25204</c:v>
                </c:pt>
                <c:pt idx="181">
                  <c:v>25235</c:v>
                </c:pt>
                <c:pt idx="182">
                  <c:v>25263</c:v>
                </c:pt>
                <c:pt idx="183">
                  <c:v>25294</c:v>
                </c:pt>
                <c:pt idx="184">
                  <c:v>25324</c:v>
                </c:pt>
                <c:pt idx="185">
                  <c:v>25355</c:v>
                </c:pt>
                <c:pt idx="186">
                  <c:v>25385</c:v>
                </c:pt>
                <c:pt idx="187">
                  <c:v>25416</c:v>
                </c:pt>
                <c:pt idx="188">
                  <c:v>25447</c:v>
                </c:pt>
                <c:pt idx="189">
                  <c:v>25477</c:v>
                </c:pt>
                <c:pt idx="190">
                  <c:v>25508</c:v>
                </c:pt>
                <c:pt idx="191">
                  <c:v>25538</c:v>
                </c:pt>
                <c:pt idx="192">
                  <c:v>25569</c:v>
                </c:pt>
                <c:pt idx="193">
                  <c:v>25600</c:v>
                </c:pt>
                <c:pt idx="194">
                  <c:v>25628</c:v>
                </c:pt>
                <c:pt idx="195">
                  <c:v>25659</c:v>
                </c:pt>
                <c:pt idx="196">
                  <c:v>25689</c:v>
                </c:pt>
                <c:pt idx="197">
                  <c:v>25720</c:v>
                </c:pt>
                <c:pt idx="198">
                  <c:v>25750</c:v>
                </c:pt>
                <c:pt idx="199">
                  <c:v>25781</c:v>
                </c:pt>
                <c:pt idx="200">
                  <c:v>25812</c:v>
                </c:pt>
                <c:pt idx="201">
                  <c:v>25842</c:v>
                </c:pt>
                <c:pt idx="202">
                  <c:v>25873</c:v>
                </c:pt>
                <c:pt idx="203">
                  <c:v>25903</c:v>
                </c:pt>
                <c:pt idx="204">
                  <c:v>25934</c:v>
                </c:pt>
                <c:pt idx="205">
                  <c:v>25965</c:v>
                </c:pt>
                <c:pt idx="206">
                  <c:v>25993</c:v>
                </c:pt>
                <c:pt idx="207">
                  <c:v>26024</c:v>
                </c:pt>
                <c:pt idx="208">
                  <c:v>26054</c:v>
                </c:pt>
                <c:pt idx="209">
                  <c:v>26085</c:v>
                </c:pt>
                <c:pt idx="210">
                  <c:v>26115</c:v>
                </c:pt>
                <c:pt idx="211">
                  <c:v>26146</c:v>
                </c:pt>
                <c:pt idx="212">
                  <c:v>26177</c:v>
                </c:pt>
                <c:pt idx="213">
                  <c:v>26207</c:v>
                </c:pt>
                <c:pt idx="214">
                  <c:v>26238</c:v>
                </c:pt>
                <c:pt idx="215">
                  <c:v>26268</c:v>
                </c:pt>
                <c:pt idx="216">
                  <c:v>26299</c:v>
                </c:pt>
                <c:pt idx="217">
                  <c:v>26330</c:v>
                </c:pt>
                <c:pt idx="218">
                  <c:v>26359</c:v>
                </c:pt>
                <c:pt idx="219">
                  <c:v>26390</c:v>
                </c:pt>
                <c:pt idx="220">
                  <c:v>26420</c:v>
                </c:pt>
                <c:pt idx="221">
                  <c:v>26451</c:v>
                </c:pt>
                <c:pt idx="222">
                  <c:v>26481</c:v>
                </c:pt>
                <c:pt idx="223">
                  <c:v>26512</c:v>
                </c:pt>
                <c:pt idx="224">
                  <c:v>26543</c:v>
                </c:pt>
                <c:pt idx="225">
                  <c:v>26573</c:v>
                </c:pt>
                <c:pt idx="226">
                  <c:v>26604</c:v>
                </c:pt>
                <c:pt idx="227">
                  <c:v>26634</c:v>
                </c:pt>
                <c:pt idx="228">
                  <c:v>26665</c:v>
                </c:pt>
                <c:pt idx="229">
                  <c:v>26696</c:v>
                </c:pt>
                <c:pt idx="230">
                  <c:v>26724</c:v>
                </c:pt>
                <c:pt idx="231">
                  <c:v>26755</c:v>
                </c:pt>
                <c:pt idx="232">
                  <c:v>26785</c:v>
                </c:pt>
                <c:pt idx="233">
                  <c:v>26816</c:v>
                </c:pt>
                <c:pt idx="234">
                  <c:v>26846</c:v>
                </c:pt>
                <c:pt idx="235">
                  <c:v>26877</c:v>
                </c:pt>
                <c:pt idx="236">
                  <c:v>26908</c:v>
                </c:pt>
                <c:pt idx="237">
                  <c:v>26938</c:v>
                </c:pt>
                <c:pt idx="238">
                  <c:v>26969</c:v>
                </c:pt>
                <c:pt idx="239">
                  <c:v>26999</c:v>
                </c:pt>
                <c:pt idx="240">
                  <c:v>27030</c:v>
                </c:pt>
                <c:pt idx="241">
                  <c:v>27061</c:v>
                </c:pt>
                <c:pt idx="242">
                  <c:v>27089</c:v>
                </c:pt>
                <c:pt idx="243">
                  <c:v>27120</c:v>
                </c:pt>
                <c:pt idx="244">
                  <c:v>27150</c:v>
                </c:pt>
                <c:pt idx="245">
                  <c:v>27181</c:v>
                </c:pt>
                <c:pt idx="246">
                  <c:v>27211</c:v>
                </c:pt>
                <c:pt idx="247">
                  <c:v>27242</c:v>
                </c:pt>
                <c:pt idx="248">
                  <c:v>27273</c:v>
                </c:pt>
                <c:pt idx="249">
                  <c:v>27303</c:v>
                </c:pt>
                <c:pt idx="250">
                  <c:v>27334</c:v>
                </c:pt>
                <c:pt idx="251">
                  <c:v>27364</c:v>
                </c:pt>
                <c:pt idx="252">
                  <c:v>27395</c:v>
                </c:pt>
                <c:pt idx="253">
                  <c:v>27426</c:v>
                </c:pt>
                <c:pt idx="254">
                  <c:v>27454</c:v>
                </c:pt>
                <c:pt idx="255">
                  <c:v>27485</c:v>
                </c:pt>
                <c:pt idx="256">
                  <c:v>27515</c:v>
                </c:pt>
                <c:pt idx="257">
                  <c:v>27546</c:v>
                </c:pt>
                <c:pt idx="258">
                  <c:v>27576</c:v>
                </c:pt>
                <c:pt idx="259">
                  <c:v>27607</c:v>
                </c:pt>
                <c:pt idx="260">
                  <c:v>27638</c:v>
                </c:pt>
                <c:pt idx="261">
                  <c:v>27668</c:v>
                </c:pt>
                <c:pt idx="262">
                  <c:v>27699</c:v>
                </c:pt>
                <c:pt idx="263">
                  <c:v>27729</c:v>
                </c:pt>
                <c:pt idx="264">
                  <c:v>27760</c:v>
                </c:pt>
                <c:pt idx="265">
                  <c:v>27791</c:v>
                </c:pt>
                <c:pt idx="266">
                  <c:v>27820</c:v>
                </c:pt>
                <c:pt idx="267">
                  <c:v>27851</c:v>
                </c:pt>
                <c:pt idx="268">
                  <c:v>27881</c:v>
                </c:pt>
                <c:pt idx="269">
                  <c:v>27912</c:v>
                </c:pt>
                <c:pt idx="270">
                  <c:v>27942</c:v>
                </c:pt>
                <c:pt idx="271">
                  <c:v>27973</c:v>
                </c:pt>
                <c:pt idx="272">
                  <c:v>28004</c:v>
                </c:pt>
                <c:pt idx="273">
                  <c:v>28034</c:v>
                </c:pt>
                <c:pt idx="274">
                  <c:v>28065</c:v>
                </c:pt>
                <c:pt idx="275">
                  <c:v>28095</c:v>
                </c:pt>
                <c:pt idx="276">
                  <c:v>28126</c:v>
                </c:pt>
                <c:pt idx="277">
                  <c:v>28157</c:v>
                </c:pt>
                <c:pt idx="278">
                  <c:v>28185</c:v>
                </c:pt>
                <c:pt idx="279">
                  <c:v>28216</c:v>
                </c:pt>
                <c:pt idx="280">
                  <c:v>28246</c:v>
                </c:pt>
                <c:pt idx="281">
                  <c:v>28277</c:v>
                </c:pt>
                <c:pt idx="282">
                  <c:v>28307</c:v>
                </c:pt>
                <c:pt idx="283">
                  <c:v>28338</c:v>
                </c:pt>
                <c:pt idx="284">
                  <c:v>28369</c:v>
                </c:pt>
                <c:pt idx="285">
                  <c:v>28399</c:v>
                </c:pt>
                <c:pt idx="286">
                  <c:v>28430</c:v>
                </c:pt>
                <c:pt idx="287">
                  <c:v>28460</c:v>
                </c:pt>
                <c:pt idx="288">
                  <c:v>28491</c:v>
                </c:pt>
                <c:pt idx="289">
                  <c:v>28522</c:v>
                </c:pt>
                <c:pt idx="290">
                  <c:v>28550</c:v>
                </c:pt>
                <c:pt idx="291">
                  <c:v>28581</c:v>
                </c:pt>
                <c:pt idx="292">
                  <c:v>28611</c:v>
                </c:pt>
                <c:pt idx="293">
                  <c:v>28642</c:v>
                </c:pt>
                <c:pt idx="294">
                  <c:v>28672</c:v>
                </c:pt>
                <c:pt idx="295">
                  <c:v>28703</c:v>
                </c:pt>
                <c:pt idx="296">
                  <c:v>28734</c:v>
                </c:pt>
                <c:pt idx="297">
                  <c:v>28764</c:v>
                </c:pt>
                <c:pt idx="298">
                  <c:v>28795</c:v>
                </c:pt>
                <c:pt idx="299">
                  <c:v>28825</c:v>
                </c:pt>
                <c:pt idx="300">
                  <c:v>28856</c:v>
                </c:pt>
                <c:pt idx="301">
                  <c:v>28887</c:v>
                </c:pt>
                <c:pt idx="302">
                  <c:v>28915</c:v>
                </c:pt>
                <c:pt idx="303">
                  <c:v>28946</c:v>
                </c:pt>
                <c:pt idx="304">
                  <c:v>28976</c:v>
                </c:pt>
                <c:pt idx="305">
                  <c:v>29007</c:v>
                </c:pt>
                <c:pt idx="306">
                  <c:v>29037</c:v>
                </c:pt>
                <c:pt idx="307">
                  <c:v>29068</c:v>
                </c:pt>
                <c:pt idx="308">
                  <c:v>29099</c:v>
                </c:pt>
                <c:pt idx="309">
                  <c:v>29129</c:v>
                </c:pt>
                <c:pt idx="310">
                  <c:v>29160</c:v>
                </c:pt>
                <c:pt idx="311">
                  <c:v>29190</c:v>
                </c:pt>
                <c:pt idx="312">
                  <c:v>29221</c:v>
                </c:pt>
                <c:pt idx="313">
                  <c:v>29252</c:v>
                </c:pt>
                <c:pt idx="314">
                  <c:v>29281</c:v>
                </c:pt>
                <c:pt idx="315">
                  <c:v>29312</c:v>
                </c:pt>
                <c:pt idx="316">
                  <c:v>29342</c:v>
                </c:pt>
                <c:pt idx="317">
                  <c:v>29373</c:v>
                </c:pt>
                <c:pt idx="318">
                  <c:v>29403</c:v>
                </c:pt>
                <c:pt idx="319">
                  <c:v>29434</c:v>
                </c:pt>
                <c:pt idx="320">
                  <c:v>29465</c:v>
                </c:pt>
                <c:pt idx="321">
                  <c:v>29495</c:v>
                </c:pt>
                <c:pt idx="322">
                  <c:v>29526</c:v>
                </c:pt>
                <c:pt idx="323">
                  <c:v>29556</c:v>
                </c:pt>
                <c:pt idx="324">
                  <c:v>29587</c:v>
                </c:pt>
                <c:pt idx="325">
                  <c:v>29618</c:v>
                </c:pt>
                <c:pt idx="326">
                  <c:v>29646</c:v>
                </c:pt>
                <c:pt idx="327">
                  <c:v>29677</c:v>
                </c:pt>
                <c:pt idx="328">
                  <c:v>29707</c:v>
                </c:pt>
                <c:pt idx="329">
                  <c:v>29738</c:v>
                </c:pt>
                <c:pt idx="330">
                  <c:v>29768</c:v>
                </c:pt>
                <c:pt idx="331">
                  <c:v>29799</c:v>
                </c:pt>
                <c:pt idx="332">
                  <c:v>29830</c:v>
                </c:pt>
                <c:pt idx="333">
                  <c:v>29860</c:v>
                </c:pt>
                <c:pt idx="334">
                  <c:v>29891</c:v>
                </c:pt>
                <c:pt idx="335">
                  <c:v>29921</c:v>
                </c:pt>
                <c:pt idx="336">
                  <c:v>29952</c:v>
                </c:pt>
                <c:pt idx="337">
                  <c:v>29983</c:v>
                </c:pt>
                <c:pt idx="338">
                  <c:v>30011</c:v>
                </c:pt>
                <c:pt idx="339">
                  <c:v>30042</c:v>
                </c:pt>
                <c:pt idx="340">
                  <c:v>30072</c:v>
                </c:pt>
                <c:pt idx="341">
                  <c:v>30103</c:v>
                </c:pt>
                <c:pt idx="342">
                  <c:v>30133</c:v>
                </c:pt>
                <c:pt idx="343">
                  <c:v>30164</c:v>
                </c:pt>
                <c:pt idx="344">
                  <c:v>30195</c:v>
                </c:pt>
                <c:pt idx="345">
                  <c:v>30225</c:v>
                </c:pt>
                <c:pt idx="346">
                  <c:v>30256</c:v>
                </c:pt>
                <c:pt idx="347">
                  <c:v>30286</c:v>
                </c:pt>
                <c:pt idx="348">
                  <c:v>30317</c:v>
                </c:pt>
                <c:pt idx="349">
                  <c:v>30348</c:v>
                </c:pt>
                <c:pt idx="350">
                  <c:v>30376</c:v>
                </c:pt>
                <c:pt idx="351">
                  <c:v>30407</c:v>
                </c:pt>
                <c:pt idx="352">
                  <c:v>30437</c:v>
                </c:pt>
                <c:pt idx="353">
                  <c:v>30468</c:v>
                </c:pt>
                <c:pt idx="354">
                  <c:v>30498</c:v>
                </c:pt>
                <c:pt idx="355">
                  <c:v>30529</c:v>
                </c:pt>
                <c:pt idx="356">
                  <c:v>30560</c:v>
                </c:pt>
                <c:pt idx="357">
                  <c:v>30590</c:v>
                </c:pt>
                <c:pt idx="358">
                  <c:v>30621</c:v>
                </c:pt>
                <c:pt idx="359">
                  <c:v>30651</c:v>
                </c:pt>
                <c:pt idx="360">
                  <c:v>30682</c:v>
                </c:pt>
                <c:pt idx="361">
                  <c:v>30713</c:v>
                </c:pt>
                <c:pt idx="362">
                  <c:v>30742</c:v>
                </c:pt>
                <c:pt idx="363">
                  <c:v>30773</c:v>
                </c:pt>
                <c:pt idx="364">
                  <c:v>30803</c:v>
                </c:pt>
                <c:pt idx="365">
                  <c:v>30834</c:v>
                </c:pt>
                <c:pt idx="366">
                  <c:v>30864</c:v>
                </c:pt>
                <c:pt idx="367">
                  <c:v>30895</c:v>
                </c:pt>
                <c:pt idx="368">
                  <c:v>30926</c:v>
                </c:pt>
                <c:pt idx="369">
                  <c:v>30956</c:v>
                </c:pt>
                <c:pt idx="370">
                  <c:v>30987</c:v>
                </c:pt>
                <c:pt idx="371">
                  <c:v>31017</c:v>
                </c:pt>
                <c:pt idx="372">
                  <c:v>31048</c:v>
                </c:pt>
                <c:pt idx="373">
                  <c:v>31079</c:v>
                </c:pt>
                <c:pt idx="374">
                  <c:v>31107</c:v>
                </c:pt>
                <c:pt idx="375">
                  <c:v>31138</c:v>
                </c:pt>
                <c:pt idx="376">
                  <c:v>31168</c:v>
                </c:pt>
                <c:pt idx="377">
                  <c:v>31199</c:v>
                </c:pt>
                <c:pt idx="378">
                  <c:v>31229</c:v>
                </c:pt>
                <c:pt idx="379">
                  <c:v>31260</c:v>
                </c:pt>
                <c:pt idx="380">
                  <c:v>31291</c:v>
                </c:pt>
                <c:pt idx="381">
                  <c:v>31321</c:v>
                </c:pt>
                <c:pt idx="382">
                  <c:v>31352</c:v>
                </c:pt>
                <c:pt idx="383">
                  <c:v>31382</c:v>
                </c:pt>
                <c:pt idx="384">
                  <c:v>31413</c:v>
                </c:pt>
                <c:pt idx="385">
                  <c:v>31444</c:v>
                </c:pt>
                <c:pt idx="386">
                  <c:v>31472</c:v>
                </c:pt>
                <c:pt idx="387">
                  <c:v>31503</c:v>
                </c:pt>
                <c:pt idx="388">
                  <c:v>31533</c:v>
                </c:pt>
                <c:pt idx="389">
                  <c:v>31564</c:v>
                </c:pt>
                <c:pt idx="390">
                  <c:v>31594</c:v>
                </c:pt>
                <c:pt idx="391">
                  <c:v>31625</c:v>
                </c:pt>
                <c:pt idx="392">
                  <c:v>31656</c:v>
                </c:pt>
                <c:pt idx="393">
                  <c:v>31686</c:v>
                </c:pt>
                <c:pt idx="394">
                  <c:v>31717</c:v>
                </c:pt>
                <c:pt idx="395">
                  <c:v>31747</c:v>
                </c:pt>
                <c:pt idx="396">
                  <c:v>31778</c:v>
                </c:pt>
                <c:pt idx="397">
                  <c:v>31809</c:v>
                </c:pt>
                <c:pt idx="398">
                  <c:v>31837</c:v>
                </c:pt>
                <c:pt idx="399">
                  <c:v>31868</c:v>
                </c:pt>
                <c:pt idx="400">
                  <c:v>31898</c:v>
                </c:pt>
                <c:pt idx="401">
                  <c:v>31929</c:v>
                </c:pt>
                <c:pt idx="402">
                  <c:v>31959</c:v>
                </c:pt>
                <c:pt idx="403">
                  <c:v>31990</c:v>
                </c:pt>
                <c:pt idx="404">
                  <c:v>32021</c:v>
                </c:pt>
                <c:pt idx="405">
                  <c:v>32051</c:v>
                </c:pt>
                <c:pt idx="406">
                  <c:v>32082</c:v>
                </c:pt>
                <c:pt idx="407">
                  <c:v>32112</c:v>
                </c:pt>
                <c:pt idx="408">
                  <c:v>32143</c:v>
                </c:pt>
                <c:pt idx="409">
                  <c:v>32174</c:v>
                </c:pt>
                <c:pt idx="410">
                  <c:v>32203</c:v>
                </c:pt>
                <c:pt idx="411">
                  <c:v>32234</c:v>
                </c:pt>
                <c:pt idx="412">
                  <c:v>32264</c:v>
                </c:pt>
                <c:pt idx="413">
                  <c:v>32295</c:v>
                </c:pt>
                <c:pt idx="414">
                  <c:v>32325</c:v>
                </c:pt>
                <c:pt idx="415">
                  <c:v>32356</c:v>
                </c:pt>
                <c:pt idx="416">
                  <c:v>32387</c:v>
                </c:pt>
                <c:pt idx="417">
                  <c:v>32417</c:v>
                </c:pt>
                <c:pt idx="418">
                  <c:v>32448</c:v>
                </c:pt>
                <c:pt idx="419">
                  <c:v>32478</c:v>
                </c:pt>
                <c:pt idx="420">
                  <c:v>32509</c:v>
                </c:pt>
                <c:pt idx="421">
                  <c:v>32540</c:v>
                </c:pt>
                <c:pt idx="422">
                  <c:v>32568</c:v>
                </c:pt>
                <c:pt idx="423">
                  <c:v>32599</c:v>
                </c:pt>
                <c:pt idx="424">
                  <c:v>32629</c:v>
                </c:pt>
                <c:pt idx="425">
                  <c:v>32660</c:v>
                </c:pt>
                <c:pt idx="426">
                  <c:v>32690</c:v>
                </c:pt>
                <c:pt idx="427">
                  <c:v>32721</c:v>
                </c:pt>
                <c:pt idx="428">
                  <c:v>32752</c:v>
                </c:pt>
                <c:pt idx="429">
                  <c:v>32782</c:v>
                </c:pt>
                <c:pt idx="430">
                  <c:v>32813</c:v>
                </c:pt>
                <c:pt idx="431">
                  <c:v>32843</c:v>
                </c:pt>
                <c:pt idx="432">
                  <c:v>32874</c:v>
                </c:pt>
                <c:pt idx="433">
                  <c:v>32905</c:v>
                </c:pt>
                <c:pt idx="434">
                  <c:v>32933</c:v>
                </c:pt>
                <c:pt idx="435">
                  <c:v>32964</c:v>
                </c:pt>
                <c:pt idx="436">
                  <c:v>32994</c:v>
                </c:pt>
                <c:pt idx="437">
                  <c:v>33025</c:v>
                </c:pt>
                <c:pt idx="438">
                  <c:v>33055</c:v>
                </c:pt>
                <c:pt idx="439">
                  <c:v>33086</c:v>
                </c:pt>
                <c:pt idx="440">
                  <c:v>33117</c:v>
                </c:pt>
                <c:pt idx="441">
                  <c:v>33147</c:v>
                </c:pt>
                <c:pt idx="442">
                  <c:v>33178</c:v>
                </c:pt>
                <c:pt idx="443">
                  <c:v>33208</c:v>
                </c:pt>
                <c:pt idx="444">
                  <c:v>33239</c:v>
                </c:pt>
                <c:pt idx="445">
                  <c:v>33270</c:v>
                </c:pt>
                <c:pt idx="446">
                  <c:v>33298</c:v>
                </c:pt>
                <c:pt idx="447">
                  <c:v>33329</c:v>
                </c:pt>
                <c:pt idx="448">
                  <c:v>33359</c:v>
                </c:pt>
                <c:pt idx="449">
                  <c:v>33390</c:v>
                </c:pt>
                <c:pt idx="450">
                  <c:v>33420</c:v>
                </c:pt>
                <c:pt idx="451">
                  <c:v>33451</c:v>
                </c:pt>
                <c:pt idx="452">
                  <c:v>33482</c:v>
                </c:pt>
                <c:pt idx="453">
                  <c:v>33512</c:v>
                </c:pt>
                <c:pt idx="454">
                  <c:v>33543</c:v>
                </c:pt>
                <c:pt idx="455">
                  <c:v>33573</c:v>
                </c:pt>
                <c:pt idx="456">
                  <c:v>33604</c:v>
                </c:pt>
                <c:pt idx="457">
                  <c:v>33635</c:v>
                </c:pt>
                <c:pt idx="458">
                  <c:v>33664</c:v>
                </c:pt>
                <c:pt idx="459">
                  <c:v>33695</c:v>
                </c:pt>
                <c:pt idx="460">
                  <c:v>33725</c:v>
                </c:pt>
                <c:pt idx="461">
                  <c:v>33756</c:v>
                </c:pt>
                <c:pt idx="462">
                  <c:v>33786</c:v>
                </c:pt>
                <c:pt idx="463">
                  <c:v>33817</c:v>
                </c:pt>
                <c:pt idx="464">
                  <c:v>33848</c:v>
                </c:pt>
                <c:pt idx="465">
                  <c:v>33878</c:v>
                </c:pt>
                <c:pt idx="466">
                  <c:v>33909</c:v>
                </c:pt>
                <c:pt idx="467">
                  <c:v>33939</c:v>
                </c:pt>
                <c:pt idx="468">
                  <c:v>33970</c:v>
                </c:pt>
                <c:pt idx="469">
                  <c:v>34001</c:v>
                </c:pt>
                <c:pt idx="470">
                  <c:v>34029</c:v>
                </c:pt>
                <c:pt idx="471">
                  <c:v>34060</c:v>
                </c:pt>
                <c:pt idx="472">
                  <c:v>34090</c:v>
                </c:pt>
                <c:pt idx="473">
                  <c:v>34121</c:v>
                </c:pt>
                <c:pt idx="474">
                  <c:v>34151</c:v>
                </c:pt>
                <c:pt idx="475">
                  <c:v>34182</c:v>
                </c:pt>
                <c:pt idx="476">
                  <c:v>34213</c:v>
                </c:pt>
                <c:pt idx="477">
                  <c:v>34243</c:v>
                </c:pt>
                <c:pt idx="478">
                  <c:v>34274</c:v>
                </c:pt>
                <c:pt idx="479">
                  <c:v>34304</c:v>
                </c:pt>
                <c:pt idx="480">
                  <c:v>34335</c:v>
                </c:pt>
                <c:pt idx="481">
                  <c:v>34366</c:v>
                </c:pt>
                <c:pt idx="482">
                  <c:v>34394</c:v>
                </c:pt>
                <c:pt idx="483">
                  <c:v>34425</c:v>
                </c:pt>
                <c:pt idx="484">
                  <c:v>34455</c:v>
                </c:pt>
                <c:pt idx="485">
                  <c:v>34486</c:v>
                </c:pt>
                <c:pt idx="486">
                  <c:v>34516</c:v>
                </c:pt>
                <c:pt idx="487">
                  <c:v>34547</c:v>
                </c:pt>
                <c:pt idx="488">
                  <c:v>34578</c:v>
                </c:pt>
                <c:pt idx="489">
                  <c:v>34608</c:v>
                </c:pt>
                <c:pt idx="490">
                  <c:v>34639</c:v>
                </c:pt>
                <c:pt idx="491">
                  <c:v>34669</c:v>
                </c:pt>
                <c:pt idx="492">
                  <c:v>34700</c:v>
                </c:pt>
                <c:pt idx="493">
                  <c:v>34731</c:v>
                </c:pt>
                <c:pt idx="494">
                  <c:v>34759</c:v>
                </c:pt>
                <c:pt idx="495">
                  <c:v>34790</c:v>
                </c:pt>
                <c:pt idx="496">
                  <c:v>34820</c:v>
                </c:pt>
                <c:pt idx="497">
                  <c:v>34851</c:v>
                </c:pt>
                <c:pt idx="498">
                  <c:v>34881</c:v>
                </c:pt>
                <c:pt idx="499">
                  <c:v>34912</c:v>
                </c:pt>
                <c:pt idx="500">
                  <c:v>34943</c:v>
                </c:pt>
                <c:pt idx="501">
                  <c:v>34973</c:v>
                </c:pt>
                <c:pt idx="502">
                  <c:v>35004</c:v>
                </c:pt>
                <c:pt idx="503">
                  <c:v>35034</c:v>
                </c:pt>
                <c:pt idx="504">
                  <c:v>35065</c:v>
                </c:pt>
                <c:pt idx="505">
                  <c:v>35096</c:v>
                </c:pt>
                <c:pt idx="506">
                  <c:v>35125</c:v>
                </c:pt>
                <c:pt idx="507">
                  <c:v>35156</c:v>
                </c:pt>
                <c:pt idx="508">
                  <c:v>35186</c:v>
                </c:pt>
                <c:pt idx="509">
                  <c:v>35217</c:v>
                </c:pt>
                <c:pt idx="510">
                  <c:v>35247</c:v>
                </c:pt>
                <c:pt idx="511">
                  <c:v>35278</c:v>
                </c:pt>
                <c:pt idx="512">
                  <c:v>35309</c:v>
                </c:pt>
                <c:pt idx="513">
                  <c:v>35339</c:v>
                </c:pt>
                <c:pt idx="514">
                  <c:v>35370</c:v>
                </c:pt>
                <c:pt idx="515">
                  <c:v>35400</c:v>
                </c:pt>
                <c:pt idx="516">
                  <c:v>35431</c:v>
                </c:pt>
                <c:pt idx="517">
                  <c:v>35462</c:v>
                </c:pt>
                <c:pt idx="518">
                  <c:v>35490</c:v>
                </c:pt>
                <c:pt idx="519">
                  <c:v>35521</c:v>
                </c:pt>
                <c:pt idx="520">
                  <c:v>35551</c:v>
                </c:pt>
                <c:pt idx="521">
                  <c:v>35582</c:v>
                </c:pt>
                <c:pt idx="522">
                  <c:v>35612</c:v>
                </c:pt>
                <c:pt idx="523">
                  <c:v>35643</c:v>
                </c:pt>
                <c:pt idx="524">
                  <c:v>35674</c:v>
                </c:pt>
                <c:pt idx="525">
                  <c:v>35704</c:v>
                </c:pt>
                <c:pt idx="526">
                  <c:v>35735</c:v>
                </c:pt>
                <c:pt idx="527">
                  <c:v>35765</c:v>
                </c:pt>
                <c:pt idx="528">
                  <c:v>35796</c:v>
                </c:pt>
                <c:pt idx="529">
                  <c:v>35827</c:v>
                </c:pt>
                <c:pt idx="530">
                  <c:v>35855</c:v>
                </c:pt>
                <c:pt idx="531">
                  <c:v>35886</c:v>
                </c:pt>
                <c:pt idx="532">
                  <c:v>35916</c:v>
                </c:pt>
                <c:pt idx="533">
                  <c:v>35947</c:v>
                </c:pt>
                <c:pt idx="534">
                  <c:v>35977</c:v>
                </c:pt>
                <c:pt idx="535">
                  <c:v>36008</c:v>
                </c:pt>
                <c:pt idx="536">
                  <c:v>36039</c:v>
                </c:pt>
                <c:pt idx="537">
                  <c:v>36069</c:v>
                </c:pt>
                <c:pt idx="538">
                  <c:v>36100</c:v>
                </c:pt>
                <c:pt idx="539">
                  <c:v>36130</c:v>
                </c:pt>
                <c:pt idx="540">
                  <c:v>36161</c:v>
                </c:pt>
                <c:pt idx="541">
                  <c:v>36192</c:v>
                </c:pt>
                <c:pt idx="542">
                  <c:v>36220</c:v>
                </c:pt>
                <c:pt idx="543">
                  <c:v>36251</c:v>
                </c:pt>
                <c:pt idx="544">
                  <c:v>36281</c:v>
                </c:pt>
                <c:pt idx="545">
                  <c:v>36312</c:v>
                </c:pt>
                <c:pt idx="546">
                  <c:v>36342</c:v>
                </c:pt>
                <c:pt idx="547">
                  <c:v>36373</c:v>
                </c:pt>
                <c:pt idx="548">
                  <c:v>36404</c:v>
                </c:pt>
                <c:pt idx="549">
                  <c:v>36434</c:v>
                </c:pt>
                <c:pt idx="550">
                  <c:v>36465</c:v>
                </c:pt>
                <c:pt idx="551">
                  <c:v>36495</c:v>
                </c:pt>
                <c:pt idx="552">
                  <c:v>36526</c:v>
                </c:pt>
                <c:pt idx="553">
                  <c:v>36557</c:v>
                </c:pt>
                <c:pt idx="554">
                  <c:v>36586</c:v>
                </c:pt>
                <c:pt idx="555">
                  <c:v>36617</c:v>
                </c:pt>
                <c:pt idx="556">
                  <c:v>36647</c:v>
                </c:pt>
                <c:pt idx="557">
                  <c:v>36678</c:v>
                </c:pt>
                <c:pt idx="558">
                  <c:v>36708</c:v>
                </c:pt>
                <c:pt idx="559">
                  <c:v>36739</c:v>
                </c:pt>
                <c:pt idx="560">
                  <c:v>36770</c:v>
                </c:pt>
                <c:pt idx="561">
                  <c:v>36800</c:v>
                </c:pt>
                <c:pt idx="562">
                  <c:v>36831</c:v>
                </c:pt>
                <c:pt idx="563">
                  <c:v>36861</c:v>
                </c:pt>
                <c:pt idx="564">
                  <c:v>36892</c:v>
                </c:pt>
                <c:pt idx="565">
                  <c:v>36923</c:v>
                </c:pt>
                <c:pt idx="566">
                  <c:v>36951</c:v>
                </c:pt>
                <c:pt idx="567">
                  <c:v>36982</c:v>
                </c:pt>
                <c:pt idx="568">
                  <c:v>37012</c:v>
                </c:pt>
                <c:pt idx="569">
                  <c:v>37043</c:v>
                </c:pt>
                <c:pt idx="570">
                  <c:v>37073</c:v>
                </c:pt>
                <c:pt idx="571">
                  <c:v>37104</c:v>
                </c:pt>
                <c:pt idx="572">
                  <c:v>37135</c:v>
                </c:pt>
                <c:pt idx="573">
                  <c:v>37165</c:v>
                </c:pt>
                <c:pt idx="574">
                  <c:v>37196</c:v>
                </c:pt>
                <c:pt idx="575">
                  <c:v>37226</c:v>
                </c:pt>
                <c:pt idx="576">
                  <c:v>37257</c:v>
                </c:pt>
                <c:pt idx="577">
                  <c:v>37288</c:v>
                </c:pt>
                <c:pt idx="578">
                  <c:v>37316</c:v>
                </c:pt>
                <c:pt idx="579">
                  <c:v>37347</c:v>
                </c:pt>
                <c:pt idx="580">
                  <c:v>37377</c:v>
                </c:pt>
                <c:pt idx="581">
                  <c:v>37408</c:v>
                </c:pt>
                <c:pt idx="582">
                  <c:v>37438</c:v>
                </c:pt>
                <c:pt idx="583">
                  <c:v>37469</c:v>
                </c:pt>
                <c:pt idx="584">
                  <c:v>37500</c:v>
                </c:pt>
                <c:pt idx="585">
                  <c:v>37530</c:v>
                </c:pt>
                <c:pt idx="586">
                  <c:v>37561</c:v>
                </c:pt>
                <c:pt idx="587">
                  <c:v>37591</c:v>
                </c:pt>
                <c:pt idx="588">
                  <c:v>37622</c:v>
                </c:pt>
                <c:pt idx="589">
                  <c:v>37653</c:v>
                </c:pt>
                <c:pt idx="590">
                  <c:v>37681</c:v>
                </c:pt>
                <c:pt idx="591">
                  <c:v>37712</c:v>
                </c:pt>
                <c:pt idx="592">
                  <c:v>37742</c:v>
                </c:pt>
                <c:pt idx="593">
                  <c:v>37773</c:v>
                </c:pt>
                <c:pt idx="594">
                  <c:v>37803</c:v>
                </c:pt>
                <c:pt idx="595">
                  <c:v>37834</c:v>
                </c:pt>
                <c:pt idx="596">
                  <c:v>37865</c:v>
                </c:pt>
                <c:pt idx="597">
                  <c:v>37895</c:v>
                </c:pt>
                <c:pt idx="598">
                  <c:v>37926</c:v>
                </c:pt>
                <c:pt idx="599">
                  <c:v>37956</c:v>
                </c:pt>
                <c:pt idx="600">
                  <c:v>37987</c:v>
                </c:pt>
                <c:pt idx="601">
                  <c:v>38018</c:v>
                </c:pt>
                <c:pt idx="602">
                  <c:v>38047</c:v>
                </c:pt>
                <c:pt idx="603">
                  <c:v>38078</c:v>
                </c:pt>
                <c:pt idx="604">
                  <c:v>38108</c:v>
                </c:pt>
                <c:pt idx="605">
                  <c:v>38139</c:v>
                </c:pt>
                <c:pt idx="606">
                  <c:v>38169</c:v>
                </c:pt>
                <c:pt idx="607">
                  <c:v>38200</c:v>
                </c:pt>
                <c:pt idx="608">
                  <c:v>38231</c:v>
                </c:pt>
                <c:pt idx="609">
                  <c:v>38261</c:v>
                </c:pt>
                <c:pt idx="610">
                  <c:v>38292</c:v>
                </c:pt>
                <c:pt idx="611">
                  <c:v>38322</c:v>
                </c:pt>
                <c:pt idx="612">
                  <c:v>38353</c:v>
                </c:pt>
                <c:pt idx="613">
                  <c:v>38384</c:v>
                </c:pt>
                <c:pt idx="614">
                  <c:v>38412</c:v>
                </c:pt>
                <c:pt idx="615">
                  <c:v>38443</c:v>
                </c:pt>
                <c:pt idx="616">
                  <c:v>38473</c:v>
                </c:pt>
                <c:pt idx="617">
                  <c:v>38504</c:v>
                </c:pt>
                <c:pt idx="618">
                  <c:v>38534</c:v>
                </c:pt>
                <c:pt idx="619">
                  <c:v>38565</c:v>
                </c:pt>
                <c:pt idx="620">
                  <c:v>38596</c:v>
                </c:pt>
                <c:pt idx="621">
                  <c:v>38626</c:v>
                </c:pt>
                <c:pt idx="622">
                  <c:v>38657</c:v>
                </c:pt>
                <c:pt idx="623">
                  <c:v>38687</c:v>
                </c:pt>
                <c:pt idx="624">
                  <c:v>38718</c:v>
                </c:pt>
                <c:pt idx="625">
                  <c:v>38749</c:v>
                </c:pt>
                <c:pt idx="626">
                  <c:v>38777</c:v>
                </c:pt>
                <c:pt idx="627">
                  <c:v>38808</c:v>
                </c:pt>
                <c:pt idx="628">
                  <c:v>38838</c:v>
                </c:pt>
                <c:pt idx="629">
                  <c:v>38869</c:v>
                </c:pt>
                <c:pt idx="630">
                  <c:v>38899</c:v>
                </c:pt>
                <c:pt idx="631">
                  <c:v>38930</c:v>
                </c:pt>
                <c:pt idx="632">
                  <c:v>38961</c:v>
                </c:pt>
                <c:pt idx="633">
                  <c:v>38991</c:v>
                </c:pt>
                <c:pt idx="634">
                  <c:v>39022</c:v>
                </c:pt>
                <c:pt idx="635">
                  <c:v>39052</c:v>
                </c:pt>
                <c:pt idx="636">
                  <c:v>39083</c:v>
                </c:pt>
                <c:pt idx="637">
                  <c:v>39114</c:v>
                </c:pt>
                <c:pt idx="638">
                  <c:v>39142</c:v>
                </c:pt>
                <c:pt idx="639">
                  <c:v>39173</c:v>
                </c:pt>
                <c:pt idx="640">
                  <c:v>39203</c:v>
                </c:pt>
                <c:pt idx="641">
                  <c:v>39234</c:v>
                </c:pt>
                <c:pt idx="642">
                  <c:v>39264</c:v>
                </c:pt>
                <c:pt idx="643">
                  <c:v>39295</c:v>
                </c:pt>
                <c:pt idx="644">
                  <c:v>39326</c:v>
                </c:pt>
                <c:pt idx="645">
                  <c:v>39356</c:v>
                </c:pt>
                <c:pt idx="646">
                  <c:v>39387</c:v>
                </c:pt>
                <c:pt idx="647">
                  <c:v>39417</c:v>
                </c:pt>
                <c:pt idx="648">
                  <c:v>39448</c:v>
                </c:pt>
                <c:pt idx="649">
                  <c:v>39479</c:v>
                </c:pt>
                <c:pt idx="650">
                  <c:v>39508</c:v>
                </c:pt>
                <c:pt idx="651">
                  <c:v>39539</c:v>
                </c:pt>
                <c:pt idx="652">
                  <c:v>39569</c:v>
                </c:pt>
                <c:pt idx="653">
                  <c:v>39600</c:v>
                </c:pt>
                <c:pt idx="654">
                  <c:v>39630</c:v>
                </c:pt>
                <c:pt idx="655">
                  <c:v>39661</c:v>
                </c:pt>
                <c:pt idx="656">
                  <c:v>39692</c:v>
                </c:pt>
                <c:pt idx="657">
                  <c:v>39722</c:v>
                </c:pt>
                <c:pt idx="658">
                  <c:v>39753</c:v>
                </c:pt>
                <c:pt idx="659">
                  <c:v>39783</c:v>
                </c:pt>
                <c:pt idx="660">
                  <c:v>39814</c:v>
                </c:pt>
                <c:pt idx="661">
                  <c:v>39845</c:v>
                </c:pt>
                <c:pt idx="662">
                  <c:v>39873</c:v>
                </c:pt>
                <c:pt idx="663">
                  <c:v>39904</c:v>
                </c:pt>
                <c:pt idx="664">
                  <c:v>39934</c:v>
                </c:pt>
                <c:pt idx="665">
                  <c:v>39965</c:v>
                </c:pt>
                <c:pt idx="666">
                  <c:v>39995</c:v>
                </c:pt>
                <c:pt idx="667">
                  <c:v>40026</c:v>
                </c:pt>
                <c:pt idx="668">
                  <c:v>40057</c:v>
                </c:pt>
                <c:pt idx="669">
                  <c:v>40087</c:v>
                </c:pt>
                <c:pt idx="670">
                  <c:v>40118</c:v>
                </c:pt>
                <c:pt idx="671">
                  <c:v>40148</c:v>
                </c:pt>
                <c:pt idx="672">
                  <c:v>40179</c:v>
                </c:pt>
                <c:pt idx="673">
                  <c:v>40210</c:v>
                </c:pt>
                <c:pt idx="674">
                  <c:v>40238</c:v>
                </c:pt>
                <c:pt idx="675">
                  <c:v>40269</c:v>
                </c:pt>
                <c:pt idx="676">
                  <c:v>40299</c:v>
                </c:pt>
                <c:pt idx="677">
                  <c:v>40330</c:v>
                </c:pt>
                <c:pt idx="678">
                  <c:v>40360</c:v>
                </c:pt>
                <c:pt idx="679">
                  <c:v>40391</c:v>
                </c:pt>
                <c:pt idx="680">
                  <c:v>40422</c:v>
                </c:pt>
                <c:pt idx="681">
                  <c:v>40452</c:v>
                </c:pt>
                <c:pt idx="682">
                  <c:v>40483</c:v>
                </c:pt>
                <c:pt idx="683">
                  <c:v>40513</c:v>
                </c:pt>
                <c:pt idx="684">
                  <c:v>40544</c:v>
                </c:pt>
                <c:pt idx="685">
                  <c:v>40575</c:v>
                </c:pt>
                <c:pt idx="686">
                  <c:v>40603</c:v>
                </c:pt>
                <c:pt idx="687">
                  <c:v>40634</c:v>
                </c:pt>
                <c:pt idx="688">
                  <c:v>40664</c:v>
                </c:pt>
                <c:pt idx="689">
                  <c:v>40695</c:v>
                </c:pt>
                <c:pt idx="690">
                  <c:v>40725</c:v>
                </c:pt>
                <c:pt idx="691">
                  <c:v>40756</c:v>
                </c:pt>
                <c:pt idx="692">
                  <c:v>40787</c:v>
                </c:pt>
                <c:pt idx="693">
                  <c:v>40817</c:v>
                </c:pt>
                <c:pt idx="694">
                  <c:v>40848</c:v>
                </c:pt>
                <c:pt idx="695">
                  <c:v>40878</c:v>
                </c:pt>
                <c:pt idx="696">
                  <c:v>40909</c:v>
                </c:pt>
                <c:pt idx="697">
                  <c:v>40940</c:v>
                </c:pt>
                <c:pt idx="698">
                  <c:v>40969</c:v>
                </c:pt>
                <c:pt idx="699">
                  <c:v>41000</c:v>
                </c:pt>
                <c:pt idx="700">
                  <c:v>41030</c:v>
                </c:pt>
                <c:pt idx="701">
                  <c:v>41061</c:v>
                </c:pt>
                <c:pt idx="702">
                  <c:v>41091</c:v>
                </c:pt>
                <c:pt idx="703">
                  <c:v>41122</c:v>
                </c:pt>
                <c:pt idx="704">
                  <c:v>41153</c:v>
                </c:pt>
                <c:pt idx="705">
                  <c:v>41183</c:v>
                </c:pt>
                <c:pt idx="706">
                  <c:v>41214</c:v>
                </c:pt>
                <c:pt idx="707">
                  <c:v>41244</c:v>
                </c:pt>
                <c:pt idx="708">
                  <c:v>41275</c:v>
                </c:pt>
                <c:pt idx="709">
                  <c:v>41306</c:v>
                </c:pt>
                <c:pt idx="710">
                  <c:v>41334</c:v>
                </c:pt>
                <c:pt idx="711">
                  <c:v>41365</c:v>
                </c:pt>
                <c:pt idx="712">
                  <c:v>41395</c:v>
                </c:pt>
                <c:pt idx="713">
                  <c:v>41426</c:v>
                </c:pt>
                <c:pt idx="714">
                  <c:v>41456</c:v>
                </c:pt>
                <c:pt idx="715">
                  <c:v>41487</c:v>
                </c:pt>
                <c:pt idx="716">
                  <c:v>41518</c:v>
                </c:pt>
                <c:pt idx="717">
                  <c:v>41548</c:v>
                </c:pt>
                <c:pt idx="718">
                  <c:v>41579</c:v>
                </c:pt>
                <c:pt idx="719">
                  <c:v>41609</c:v>
                </c:pt>
              </c:numCache>
            </c:numRef>
          </c:xVal>
          <c:yVal>
            <c:numRef>
              <c:f>'[1]Temp-aire'!$C$22:$C$741</c:f>
              <c:numCache>
                <c:formatCode>General</c:formatCode>
                <c:ptCount val="720"/>
                <c:pt idx="0">
                  <c:v>26.3</c:v>
                </c:pt>
                <c:pt idx="1">
                  <c:v>26.6</c:v>
                </c:pt>
                <c:pt idx="2">
                  <c:v>27.4</c:v>
                </c:pt>
                <c:pt idx="3">
                  <c:v>27.8</c:v>
                </c:pt>
                <c:pt idx="4">
                  <c:v>28.3</c:v>
                </c:pt>
                <c:pt idx="5">
                  <c:v>28.7</c:v>
                </c:pt>
                <c:pt idx="6">
                  <c:v>28.8</c:v>
                </c:pt>
                <c:pt idx="7">
                  <c:v>28.7</c:v>
                </c:pt>
                <c:pt idx="8">
                  <c:v>28.5</c:v>
                </c:pt>
                <c:pt idx="9">
                  <c:v>27.8</c:v>
                </c:pt>
                <c:pt idx="10">
                  <c:v>27.8</c:v>
                </c:pt>
                <c:pt idx="11">
                  <c:v>27.3</c:v>
                </c:pt>
                <c:pt idx="12">
                  <c:v>26.9</c:v>
                </c:pt>
                <c:pt idx="13">
                  <c:v>27.1</c:v>
                </c:pt>
                <c:pt idx="14">
                  <c:v>26.3</c:v>
                </c:pt>
                <c:pt idx="15">
                  <c:v>27.2</c:v>
                </c:pt>
                <c:pt idx="16">
                  <c:v>28.1</c:v>
                </c:pt>
                <c:pt idx="17">
                  <c:v>28</c:v>
                </c:pt>
                <c:pt idx="18">
                  <c:v>28.2</c:v>
                </c:pt>
                <c:pt idx="19">
                  <c:v>28.6</c:v>
                </c:pt>
                <c:pt idx="20">
                  <c:v>28.3</c:v>
                </c:pt>
                <c:pt idx="21">
                  <c:v>27.5</c:v>
                </c:pt>
                <c:pt idx="22">
                  <c:v>27.9</c:v>
                </c:pt>
                <c:pt idx="23">
                  <c:v>27.6</c:v>
                </c:pt>
                <c:pt idx="24">
                  <c:v>26.4</c:v>
                </c:pt>
                <c:pt idx="25">
                  <c:v>26.6</c:v>
                </c:pt>
                <c:pt idx="26">
                  <c:v>26.7</c:v>
                </c:pt>
                <c:pt idx="27">
                  <c:v>27.6</c:v>
                </c:pt>
                <c:pt idx="28">
                  <c:v>27.7</c:v>
                </c:pt>
                <c:pt idx="29">
                  <c:v>27.8</c:v>
                </c:pt>
                <c:pt idx="30">
                  <c:v>28.1</c:v>
                </c:pt>
                <c:pt idx="31">
                  <c:v>27.5</c:v>
                </c:pt>
                <c:pt idx="32">
                  <c:v>28</c:v>
                </c:pt>
                <c:pt idx="33">
                  <c:v>26.9</c:v>
                </c:pt>
                <c:pt idx="34">
                  <c:v>27.4</c:v>
                </c:pt>
                <c:pt idx="35">
                  <c:v>26.9</c:v>
                </c:pt>
                <c:pt idx="36">
                  <c:v>28.2</c:v>
                </c:pt>
                <c:pt idx="37">
                  <c:v>26.1</c:v>
                </c:pt>
                <c:pt idx="38">
                  <c:v>27.6</c:v>
                </c:pt>
                <c:pt idx="39">
                  <c:v>26.6</c:v>
                </c:pt>
                <c:pt idx="40">
                  <c:v>28.4</c:v>
                </c:pt>
                <c:pt idx="41">
                  <c:v>28.6</c:v>
                </c:pt>
                <c:pt idx="42">
                  <c:v>28.8</c:v>
                </c:pt>
                <c:pt idx="43">
                  <c:v>29.1</c:v>
                </c:pt>
                <c:pt idx="44">
                  <c:v>28.9</c:v>
                </c:pt>
                <c:pt idx="45">
                  <c:v>28.4</c:v>
                </c:pt>
                <c:pt idx="46">
                  <c:v>28.6</c:v>
                </c:pt>
                <c:pt idx="47">
                  <c:v>28</c:v>
                </c:pt>
                <c:pt idx="48">
                  <c:v>27.5</c:v>
                </c:pt>
                <c:pt idx="49">
                  <c:v>27.2</c:v>
                </c:pt>
                <c:pt idx="50">
                  <c:v>27.9</c:v>
                </c:pt>
                <c:pt idx="51">
                  <c:v>28.4</c:v>
                </c:pt>
                <c:pt idx="52">
                  <c:v>28.5</c:v>
                </c:pt>
                <c:pt idx="53">
                  <c:v>29.1</c:v>
                </c:pt>
                <c:pt idx="54">
                  <c:v>29</c:v>
                </c:pt>
                <c:pt idx="55">
                  <c:v>28.7</c:v>
                </c:pt>
                <c:pt idx="56">
                  <c:v>29.2</c:v>
                </c:pt>
                <c:pt idx="57">
                  <c:v>28.8</c:v>
                </c:pt>
                <c:pt idx="58">
                  <c:v>28.5</c:v>
                </c:pt>
                <c:pt idx="59">
                  <c:v>27.2</c:v>
                </c:pt>
                <c:pt idx="60">
                  <c:v>26.4</c:v>
                </c:pt>
                <c:pt idx="61">
                  <c:v>25.5</c:v>
                </c:pt>
                <c:pt idx="62">
                  <c:v>26.5</c:v>
                </c:pt>
                <c:pt idx="63">
                  <c:v>27.2</c:v>
                </c:pt>
                <c:pt idx="64">
                  <c:v>27.8</c:v>
                </c:pt>
                <c:pt idx="65">
                  <c:v>28.2</c:v>
                </c:pt>
                <c:pt idx="66">
                  <c:v>28</c:v>
                </c:pt>
                <c:pt idx="67">
                  <c:v>28.2</c:v>
                </c:pt>
                <c:pt idx="68">
                  <c:v>28.4</c:v>
                </c:pt>
                <c:pt idx="69">
                  <c:v>28</c:v>
                </c:pt>
                <c:pt idx="70">
                  <c:v>27.9</c:v>
                </c:pt>
                <c:pt idx="71">
                  <c:v>27.6</c:v>
                </c:pt>
                <c:pt idx="72">
                  <c:v>26.6</c:v>
                </c:pt>
                <c:pt idx="73">
                  <c:v>27.6</c:v>
                </c:pt>
                <c:pt idx="74">
                  <c:v>26.8</c:v>
                </c:pt>
                <c:pt idx="75">
                  <c:v>28.5</c:v>
                </c:pt>
                <c:pt idx="76">
                  <c:v>28.6</c:v>
                </c:pt>
                <c:pt idx="77">
                  <c:v>28.4</c:v>
                </c:pt>
                <c:pt idx="78">
                  <c:v>28.5</c:v>
                </c:pt>
                <c:pt idx="79">
                  <c:v>28.4</c:v>
                </c:pt>
                <c:pt idx="80">
                  <c:v>28.4</c:v>
                </c:pt>
                <c:pt idx="81">
                  <c:v>28.1</c:v>
                </c:pt>
                <c:pt idx="82">
                  <c:v>27.7</c:v>
                </c:pt>
                <c:pt idx="83">
                  <c:v>27.2</c:v>
                </c:pt>
                <c:pt idx="84">
                  <c:v>26.9</c:v>
                </c:pt>
                <c:pt idx="85">
                  <c:v>26.2</c:v>
                </c:pt>
                <c:pt idx="86">
                  <c:v>25.9</c:v>
                </c:pt>
                <c:pt idx="87">
                  <c:v>27.2</c:v>
                </c:pt>
                <c:pt idx="88">
                  <c:v>28</c:v>
                </c:pt>
                <c:pt idx="89">
                  <c:v>28.8</c:v>
                </c:pt>
                <c:pt idx="90">
                  <c:v>28.2</c:v>
                </c:pt>
                <c:pt idx="91">
                  <c:v>28.3</c:v>
                </c:pt>
                <c:pt idx="92">
                  <c:v>28.1</c:v>
                </c:pt>
                <c:pt idx="93">
                  <c:v>28</c:v>
                </c:pt>
                <c:pt idx="94">
                  <c:v>25.9</c:v>
                </c:pt>
                <c:pt idx="95">
                  <c:v>26.6</c:v>
                </c:pt>
                <c:pt idx="96">
                  <c:v>26.5</c:v>
                </c:pt>
                <c:pt idx="97">
                  <c:v>27</c:v>
                </c:pt>
                <c:pt idx="98">
                  <c:v>27.8</c:v>
                </c:pt>
                <c:pt idx="99">
                  <c:v>27.6</c:v>
                </c:pt>
                <c:pt idx="100">
                  <c:v>29</c:v>
                </c:pt>
                <c:pt idx="101">
                  <c:v>27.2</c:v>
                </c:pt>
                <c:pt idx="102">
                  <c:v>28.2</c:v>
                </c:pt>
                <c:pt idx="103">
                  <c:v>28.1</c:v>
                </c:pt>
                <c:pt idx="104">
                  <c:v>28.3</c:v>
                </c:pt>
                <c:pt idx="105">
                  <c:v>28.6</c:v>
                </c:pt>
                <c:pt idx="106">
                  <c:v>28.4</c:v>
                </c:pt>
                <c:pt idx="107">
                  <c:v>27.6</c:v>
                </c:pt>
                <c:pt idx="108">
                  <c:v>28.3</c:v>
                </c:pt>
                <c:pt idx="109">
                  <c:v>28</c:v>
                </c:pt>
                <c:pt idx="110">
                  <c:v>28.2</c:v>
                </c:pt>
                <c:pt idx="111">
                  <c:v>27.9</c:v>
                </c:pt>
                <c:pt idx="112">
                  <c:v>27.8</c:v>
                </c:pt>
                <c:pt idx="113">
                  <c:v>27.7</c:v>
                </c:pt>
                <c:pt idx="114">
                  <c:v>27.8</c:v>
                </c:pt>
                <c:pt idx="115">
                  <c:v>27.8</c:v>
                </c:pt>
                <c:pt idx="116">
                  <c:v>27.8</c:v>
                </c:pt>
                <c:pt idx="117">
                  <c:v>27.8</c:v>
                </c:pt>
                <c:pt idx="118">
                  <c:v>27.5</c:v>
                </c:pt>
                <c:pt idx="119">
                  <c:v>27.5</c:v>
                </c:pt>
                <c:pt idx="120">
                  <c:v>26.8</c:v>
                </c:pt>
                <c:pt idx="121">
                  <c:v>27.1</c:v>
                </c:pt>
                <c:pt idx="122">
                  <c:v>27</c:v>
                </c:pt>
                <c:pt idx="123">
                  <c:v>28</c:v>
                </c:pt>
                <c:pt idx="124">
                  <c:v>28.2</c:v>
                </c:pt>
                <c:pt idx="125">
                  <c:v>28.1</c:v>
                </c:pt>
                <c:pt idx="126">
                  <c:v>27.9</c:v>
                </c:pt>
                <c:pt idx="127">
                  <c:v>27.5</c:v>
                </c:pt>
                <c:pt idx="128">
                  <c:v>27.7</c:v>
                </c:pt>
                <c:pt idx="129">
                  <c:v>27.4</c:v>
                </c:pt>
                <c:pt idx="130">
                  <c:v>27.2</c:v>
                </c:pt>
                <c:pt idx="131">
                  <c:v>26.5</c:v>
                </c:pt>
                <c:pt idx="132">
                  <c:v>26.3</c:v>
                </c:pt>
                <c:pt idx="133">
                  <c:v>26.7</c:v>
                </c:pt>
                <c:pt idx="134">
                  <c:v>27.1</c:v>
                </c:pt>
                <c:pt idx="135">
                  <c:v>27.6</c:v>
                </c:pt>
                <c:pt idx="136">
                  <c:v>28</c:v>
                </c:pt>
                <c:pt idx="137">
                  <c:v>28.2</c:v>
                </c:pt>
                <c:pt idx="138">
                  <c:v>28.5</c:v>
                </c:pt>
                <c:pt idx="139">
                  <c:v>28.1</c:v>
                </c:pt>
                <c:pt idx="140">
                  <c:v>28.4</c:v>
                </c:pt>
                <c:pt idx="141">
                  <c:v>28</c:v>
                </c:pt>
                <c:pt idx="142">
                  <c:v>27.2</c:v>
                </c:pt>
                <c:pt idx="143">
                  <c:v>27.6</c:v>
                </c:pt>
                <c:pt idx="144">
                  <c:v>27.8</c:v>
                </c:pt>
                <c:pt idx="145">
                  <c:v>27.6</c:v>
                </c:pt>
                <c:pt idx="146">
                  <c:v>26.7</c:v>
                </c:pt>
                <c:pt idx="147">
                  <c:v>28.1</c:v>
                </c:pt>
                <c:pt idx="148">
                  <c:v>28</c:v>
                </c:pt>
                <c:pt idx="149">
                  <c:v>27.7</c:v>
                </c:pt>
                <c:pt idx="150">
                  <c:v>28.1</c:v>
                </c:pt>
                <c:pt idx="151">
                  <c:v>28</c:v>
                </c:pt>
                <c:pt idx="152">
                  <c:v>27.8</c:v>
                </c:pt>
                <c:pt idx="153">
                  <c:v>27.4</c:v>
                </c:pt>
                <c:pt idx="154">
                  <c:v>26.7</c:v>
                </c:pt>
                <c:pt idx="155">
                  <c:v>25.8</c:v>
                </c:pt>
                <c:pt idx="156">
                  <c:v>26.4</c:v>
                </c:pt>
                <c:pt idx="157">
                  <c:v>26.7</c:v>
                </c:pt>
                <c:pt idx="158">
                  <c:v>27.4</c:v>
                </c:pt>
                <c:pt idx="159">
                  <c:v>27.9</c:v>
                </c:pt>
                <c:pt idx="160">
                  <c:v>28.3</c:v>
                </c:pt>
                <c:pt idx="161">
                  <c:v>28.4</c:v>
                </c:pt>
                <c:pt idx="162">
                  <c:v>28.4</c:v>
                </c:pt>
                <c:pt idx="163">
                  <c:v>28.2</c:v>
                </c:pt>
                <c:pt idx="164">
                  <c:v>28</c:v>
                </c:pt>
                <c:pt idx="165">
                  <c:v>27.7</c:v>
                </c:pt>
                <c:pt idx="166">
                  <c:v>27.5</c:v>
                </c:pt>
                <c:pt idx="167">
                  <c:v>27.4</c:v>
                </c:pt>
                <c:pt idx="168">
                  <c:v>26.3</c:v>
                </c:pt>
                <c:pt idx="169">
                  <c:v>26.5</c:v>
                </c:pt>
                <c:pt idx="170">
                  <c:v>27</c:v>
                </c:pt>
                <c:pt idx="171">
                  <c:v>26.3</c:v>
                </c:pt>
                <c:pt idx="172">
                  <c:v>26.7</c:v>
                </c:pt>
                <c:pt idx="173">
                  <c:v>27.8</c:v>
                </c:pt>
                <c:pt idx="174">
                  <c:v>27.8</c:v>
                </c:pt>
                <c:pt idx="175">
                  <c:v>27.8</c:v>
                </c:pt>
                <c:pt idx="176">
                  <c:v>27.8</c:v>
                </c:pt>
                <c:pt idx="177">
                  <c:v>27.7</c:v>
                </c:pt>
                <c:pt idx="178">
                  <c:v>27.7</c:v>
                </c:pt>
                <c:pt idx="179">
                  <c:v>27.7</c:v>
                </c:pt>
                <c:pt idx="180">
                  <c:v>27.1</c:v>
                </c:pt>
                <c:pt idx="181">
                  <c:v>27.3</c:v>
                </c:pt>
                <c:pt idx="182">
                  <c:v>27.9</c:v>
                </c:pt>
                <c:pt idx="183">
                  <c:v>28.1</c:v>
                </c:pt>
                <c:pt idx="184">
                  <c:v>28.3</c:v>
                </c:pt>
                <c:pt idx="185">
                  <c:v>27.7</c:v>
                </c:pt>
                <c:pt idx="186">
                  <c:v>27.4</c:v>
                </c:pt>
                <c:pt idx="187">
                  <c:v>27.3</c:v>
                </c:pt>
                <c:pt idx="188">
                  <c:v>27.7</c:v>
                </c:pt>
                <c:pt idx="189">
                  <c:v>27.2</c:v>
                </c:pt>
                <c:pt idx="190">
                  <c:v>27</c:v>
                </c:pt>
                <c:pt idx="191">
                  <c:v>27</c:v>
                </c:pt>
                <c:pt idx="192">
                  <c:v>26.6</c:v>
                </c:pt>
                <c:pt idx="193">
                  <c:v>27</c:v>
                </c:pt>
                <c:pt idx="194">
                  <c:v>27.3</c:v>
                </c:pt>
                <c:pt idx="195">
                  <c:v>27.8</c:v>
                </c:pt>
                <c:pt idx="196">
                  <c:v>27.8</c:v>
                </c:pt>
                <c:pt idx="197">
                  <c:v>28.3</c:v>
                </c:pt>
                <c:pt idx="198">
                  <c:v>27.9</c:v>
                </c:pt>
                <c:pt idx="199">
                  <c:v>26.7</c:v>
                </c:pt>
                <c:pt idx="200">
                  <c:v>27.5</c:v>
                </c:pt>
                <c:pt idx="201">
                  <c:v>28.1</c:v>
                </c:pt>
                <c:pt idx="202">
                  <c:v>27.9</c:v>
                </c:pt>
                <c:pt idx="203">
                  <c:v>28</c:v>
                </c:pt>
                <c:pt idx="204">
                  <c:v>27.8</c:v>
                </c:pt>
                <c:pt idx="205">
                  <c:v>27.6</c:v>
                </c:pt>
                <c:pt idx="206">
                  <c:v>28.1</c:v>
                </c:pt>
                <c:pt idx="207">
                  <c:v>28.1</c:v>
                </c:pt>
                <c:pt idx="208">
                  <c:v>28.2</c:v>
                </c:pt>
                <c:pt idx="209">
                  <c:v>28.3</c:v>
                </c:pt>
                <c:pt idx="210">
                  <c:v>28</c:v>
                </c:pt>
                <c:pt idx="211">
                  <c:v>27.9</c:v>
                </c:pt>
                <c:pt idx="212">
                  <c:v>28</c:v>
                </c:pt>
                <c:pt idx="213">
                  <c:v>27.8</c:v>
                </c:pt>
                <c:pt idx="214">
                  <c:v>27.4</c:v>
                </c:pt>
                <c:pt idx="215">
                  <c:v>27.2</c:v>
                </c:pt>
                <c:pt idx="216">
                  <c:v>26.5</c:v>
                </c:pt>
                <c:pt idx="217">
                  <c:v>26</c:v>
                </c:pt>
                <c:pt idx="218">
                  <c:v>27</c:v>
                </c:pt>
                <c:pt idx="219">
                  <c:v>27.4</c:v>
                </c:pt>
                <c:pt idx="220">
                  <c:v>27.7</c:v>
                </c:pt>
                <c:pt idx="221">
                  <c:v>29.2</c:v>
                </c:pt>
                <c:pt idx="222">
                  <c:v>29.2</c:v>
                </c:pt>
                <c:pt idx="223">
                  <c:v>29.5</c:v>
                </c:pt>
                <c:pt idx="224">
                  <c:v>29.8</c:v>
                </c:pt>
                <c:pt idx="225">
                  <c:v>29.7</c:v>
                </c:pt>
                <c:pt idx="226">
                  <c:v>29.5</c:v>
                </c:pt>
                <c:pt idx="227">
                  <c:v>29.5</c:v>
                </c:pt>
                <c:pt idx="228">
                  <c:v>28.9</c:v>
                </c:pt>
                <c:pt idx="229">
                  <c:v>27.4</c:v>
                </c:pt>
                <c:pt idx="230">
                  <c:v>28.4</c:v>
                </c:pt>
                <c:pt idx="231">
                  <c:v>27.6</c:v>
                </c:pt>
                <c:pt idx="232">
                  <c:v>27.8</c:v>
                </c:pt>
                <c:pt idx="233">
                  <c:v>28</c:v>
                </c:pt>
                <c:pt idx="234">
                  <c:v>27.8</c:v>
                </c:pt>
                <c:pt idx="235">
                  <c:v>27.9</c:v>
                </c:pt>
                <c:pt idx="236">
                  <c:v>28.1</c:v>
                </c:pt>
                <c:pt idx="237">
                  <c:v>28</c:v>
                </c:pt>
                <c:pt idx="238">
                  <c:v>27.7</c:v>
                </c:pt>
                <c:pt idx="239">
                  <c:v>27.6</c:v>
                </c:pt>
                <c:pt idx="240">
                  <c:v>27</c:v>
                </c:pt>
                <c:pt idx="241">
                  <c:v>27</c:v>
                </c:pt>
                <c:pt idx="242">
                  <c:v>27.7</c:v>
                </c:pt>
                <c:pt idx="243">
                  <c:v>27.7</c:v>
                </c:pt>
                <c:pt idx="244">
                  <c:v>28.6</c:v>
                </c:pt>
                <c:pt idx="245">
                  <c:v>28.1</c:v>
                </c:pt>
                <c:pt idx="246">
                  <c:v>27.9</c:v>
                </c:pt>
                <c:pt idx="247">
                  <c:v>27.9</c:v>
                </c:pt>
                <c:pt idx="248">
                  <c:v>28.1</c:v>
                </c:pt>
                <c:pt idx="249">
                  <c:v>28</c:v>
                </c:pt>
                <c:pt idx="250">
                  <c:v>27.7</c:v>
                </c:pt>
                <c:pt idx="251">
                  <c:v>27.7</c:v>
                </c:pt>
                <c:pt idx="252">
                  <c:v>26.9</c:v>
                </c:pt>
                <c:pt idx="253">
                  <c:v>26.5</c:v>
                </c:pt>
                <c:pt idx="254">
                  <c:v>26.6</c:v>
                </c:pt>
                <c:pt idx="255">
                  <c:v>27.1</c:v>
                </c:pt>
                <c:pt idx="256">
                  <c:v>27.8</c:v>
                </c:pt>
                <c:pt idx="257">
                  <c:v>27.6</c:v>
                </c:pt>
                <c:pt idx="258">
                  <c:v>27.4</c:v>
                </c:pt>
                <c:pt idx="259">
                  <c:v>27.2</c:v>
                </c:pt>
                <c:pt idx="260">
                  <c:v>27.5</c:v>
                </c:pt>
                <c:pt idx="261">
                  <c:v>26.7</c:v>
                </c:pt>
                <c:pt idx="262">
                  <c:v>27.1</c:v>
                </c:pt>
                <c:pt idx="263">
                  <c:v>26.3</c:v>
                </c:pt>
                <c:pt idx="264">
                  <c:v>26.1</c:v>
                </c:pt>
                <c:pt idx="265">
                  <c:v>25.6</c:v>
                </c:pt>
                <c:pt idx="266">
                  <c:v>26.2</c:v>
                </c:pt>
                <c:pt idx="267">
                  <c:v>26.6</c:v>
                </c:pt>
                <c:pt idx="268">
                  <c:v>27.8</c:v>
                </c:pt>
                <c:pt idx="269">
                  <c:v>27.4</c:v>
                </c:pt>
                <c:pt idx="270">
                  <c:v>27.6</c:v>
                </c:pt>
                <c:pt idx="271">
                  <c:v>27.9</c:v>
                </c:pt>
                <c:pt idx="272">
                  <c:v>28</c:v>
                </c:pt>
                <c:pt idx="273">
                  <c:v>27.8</c:v>
                </c:pt>
                <c:pt idx="274">
                  <c:v>28.5</c:v>
                </c:pt>
                <c:pt idx="275">
                  <c:v>27.2</c:v>
                </c:pt>
                <c:pt idx="276">
                  <c:v>26.8</c:v>
                </c:pt>
                <c:pt idx="277">
                  <c:v>26.6</c:v>
                </c:pt>
                <c:pt idx="278">
                  <c:v>26.6</c:v>
                </c:pt>
                <c:pt idx="279">
                  <c:v>27.1</c:v>
                </c:pt>
                <c:pt idx="280">
                  <c:v>27.7</c:v>
                </c:pt>
                <c:pt idx="281">
                  <c:v>28.2</c:v>
                </c:pt>
                <c:pt idx="282">
                  <c:v>27.8</c:v>
                </c:pt>
                <c:pt idx="283">
                  <c:v>27.9</c:v>
                </c:pt>
                <c:pt idx="284">
                  <c:v>28.8</c:v>
                </c:pt>
                <c:pt idx="285">
                  <c:v>28.4</c:v>
                </c:pt>
                <c:pt idx="286">
                  <c:v>28.4</c:v>
                </c:pt>
                <c:pt idx="287">
                  <c:v>28</c:v>
                </c:pt>
                <c:pt idx="288">
                  <c:v>27.5</c:v>
                </c:pt>
                <c:pt idx="289">
                  <c:v>27.3</c:v>
                </c:pt>
                <c:pt idx="290">
                  <c:v>27.7</c:v>
                </c:pt>
                <c:pt idx="291">
                  <c:v>28</c:v>
                </c:pt>
                <c:pt idx="292">
                  <c:v>28.5</c:v>
                </c:pt>
                <c:pt idx="293">
                  <c:v>28.5</c:v>
                </c:pt>
                <c:pt idx="294">
                  <c:v>28.4</c:v>
                </c:pt>
                <c:pt idx="295">
                  <c:v>28.3</c:v>
                </c:pt>
                <c:pt idx="296">
                  <c:v>28.6</c:v>
                </c:pt>
                <c:pt idx="297">
                  <c:v>28.4</c:v>
                </c:pt>
                <c:pt idx="298">
                  <c:v>28.4</c:v>
                </c:pt>
                <c:pt idx="299">
                  <c:v>28</c:v>
                </c:pt>
                <c:pt idx="300">
                  <c:v>27.5</c:v>
                </c:pt>
                <c:pt idx="301">
                  <c:v>27.2</c:v>
                </c:pt>
                <c:pt idx="302">
                  <c:v>27.7</c:v>
                </c:pt>
                <c:pt idx="303">
                  <c:v>27.9</c:v>
                </c:pt>
                <c:pt idx="304">
                  <c:v>28.5</c:v>
                </c:pt>
                <c:pt idx="305">
                  <c:v>28.5</c:v>
                </c:pt>
                <c:pt idx="306">
                  <c:v>28.4</c:v>
                </c:pt>
                <c:pt idx="307">
                  <c:v>28.3</c:v>
                </c:pt>
                <c:pt idx="308">
                  <c:v>28.6</c:v>
                </c:pt>
                <c:pt idx="309">
                  <c:v>28.4</c:v>
                </c:pt>
                <c:pt idx="310">
                  <c:v>28.4</c:v>
                </c:pt>
                <c:pt idx="311">
                  <c:v>27.8</c:v>
                </c:pt>
                <c:pt idx="312">
                  <c:v>27.4</c:v>
                </c:pt>
                <c:pt idx="313">
                  <c:v>27.3</c:v>
                </c:pt>
                <c:pt idx="314">
                  <c:v>27.6</c:v>
                </c:pt>
                <c:pt idx="315">
                  <c:v>27.9</c:v>
                </c:pt>
                <c:pt idx="316">
                  <c:v>28.5</c:v>
                </c:pt>
                <c:pt idx="317">
                  <c:v>28.6</c:v>
                </c:pt>
                <c:pt idx="318">
                  <c:v>28.5</c:v>
                </c:pt>
                <c:pt idx="319">
                  <c:v>28.4</c:v>
                </c:pt>
                <c:pt idx="320">
                  <c:v>28.6</c:v>
                </c:pt>
                <c:pt idx="321">
                  <c:v>28.3</c:v>
                </c:pt>
                <c:pt idx="322">
                  <c:v>28.4</c:v>
                </c:pt>
                <c:pt idx="323">
                  <c:v>27.8</c:v>
                </c:pt>
                <c:pt idx="324">
                  <c:v>27.4</c:v>
                </c:pt>
                <c:pt idx="325">
                  <c:v>27.1</c:v>
                </c:pt>
                <c:pt idx="326">
                  <c:v>27.6</c:v>
                </c:pt>
                <c:pt idx="327">
                  <c:v>27.6</c:v>
                </c:pt>
                <c:pt idx="328">
                  <c:v>28</c:v>
                </c:pt>
                <c:pt idx="329">
                  <c:v>28.1</c:v>
                </c:pt>
                <c:pt idx="330">
                  <c:v>28.4</c:v>
                </c:pt>
                <c:pt idx="331">
                  <c:v>27.9</c:v>
                </c:pt>
                <c:pt idx="332">
                  <c:v>28.3</c:v>
                </c:pt>
                <c:pt idx="333">
                  <c:v>27.9</c:v>
                </c:pt>
                <c:pt idx="334">
                  <c:v>28.3</c:v>
                </c:pt>
                <c:pt idx="335">
                  <c:v>27.7</c:v>
                </c:pt>
                <c:pt idx="336">
                  <c:v>26.7</c:v>
                </c:pt>
                <c:pt idx="337">
                  <c:v>26.8</c:v>
                </c:pt>
                <c:pt idx="338">
                  <c:v>26.6</c:v>
                </c:pt>
                <c:pt idx="339">
                  <c:v>27.3</c:v>
                </c:pt>
                <c:pt idx="340">
                  <c:v>28</c:v>
                </c:pt>
                <c:pt idx="341">
                  <c:v>28.4</c:v>
                </c:pt>
                <c:pt idx="342">
                  <c:v>28.1</c:v>
                </c:pt>
                <c:pt idx="343">
                  <c:v>28.3</c:v>
                </c:pt>
                <c:pt idx="344">
                  <c:v>28.3</c:v>
                </c:pt>
                <c:pt idx="345">
                  <c:v>27.6</c:v>
                </c:pt>
                <c:pt idx="346">
                  <c:v>28</c:v>
                </c:pt>
                <c:pt idx="347">
                  <c:v>27</c:v>
                </c:pt>
                <c:pt idx="348">
                  <c:v>27.4</c:v>
                </c:pt>
                <c:pt idx="349">
                  <c:v>27.1</c:v>
                </c:pt>
                <c:pt idx="350">
                  <c:v>28</c:v>
                </c:pt>
                <c:pt idx="351">
                  <c:v>28.1</c:v>
                </c:pt>
                <c:pt idx="352">
                  <c:v>28.6</c:v>
                </c:pt>
                <c:pt idx="353">
                  <c:v>29.2</c:v>
                </c:pt>
                <c:pt idx="354">
                  <c:v>28.7</c:v>
                </c:pt>
                <c:pt idx="355">
                  <c:v>28.6</c:v>
                </c:pt>
                <c:pt idx="356">
                  <c:v>28.3</c:v>
                </c:pt>
                <c:pt idx="357">
                  <c:v>27.7</c:v>
                </c:pt>
                <c:pt idx="358">
                  <c:v>28.3</c:v>
                </c:pt>
                <c:pt idx="359">
                  <c:v>27.4</c:v>
                </c:pt>
                <c:pt idx="360">
                  <c:v>26.8</c:v>
                </c:pt>
                <c:pt idx="361">
                  <c:v>27.2</c:v>
                </c:pt>
                <c:pt idx="362">
                  <c:v>26.9</c:v>
                </c:pt>
                <c:pt idx="363">
                  <c:v>27.5</c:v>
                </c:pt>
                <c:pt idx="364">
                  <c:v>28.1</c:v>
                </c:pt>
                <c:pt idx="365">
                  <c:v>28.2</c:v>
                </c:pt>
                <c:pt idx="366">
                  <c:v>27.7</c:v>
                </c:pt>
                <c:pt idx="367">
                  <c:v>27.6</c:v>
                </c:pt>
                <c:pt idx="368">
                  <c:v>27.5</c:v>
                </c:pt>
                <c:pt idx="369">
                  <c:v>27.5</c:v>
                </c:pt>
                <c:pt idx="370">
                  <c:v>27.4</c:v>
                </c:pt>
                <c:pt idx="371">
                  <c:v>26.3</c:v>
                </c:pt>
                <c:pt idx="372">
                  <c:v>25.9</c:v>
                </c:pt>
                <c:pt idx="373">
                  <c:v>26.5</c:v>
                </c:pt>
                <c:pt idx="374">
                  <c:v>26.7</c:v>
                </c:pt>
                <c:pt idx="375">
                  <c:v>27</c:v>
                </c:pt>
                <c:pt idx="376">
                  <c:v>28.2</c:v>
                </c:pt>
                <c:pt idx="377">
                  <c:v>28.5</c:v>
                </c:pt>
                <c:pt idx="378">
                  <c:v>28.3</c:v>
                </c:pt>
                <c:pt idx="379">
                  <c:v>27.9</c:v>
                </c:pt>
                <c:pt idx="380">
                  <c:v>27.8</c:v>
                </c:pt>
                <c:pt idx="381">
                  <c:v>28.2</c:v>
                </c:pt>
                <c:pt idx="382">
                  <c:v>27.7</c:v>
                </c:pt>
                <c:pt idx="383">
                  <c:v>26.9</c:v>
                </c:pt>
                <c:pt idx="384">
                  <c:v>26.5</c:v>
                </c:pt>
                <c:pt idx="385">
                  <c:v>26.6</c:v>
                </c:pt>
                <c:pt idx="386">
                  <c:v>27</c:v>
                </c:pt>
                <c:pt idx="387">
                  <c:v>27.6</c:v>
                </c:pt>
                <c:pt idx="388">
                  <c:v>28.3</c:v>
                </c:pt>
                <c:pt idx="389">
                  <c:v>28.4</c:v>
                </c:pt>
                <c:pt idx="390">
                  <c:v>28.3</c:v>
                </c:pt>
                <c:pt idx="391">
                  <c:v>28.4</c:v>
                </c:pt>
                <c:pt idx="392">
                  <c:v>28.3</c:v>
                </c:pt>
                <c:pt idx="393">
                  <c:v>27.6</c:v>
                </c:pt>
                <c:pt idx="394">
                  <c:v>27.9</c:v>
                </c:pt>
                <c:pt idx="395">
                  <c:v>27.1</c:v>
                </c:pt>
                <c:pt idx="396">
                  <c:v>27.1</c:v>
                </c:pt>
                <c:pt idx="397">
                  <c:v>27.4</c:v>
                </c:pt>
                <c:pt idx="398">
                  <c:v>27.6</c:v>
                </c:pt>
                <c:pt idx="399">
                  <c:v>28.1</c:v>
                </c:pt>
                <c:pt idx="400">
                  <c:v>28.1</c:v>
                </c:pt>
                <c:pt idx="401">
                  <c:v>29.3</c:v>
                </c:pt>
                <c:pt idx="402">
                  <c:v>28.7</c:v>
                </c:pt>
                <c:pt idx="403">
                  <c:v>28.7</c:v>
                </c:pt>
                <c:pt idx="404">
                  <c:v>28</c:v>
                </c:pt>
                <c:pt idx="405">
                  <c:v>27.7</c:v>
                </c:pt>
                <c:pt idx="406">
                  <c:v>27.8</c:v>
                </c:pt>
                <c:pt idx="407">
                  <c:v>27.1</c:v>
                </c:pt>
                <c:pt idx="408">
                  <c:v>26.7</c:v>
                </c:pt>
                <c:pt idx="409">
                  <c:v>26.7</c:v>
                </c:pt>
                <c:pt idx="410">
                  <c:v>27</c:v>
                </c:pt>
                <c:pt idx="411">
                  <c:v>27.3</c:v>
                </c:pt>
                <c:pt idx="412">
                  <c:v>28</c:v>
                </c:pt>
                <c:pt idx="413">
                  <c:v>28.2</c:v>
                </c:pt>
                <c:pt idx="414">
                  <c:v>28</c:v>
                </c:pt>
                <c:pt idx="415">
                  <c:v>27.9</c:v>
                </c:pt>
                <c:pt idx="416">
                  <c:v>27.9</c:v>
                </c:pt>
                <c:pt idx="417">
                  <c:v>27.7</c:v>
                </c:pt>
                <c:pt idx="418">
                  <c:v>27.7</c:v>
                </c:pt>
                <c:pt idx="419">
                  <c:v>27</c:v>
                </c:pt>
                <c:pt idx="420">
                  <c:v>26.7</c:v>
                </c:pt>
                <c:pt idx="421">
                  <c:v>26.7</c:v>
                </c:pt>
                <c:pt idx="422">
                  <c:v>27</c:v>
                </c:pt>
                <c:pt idx="423">
                  <c:v>27.4</c:v>
                </c:pt>
                <c:pt idx="424">
                  <c:v>28</c:v>
                </c:pt>
                <c:pt idx="425">
                  <c:v>28.3</c:v>
                </c:pt>
                <c:pt idx="426">
                  <c:v>28</c:v>
                </c:pt>
                <c:pt idx="427">
                  <c:v>27.9</c:v>
                </c:pt>
                <c:pt idx="428">
                  <c:v>27.9</c:v>
                </c:pt>
                <c:pt idx="429">
                  <c:v>27.6</c:v>
                </c:pt>
                <c:pt idx="430">
                  <c:v>27.7</c:v>
                </c:pt>
                <c:pt idx="431">
                  <c:v>27.7</c:v>
                </c:pt>
                <c:pt idx="432">
                  <c:v>26.6</c:v>
                </c:pt>
                <c:pt idx="433">
                  <c:v>26.7</c:v>
                </c:pt>
                <c:pt idx="434">
                  <c:v>27</c:v>
                </c:pt>
                <c:pt idx="435">
                  <c:v>27.3</c:v>
                </c:pt>
                <c:pt idx="436">
                  <c:v>27.9</c:v>
                </c:pt>
                <c:pt idx="437">
                  <c:v>28.2</c:v>
                </c:pt>
                <c:pt idx="438">
                  <c:v>28</c:v>
                </c:pt>
                <c:pt idx="439">
                  <c:v>27.9</c:v>
                </c:pt>
                <c:pt idx="440">
                  <c:v>27.9</c:v>
                </c:pt>
                <c:pt idx="441">
                  <c:v>27.6</c:v>
                </c:pt>
                <c:pt idx="442">
                  <c:v>27.7</c:v>
                </c:pt>
                <c:pt idx="443">
                  <c:v>26.9</c:v>
                </c:pt>
                <c:pt idx="444">
                  <c:v>26.7</c:v>
                </c:pt>
                <c:pt idx="445">
                  <c:v>26.7</c:v>
                </c:pt>
                <c:pt idx="446">
                  <c:v>27</c:v>
                </c:pt>
                <c:pt idx="447">
                  <c:v>27.6</c:v>
                </c:pt>
                <c:pt idx="448">
                  <c:v>28.1</c:v>
                </c:pt>
                <c:pt idx="449">
                  <c:v>28.4</c:v>
                </c:pt>
                <c:pt idx="450">
                  <c:v>28.2</c:v>
                </c:pt>
                <c:pt idx="451">
                  <c:v>28.4</c:v>
                </c:pt>
                <c:pt idx="452">
                  <c:v>28.2</c:v>
                </c:pt>
                <c:pt idx="453">
                  <c:v>27.8</c:v>
                </c:pt>
                <c:pt idx="454">
                  <c:v>27.7</c:v>
                </c:pt>
                <c:pt idx="455">
                  <c:v>26.7</c:v>
                </c:pt>
                <c:pt idx="456">
                  <c:v>26.6</c:v>
                </c:pt>
                <c:pt idx="457">
                  <c:v>27.1</c:v>
                </c:pt>
                <c:pt idx="458">
                  <c:v>27.4</c:v>
                </c:pt>
                <c:pt idx="459">
                  <c:v>28.2</c:v>
                </c:pt>
                <c:pt idx="460">
                  <c:v>28.4</c:v>
                </c:pt>
                <c:pt idx="461">
                  <c:v>28.7</c:v>
                </c:pt>
                <c:pt idx="462">
                  <c:v>27.9</c:v>
                </c:pt>
                <c:pt idx="463">
                  <c:v>28</c:v>
                </c:pt>
                <c:pt idx="464">
                  <c:v>27.8</c:v>
                </c:pt>
                <c:pt idx="465">
                  <c:v>27.9</c:v>
                </c:pt>
                <c:pt idx="466">
                  <c:v>27.9</c:v>
                </c:pt>
                <c:pt idx="467">
                  <c:v>27.4</c:v>
                </c:pt>
                <c:pt idx="468">
                  <c:v>27.1</c:v>
                </c:pt>
                <c:pt idx="469">
                  <c:v>27</c:v>
                </c:pt>
                <c:pt idx="470">
                  <c:v>27.3</c:v>
                </c:pt>
                <c:pt idx="471">
                  <c:v>27.9</c:v>
                </c:pt>
                <c:pt idx="472">
                  <c:v>28.1</c:v>
                </c:pt>
                <c:pt idx="473">
                  <c:v>28.6</c:v>
                </c:pt>
                <c:pt idx="474">
                  <c:v>28.2</c:v>
                </c:pt>
                <c:pt idx="475">
                  <c:v>28.5</c:v>
                </c:pt>
                <c:pt idx="476">
                  <c:v>27.6</c:v>
                </c:pt>
                <c:pt idx="477">
                  <c:v>28.3</c:v>
                </c:pt>
                <c:pt idx="478">
                  <c:v>27.5</c:v>
                </c:pt>
                <c:pt idx="479">
                  <c:v>27.4</c:v>
                </c:pt>
                <c:pt idx="480">
                  <c:v>26.5</c:v>
                </c:pt>
                <c:pt idx="481">
                  <c:v>26.4</c:v>
                </c:pt>
                <c:pt idx="482">
                  <c:v>27</c:v>
                </c:pt>
                <c:pt idx="483">
                  <c:v>27.3</c:v>
                </c:pt>
                <c:pt idx="484">
                  <c:v>28.1</c:v>
                </c:pt>
                <c:pt idx="485">
                  <c:v>28.3</c:v>
                </c:pt>
                <c:pt idx="486">
                  <c:v>28</c:v>
                </c:pt>
                <c:pt idx="487">
                  <c:v>28.1</c:v>
                </c:pt>
                <c:pt idx="488">
                  <c:v>28.2</c:v>
                </c:pt>
                <c:pt idx="489">
                  <c:v>27.6</c:v>
                </c:pt>
                <c:pt idx="490">
                  <c:v>27.5</c:v>
                </c:pt>
                <c:pt idx="491">
                  <c:v>27</c:v>
                </c:pt>
                <c:pt idx="492">
                  <c:v>27</c:v>
                </c:pt>
                <c:pt idx="493">
                  <c:v>26.7</c:v>
                </c:pt>
                <c:pt idx="494">
                  <c:v>27.2</c:v>
                </c:pt>
                <c:pt idx="495">
                  <c:v>27.9</c:v>
                </c:pt>
                <c:pt idx="496">
                  <c:v>28.4</c:v>
                </c:pt>
                <c:pt idx="497">
                  <c:v>28.5</c:v>
                </c:pt>
                <c:pt idx="498">
                  <c:v>28</c:v>
                </c:pt>
                <c:pt idx="499">
                  <c:v>28</c:v>
                </c:pt>
                <c:pt idx="500">
                  <c:v>28.6</c:v>
                </c:pt>
                <c:pt idx="501">
                  <c:v>27.7</c:v>
                </c:pt>
                <c:pt idx="502">
                  <c:v>28</c:v>
                </c:pt>
                <c:pt idx="503">
                  <c:v>27.5</c:v>
                </c:pt>
                <c:pt idx="504">
                  <c:v>27.3</c:v>
                </c:pt>
                <c:pt idx="505">
                  <c:v>27.2</c:v>
                </c:pt>
                <c:pt idx="506">
                  <c:v>27.4</c:v>
                </c:pt>
                <c:pt idx="507">
                  <c:v>27.9</c:v>
                </c:pt>
                <c:pt idx="508">
                  <c:v>27.9</c:v>
                </c:pt>
                <c:pt idx="509">
                  <c:v>28.4</c:v>
                </c:pt>
                <c:pt idx="510">
                  <c:v>28</c:v>
                </c:pt>
                <c:pt idx="511">
                  <c:v>28</c:v>
                </c:pt>
                <c:pt idx="512">
                  <c:v>28</c:v>
                </c:pt>
                <c:pt idx="513">
                  <c:v>27.8</c:v>
                </c:pt>
                <c:pt idx="514">
                  <c:v>27.5</c:v>
                </c:pt>
                <c:pt idx="515">
                  <c:v>26.9</c:v>
                </c:pt>
                <c:pt idx="516">
                  <c:v>26.5</c:v>
                </c:pt>
                <c:pt idx="517">
                  <c:v>27</c:v>
                </c:pt>
                <c:pt idx="518">
                  <c:v>26.4</c:v>
                </c:pt>
                <c:pt idx="519">
                  <c:v>27.2</c:v>
                </c:pt>
                <c:pt idx="520">
                  <c:v>28.2</c:v>
                </c:pt>
                <c:pt idx="521">
                  <c:v>28.1</c:v>
                </c:pt>
                <c:pt idx="522">
                  <c:v>28.4</c:v>
                </c:pt>
                <c:pt idx="523">
                  <c:v>28.6</c:v>
                </c:pt>
                <c:pt idx="524">
                  <c:v>28.5</c:v>
                </c:pt>
                <c:pt idx="525">
                  <c:v>28.5</c:v>
                </c:pt>
                <c:pt idx="526">
                  <c:v>28</c:v>
                </c:pt>
                <c:pt idx="527">
                  <c:v>27.8</c:v>
                </c:pt>
                <c:pt idx="528">
                  <c:v>27.4</c:v>
                </c:pt>
                <c:pt idx="529">
                  <c:v>27.7</c:v>
                </c:pt>
                <c:pt idx="530">
                  <c:v>27.5</c:v>
                </c:pt>
                <c:pt idx="531">
                  <c:v>28.4</c:v>
                </c:pt>
                <c:pt idx="532">
                  <c:v>28.5</c:v>
                </c:pt>
                <c:pt idx="533">
                  <c:v>28.6</c:v>
                </c:pt>
                <c:pt idx="534">
                  <c:v>28.3</c:v>
                </c:pt>
                <c:pt idx="535">
                  <c:v>28.9</c:v>
                </c:pt>
                <c:pt idx="536">
                  <c:v>28.4</c:v>
                </c:pt>
                <c:pt idx="537">
                  <c:v>28.2</c:v>
                </c:pt>
                <c:pt idx="538">
                  <c:v>28</c:v>
                </c:pt>
                <c:pt idx="539">
                  <c:v>27.3</c:v>
                </c:pt>
                <c:pt idx="540">
                  <c:v>26.8</c:v>
                </c:pt>
                <c:pt idx="541">
                  <c:v>26.3</c:v>
                </c:pt>
                <c:pt idx="542">
                  <c:v>27.3</c:v>
                </c:pt>
                <c:pt idx="543">
                  <c:v>27.8</c:v>
                </c:pt>
                <c:pt idx="544">
                  <c:v>28.2</c:v>
                </c:pt>
                <c:pt idx="545">
                  <c:v>28</c:v>
                </c:pt>
                <c:pt idx="546">
                  <c:v>28.1</c:v>
                </c:pt>
                <c:pt idx="547">
                  <c:v>27.6</c:v>
                </c:pt>
                <c:pt idx="548">
                  <c:v>27.4</c:v>
                </c:pt>
                <c:pt idx="549">
                  <c:v>27.2</c:v>
                </c:pt>
                <c:pt idx="550">
                  <c:v>27.4</c:v>
                </c:pt>
                <c:pt idx="551">
                  <c:v>26.8</c:v>
                </c:pt>
                <c:pt idx="552">
                  <c:v>26.1</c:v>
                </c:pt>
                <c:pt idx="553">
                  <c:v>26.3</c:v>
                </c:pt>
                <c:pt idx="554">
                  <c:v>26.4</c:v>
                </c:pt>
                <c:pt idx="555">
                  <c:v>27.3</c:v>
                </c:pt>
                <c:pt idx="556">
                  <c:v>27.9</c:v>
                </c:pt>
                <c:pt idx="557">
                  <c:v>28.1</c:v>
                </c:pt>
                <c:pt idx="558">
                  <c:v>27.8</c:v>
                </c:pt>
                <c:pt idx="559">
                  <c:v>28.2</c:v>
                </c:pt>
                <c:pt idx="560">
                  <c:v>27.7</c:v>
                </c:pt>
                <c:pt idx="561">
                  <c:v>27.8</c:v>
                </c:pt>
                <c:pt idx="562">
                  <c:v>27.7</c:v>
                </c:pt>
                <c:pt idx="564">
                  <c:v>26.9</c:v>
                </c:pt>
                <c:pt idx="565">
                  <c:v>26</c:v>
                </c:pt>
                <c:pt idx="566">
                  <c:v>26.7</c:v>
                </c:pt>
                <c:pt idx="567">
                  <c:v>27.3</c:v>
                </c:pt>
                <c:pt idx="568">
                  <c:v>28</c:v>
                </c:pt>
                <c:pt idx="569">
                  <c:v>28.2</c:v>
                </c:pt>
                <c:pt idx="570">
                  <c:v>28.3</c:v>
                </c:pt>
                <c:pt idx="571">
                  <c:v>28.8</c:v>
                </c:pt>
                <c:pt idx="572">
                  <c:v>28.2</c:v>
                </c:pt>
                <c:pt idx="573">
                  <c:v>28.1</c:v>
                </c:pt>
                <c:pt idx="574">
                  <c:v>28.1</c:v>
                </c:pt>
                <c:pt idx="575">
                  <c:v>27.9</c:v>
                </c:pt>
                <c:pt idx="576">
                  <c:v>27.7</c:v>
                </c:pt>
                <c:pt idx="577">
                  <c:v>26.7</c:v>
                </c:pt>
                <c:pt idx="578">
                  <c:v>27</c:v>
                </c:pt>
                <c:pt idx="579">
                  <c:v>27.7</c:v>
                </c:pt>
                <c:pt idx="580">
                  <c:v>28.5</c:v>
                </c:pt>
                <c:pt idx="581">
                  <c:v>28.7</c:v>
                </c:pt>
                <c:pt idx="582">
                  <c:v>28.4</c:v>
                </c:pt>
                <c:pt idx="583">
                  <c:v>28.8</c:v>
                </c:pt>
                <c:pt idx="584">
                  <c:v>28.5</c:v>
                </c:pt>
                <c:pt idx="585">
                  <c:v>28.4</c:v>
                </c:pt>
                <c:pt idx="586">
                  <c:v>28.3</c:v>
                </c:pt>
                <c:pt idx="587">
                  <c:v>27.9</c:v>
                </c:pt>
                <c:pt idx="588">
                  <c:v>27.3</c:v>
                </c:pt>
                <c:pt idx="589">
                  <c:v>27.4</c:v>
                </c:pt>
                <c:pt idx="590">
                  <c:v>27.5</c:v>
                </c:pt>
                <c:pt idx="591">
                  <c:v>27.9</c:v>
                </c:pt>
                <c:pt idx="592">
                  <c:v>28.7</c:v>
                </c:pt>
                <c:pt idx="593">
                  <c:v>28.3</c:v>
                </c:pt>
                <c:pt idx="594">
                  <c:v>28.2</c:v>
                </c:pt>
                <c:pt idx="595">
                  <c:v>28.4</c:v>
                </c:pt>
                <c:pt idx="596">
                  <c:v>28.6</c:v>
                </c:pt>
                <c:pt idx="597">
                  <c:v>27.9</c:v>
                </c:pt>
                <c:pt idx="598">
                  <c:v>28.3</c:v>
                </c:pt>
                <c:pt idx="599">
                  <c:v>27.8</c:v>
                </c:pt>
                <c:pt idx="600">
                  <c:v>27</c:v>
                </c:pt>
                <c:pt idx="601">
                  <c:v>27.4</c:v>
                </c:pt>
                <c:pt idx="602">
                  <c:v>27.1</c:v>
                </c:pt>
                <c:pt idx="603">
                  <c:v>27.8</c:v>
                </c:pt>
                <c:pt idx="604">
                  <c:v>28.2</c:v>
                </c:pt>
                <c:pt idx="605">
                  <c:v>28.5</c:v>
                </c:pt>
                <c:pt idx="606">
                  <c:v>28.2</c:v>
                </c:pt>
                <c:pt idx="607">
                  <c:v>28.6</c:v>
                </c:pt>
                <c:pt idx="608">
                  <c:v>28.3</c:v>
                </c:pt>
                <c:pt idx="609">
                  <c:v>28</c:v>
                </c:pt>
                <c:pt idx="610">
                  <c:v>27.6</c:v>
                </c:pt>
                <c:pt idx="611">
                  <c:v>27.6</c:v>
                </c:pt>
                <c:pt idx="612">
                  <c:v>27.4</c:v>
                </c:pt>
                <c:pt idx="613">
                  <c:v>27.3</c:v>
                </c:pt>
                <c:pt idx="614">
                  <c:v>28.2</c:v>
                </c:pt>
                <c:pt idx="615">
                  <c:v>28.3</c:v>
                </c:pt>
                <c:pt idx="616">
                  <c:v>28.5</c:v>
                </c:pt>
                <c:pt idx="617">
                  <c:v>28.8</c:v>
                </c:pt>
                <c:pt idx="618">
                  <c:v>28.7</c:v>
                </c:pt>
                <c:pt idx="619">
                  <c:v>28.6</c:v>
                </c:pt>
                <c:pt idx="620">
                  <c:v>28.5</c:v>
                </c:pt>
                <c:pt idx="621">
                  <c:v>27.8</c:v>
                </c:pt>
                <c:pt idx="622">
                  <c:v>28</c:v>
                </c:pt>
                <c:pt idx="623">
                  <c:v>27.5</c:v>
                </c:pt>
                <c:pt idx="624">
                  <c:v>27.2</c:v>
                </c:pt>
                <c:pt idx="625">
                  <c:v>26.8</c:v>
                </c:pt>
                <c:pt idx="626">
                  <c:v>27.1</c:v>
                </c:pt>
                <c:pt idx="627">
                  <c:v>27.6</c:v>
                </c:pt>
                <c:pt idx="628">
                  <c:v>28.3</c:v>
                </c:pt>
                <c:pt idx="629">
                  <c:v>28.5</c:v>
                </c:pt>
                <c:pt idx="630">
                  <c:v>28.6</c:v>
                </c:pt>
                <c:pt idx="631">
                  <c:v>28.7</c:v>
                </c:pt>
                <c:pt idx="632">
                  <c:v>28.5</c:v>
                </c:pt>
                <c:pt idx="633">
                  <c:v>28.4</c:v>
                </c:pt>
                <c:pt idx="634">
                  <c:v>28.2</c:v>
                </c:pt>
                <c:pt idx="635">
                  <c:v>27.8</c:v>
                </c:pt>
                <c:pt idx="636">
                  <c:v>26.9</c:v>
                </c:pt>
                <c:pt idx="637">
                  <c:v>27.1</c:v>
                </c:pt>
                <c:pt idx="638">
                  <c:v>27.4</c:v>
                </c:pt>
                <c:pt idx="639">
                  <c:v>27.8</c:v>
                </c:pt>
                <c:pt idx="640">
                  <c:v>27.9</c:v>
                </c:pt>
                <c:pt idx="641">
                  <c:v>28.7</c:v>
                </c:pt>
                <c:pt idx="642">
                  <c:v>28.4</c:v>
                </c:pt>
                <c:pt idx="643">
                  <c:v>27.8</c:v>
                </c:pt>
                <c:pt idx="644">
                  <c:v>28</c:v>
                </c:pt>
                <c:pt idx="645">
                  <c:v>27.5</c:v>
                </c:pt>
                <c:pt idx="646">
                  <c:v>28.2</c:v>
                </c:pt>
                <c:pt idx="647">
                  <c:v>27.6</c:v>
                </c:pt>
                <c:pt idx="648">
                  <c:v>27</c:v>
                </c:pt>
                <c:pt idx="649">
                  <c:v>26.9</c:v>
                </c:pt>
                <c:pt idx="650">
                  <c:v>27</c:v>
                </c:pt>
                <c:pt idx="651">
                  <c:v>27.7</c:v>
                </c:pt>
                <c:pt idx="652">
                  <c:v>28</c:v>
                </c:pt>
                <c:pt idx="653">
                  <c:v>28.2</c:v>
                </c:pt>
                <c:pt idx="654">
                  <c:v>28</c:v>
                </c:pt>
                <c:pt idx="655">
                  <c:v>27.8</c:v>
                </c:pt>
                <c:pt idx="656">
                  <c:v>28.2</c:v>
                </c:pt>
                <c:pt idx="657">
                  <c:v>28</c:v>
                </c:pt>
                <c:pt idx="658">
                  <c:v>27.7</c:v>
                </c:pt>
                <c:pt idx="659">
                  <c:v>27.1</c:v>
                </c:pt>
                <c:pt idx="660">
                  <c:v>26.7</c:v>
                </c:pt>
                <c:pt idx="661">
                  <c:v>27</c:v>
                </c:pt>
                <c:pt idx="662">
                  <c:v>27.4</c:v>
                </c:pt>
                <c:pt idx="663">
                  <c:v>28</c:v>
                </c:pt>
                <c:pt idx="664">
                  <c:v>28.7</c:v>
                </c:pt>
                <c:pt idx="665">
                  <c:v>28.6</c:v>
                </c:pt>
                <c:pt idx="666">
                  <c:v>28.8</c:v>
                </c:pt>
                <c:pt idx="667">
                  <c:v>28.6</c:v>
                </c:pt>
                <c:pt idx="668">
                  <c:v>29</c:v>
                </c:pt>
                <c:pt idx="669">
                  <c:v>28.3</c:v>
                </c:pt>
                <c:pt idx="670">
                  <c:v>28.5</c:v>
                </c:pt>
                <c:pt idx="671">
                  <c:v>28.4</c:v>
                </c:pt>
                <c:pt idx="672">
                  <c:v>27.9</c:v>
                </c:pt>
                <c:pt idx="673">
                  <c:v>28</c:v>
                </c:pt>
                <c:pt idx="674">
                  <c:v>28.6</c:v>
                </c:pt>
                <c:pt idx="675">
                  <c:v>28.8</c:v>
                </c:pt>
                <c:pt idx="676">
                  <c:v>29</c:v>
                </c:pt>
                <c:pt idx="677">
                  <c:v>28.7</c:v>
                </c:pt>
                <c:pt idx="678">
                  <c:v>28.1</c:v>
                </c:pt>
                <c:pt idx="679">
                  <c:v>28.1</c:v>
                </c:pt>
                <c:pt idx="680">
                  <c:v>28.2</c:v>
                </c:pt>
                <c:pt idx="681">
                  <c:v>27.9</c:v>
                </c:pt>
                <c:pt idx="682">
                  <c:v>27.1</c:v>
                </c:pt>
                <c:pt idx="683">
                  <c:v>27.2</c:v>
                </c:pt>
                <c:pt idx="685">
                  <c:v>27.1</c:v>
                </c:pt>
                <c:pt idx="686">
                  <c:v>27.3</c:v>
                </c:pt>
                <c:pt idx="687">
                  <c:v>28</c:v>
                </c:pt>
                <c:pt idx="688">
                  <c:v>28.3</c:v>
                </c:pt>
                <c:pt idx="689">
                  <c:v>28.6</c:v>
                </c:pt>
                <c:pt idx="690">
                  <c:v>28.1</c:v>
                </c:pt>
                <c:pt idx="691">
                  <c:v>28.1</c:v>
                </c:pt>
                <c:pt idx="692">
                  <c:v>28.2</c:v>
                </c:pt>
                <c:pt idx="693">
                  <c:v>27.3</c:v>
                </c:pt>
                <c:pt idx="694">
                  <c:v>27.3</c:v>
                </c:pt>
                <c:pt idx="695">
                  <c:v>27.1</c:v>
                </c:pt>
                <c:pt idx="696">
                  <c:v>26.9</c:v>
                </c:pt>
                <c:pt idx="697">
                  <c:v>26.7</c:v>
                </c:pt>
                <c:pt idx="698">
                  <c:v>27.4</c:v>
                </c:pt>
                <c:pt idx="699">
                  <c:v>28</c:v>
                </c:pt>
                <c:pt idx="700">
                  <c:v>28.9</c:v>
                </c:pt>
                <c:pt idx="701">
                  <c:v>29</c:v>
                </c:pt>
                <c:pt idx="702">
                  <c:v>28.9</c:v>
                </c:pt>
                <c:pt idx="703">
                  <c:v>28.4</c:v>
                </c:pt>
                <c:pt idx="704">
                  <c:v>28.9</c:v>
                </c:pt>
                <c:pt idx="708">
                  <c:v>27</c:v>
                </c:pt>
                <c:pt idx="709">
                  <c:v>27.2</c:v>
                </c:pt>
                <c:pt idx="710">
                  <c:v>28.1</c:v>
                </c:pt>
                <c:pt idx="711">
                  <c:v>28.3</c:v>
                </c:pt>
                <c:pt idx="712">
                  <c:v>28.1</c:v>
                </c:pt>
                <c:pt idx="713">
                  <c:v>28.8</c:v>
                </c:pt>
                <c:pt idx="714">
                  <c:v>28.3</c:v>
                </c:pt>
                <c:pt idx="715">
                  <c:v>28.2</c:v>
                </c:pt>
                <c:pt idx="716">
                  <c:v>28.3</c:v>
                </c:pt>
                <c:pt idx="717">
                  <c:v>28.4</c:v>
                </c:pt>
                <c:pt idx="718">
                  <c:v>28.8</c:v>
                </c:pt>
                <c:pt idx="719">
                  <c:v>28.8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F9-4C94-8342-FC84B10BE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656144"/>
        <c:axId val="1933653968"/>
      </c:scatterChart>
      <c:valAx>
        <c:axId val="1933656144"/>
        <c:scaling>
          <c:orientation val="maxMin"/>
          <c:max val="42000"/>
          <c:min val="29250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53968"/>
        <c:crosses val="autoZero"/>
        <c:crossBetween val="midCat"/>
        <c:majorUnit val="710"/>
      </c:valAx>
      <c:valAx>
        <c:axId val="1933653968"/>
        <c:scaling>
          <c:orientation val="minMax"/>
          <c:max val="29.5"/>
          <c:min val="25.5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5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Rates!$A$3:$A$36</c:f>
              <c:numCache>
                <c:formatCode>General</c:formatCode>
                <c:ptCount val="3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Rates!$B$3:$B$36</c:f>
              <c:numCache>
                <c:formatCode>0.000</c:formatCode>
                <c:ptCount val="34"/>
                <c:pt idx="0">
                  <c:v>0.68516075480084349</c:v>
                </c:pt>
                <c:pt idx="1">
                  <c:v>0.64420237085499898</c:v>
                </c:pt>
                <c:pt idx="2">
                  <c:v>0.61752516082970488</c:v>
                </c:pt>
                <c:pt idx="3">
                  <c:v>0.61419012154780461</c:v>
                </c:pt>
                <c:pt idx="4">
                  <c:v>0.4988369422880844</c:v>
                </c:pt>
                <c:pt idx="5">
                  <c:v>0.63175884013242101</c:v>
                </c:pt>
                <c:pt idx="6">
                  <c:v>0.56872467451258357</c:v>
                </c:pt>
                <c:pt idx="7">
                  <c:v>0.66884488872990155</c:v>
                </c:pt>
                <c:pt idx="8">
                  <c:v>0.64346527424406053</c:v>
                </c:pt>
                <c:pt idx="9">
                  <c:v>0.70462818863201526</c:v>
                </c:pt>
                <c:pt idx="10">
                  <c:v>0.64314227048131334</c:v>
                </c:pt>
                <c:pt idx="11">
                  <c:v>0.61592095412051839</c:v>
                </c:pt>
                <c:pt idx="12">
                  <c:v>0.63199033945172534</c:v>
                </c:pt>
                <c:pt idx="13">
                  <c:v>0.67841986217550831</c:v>
                </c:pt>
                <c:pt idx="14">
                  <c:v>0.68850185521429286</c:v>
                </c:pt>
                <c:pt idx="15">
                  <c:v>0.62470719277071884</c:v>
                </c:pt>
                <c:pt idx="16">
                  <c:v>0.70055476321953836</c:v>
                </c:pt>
                <c:pt idx="17">
                  <c:v>0.6600458248145854</c:v>
                </c:pt>
                <c:pt idx="18">
                  <c:v>0.65863837292458283</c:v>
                </c:pt>
                <c:pt idx="19">
                  <c:v>0.62495721684407146</c:v>
                </c:pt>
                <c:pt idx="20">
                  <c:v>0.76493760761763485</c:v>
                </c:pt>
                <c:pt idx="21">
                  <c:v>0.76138875784810711</c:v>
                </c:pt>
                <c:pt idx="22">
                  <c:v>0.70068539995430679</c:v>
                </c:pt>
                <c:pt idx="23">
                  <c:v>0.72845399828482826</c:v>
                </c:pt>
                <c:pt idx="24">
                  <c:v>0.78127200406874742</c:v>
                </c:pt>
                <c:pt idx="25">
                  <c:v>0.75557288227660302</c:v>
                </c:pt>
                <c:pt idx="26">
                  <c:v>0.60147413784412451</c:v>
                </c:pt>
                <c:pt idx="27">
                  <c:v>0.76226637929128449</c:v>
                </c:pt>
                <c:pt idx="28">
                  <c:v>0.79306361067364506</c:v>
                </c:pt>
                <c:pt idx="29">
                  <c:v>0.74093721810166024</c:v>
                </c:pt>
                <c:pt idx="30">
                  <c:v>0.91683388290840029</c:v>
                </c:pt>
                <c:pt idx="31">
                  <c:v>0.80486669348556328</c:v>
                </c:pt>
                <c:pt idx="32">
                  <c:v>0.80811610157442026</c:v>
                </c:pt>
                <c:pt idx="33">
                  <c:v>0.80287254435759992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FC-4D23-BF15-DB5CAC74F6C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Rates!$F$3:$F$36</c:f>
              <c:numCache>
                <c:formatCode>0.000</c:formatCode>
                <c:ptCount val="3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 formatCode="General">
                  <c:v>2012</c:v>
                </c:pt>
                <c:pt idx="4" formatCode="General">
                  <c:v>2011</c:v>
                </c:pt>
                <c:pt idx="5" formatCode="General">
                  <c:v>2010</c:v>
                </c:pt>
                <c:pt idx="6" formatCode="General">
                  <c:v>2009</c:v>
                </c:pt>
                <c:pt idx="7" formatCode="General">
                  <c:v>2008</c:v>
                </c:pt>
                <c:pt idx="8" formatCode="General">
                  <c:v>2007</c:v>
                </c:pt>
                <c:pt idx="9" formatCode="General">
                  <c:v>2006</c:v>
                </c:pt>
                <c:pt idx="10" formatCode="General">
                  <c:v>2005</c:v>
                </c:pt>
                <c:pt idx="11" formatCode="General">
                  <c:v>2004</c:v>
                </c:pt>
                <c:pt idx="12" formatCode="General">
                  <c:v>2003</c:v>
                </c:pt>
                <c:pt idx="13" formatCode="General">
                  <c:v>2002</c:v>
                </c:pt>
                <c:pt idx="14" formatCode="General">
                  <c:v>2001</c:v>
                </c:pt>
                <c:pt idx="15" formatCode="General">
                  <c:v>2000</c:v>
                </c:pt>
                <c:pt idx="16" formatCode="General">
                  <c:v>1999</c:v>
                </c:pt>
                <c:pt idx="17" formatCode="General">
                  <c:v>1998</c:v>
                </c:pt>
                <c:pt idx="18" formatCode="General">
                  <c:v>1997</c:v>
                </c:pt>
                <c:pt idx="19" formatCode="General">
                  <c:v>1996</c:v>
                </c:pt>
                <c:pt idx="20" formatCode="General">
                  <c:v>1995</c:v>
                </c:pt>
                <c:pt idx="21" formatCode="General">
                  <c:v>1994</c:v>
                </c:pt>
                <c:pt idx="22" formatCode="General">
                  <c:v>1993</c:v>
                </c:pt>
                <c:pt idx="23" formatCode="General">
                  <c:v>1992</c:v>
                </c:pt>
                <c:pt idx="24" formatCode="General">
                  <c:v>1991</c:v>
                </c:pt>
                <c:pt idx="25" formatCode="General">
                  <c:v>1990</c:v>
                </c:pt>
                <c:pt idx="26" formatCode="General">
                  <c:v>1989</c:v>
                </c:pt>
                <c:pt idx="27" formatCode="General">
                  <c:v>1988</c:v>
                </c:pt>
                <c:pt idx="28" formatCode="General">
                  <c:v>1987</c:v>
                </c:pt>
                <c:pt idx="29" formatCode="General">
                  <c:v>1986</c:v>
                </c:pt>
                <c:pt idx="30" formatCode="General">
                  <c:v>1985</c:v>
                </c:pt>
                <c:pt idx="31" formatCode="General">
                  <c:v>1984</c:v>
                </c:pt>
                <c:pt idx="32" formatCode="General">
                  <c:v>1983</c:v>
                </c:pt>
                <c:pt idx="33" formatCode="General">
                  <c:v>1982</c:v>
                </c:pt>
              </c:numCache>
            </c:numRef>
          </c:xVal>
          <c:yVal>
            <c:numRef>
              <c:f>Rates!$G$3:$G$36</c:f>
              <c:numCache>
                <c:formatCode>General</c:formatCode>
                <c:ptCount val="34"/>
                <c:pt idx="0">
                  <c:v>0.64979044857552282</c:v>
                </c:pt>
                <c:pt idx="1">
                  <c:v>0.62513630804321074</c:v>
                </c:pt>
                <c:pt idx="2">
                  <c:v>0.61275541932470423</c:v>
                </c:pt>
                <c:pt idx="3">
                  <c:v>0.59563138733725873</c:v>
                </c:pt>
                <c:pt idx="4">
                  <c:v>0.5290843887016391</c:v>
                </c:pt>
                <c:pt idx="5">
                  <c:v>0.6380863580050703</c:v>
                </c:pt>
                <c:pt idx="6">
                  <c:v>0.5773435024661312</c:v>
                </c:pt>
                <c:pt idx="7">
                  <c:v>0.68185195176851487</c:v>
                </c:pt>
                <c:pt idx="8">
                  <c:v>0.63081641523833587</c:v>
                </c:pt>
                <c:pt idx="9">
                  <c:v>0.76388645214439044</c:v>
                </c:pt>
                <c:pt idx="10">
                  <c:v>0.60994506829858386</c:v>
                </c:pt>
                <c:pt idx="11">
                  <c:v>0.62928033238475434</c:v>
                </c:pt>
                <c:pt idx="12">
                  <c:v>0.65005351225051311</c:v>
                </c:pt>
                <c:pt idx="13">
                  <c:v>0.69101827310522557</c:v>
                </c:pt>
                <c:pt idx="14">
                  <c:v>0.67135267578610724</c:v>
                </c:pt>
                <c:pt idx="15">
                  <c:v>0.66200910320756201</c:v>
                </c:pt>
                <c:pt idx="16">
                  <c:v>0.69070074553793115</c:v>
                </c:pt>
                <c:pt idx="17">
                  <c:v>0.66479200294650287</c:v>
                </c:pt>
                <c:pt idx="18">
                  <c:v>0.66393052226534699</c:v>
                </c:pt>
                <c:pt idx="19">
                  <c:v>0.62138332482445957</c:v>
                </c:pt>
                <c:pt idx="20">
                  <c:v>0.77974002807780207</c:v>
                </c:pt>
                <c:pt idx="21">
                  <c:v>0.74836419334761584</c:v>
                </c:pt>
                <c:pt idx="22">
                  <c:v>0.6926167422409768</c:v>
                </c:pt>
                <c:pt idx="23">
                  <c:v>0.76029312857435793</c:v>
                </c:pt>
                <c:pt idx="24">
                  <c:v>0.77965686134251722</c:v>
                </c:pt>
                <c:pt idx="25">
                  <c:v>0.75156958786229133</c:v>
                </c:pt>
                <c:pt idx="26">
                  <c:v>0.63648634860109421</c:v>
                </c:pt>
                <c:pt idx="27">
                  <c:v>0.79895615330901004</c:v>
                </c:pt>
                <c:pt idx="28">
                  <c:v>0.75134206356880939</c:v>
                </c:pt>
                <c:pt idx="29">
                  <c:v>0.78466399897105932</c:v>
                </c:pt>
                <c:pt idx="30">
                  <c:v>0.89453814705639556</c:v>
                </c:pt>
                <c:pt idx="31">
                  <c:v>0.81286400177038853</c:v>
                </c:pt>
                <c:pt idx="32">
                  <c:v>0.79075788338488484</c:v>
                </c:pt>
                <c:pt idx="33">
                  <c:v>0.85550138424563937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DD-4F9B-8C36-4C8AABE3F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661584"/>
        <c:axId val="1933661040"/>
      </c:scatterChart>
      <c:valAx>
        <c:axId val="1933661584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61040"/>
        <c:crosses val="autoZero"/>
        <c:crossBetween val="midCat"/>
        <c:majorUnit val="3"/>
      </c:valAx>
      <c:valAx>
        <c:axId val="1933661040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Densidad (g/cm3)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61584"/>
        <c:crosses val="autoZero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69005133707861"/>
          <c:y val="6.8521711072049157E-2"/>
          <c:w val="0.8291557468815447"/>
          <c:h val="0.8446547608420419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Rates!$A$3:$A$36</c:f>
              <c:numCache>
                <c:formatCode>General</c:formatCode>
                <c:ptCount val="3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Rates!$C$3:$C$36</c:f>
              <c:numCache>
                <c:formatCode>0.000</c:formatCode>
                <c:ptCount val="34"/>
                <c:pt idx="0">
                  <c:v>1.4472000000000003</c:v>
                </c:pt>
                <c:pt idx="1">
                  <c:v>1.6300000000000003</c:v>
                </c:pt>
                <c:pt idx="2">
                  <c:v>1.63</c:v>
                </c:pt>
                <c:pt idx="3">
                  <c:v>1.9499999999999993</c:v>
                </c:pt>
                <c:pt idx="4">
                  <c:v>1.3711000000000002</c:v>
                </c:pt>
                <c:pt idx="5">
                  <c:v>1.4930000000000003</c:v>
                </c:pt>
                <c:pt idx="6">
                  <c:v>1.0968999999999998</c:v>
                </c:pt>
                <c:pt idx="7">
                  <c:v>1.234</c:v>
                </c:pt>
                <c:pt idx="8">
                  <c:v>1.4473000000000003</c:v>
                </c:pt>
                <c:pt idx="9">
                  <c:v>0.79219999999999935</c:v>
                </c:pt>
                <c:pt idx="10">
                  <c:v>2.011000000000001</c:v>
                </c:pt>
                <c:pt idx="11">
                  <c:v>1.2491999999999983</c:v>
                </c:pt>
                <c:pt idx="12">
                  <c:v>1.1730000000000018</c:v>
                </c:pt>
                <c:pt idx="13">
                  <c:v>1.3101999999999983</c:v>
                </c:pt>
                <c:pt idx="14">
                  <c:v>1.9194999999999993</c:v>
                </c:pt>
                <c:pt idx="15">
                  <c:v>1.5234000000000023</c:v>
                </c:pt>
                <c:pt idx="16">
                  <c:v>1.7061999999999991</c:v>
                </c:pt>
                <c:pt idx="17">
                  <c:v>1.4316299999999167</c:v>
                </c:pt>
                <c:pt idx="18">
                  <c:v>0.92902999999993696</c:v>
                </c:pt>
                <c:pt idx="19">
                  <c:v>1.4620799999999008</c:v>
                </c:pt>
                <c:pt idx="20">
                  <c:v>1.0813299999999266</c:v>
                </c:pt>
                <c:pt idx="21">
                  <c:v>1.2793200000001228</c:v>
                </c:pt>
                <c:pt idx="22">
                  <c:v>1.3554700000002242</c:v>
                </c:pt>
                <c:pt idx="23">
                  <c:v>1.3707000000002267</c:v>
                </c:pt>
                <c:pt idx="24">
                  <c:v>1.1574800000001915</c:v>
                </c:pt>
                <c:pt idx="25">
                  <c:v>1.1422500000001889</c:v>
                </c:pt>
                <c:pt idx="26">
                  <c:v>0.80719000000013352</c:v>
                </c:pt>
                <c:pt idx="27">
                  <c:v>1.7362200000002872</c:v>
                </c:pt>
                <c:pt idx="28">
                  <c:v>0.62443000000010329</c:v>
                </c:pt>
                <c:pt idx="29">
                  <c:v>1.8428300000003048</c:v>
                </c:pt>
                <c:pt idx="30">
                  <c:v>1.2945500000002141</c:v>
                </c:pt>
                <c:pt idx="31">
                  <c:v>1.0965600000001814</c:v>
                </c:pt>
                <c:pt idx="32">
                  <c:v>0.8681100000001436</c:v>
                </c:pt>
                <c:pt idx="33">
                  <c:v>0.83765000000013856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17-4429-8177-359356416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665392"/>
        <c:axId val="1933653424"/>
      </c:scatterChart>
      <c:valAx>
        <c:axId val="1933665392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53424"/>
        <c:crosses val="autoZero"/>
        <c:crossBetween val="midCat"/>
        <c:majorUnit val="3"/>
      </c:valAx>
      <c:valAx>
        <c:axId val="1933653424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Extensión (cm/año)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65392"/>
        <c:crosses val="autoZero"/>
        <c:crossBetween val="midCat"/>
        <c:majorUnit val="0.2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Rates!$A$3:$A$36</c:f>
              <c:numCache>
                <c:formatCode>General</c:formatCode>
                <c:ptCount val="3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Rates!$D$3:$D$36</c:f>
              <c:numCache>
                <c:formatCode>0.000</c:formatCode>
                <c:ptCount val="34"/>
                <c:pt idx="0">
                  <c:v>0.99156464434778091</c:v>
                </c:pt>
                <c:pt idx="1">
                  <c:v>1.0500498644936485</c:v>
                </c:pt>
                <c:pt idx="2">
                  <c:v>1.0065660121524189</c:v>
                </c:pt>
                <c:pt idx="3">
                  <c:v>1.1976707370182185</c:v>
                </c:pt>
                <c:pt idx="4">
                  <c:v>0.68395533157119259</c:v>
                </c:pt>
                <c:pt idx="5">
                  <c:v>0.94321594831770472</c:v>
                </c:pt>
                <c:pt idx="6">
                  <c:v>0.62383409547285273</c:v>
                </c:pt>
                <c:pt idx="7">
                  <c:v>0.82535459269269851</c:v>
                </c:pt>
                <c:pt idx="8">
                  <c:v>0.93128729141342892</c:v>
                </c:pt>
                <c:pt idx="9">
                  <c:v>0.55820645103428201</c:v>
                </c:pt>
                <c:pt idx="10">
                  <c:v>1.2933591059379217</c:v>
                </c:pt>
                <c:pt idx="11">
                  <c:v>0.76940845588735052</c:v>
                </c:pt>
                <c:pt idx="12">
                  <c:v>0.74132466817687492</c:v>
                </c:pt>
                <c:pt idx="13">
                  <c:v>0.88886570342234983</c:v>
                </c:pt>
                <c:pt idx="14">
                  <c:v>1.3215793110838348</c:v>
                </c:pt>
                <c:pt idx="15">
                  <c:v>0.95167893746691457</c:v>
                </c:pt>
                <c:pt idx="16">
                  <c:v>1.1952865370051757</c:v>
                </c:pt>
                <c:pt idx="17">
                  <c:v>0.94494140417924988</c:v>
                </c:pt>
                <c:pt idx="18">
                  <c:v>0.61189480759808368</c:v>
                </c:pt>
                <c:pt idx="19">
                  <c:v>0.91373744760331799</c:v>
                </c:pt>
                <c:pt idx="20">
                  <c:v>0.82714998324512101</c:v>
                </c:pt>
                <c:pt idx="21">
                  <c:v>0.97405986569033387</c:v>
                </c:pt>
                <c:pt idx="22">
                  <c:v>0.94975803907622136</c:v>
                </c:pt>
                <c:pt idx="23">
                  <c:v>0.99849189544917927</c:v>
                </c:pt>
                <c:pt idx="24">
                  <c:v>0.90430671926964334</c:v>
                </c:pt>
                <c:pt idx="25">
                  <c:v>0.8630531247805926</c:v>
                </c:pt>
                <c:pt idx="26">
                  <c:v>0.48550390932647919</c:v>
                </c:pt>
                <c:pt idx="27">
                  <c:v>1.3234621330533329</c:v>
                </c:pt>
                <c:pt idx="28">
                  <c:v>0.49521271041302611</c:v>
                </c:pt>
                <c:pt idx="29">
                  <c:v>1.3654213336345085</c:v>
                </c:pt>
                <c:pt idx="30">
                  <c:v>1.1868873031192659</c:v>
                </c:pt>
                <c:pt idx="31">
                  <c:v>0.88258462140867522</c:v>
                </c:pt>
                <c:pt idx="32">
                  <c:v>0.70153366893788605</c:v>
                </c:pt>
                <c:pt idx="33">
                  <c:v>0.67252618678125486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3A-4E3E-B700-A6951E51C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657232"/>
        <c:axId val="1933658320"/>
      </c:scatterChart>
      <c:valAx>
        <c:axId val="1933657232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58320"/>
        <c:crosses val="autoZero"/>
        <c:crossBetween val="midCat"/>
        <c:majorUnit val="3"/>
      </c:valAx>
      <c:valAx>
        <c:axId val="1933658320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Calcificación (g/cm2</a:t>
                </a:r>
                <a:r>
                  <a:rPr lang="es-CO" sz="1100" baseline="0">
                    <a:solidFill>
                      <a:schemeClr val="tx1"/>
                    </a:solidFill>
                  </a:rPr>
                  <a:t> </a:t>
                </a:r>
                <a:r>
                  <a:rPr lang="es-CO" sz="1100">
                    <a:solidFill>
                      <a:schemeClr val="tx1"/>
                    </a:solidFill>
                  </a:rPr>
                  <a:t>año)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57232"/>
        <c:crosses val="autoZero"/>
        <c:crossBetween val="midCat"/>
        <c:majorUnit val="0.2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620520768489435"/>
                  <c:y val="-4.68540869688488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Rates!$C$3:$C$36</c:f>
              <c:numCache>
                <c:formatCode>0.000</c:formatCode>
                <c:ptCount val="34"/>
                <c:pt idx="0">
                  <c:v>1.4472000000000003</c:v>
                </c:pt>
                <c:pt idx="1">
                  <c:v>1.6300000000000003</c:v>
                </c:pt>
                <c:pt idx="2">
                  <c:v>1.63</c:v>
                </c:pt>
                <c:pt idx="3">
                  <c:v>1.9499999999999993</c:v>
                </c:pt>
                <c:pt idx="4">
                  <c:v>1.3711000000000002</c:v>
                </c:pt>
                <c:pt idx="5">
                  <c:v>1.4930000000000003</c:v>
                </c:pt>
                <c:pt idx="6">
                  <c:v>1.0968999999999998</c:v>
                </c:pt>
                <c:pt idx="7">
                  <c:v>1.234</c:v>
                </c:pt>
                <c:pt idx="8">
                  <c:v>1.4473000000000003</c:v>
                </c:pt>
                <c:pt idx="9">
                  <c:v>0.79219999999999935</c:v>
                </c:pt>
                <c:pt idx="10">
                  <c:v>2.011000000000001</c:v>
                </c:pt>
                <c:pt idx="11">
                  <c:v>1.2491999999999983</c:v>
                </c:pt>
                <c:pt idx="12">
                  <c:v>1.1730000000000018</c:v>
                </c:pt>
                <c:pt idx="13">
                  <c:v>1.3101999999999983</c:v>
                </c:pt>
                <c:pt idx="14">
                  <c:v>1.9194999999999993</c:v>
                </c:pt>
                <c:pt idx="15">
                  <c:v>1.5234000000000023</c:v>
                </c:pt>
                <c:pt idx="16">
                  <c:v>1.7061999999999991</c:v>
                </c:pt>
                <c:pt idx="17">
                  <c:v>1.4316299999999167</c:v>
                </c:pt>
                <c:pt idx="18">
                  <c:v>0.92902999999993696</c:v>
                </c:pt>
                <c:pt idx="19">
                  <c:v>1.4620799999999008</c:v>
                </c:pt>
                <c:pt idx="20">
                  <c:v>1.0813299999999266</c:v>
                </c:pt>
                <c:pt idx="21">
                  <c:v>1.2793200000001228</c:v>
                </c:pt>
                <c:pt idx="22">
                  <c:v>1.3554700000002242</c:v>
                </c:pt>
                <c:pt idx="23">
                  <c:v>1.3707000000002267</c:v>
                </c:pt>
                <c:pt idx="24">
                  <c:v>1.1574800000001915</c:v>
                </c:pt>
                <c:pt idx="25">
                  <c:v>1.1422500000001889</c:v>
                </c:pt>
                <c:pt idx="26">
                  <c:v>0.80719000000013352</c:v>
                </c:pt>
                <c:pt idx="27">
                  <c:v>1.7362200000002872</c:v>
                </c:pt>
                <c:pt idx="28">
                  <c:v>0.62443000000010329</c:v>
                </c:pt>
                <c:pt idx="29">
                  <c:v>1.8428300000003048</c:v>
                </c:pt>
                <c:pt idx="30">
                  <c:v>1.2945500000002141</c:v>
                </c:pt>
                <c:pt idx="31">
                  <c:v>1.0965600000001814</c:v>
                </c:pt>
                <c:pt idx="32">
                  <c:v>0.8681100000001436</c:v>
                </c:pt>
                <c:pt idx="33">
                  <c:v>0.83765000000013856</c:v>
                </c:pt>
              </c:numCache>
            </c:numRef>
          </c:xVal>
          <c:yVal>
            <c:numRef>
              <c:f>Rates!$D$3:$D$36</c:f>
              <c:numCache>
                <c:formatCode>0.000</c:formatCode>
                <c:ptCount val="34"/>
                <c:pt idx="0">
                  <c:v>0.99156464434778091</c:v>
                </c:pt>
                <c:pt idx="1">
                  <c:v>1.0500498644936485</c:v>
                </c:pt>
                <c:pt idx="2">
                  <c:v>1.0065660121524189</c:v>
                </c:pt>
                <c:pt idx="3">
                  <c:v>1.1976707370182185</c:v>
                </c:pt>
                <c:pt idx="4">
                  <c:v>0.68395533157119259</c:v>
                </c:pt>
                <c:pt idx="5">
                  <c:v>0.94321594831770472</c:v>
                </c:pt>
                <c:pt idx="6">
                  <c:v>0.62383409547285273</c:v>
                </c:pt>
                <c:pt idx="7">
                  <c:v>0.82535459269269851</c:v>
                </c:pt>
                <c:pt idx="8">
                  <c:v>0.93128729141342892</c:v>
                </c:pt>
                <c:pt idx="9">
                  <c:v>0.55820645103428201</c:v>
                </c:pt>
                <c:pt idx="10">
                  <c:v>1.2933591059379217</c:v>
                </c:pt>
                <c:pt idx="11">
                  <c:v>0.76940845588735052</c:v>
                </c:pt>
                <c:pt idx="12">
                  <c:v>0.74132466817687492</c:v>
                </c:pt>
                <c:pt idx="13">
                  <c:v>0.88886570342234983</c:v>
                </c:pt>
                <c:pt idx="14">
                  <c:v>1.3215793110838348</c:v>
                </c:pt>
                <c:pt idx="15">
                  <c:v>0.95167893746691457</c:v>
                </c:pt>
                <c:pt idx="16">
                  <c:v>1.1952865370051757</c:v>
                </c:pt>
                <c:pt idx="17">
                  <c:v>0.94494140417924988</c:v>
                </c:pt>
                <c:pt idx="18">
                  <c:v>0.61189480759808368</c:v>
                </c:pt>
                <c:pt idx="19">
                  <c:v>0.91373744760331799</c:v>
                </c:pt>
                <c:pt idx="20">
                  <c:v>0.82714998324512101</c:v>
                </c:pt>
                <c:pt idx="21">
                  <c:v>0.97405986569033387</c:v>
                </c:pt>
                <c:pt idx="22">
                  <c:v>0.94975803907622136</c:v>
                </c:pt>
                <c:pt idx="23">
                  <c:v>0.99849189544917927</c:v>
                </c:pt>
                <c:pt idx="24">
                  <c:v>0.90430671926964334</c:v>
                </c:pt>
                <c:pt idx="25">
                  <c:v>0.8630531247805926</c:v>
                </c:pt>
                <c:pt idx="26">
                  <c:v>0.48550390932647919</c:v>
                </c:pt>
                <c:pt idx="27">
                  <c:v>1.3234621330533329</c:v>
                </c:pt>
                <c:pt idx="28">
                  <c:v>0.49521271041302611</c:v>
                </c:pt>
                <c:pt idx="29">
                  <c:v>1.3654213336345085</c:v>
                </c:pt>
                <c:pt idx="30">
                  <c:v>1.1868873031192659</c:v>
                </c:pt>
                <c:pt idx="31">
                  <c:v>0.88258462140867522</c:v>
                </c:pt>
                <c:pt idx="32">
                  <c:v>0.70153366893788605</c:v>
                </c:pt>
                <c:pt idx="33">
                  <c:v>0.67252618678125486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AB-49B6-A14D-BBCE5F799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659952"/>
        <c:axId val="1933660496"/>
      </c:scatterChart>
      <c:valAx>
        <c:axId val="1933659952"/>
        <c:scaling>
          <c:orientation val="minMax"/>
          <c:max val="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 b="0" i="0" u="none" strike="noStrike" baseline="0">
                    <a:solidFill>
                      <a:schemeClr val="tx1"/>
                    </a:solidFill>
                    <a:effectLst/>
                  </a:rPr>
                  <a:t>Extensión (cm/año)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60496"/>
        <c:crosses val="autoZero"/>
        <c:crossBetween val="midCat"/>
        <c:majorUnit val="0.5"/>
      </c:valAx>
      <c:valAx>
        <c:axId val="1933660496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Calcificación (g/cm2</a:t>
                </a:r>
                <a:r>
                  <a:rPr lang="es-CO" sz="1100" baseline="0">
                    <a:solidFill>
                      <a:schemeClr val="tx1"/>
                    </a:solidFill>
                  </a:rPr>
                  <a:t> </a:t>
                </a:r>
                <a:r>
                  <a:rPr lang="es-CO" sz="1100">
                    <a:solidFill>
                      <a:schemeClr val="tx1"/>
                    </a:solidFill>
                  </a:rPr>
                  <a:t>año)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59952"/>
        <c:crosses val="autoZero"/>
        <c:crossBetween val="midCat"/>
        <c:majorUnit val="0.2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Rates!$C$3:$C$34</c:f>
              <c:numCache>
                <c:formatCode>0.000</c:formatCode>
                <c:ptCount val="32"/>
                <c:pt idx="0">
                  <c:v>1.4472000000000003</c:v>
                </c:pt>
                <c:pt idx="1">
                  <c:v>1.6300000000000003</c:v>
                </c:pt>
                <c:pt idx="2">
                  <c:v>1.63</c:v>
                </c:pt>
                <c:pt idx="3">
                  <c:v>1.9499999999999993</c:v>
                </c:pt>
                <c:pt idx="4">
                  <c:v>1.3711000000000002</c:v>
                </c:pt>
                <c:pt idx="5">
                  <c:v>1.4930000000000003</c:v>
                </c:pt>
                <c:pt idx="6">
                  <c:v>1.0968999999999998</c:v>
                </c:pt>
                <c:pt idx="7">
                  <c:v>1.234</c:v>
                </c:pt>
                <c:pt idx="8">
                  <c:v>1.4473000000000003</c:v>
                </c:pt>
                <c:pt idx="9">
                  <c:v>0.79219999999999935</c:v>
                </c:pt>
                <c:pt idx="10">
                  <c:v>2.011000000000001</c:v>
                </c:pt>
                <c:pt idx="11">
                  <c:v>1.2491999999999983</c:v>
                </c:pt>
                <c:pt idx="12">
                  <c:v>1.1730000000000018</c:v>
                </c:pt>
                <c:pt idx="13">
                  <c:v>1.3101999999999983</c:v>
                </c:pt>
                <c:pt idx="14">
                  <c:v>1.9194999999999993</c:v>
                </c:pt>
                <c:pt idx="15">
                  <c:v>1.5234000000000023</c:v>
                </c:pt>
                <c:pt idx="16">
                  <c:v>1.7061999999999991</c:v>
                </c:pt>
                <c:pt idx="17">
                  <c:v>1.4316299999999167</c:v>
                </c:pt>
                <c:pt idx="18">
                  <c:v>0.92902999999993696</c:v>
                </c:pt>
                <c:pt idx="19">
                  <c:v>1.4620799999999008</c:v>
                </c:pt>
                <c:pt idx="20">
                  <c:v>1.0813299999999266</c:v>
                </c:pt>
                <c:pt idx="21">
                  <c:v>1.2793200000001228</c:v>
                </c:pt>
                <c:pt idx="22">
                  <c:v>1.3554700000002242</c:v>
                </c:pt>
                <c:pt idx="23">
                  <c:v>1.3707000000002267</c:v>
                </c:pt>
                <c:pt idx="24">
                  <c:v>1.1574800000001915</c:v>
                </c:pt>
                <c:pt idx="25">
                  <c:v>1.1422500000001889</c:v>
                </c:pt>
                <c:pt idx="26">
                  <c:v>0.80719000000013352</c:v>
                </c:pt>
                <c:pt idx="27">
                  <c:v>1.7362200000002872</c:v>
                </c:pt>
                <c:pt idx="28">
                  <c:v>0.62443000000010329</c:v>
                </c:pt>
                <c:pt idx="29">
                  <c:v>1.8428300000003048</c:v>
                </c:pt>
                <c:pt idx="30">
                  <c:v>1.2945500000002141</c:v>
                </c:pt>
                <c:pt idx="31">
                  <c:v>1.0965600000001814</c:v>
                </c:pt>
              </c:numCache>
            </c:numRef>
          </c:xVal>
          <c:yVal>
            <c:numRef>
              <c:f>Rates!$B$3:$B$34</c:f>
              <c:numCache>
                <c:formatCode>0.000</c:formatCode>
                <c:ptCount val="32"/>
                <c:pt idx="0">
                  <c:v>0.68516075480084349</c:v>
                </c:pt>
                <c:pt idx="1">
                  <c:v>0.64420237085499898</c:v>
                </c:pt>
                <c:pt idx="2">
                  <c:v>0.61752516082970488</c:v>
                </c:pt>
                <c:pt idx="3">
                  <c:v>0.61419012154780461</c:v>
                </c:pt>
                <c:pt idx="4">
                  <c:v>0.4988369422880844</c:v>
                </c:pt>
                <c:pt idx="5">
                  <c:v>0.63175884013242101</c:v>
                </c:pt>
                <c:pt idx="6">
                  <c:v>0.56872467451258357</c:v>
                </c:pt>
                <c:pt idx="7">
                  <c:v>0.66884488872990155</c:v>
                </c:pt>
                <c:pt idx="8">
                  <c:v>0.64346527424406053</c:v>
                </c:pt>
                <c:pt idx="9">
                  <c:v>0.70462818863201526</c:v>
                </c:pt>
                <c:pt idx="10">
                  <c:v>0.64314227048131334</c:v>
                </c:pt>
                <c:pt idx="11">
                  <c:v>0.61592095412051839</c:v>
                </c:pt>
                <c:pt idx="12">
                  <c:v>0.63199033945172534</c:v>
                </c:pt>
                <c:pt idx="13">
                  <c:v>0.67841986217550831</c:v>
                </c:pt>
                <c:pt idx="14">
                  <c:v>0.68850185521429286</c:v>
                </c:pt>
                <c:pt idx="15">
                  <c:v>0.62470719277071884</c:v>
                </c:pt>
                <c:pt idx="16">
                  <c:v>0.70055476321953836</c:v>
                </c:pt>
                <c:pt idx="17">
                  <c:v>0.6600458248145854</c:v>
                </c:pt>
                <c:pt idx="18">
                  <c:v>0.65863837292458283</c:v>
                </c:pt>
                <c:pt idx="19">
                  <c:v>0.62495721684407146</c:v>
                </c:pt>
                <c:pt idx="20">
                  <c:v>0.76493760761763485</c:v>
                </c:pt>
                <c:pt idx="21">
                  <c:v>0.76138875784810711</c:v>
                </c:pt>
                <c:pt idx="22">
                  <c:v>0.70068539995430679</c:v>
                </c:pt>
                <c:pt idx="23">
                  <c:v>0.72845399828482826</c:v>
                </c:pt>
                <c:pt idx="24">
                  <c:v>0.78127200406874742</c:v>
                </c:pt>
                <c:pt idx="25">
                  <c:v>0.75557288227660302</c:v>
                </c:pt>
                <c:pt idx="26">
                  <c:v>0.60147413784412451</c:v>
                </c:pt>
                <c:pt idx="27">
                  <c:v>0.76226637929128449</c:v>
                </c:pt>
                <c:pt idx="28">
                  <c:v>0.79306361067364506</c:v>
                </c:pt>
                <c:pt idx="29">
                  <c:v>0.74093721810166024</c:v>
                </c:pt>
                <c:pt idx="30">
                  <c:v>0.91683388290840029</c:v>
                </c:pt>
                <c:pt idx="31">
                  <c:v>0.80486669348556328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FE-48EA-B0B9-794C17573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048320"/>
        <c:axId val="1936060832"/>
      </c:scatterChart>
      <c:valAx>
        <c:axId val="1936048320"/>
        <c:scaling>
          <c:orientation val="minMax"/>
          <c:max val="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 b="0" i="0" u="none" strike="noStrike" baseline="0">
                    <a:solidFill>
                      <a:schemeClr val="tx1"/>
                    </a:solidFill>
                    <a:effectLst/>
                  </a:rPr>
                  <a:t>Extensión (cm/año)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60832"/>
        <c:crosses val="autoZero"/>
        <c:crossBetween val="midCat"/>
        <c:majorUnit val="0.5"/>
      </c:valAx>
      <c:valAx>
        <c:axId val="1936060832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 b="0" i="0" u="none" strike="noStrike" baseline="0">
                    <a:effectLst/>
                  </a:rPr>
                  <a:t>Densidad (g/cm3</a:t>
                </a:r>
                <a:r>
                  <a:rPr lang="es-CO" sz="1100">
                    <a:solidFill>
                      <a:schemeClr val="tx1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48320"/>
        <c:crosses val="autoZero"/>
        <c:crossBetween val="midCat"/>
        <c:majorUnit val="0.2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Rates!$D$3:$D$34</c:f>
              <c:numCache>
                <c:formatCode>0.000</c:formatCode>
                <c:ptCount val="32"/>
                <c:pt idx="0">
                  <c:v>0.99156464434778091</c:v>
                </c:pt>
                <c:pt idx="1">
                  <c:v>1.0500498644936485</c:v>
                </c:pt>
                <c:pt idx="2">
                  <c:v>1.0065660121524189</c:v>
                </c:pt>
                <c:pt idx="3">
                  <c:v>1.1976707370182185</c:v>
                </c:pt>
                <c:pt idx="4">
                  <c:v>0.68395533157119259</c:v>
                </c:pt>
                <c:pt idx="5">
                  <c:v>0.94321594831770472</c:v>
                </c:pt>
                <c:pt idx="6">
                  <c:v>0.62383409547285273</c:v>
                </c:pt>
                <c:pt idx="7">
                  <c:v>0.82535459269269851</c:v>
                </c:pt>
                <c:pt idx="8">
                  <c:v>0.93128729141342892</c:v>
                </c:pt>
                <c:pt idx="9">
                  <c:v>0.55820645103428201</c:v>
                </c:pt>
                <c:pt idx="10">
                  <c:v>1.2933591059379217</c:v>
                </c:pt>
                <c:pt idx="11">
                  <c:v>0.76940845588735052</c:v>
                </c:pt>
                <c:pt idx="12">
                  <c:v>0.74132466817687492</c:v>
                </c:pt>
                <c:pt idx="13">
                  <c:v>0.88886570342234983</c:v>
                </c:pt>
                <c:pt idx="14">
                  <c:v>1.3215793110838348</c:v>
                </c:pt>
                <c:pt idx="15">
                  <c:v>0.95167893746691457</c:v>
                </c:pt>
                <c:pt idx="16">
                  <c:v>1.1952865370051757</c:v>
                </c:pt>
                <c:pt idx="17">
                  <c:v>0.94494140417924988</c:v>
                </c:pt>
                <c:pt idx="18">
                  <c:v>0.61189480759808368</c:v>
                </c:pt>
                <c:pt idx="19">
                  <c:v>0.91373744760331799</c:v>
                </c:pt>
                <c:pt idx="20">
                  <c:v>0.82714998324512101</c:v>
                </c:pt>
                <c:pt idx="21">
                  <c:v>0.97405986569033387</c:v>
                </c:pt>
                <c:pt idx="22">
                  <c:v>0.94975803907622136</c:v>
                </c:pt>
                <c:pt idx="23">
                  <c:v>0.99849189544917927</c:v>
                </c:pt>
                <c:pt idx="24">
                  <c:v>0.90430671926964334</c:v>
                </c:pt>
                <c:pt idx="25">
                  <c:v>0.8630531247805926</c:v>
                </c:pt>
                <c:pt idx="26">
                  <c:v>0.48550390932647919</c:v>
                </c:pt>
                <c:pt idx="27">
                  <c:v>1.3234621330533329</c:v>
                </c:pt>
                <c:pt idx="28">
                  <c:v>0.49521271041302611</c:v>
                </c:pt>
                <c:pt idx="29">
                  <c:v>1.3654213336345085</c:v>
                </c:pt>
                <c:pt idx="30">
                  <c:v>1.1868873031192659</c:v>
                </c:pt>
                <c:pt idx="31">
                  <c:v>0.88258462140867522</c:v>
                </c:pt>
              </c:numCache>
            </c:numRef>
          </c:xVal>
          <c:yVal>
            <c:numRef>
              <c:f>Rates!$B$3:$B$34</c:f>
              <c:numCache>
                <c:formatCode>0.000</c:formatCode>
                <c:ptCount val="32"/>
                <c:pt idx="0">
                  <c:v>0.68516075480084349</c:v>
                </c:pt>
                <c:pt idx="1">
                  <c:v>0.64420237085499898</c:v>
                </c:pt>
                <c:pt idx="2">
                  <c:v>0.61752516082970488</c:v>
                </c:pt>
                <c:pt idx="3">
                  <c:v>0.61419012154780461</c:v>
                </c:pt>
                <c:pt idx="4">
                  <c:v>0.4988369422880844</c:v>
                </c:pt>
                <c:pt idx="5">
                  <c:v>0.63175884013242101</c:v>
                </c:pt>
                <c:pt idx="6">
                  <c:v>0.56872467451258357</c:v>
                </c:pt>
                <c:pt idx="7">
                  <c:v>0.66884488872990155</c:v>
                </c:pt>
                <c:pt idx="8">
                  <c:v>0.64346527424406053</c:v>
                </c:pt>
                <c:pt idx="9">
                  <c:v>0.70462818863201526</c:v>
                </c:pt>
                <c:pt idx="10">
                  <c:v>0.64314227048131334</c:v>
                </c:pt>
                <c:pt idx="11">
                  <c:v>0.61592095412051839</c:v>
                </c:pt>
                <c:pt idx="12">
                  <c:v>0.63199033945172534</c:v>
                </c:pt>
                <c:pt idx="13">
                  <c:v>0.67841986217550831</c:v>
                </c:pt>
                <c:pt idx="14">
                  <c:v>0.68850185521429286</c:v>
                </c:pt>
                <c:pt idx="15">
                  <c:v>0.62470719277071884</c:v>
                </c:pt>
                <c:pt idx="16">
                  <c:v>0.70055476321953836</c:v>
                </c:pt>
                <c:pt idx="17">
                  <c:v>0.6600458248145854</c:v>
                </c:pt>
                <c:pt idx="18">
                  <c:v>0.65863837292458283</c:v>
                </c:pt>
                <c:pt idx="19">
                  <c:v>0.62495721684407146</c:v>
                </c:pt>
                <c:pt idx="20">
                  <c:v>0.76493760761763485</c:v>
                </c:pt>
                <c:pt idx="21">
                  <c:v>0.76138875784810711</c:v>
                </c:pt>
                <c:pt idx="22">
                  <c:v>0.70068539995430679</c:v>
                </c:pt>
                <c:pt idx="23">
                  <c:v>0.72845399828482826</c:v>
                </c:pt>
                <c:pt idx="24">
                  <c:v>0.78127200406874742</c:v>
                </c:pt>
                <c:pt idx="25">
                  <c:v>0.75557288227660302</c:v>
                </c:pt>
                <c:pt idx="26">
                  <c:v>0.60147413784412451</c:v>
                </c:pt>
                <c:pt idx="27">
                  <c:v>0.76226637929128449</c:v>
                </c:pt>
                <c:pt idx="28">
                  <c:v>0.79306361067364506</c:v>
                </c:pt>
                <c:pt idx="29">
                  <c:v>0.74093721810166024</c:v>
                </c:pt>
                <c:pt idx="30">
                  <c:v>0.91683388290840029</c:v>
                </c:pt>
                <c:pt idx="31">
                  <c:v>0.80486669348556328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0F-4747-BCE2-8439AD243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054304"/>
        <c:axId val="1936058656"/>
      </c:scatterChart>
      <c:valAx>
        <c:axId val="1936054304"/>
        <c:scaling>
          <c:orientation val="minMax"/>
          <c:max val="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 b="0" i="0" u="none" strike="noStrike" baseline="0">
                    <a:effectLst/>
                  </a:rPr>
                  <a:t>Calcificación (g/cm2 año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58656"/>
        <c:crosses val="autoZero"/>
        <c:crossBetween val="midCat"/>
        <c:majorUnit val="0.5"/>
      </c:valAx>
      <c:valAx>
        <c:axId val="1936058656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 b="0" i="0" u="none" strike="noStrike" baseline="0">
                    <a:effectLst/>
                  </a:rPr>
                  <a:t>Densidad (g/cm3</a:t>
                </a:r>
                <a:r>
                  <a:rPr lang="es-CO" sz="1100">
                    <a:solidFill>
                      <a:schemeClr val="tx1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54304"/>
        <c:crosses val="autoZero"/>
        <c:crossBetween val="midCat"/>
        <c:majorUnit val="0.2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Rates!$X$3:$X$37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</c:numCache>
            </c:numRef>
          </c:xVal>
          <c:yVal>
            <c:numRef>
              <c:f>Rates!$Y$3:$Y$37</c:f>
              <c:numCache>
                <c:formatCode>0.000</c:formatCode>
                <c:ptCount val="35"/>
                <c:pt idx="0">
                  <c:v>0.41375667475411337</c:v>
                </c:pt>
                <c:pt idx="1">
                  <c:v>0.41972960334231096</c:v>
                </c:pt>
                <c:pt idx="2">
                  <c:v>0.37647562622888664</c:v>
                </c:pt>
                <c:pt idx="3">
                  <c:v>0.31552183562034619</c:v>
                </c:pt>
                <c:pt idx="4">
                  <c:v>0.29768369786326226</c:v>
                </c:pt>
                <c:pt idx="5">
                  <c:v>0.32389780087924541</c:v>
                </c:pt>
                <c:pt idx="6">
                  <c:v>0.31922051715254235</c:v>
                </c:pt>
                <c:pt idx="7">
                  <c:v>0.33470409851190769</c:v>
                </c:pt>
                <c:pt idx="8">
                  <c:v>0.31712281038115014</c:v>
                </c:pt>
                <c:pt idx="9">
                  <c:v>0.47727574184544824</c:v>
                </c:pt>
                <c:pt idx="10">
                  <c:v>0.34423836810193181</c:v>
                </c:pt>
                <c:pt idx="11">
                  <c:v>0.42125236882128492</c:v>
                </c:pt>
                <c:pt idx="12">
                  <c:v>0.40402218956126484</c:v>
                </c:pt>
                <c:pt idx="13">
                  <c:v>0.47814479386536979</c:v>
                </c:pt>
                <c:pt idx="14">
                  <c:v>0.51216369404405071</c:v>
                </c:pt>
                <c:pt idx="15">
                  <c:v>0.50600677513695391</c:v>
                </c:pt>
                <c:pt idx="16">
                  <c:v>0.57639853627103521</c:v>
                </c:pt>
                <c:pt idx="17">
                  <c:v>0.69909852841590103</c:v>
                </c:pt>
                <c:pt idx="18">
                  <c:v>0.58289746142720678</c:v>
                </c:pt>
                <c:pt idx="19">
                  <c:v>0.48903560954381936</c:v>
                </c:pt>
                <c:pt idx="20">
                  <c:v>0.44657551499493858</c:v>
                </c:pt>
                <c:pt idx="21">
                  <c:v>0.53508168327680505</c:v>
                </c:pt>
                <c:pt idx="22">
                  <c:v>0.50508939748172965</c:v>
                </c:pt>
                <c:pt idx="23">
                  <c:v>0.5348040118152394</c:v>
                </c:pt>
                <c:pt idx="24">
                  <c:v>0.52895345454356213</c:v>
                </c:pt>
                <c:pt idx="25">
                  <c:v>0.50252146365523376</c:v>
                </c:pt>
                <c:pt idx="26">
                  <c:v>0.60903768230943323</c:v>
                </c:pt>
                <c:pt idx="27">
                  <c:v>0.49803532779906218</c:v>
                </c:pt>
                <c:pt idx="28">
                  <c:v>0.5799252661491463</c:v>
                </c:pt>
                <c:pt idx="29">
                  <c:v>0.87408361663777001</c:v>
                </c:pt>
                <c:pt idx="30">
                  <c:v>0.82439130410840933</c:v>
                </c:pt>
                <c:pt idx="31">
                  <c:v>1.0347599991589467</c:v>
                </c:pt>
                <c:pt idx="32">
                  <c:v>0.87794557710629029</c:v>
                </c:pt>
                <c:pt idx="33">
                  <c:v>0.84868267893576177</c:v>
                </c:pt>
                <c:pt idx="34">
                  <c:v>0.94833269613899263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C6-458B-B3A7-C6FD89804F1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Rates!$X$3:$X$37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</c:numCache>
            </c:numRef>
          </c:xVal>
          <c:yVal>
            <c:numRef>
              <c:f>Rates!$T$3:$T$37</c:f>
              <c:numCache>
                <c:formatCode>0.000</c:formatCode>
                <c:ptCount val="35"/>
                <c:pt idx="0">
                  <c:v>0.68516075480084349</c:v>
                </c:pt>
                <c:pt idx="1">
                  <c:v>0.64420237085499898</c:v>
                </c:pt>
                <c:pt idx="2">
                  <c:v>0.61752516082970488</c:v>
                </c:pt>
                <c:pt idx="3">
                  <c:v>0.61419012154780461</c:v>
                </c:pt>
                <c:pt idx="4">
                  <c:v>0.4988369422880844</c:v>
                </c:pt>
                <c:pt idx="5">
                  <c:v>0.63175884013242101</c:v>
                </c:pt>
                <c:pt idx="6">
                  <c:v>0.56872467451258357</c:v>
                </c:pt>
                <c:pt idx="7">
                  <c:v>0.66884488872990155</c:v>
                </c:pt>
                <c:pt idx="8">
                  <c:v>0.64346527424406053</c:v>
                </c:pt>
                <c:pt idx="9">
                  <c:v>0.70462818863201526</c:v>
                </c:pt>
                <c:pt idx="10">
                  <c:v>0.64314227048131334</c:v>
                </c:pt>
                <c:pt idx="11">
                  <c:v>0.61592095412051839</c:v>
                </c:pt>
                <c:pt idx="12">
                  <c:v>0.63199033945172534</c:v>
                </c:pt>
                <c:pt idx="13">
                  <c:v>0.67841986217550831</c:v>
                </c:pt>
                <c:pt idx="14">
                  <c:v>0.68850185521429286</c:v>
                </c:pt>
                <c:pt idx="15">
                  <c:v>0.62470719277071884</c:v>
                </c:pt>
                <c:pt idx="16">
                  <c:v>0.70055476321953836</c:v>
                </c:pt>
                <c:pt idx="17">
                  <c:v>0.6600458248145854</c:v>
                </c:pt>
                <c:pt idx="18">
                  <c:v>0.65863837292458283</c:v>
                </c:pt>
                <c:pt idx="19">
                  <c:v>0.62495721684407146</c:v>
                </c:pt>
                <c:pt idx="20">
                  <c:v>0.76493760761763485</c:v>
                </c:pt>
                <c:pt idx="21">
                  <c:v>0.76138875784810711</c:v>
                </c:pt>
                <c:pt idx="22">
                  <c:v>0.70068539995430679</c:v>
                </c:pt>
                <c:pt idx="23">
                  <c:v>0.72845399828482826</c:v>
                </c:pt>
                <c:pt idx="24">
                  <c:v>0.78127200406874742</c:v>
                </c:pt>
                <c:pt idx="25">
                  <c:v>0.75557288227660302</c:v>
                </c:pt>
                <c:pt idx="26">
                  <c:v>0.60147413784412451</c:v>
                </c:pt>
                <c:pt idx="27">
                  <c:v>0.76226637929128449</c:v>
                </c:pt>
                <c:pt idx="28">
                  <c:v>0.79306361067364506</c:v>
                </c:pt>
                <c:pt idx="29">
                  <c:v>0.74093721810166024</c:v>
                </c:pt>
                <c:pt idx="30">
                  <c:v>0.91683388290840029</c:v>
                </c:pt>
                <c:pt idx="31">
                  <c:v>0.80486669348556328</c:v>
                </c:pt>
                <c:pt idx="32">
                  <c:v>0.80811610157442026</c:v>
                </c:pt>
                <c:pt idx="33">
                  <c:v>0.80287254435759992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C6-458B-B3A7-C6FD89804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656352"/>
        <c:axId val="856656680"/>
      </c:scatterChart>
      <c:valAx>
        <c:axId val="856656352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656680"/>
        <c:crosses val="autoZero"/>
        <c:crossBetween val="midCat"/>
      </c:valAx>
      <c:valAx>
        <c:axId val="856656680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6563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Disepimentos!$T$2:$T$36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</c:numCache>
            </c:numRef>
          </c:xVal>
          <c:yVal>
            <c:numRef>
              <c:f>Disepimentos!$U$2:$U$36</c:f>
              <c:numCache>
                <c:formatCode>General</c:formatCode>
                <c:ptCount val="35"/>
                <c:pt idx="0">
                  <c:v>26</c:v>
                </c:pt>
                <c:pt idx="1">
                  <c:v>23</c:v>
                </c:pt>
                <c:pt idx="2">
                  <c:v>23</c:v>
                </c:pt>
                <c:pt idx="3">
                  <c:v>25</c:v>
                </c:pt>
                <c:pt idx="4">
                  <c:v>20</c:v>
                </c:pt>
                <c:pt idx="5">
                  <c:v>17</c:v>
                </c:pt>
                <c:pt idx="6">
                  <c:v>16</c:v>
                </c:pt>
                <c:pt idx="7">
                  <c:v>23</c:v>
                </c:pt>
                <c:pt idx="8">
                  <c:v>25</c:v>
                </c:pt>
                <c:pt idx="9">
                  <c:v>18</c:v>
                </c:pt>
                <c:pt idx="10">
                  <c:v>17</c:v>
                </c:pt>
                <c:pt idx="11">
                  <c:v>20</c:v>
                </c:pt>
                <c:pt idx="12">
                  <c:v>18</c:v>
                </c:pt>
                <c:pt idx="13">
                  <c:v>22</c:v>
                </c:pt>
                <c:pt idx="14">
                  <c:v>24</c:v>
                </c:pt>
                <c:pt idx="15">
                  <c:v>23</c:v>
                </c:pt>
                <c:pt idx="16">
                  <c:v>22</c:v>
                </c:pt>
                <c:pt idx="17">
                  <c:v>19</c:v>
                </c:pt>
                <c:pt idx="18">
                  <c:v>16</c:v>
                </c:pt>
                <c:pt idx="19">
                  <c:v>22</c:v>
                </c:pt>
                <c:pt idx="20">
                  <c:v>21</c:v>
                </c:pt>
                <c:pt idx="21">
                  <c:v>18</c:v>
                </c:pt>
                <c:pt idx="22">
                  <c:v>23</c:v>
                </c:pt>
                <c:pt idx="23">
                  <c:v>22</c:v>
                </c:pt>
                <c:pt idx="24">
                  <c:v>19</c:v>
                </c:pt>
                <c:pt idx="25">
                  <c:v>22</c:v>
                </c:pt>
                <c:pt idx="26">
                  <c:v>16</c:v>
                </c:pt>
                <c:pt idx="27">
                  <c:v>19</c:v>
                </c:pt>
                <c:pt idx="28">
                  <c:v>15</c:v>
                </c:pt>
                <c:pt idx="29">
                  <c:v>18</c:v>
                </c:pt>
                <c:pt idx="30">
                  <c:v>16</c:v>
                </c:pt>
                <c:pt idx="31">
                  <c:v>13</c:v>
                </c:pt>
                <c:pt idx="32">
                  <c:v>15</c:v>
                </c:pt>
                <c:pt idx="33">
                  <c:v>15</c:v>
                </c:pt>
                <c:pt idx="34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A7-4A65-9C0E-B7ADE8E56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319007"/>
        <c:axId val="1646313727"/>
      </c:scatterChart>
      <c:valAx>
        <c:axId val="164631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313727"/>
        <c:crosses val="autoZero"/>
        <c:crossBetween val="midCat"/>
      </c:valAx>
      <c:valAx>
        <c:axId val="16463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31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[2]Hoja4!$B$1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[2]Hoja4!$A$2:$A$75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[2]Hoja4!$B$2:$B$75</c:f>
              <c:numCache>
                <c:formatCode>General</c:formatCode>
                <c:ptCount val="74"/>
                <c:pt idx="0">
                  <c:v>1.0125992706391531</c:v>
                </c:pt>
                <c:pt idx="1">
                  <c:v>0.70969203905973333</c:v>
                </c:pt>
                <c:pt idx="2">
                  <c:v>0.79106191531897641</c:v>
                </c:pt>
                <c:pt idx="3">
                  <c:v>0.87570355164583891</c:v>
                </c:pt>
                <c:pt idx="4">
                  <c:v>1.1571420690941947</c:v>
                </c:pt>
                <c:pt idx="5">
                  <c:v>0.800878820130699</c:v>
                </c:pt>
                <c:pt idx="6">
                  <c:v>0.76428239312599699</c:v>
                </c:pt>
                <c:pt idx="7">
                  <c:v>0.69483669452694241</c:v>
                </c:pt>
                <c:pt idx="8">
                  <c:v>0.6976166506065884</c:v>
                </c:pt>
                <c:pt idx="9">
                  <c:v>0.80800203012841554</c:v>
                </c:pt>
                <c:pt idx="10">
                  <c:v>0.77179205309270993</c:v>
                </c:pt>
                <c:pt idx="11">
                  <c:v>0.66640379250559534</c:v>
                </c:pt>
                <c:pt idx="12">
                  <c:v>0.57355839221412375</c:v>
                </c:pt>
                <c:pt idx="13">
                  <c:v>0.63824346727065517</c:v>
                </c:pt>
                <c:pt idx="14">
                  <c:v>0.55921950833705458</c:v>
                </c:pt>
                <c:pt idx="15">
                  <c:v>0.7458976377903157</c:v>
                </c:pt>
                <c:pt idx="16">
                  <c:v>0.76988592132089084</c:v>
                </c:pt>
                <c:pt idx="17">
                  <c:v>0.88970843637835006</c:v>
                </c:pt>
                <c:pt idx="18">
                  <c:v>0.92425463709827382</c:v>
                </c:pt>
                <c:pt idx="19">
                  <c:v>0.93248217281424917</c:v>
                </c:pt>
                <c:pt idx="20">
                  <c:v>0.89821092981784645</c:v>
                </c:pt>
                <c:pt idx="21">
                  <c:v>0.83442382931871206</c:v>
                </c:pt>
                <c:pt idx="22">
                  <c:v>0.7951994346568938</c:v>
                </c:pt>
                <c:pt idx="23">
                  <c:v>0.73397240666837393</c:v>
                </c:pt>
                <c:pt idx="24">
                  <c:v>0.67807066578332076</c:v>
                </c:pt>
                <c:pt idx="25">
                  <c:v>0.71726364179987789</c:v>
                </c:pt>
                <c:pt idx="26">
                  <c:v>0.73716266196337643</c:v>
                </c:pt>
                <c:pt idx="27">
                  <c:v>0.75722308165373586</c:v>
                </c:pt>
                <c:pt idx="28">
                  <c:v>0.66275702259992308</c:v>
                </c:pt>
                <c:pt idx="29">
                  <c:v>0.78319910724484387</c:v>
                </c:pt>
                <c:pt idx="30">
                  <c:v>0.80699207711055865</c:v>
                </c:pt>
                <c:pt idx="31">
                  <c:v>0.767450460620835</c:v>
                </c:pt>
                <c:pt idx="32">
                  <c:v>0.66536298599220101</c:v>
                </c:pt>
                <c:pt idx="33">
                  <c:v>0.66076015791343479</c:v>
                </c:pt>
                <c:pt idx="34">
                  <c:v>0.67817969424034652</c:v>
                </c:pt>
                <c:pt idx="35">
                  <c:v>0.62270223021697901</c:v>
                </c:pt>
                <c:pt idx="36">
                  <c:v>0.94102333078191425</c:v>
                </c:pt>
                <c:pt idx="37">
                  <c:v>0.58396358572640739</c:v>
                </c:pt>
                <c:pt idx="38">
                  <c:v>0.6949071979868533</c:v>
                </c:pt>
                <c:pt idx="39">
                  <c:v>0.58990273393689596</c:v>
                </c:pt>
                <c:pt idx="40">
                  <c:v>0.66688544810036199</c:v>
                </c:pt>
                <c:pt idx="41">
                  <c:v>0.63046331522771881</c:v>
                </c:pt>
                <c:pt idx="42">
                  <c:v>0.71200347713312007</c:v>
                </c:pt>
                <c:pt idx="43">
                  <c:v>0.75856741738393207</c:v>
                </c:pt>
                <c:pt idx="44">
                  <c:v>0.75128274208852364</c:v>
                </c:pt>
                <c:pt idx="45">
                  <c:v>0.99569462095956263</c:v>
                </c:pt>
                <c:pt idx="46">
                  <c:v>0.92779852290412601</c:v>
                </c:pt>
                <c:pt idx="47">
                  <c:v>0.79998842210400412</c:v>
                </c:pt>
                <c:pt idx="48">
                  <c:v>0.83339101809092442</c:v>
                </c:pt>
                <c:pt idx="49">
                  <c:v>0.81070761023016269</c:v>
                </c:pt>
                <c:pt idx="50">
                  <c:v>0.8355585291121167</c:v>
                </c:pt>
                <c:pt idx="51">
                  <c:v>0.76381904641653642</c:v>
                </c:pt>
                <c:pt idx="52">
                  <c:v>0.80878178592437378</c:v>
                </c:pt>
                <c:pt idx="53">
                  <c:v>0.87478177247717248</c:v>
                </c:pt>
                <c:pt idx="54">
                  <c:v>0.85833821831563029</c:v>
                </c:pt>
                <c:pt idx="55">
                  <c:v>0.87734873654828371</c:v>
                </c:pt>
                <c:pt idx="56">
                  <c:v>0.83035521688795821</c:v>
                </c:pt>
                <c:pt idx="57">
                  <c:v>0.83317542328973249</c:v>
                </c:pt>
                <c:pt idx="58">
                  <c:v>0.93022634301734897</c:v>
                </c:pt>
                <c:pt idx="59">
                  <c:v>0.94143153684461511</c:v>
                </c:pt>
                <c:pt idx="60">
                  <c:v>0.81724860190439597</c:v>
                </c:pt>
                <c:pt idx="61">
                  <c:v>0.95252946662586591</c:v>
                </c:pt>
                <c:pt idx="62">
                  <c:v>0.92836792152646264</c:v>
                </c:pt>
                <c:pt idx="63">
                  <c:v>0.99935069030124746</c:v>
                </c:pt>
                <c:pt idx="64">
                  <c:v>0.82382176492747328</c:v>
                </c:pt>
                <c:pt idx="65">
                  <c:v>0.91671249258132748</c:v>
                </c:pt>
                <c:pt idx="66">
                  <c:v>1.0171164551613876</c:v>
                </c:pt>
                <c:pt idx="67">
                  <c:v>0.87428227202022857</c:v>
                </c:pt>
                <c:pt idx="68">
                  <c:v>0.92687696322540614</c:v>
                </c:pt>
                <c:pt idx="69">
                  <c:v>0.90129086559029259</c:v>
                </c:pt>
                <c:pt idx="70">
                  <c:v>1.1285432382207232</c:v>
                </c:pt>
                <c:pt idx="71">
                  <c:v>0.86681328293455451</c:v>
                </c:pt>
                <c:pt idx="72">
                  <c:v>0.77607042771597012</c:v>
                </c:pt>
                <c:pt idx="73">
                  <c:v>0.95796688669110053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B2-42CB-9465-797E58500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11696"/>
        <c:axId val="189204624"/>
      </c:scatterChart>
      <c:scatterChart>
        <c:scatterStyle val="lineMarker"/>
        <c:varyColors val="0"/>
        <c:ser>
          <c:idx val="0"/>
          <c:order val="0"/>
          <c:tx>
            <c:v>SST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[2]Hoja4!$L$2:$L$67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[2]Hoja4!$M$2:$M$67</c:f>
              <c:numCache>
                <c:formatCode>General</c:formatCode>
                <c:ptCount val="66"/>
                <c:pt idx="0">
                  <c:v>28.423099541666669</c:v>
                </c:pt>
                <c:pt idx="1">
                  <c:v>28.351277749999994</c:v>
                </c:pt>
                <c:pt idx="2">
                  <c:v>28.37731610416667</c:v>
                </c:pt>
                <c:pt idx="3">
                  <c:v>28.302105500000007</c:v>
                </c:pt>
                <c:pt idx="4">
                  <c:v>28.453210916666666</c:v>
                </c:pt>
                <c:pt idx="5">
                  <c:v>28.770052250000006</c:v>
                </c:pt>
                <c:pt idx="6">
                  <c:v>28.164556312499993</c:v>
                </c:pt>
                <c:pt idx="7">
                  <c:v>28.190106104166663</c:v>
                </c:pt>
                <c:pt idx="8">
                  <c:v>28.263913000000002</c:v>
                </c:pt>
                <c:pt idx="9">
                  <c:v>28.389604145833335</c:v>
                </c:pt>
                <c:pt idx="10">
                  <c:v>28.563888562499997</c:v>
                </c:pt>
                <c:pt idx="11">
                  <c:v>28.309538416666658</c:v>
                </c:pt>
                <c:pt idx="12">
                  <c:v>28.338822208333337</c:v>
                </c:pt>
                <c:pt idx="13">
                  <c:v>28.139796520833332</c:v>
                </c:pt>
                <c:pt idx="14">
                  <c:v>28.095453333333328</c:v>
                </c:pt>
                <c:pt idx="15">
                  <c:v>27.996726958333337</c:v>
                </c:pt>
                <c:pt idx="16">
                  <c:v>28.098379645833329</c:v>
                </c:pt>
                <c:pt idx="17">
                  <c:v>28.548408229166679</c:v>
                </c:pt>
                <c:pt idx="18">
                  <c:v>28.206131187500006</c:v>
                </c:pt>
                <c:pt idx="19">
                  <c:v>28.202881958333332</c:v>
                </c:pt>
                <c:pt idx="20">
                  <c:v>28.358498166666667</c:v>
                </c:pt>
                <c:pt idx="21">
                  <c:v>27.9955560625</c:v>
                </c:pt>
                <c:pt idx="22">
                  <c:v>28.183268833333344</c:v>
                </c:pt>
                <c:pt idx="23">
                  <c:v>27.968899645833332</c:v>
                </c:pt>
                <c:pt idx="24">
                  <c:v>27.845612479166661</c:v>
                </c:pt>
                <c:pt idx="25">
                  <c:v>28.003563854166668</c:v>
                </c:pt>
                <c:pt idx="26">
                  <c:v>27.706958854166661</c:v>
                </c:pt>
                <c:pt idx="27">
                  <c:v>28.134612124999993</c:v>
                </c:pt>
                <c:pt idx="28">
                  <c:v>28.304472583333325</c:v>
                </c:pt>
                <c:pt idx="29">
                  <c:v>27.657292895833347</c:v>
                </c:pt>
                <c:pt idx="30">
                  <c:v>27.53784960416667</c:v>
                </c:pt>
                <c:pt idx="31">
                  <c:v>27.799449333333332</c:v>
                </c:pt>
                <c:pt idx="32">
                  <c:v>28.243803999999994</c:v>
                </c:pt>
                <c:pt idx="33">
                  <c:v>27.910599041666671</c:v>
                </c:pt>
                <c:pt idx="34">
                  <c:v>28.190505104166665</c:v>
                </c:pt>
                <c:pt idx="35">
                  <c:v>28.085189812500008</c:v>
                </c:pt>
                <c:pt idx="36">
                  <c:v>28.039692041666665</c:v>
                </c:pt>
                <c:pt idx="37">
                  <c:v>28.00674589583333</c:v>
                </c:pt>
                <c:pt idx="38">
                  <c:v>27.848811729166666</c:v>
                </c:pt>
                <c:pt idx="39">
                  <c:v>27.593948624999999</c:v>
                </c:pt>
                <c:pt idx="40">
                  <c:v>27.617070500000001</c:v>
                </c:pt>
                <c:pt idx="41">
                  <c:v>27.655980875000008</c:v>
                </c:pt>
                <c:pt idx="42">
                  <c:v>28.098266416666675</c:v>
                </c:pt>
                <c:pt idx="43">
                  <c:v>27.925443666666663</c:v>
                </c:pt>
                <c:pt idx="44">
                  <c:v>27.747976750000003</c:v>
                </c:pt>
                <c:pt idx="45">
                  <c:v>28.057351499999999</c:v>
                </c:pt>
                <c:pt idx="46">
                  <c:v>28.46633525</c:v>
                </c:pt>
                <c:pt idx="47">
                  <c:v>27.818258729166672</c:v>
                </c:pt>
                <c:pt idx="48">
                  <c:v>27.861846458333332</c:v>
                </c:pt>
                <c:pt idx="49">
                  <c:v>28.11201914583334</c:v>
                </c:pt>
                <c:pt idx="50">
                  <c:v>27.697469937500006</c:v>
                </c:pt>
                <c:pt idx="51">
                  <c:v>27.925833333333333</c:v>
                </c:pt>
                <c:pt idx="52">
                  <c:v>28.201881833333331</c:v>
                </c:pt>
                <c:pt idx="53">
                  <c:v>28.0825688125</c:v>
                </c:pt>
                <c:pt idx="54">
                  <c:v>28.092758312499999</c:v>
                </c:pt>
                <c:pt idx="55">
                  <c:v>28.311101854166655</c:v>
                </c:pt>
                <c:pt idx="56">
                  <c:v>27.934912333333333</c:v>
                </c:pt>
                <c:pt idx="57">
                  <c:v>28.552400791666667</c:v>
                </c:pt>
                <c:pt idx="58">
                  <c:v>27.900255416666663</c:v>
                </c:pt>
                <c:pt idx="59">
                  <c:v>27.764755729166669</c:v>
                </c:pt>
                <c:pt idx="60">
                  <c:v>27.889878333333339</c:v>
                </c:pt>
                <c:pt idx="61">
                  <c:v>27.994138395833335</c:v>
                </c:pt>
                <c:pt idx="62">
                  <c:v>28.049866291666664</c:v>
                </c:pt>
                <c:pt idx="63">
                  <c:v>28.191666416666667</c:v>
                </c:pt>
                <c:pt idx="64">
                  <c:v>28.09758177083333</c:v>
                </c:pt>
                <c:pt idx="65">
                  <c:v>27.675130104166673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B2-42CB-9465-797E58500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67456"/>
        <c:axId val="37105296"/>
      </c:scatterChart>
      <c:valAx>
        <c:axId val="18921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04624"/>
        <c:crosses val="autoZero"/>
        <c:crossBetween val="midCat"/>
      </c:valAx>
      <c:valAx>
        <c:axId val="189204624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1696"/>
        <c:crosses val="autoZero"/>
        <c:crossBetween val="midCat"/>
      </c:valAx>
      <c:valAx>
        <c:axId val="371052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67456"/>
        <c:crosses val="max"/>
        <c:crossBetween val="midCat"/>
      </c:valAx>
      <c:valAx>
        <c:axId val="18246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105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[2]Hoja4!$C$1</c:f>
              <c:strCache>
                <c:ptCount val="1"/>
                <c:pt idx="0">
                  <c:v>Extension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[2]Hoja4!$A$2:$A$75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[2]Hoja4!$C$2:$C$75</c:f>
              <c:numCache>
                <c:formatCode>General</c:formatCode>
                <c:ptCount val="74"/>
                <c:pt idx="0">
                  <c:v>0.73838500000000062</c:v>
                </c:pt>
                <c:pt idx="1">
                  <c:v>0.98448000000000069</c:v>
                </c:pt>
                <c:pt idx="2">
                  <c:v>0.55374999999999885</c:v>
                </c:pt>
                <c:pt idx="3">
                  <c:v>0.6768499999999984</c:v>
                </c:pt>
                <c:pt idx="4">
                  <c:v>0.70761999999999947</c:v>
                </c:pt>
                <c:pt idx="5">
                  <c:v>0.76912999999999876</c:v>
                </c:pt>
                <c:pt idx="6">
                  <c:v>0.76911499999999844</c:v>
                </c:pt>
                <c:pt idx="7">
                  <c:v>0.55380000000000251</c:v>
                </c:pt>
                <c:pt idx="8">
                  <c:v>0.98450000000000237</c:v>
                </c:pt>
                <c:pt idx="9">
                  <c:v>0.7383650000000026</c:v>
                </c:pt>
                <c:pt idx="10">
                  <c:v>1.230590000000003</c:v>
                </c:pt>
                <c:pt idx="11">
                  <c:v>0.64607000000000259</c:v>
                </c:pt>
                <c:pt idx="12">
                  <c:v>0.86145500000000386</c:v>
                </c:pt>
                <c:pt idx="13">
                  <c:v>1.1075500000000051</c:v>
                </c:pt>
                <c:pt idx="14">
                  <c:v>0.83064500000000319</c:v>
                </c:pt>
                <c:pt idx="15">
                  <c:v>0.83066499999999621</c:v>
                </c:pt>
                <c:pt idx="16">
                  <c:v>1.0459999999999905</c:v>
                </c:pt>
                <c:pt idx="17">
                  <c:v>0.67684999999999462</c:v>
                </c:pt>
                <c:pt idx="18">
                  <c:v>0.86143499999999129</c:v>
                </c:pt>
                <c:pt idx="19">
                  <c:v>0.79991499999999505</c:v>
                </c:pt>
                <c:pt idx="20">
                  <c:v>0.92292999999999559</c:v>
                </c:pt>
                <c:pt idx="21">
                  <c:v>0.76916499999999211</c:v>
                </c:pt>
                <c:pt idx="22">
                  <c:v>0.89219499999999385</c:v>
                </c:pt>
                <c:pt idx="23">
                  <c:v>1.3229049999999933</c:v>
                </c:pt>
                <c:pt idx="24">
                  <c:v>0.64604499999999376</c:v>
                </c:pt>
                <c:pt idx="25">
                  <c:v>0.76912499999999184</c:v>
                </c:pt>
                <c:pt idx="26">
                  <c:v>1.0768049999999931</c:v>
                </c:pt>
                <c:pt idx="27">
                  <c:v>1.0152549999999927</c:v>
                </c:pt>
                <c:pt idx="28">
                  <c:v>0.98450999999999134</c:v>
                </c:pt>
                <c:pt idx="29">
                  <c:v>1.3228849999999941</c:v>
                </c:pt>
                <c:pt idx="30">
                  <c:v>0.86142999999999503</c:v>
                </c:pt>
                <c:pt idx="31">
                  <c:v>1.0767849999999886</c:v>
                </c:pt>
                <c:pt idx="32">
                  <c:v>1.3228949999999919</c:v>
                </c:pt>
                <c:pt idx="33">
                  <c:v>0.89219499999999385</c:v>
                </c:pt>
                <c:pt idx="34">
                  <c:v>1.1998449999999909</c:v>
                </c:pt>
                <c:pt idx="35">
                  <c:v>0.98448999999999209</c:v>
                </c:pt>
                <c:pt idx="36">
                  <c:v>0.7999299999999927</c:v>
                </c:pt>
                <c:pt idx="37">
                  <c:v>0.86122499999999746</c:v>
                </c:pt>
                <c:pt idx="38">
                  <c:v>0.92271000000000214</c:v>
                </c:pt>
                <c:pt idx="39">
                  <c:v>0.76897499999999752</c:v>
                </c:pt>
                <c:pt idx="40">
                  <c:v>1.0149749999999997</c:v>
                </c:pt>
                <c:pt idx="41">
                  <c:v>0.79968000000000217</c:v>
                </c:pt>
                <c:pt idx="42">
                  <c:v>0.98422499999999857</c:v>
                </c:pt>
                <c:pt idx="43">
                  <c:v>0.86119500000000215</c:v>
                </c:pt>
                <c:pt idx="44">
                  <c:v>0.86118000000000094</c:v>
                </c:pt>
                <c:pt idx="45">
                  <c:v>1.0149450000000044</c:v>
                </c:pt>
                <c:pt idx="46">
                  <c:v>0.73813500000000332</c:v>
                </c:pt>
                <c:pt idx="47">
                  <c:v>1.1379900000000021</c:v>
                </c:pt>
                <c:pt idx="48">
                  <c:v>0.8919150000000009</c:v>
                </c:pt>
                <c:pt idx="49">
                  <c:v>0.86120999999999981</c:v>
                </c:pt>
                <c:pt idx="50">
                  <c:v>1.3839900000000078</c:v>
                </c:pt>
                <c:pt idx="51">
                  <c:v>1.1687100000000044</c:v>
                </c:pt>
                <c:pt idx="52">
                  <c:v>0.9227249999999998</c:v>
                </c:pt>
                <c:pt idx="53">
                  <c:v>1.2609900000000032</c:v>
                </c:pt>
                <c:pt idx="54">
                  <c:v>1.0148850000000067</c:v>
                </c:pt>
                <c:pt idx="55">
                  <c:v>1.0765349999999998</c:v>
                </c:pt>
                <c:pt idx="56">
                  <c:v>1.0765049999999974</c:v>
                </c:pt>
                <c:pt idx="57">
                  <c:v>1.1995050000000305</c:v>
                </c:pt>
                <c:pt idx="58">
                  <c:v>1.01494500000004</c:v>
                </c:pt>
                <c:pt idx="59">
                  <c:v>1.0456950000000411</c:v>
                </c:pt>
                <c:pt idx="60">
                  <c:v>1.0764900000000459</c:v>
                </c:pt>
                <c:pt idx="61">
                  <c:v>0.95344500000004118</c:v>
                </c:pt>
                <c:pt idx="62">
                  <c:v>1.0457100000000423</c:v>
                </c:pt>
                <c:pt idx="63">
                  <c:v>1.0456800000000328</c:v>
                </c:pt>
                <c:pt idx="64">
                  <c:v>1.3225950000000637</c:v>
                </c:pt>
                <c:pt idx="65">
                  <c:v>0.9842100000000471</c:v>
                </c:pt>
                <c:pt idx="66">
                  <c:v>1.1380650000000543</c:v>
                </c:pt>
                <c:pt idx="67">
                  <c:v>1.1996250000000686</c:v>
                </c:pt>
                <c:pt idx="68">
                  <c:v>1.5070950000000636</c:v>
                </c:pt>
                <c:pt idx="69">
                  <c:v>1.1380350000000519</c:v>
                </c:pt>
                <c:pt idx="70">
                  <c:v>1.0764750000000447</c:v>
                </c:pt>
                <c:pt idx="71">
                  <c:v>1.4767200000001139</c:v>
                </c:pt>
                <c:pt idx="72">
                  <c:v>1.1075400000000855</c:v>
                </c:pt>
                <c:pt idx="73">
                  <c:v>0.92295000000007121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81-4349-BAEB-2794082E4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11696"/>
        <c:axId val="189204624"/>
      </c:scatterChart>
      <c:scatterChart>
        <c:scatterStyle val="lineMarker"/>
        <c:varyColors val="0"/>
        <c:ser>
          <c:idx val="0"/>
          <c:order val="0"/>
          <c:tx>
            <c:v>SST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[2]Hoja4!$L$2:$L$67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[2]Hoja4!$M$2:$M$67</c:f>
              <c:numCache>
                <c:formatCode>General</c:formatCode>
                <c:ptCount val="66"/>
                <c:pt idx="0">
                  <c:v>28.423099541666669</c:v>
                </c:pt>
                <c:pt idx="1">
                  <c:v>28.351277749999994</c:v>
                </c:pt>
                <c:pt idx="2">
                  <c:v>28.37731610416667</c:v>
                </c:pt>
                <c:pt idx="3">
                  <c:v>28.302105500000007</c:v>
                </c:pt>
                <c:pt idx="4">
                  <c:v>28.453210916666666</c:v>
                </c:pt>
                <c:pt idx="5">
                  <c:v>28.770052250000006</c:v>
                </c:pt>
                <c:pt idx="6">
                  <c:v>28.164556312499993</c:v>
                </c:pt>
                <c:pt idx="7">
                  <c:v>28.190106104166663</c:v>
                </c:pt>
                <c:pt idx="8">
                  <c:v>28.263913000000002</c:v>
                </c:pt>
                <c:pt idx="9">
                  <c:v>28.389604145833335</c:v>
                </c:pt>
                <c:pt idx="10">
                  <c:v>28.563888562499997</c:v>
                </c:pt>
                <c:pt idx="11">
                  <c:v>28.309538416666658</c:v>
                </c:pt>
                <c:pt idx="12">
                  <c:v>28.338822208333337</c:v>
                </c:pt>
                <c:pt idx="13">
                  <c:v>28.139796520833332</c:v>
                </c:pt>
                <c:pt idx="14">
                  <c:v>28.095453333333328</c:v>
                </c:pt>
                <c:pt idx="15">
                  <c:v>27.996726958333337</c:v>
                </c:pt>
                <c:pt idx="16">
                  <c:v>28.098379645833329</c:v>
                </c:pt>
                <c:pt idx="17">
                  <c:v>28.548408229166679</c:v>
                </c:pt>
                <c:pt idx="18">
                  <c:v>28.206131187500006</c:v>
                </c:pt>
                <c:pt idx="19">
                  <c:v>28.202881958333332</c:v>
                </c:pt>
                <c:pt idx="20">
                  <c:v>28.358498166666667</c:v>
                </c:pt>
                <c:pt idx="21">
                  <c:v>27.9955560625</c:v>
                </c:pt>
                <c:pt idx="22">
                  <c:v>28.183268833333344</c:v>
                </c:pt>
                <c:pt idx="23">
                  <c:v>27.968899645833332</c:v>
                </c:pt>
                <c:pt idx="24">
                  <c:v>27.845612479166661</c:v>
                </c:pt>
                <c:pt idx="25">
                  <c:v>28.003563854166668</c:v>
                </c:pt>
                <c:pt idx="26">
                  <c:v>27.706958854166661</c:v>
                </c:pt>
                <c:pt idx="27">
                  <c:v>28.134612124999993</c:v>
                </c:pt>
                <c:pt idx="28">
                  <c:v>28.304472583333325</c:v>
                </c:pt>
                <c:pt idx="29">
                  <c:v>27.657292895833347</c:v>
                </c:pt>
                <c:pt idx="30">
                  <c:v>27.53784960416667</c:v>
                </c:pt>
                <c:pt idx="31">
                  <c:v>27.799449333333332</c:v>
                </c:pt>
                <c:pt idx="32">
                  <c:v>28.243803999999994</c:v>
                </c:pt>
                <c:pt idx="33">
                  <c:v>27.910599041666671</c:v>
                </c:pt>
                <c:pt idx="34">
                  <c:v>28.190505104166665</c:v>
                </c:pt>
                <c:pt idx="35">
                  <c:v>28.085189812500008</c:v>
                </c:pt>
                <c:pt idx="36">
                  <c:v>28.039692041666665</c:v>
                </c:pt>
                <c:pt idx="37">
                  <c:v>28.00674589583333</c:v>
                </c:pt>
                <c:pt idx="38">
                  <c:v>27.848811729166666</c:v>
                </c:pt>
                <c:pt idx="39">
                  <c:v>27.593948624999999</c:v>
                </c:pt>
                <c:pt idx="40">
                  <c:v>27.617070500000001</c:v>
                </c:pt>
                <c:pt idx="41">
                  <c:v>27.655980875000008</c:v>
                </c:pt>
                <c:pt idx="42">
                  <c:v>28.098266416666675</c:v>
                </c:pt>
                <c:pt idx="43">
                  <c:v>27.925443666666663</c:v>
                </c:pt>
                <c:pt idx="44">
                  <c:v>27.747976750000003</c:v>
                </c:pt>
                <c:pt idx="45">
                  <c:v>28.057351499999999</c:v>
                </c:pt>
                <c:pt idx="46">
                  <c:v>28.46633525</c:v>
                </c:pt>
                <c:pt idx="47">
                  <c:v>27.818258729166672</c:v>
                </c:pt>
                <c:pt idx="48">
                  <c:v>27.861846458333332</c:v>
                </c:pt>
                <c:pt idx="49">
                  <c:v>28.11201914583334</c:v>
                </c:pt>
                <c:pt idx="50">
                  <c:v>27.697469937500006</c:v>
                </c:pt>
                <c:pt idx="51">
                  <c:v>27.925833333333333</c:v>
                </c:pt>
                <c:pt idx="52">
                  <c:v>28.201881833333331</c:v>
                </c:pt>
                <c:pt idx="53">
                  <c:v>28.0825688125</c:v>
                </c:pt>
                <c:pt idx="54">
                  <c:v>28.092758312499999</c:v>
                </c:pt>
                <c:pt idx="55">
                  <c:v>28.311101854166655</c:v>
                </c:pt>
                <c:pt idx="56">
                  <c:v>27.934912333333333</c:v>
                </c:pt>
                <c:pt idx="57">
                  <c:v>28.552400791666667</c:v>
                </c:pt>
                <c:pt idx="58">
                  <c:v>27.900255416666663</c:v>
                </c:pt>
                <c:pt idx="59">
                  <c:v>27.764755729166669</c:v>
                </c:pt>
                <c:pt idx="60">
                  <c:v>27.889878333333339</c:v>
                </c:pt>
                <c:pt idx="61">
                  <c:v>27.994138395833335</c:v>
                </c:pt>
                <c:pt idx="62">
                  <c:v>28.049866291666664</c:v>
                </c:pt>
                <c:pt idx="63">
                  <c:v>28.191666416666667</c:v>
                </c:pt>
                <c:pt idx="64">
                  <c:v>28.09758177083333</c:v>
                </c:pt>
                <c:pt idx="65">
                  <c:v>27.675130104166673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81-4349-BAEB-2794082E4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67456"/>
        <c:axId val="37105296"/>
      </c:scatterChart>
      <c:valAx>
        <c:axId val="18921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04624"/>
        <c:crosses val="autoZero"/>
        <c:crossBetween val="midCat"/>
      </c:valAx>
      <c:valAx>
        <c:axId val="189204624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1696"/>
        <c:crosses val="autoZero"/>
        <c:crossBetween val="midCat"/>
      </c:valAx>
      <c:valAx>
        <c:axId val="371052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67456"/>
        <c:crosses val="max"/>
        <c:crossBetween val="midCat"/>
      </c:valAx>
      <c:valAx>
        <c:axId val="18246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105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[2]Hoja4!$D$1</c:f>
              <c:strCache>
                <c:ptCount val="1"/>
                <c:pt idx="0">
                  <c:v>Calcificacion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[2]Hoja4!$A$2:$A$75</c:f>
              <c:numCache>
                <c:formatCode>General</c:formatCode>
                <c:ptCount val="7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  <c:pt idx="66">
                  <c:v>1949</c:v>
                </c:pt>
                <c:pt idx="67">
                  <c:v>1948</c:v>
                </c:pt>
                <c:pt idx="68">
                  <c:v>1947</c:v>
                </c:pt>
                <c:pt idx="69">
                  <c:v>1946</c:v>
                </c:pt>
                <c:pt idx="70">
                  <c:v>1945</c:v>
                </c:pt>
                <c:pt idx="71">
                  <c:v>1944</c:v>
                </c:pt>
                <c:pt idx="72">
                  <c:v>1943</c:v>
                </c:pt>
                <c:pt idx="73">
                  <c:v>1942</c:v>
                </c:pt>
              </c:numCache>
            </c:numRef>
          </c:xVal>
          <c:yVal>
            <c:numRef>
              <c:f>[2]Hoja4!$D$2:$D$75</c:f>
              <c:numCache>
                <c:formatCode>General</c:formatCode>
                <c:ptCount val="74"/>
                <c:pt idx="0">
                  <c:v>0.74769124603587001</c:v>
                </c:pt>
                <c:pt idx="1">
                  <c:v>0.72911794367672156</c:v>
                </c:pt>
                <c:pt idx="2">
                  <c:v>0.43686880931474409</c:v>
                </c:pt>
                <c:pt idx="3">
                  <c:v>0.59760797188018988</c:v>
                </c:pt>
                <c:pt idx="4">
                  <c:v>0.85115901872641309</c:v>
                </c:pt>
                <c:pt idx="5">
                  <c:v>0.61447358754057646</c:v>
                </c:pt>
                <c:pt idx="6">
                  <c:v>0.58352026927277212</c:v>
                </c:pt>
                <c:pt idx="7">
                  <c:v>0.3861398246573936</c:v>
                </c:pt>
                <c:pt idx="8">
                  <c:v>0.68999357550681195</c:v>
                </c:pt>
                <c:pt idx="9">
                  <c:v>0.60450574529205836</c:v>
                </c:pt>
                <c:pt idx="10">
                  <c:v>0.89528306928747248</c:v>
                </c:pt>
                <c:pt idx="11">
                  <c:v>0.41388145793266212</c:v>
                </c:pt>
                <c:pt idx="12">
                  <c:v>0.48394386405730438</c:v>
                </c:pt>
                <c:pt idx="13">
                  <c:v>0.68993728343819227</c:v>
                </c:pt>
                <c:pt idx="14">
                  <c:v>0.46487505860880418</c:v>
                </c:pt>
                <c:pt idx="15">
                  <c:v>0.60869180207901241</c:v>
                </c:pt>
                <c:pt idx="16">
                  <c:v>0.79896581383635323</c:v>
                </c:pt>
                <c:pt idx="17">
                  <c:v>0.61555175104352811</c:v>
                </c:pt>
                <c:pt idx="18">
                  <c:v>0.74016234589913432</c:v>
                </c:pt>
                <c:pt idx="19">
                  <c:v>0.7515839672923621</c:v>
                </c:pt>
                <c:pt idx="20">
                  <c:v>0.83918389470895627</c:v>
                </c:pt>
                <c:pt idx="21">
                  <c:v>0.63748879392704572</c:v>
                </c:pt>
                <c:pt idx="22">
                  <c:v>0.69254222979469859</c:v>
                </c:pt>
                <c:pt idx="23">
                  <c:v>0.95252981733793385</c:v>
                </c:pt>
                <c:pt idx="24">
                  <c:v>0.4179670843583041</c:v>
                </c:pt>
                <c:pt idx="25">
                  <c:v>0.54206162644762446</c:v>
                </c:pt>
                <c:pt idx="26">
                  <c:v>0.79402770664940436</c:v>
                </c:pt>
                <c:pt idx="27">
                  <c:v>0.76925528541902533</c:v>
                </c:pt>
                <c:pt idx="28">
                  <c:v>0.63683172569335844</c:v>
                </c:pt>
                <c:pt idx="29">
                  <c:v>1.0434160876062517</c:v>
                </c:pt>
                <c:pt idx="30">
                  <c:v>0.703406215282397</c:v>
                </c:pt>
                <c:pt idx="31">
                  <c:v>0.82951931499231246</c:v>
                </c:pt>
                <c:pt idx="32">
                  <c:v>0.88282402665577842</c:v>
                </c:pt>
                <c:pt idx="33">
                  <c:v>0.58965696231728137</c:v>
                </c:pt>
                <c:pt idx="34">
                  <c:v>0.78488313733350923</c:v>
                </c:pt>
                <c:pt idx="35">
                  <c:v>0.61304392582567535</c:v>
                </c:pt>
                <c:pt idx="36">
                  <c:v>0.74575634970463023</c:v>
                </c:pt>
                <c:pt idx="37">
                  <c:v>0.50061300155262867</c:v>
                </c:pt>
                <c:pt idx="38">
                  <c:v>0.63740937276119392</c:v>
                </c:pt>
                <c:pt idx="39">
                  <c:v>0.45169534367231928</c:v>
                </c:pt>
                <c:pt idx="40">
                  <c:v>0.6817840371234688</c:v>
                </c:pt>
                <c:pt idx="41">
                  <c:v>0.50356561583088877</c:v>
                </c:pt>
                <c:pt idx="42">
                  <c:v>0.69673135474760839</c:v>
                </c:pt>
                <c:pt idx="43">
                  <c:v>0.65343001643443488</c:v>
                </c:pt>
                <c:pt idx="44">
                  <c:v>0.66326874486604059</c:v>
                </c:pt>
                <c:pt idx="45">
                  <c:v>1.023181335455865</c:v>
                </c:pt>
                <c:pt idx="46">
                  <c:v>0.66940443360427415</c:v>
                </c:pt>
                <c:pt idx="47">
                  <c:v>0.88941273418498468</c:v>
                </c:pt>
                <c:pt idx="48">
                  <c:v>0.72849599383080332</c:v>
                </c:pt>
                <c:pt idx="49">
                  <c:v>0.69820667159594074</c:v>
                </c:pt>
                <c:pt idx="50">
                  <c:v>1.2168493738058528</c:v>
                </c:pt>
                <c:pt idx="51">
                  <c:v>0.91948260763958412</c:v>
                </c:pt>
                <c:pt idx="52">
                  <c:v>0.74628942123734443</c:v>
                </c:pt>
                <c:pt idx="53">
                  <c:v>1.0816424748159748</c:v>
                </c:pt>
                <c:pt idx="54">
                  <c:v>0.82625431420923423</c:v>
                </c:pt>
                <c:pt idx="55">
                  <c:v>0.95198198166607595</c:v>
                </c:pt>
                <c:pt idx="56">
                  <c:v>0.89571931377933445</c:v>
                </c:pt>
                <c:pt idx="57">
                  <c:v>1.0099910079924499</c:v>
                </c:pt>
                <c:pt idx="58">
                  <c:v>0.94171082115941984</c:v>
                </c:pt>
                <c:pt idx="59">
                  <c:v>0.94915060274267704</c:v>
                </c:pt>
                <c:pt idx="60">
                  <c:v>0.87713599293962607</c:v>
                </c:pt>
                <c:pt idx="61">
                  <c:v>0.89381247865645308</c:v>
                </c:pt>
                <c:pt idx="62">
                  <c:v>0.96668411986550884</c:v>
                </c:pt>
                <c:pt idx="63">
                  <c:v>1.0434647553960963</c:v>
                </c:pt>
                <c:pt idx="64">
                  <c:v>1.0908906787482013</c:v>
                </c:pt>
                <c:pt idx="65">
                  <c:v>0.89458554208374386</c:v>
                </c:pt>
                <c:pt idx="66">
                  <c:v>1.1325751216687574</c:v>
                </c:pt>
                <c:pt idx="67">
                  <c:v>0.94991514880745576</c:v>
                </c:pt>
                <c:pt idx="68">
                  <c:v>1.4099798308222125</c:v>
                </c:pt>
                <c:pt idx="69">
                  <c:v>1.019697769510739</c:v>
                </c:pt>
                <c:pt idx="70">
                  <c:v>1.2628864014932168</c:v>
                </c:pt>
                <c:pt idx="71">
                  <c:v>1.280040511175214</c:v>
                </c:pt>
                <c:pt idx="72">
                  <c:v>0.85952904151261189</c:v>
                </c:pt>
                <c:pt idx="73">
                  <c:v>0.88415553807161951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A8-468F-9C1E-2ABA2DA20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11696"/>
        <c:axId val="189204624"/>
      </c:scatterChart>
      <c:scatterChart>
        <c:scatterStyle val="lineMarker"/>
        <c:varyColors val="0"/>
        <c:ser>
          <c:idx val="0"/>
          <c:order val="0"/>
          <c:tx>
            <c:v>SST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[2]Hoja4!$L$2:$L$67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[2]Hoja4!$M$2:$M$67</c:f>
              <c:numCache>
                <c:formatCode>General</c:formatCode>
                <c:ptCount val="66"/>
                <c:pt idx="0">
                  <c:v>28.423099541666669</c:v>
                </c:pt>
                <c:pt idx="1">
                  <c:v>28.351277749999994</c:v>
                </c:pt>
                <c:pt idx="2">
                  <c:v>28.37731610416667</c:v>
                </c:pt>
                <c:pt idx="3">
                  <c:v>28.302105500000007</c:v>
                </c:pt>
                <c:pt idx="4">
                  <c:v>28.453210916666666</c:v>
                </c:pt>
                <c:pt idx="5">
                  <c:v>28.770052250000006</c:v>
                </c:pt>
                <c:pt idx="6">
                  <c:v>28.164556312499993</c:v>
                </c:pt>
                <c:pt idx="7">
                  <c:v>28.190106104166663</c:v>
                </c:pt>
                <c:pt idx="8">
                  <c:v>28.263913000000002</c:v>
                </c:pt>
                <c:pt idx="9">
                  <c:v>28.389604145833335</c:v>
                </c:pt>
                <c:pt idx="10">
                  <c:v>28.563888562499997</c:v>
                </c:pt>
                <c:pt idx="11">
                  <c:v>28.309538416666658</c:v>
                </c:pt>
                <c:pt idx="12">
                  <c:v>28.338822208333337</c:v>
                </c:pt>
                <c:pt idx="13">
                  <c:v>28.139796520833332</c:v>
                </c:pt>
                <c:pt idx="14">
                  <c:v>28.095453333333328</c:v>
                </c:pt>
                <c:pt idx="15">
                  <c:v>27.996726958333337</c:v>
                </c:pt>
                <c:pt idx="16">
                  <c:v>28.098379645833329</c:v>
                </c:pt>
                <c:pt idx="17">
                  <c:v>28.548408229166679</c:v>
                </c:pt>
                <c:pt idx="18">
                  <c:v>28.206131187500006</c:v>
                </c:pt>
                <c:pt idx="19">
                  <c:v>28.202881958333332</c:v>
                </c:pt>
                <c:pt idx="20">
                  <c:v>28.358498166666667</c:v>
                </c:pt>
                <c:pt idx="21">
                  <c:v>27.9955560625</c:v>
                </c:pt>
                <c:pt idx="22">
                  <c:v>28.183268833333344</c:v>
                </c:pt>
                <c:pt idx="23">
                  <c:v>27.968899645833332</c:v>
                </c:pt>
                <c:pt idx="24">
                  <c:v>27.845612479166661</c:v>
                </c:pt>
                <c:pt idx="25">
                  <c:v>28.003563854166668</c:v>
                </c:pt>
                <c:pt idx="26">
                  <c:v>27.706958854166661</c:v>
                </c:pt>
                <c:pt idx="27">
                  <c:v>28.134612124999993</c:v>
                </c:pt>
                <c:pt idx="28">
                  <c:v>28.304472583333325</c:v>
                </c:pt>
                <c:pt idx="29">
                  <c:v>27.657292895833347</c:v>
                </c:pt>
                <c:pt idx="30">
                  <c:v>27.53784960416667</c:v>
                </c:pt>
                <c:pt idx="31">
                  <c:v>27.799449333333332</c:v>
                </c:pt>
                <c:pt idx="32">
                  <c:v>28.243803999999994</c:v>
                </c:pt>
                <c:pt idx="33">
                  <c:v>27.910599041666671</c:v>
                </c:pt>
                <c:pt idx="34">
                  <c:v>28.190505104166665</c:v>
                </c:pt>
                <c:pt idx="35">
                  <c:v>28.085189812500008</c:v>
                </c:pt>
                <c:pt idx="36">
                  <c:v>28.039692041666665</c:v>
                </c:pt>
                <c:pt idx="37">
                  <c:v>28.00674589583333</c:v>
                </c:pt>
                <c:pt idx="38">
                  <c:v>27.848811729166666</c:v>
                </c:pt>
                <c:pt idx="39">
                  <c:v>27.593948624999999</c:v>
                </c:pt>
                <c:pt idx="40">
                  <c:v>27.617070500000001</c:v>
                </c:pt>
                <c:pt idx="41">
                  <c:v>27.655980875000008</c:v>
                </c:pt>
                <c:pt idx="42">
                  <c:v>28.098266416666675</c:v>
                </c:pt>
                <c:pt idx="43">
                  <c:v>27.925443666666663</c:v>
                </c:pt>
                <c:pt idx="44">
                  <c:v>27.747976750000003</c:v>
                </c:pt>
                <c:pt idx="45">
                  <c:v>28.057351499999999</c:v>
                </c:pt>
                <c:pt idx="46">
                  <c:v>28.46633525</c:v>
                </c:pt>
                <c:pt idx="47">
                  <c:v>27.818258729166672</c:v>
                </c:pt>
                <c:pt idx="48">
                  <c:v>27.861846458333332</c:v>
                </c:pt>
                <c:pt idx="49">
                  <c:v>28.11201914583334</c:v>
                </c:pt>
                <c:pt idx="50">
                  <c:v>27.697469937500006</c:v>
                </c:pt>
                <c:pt idx="51">
                  <c:v>27.925833333333333</c:v>
                </c:pt>
                <c:pt idx="52">
                  <c:v>28.201881833333331</c:v>
                </c:pt>
                <c:pt idx="53">
                  <c:v>28.0825688125</c:v>
                </c:pt>
                <c:pt idx="54">
                  <c:v>28.092758312499999</c:v>
                </c:pt>
                <c:pt idx="55">
                  <c:v>28.311101854166655</c:v>
                </c:pt>
                <c:pt idx="56">
                  <c:v>27.934912333333333</c:v>
                </c:pt>
                <c:pt idx="57">
                  <c:v>28.552400791666667</c:v>
                </c:pt>
                <c:pt idx="58">
                  <c:v>27.900255416666663</c:v>
                </c:pt>
                <c:pt idx="59">
                  <c:v>27.764755729166669</c:v>
                </c:pt>
                <c:pt idx="60">
                  <c:v>27.889878333333339</c:v>
                </c:pt>
                <c:pt idx="61">
                  <c:v>27.994138395833335</c:v>
                </c:pt>
                <c:pt idx="62">
                  <c:v>28.049866291666664</c:v>
                </c:pt>
                <c:pt idx="63">
                  <c:v>28.191666416666667</c:v>
                </c:pt>
                <c:pt idx="64">
                  <c:v>28.09758177083333</c:v>
                </c:pt>
                <c:pt idx="65">
                  <c:v>27.675130104166673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A8-468F-9C1E-2ABA2DA20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67456"/>
        <c:axId val="37105296"/>
      </c:scatterChart>
      <c:valAx>
        <c:axId val="18921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04624"/>
        <c:crosses val="autoZero"/>
        <c:crossBetween val="midCat"/>
      </c:valAx>
      <c:valAx>
        <c:axId val="189204624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1696"/>
        <c:crosses val="autoZero"/>
        <c:crossBetween val="midCat"/>
      </c:valAx>
      <c:valAx>
        <c:axId val="371052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67456"/>
        <c:crosses val="max"/>
        <c:crossBetween val="midCat"/>
      </c:valAx>
      <c:valAx>
        <c:axId val="18246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105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Hoja2!$H$13:$H$420</c:f>
              <c:numCache>
                <c:formatCode>0.0</c:formatCode>
                <c:ptCount val="408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</c:numCache>
            </c:numRef>
          </c:xVal>
          <c:yVal>
            <c:numRef>
              <c:f>Hoja2!$F$13:$F$420</c:f>
              <c:numCache>
                <c:formatCode>0.000</c:formatCode>
                <c:ptCount val="408"/>
                <c:pt idx="0">
                  <c:v>0.867528545310018</c:v>
                </c:pt>
                <c:pt idx="1">
                  <c:v>0.91638074656303581</c:v>
                </c:pt>
                <c:pt idx="2">
                  <c:v>0.9190185767048531</c:v>
                </c:pt>
                <c:pt idx="3">
                  <c:v>0.77072902658359699</c:v>
                </c:pt>
                <c:pt idx="4">
                  <c:v>0.68201023584482035</c:v>
                </c:pt>
                <c:pt idx="5">
                  <c:v>0.59832238575415808</c:v>
                </c:pt>
                <c:pt idx="6">
                  <c:v>0.56464060832224849</c:v>
                </c:pt>
                <c:pt idx="7">
                  <c:v>0.57385430715891472</c:v>
                </c:pt>
                <c:pt idx="8">
                  <c:v>0.55907199961787624</c:v>
                </c:pt>
                <c:pt idx="9">
                  <c:v>0.49275577511308993</c:v>
                </c:pt>
                <c:pt idx="10">
                  <c:v>0.48718179224756403</c:v>
                </c:pt>
                <c:pt idx="11">
                  <c:v>0.56768071093087002</c:v>
                </c:pt>
                <c:pt idx="12">
                  <c:v>0.70164265339370213</c:v>
                </c:pt>
                <c:pt idx="13">
                  <c:v>0.83715795377991753</c:v>
                </c:pt>
                <c:pt idx="14">
                  <c:v>0.90984753741380575</c:v>
                </c:pt>
                <c:pt idx="15">
                  <c:v>0.79873133894393411</c:v>
                </c:pt>
                <c:pt idx="16">
                  <c:v>0.71505647689053076</c:v>
                </c:pt>
                <c:pt idx="17">
                  <c:v>0.71862485279216926</c:v>
                </c:pt>
                <c:pt idx="18">
                  <c:v>0.67705936703818037</c:v>
                </c:pt>
                <c:pt idx="19">
                  <c:v>0.57862547351084503</c:v>
                </c:pt>
                <c:pt idx="20">
                  <c:v>0.43950145926887024</c:v>
                </c:pt>
                <c:pt idx="21">
                  <c:v>0.38454763988598223</c:v>
                </c:pt>
                <c:pt idx="22">
                  <c:v>0.38465559735165583</c:v>
                </c:pt>
                <c:pt idx="23">
                  <c:v>0.53623293452301024</c:v>
                </c:pt>
                <c:pt idx="24">
                  <c:v>0.65267168707863299</c:v>
                </c:pt>
                <c:pt idx="25">
                  <c:v>0.72805547100143475</c:v>
                </c:pt>
                <c:pt idx="26">
                  <c:v>0.75687403208538517</c:v>
                </c:pt>
                <c:pt idx="27">
                  <c:v>0.68453232343383807</c:v>
                </c:pt>
                <c:pt idx="28">
                  <c:v>0.67078340190562924</c:v>
                </c:pt>
                <c:pt idx="29">
                  <c:v>0.66233422238176121</c:v>
                </c:pt>
                <c:pt idx="30">
                  <c:v>0.64777497922568483</c:v>
                </c:pt>
                <c:pt idx="31">
                  <c:v>0.54406558042370667</c:v>
                </c:pt>
                <c:pt idx="32">
                  <c:v>0.49349331296002569</c:v>
                </c:pt>
                <c:pt idx="33">
                  <c:v>0.49232435451632756</c:v>
                </c:pt>
                <c:pt idx="34">
                  <c:v>0.55152580772657167</c:v>
                </c:pt>
                <c:pt idx="35">
                  <c:v>0.54447283399228041</c:v>
                </c:pt>
                <c:pt idx="36">
                  <c:v>0.61132452807260063</c:v>
                </c:pt>
                <c:pt idx="37">
                  <c:v>0.70386958130323685</c:v>
                </c:pt>
                <c:pt idx="38">
                  <c:v>0.71694939507800148</c:v>
                </c:pt>
                <c:pt idx="39">
                  <c:v>0.71189729437027549</c:v>
                </c:pt>
                <c:pt idx="40">
                  <c:v>0.72433933682169804</c:v>
                </c:pt>
                <c:pt idx="41">
                  <c:v>0.68879372233372982</c:v>
                </c:pt>
                <c:pt idx="42">
                  <c:v>0.55590263319610655</c:v>
                </c:pt>
                <c:pt idx="43">
                  <c:v>0.5004152146780384</c:v>
                </c:pt>
                <c:pt idx="44">
                  <c:v>0.55806785965667471</c:v>
                </c:pt>
                <c:pt idx="45">
                  <c:v>0.51404474783667375</c:v>
                </c:pt>
                <c:pt idx="46">
                  <c:v>0.51295846113296861</c:v>
                </c:pt>
                <c:pt idx="47">
                  <c:v>0.59570859431899403</c:v>
                </c:pt>
                <c:pt idx="48">
                  <c:v>0.5292458260533488</c:v>
                </c:pt>
                <c:pt idx="49">
                  <c:v>0.51957164159532543</c:v>
                </c:pt>
                <c:pt idx="50">
                  <c:v>0.53569952096518958</c:v>
                </c:pt>
                <c:pt idx="51">
                  <c:v>0.50319078810367257</c:v>
                </c:pt>
                <c:pt idx="52">
                  <c:v>0.49506354041593087</c:v>
                </c:pt>
                <c:pt idx="53">
                  <c:v>0.52470950300361796</c:v>
                </c:pt>
                <c:pt idx="54">
                  <c:v>0.51840111914688036</c:v>
                </c:pt>
                <c:pt idx="55">
                  <c:v>0.4796559991518729</c:v>
                </c:pt>
                <c:pt idx="56">
                  <c:v>0.44176973490142551</c:v>
                </c:pt>
                <c:pt idx="57">
                  <c:v>0.41374638328376062</c:v>
                </c:pt>
                <c:pt idx="58">
                  <c:v>0.43992148804814635</c:v>
                </c:pt>
                <c:pt idx="59">
                  <c:v>0.57449133849757217</c:v>
                </c:pt>
                <c:pt idx="60">
                  <c:v>0.64887458673434117</c:v>
                </c:pt>
                <c:pt idx="61">
                  <c:v>0.64813301035869286</c:v>
                </c:pt>
                <c:pt idx="62">
                  <c:v>0.67626402887558368</c:v>
                </c:pt>
                <c:pt idx="63">
                  <c:v>0.68038418777459542</c:v>
                </c:pt>
                <c:pt idx="64">
                  <c:v>0.66983197542388229</c:v>
                </c:pt>
                <c:pt idx="65">
                  <c:v>0.6424014926126318</c:v>
                </c:pt>
                <c:pt idx="66">
                  <c:v>0.69287401972844009</c:v>
                </c:pt>
                <c:pt idx="67">
                  <c:v>0.65885353953535053</c:v>
                </c:pt>
                <c:pt idx="68">
                  <c:v>0.57996347777575952</c:v>
                </c:pt>
                <c:pt idx="69">
                  <c:v>0.53741486871609967</c:v>
                </c:pt>
                <c:pt idx="70">
                  <c:v>0.54274110380124418</c:v>
                </c:pt>
                <c:pt idx="71">
                  <c:v>0.62874624695772974</c:v>
                </c:pt>
                <c:pt idx="72">
                  <c:v>0.65566366350703831</c:v>
                </c:pt>
                <c:pt idx="73">
                  <c:v>0.66594460748441253</c:v>
                </c:pt>
                <c:pt idx="74">
                  <c:v>0.66225652164930204</c:v>
                </c:pt>
                <c:pt idx="75">
                  <c:v>0.5905635920803044</c:v>
                </c:pt>
                <c:pt idx="76">
                  <c:v>0.54126637011751777</c:v>
                </c:pt>
                <c:pt idx="77">
                  <c:v>0.53508435435716095</c:v>
                </c:pt>
                <c:pt idx="78">
                  <c:v>0.56098400885465605</c:v>
                </c:pt>
                <c:pt idx="79">
                  <c:v>0.56468220498543031</c:v>
                </c:pt>
                <c:pt idx="80">
                  <c:v>0.51731497614650235</c:v>
                </c:pt>
                <c:pt idx="81">
                  <c:v>0.45918562224205833</c:v>
                </c:pt>
                <c:pt idx="82">
                  <c:v>0.46800790065905246</c:v>
                </c:pt>
                <c:pt idx="83">
                  <c:v>0.56509049005349787</c:v>
                </c:pt>
                <c:pt idx="84">
                  <c:v>0.63875853170573327</c:v>
                </c:pt>
                <c:pt idx="85">
                  <c:v>0.73904164437519282</c:v>
                </c:pt>
                <c:pt idx="86">
                  <c:v>0.75753929257399866</c:v>
                </c:pt>
                <c:pt idx="87">
                  <c:v>0.73619624742865009</c:v>
                </c:pt>
                <c:pt idx="88">
                  <c:v>0.7774423580297779</c:v>
                </c:pt>
                <c:pt idx="89">
                  <c:v>0.74921514729466843</c:v>
                </c:pt>
                <c:pt idx="90">
                  <c:v>0.68167156786967753</c:v>
                </c:pt>
                <c:pt idx="91">
                  <c:v>0.6480913515136647</c:v>
                </c:pt>
                <c:pt idx="92">
                  <c:v>0.62834966087322652</c:v>
                </c:pt>
                <c:pt idx="93">
                  <c:v>0.58003861021040404</c:v>
                </c:pt>
                <c:pt idx="94">
                  <c:v>0.56683615528457465</c:v>
                </c:pt>
                <c:pt idx="95">
                  <c:v>0.60220386919112634</c:v>
                </c:pt>
                <c:pt idx="96">
                  <c:v>0.70437291980579231</c:v>
                </c:pt>
                <c:pt idx="97">
                  <c:v>0.75123037548219707</c:v>
                </c:pt>
                <c:pt idx="98">
                  <c:v>0.74794165231772125</c:v>
                </c:pt>
                <c:pt idx="99">
                  <c:v>0.69480357265131032</c:v>
                </c:pt>
                <c:pt idx="100">
                  <c:v>0.67007654348426637</c:v>
                </c:pt>
                <c:pt idx="101">
                  <c:v>0.65690914103098164</c:v>
                </c:pt>
                <c:pt idx="102">
                  <c:v>0.64163625445103456</c:v>
                </c:pt>
                <c:pt idx="103">
                  <c:v>0.60970890968456914</c:v>
                </c:pt>
                <c:pt idx="104">
                  <c:v>0.56066214881385645</c:v>
                </c:pt>
                <c:pt idx="105">
                  <c:v>0.5398140737564695</c:v>
                </c:pt>
                <c:pt idx="106">
                  <c:v>0.48998151187668054</c:v>
                </c:pt>
                <c:pt idx="107">
                  <c:v>0.55050740652381036</c:v>
                </c:pt>
                <c:pt idx="108">
                  <c:v>0.64378195933772164</c:v>
                </c:pt>
                <c:pt idx="109">
                  <c:v>0.70576171931259313</c:v>
                </c:pt>
                <c:pt idx="110">
                  <c:v>0.72347360164234276</c:v>
                </c:pt>
                <c:pt idx="111">
                  <c:v>0.67115818010921346</c:v>
                </c:pt>
                <c:pt idx="112">
                  <c:v>0.67466020453909703</c:v>
                </c:pt>
                <c:pt idx="113">
                  <c:v>0.73672681652783845</c:v>
                </c:pt>
                <c:pt idx="114">
                  <c:v>0.77787565277330661</c:v>
                </c:pt>
                <c:pt idx="115">
                  <c:v>0.77355447628828877</c:v>
                </c:pt>
                <c:pt idx="116">
                  <c:v>0.76843345291963228</c:v>
                </c:pt>
                <c:pt idx="117">
                  <c:v>0.73332852081235333</c:v>
                </c:pt>
                <c:pt idx="118">
                  <c:v>0.73422208785363618</c:v>
                </c:pt>
                <c:pt idx="119">
                  <c:v>0.76993218614116188</c:v>
                </c:pt>
                <c:pt idx="120">
                  <c:v>0.80646911382556696</c:v>
                </c:pt>
                <c:pt idx="121">
                  <c:v>0.86898542165748316</c:v>
                </c:pt>
                <c:pt idx="122">
                  <c:v>0.85970254359867115</c:v>
                </c:pt>
                <c:pt idx="123">
                  <c:v>0.69085868322461219</c:v>
                </c:pt>
                <c:pt idx="124">
                  <c:v>0.64245788969788276</c:v>
                </c:pt>
                <c:pt idx="125">
                  <c:v>0.62312276276641598</c:v>
                </c:pt>
                <c:pt idx="126">
                  <c:v>0.57095510505311786</c:v>
                </c:pt>
                <c:pt idx="127">
                  <c:v>0.5025298009139012</c:v>
                </c:pt>
                <c:pt idx="128">
                  <c:v>0.52707118219153148</c:v>
                </c:pt>
                <c:pt idx="129">
                  <c:v>0.50935139852151445</c:v>
                </c:pt>
                <c:pt idx="130">
                  <c:v>0.49333065766256734</c:v>
                </c:pt>
                <c:pt idx="131">
                  <c:v>0.55510650405512729</c:v>
                </c:pt>
                <c:pt idx="132">
                  <c:v>0.61911787906430094</c:v>
                </c:pt>
                <c:pt idx="133">
                  <c:v>0.66321330808737122</c:v>
                </c:pt>
                <c:pt idx="134">
                  <c:v>0.67098952662954603</c:v>
                </c:pt>
                <c:pt idx="135">
                  <c:v>0.6878785808730068</c:v>
                </c:pt>
                <c:pt idx="136">
                  <c:v>0.64901048236058179</c:v>
                </c:pt>
                <c:pt idx="137">
                  <c:v>0.5955226024407223</c:v>
                </c:pt>
                <c:pt idx="138">
                  <c:v>0.54310642426806754</c:v>
                </c:pt>
                <c:pt idx="139">
                  <c:v>0.52310778461934548</c:v>
                </c:pt>
                <c:pt idx="140">
                  <c:v>0.60844036322766526</c:v>
                </c:pt>
                <c:pt idx="141">
                  <c:v>0.65501221829322531</c:v>
                </c:pt>
                <c:pt idx="142">
                  <c:v>0.64627429037006578</c:v>
                </c:pt>
                <c:pt idx="143">
                  <c:v>0.66428471616765461</c:v>
                </c:pt>
                <c:pt idx="144">
                  <c:v>0.70029320088190505</c:v>
                </c:pt>
                <c:pt idx="145">
                  <c:v>0.75183706301236242</c:v>
                </c:pt>
                <c:pt idx="146">
                  <c:v>0.72116106775774957</c:v>
                </c:pt>
                <c:pt idx="147">
                  <c:v>0.66911788058441346</c:v>
                </c:pt>
                <c:pt idx="148">
                  <c:v>0.65191446365874761</c:v>
                </c:pt>
                <c:pt idx="149">
                  <c:v>0.68822198580948557</c:v>
                </c:pt>
                <c:pt idx="150">
                  <c:v>0.65900182692180509</c:v>
                </c:pt>
                <c:pt idx="151">
                  <c:v>0.58733743049670062</c:v>
                </c:pt>
                <c:pt idx="152">
                  <c:v>0.57597896088362077</c:v>
                </c:pt>
                <c:pt idx="153">
                  <c:v>0.52269104983678072</c:v>
                </c:pt>
                <c:pt idx="154">
                  <c:v>0.54213083913397497</c:v>
                </c:pt>
                <c:pt idx="155">
                  <c:v>0.65953150021305029</c:v>
                </c:pt>
                <c:pt idx="156">
                  <c:v>0.70041761681181858</c:v>
                </c:pt>
                <c:pt idx="157">
                  <c:v>0.76204786984144524</c:v>
                </c:pt>
                <c:pt idx="158">
                  <c:v>0.76080008654480935</c:v>
                </c:pt>
                <c:pt idx="159">
                  <c:v>0.6965003525691591</c:v>
                </c:pt>
                <c:pt idx="160">
                  <c:v>0.67009842846783652</c:v>
                </c:pt>
                <c:pt idx="161">
                  <c:v>0.66661210543932281</c:v>
                </c:pt>
                <c:pt idx="162">
                  <c:v>0.68885267815162876</c:v>
                </c:pt>
                <c:pt idx="163">
                  <c:v>0.63813472473098687</c:v>
                </c:pt>
                <c:pt idx="164">
                  <c:v>0.64169318034440281</c:v>
                </c:pt>
                <c:pt idx="165">
                  <c:v>0.58463447390543066</c:v>
                </c:pt>
                <c:pt idx="166">
                  <c:v>0.59052748523154286</c:v>
                </c:pt>
                <c:pt idx="167">
                  <c:v>0.73877857536944203</c:v>
                </c:pt>
                <c:pt idx="168">
                  <c:v>0.80568860865810288</c:v>
                </c:pt>
                <c:pt idx="169">
                  <c:v>0.81955138806937811</c:v>
                </c:pt>
                <c:pt idx="170">
                  <c:v>0.79849400518587499</c:v>
                </c:pt>
                <c:pt idx="171">
                  <c:v>0.74756182911921631</c:v>
                </c:pt>
                <c:pt idx="172">
                  <c:v>0.74145759986413862</c:v>
                </c:pt>
                <c:pt idx="173">
                  <c:v>0.68829397029822248</c:v>
                </c:pt>
                <c:pt idx="174">
                  <c:v>0.63758543581420635</c:v>
                </c:pt>
                <c:pt idx="175">
                  <c:v>0.57315530753405031</c:v>
                </c:pt>
                <c:pt idx="176">
                  <c:v>0.62211992032078622</c:v>
                </c:pt>
                <c:pt idx="177">
                  <c:v>0.61264121302247865</c:v>
                </c:pt>
                <c:pt idx="178">
                  <c:v>0.58811096069430846</c:v>
                </c:pt>
                <c:pt idx="179">
                  <c:v>0.61001159894523194</c:v>
                </c:pt>
                <c:pt idx="180">
                  <c:v>0.64339023831827113</c:v>
                </c:pt>
                <c:pt idx="181">
                  <c:v>0.65607252323664444</c:v>
                </c:pt>
                <c:pt idx="182">
                  <c:v>0.64790394714888377</c:v>
                </c:pt>
                <c:pt idx="183">
                  <c:v>0.6555045521670555</c:v>
                </c:pt>
                <c:pt idx="184">
                  <c:v>0.5959212938690428</c:v>
                </c:pt>
                <c:pt idx="185">
                  <c:v>0.46697481744344993</c:v>
                </c:pt>
                <c:pt idx="186">
                  <c:v>0.568331697112894</c:v>
                </c:pt>
                <c:pt idx="187">
                  <c:v>0.63484175060301395</c:v>
                </c:pt>
                <c:pt idx="188">
                  <c:v>0.6639934647927237</c:v>
                </c:pt>
                <c:pt idx="189">
                  <c:v>0.69553682384605875</c:v>
                </c:pt>
                <c:pt idx="190">
                  <c:v>0.70736648449602435</c:v>
                </c:pt>
                <c:pt idx="191">
                  <c:v>0.79081931576372066</c:v>
                </c:pt>
                <c:pt idx="192">
                  <c:v>0.81474709746476448</c:v>
                </c:pt>
                <c:pt idx="193">
                  <c:v>0.80214441950486659</c:v>
                </c:pt>
                <c:pt idx="194">
                  <c:v>0.78276505385049233</c:v>
                </c:pt>
                <c:pt idx="195">
                  <c:v>0.79448880341809058</c:v>
                </c:pt>
                <c:pt idx="196">
                  <c:v>0.78040352836201055</c:v>
                </c:pt>
                <c:pt idx="197">
                  <c:v>0.63167436010206168</c:v>
                </c:pt>
                <c:pt idx="198">
                  <c:v>0.68589240538642293</c:v>
                </c:pt>
                <c:pt idx="199">
                  <c:v>0.64943785476507232</c:v>
                </c:pt>
                <c:pt idx="200">
                  <c:v>0.64887997867355085</c:v>
                </c:pt>
                <c:pt idx="201">
                  <c:v>0.58582314845157635</c:v>
                </c:pt>
                <c:pt idx="202">
                  <c:v>0.5534215250651553</c:v>
                </c:pt>
                <c:pt idx="203">
                  <c:v>0.61107305132509682</c:v>
                </c:pt>
                <c:pt idx="204">
                  <c:v>0.72083805799703138</c:v>
                </c:pt>
                <c:pt idx="205">
                  <c:v>0.78869908478138606</c:v>
                </c:pt>
                <c:pt idx="206">
                  <c:v>0.75244012331214982</c:v>
                </c:pt>
                <c:pt idx="207">
                  <c:v>0.64291082072583983</c:v>
                </c:pt>
                <c:pt idx="208">
                  <c:v>0.62010727534749033</c:v>
                </c:pt>
                <c:pt idx="209">
                  <c:v>0.69868550573616084</c:v>
                </c:pt>
                <c:pt idx="210">
                  <c:v>0.65861753994501337</c:v>
                </c:pt>
                <c:pt idx="211">
                  <c:v>0.64126333848661776</c:v>
                </c:pt>
                <c:pt idx="212">
                  <c:v>0.63818020530287323</c:v>
                </c:pt>
                <c:pt idx="213">
                  <c:v>0.5891937690351623</c:v>
                </c:pt>
                <c:pt idx="214">
                  <c:v>0.56484251048469158</c:v>
                </c:pt>
                <c:pt idx="215">
                  <c:v>0.63777086479887335</c:v>
                </c:pt>
                <c:pt idx="216">
                  <c:v>0.76136881190611683</c:v>
                </c:pt>
                <c:pt idx="217">
                  <c:v>0.85959298641352555</c:v>
                </c:pt>
                <c:pt idx="218">
                  <c:v>0.82833527332714441</c:v>
                </c:pt>
                <c:pt idx="219">
                  <c:v>0.72452186051434431</c:v>
                </c:pt>
                <c:pt idx="220">
                  <c:v>0.67739927585694215</c:v>
                </c:pt>
                <c:pt idx="221">
                  <c:v>0.65131714502613536</c:v>
                </c:pt>
                <c:pt idx="222">
                  <c:v>0.64828349556474929</c:v>
                </c:pt>
                <c:pt idx="223">
                  <c:v>0.61147557154799137</c:v>
                </c:pt>
                <c:pt idx="224">
                  <c:v>0.58118285257133573</c:v>
                </c:pt>
                <c:pt idx="225">
                  <c:v>0.53895180309179302</c:v>
                </c:pt>
                <c:pt idx="226">
                  <c:v>0.53708707978708659</c:v>
                </c:pt>
                <c:pt idx="227">
                  <c:v>0.61225110923086645</c:v>
                </c:pt>
                <c:pt idx="228">
                  <c:v>0.71106056066212453</c:v>
                </c:pt>
                <c:pt idx="229">
                  <c:v>0.78725661132936131</c:v>
                </c:pt>
                <c:pt idx="230">
                  <c:v>0.78471354464917398</c:v>
                </c:pt>
                <c:pt idx="231">
                  <c:v>0.73471266637840182</c:v>
                </c:pt>
                <c:pt idx="232">
                  <c:v>0.73451606255867063</c:v>
                </c:pt>
                <c:pt idx="233">
                  <c:v>0.59025895843088905</c:v>
                </c:pt>
                <c:pt idx="234">
                  <c:v>0.54528317500417034</c:v>
                </c:pt>
                <c:pt idx="235">
                  <c:v>0.53840366941583462</c:v>
                </c:pt>
                <c:pt idx="236">
                  <c:v>0.50250865245252618</c:v>
                </c:pt>
                <c:pt idx="237">
                  <c:v>0.44230956009010819</c:v>
                </c:pt>
                <c:pt idx="238">
                  <c:v>0.42669006148102862</c:v>
                </c:pt>
                <c:pt idx="239">
                  <c:v>0.52738163466078947</c:v>
                </c:pt>
                <c:pt idx="240">
                  <c:v>0.76009141802383606</c:v>
                </c:pt>
                <c:pt idx="241">
                  <c:v>0.92154836477059721</c:v>
                </c:pt>
                <c:pt idx="242">
                  <c:v>0.91486253190332556</c:v>
                </c:pt>
                <c:pt idx="243">
                  <c:v>0.91399760285739984</c:v>
                </c:pt>
                <c:pt idx="244">
                  <c:v>0.82041221238184259</c:v>
                </c:pt>
                <c:pt idx="245">
                  <c:v>0.80696917500009613</c:v>
                </c:pt>
                <c:pt idx="246">
                  <c:v>0.72807346676357554</c:v>
                </c:pt>
                <c:pt idx="247">
                  <c:v>0.68365735760916557</c:v>
                </c:pt>
                <c:pt idx="248">
                  <c:v>0.69985965758848423</c:v>
                </c:pt>
                <c:pt idx="249">
                  <c:v>0.68508712884091849</c:v>
                </c:pt>
                <c:pt idx="250">
                  <c:v>0.67208598198477665</c:v>
                </c:pt>
                <c:pt idx="251">
                  <c:v>0.73002996324857117</c:v>
                </c:pt>
                <c:pt idx="252">
                  <c:v>0.78978398783656789</c:v>
                </c:pt>
                <c:pt idx="253">
                  <c:v>0.86237719250245704</c:v>
                </c:pt>
                <c:pt idx="254">
                  <c:v>0.83945502488751378</c:v>
                </c:pt>
                <c:pt idx="255">
                  <c:v>0.7712935936890768</c:v>
                </c:pt>
                <c:pt idx="256">
                  <c:v>0.81259779987258884</c:v>
                </c:pt>
                <c:pt idx="257">
                  <c:v>0.85852239984112955</c:v>
                </c:pt>
                <c:pt idx="258">
                  <c:v>0.84351349199638204</c:v>
                </c:pt>
                <c:pt idx="259">
                  <c:v>0.78040889729979268</c:v>
                </c:pt>
                <c:pt idx="260">
                  <c:v>0.70515532009687432</c:v>
                </c:pt>
                <c:pt idx="261">
                  <c:v>0.59665870315447767</c:v>
                </c:pt>
                <c:pt idx="262">
                  <c:v>0.55516391426773415</c:v>
                </c:pt>
                <c:pt idx="263">
                  <c:v>0.61003205792156012</c:v>
                </c:pt>
                <c:pt idx="264">
                  <c:v>0.68589178109222215</c:v>
                </c:pt>
                <c:pt idx="265">
                  <c:v>0.83645088873651119</c:v>
                </c:pt>
                <c:pt idx="266">
                  <c:v>0.85564694438780997</c:v>
                </c:pt>
                <c:pt idx="267">
                  <c:v>0.79971482243515912</c:v>
                </c:pt>
                <c:pt idx="268">
                  <c:v>0.81347269161713376</c:v>
                </c:pt>
                <c:pt idx="269">
                  <c:v>0.79262677478064159</c:v>
                </c:pt>
                <c:pt idx="270">
                  <c:v>0.70145223062938089</c:v>
                </c:pt>
                <c:pt idx="271">
                  <c:v>0.6467425944252635</c:v>
                </c:pt>
                <c:pt idx="272">
                  <c:v>0.62229641936856439</c:v>
                </c:pt>
                <c:pt idx="273">
                  <c:v>0.53476667711957615</c:v>
                </c:pt>
                <c:pt idx="274">
                  <c:v>0.50470594498433741</c:v>
                </c:pt>
                <c:pt idx="275">
                  <c:v>0.57822224253855914</c:v>
                </c:pt>
                <c:pt idx="276">
                  <c:v>0.62442726365832801</c:v>
                </c:pt>
                <c:pt idx="277">
                  <c:v>0.7995180254713824</c:v>
                </c:pt>
                <c:pt idx="278">
                  <c:v>0.83876686287174862</c:v>
                </c:pt>
                <c:pt idx="279">
                  <c:v>0.65322479278625867</c:v>
                </c:pt>
                <c:pt idx="280">
                  <c:v>0.68071070368161901</c:v>
                </c:pt>
                <c:pt idx="281">
                  <c:v>0.75789943951556626</c:v>
                </c:pt>
                <c:pt idx="282">
                  <c:v>0.81337022309188822</c:v>
                </c:pt>
                <c:pt idx="283">
                  <c:v>0.76233655392170852</c:v>
                </c:pt>
                <c:pt idx="284">
                  <c:v>0.77550016571317748</c:v>
                </c:pt>
                <c:pt idx="285">
                  <c:v>0.74118561593179555</c:v>
                </c:pt>
                <c:pt idx="286">
                  <c:v>0.72534723838874837</c:v>
                </c:pt>
                <c:pt idx="287">
                  <c:v>0.76498658360980609</c:v>
                </c:pt>
                <c:pt idx="288">
                  <c:v>0.79931408015081828</c:v>
                </c:pt>
                <c:pt idx="289">
                  <c:v>0.87662530006977679</c:v>
                </c:pt>
                <c:pt idx="290">
                  <c:v>0.83838842897869936</c:v>
                </c:pt>
                <c:pt idx="291">
                  <c:v>0.74460672126044414</c:v>
                </c:pt>
                <c:pt idx="292">
                  <c:v>0.67929405123841935</c:v>
                </c:pt>
                <c:pt idx="293">
                  <c:v>0.7533914591655827</c:v>
                </c:pt>
                <c:pt idx="294">
                  <c:v>0.7719625688004631</c:v>
                </c:pt>
                <c:pt idx="295">
                  <c:v>0.8176897100332331</c:v>
                </c:pt>
                <c:pt idx="296">
                  <c:v>0.85774296298838393</c:v>
                </c:pt>
                <c:pt idx="297">
                  <c:v>0.78177398394671915</c:v>
                </c:pt>
                <c:pt idx="298">
                  <c:v>0.73369905333608476</c:v>
                </c:pt>
                <c:pt idx="299">
                  <c:v>0.74719761737363832</c:v>
                </c:pt>
                <c:pt idx="300">
                  <c:v>0.76816610485156733</c:v>
                </c:pt>
                <c:pt idx="301">
                  <c:v>0.84610947337995335</c:v>
                </c:pt>
                <c:pt idx="302">
                  <c:v>0.8208116592321677</c:v>
                </c:pt>
                <c:pt idx="303">
                  <c:v>0.80610826213986775</c:v>
                </c:pt>
                <c:pt idx="304">
                  <c:v>0.90058174158019888</c:v>
                </c:pt>
                <c:pt idx="305">
                  <c:v>0.76621378241014071</c:v>
                </c:pt>
                <c:pt idx="306">
                  <c:v>0.63681685041382796</c:v>
                </c:pt>
                <c:pt idx="307">
                  <c:v>0.6231731106831182</c:v>
                </c:pt>
                <c:pt idx="308">
                  <c:v>0.71117601612765202</c:v>
                </c:pt>
                <c:pt idx="309">
                  <c:v>0.73649242206954268</c:v>
                </c:pt>
                <c:pt idx="310">
                  <c:v>0.71535768265743549</c:v>
                </c:pt>
                <c:pt idx="311">
                  <c:v>0.72343313457018421</c:v>
                </c:pt>
                <c:pt idx="312">
                  <c:v>0.7647556095748721</c:v>
                </c:pt>
                <c:pt idx="313">
                  <c:v>0.80514510005360185</c:v>
                </c:pt>
                <c:pt idx="314">
                  <c:v>0.79742391261851642</c:v>
                </c:pt>
                <c:pt idx="315">
                  <c:v>0.72453583346633454</c:v>
                </c:pt>
                <c:pt idx="316">
                  <c:v>0.6347142950199387</c:v>
                </c:pt>
                <c:pt idx="317">
                  <c:v>0.55525468408495016</c:v>
                </c:pt>
                <c:pt idx="318">
                  <c:v>0.55819524557929168</c:v>
                </c:pt>
                <c:pt idx="319">
                  <c:v>0.56382806074861458</c:v>
                </c:pt>
                <c:pt idx="320">
                  <c:v>0.5327158894489501</c:v>
                </c:pt>
                <c:pt idx="321">
                  <c:v>0.47628281558479796</c:v>
                </c:pt>
                <c:pt idx="322">
                  <c:v>0.47729166888242541</c:v>
                </c:pt>
                <c:pt idx="323">
                  <c:v>0.56152353361966445</c:v>
                </c:pt>
                <c:pt idx="324">
                  <c:v>0.67651491013354736</c:v>
                </c:pt>
                <c:pt idx="325">
                  <c:v>0.85936978417567478</c:v>
                </c:pt>
                <c:pt idx="326">
                  <c:v>0.92559138855514878</c:v>
                </c:pt>
                <c:pt idx="327">
                  <c:v>0.77920679151996652</c:v>
                </c:pt>
                <c:pt idx="328">
                  <c:v>0.73863689543887479</c:v>
                </c:pt>
                <c:pt idx="329">
                  <c:v>0.74913332267774146</c:v>
                </c:pt>
                <c:pt idx="330">
                  <c:v>0.76404364107716483</c:v>
                </c:pt>
                <c:pt idx="331">
                  <c:v>0.68686638827515478</c:v>
                </c:pt>
                <c:pt idx="332">
                  <c:v>0.85465670015530459</c:v>
                </c:pt>
                <c:pt idx="333">
                  <c:v>0.82703458918642159</c:v>
                </c:pt>
                <c:pt idx="334">
                  <c:v>0.78778718408234705</c:v>
                </c:pt>
                <c:pt idx="335">
                  <c:v>0.8206721186268916</c:v>
                </c:pt>
                <c:pt idx="336">
                  <c:v>0.87208272681069798</c:v>
                </c:pt>
                <c:pt idx="337">
                  <c:v>0.91467998644606352</c:v>
                </c:pt>
                <c:pt idx="338">
                  <c:v>0.90816077204241208</c:v>
                </c:pt>
                <c:pt idx="339">
                  <c:v>0.86543797226792785</c:v>
                </c:pt>
                <c:pt idx="340">
                  <c:v>0.88520445244381585</c:v>
                </c:pt>
                <c:pt idx="341">
                  <c:v>0.91828804017580457</c:v>
                </c:pt>
                <c:pt idx="342">
                  <c:v>0.86083309522285723</c:v>
                </c:pt>
                <c:pt idx="343">
                  <c:v>0.75474097089789882</c:v>
                </c:pt>
                <c:pt idx="344">
                  <c:v>0.67673954075668463</c:v>
                </c:pt>
                <c:pt idx="345">
                  <c:v>0.63371114427486541</c:v>
                </c:pt>
                <c:pt idx="346">
                  <c:v>0.62559912085372182</c:v>
                </c:pt>
                <c:pt idx="347">
                  <c:v>0.63739578644762163</c:v>
                </c:pt>
                <c:pt idx="348">
                  <c:v>0.6879778088067291</c:v>
                </c:pt>
                <c:pt idx="349">
                  <c:v>0.7741909131897553</c:v>
                </c:pt>
                <c:pt idx="350">
                  <c:v>0.78756351708004935</c:v>
                </c:pt>
                <c:pt idx="351">
                  <c:v>0.70766232874907109</c:v>
                </c:pt>
                <c:pt idx="352">
                  <c:v>0.72621322341647443</c:v>
                </c:pt>
                <c:pt idx="353">
                  <c:v>0.72267666319064305</c:v>
                </c:pt>
                <c:pt idx="354">
                  <c:v>0.6458805062648213</c:v>
                </c:pt>
                <c:pt idx="355">
                  <c:v>0.63993401144282647</c:v>
                </c:pt>
                <c:pt idx="356">
                  <c:v>0.81690794384790866</c:v>
                </c:pt>
                <c:pt idx="357">
                  <c:v>0.90166526097482436</c:v>
                </c:pt>
                <c:pt idx="358">
                  <c:v>0.83186066455798302</c:v>
                </c:pt>
                <c:pt idx="359">
                  <c:v>0.89903478987613339</c:v>
                </c:pt>
                <c:pt idx="360">
                  <c:v>0.95185003066509644</c:v>
                </c:pt>
                <c:pt idx="361">
                  <c:v>1.0670878738443121</c:v>
                </c:pt>
                <c:pt idx="362">
                  <c:v>1.0699512434289256</c:v>
                </c:pt>
                <c:pt idx="363">
                  <c:v>0.91647974065651971</c:v>
                </c:pt>
                <c:pt idx="364">
                  <c:v>0.87761717944036732</c:v>
                </c:pt>
                <c:pt idx="365">
                  <c:v>0.92490551948621835</c:v>
                </c:pt>
                <c:pt idx="366">
                  <c:v>0.89309985558523364</c:v>
                </c:pt>
                <c:pt idx="367">
                  <c:v>0.85667351028395011</c:v>
                </c:pt>
                <c:pt idx="368">
                  <c:v>0.89932469413694038</c:v>
                </c:pt>
                <c:pt idx="369">
                  <c:v>0.8330323232304</c:v>
                </c:pt>
                <c:pt idx="370">
                  <c:v>0.79280130845518326</c:v>
                </c:pt>
                <c:pt idx="371">
                  <c:v>0.8182806385582384</c:v>
                </c:pt>
                <c:pt idx="372">
                  <c:v>0.8528755359579594</c:v>
                </c:pt>
                <c:pt idx="373">
                  <c:v>0.88282312178044109</c:v>
                </c:pt>
                <c:pt idx="374">
                  <c:v>0.88230561663539497</c:v>
                </c:pt>
                <c:pt idx="375">
                  <c:v>0.85684406315582717</c:v>
                </c:pt>
                <c:pt idx="376">
                  <c:v>0.78552050084095038</c:v>
                </c:pt>
                <c:pt idx="377">
                  <c:v>0.73018525835191694</c:v>
                </c:pt>
                <c:pt idx="378">
                  <c:v>0.72060249996455217</c:v>
                </c:pt>
                <c:pt idx="379">
                  <c:v>0.76172644435161796</c:v>
                </c:pt>
                <c:pt idx="380">
                  <c:v>0.8203313345651464</c:v>
                </c:pt>
                <c:pt idx="381">
                  <c:v>0.81305911525458274</c:v>
                </c:pt>
                <c:pt idx="382">
                  <c:v>0.79844283988254239</c:v>
                </c:pt>
                <c:pt idx="383">
                  <c:v>0.8553399761203252</c:v>
                </c:pt>
                <c:pt idx="384">
                  <c:v>0.93618585602841453</c:v>
                </c:pt>
                <c:pt idx="385">
                  <c:v>0.97082765292619344</c:v>
                </c:pt>
                <c:pt idx="386">
                  <c:v>0.96236519854430425</c:v>
                </c:pt>
                <c:pt idx="387">
                  <c:v>0.93218947915404049</c:v>
                </c:pt>
                <c:pt idx="388">
                  <c:v>0.88700204612051381</c:v>
                </c:pt>
                <c:pt idx="389">
                  <c:v>0.84913718464164989</c:v>
                </c:pt>
                <c:pt idx="390">
                  <c:v>0.76328788661714553</c:v>
                </c:pt>
                <c:pt idx="391">
                  <c:v>0.70107438807860101</c:v>
                </c:pt>
                <c:pt idx="392">
                  <c:v>0.67384911336677689</c:v>
                </c:pt>
                <c:pt idx="393">
                  <c:v>0.6719233329103782</c:v>
                </c:pt>
                <c:pt idx="394">
                  <c:v>0.67329039728960738</c:v>
                </c:pt>
                <c:pt idx="395">
                  <c:v>0.71169009854542287</c:v>
                </c:pt>
                <c:pt idx="396">
                  <c:v>0.77366522435638319</c:v>
                </c:pt>
                <c:pt idx="397">
                  <c:v>0.863846304725856</c:v>
                </c:pt>
                <c:pt idx="398">
                  <c:v>0.85546020129817057</c:v>
                </c:pt>
                <c:pt idx="399">
                  <c:v>0.74543861498845243</c:v>
                </c:pt>
                <c:pt idx="400">
                  <c:v>0.72039331836444731</c:v>
                </c:pt>
                <c:pt idx="401">
                  <c:v>0.71387649985593715</c:v>
                </c:pt>
                <c:pt idx="402">
                  <c:v>0.81559043632850536</c:v>
                </c:pt>
                <c:pt idx="403">
                  <c:v>0.8947595158957532</c:v>
                </c:pt>
                <c:pt idx="404">
                  <c:v>0.89639616754634588</c:v>
                </c:pt>
                <c:pt idx="405">
                  <c:v>0.82896785028088238</c:v>
                </c:pt>
                <c:pt idx="406">
                  <c:v>0.81388254799199233</c:v>
                </c:pt>
                <c:pt idx="407">
                  <c:v>0.84421549066935775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0D-40F9-83B1-7FF13767F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959032"/>
        <c:axId val="621955424"/>
      </c:scatterChart>
      <c:valAx>
        <c:axId val="621959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55424"/>
        <c:crosses val="autoZero"/>
        <c:crossBetween val="midCat"/>
      </c:valAx>
      <c:valAx>
        <c:axId val="6219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59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monthly!$J$1</c:f>
              <c:strCache>
                <c:ptCount val="1"/>
                <c:pt idx="0">
                  <c:v>Density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monthly!$I$2:$I$409</c:f>
              <c:numCache>
                <c:formatCode>0.0</c:formatCode>
                <c:ptCount val="408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</c:numCache>
            </c:numRef>
          </c:xVal>
          <c:yVal>
            <c:numRef>
              <c:f>monthly!$J$2:$J$409</c:f>
              <c:numCache>
                <c:formatCode>0.000</c:formatCode>
                <c:ptCount val="408"/>
                <c:pt idx="0">
                  <c:v>0.68516075480084304</c:v>
                </c:pt>
                <c:pt idx="1">
                  <c:v>0.64420237085499898</c:v>
                </c:pt>
                <c:pt idx="2">
                  <c:v>0.61752516082970488</c:v>
                </c:pt>
                <c:pt idx="3">
                  <c:v>0.61419012154780461</c:v>
                </c:pt>
                <c:pt idx="4">
                  <c:v>0.4988369422880844</c:v>
                </c:pt>
                <c:pt idx="5">
                  <c:v>0.63175884013242101</c:v>
                </c:pt>
                <c:pt idx="6">
                  <c:v>0.56872467451258357</c:v>
                </c:pt>
                <c:pt idx="7">
                  <c:v>0.66884488872990155</c:v>
                </c:pt>
                <c:pt idx="8">
                  <c:v>0.64346527424406053</c:v>
                </c:pt>
                <c:pt idx="9">
                  <c:v>0.70462818863201526</c:v>
                </c:pt>
                <c:pt idx="10">
                  <c:v>0.64314227048131334</c:v>
                </c:pt>
                <c:pt idx="11">
                  <c:v>0.61592095412051839</c:v>
                </c:pt>
                <c:pt idx="12">
                  <c:v>0.63199033945172534</c:v>
                </c:pt>
                <c:pt idx="13">
                  <c:v>0.67841986217550831</c:v>
                </c:pt>
                <c:pt idx="14">
                  <c:v>0.68850185521429286</c:v>
                </c:pt>
                <c:pt idx="15">
                  <c:v>0.62470719277071884</c:v>
                </c:pt>
                <c:pt idx="16">
                  <c:v>0.70055476321953836</c:v>
                </c:pt>
                <c:pt idx="17">
                  <c:v>0.6600458248145854</c:v>
                </c:pt>
                <c:pt idx="18">
                  <c:v>0.65863837292458283</c:v>
                </c:pt>
                <c:pt idx="19">
                  <c:v>0.62495721684407146</c:v>
                </c:pt>
                <c:pt idx="20">
                  <c:v>0.76493760761763485</c:v>
                </c:pt>
                <c:pt idx="21">
                  <c:v>0.76138875784810711</c:v>
                </c:pt>
                <c:pt idx="22">
                  <c:v>0.70068539995430679</c:v>
                </c:pt>
                <c:pt idx="23">
                  <c:v>0.72845399828482826</c:v>
                </c:pt>
                <c:pt idx="24">
                  <c:v>0.78127200406874742</c:v>
                </c:pt>
                <c:pt idx="25">
                  <c:v>0.75557288227660302</c:v>
                </c:pt>
                <c:pt idx="26">
                  <c:v>0.60147413784412451</c:v>
                </c:pt>
                <c:pt idx="27">
                  <c:v>0.76226637929128449</c:v>
                </c:pt>
                <c:pt idx="28">
                  <c:v>0.79306361067364506</c:v>
                </c:pt>
                <c:pt idx="29">
                  <c:v>0.74093721810166024</c:v>
                </c:pt>
                <c:pt idx="30">
                  <c:v>0.91683388290840029</c:v>
                </c:pt>
                <c:pt idx="31">
                  <c:v>0.80486669348556328</c:v>
                </c:pt>
                <c:pt idx="32">
                  <c:v>0.80811610157442026</c:v>
                </c:pt>
                <c:pt idx="33">
                  <c:v>0.80287254435759992</c:v>
                </c:pt>
                <c:pt idx="34" formatCode="General">
                  <c:v>0.51580956848200366</c:v>
                </c:pt>
                <c:pt idx="35" formatCode="General">
                  <c:v>0.58724204697113969</c:v>
                </c:pt>
                <c:pt idx="36" formatCode="General">
                  <c:v>0.52838852353501276</c:v>
                </c:pt>
                <c:pt idx="37" formatCode="General">
                  <c:v>0.56256768325670647</c:v>
                </c:pt>
                <c:pt idx="38" formatCode="General">
                  <c:v>0.57780120301417004</c:v>
                </c:pt>
                <c:pt idx="39" formatCode="General">
                  <c:v>0.64903826876333492</c:v>
                </c:pt>
                <c:pt idx="40" formatCode="General">
                  <c:v>0.67722868262257607</c:v>
                </c:pt>
                <c:pt idx="41" formatCode="General">
                  <c:v>0.73384059231898013</c:v>
                </c:pt>
                <c:pt idx="42" formatCode="General">
                  <c:v>0.71304367215851339</c:v>
                </c:pt>
                <c:pt idx="43" formatCode="General">
                  <c:v>0.70731866521760656</c:v>
                </c:pt>
                <c:pt idx="44" formatCode="General">
                  <c:v>0.52879639999097439</c:v>
                </c:pt>
                <c:pt idx="45" formatCode="General">
                  <c:v>0.53379263548912226</c:v>
                </c:pt>
                <c:pt idx="46" formatCode="General">
                  <c:v>0.48642984046861715</c:v>
                </c:pt>
                <c:pt idx="47" formatCode="General">
                  <c:v>0.55479591031798747</c:v>
                </c:pt>
                <c:pt idx="48" formatCode="General">
                  <c:v>0.59014968368908771</c:v>
                </c:pt>
                <c:pt idx="49" formatCode="General">
                  <c:v>0.60620423173381632</c:v>
                </c:pt>
                <c:pt idx="50" formatCode="General">
                  <c:v>0.53856607411208568</c:v>
                </c:pt>
                <c:pt idx="51" formatCode="General">
                  <c:v>0.49525387654104819</c:v>
                </c:pt>
                <c:pt idx="52" formatCode="General">
                  <c:v>0.50207241659054103</c:v>
                </c:pt>
                <c:pt idx="53" formatCode="General">
                  <c:v>0.53707086660010961</c:v>
                </c:pt>
                <c:pt idx="54" formatCode="General">
                  <c:v>0.51944515453443107</c:v>
                </c:pt>
                <c:pt idx="55" formatCode="General">
                  <c:v>0.50889832295685145</c:v>
                </c:pt>
                <c:pt idx="56" formatCode="General">
                  <c:v>0.49902855914937672</c:v>
                </c:pt>
                <c:pt idx="57" formatCode="General">
                  <c:v>0.42775805909259301</c:v>
                </c:pt>
                <c:pt idx="58" formatCode="General">
                  <c:v>0.40692755581132456</c:v>
                </c:pt>
                <c:pt idx="59" formatCode="General">
                  <c:v>0.48279826423516026</c:v>
                </c:pt>
                <c:pt idx="60" formatCode="General">
                  <c:v>0.56916215117822144</c:v>
                </c:pt>
                <c:pt idx="61" formatCode="General">
                  <c:v>0.58827629671921355</c:v>
                </c:pt>
                <c:pt idx="62" formatCode="General">
                  <c:v>0.64326349711321906</c:v>
                </c:pt>
                <c:pt idx="63" formatCode="General">
                  <c:v>0.65355049475194305</c:v>
                </c:pt>
                <c:pt idx="64" formatCode="General">
                  <c:v>0.62764429179573278</c:v>
                </c:pt>
                <c:pt idx="65" formatCode="General">
                  <c:v>0.66862172892165295</c:v>
                </c:pt>
                <c:pt idx="66" formatCode="General">
                  <c:v>0.67694660532475326</c:v>
                </c:pt>
                <c:pt idx="67" formatCode="General">
                  <c:v>0.65965330656310073</c:v>
                </c:pt>
                <c:pt idx="68" formatCode="General">
                  <c:v>0.67883578249323606</c:v>
                </c:pt>
                <c:pt idx="69" formatCode="General">
                  <c:v>0.56189668942943105</c:v>
                </c:pt>
                <c:pt idx="70" formatCode="General">
                  <c:v>0.52332246393198911</c:v>
                </c:pt>
                <c:pt idx="71" formatCode="General">
                  <c:v>0.56215974367049926</c:v>
                </c:pt>
                <c:pt idx="72" formatCode="General">
                  <c:v>0.60968379878338264</c:v>
                </c:pt>
                <c:pt idx="73" formatCode="General">
                  <c:v>0.64780869513207673</c:v>
                </c:pt>
                <c:pt idx="74" formatCode="General">
                  <c:v>0.6569498793657359</c:v>
                </c:pt>
                <c:pt idx="75" formatCode="General">
                  <c:v>0.65437744764834049</c:v>
                </c:pt>
                <c:pt idx="76" formatCode="General">
                  <c:v>0.66115375988050407</c:v>
                </c:pt>
                <c:pt idx="77" formatCode="General">
                  <c:v>0.67073545508832089</c:v>
                </c:pt>
                <c:pt idx="78" formatCode="General">
                  <c:v>0.62641005686480333</c:v>
                </c:pt>
                <c:pt idx="79" formatCode="General">
                  <c:v>0.53817536223733919</c:v>
                </c:pt>
                <c:pt idx="80" formatCode="General">
                  <c:v>0.56368505159483107</c:v>
                </c:pt>
                <c:pt idx="81" formatCode="General">
                  <c:v>0.49126252747351989</c:v>
                </c:pt>
                <c:pt idx="82" formatCode="General">
                  <c:v>0.44922307321962862</c:v>
                </c:pt>
                <c:pt idx="83" formatCode="General">
                  <c:v>0.48679272809847624</c:v>
                </c:pt>
                <c:pt idx="84" formatCode="General">
                  <c:v>0.55372221235075436</c:v>
                </c:pt>
                <c:pt idx="85" formatCode="General">
                  <c:v>0.58609929516484893</c:v>
                </c:pt>
                <c:pt idx="86" formatCode="General">
                  <c:v>0.61311262740731487</c:v>
                </c:pt>
                <c:pt idx="87" formatCode="General">
                  <c:v>0.67602298843428854</c:v>
                </c:pt>
                <c:pt idx="88" formatCode="General">
                  <c:v>0.72038360876787166</c:v>
                </c:pt>
                <c:pt idx="89" formatCode="General">
                  <c:v>0.75769967998251408</c:v>
                </c:pt>
                <c:pt idx="90" formatCode="General">
                  <c:v>0.74686777000132443</c:v>
                </c:pt>
                <c:pt idx="91" formatCode="General">
                  <c:v>0.76441441461357351</c:v>
                </c:pt>
                <c:pt idx="92" formatCode="General">
                  <c:v>0.66488145969167112</c:v>
                </c:pt>
                <c:pt idx="93" formatCode="General">
                  <c:v>0.60419413554181522</c:v>
                </c:pt>
                <c:pt idx="94" formatCode="General">
                  <c:v>0.56017645743423561</c:v>
                </c:pt>
                <c:pt idx="95" formatCode="General">
                  <c:v>0.57349585313491369</c:v>
                </c:pt>
                <c:pt idx="96" formatCode="General">
                  <c:v>0.58222652231821903</c:v>
                </c:pt>
                <c:pt idx="97" formatCode="General">
                  <c:v>0.6446775810583355</c:v>
                </c:pt>
                <c:pt idx="98" formatCode="General">
                  <c:v>0.69811638480756533</c:v>
                </c:pt>
                <c:pt idx="99" formatCode="General">
                  <c:v>0.71866968918161067</c:v>
                </c:pt>
                <c:pt idx="100" formatCode="General">
                  <c:v>0.74388225983187817</c:v>
                </c:pt>
                <c:pt idx="101" formatCode="General">
                  <c:v>0.75857849113251585</c:v>
                </c:pt>
                <c:pt idx="102" formatCode="General">
                  <c:v>0.7213726124845159</c:v>
                </c:pt>
                <c:pt idx="103" formatCode="General">
                  <c:v>0.6653657264917</c:v>
                </c:pt>
                <c:pt idx="104" formatCode="General">
                  <c:v>0.62899968789075889</c:v>
                </c:pt>
                <c:pt idx="105" formatCode="General">
                  <c:v>0.55239332253731455</c:v>
                </c:pt>
                <c:pt idx="106" formatCode="General">
                  <c:v>0.48329915183718092</c:v>
                </c:pt>
                <c:pt idx="107" formatCode="General">
                  <c:v>0.50448124109120374</c:v>
                </c:pt>
                <c:pt idx="108" formatCode="General">
                  <c:v>0.53079634379451224</c:v>
                </c:pt>
                <c:pt idx="109" formatCode="General">
                  <c:v>0.57600604405069555</c:v>
                </c:pt>
                <c:pt idx="110" formatCode="General">
                  <c:v>0.6253612267692179</c:v>
                </c:pt>
                <c:pt idx="111" formatCode="General">
                  <c:v>0.65606244771672428</c:v>
                </c:pt>
                <c:pt idx="112" formatCode="General">
                  <c:v>0.69119893090823992</c:v>
                </c:pt>
                <c:pt idx="113" formatCode="General">
                  <c:v>0.72760590191912311</c:v>
                </c:pt>
                <c:pt idx="114" formatCode="General">
                  <c:v>0.69731589087577817</c:v>
                </c:pt>
                <c:pt idx="115" formatCode="General">
                  <c:v>0.70569351053346774</c:v>
                </c:pt>
                <c:pt idx="116" formatCode="General">
                  <c:v>0.77582613509465836</c:v>
                </c:pt>
                <c:pt idx="117" formatCode="General">
                  <c:v>0.75169400157401056</c:v>
                </c:pt>
                <c:pt idx="118" formatCode="General">
                  <c:v>0.72218406247209255</c:v>
                </c:pt>
                <c:pt idx="119" formatCode="General">
                  <c:v>0.750272788362361</c:v>
                </c:pt>
                <c:pt idx="120" formatCode="General">
                  <c:v>0.76836669190176887</c:v>
                </c:pt>
                <c:pt idx="121" formatCode="General">
                  <c:v>0.771497680380555</c:v>
                </c:pt>
                <c:pt idx="122" formatCode="General">
                  <c:v>0.79643643287204935</c:v>
                </c:pt>
                <c:pt idx="123" formatCode="General">
                  <c:v>0.81399362454070534</c:v>
                </c:pt>
                <c:pt idx="124" formatCode="General">
                  <c:v>0.85184671482861007</c:v>
                </c:pt>
                <c:pt idx="125" formatCode="General">
                  <c:v>0.89183703076264675</c:v>
                </c:pt>
                <c:pt idx="126" formatCode="General">
                  <c:v>0.77528061341164167</c:v>
                </c:pt>
                <c:pt idx="127" formatCode="General">
                  <c:v>0.63314838413828778</c:v>
                </c:pt>
                <c:pt idx="128" formatCode="General">
                  <c:v>0.53671421426280963</c:v>
                </c:pt>
                <c:pt idx="129" formatCode="General">
                  <c:v>0.51765768729339612</c:v>
                </c:pt>
                <c:pt idx="130" formatCode="General">
                  <c:v>0.48603796335942723</c:v>
                </c:pt>
                <c:pt idx="131" formatCode="General">
                  <c:v>0.50426969911727759</c:v>
                </c:pt>
                <c:pt idx="132" formatCode="General">
                  <c:v>0.53114935975554411</c:v>
                </c:pt>
                <c:pt idx="133" formatCode="General">
                  <c:v>0.57107793358818271</c:v>
                </c:pt>
                <c:pt idx="134" formatCode="General">
                  <c:v>0.60359101986382269</c:v>
                </c:pt>
                <c:pt idx="135" formatCode="General">
                  <c:v>0.62946911853128651</c:v>
                </c:pt>
                <c:pt idx="136" formatCode="General">
                  <c:v>0.65600801180445001</c:v>
                </c:pt>
                <c:pt idx="137" formatCode="General">
                  <c:v>0.67041860437029221</c:v>
                </c:pt>
                <c:pt idx="138" formatCode="General">
                  <c:v>0.67809993978502525</c:v>
                </c:pt>
                <c:pt idx="139" formatCode="General">
                  <c:v>0.6263882369705881</c:v>
                </c:pt>
                <c:pt idx="140" formatCode="General">
                  <c:v>0.53232947834175059</c:v>
                </c:pt>
                <c:pt idx="141" formatCode="General">
                  <c:v>0.62606885025986869</c:v>
                </c:pt>
                <c:pt idx="142" formatCode="General">
                  <c:v>0.64446284291611433</c:v>
                </c:pt>
                <c:pt idx="143" formatCode="General">
                  <c:v>0.64989718527796869</c:v>
                </c:pt>
                <c:pt idx="144" formatCode="General">
                  <c:v>0.65990327887230649</c:v>
                </c:pt>
                <c:pt idx="145" formatCode="General">
                  <c:v>0.67304759075835086</c:v>
                </c:pt>
                <c:pt idx="146" formatCode="General">
                  <c:v>0.69157191473981006</c:v>
                </c:pt>
                <c:pt idx="147" formatCode="General">
                  <c:v>0.71773577316609505</c:v>
                </c:pt>
                <c:pt idx="148" formatCode="General">
                  <c:v>0.74468713306743073</c:v>
                </c:pt>
                <c:pt idx="149" formatCode="General">
                  <c:v>0.76613692290222568</c:v>
                </c:pt>
                <c:pt idx="150" formatCode="General">
                  <c:v>0.69687424707685941</c:v>
                </c:pt>
                <c:pt idx="151" formatCode="General">
                  <c:v>0.67127847547247455</c:v>
                </c:pt>
                <c:pt idx="152" formatCode="General">
                  <c:v>0.62408603739611712</c:v>
                </c:pt>
                <c:pt idx="153" formatCode="General">
                  <c:v>0.55101318559489398</c:v>
                </c:pt>
                <c:pt idx="154" formatCode="General">
                  <c:v>0.51391616335838208</c:v>
                </c:pt>
                <c:pt idx="155" formatCode="General">
                  <c:v>0.57034551490956797</c:v>
                </c:pt>
                <c:pt idx="156" formatCode="General">
                  <c:v>0.65287931876494254</c:v>
                </c:pt>
                <c:pt idx="157" formatCode="General">
                  <c:v>0.67046303735048185</c:v>
                </c:pt>
                <c:pt idx="158" formatCode="General">
                  <c:v>0.69498127956047351</c:v>
                </c:pt>
                <c:pt idx="159" formatCode="General">
                  <c:v>0.71108225798321523</c:v>
                </c:pt>
                <c:pt idx="160" formatCode="General">
                  <c:v>0.75155944493120541</c:v>
                </c:pt>
                <c:pt idx="161" formatCode="General">
                  <c:v>0.77253629475168484</c:v>
                </c:pt>
                <c:pt idx="162" formatCode="General">
                  <c:v>0.73112328624835554</c:v>
                </c:pt>
                <c:pt idx="163" formatCode="General">
                  <c:v>0.66822117760632926</c:v>
                </c:pt>
                <c:pt idx="164" formatCode="General">
                  <c:v>0.66485661477092939</c:v>
                </c:pt>
                <c:pt idx="165" formatCode="General">
                  <c:v>0.61382659155957919</c:v>
                </c:pt>
                <c:pt idx="166" formatCode="General">
                  <c:v>0.56662444637195442</c:v>
                </c:pt>
                <c:pt idx="167" formatCode="General">
                  <c:v>0.62638204352092552</c:v>
                </c:pt>
                <c:pt idx="168" formatCode="General">
                  <c:v>0.71194080997677689</c:v>
                </c:pt>
                <c:pt idx="169" formatCode="General">
                  <c:v>0.77903522345843967</c:v>
                </c:pt>
                <c:pt idx="170" formatCode="General">
                  <c:v>0.80252168235693555</c:v>
                </c:pt>
                <c:pt idx="171" formatCode="General">
                  <c:v>0.81043899810985398</c:v>
                </c:pt>
                <c:pt idx="172" formatCode="General">
                  <c:v>0.81568633982286087</c:v>
                </c:pt>
                <c:pt idx="173" formatCode="General">
                  <c:v>0.82534896043915384</c:v>
                </c:pt>
                <c:pt idx="174" formatCode="General">
                  <c:v>0.77299432445866789</c:v>
                </c:pt>
                <c:pt idx="175" formatCode="General">
                  <c:v>0.71884269382862609</c:v>
                </c:pt>
                <c:pt idx="176" formatCode="General">
                  <c:v>0.60874495295569375</c:v>
                </c:pt>
                <c:pt idx="177" formatCode="General">
                  <c:v>0.61479936674922964</c:v>
                </c:pt>
                <c:pt idx="178" formatCode="General">
                  <c:v>0.58614764324994084</c:v>
                </c:pt>
                <c:pt idx="179" formatCode="General">
                  <c:v>0.59007427813867608</c:v>
                </c:pt>
                <c:pt idx="180" formatCode="General">
                  <c:v>0.60168408806862361</c:v>
                </c:pt>
                <c:pt idx="181" formatCode="General">
                  <c:v>0.61833910982184037</c:v>
                </c:pt>
                <c:pt idx="182" formatCode="General">
                  <c:v>0.63815648834287519</c:v>
                </c:pt>
                <c:pt idx="183" formatCode="General">
                  <c:v>0.64862398829366708</c:v>
                </c:pt>
                <c:pt idx="184" formatCode="General">
                  <c:v>0.65457594534309282</c:v>
                </c:pt>
                <c:pt idx="185" formatCode="General">
                  <c:v>0.65756910113019607</c:v>
                </c:pt>
                <c:pt idx="186" formatCode="General">
                  <c:v>0.65170424965796969</c:v>
                </c:pt>
                <c:pt idx="187" formatCode="General">
                  <c:v>0.53132733993770265</c:v>
                </c:pt>
                <c:pt idx="188" formatCode="General">
                  <c:v>0.59112880742795837</c:v>
                </c:pt>
                <c:pt idx="189" formatCode="General">
                  <c:v>0.67970715937152681</c:v>
                </c:pt>
                <c:pt idx="190" formatCode="General">
                  <c:v>0.69220280072122797</c:v>
                </c:pt>
                <c:pt idx="191" formatCode="General">
                  <c:v>0.73291488442060171</c:v>
                </c:pt>
                <c:pt idx="192" formatCode="General">
                  <c:v>0.77335104659721032</c:v>
                </c:pt>
                <c:pt idx="193" formatCode="General">
                  <c:v>0.83138001191113386</c:v>
                </c:pt>
                <c:pt idx="194" formatCode="General">
                  <c:v>0.81988749450946397</c:v>
                </c:pt>
                <c:pt idx="195" formatCode="General">
                  <c:v>0.79905058155383346</c:v>
                </c:pt>
                <c:pt idx="196" formatCode="General">
                  <c:v>0.79519885534415524</c:v>
                </c:pt>
                <c:pt idx="197" formatCode="General">
                  <c:v>0.80908998366557805</c:v>
                </c:pt>
                <c:pt idx="198" formatCode="General">
                  <c:v>0.78665951641078058</c:v>
                </c:pt>
                <c:pt idx="199" formatCode="General">
                  <c:v>0.70829071954867284</c:v>
                </c:pt>
                <c:pt idx="200" formatCode="General">
                  <c:v>0.66923391102457797</c:v>
                </c:pt>
                <c:pt idx="201" formatCode="General">
                  <c:v>0.61670796135696215</c:v>
                </c:pt>
                <c:pt idx="202" formatCode="General">
                  <c:v>0.54840658303877665</c:v>
                </c:pt>
                <c:pt idx="203" formatCode="General">
                  <c:v>0.56094393810472298</c:v>
                </c:pt>
                <c:pt idx="204" formatCode="General">
                  <c:v>0.59018520407616137</c:v>
                </c:pt>
                <c:pt idx="205" formatCode="General">
                  <c:v>0.64240482219849993</c:v>
                </c:pt>
                <c:pt idx="206" formatCode="General">
                  <c:v>0.70262448635634822</c:v>
                </c:pt>
                <c:pt idx="207" formatCode="General">
                  <c:v>0.74815841545805606</c:v>
                </c:pt>
                <c:pt idx="208" formatCode="General">
                  <c:v>0.77723920341743236</c:v>
                </c:pt>
                <c:pt idx="209" formatCode="General">
                  <c:v>0.80588890682731673</c:v>
                </c:pt>
                <c:pt idx="210" formatCode="General">
                  <c:v>0.70055782208705542</c:v>
                </c:pt>
                <c:pt idx="211" formatCode="General">
                  <c:v>0.65732854237370264</c:v>
                </c:pt>
                <c:pt idx="212" formatCode="General">
                  <c:v>0.65039712872787858</c:v>
                </c:pt>
                <c:pt idx="213" formatCode="General">
                  <c:v>0.61497610391290503</c:v>
                </c:pt>
                <c:pt idx="214" formatCode="General">
                  <c:v>0.55843603678683507</c:v>
                </c:pt>
                <c:pt idx="215" formatCode="General">
                  <c:v>0.5712489841825481</c:v>
                </c:pt>
                <c:pt idx="216" formatCode="General">
                  <c:v>0.60892910754898977</c:v>
                </c:pt>
                <c:pt idx="217" formatCode="General">
                  <c:v>0.66661262204875671</c:v>
                </c:pt>
                <c:pt idx="218" formatCode="General">
                  <c:v>0.73016998244603348</c:v>
                </c:pt>
                <c:pt idx="219" formatCode="General">
                  <c:v>0.79256764136620017</c:v>
                </c:pt>
                <c:pt idx="220" formatCode="General">
                  <c:v>0.84986990231739457</c:v>
                </c:pt>
                <c:pt idx="221" formatCode="General">
                  <c:v>0.8790391546057873</c:v>
                </c:pt>
                <c:pt idx="222" formatCode="General">
                  <c:v>0.78818893479006413</c:v>
                </c:pt>
                <c:pt idx="223" formatCode="General">
                  <c:v>0.6685739726408485</c:v>
                </c:pt>
                <c:pt idx="224" formatCode="General">
                  <c:v>0.63494109835877943</c:v>
                </c:pt>
                <c:pt idx="225" formatCode="General">
                  <c:v>0.56348555689602742</c:v>
                </c:pt>
                <c:pt idx="226" formatCode="General">
                  <c:v>0.51512150798645173</c:v>
                </c:pt>
                <c:pt idx="227" formatCode="General">
                  <c:v>0.56316005338474251</c:v>
                </c:pt>
                <c:pt idx="228" formatCode="General">
                  <c:v>0.59473955422088498</c:v>
                </c:pt>
                <c:pt idx="229" formatCode="General">
                  <c:v>0.63792802640535784</c:v>
                </c:pt>
                <c:pt idx="230" formatCode="General">
                  <c:v>0.69242520713381794</c:v>
                </c:pt>
                <c:pt idx="231" formatCode="General">
                  <c:v>0.72596884348476987</c:v>
                </c:pt>
                <c:pt idx="232" formatCode="General">
                  <c:v>0.75917923668725584</c:v>
                </c:pt>
                <c:pt idx="233" formatCode="General">
                  <c:v>0.81533398597146656</c:v>
                </c:pt>
                <c:pt idx="234" formatCode="General">
                  <c:v>0.7614320300422428</c:v>
                </c:pt>
                <c:pt idx="235" formatCode="General">
                  <c:v>0.67138012269859182</c:v>
                </c:pt>
                <c:pt idx="236" formatCode="General">
                  <c:v>0.54127662047207292</c:v>
                </c:pt>
                <c:pt idx="237" formatCode="General">
                  <c:v>0.47417966781138832</c:v>
                </c:pt>
                <c:pt idx="238" formatCode="General">
                  <c:v>0.41942561700440573</c:v>
                </c:pt>
                <c:pt idx="239" formatCode="General">
                  <c:v>0.43758672819596278</c:v>
                </c:pt>
                <c:pt idx="240" formatCode="General">
                  <c:v>0.4917322824265779</c:v>
                </c:pt>
                <c:pt idx="241" formatCode="General">
                  <c:v>0.580855663012107</c:v>
                </c:pt>
                <c:pt idx="242" formatCode="General">
                  <c:v>0.68402044538115514</c:v>
                </c:pt>
                <c:pt idx="243" formatCode="General">
                  <c:v>0.81080539978562338</c:v>
                </c:pt>
                <c:pt idx="244" formatCode="General">
                  <c:v>0.90418776509132459</c:v>
                </c:pt>
                <c:pt idx="245" formatCode="General">
                  <c:v>0.93890896444986982</c:v>
                </c:pt>
                <c:pt idx="246" formatCode="General">
                  <c:v>0.91661759159375511</c:v>
                </c:pt>
                <c:pt idx="247" formatCode="General">
                  <c:v>0.81933519923426701</c:v>
                </c:pt>
                <c:pt idx="248" formatCode="General">
                  <c:v>0.70766550786624061</c:v>
                </c:pt>
                <c:pt idx="249" formatCode="General">
                  <c:v>0.69123085826895669</c:v>
                </c:pt>
                <c:pt idx="250" formatCode="General">
                  <c:v>0.66171603576069737</c:v>
                </c:pt>
                <c:pt idx="251" formatCode="General">
                  <c:v>0.68245592820885581</c:v>
                </c:pt>
                <c:pt idx="252" formatCode="General">
                  <c:v>0.71641585376913952</c:v>
                </c:pt>
                <c:pt idx="253" formatCode="General">
                  <c:v>0.7436440727280027</c:v>
                </c:pt>
                <c:pt idx="254" formatCode="General">
                  <c:v>0.77154862070221719</c:v>
                </c:pt>
                <c:pt idx="255" formatCode="General">
                  <c:v>0.80801935497091859</c:v>
                </c:pt>
                <c:pt idx="256" formatCode="General">
                  <c:v>0.84864833371688331</c:v>
                </c:pt>
                <c:pt idx="257" formatCode="General">
                  <c:v>0.87610605128803076</c:v>
                </c:pt>
                <c:pt idx="258" formatCode="General">
                  <c:v>0.81015174360927911</c:v>
                </c:pt>
                <c:pt idx="259" formatCode="General">
                  <c:v>0.83129280432126584</c:v>
                </c:pt>
                <c:pt idx="260" formatCode="General">
                  <c:v>0.81343041608972178</c:v>
                </c:pt>
                <c:pt idx="261" formatCode="General">
                  <c:v>0.65714197295555632</c:v>
                </c:pt>
                <c:pt idx="262" formatCode="General">
                  <c:v>0.54871092800571697</c:v>
                </c:pt>
                <c:pt idx="263" formatCode="General">
                  <c:v>0.56561032245789244</c:v>
                </c:pt>
                <c:pt idx="264" formatCode="General">
                  <c:v>0.60001324977632031</c:v>
                </c:pt>
                <c:pt idx="265" formatCode="General">
                  <c:v>0.63086468929321471</c:v>
                </c:pt>
                <c:pt idx="266" formatCode="General">
                  <c:v>0.66284110350754033</c:v>
                </c:pt>
                <c:pt idx="267" formatCode="General">
                  <c:v>0.71662601787179803</c:v>
                </c:pt>
                <c:pt idx="268" formatCode="General">
                  <c:v>0.79637834439851429</c:v>
                </c:pt>
                <c:pt idx="269" formatCode="General">
                  <c:v>0.87652343307450797</c:v>
                </c:pt>
                <c:pt idx="270" formatCode="General">
                  <c:v>0.83032133861471302</c:v>
                </c:pt>
                <c:pt idx="271" formatCode="General">
                  <c:v>0.8054577520496049</c:v>
                </c:pt>
                <c:pt idx="272" formatCode="General">
                  <c:v>0.68188858877385317</c:v>
                </c:pt>
                <c:pt idx="273" formatCode="General">
                  <c:v>0.57869345539647787</c:v>
                </c:pt>
                <c:pt idx="274" formatCode="General">
                  <c:v>0.4804245541474641</c:v>
                </c:pt>
                <c:pt idx="275" formatCode="General">
                  <c:v>0.52898733582121094</c:v>
                </c:pt>
                <c:pt idx="276" formatCode="General">
                  <c:v>0.56876441336190431</c:v>
                </c:pt>
                <c:pt idx="277" formatCode="General">
                  <c:v>0.58768007171521397</c:v>
                </c:pt>
                <c:pt idx="278" formatCode="General">
                  <c:v>0.60610706129825087</c:v>
                </c:pt>
                <c:pt idx="279" formatCode="General">
                  <c:v>0.64274746601840516</c:v>
                </c:pt>
                <c:pt idx="280" formatCode="General">
                  <c:v>0.73279500760641125</c:v>
                </c:pt>
                <c:pt idx="281" formatCode="General">
                  <c:v>0.86624104333635366</c:v>
                </c:pt>
                <c:pt idx="282" formatCode="General">
                  <c:v>0.75329754219727496</c:v>
                </c:pt>
                <c:pt idx="283" formatCode="General">
                  <c:v>0.70869617265061613</c:v>
                </c:pt>
                <c:pt idx="284" formatCode="General">
                  <c:v>0.78740603053059055</c:v>
                </c:pt>
                <c:pt idx="285" formatCode="General">
                  <c:v>0.7583428908224864</c:v>
                </c:pt>
                <c:pt idx="286" formatCode="General">
                  <c:v>0.71805254617023873</c:v>
                </c:pt>
                <c:pt idx="287" formatCode="General">
                  <c:v>0.73264193060725791</c:v>
                </c:pt>
                <c:pt idx="288" formatCode="General">
                  <c:v>0.75962851103482876</c:v>
                </c:pt>
                <c:pt idx="289" formatCode="General">
                  <c:v>0.77570272875976054</c:v>
                </c:pt>
                <c:pt idx="290" formatCode="General">
                  <c:v>0.78514224315367886</c:v>
                </c:pt>
                <c:pt idx="291" formatCode="General">
                  <c:v>0.81348591714795759</c:v>
                </c:pt>
                <c:pt idx="292" formatCode="General">
                  <c:v>0.86420183128385097</c:v>
                </c:pt>
                <c:pt idx="293" formatCode="General">
                  <c:v>0.90147223764162832</c:v>
                </c:pt>
                <c:pt idx="294" formatCode="General">
                  <c:v>0.79714337408956226</c:v>
                </c:pt>
                <c:pt idx="295" formatCode="General">
                  <c:v>0.71338722644640196</c:v>
                </c:pt>
                <c:pt idx="296" formatCode="General">
                  <c:v>0.78987431661937713</c:v>
                </c:pt>
                <c:pt idx="297" formatCode="General">
                  <c:v>0.81823255174445475</c:v>
                </c:pt>
                <c:pt idx="298" formatCode="General">
                  <c:v>0.73129586173216143</c:v>
                </c:pt>
                <c:pt idx="299" formatCode="General">
                  <c:v>0.73610224494000809</c:v>
                </c:pt>
                <c:pt idx="300" formatCode="General">
                  <c:v>0.74370332183343468</c:v>
                </c:pt>
                <c:pt idx="301" formatCode="General">
                  <c:v>0.75069191291384207</c:v>
                </c:pt>
                <c:pt idx="302" formatCode="General">
                  <c:v>0.75923640137472537</c:v>
                </c:pt>
                <c:pt idx="303" formatCode="General">
                  <c:v>0.77709580832840908</c:v>
                </c:pt>
                <c:pt idx="304" formatCode="General">
                  <c:v>0.81717086380349357</c:v>
                </c:pt>
                <c:pt idx="305" formatCode="General">
                  <c:v>0.87504808295641301</c:v>
                </c:pt>
                <c:pt idx="306" formatCode="General">
                  <c:v>0.81395007392242769</c:v>
                </c:pt>
                <c:pt idx="307" formatCode="General">
                  <c:v>0.83339776199516968</c:v>
                </c:pt>
                <c:pt idx="308" formatCode="General">
                  <c:v>0.62954018922411603</c:v>
                </c:pt>
                <c:pt idx="309" formatCode="General">
                  <c:v>0.72299033890053432</c:v>
                </c:pt>
                <c:pt idx="310" formatCode="General">
                  <c:v>0.71483037589746679</c:v>
                </c:pt>
                <c:pt idx="311" formatCode="General">
                  <c:v>0.71641229617737301</c:v>
                </c:pt>
                <c:pt idx="312" formatCode="General">
                  <c:v>0.72012246992124429</c:v>
                </c:pt>
                <c:pt idx="313" formatCode="General">
                  <c:v>0.73005446386806394</c:v>
                </c:pt>
                <c:pt idx="314" formatCode="General">
                  <c:v>0.74497289407188416</c:v>
                </c:pt>
                <c:pt idx="315" formatCode="General">
                  <c:v>0.77464696732636606</c:v>
                </c:pt>
                <c:pt idx="316" formatCode="General">
                  <c:v>0.80097428643014845</c:v>
                </c:pt>
                <c:pt idx="317" formatCode="General">
                  <c:v>0.80931591367705524</c:v>
                </c:pt>
                <c:pt idx="318" formatCode="General">
                  <c:v>0.77412060721805176</c:v>
                </c:pt>
                <c:pt idx="319" formatCode="General">
                  <c:v>0.60579710618145133</c:v>
                </c:pt>
                <c:pt idx="320" formatCode="General">
                  <c:v>0.56101165316395307</c:v>
                </c:pt>
                <c:pt idx="321" formatCode="General">
                  <c:v>0.50449935251687406</c:v>
                </c:pt>
                <c:pt idx="322" formatCode="General">
                  <c:v>0.46860897085388031</c:v>
                </c:pt>
                <c:pt idx="323" formatCode="General">
                  <c:v>0.48912376101328314</c:v>
                </c:pt>
                <c:pt idx="324" formatCode="General">
                  <c:v>0.53328066575773148</c:v>
                </c:pt>
                <c:pt idx="325" formatCode="General">
                  <c:v>0.59868363614701525</c:v>
                </c:pt>
                <c:pt idx="326" formatCode="General">
                  <c:v>0.66164010125575801</c:v>
                </c:pt>
                <c:pt idx="327" formatCode="General">
                  <c:v>0.6938688538243013</c:v>
                </c:pt>
                <c:pt idx="328" formatCode="General">
                  <c:v>0.80861490684711712</c:v>
                </c:pt>
                <c:pt idx="329" formatCode="General">
                  <c:v>0.91858380772565873</c:v>
                </c:pt>
                <c:pt idx="330" formatCode="General">
                  <c:v>0.86152364863408248</c:v>
                </c:pt>
                <c:pt idx="331" formatCode="General">
                  <c:v>0.74480427878248678</c:v>
                </c:pt>
                <c:pt idx="332" formatCode="General">
                  <c:v>0.721929639993524</c:v>
                </c:pt>
                <c:pt idx="333" formatCode="General">
                  <c:v>0.83608130192832308</c:v>
                </c:pt>
                <c:pt idx="334" formatCode="General">
                  <c:v>0.78385579536404193</c:v>
                </c:pt>
                <c:pt idx="335" formatCode="General">
                  <c:v>0.79564996151895717</c:v>
                </c:pt>
                <c:pt idx="336" formatCode="General">
                  <c:v>0.81130631098917427</c:v>
                </c:pt>
                <c:pt idx="337" formatCode="General">
                  <c:v>0.83003792626460893</c:v>
                </c:pt>
                <c:pt idx="338" formatCode="General">
                  <c:v>0.86216277221656745</c:v>
                </c:pt>
                <c:pt idx="339" formatCode="General">
                  <c:v>0.89192263599895893</c:v>
                </c:pt>
                <c:pt idx="340" formatCode="General">
                  <c:v>0.90888010349036452</c:v>
                </c:pt>
                <c:pt idx="341" formatCode="General">
                  <c:v>0.92047986940176252</c:v>
                </c:pt>
                <c:pt idx="342" formatCode="General">
                  <c:v>0.88985100071049028</c:v>
                </c:pt>
                <c:pt idx="343" formatCode="General">
                  <c:v>0.89938313290038241</c:v>
                </c:pt>
                <c:pt idx="344" formatCode="General">
                  <c:v>0.81536504194073223</c:v>
                </c:pt>
                <c:pt idx="345" formatCode="General">
                  <c:v>0.6582987994073336</c:v>
                </c:pt>
                <c:pt idx="346" formatCode="General">
                  <c:v>0.62343767837117203</c:v>
                </c:pt>
                <c:pt idx="347" formatCode="General">
                  <c:v>0.62778009947225244</c:v>
                </c:pt>
                <c:pt idx="348" formatCode="General">
                  <c:v>0.63172278219574329</c:v>
                </c:pt>
                <c:pt idx="349" formatCode="General">
                  <c:v>0.64625448355530879</c:v>
                </c:pt>
                <c:pt idx="350" formatCode="General">
                  <c:v>0.66873014301109268</c:v>
                </c:pt>
                <c:pt idx="351" formatCode="General">
                  <c:v>0.71364136320091076</c:v>
                </c:pt>
                <c:pt idx="352" formatCode="General">
                  <c:v>0.75502767989855657</c:v>
                </c:pt>
                <c:pt idx="353" formatCode="General">
                  <c:v>0.79335414648095404</c:v>
                </c:pt>
                <c:pt idx="354" formatCode="General">
                  <c:v>0.74761292291456016</c:v>
                </c:pt>
                <c:pt idx="355" formatCode="General">
                  <c:v>0.7270195000094769</c:v>
                </c:pt>
                <c:pt idx="356" formatCode="General">
                  <c:v>0.64117689281345391</c:v>
                </c:pt>
                <c:pt idx="357" formatCode="General">
                  <c:v>0.85315324421264438</c:v>
                </c:pt>
                <c:pt idx="358" formatCode="General">
                  <c:v>0.81847869059514833</c:v>
                </c:pt>
                <c:pt idx="359" formatCode="General">
                  <c:v>0.84524263852081771</c:v>
                </c:pt>
                <c:pt idx="360" formatCode="General">
                  <c:v>0.88266532384106366</c:v>
                </c:pt>
                <c:pt idx="361" formatCode="General">
                  <c:v>0.91540425591120334</c:v>
                </c:pt>
                <c:pt idx="362" formatCode="General">
                  <c:v>0.93327792347270655</c:v>
                </c:pt>
                <c:pt idx="363" formatCode="General">
                  <c:v>0.97042213785748632</c:v>
                </c:pt>
                <c:pt idx="364" formatCode="General">
                  <c:v>1.0331002885818479</c:v>
                </c:pt>
                <c:pt idx="365" formatCode="General">
                  <c:v>1.1010754591067766</c:v>
                </c:pt>
                <c:pt idx="366" formatCode="General">
                  <c:v>0.99321549204272275</c:v>
                </c:pt>
                <c:pt idx="367" formatCode="General">
                  <c:v>0.90126134946329273</c:v>
                </c:pt>
                <c:pt idx="368" formatCode="General">
                  <c:v>0.87488668293459182</c:v>
                </c:pt>
                <c:pt idx="369" formatCode="General">
                  <c:v>0.86617850868367019</c:v>
                </c:pt>
                <c:pt idx="370" formatCode="General">
                  <c:v>0.7860064050876524</c:v>
                </c:pt>
                <c:pt idx="371" formatCode="General">
                  <c:v>0.79959621182271423</c:v>
                </c:pt>
                <c:pt idx="372" formatCode="General">
                  <c:v>0.8120787746075504</c:v>
                </c:pt>
                <c:pt idx="373" formatCode="General">
                  <c:v>0.82448250250892641</c:v>
                </c:pt>
                <c:pt idx="374" formatCode="General">
                  <c:v>0.84292988154949144</c:v>
                </c:pt>
                <c:pt idx="375" formatCode="General">
                  <c:v>0.86282119036642735</c:v>
                </c:pt>
                <c:pt idx="376" formatCode="General">
                  <c:v>0.8797398799035776</c:v>
                </c:pt>
                <c:pt idx="377" formatCode="General">
                  <c:v>0.88898960553416817</c:v>
                </c:pt>
                <c:pt idx="378" formatCode="General">
                  <c:v>0.87042355834493002</c:v>
                </c:pt>
                <c:pt idx="379" formatCode="General">
                  <c:v>0.75600837151346589</c:v>
                </c:pt>
                <c:pt idx="380" formatCode="General">
                  <c:v>0.74116447215808512</c:v>
                </c:pt>
                <c:pt idx="381" formatCode="General">
                  <c:v>0.81693763222021665</c:v>
                </c:pt>
                <c:pt idx="382" formatCode="General">
                  <c:v>0.79337027969998319</c:v>
                </c:pt>
                <c:pt idx="383" formatCode="General">
                  <c:v>0.808587960247661</c:v>
                </c:pt>
                <c:pt idx="384" formatCode="General">
                  <c:v>0.84117569440355311</c:v>
                </c:pt>
                <c:pt idx="385" formatCode="General">
                  <c:v>0.88366853955386915</c:v>
                </c:pt>
                <c:pt idx="386" formatCode="General">
                  <c:v>0.9137247992930595</c:v>
                </c:pt>
                <c:pt idx="387" formatCode="General">
                  <c:v>0.9474163843960921</c:v>
                </c:pt>
                <c:pt idx="388" formatCode="General">
                  <c:v>0.96786038417858922</c:v>
                </c:pt>
                <c:pt idx="389" formatCode="General">
                  <c:v>0.97379492167379766</c:v>
                </c:pt>
                <c:pt idx="390" formatCode="General">
                  <c:v>0.94864896245782082</c:v>
                </c:pt>
                <c:pt idx="391" formatCode="General">
                  <c:v>0.86979074544830304</c:v>
                </c:pt>
                <c:pt idx="392" formatCode="General">
                  <c:v>0.73500902364507992</c:v>
                </c:pt>
                <c:pt idx="393" formatCode="General">
                  <c:v>0.67297375861386854</c:v>
                </c:pt>
                <c:pt idx="394" formatCode="General">
                  <c:v>0.66589606005468305</c:v>
                </c:pt>
                <c:pt idx="395" formatCode="General">
                  <c:v>0.6887218390126405</c:v>
                </c:pt>
                <c:pt idx="396" formatCode="General">
                  <c:v>0.7087176119718267</c:v>
                </c:pt>
                <c:pt idx="397" formatCode="General">
                  <c:v>0.72329302230156156</c:v>
                </c:pt>
                <c:pt idx="398" formatCode="General">
                  <c:v>0.7500613867689444</c:v>
                </c:pt>
                <c:pt idx="399" formatCode="General">
                  <c:v>0.79726906194382197</c:v>
                </c:pt>
                <c:pt idx="400" formatCode="General">
                  <c:v>0.84955347154759187</c:v>
                </c:pt>
                <c:pt idx="401" formatCode="General">
                  <c:v>0.88528555449325219</c:v>
                </c:pt>
                <c:pt idx="402" formatCode="General">
                  <c:v>0.80656171849385128</c:v>
                </c:pt>
                <c:pt idx="403" formatCode="General">
                  <c:v>0.7174969545828872</c:v>
                </c:pt>
                <c:pt idx="404" formatCode="General">
                  <c:v>0.85077669391394883</c:v>
                </c:pt>
                <c:pt idx="405" formatCode="General">
                  <c:v>0.86642802653947326</c:v>
                </c:pt>
                <c:pt idx="406" formatCode="General">
                  <c:v>0.81130932185659643</c:v>
                </c:pt>
                <c:pt idx="407" formatCode="General">
                  <c:v>0.81645577412738835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99-4526-9791-B49E7745A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892424"/>
        <c:axId val="800892752"/>
      </c:scatterChart>
      <c:valAx>
        <c:axId val="800892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92752"/>
        <c:crosses val="autoZero"/>
        <c:crossBetween val="midCat"/>
      </c:valAx>
      <c:valAx>
        <c:axId val="80089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92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monthly!$K$1</c:f>
              <c:strCache>
                <c:ptCount val="1"/>
                <c:pt idx="0">
                  <c:v>Extension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monthly!$I$2:$I$409</c:f>
              <c:numCache>
                <c:formatCode>0.0</c:formatCode>
                <c:ptCount val="408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</c:numCache>
            </c:numRef>
          </c:xVal>
          <c:yVal>
            <c:numRef>
              <c:f>monthly!$K$2:$K$409</c:f>
              <c:numCache>
                <c:formatCode>0.000</c:formatCode>
                <c:ptCount val="408"/>
                <c:pt idx="0">
                  <c:v>7.6000000000000512E-2</c:v>
                </c:pt>
                <c:pt idx="1">
                  <c:v>7.6000000000000512E-2</c:v>
                </c:pt>
                <c:pt idx="2">
                  <c:v>6.0800000000000409E-2</c:v>
                </c:pt>
                <c:pt idx="3">
                  <c:v>7.6000000000000512E-2</c:v>
                </c:pt>
                <c:pt idx="4">
                  <c:v>7.6000000000000512E-2</c:v>
                </c:pt>
                <c:pt idx="5">
                  <c:v>6.0800000000000409E-2</c:v>
                </c:pt>
                <c:pt idx="6">
                  <c:v>0.21280000000000143</c:v>
                </c:pt>
                <c:pt idx="7">
                  <c:v>0.21280000000000143</c:v>
                </c:pt>
                <c:pt idx="8">
                  <c:v>0.21280000000000143</c:v>
                </c:pt>
                <c:pt idx="9">
                  <c:v>0.21280000000000143</c:v>
                </c:pt>
                <c:pt idx="10">
                  <c:v>9.1200000000000614E-2</c:v>
                </c:pt>
                <c:pt idx="11">
                  <c:v>9.1200000000000614E-2</c:v>
                </c:pt>
                <c:pt idx="12">
                  <c:v>9.1200000000000614E-2</c:v>
                </c:pt>
                <c:pt idx="13">
                  <c:v>9.1200000000000614E-2</c:v>
                </c:pt>
                <c:pt idx="14">
                  <c:v>0.10640000000000072</c:v>
                </c:pt>
                <c:pt idx="15">
                  <c:v>9.1200000000000614E-2</c:v>
                </c:pt>
                <c:pt idx="16">
                  <c:v>9.1200000000000614E-2</c:v>
                </c:pt>
                <c:pt idx="17">
                  <c:v>9.1200000000000614E-2</c:v>
                </c:pt>
                <c:pt idx="18">
                  <c:v>0.22800000000000153</c:v>
                </c:pt>
                <c:pt idx="19">
                  <c:v>0.22800000000000153</c:v>
                </c:pt>
                <c:pt idx="20">
                  <c:v>0.22800000000000153</c:v>
                </c:pt>
                <c:pt idx="21">
                  <c:v>0.22800000000000153</c:v>
                </c:pt>
                <c:pt idx="22">
                  <c:v>7.6000000000000512E-2</c:v>
                </c:pt>
                <c:pt idx="23">
                  <c:v>9.1200000000000614E-2</c:v>
                </c:pt>
                <c:pt idx="24">
                  <c:v>7.6000000000000512E-2</c:v>
                </c:pt>
                <c:pt idx="25">
                  <c:v>9.1200000000000614E-2</c:v>
                </c:pt>
                <c:pt idx="26">
                  <c:v>7.6000000000000512E-2</c:v>
                </c:pt>
                <c:pt idx="27">
                  <c:v>7.6000000000000512E-2</c:v>
                </c:pt>
                <c:pt idx="28">
                  <c:v>9.1200000000000614E-2</c:v>
                </c:pt>
                <c:pt idx="29">
                  <c:v>7.6000000000000512E-2</c:v>
                </c:pt>
                <c:pt idx="30">
                  <c:v>0.22800000000000153</c:v>
                </c:pt>
                <c:pt idx="31">
                  <c:v>0.22800000000000153</c:v>
                </c:pt>
                <c:pt idx="32">
                  <c:v>0.22800000000000153</c:v>
                </c:pt>
                <c:pt idx="33">
                  <c:v>0.22800000000000153</c:v>
                </c:pt>
                <c:pt idx="34">
                  <c:v>0.12160000000000082</c:v>
                </c:pt>
                <c:pt idx="35">
                  <c:v>0.12160000000000082</c:v>
                </c:pt>
                <c:pt idx="36">
                  <c:v>0.13680000000000092</c:v>
                </c:pt>
                <c:pt idx="37">
                  <c:v>0.12160000000000082</c:v>
                </c:pt>
                <c:pt idx="38">
                  <c:v>0.13680000000000092</c:v>
                </c:pt>
                <c:pt idx="39">
                  <c:v>0.12160000000000082</c:v>
                </c:pt>
                <c:pt idx="40">
                  <c:v>0.13680000000000092</c:v>
                </c:pt>
                <c:pt idx="41">
                  <c:v>0.12160000000000082</c:v>
                </c:pt>
                <c:pt idx="42">
                  <c:v>0.25840000000000174</c:v>
                </c:pt>
                <c:pt idx="43">
                  <c:v>0.27360000000000184</c:v>
                </c:pt>
                <c:pt idx="44">
                  <c:v>0.25840000000000174</c:v>
                </c:pt>
                <c:pt idx="45">
                  <c:v>0.27360000000000184</c:v>
                </c:pt>
                <c:pt idx="46">
                  <c:v>6.0800000000000409E-2</c:v>
                </c:pt>
                <c:pt idx="47">
                  <c:v>6.0800000000000409E-2</c:v>
                </c:pt>
                <c:pt idx="48">
                  <c:v>6.0800000000000409E-2</c:v>
                </c:pt>
                <c:pt idx="49">
                  <c:v>6.0800000000000409E-2</c:v>
                </c:pt>
                <c:pt idx="50">
                  <c:v>6.0800000000000409E-2</c:v>
                </c:pt>
                <c:pt idx="51">
                  <c:v>4.5600000000000307E-2</c:v>
                </c:pt>
                <c:pt idx="52">
                  <c:v>6.0800000000000409E-2</c:v>
                </c:pt>
                <c:pt idx="53">
                  <c:v>6.0800000000000409E-2</c:v>
                </c:pt>
                <c:pt idx="54">
                  <c:v>0.21280000000000143</c:v>
                </c:pt>
                <c:pt idx="55">
                  <c:v>0.22800000000000153</c:v>
                </c:pt>
                <c:pt idx="56">
                  <c:v>0.21280000000000143</c:v>
                </c:pt>
                <c:pt idx="57">
                  <c:v>0.21280000000000143</c:v>
                </c:pt>
                <c:pt idx="58">
                  <c:v>7.6000000000000512E-2</c:v>
                </c:pt>
                <c:pt idx="59">
                  <c:v>9.1200000000000614E-2</c:v>
                </c:pt>
                <c:pt idx="60">
                  <c:v>7.6000000000000512E-2</c:v>
                </c:pt>
                <c:pt idx="61">
                  <c:v>7.6000000000000512E-2</c:v>
                </c:pt>
                <c:pt idx="62">
                  <c:v>7.6000000000000512E-2</c:v>
                </c:pt>
                <c:pt idx="63">
                  <c:v>9.1200000000000614E-2</c:v>
                </c:pt>
                <c:pt idx="64">
                  <c:v>7.6000000000000512E-2</c:v>
                </c:pt>
                <c:pt idx="65">
                  <c:v>7.6000000000000512E-2</c:v>
                </c:pt>
                <c:pt idx="66">
                  <c:v>0.22800000000000153</c:v>
                </c:pt>
                <c:pt idx="67">
                  <c:v>0.24320000000000164</c:v>
                </c:pt>
                <c:pt idx="68">
                  <c:v>0.22800000000000153</c:v>
                </c:pt>
                <c:pt idx="69">
                  <c:v>0.24320000000000164</c:v>
                </c:pt>
                <c:pt idx="70">
                  <c:v>4.5600000000000307E-2</c:v>
                </c:pt>
                <c:pt idx="71">
                  <c:v>4.5600000000000307E-2</c:v>
                </c:pt>
                <c:pt idx="72">
                  <c:v>4.5600000000000307E-2</c:v>
                </c:pt>
                <c:pt idx="73">
                  <c:v>4.5600000000000307E-2</c:v>
                </c:pt>
                <c:pt idx="74">
                  <c:v>4.5600000000000307E-2</c:v>
                </c:pt>
                <c:pt idx="75">
                  <c:v>4.5600000000000307E-2</c:v>
                </c:pt>
                <c:pt idx="76">
                  <c:v>4.5600000000000307E-2</c:v>
                </c:pt>
                <c:pt idx="77">
                  <c:v>4.5600000000000307E-2</c:v>
                </c:pt>
                <c:pt idx="78">
                  <c:v>0.18240000000000123</c:v>
                </c:pt>
                <c:pt idx="79">
                  <c:v>0.18240000000000123</c:v>
                </c:pt>
                <c:pt idx="80">
                  <c:v>0.16720000000000113</c:v>
                </c:pt>
                <c:pt idx="81">
                  <c:v>0.18240000000000123</c:v>
                </c:pt>
                <c:pt idx="82">
                  <c:v>6.0800000000000409E-2</c:v>
                </c:pt>
                <c:pt idx="83">
                  <c:v>6.0800000000000409E-2</c:v>
                </c:pt>
                <c:pt idx="84">
                  <c:v>7.6000000000000512E-2</c:v>
                </c:pt>
                <c:pt idx="85">
                  <c:v>6.0800000000000409E-2</c:v>
                </c:pt>
                <c:pt idx="86">
                  <c:v>6.0800000000000409E-2</c:v>
                </c:pt>
                <c:pt idx="87">
                  <c:v>6.0800000000000409E-2</c:v>
                </c:pt>
                <c:pt idx="88">
                  <c:v>6.0800000000000409E-2</c:v>
                </c:pt>
                <c:pt idx="89">
                  <c:v>6.0800000000000409E-2</c:v>
                </c:pt>
                <c:pt idx="90">
                  <c:v>0.18240000000000123</c:v>
                </c:pt>
                <c:pt idx="91">
                  <c:v>0.19760000000000133</c:v>
                </c:pt>
                <c:pt idx="92">
                  <c:v>0.18240000000000123</c:v>
                </c:pt>
                <c:pt idx="93">
                  <c:v>0.18240000000000123</c:v>
                </c:pt>
                <c:pt idx="94">
                  <c:v>6.0800000000000409E-2</c:v>
                </c:pt>
                <c:pt idx="95">
                  <c:v>6.0800000000000409E-2</c:v>
                </c:pt>
                <c:pt idx="96">
                  <c:v>7.6000000000000512E-2</c:v>
                </c:pt>
                <c:pt idx="97">
                  <c:v>6.0800000000000409E-2</c:v>
                </c:pt>
                <c:pt idx="98">
                  <c:v>6.0800000000000409E-2</c:v>
                </c:pt>
                <c:pt idx="99">
                  <c:v>6.0800000000000409E-2</c:v>
                </c:pt>
                <c:pt idx="100">
                  <c:v>6.0800000000000409E-2</c:v>
                </c:pt>
                <c:pt idx="101">
                  <c:v>6.0800000000000409E-2</c:v>
                </c:pt>
                <c:pt idx="102">
                  <c:v>0.24320000000000164</c:v>
                </c:pt>
                <c:pt idx="103">
                  <c:v>0.24320000000000164</c:v>
                </c:pt>
                <c:pt idx="104">
                  <c:v>0.24320000000000164</c:v>
                </c:pt>
                <c:pt idx="105">
                  <c:v>0.25840000000000174</c:v>
                </c:pt>
                <c:pt idx="106">
                  <c:v>4.5600000000000307E-2</c:v>
                </c:pt>
                <c:pt idx="107">
                  <c:v>4.5600000000000307E-2</c:v>
                </c:pt>
                <c:pt idx="108">
                  <c:v>3.0400000000000205E-2</c:v>
                </c:pt>
                <c:pt idx="109">
                  <c:v>4.5600000000000307E-2</c:v>
                </c:pt>
                <c:pt idx="110">
                  <c:v>3.0400000000000205E-2</c:v>
                </c:pt>
                <c:pt idx="111">
                  <c:v>4.5600000000000307E-2</c:v>
                </c:pt>
                <c:pt idx="112">
                  <c:v>4.5600000000000307E-2</c:v>
                </c:pt>
                <c:pt idx="113">
                  <c:v>3.0400000000000205E-2</c:v>
                </c:pt>
                <c:pt idx="114">
                  <c:v>0.12160000000000082</c:v>
                </c:pt>
                <c:pt idx="115">
                  <c:v>0.12160000000000082</c:v>
                </c:pt>
                <c:pt idx="116">
                  <c:v>0.10640000000000072</c:v>
                </c:pt>
                <c:pt idx="117">
                  <c:v>0.12160000000000082</c:v>
                </c:pt>
                <c:pt idx="118">
                  <c:v>6.0800000000000409E-2</c:v>
                </c:pt>
                <c:pt idx="119">
                  <c:v>4.5600000000000307E-2</c:v>
                </c:pt>
                <c:pt idx="120">
                  <c:v>6.0800000000000409E-2</c:v>
                </c:pt>
                <c:pt idx="121">
                  <c:v>6.0800000000000409E-2</c:v>
                </c:pt>
                <c:pt idx="122">
                  <c:v>4.5600000000000307E-2</c:v>
                </c:pt>
                <c:pt idx="123">
                  <c:v>6.0800000000000409E-2</c:v>
                </c:pt>
                <c:pt idx="124">
                  <c:v>6.0800000000000409E-2</c:v>
                </c:pt>
                <c:pt idx="125">
                  <c:v>4.5600000000000307E-2</c:v>
                </c:pt>
                <c:pt idx="126">
                  <c:v>0.39520000000000266</c:v>
                </c:pt>
                <c:pt idx="127">
                  <c:v>0.41040000000000276</c:v>
                </c:pt>
                <c:pt idx="128">
                  <c:v>0.39520000000000266</c:v>
                </c:pt>
                <c:pt idx="129">
                  <c:v>0.41040000000000276</c:v>
                </c:pt>
                <c:pt idx="130">
                  <c:v>4.5600000000000307E-2</c:v>
                </c:pt>
                <c:pt idx="131">
                  <c:v>3.0400000000000205E-2</c:v>
                </c:pt>
                <c:pt idx="132">
                  <c:v>3.0400000000000205E-2</c:v>
                </c:pt>
                <c:pt idx="133">
                  <c:v>4.5600000000000307E-2</c:v>
                </c:pt>
                <c:pt idx="134">
                  <c:v>3.0400000000000205E-2</c:v>
                </c:pt>
                <c:pt idx="135">
                  <c:v>4.5600000000000307E-2</c:v>
                </c:pt>
                <c:pt idx="136">
                  <c:v>3.0400000000000205E-2</c:v>
                </c:pt>
                <c:pt idx="137">
                  <c:v>3.0400000000000205E-2</c:v>
                </c:pt>
                <c:pt idx="138">
                  <c:v>0.24320000000000164</c:v>
                </c:pt>
                <c:pt idx="139">
                  <c:v>0.25840000000000174</c:v>
                </c:pt>
                <c:pt idx="140">
                  <c:v>0.24320000000000164</c:v>
                </c:pt>
                <c:pt idx="141">
                  <c:v>0.25840000000000174</c:v>
                </c:pt>
                <c:pt idx="142">
                  <c:v>3.0400000000000205E-2</c:v>
                </c:pt>
                <c:pt idx="143">
                  <c:v>1.5200000000000102E-2</c:v>
                </c:pt>
                <c:pt idx="144">
                  <c:v>3.0400000000000205E-2</c:v>
                </c:pt>
                <c:pt idx="145">
                  <c:v>1.5200000000000102E-2</c:v>
                </c:pt>
                <c:pt idx="146">
                  <c:v>3.0400000000000205E-2</c:v>
                </c:pt>
                <c:pt idx="147">
                  <c:v>1.5200000000000102E-2</c:v>
                </c:pt>
                <c:pt idx="148">
                  <c:v>3.0400000000000205E-2</c:v>
                </c:pt>
                <c:pt idx="149">
                  <c:v>1.5200000000000102E-2</c:v>
                </c:pt>
                <c:pt idx="150">
                  <c:v>0.22800000000000153</c:v>
                </c:pt>
                <c:pt idx="151">
                  <c:v>0.22800000000000153</c:v>
                </c:pt>
                <c:pt idx="152">
                  <c:v>0.21280000000000143</c:v>
                </c:pt>
                <c:pt idx="153">
                  <c:v>0.22800000000000153</c:v>
                </c:pt>
                <c:pt idx="154">
                  <c:v>7.6000000000000512E-2</c:v>
                </c:pt>
                <c:pt idx="155">
                  <c:v>7.6000000000000512E-2</c:v>
                </c:pt>
                <c:pt idx="156">
                  <c:v>9.1200000000000614E-2</c:v>
                </c:pt>
                <c:pt idx="157">
                  <c:v>7.6000000000000512E-2</c:v>
                </c:pt>
                <c:pt idx="158">
                  <c:v>7.6000000000000512E-2</c:v>
                </c:pt>
                <c:pt idx="159">
                  <c:v>7.6000000000000512E-2</c:v>
                </c:pt>
                <c:pt idx="160">
                  <c:v>7.6000000000000512E-2</c:v>
                </c:pt>
                <c:pt idx="161">
                  <c:v>7.6000000000000512E-2</c:v>
                </c:pt>
                <c:pt idx="162">
                  <c:v>0.19760000000000133</c:v>
                </c:pt>
                <c:pt idx="163">
                  <c:v>0.19760000000000133</c:v>
                </c:pt>
                <c:pt idx="164">
                  <c:v>0.18240000000000123</c:v>
                </c:pt>
                <c:pt idx="165">
                  <c:v>0.19760000000000133</c:v>
                </c:pt>
                <c:pt idx="166">
                  <c:v>4.5600000000000307E-2</c:v>
                </c:pt>
                <c:pt idx="167">
                  <c:v>3.0400000000000205E-2</c:v>
                </c:pt>
                <c:pt idx="168">
                  <c:v>4.5600000000000307E-2</c:v>
                </c:pt>
                <c:pt idx="169">
                  <c:v>3.0400000000000205E-2</c:v>
                </c:pt>
                <c:pt idx="170">
                  <c:v>4.5600000000000307E-2</c:v>
                </c:pt>
                <c:pt idx="171">
                  <c:v>3.0400000000000205E-2</c:v>
                </c:pt>
                <c:pt idx="172">
                  <c:v>4.5600000000000307E-2</c:v>
                </c:pt>
                <c:pt idx="173">
                  <c:v>3.0400000000000205E-2</c:v>
                </c:pt>
                <c:pt idx="174">
                  <c:v>0.39520000000000266</c:v>
                </c:pt>
                <c:pt idx="175">
                  <c:v>0.42560000000000286</c:v>
                </c:pt>
                <c:pt idx="176">
                  <c:v>0.39520000000000266</c:v>
                </c:pt>
                <c:pt idx="177">
                  <c:v>0.42560000000000286</c:v>
                </c:pt>
                <c:pt idx="178">
                  <c:v>3.0400000000000205E-2</c:v>
                </c:pt>
                <c:pt idx="179">
                  <c:v>3.0400000000000205E-2</c:v>
                </c:pt>
                <c:pt idx="180">
                  <c:v>3.0400000000000205E-2</c:v>
                </c:pt>
                <c:pt idx="181">
                  <c:v>3.0400000000000205E-2</c:v>
                </c:pt>
                <c:pt idx="182">
                  <c:v>3.0400000000000205E-2</c:v>
                </c:pt>
                <c:pt idx="183">
                  <c:v>3.0400000000000205E-2</c:v>
                </c:pt>
                <c:pt idx="184">
                  <c:v>3.0400000000000205E-2</c:v>
                </c:pt>
                <c:pt idx="185">
                  <c:v>3.0400000000000205E-2</c:v>
                </c:pt>
                <c:pt idx="186">
                  <c:v>0.30400000000000205</c:v>
                </c:pt>
                <c:pt idx="187">
                  <c:v>0.30400000000000205</c:v>
                </c:pt>
                <c:pt idx="188">
                  <c:v>0.30400000000000205</c:v>
                </c:pt>
                <c:pt idx="189">
                  <c:v>0.31920000000000215</c:v>
                </c:pt>
                <c:pt idx="190">
                  <c:v>6.0800000000000409E-2</c:v>
                </c:pt>
                <c:pt idx="191">
                  <c:v>6.0800000000000409E-2</c:v>
                </c:pt>
                <c:pt idx="192">
                  <c:v>6.0800000000000409E-2</c:v>
                </c:pt>
                <c:pt idx="193">
                  <c:v>6.0800000000000409E-2</c:v>
                </c:pt>
                <c:pt idx="194">
                  <c:v>6.0800000000000409E-2</c:v>
                </c:pt>
                <c:pt idx="195">
                  <c:v>4.5600000000000307E-2</c:v>
                </c:pt>
                <c:pt idx="196">
                  <c:v>6.0800000000000409E-2</c:v>
                </c:pt>
                <c:pt idx="197">
                  <c:v>6.0800000000000409E-2</c:v>
                </c:pt>
                <c:pt idx="198">
                  <c:v>0.31920000000000215</c:v>
                </c:pt>
                <c:pt idx="199">
                  <c:v>0.33440000000000225</c:v>
                </c:pt>
                <c:pt idx="200">
                  <c:v>0.31920000000000215</c:v>
                </c:pt>
                <c:pt idx="201">
                  <c:v>0.33440000000000225</c:v>
                </c:pt>
                <c:pt idx="202">
                  <c:v>4.5600000000000307E-2</c:v>
                </c:pt>
                <c:pt idx="203">
                  <c:v>3.0400000000000205E-2</c:v>
                </c:pt>
                <c:pt idx="204">
                  <c:v>4.5600000000000307E-2</c:v>
                </c:pt>
                <c:pt idx="205">
                  <c:v>3.0400000000000205E-2</c:v>
                </c:pt>
                <c:pt idx="206">
                  <c:v>4.5600000000000307E-2</c:v>
                </c:pt>
                <c:pt idx="207">
                  <c:v>3.0400000000000205E-2</c:v>
                </c:pt>
                <c:pt idx="208">
                  <c:v>4.5600000000000307E-2</c:v>
                </c:pt>
                <c:pt idx="209">
                  <c:v>3.0400000000000205E-2</c:v>
                </c:pt>
                <c:pt idx="210">
                  <c:v>0.28880000000000194</c:v>
                </c:pt>
                <c:pt idx="211">
                  <c:v>0.28880000000000194</c:v>
                </c:pt>
                <c:pt idx="212">
                  <c:v>0.28880000000000194</c:v>
                </c:pt>
                <c:pt idx="213">
                  <c:v>0.28880000000000194</c:v>
                </c:pt>
                <c:pt idx="214">
                  <c:v>3.0400000000000205E-2</c:v>
                </c:pt>
                <c:pt idx="215">
                  <c:v>3.0400000000000205E-2</c:v>
                </c:pt>
                <c:pt idx="216">
                  <c:v>3.0400000000000205E-2</c:v>
                </c:pt>
                <c:pt idx="217">
                  <c:v>3.0400000000000205E-2</c:v>
                </c:pt>
                <c:pt idx="218">
                  <c:v>3.0400000000000205E-2</c:v>
                </c:pt>
                <c:pt idx="219">
                  <c:v>3.0400000000000205E-2</c:v>
                </c:pt>
                <c:pt idx="220">
                  <c:v>3.0400000000000205E-2</c:v>
                </c:pt>
                <c:pt idx="221">
                  <c:v>1.5200000000000102E-2</c:v>
                </c:pt>
                <c:pt idx="222">
                  <c:v>0.15200000000000102</c:v>
                </c:pt>
                <c:pt idx="223">
                  <c:v>0.16720000000000113</c:v>
                </c:pt>
                <c:pt idx="224">
                  <c:v>0.15200000000000102</c:v>
                </c:pt>
                <c:pt idx="225">
                  <c:v>0.16720000000000113</c:v>
                </c:pt>
                <c:pt idx="226">
                  <c:v>6.0800000000000409E-2</c:v>
                </c:pt>
                <c:pt idx="227">
                  <c:v>7.6000000000000512E-2</c:v>
                </c:pt>
                <c:pt idx="228">
                  <c:v>6.0800000000000409E-2</c:v>
                </c:pt>
                <c:pt idx="229">
                  <c:v>6.0800000000000409E-2</c:v>
                </c:pt>
                <c:pt idx="230">
                  <c:v>6.0800000000000409E-2</c:v>
                </c:pt>
                <c:pt idx="231">
                  <c:v>7.6000000000000512E-2</c:v>
                </c:pt>
                <c:pt idx="232">
                  <c:v>6.0800000000000409E-2</c:v>
                </c:pt>
                <c:pt idx="233">
                  <c:v>6.0800000000000409E-2</c:v>
                </c:pt>
                <c:pt idx="234">
                  <c:v>0.24320000000000164</c:v>
                </c:pt>
                <c:pt idx="235">
                  <c:v>0.25840000000000174</c:v>
                </c:pt>
                <c:pt idx="236">
                  <c:v>0.25840000000000174</c:v>
                </c:pt>
                <c:pt idx="237">
                  <c:v>0.25840000000000174</c:v>
                </c:pt>
                <c:pt idx="238">
                  <c:v>4.5600000000000307E-2</c:v>
                </c:pt>
                <c:pt idx="239">
                  <c:v>3.0400000000000205E-2</c:v>
                </c:pt>
                <c:pt idx="240">
                  <c:v>4.5600000000000307E-2</c:v>
                </c:pt>
                <c:pt idx="241">
                  <c:v>3.0400000000000205E-2</c:v>
                </c:pt>
                <c:pt idx="242">
                  <c:v>3.0400000000000205E-2</c:v>
                </c:pt>
                <c:pt idx="243">
                  <c:v>4.5600000000000307E-2</c:v>
                </c:pt>
                <c:pt idx="244">
                  <c:v>3.0400000000000205E-2</c:v>
                </c:pt>
                <c:pt idx="245">
                  <c:v>3.0400000000000205E-2</c:v>
                </c:pt>
                <c:pt idx="246">
                  <c:v>0.19760000000000133</c:v>
                </c:pt>
                <c:pt idx="247">
                  <c:v>0.21280000000000143</c:v>
                </c:pt>
                <c:pt idx="248">
                  <c:v>0.19760000000000133</c:v>
                </c:pt>
                <c:pt idx="249">
                  <c:v>0.21280000000000143</c:v>
                </c:pt>
                <c:pt idx="250">
                  <c:v>3.0400000000000205E-2</c:v>
                </c:pt>
                <c:pt idx="251">
                  <c:v>3.0400000000000205E-2</c:v>
                </c:pt>
                <c:pt idx="252">
                  <c:v>3.0400000000000205E-2</c:v>
                </c:pt>
                <c:pt idx="253">
                  <c:v>3.0400000000000205E-2</c:v>
                </c:pt>
                <c:pt idx="254">
                  <c:v>3.0400000000000205E-2</c:v>
                </c:pt>
                <c:pt idx="255">
                  <c:v>3.0400000000000205E-2</c:v>
                </c:pt>
                <c:pt idx="256">
                  <c:v>3.0400000000000205E-2</c:v>
                </c:pt>
                <c:pt idx="257">
                  <c:v>3.0400000000000205E-2</c:v>
                </c:pt>
                <c:pt idx="258">
                  <c:v>0.24320000000000164</c:v>
                </c:pt>
                <c:pt idx="259">
                  <c:v>0.25840000000000174</c:v>
                </c:pt>
                <c:pt idx="260">
                  <c:v>0.24320000000000164</c:v>
                </c:pt>
                <c:pt idx="261">
                  <c:v>0.25840000000000174</c:v>
                </c:pt>
                <c:pt idx="262">
                  <c:v>4.5600000000000307E-2</c:v>
                </c:pt>
                <c:pt idx="263">
                  <c:v>6.0800000000000409E-2</c:v>
                </c:pt>
                <c:pt idx="264">
                  <c:v>4.5600000000000307E-2</c:v>
                </c:pt>
                <c:pt idx="265">
                  <c:v>4.5600000000000307E-2</c:v>
                </c:pt>
                <c:pt idx="266">
                  <c:v>6.0800000000000409E-2</c:v>
                </c:pt>
                <c:pt idx="267">
                  <c:v>4.5600000000000307E-2</c:v>
                </c:pt>
                <c:pt idx="268">
                  <c:v>4.5600000000000307E-2</c:v>
                </c:pt>
                <c:pt idx="269">
                  <c:v>4.5600000000000307E-2</c:v>
                </c:pt>
                <c:pt idx="270">
                  <c:v>0.22800000000000153</c:v>
                </c:pt>
                <c:pt idx="271">
                  <c:v>0.24320000000000164</c:v>
                </c:pt>
                <c:pt idx="272">
                  <c:v>0.24320000000000164</c:v>
                </c:pt>
                <c:pt idx="273">
                  <c:v>0.24320000000000164</c:v>
                </c:pt>
                <c:pt idx="274">
                  <c:v>6.0800000000000409E-2</c:v>
                </c:pt>
                <c:pt idx="275">
                  <c:v>6.0800000000000409E-2</c:v>
                </c:pt>
                <c:pt idx="276">
                  <c:v>6.0800000000000409E-2</c:v>
                </c:pt>
                <c:pt idx="277">
                  <c:v>6.0800000000000409E-2</c:v>
                </c:pt>
                <c:pt idx="278">
                  <c:v>6.0800000000000409E-2</c:v>
                </c:pt>
                <c:pt idx="279">
                  <c:v>6.0800000000000409E-2</c:v>
                </c:pt>
                <c:pt idx="280">
                  <c:v>6.0800000000000409E-2</c:v>
                </c:pt>
                <c:pt idx="281">
                  <c:v>6.0800000000000409E-2</c:v>
                </c:pt>
                <c:pt idx="282">
                  <c:v>0.22800000000000153</c:v>
                </c:pt>
                <c:pt idx="283">
                  <c:v>0.24320000000000164</c:v>
                </c:pt>
                <c:pt idx="284">
                  <c:v>0.24320000000000164</c:v>
                </c:pt>
                <c:pt idx="285">
                  <c:v>0.24320000000000164</c:v>
                </c:pt>
                <c:pt idx="286">
                  <c:v>3.0400000000000205E-2</c:v>
                </c:pt>
                <c:pt idx="287">
                  <c:v>3.0400000000000205E-2</c:v>
                </c:pt>
                <c:pt idx="288">
                  <c:v>3.0400000000000205E-2</c:v>
                </c:pt>
                <c:pt idx="289">
                  <c:v>1.5200000000000102E-2</c:v>
                </c:pt>
                <c:pt idx="290">
                  <c:v>3.0400000000000205E-2</c:v>
                </c:pt>
                <c:pt idx="291">
                  <c:v>3.0400000000000205E-2</c:v>
                </c:pt>
                <c:pt idx="292">
                  <c:v>3.0400000000000205E-2</c:v>
                </c:pt>
                <c:pt idx="293">
                  <c:v>1.5200000000000102E-2</c:v>
                </c:pt>
                <c:pt idx="294">
                  <c:v>0.22800000000000153</c:v>
                </c:pt>
                <c:pt idx="295">
                  <c:v>0.24320000000000164</c:v>
                </c:pt>
                <c:pt idx="296">
                  <c:v>0.24320000000000164</c:v>
                </c:pt>
                <c:pt idx="297">
                  <c:v>0.24320000000000164</c:v>
                </c:pt>
                <c:pt idx="298">
                  <c:v>3.0400000000000205E-2</c:v>
                </c:pt>
                <c:pt idx="299">
                  <c:v>3.0400000000000205E-2</c:v>
                </c:pt>
                <c:pt idx="300">
                  <c:v>3.0400000000000205E-2</c:v>
                </c:pt>
                <c:pt idx="301">
                  <c:v>3.0400000000000205E-2</c:v>
                </c:pt>
                <c:pt idx="302">
                  <c:v>3.0400000000000205E-2</c:v>
                </c:pt>
                <c:pt idx="303">
                  <c:v>3.0400000000000205E-2</c:v>
                </c:pt>
                <c:pt idx="304">
                  <c:v>3.0400000000000205E-2</c:v>
                </c:pt>
                <c:pt idx="305">
                  <c:v>3.0400000000000205E-2</c:v>
                </c:pt>
                <c:pt idx="306">
                  <c:v>0.22800000000000153</c:v>
                </c:pt>
                <c:pt idx="307">
                  <c:v>0.24320000000000164</c:v>
                </c:pt>
                <c:pt idx="308">
                  <c:v>0.22800000000000153</c:v>
                </c:pt>
                <c:pt idx="309">
                  <c:v>0.22800000000000153</c:v>
                </c:pt>
                <c:pt idx="310">
                  <c:v>3.0400000000000205E-2</c:v>
                </c:pt>
                <c:pt idx="311">
                  <c:v>1.5200000000000102E-2</c:v>
                </c:pt>
                <c:pt idx="312">
                  <c:v>3.0400000000000205E-2</c:v>
                </c:pt>
                <c:pt idx="313">
                  <c:v>1.5200000000000102E-2</c:v>
                </c:pt>
                <c:pt idx="314">
                  <c:v>1.5200000000000102E-2</c:v>
                </c:pt>
                <c:pt idx="315">
                  <c:v>3.0400000000000205E-2</c:v>
                </c:pt>
                <c:pt idx="316">
                  <c:v>1.5200000000000102E-2</c:v>
                </c:pt>
                <c:pt idx="317">
                  <c:v>1.5200000000000102E-2</c:v>
                </c:pt>
                <c:pt idx="318">
                  <c:v>0.12160000000000082</c:v>
                </c:pt>
                <c:pt idx="319">
                  <c:v>0.13680000000000092</c:v>
                </c:pt>
                <c:pt idx="320">
                  <c:v>0.12160000000000082</c:v>
                </c:pt>
                <c:pt idx="321">
                  <c:v>0.12160000000000082</c:v>
                </c:pt>
                <c:pt idx="322">
                  <c:v>9.1200000000000614E-2</c:v>
                </c:pt>
                <c:pt idx="323">
                  <c:v>0.10640000000000072</c:v>
                </c:pt>
                <c:pt idx="324">
                  <c:v>9.1200000000000614E-2</c:v>
                </c:pt>
                <c:pt idx="325">
                  <c:v>9.1200000000000614E-2</c:v>
                </c:pt>
                <c:pt idx="326">
                  <c:v>0.10640000000000072</c:v>
                </c:pt>
                <c:pt idx="327">
                  <c:v>9.1200000000000614E-2</c:v>
                </c:pt>
                <c:pt idx="328">
                  <c:v>0.10640000000000072</c:v>
                </c:pt>
                <c:pt idx="329">
                  <c:v>9.1200000000000614E-2</c:v>
                </c:pt>
                <c:pt idx="330">
                  <c:v>0.27360000000000184</c:v>
                </c:pt>
                <c:pt idx="331">
                  <c:v>0.28880000000000194</c:v>
                </c:pt>
                <c:pt idx="332">
                  <c:v>0.27360000000000184</c:v>
                </c:pt>
                <c:pt idx="333">
                  <c:v>0.28880000000000194</c:v>
                </c:pt>
                <c:pt idx="334">
                  <c:v>3.0400000000000205E-2</c:v>
                </c:pt>
                <c:pt idx="335">
                  <c:v>1.5200000000000102E-2</c:v>
                </c:pt>
                <c:pt idx="336">
                  <c:v>1.5200000000000102E-2</c:v>
                </c:pt>
                <c:pt idx="337">
                  <c:v>1.5200000000000102E-2</c:v>
                </c:pt>
                <c:pt idx="338">
                  <c:v>3.0400000000000205E-2</c:v>
                </c:pt>
                <c:pt idx="339">
                  <c:v>1.5200000000000102E-2</c:v>
                </c:pt>
                <c:pt idx="340">
                  <c:v>1.5200000000000102E-2</c:v>
                </c:pt>
                <c:pt idx="341">
                  <c:v>1.5200000000000102E-2</c:v>
                </c:pt>
                <c:pt idx="342">
                  <c:v>0.10640000000000072</c:v>
                </c:pt>
                <c:pt idx="343">
                  <c:v>0.10640000000000072</c:v>
                </c:pt>
                <c:pt idx="344">
                  <c:v>0.10640000000000072</c:v>
                </c:pt>
                <c:pt idx="345">
                  <c:v>0.10640000000000072</c:v>
                </c:pt>
                <c:pt idx="346">
                  <c:v>4.5600000000000307E-2</c:v>
                </c:pt>
                <c:pt idx="347">
                  <c:v>6.0800000000000409E-2</c:v>
                </c:pt>
                <c:pt idx="348">
                  <c:v>4.5600000000000307E-2</c:v>
                </c:pt>
                <c:pt idx="349">
                  <c:v>4.5600000000000307E-2</c:v>
                </c:pt>
                <c:pt idx="350">
                  <c:v>6.0800000000000409E-2</c:v>
                </c:pt>
                <c:pt idx="351">
                  <c:v>4.5600000000000307E-2</c:v>
                </c:pt>
                <c:pt idx="352">
                  <c:v>4.5600000000000307E-2</c:v>
                </c:pt>
                <c:pt idx="353">
                  <c:v>4.5600000000000307E-2</c:v>
                </c:pt>
                <c:pt idx="354">
                  <c:v>0.36480000000000246</c:v>
                </c:pt>
                <c:pt idx="355">
                  <c:v>0.36480000000000246</c:v>
                </c:pt>
                <c:pt idx="356">
                  <c:v>0.36480000000000246</c:v>
                </c:pt>
                <c:pt idx="357">
                  <c:v>0.38000000000000256</c:v>
                </c:pt>
                <c:pt idx="358">
                  <c:v>4.5600000000000307E-2</c:v>
                </c:pt>
                <c:pt idx="359">
                  <c:v>4.5600000000000307E-2</c:v>
                </c:pt>
                <c:pt idx="360">
                  <c:v>4.5600000000000307E-2</c:v>
                </c:pt>
                <c:pt idx="361">
                  <c:v>4.5600000000000307E-2</c:v>
                </c:pt>
                <c:pt idx="362">
                  <c:v>4.5600000000000307E-2</c:v>
                </c:pt>
                <c:pt idx="363">
                  <c:v>4.5600000000000307E-2</c:v>
                </c:pt>
                <c:pt idx="364">
                  <c:v>4.5600000000000307E-2</c:v>
                </c:pt>
                <c:pt idx="365">
                  <c:v>4.5600000000000307E-2</c:v>
                </c:pt>
                <c:pt idx="366">
                  <c:v>0.24320000000000164</c:v>
                </c:pt>
                <c:pt idx="367">
                  <c:v>0.24320000000000164</c:v>
                </c:pt>
                <c:pt idx="368">
                  <c:v>0.24320000000000164</c:v>
                </c:pt>
                <c:pt idx="369">
                  <c:v>0.24320000000000164</c:v>
                </c:pt>
                <c:pt idx="370">
                  <c:v>3.0400000000000205E-2</c:v>
                </c:pt>
                <c:pt idx="371">
                  <c:v>3.0400000000000205E-2</c:v>
                </c:pt>
                <c:pt idx="372">
                  <c:v>3.0400000000000205E-2</c:v>
                </c:pt>
                <c:pt idx="373">
                  <c:v>3.0400000000000205E-2</c:v>
                </c:pt>
                <c:pt idx="374">
                  <c:v>3.0400000000000205E-2</c:v>
                </c:pt>
                <c:pt idx="375">
                  <c:v>3.0400000000000205E-2</c:v>
                </c:pt>
                <c:pt idx="376">
                  <c:v>3.0400000000000205E-2</c:v>
                </c:pt>
                <c:pt idx="377">
                  <c:v>1.5200000000000102E-2</c:v>
                </c:pt>
                <c:pt idx="378">
                  <c:v>0.22800000000000153</c:v>
                </c:pt>
                <c:pt idx="379">
                  <c:v>0.22800000000000153</c:v>
                </c:pt>
                <c:pt idx="380">
                  <c:v>0.21280000000000143</c:v>
                </c:pt>
                <c:pt idx="381">
                  <c:v>0.22800000000000153</c:v>
                </c:pt>
                <c:pt idx="382">
                  <c:v>3.0400000000000205E-2</c:v>
                </c:pt>
                <c:pt idx="383">
                  <c:v>1.5200000000000102E-2</c:v>
                </c:pt>
                <c:pt idx="384">
                  <c:v>3.0400000000000205E-2</c:v>
                </c:pt>
                <c:pt idx="385">
                  <c:v>1.5200000000000102E-2</c:v>
                </c:pt>
                <c:pt idx="386">
                  <c:v>1.5200000000000102E-2</c:v>
                </c:pt>
                <c:pt idx="387">
                  <c:v>3.0400000000000205E-2</c:v>
                </c:pt>
                <c:pt idx="388">
                  <c:v>1.5200000000000102E-2</c:v>
                </c:pt>
                <c:pt idx="389">
                  <c:v>1.5200000000000102E-2</c:v>
                </c:pt>
                <c:pt idx="390">
                  <c:v>0.16720000000000113</c:v>
                </c:pt>
                <c:pt idx="391">
                  <c:v>0.16720000000000113</c:v>
                </c:pt>
                <c:pt idx="392">
                  <c:v>0.16720000000000113</c:v>
                </c:pt>
                <c:pt idx="393">
                  <c:v>0.16720000000000113</c:v>
                </c:pt>
                <c:pt idx="394">
                  <c:v>4.5600000000000307E-2</c:v>
                </c:pt>
                <c:pt idx="395">
                  <c:v>4.5600000000000307E-2</c:v>
                </c:pt>
                <c:pt idx="396">
                  <c:v>4.5600000000000307E-2</c:v>
                </c:pt>
                <c:pt idx="397">
                  <c:v>3.0400000000000205E-2</c:v>
                </c:pt>
                <c:pt idx="398">
                  <c:v>4.5600000000000307E-2</c:v>
                </c:pt>
                <c:pt idx="399">
                  <c:v>4.5600000000000307E-2</c:v>
                </c:pt>
                <c:pt idx="400">
                  <c:v>4.5600000000000307E-2</c:v>
                </c:pt>
                <c:pt idx="401">
                  <c:v>3.0400000000000205E-2</c:v>
                </c:pt>
                <c:pt idx="402">
                  <c:v>0.13680000000000092</c:v>
                </c:pt>
                <c:pt idx="403">
                  <c:v>0.13680000000000092</c:v>
                </c:pt>
                <c:pt idx="404">
                  <c:v>0.13680000000000092</c:v>
                </c:pt>
                <c:pt idx="405">
                  <c:v>0.13680000000000092</c:v>
                </c:pt>
                <c:pt idx="406">
                  <c:v>3.0400000000000205E-2</c:v>
                </c:pt>
                <c:pt idx="407">
                  <c:v>3.0400000000000205E-2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5B-4A2C-B424-BBBECA867891}"/>
            </c:ext>
          </c:extLst>
        </c:ser>
        <c:ser>
          <c:idx val="1"/>
          <c:order val="1"/>
          <c:tx>
            <c:v>Smoothed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monthly!$I$2:$I$409</c:f>
              <c:numCache>
                <c:formatCode>0.0</c:formatCode>
                <c:ptCount val="408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</c:numCache>
            </c:numRef>
          </c:xVal>
          <c:yVal>
            <c:numRef>
              <c:f>monthly!$M$2:$M$409</c:f>
              <c:numCache>
                <c:formatCode>0.000</c:formatCode>
                <c:ptCount val="408"/>
                <c:pt idx="0">
                  <c:v>7.6000000000000512E-2</c:v>
                </c:pt>
                <c:pt idx="1">
                  <c:v>7.0933333333333806E-2</c:v>
                </c:pt>
                <c:pt idx="2">
                  <c:v>7.0933333333333806E-2</c:v>
                </c:pt>
                <c:pt idx="3">
                  <c:v>7.0933333333333806E-2</c:v>
                </c:pt>
                <c:pt idx="4">
                  <c:v>7.0933333333333806E-2</c:v>
                </c:pt>
                <c:pt idx="5">
                  <c:v>0.11653333333333411</c:v>
                </c:pt>
                <c:pt idx="6">
                  <c:v>0.16213333333333443</c:v>
                </c:pt>
                <c:pt idx="7">
                  <c:v>0.21280000000000143</c:v>
                </c:pt>
                <c:pt idx="8">
                  <c:v>0.21280000000000143</c:v>
                </c:pt>
                <c:pt idx="9">
                  <c:v>0.17226666666666782</c:v>
                </c:pt>
                <c:pt idx="10">
                  <c:v>0.13173333333333423</c:v>
                </c:pt>
                <c:pt idx="11">
                  <c:v>9.1200000000000614E-2</c:v>
                </c:pt>
                <c:pt idx="12">
                  <c:v>9.1200000000000614E-2</c:v>
                </c:pt>
                <c:pt idx="13">
                  <c:v>9.6266666666667319E-2</c:v>
                </c:pt>
                <c:pt idx="14">
                  <c:v>9.6266666666667319E-2</c:v>
                </c:pt>
                <c:pt idx="15">
                  <c:v>9.6266666666667319E-2</c:v>
                </c:pt>
                <c:pt idx="16">
                  <c:v>9.1200000000000614E-2</c:v>
                </c:pt>
                <c:pt idx="17">
                  <c:v>0.13680000000000092</c:v>
                </c:pt>
                <c:pt idx="18">
                  <c:v>0.18240000000000123</c:v>
                </c:pt>
                <c:pt idx="19">
                  <c:v>0.22800000000000153</c:v>
                </c:pt>
                <c:pt idx="20">
                  <c:v>0.22800000000000153</c:v>
                </c:pt>
                <c:pt idx="21">
                  <c:v>0.17733333333333454</c:v>
                </c:pt>
                <c:pt idx="22">
                  <c:v>0.13173333333333423</c:v>
                </c:pt>
                <c:pt idx="23">
                  <c:v>8.1066666666667217E-2</c:v>
                </c:pt>
                <c:pt idx="24">
                  <c:v>8.6133333333333909E-2</c:v>
                </c:pt>
                <c:pt idx="25">
                  <c:v>8.1066666666667217E-2</c:v>
                </c:pt>
                <c:pt idx="26">
                  <c:v>8.1066666666667217E-2</c:v>
                </c:pt>
                <c:pt idx="27">
                  <c:v>8.1066666666667217E-2</c:v>
                </c:pt>
                <c:pt idx="28">
                  <c:v>8.1066666666667217E-2</c:v>
                </c:pt>
                <c:pt idx="29">
                  <c:v>0.13173333333333423</c:v>
                </c:pt>
                <c:pt idx="30">
                  <c:v>0.17733333333333454</c:v>
                </c:pt>
                <c:pt idx="31">
                  <c:v>0.22800000000000153</c:v>
                </c:pt>
                <c:pt idx="32">
                  <c:v>0.22800000000000153</c:v>
                </c:pt>
                <c:pt idx="33">
                  <c:v>0.19253333333333464</c:v>
                </c:pt>
                <c:pt idx="34">
                  <c:v>0.15706666666666771</c:v>
                </c:pt>
                <c:pt idx="35">
                  <c:v>0.12666666666666751</c:v>
                </c:pt>
                <c:pt idx="36">
                  <c:v>0.12666666666666751</c:v>
                </c:pt>
                <c:pt idx="37">
                  <c:v>0.13173333333333423</c:v>
                </c:pt>
                <c:pt idx="38">
                  <c:v>0.12666666666666751</c:v>
                </c:pt>
                <c:pt idx="39">
                  <c:v>0.13173333333333423</c:v>
                </c:pt>
                <c:pt idx="40">
                  <c:v>0.12666666666666751</c:v>
                </c:pt>
                <c:pt idx="41">
                  <c:v>0.17226666666666782</c:v>
                </c:pt>
                <c:pt idx="42">
                  <c:v>0.21786666666666812</c:v>
                </c:pt>
                <c:pt idx="43">
                  <c:v>0.26346666666666846</c:v>
                </c:pt>
                <c:pt idx="44">
                  <c:v>0.26853333333333512</c:v>
                </c:pt>
                <c:pt idx="45">
                  <c:v>0.19760000000000133</c:v>
                </c:pt>
                <c:pt idx="46">
                  <c:v>0.13173333333333423</c:v>
                </c:pt>
                <c:pt idx="47">
                  <c:v>6.0800000000000409E-2</c:v>
                </c:pt>
                <c:pt idx="48">
                  <c:v>6.0800000000000409E-2</c:v>
                </c:pt>
                <c:pt idx="49">
                  <c:v>6.0800000000000409E-2</c:v>
                </c:pt>
                <c:pt idx="50">
                  <c:v>5.5733333333333711E-2</c:v>
                </c:pt>
                <c:pt idx="51">
                  <c:v>5.5733333333333711E-2</c:v>
                </c:pt>
                <c:pt idx="52">
                  <c:v>5.5733333333333711E-2</c:v>
                </c:pt>
                <c:pt idx="53">
                  <c:v>0.11146666666666742</c:v>
                </c:pt>
                <c:pt idx="54">
                  <c:v>0.16720000000000113</c:v>
                </c:pt>
                <c:pt idx="55">
                  <c:v>0.21786666666666812</c:v>
                </c:pt>
                <c:pt idx="56">
                  <c:v>0.21786666666666812</c:v>
                </c:pt>
                <c:pt idx="57">
                  <c:v>0.16720000000000113</c:v>
                </c:pt>
                <c:pt idx="58">
                  <c:v>0.12666666666666751</c:v>
                </c:pt>
                <c:pt idx="59">
                  <c:v>8.1066666666667217E-2</c:v>
                </c:pt>
                <c:pt idx="60">
                  <c:v>8.1066666666667217E-2</c:v>
                </c:pt>
                <c:pt idx="61">
                  <c:v>7.6000000000000512E-2</c:v>
                </c:pt>
                <c:pt idx="62">
                  <c:v>8.1066666666667217E-2</c:v>
                </c:pt>
                <c:pt idx="63">
                  <c:v>8.1066666666667217E-2</c:v>
                </c:pt>
                <c:pt idx="64">
                  <c:v>8.1066666666667217E-2</c:v>
                </c:pt>
                <c:pt idx="65">
                  <c:v>0.12666666666666751</c:v>
                </c:pt>
                <c:pt idx="66">
                  <c:v>0.18240000000000123</c:v>
                </c:pt>
                <c:pt idx="67">
                  <c:v>0.23306666666666823</c:v>
                </c:pt>
                <c:pt idx="68">
                  <c:v>0.23813333333333495</c:v>
                </c:pt>
                <c:pt idx="69">
                  <c:v>0.17226666666666782</c:v>
                </c:pt>
                <c:pt idx="70">
                  <c:v>0.11146666666666742</c:v>
                </c:pt>
                <c:pt idx="71">
                  <c:v>4.5600000000000307E-2</c:v>
                </c:pt>
                <c:pt idx="72">
                  <c:v>4.5600000000000307E-2</c:v>
                </c:pt>
                <c:pt idx="73">
                  <c:v>4.5600000000000307E-2</c:v>
                </c:pt>
                <c:pt idx="74">
                  <c:v>4.5600000000000307E-2</c:v>
                </c:pt>
                <c:pt idx="75">
                  <c:v>4.5600000000000307E-2</c:v>
                </c:pt>
                <c:pt idx="76">
                  <c:v>4.5600000000000307E-2</c:v>
                </c:pt>
                <c:pt idx="77">
                  <c:v>9.1200000000000614E-2</c:v>
                </c:pt>
                <c:pt idx="78">
                  <c:v>0.13680000000000092</c:v>
                </c:pt>
                <c:pt idx="79">
                  <c:v>0.17733333333333454</c:v>
                </c:pt>
                <c:pt idx="80">
                  <c:v>0.17733333333333454</c:v>
                </c:pt>
                <c:pt idx="81">
                  <c:v>0.13680000000000092</c:v>
                </c:pt>
                <c:pt idx="82">
                  <c:v>0.10133333333333401</c:v>
                </c:pt>
                <c:pt idx="83">
                  <c:v>6.5866666666667115E-2</c:v>
                </c:pt>
                <c:pt idx="84">
                  <c:v>6.5866666666667115E-2</c:v>
                </c:pt>
                <c:pt idx="85">
                  <c:v>6.5866666666667115E-2</c:v>
                </c:pt>
                <c:pt idx="86">
                  <c:v>6.0800000000000409E-2</c:v>
                </c:pt>
                <c:pt idx="87">
                  <c:v>6.0800000000000409E-2</c:v>
                </c:pt>
                <c:pt idx="88">
                  <c:v>6.0800000000000409E-2</c:v>
                </c:pt>
                <c:pt idx="89">
                  <c:v>0.10133333333333401</c:v>
                </c:pt>
                <c:pt idx="90">
                  <c:v>0.14693333333333433</c:v>
                </c:pt>
                <c:pt idx="91">
                  <c:v>0.18746666666666792</c:v>
                </c:pt>
                <c:pt idx="92">
                  <c:v>0.18746666666666792</c:v>
                </c:pt>
                <c:pt idx="93">
                  <c:v>0.14186666666666761</c:v>
                </c:pt>
                <c:pt idx="94">
                  <c:v>0.10133333333333401</c:v>
                </c:pt>
                <c:pt idx="95">
                  <c:v>6.5866666666667115E-2</c:v>
                </c:pt>
                <c:pt idx="96">
                  <c:v>6.5866666666667115E-2</c:v>
                </c:pt>
                <c:pt idx="97">
                  <c:v>6.5866666666667115E-2</c:v>
                </c:pt>
                <c:pt idx="98">
                  <c:v>6.0800000000000409E-2</c:v>
                </c:pt>
                <c:pt idx="99">
                  <c:v>6.0800000000000409E-2</c:v>
                </c:pt>
                <c:pt idx="100">
                  <c:v>6.0800000000000409E-2</c:v>
                </c:pt>
                <c:pt idx="101">
                  <c:v>0.12160000000000082</c:v>
                </c:pt>
                <c:pt idx="102">
                  <c:v>0.18240000000000123</c:v>
                </c:pt>
                <c:pt idx="103">
                  <c:v>0.24320000000000164</c:v>
                </c:pt>
                <c:pt idx="104">
                  <c:v>0.24826666666666833</c:v>
                </c:pt>
                <c:pt idx="105">
                  <c:v>0.18240000000000123</c:v>
                </c:pt>
                <c:pt idx="106">
                  <c:v>0.11653333333333411</c:v>
                </c:pt>
                <c:pt idx="107">
                  <c:v>4.0533333333333608E-2</c:v>
                </c:pt>
                <c:pt idx="108">
                  <c:v>4.0533333333333608E-2</c:v>
                </c:pt>
                <c:pt idx="109">
                  <c:v>3.5466666666666903E-2</c:v>
                </c:pt>
                <c:pt idx="110">
                  <c:v>4.0533333333333608E-2</c:v>
                </c:pt>
                <c:pt idx="111">
                  <c:v>4.0533333333333608E-2</c:v>
                </c:pt>
                <c:pt idx="112">
                  <c:v>4.0533333333333608E-2</c:v>
                </c:pt>
                <c:pt idx="113">
                  <c:v>6.5866666666667115E-2</c:v>
                </c:pt>
                <c:pt idx="114">
                  <c:v>9.1200000000000614E-2</c:v>
                </c:pt>
                <c:pt idx="115">
                  <c:v>0.11653333333333411</c:v>
                </c:pt>
                <c:pt idx="116">
                  <c:v>0.11653333333333411</c:v>
                </c:pt>
                <c:pt idx="117">
                  <c:v>9.6266666666667319E-2</c:v>
                </c:pt>
                <c:pt idx="118">
                  <c:v>7.6000000000000512E-2</c:v>
                </c:pt>
                <c:pt idx="119">
                  <c:v>5.5733333333333711E-2</c:v>
                </c:pt>
                <c:pt idx="120">
                  <c:v>5.5733333333333711E-2</c:v>
                </c:pt>
                <c:pt idx="121">
                  <c:v>5.5733333333333711E-2</c:v>
                </c:pt>
                <c:pt idx="122">
                  <c:v>5.5733333333333711E-2</c:v>
                </c:pt>
                <c:pt idx="123">
                  <c:v>5.5733333333333711E-2</c:v>
                </c:pt>
                <c:pt idx="124">
                  <c:v>5.5733333333333711E-2</c:v>
                </c:pt>
                <c:pt idx="125">
                  <c:v>0.16720000000000113</c:v>
                </c:pt>
                <c:pt idx="126">
                  <c:v>0.28373333333333522</c:v>
                </c:pt>
                <c:pt idx="127">
                  <c:v>0.40026666666666938</c:v>
                </c:pt>
                <c:pt idx="128">
                  <c:v>0.40533333333333604</c:v>
                </c:pt>
                <c:pt idx="129">
                  <c:v>0.28373333333333522</c:v>
                </c:pt>
                <c:pt idx="130">
                  <c:v>0.16213333333333443</c:v>
                </c:pt>
                <c:pt idx="131">
                  <c:v>3.5466666666666903E-2</c:v>
                </c:pt>
                <c:pt idx="132">
                  <c:v>3.5466666666666903E-2</c:v>
                </c:pt>
                <c:pt idx="133">
                  <c:v>3.5466666666666903E-2</c:v>
                </c:pt>
                <c:pt idx="134">
                  <c:v>4.0533333333333608E-2</c:v>
                </c:pt>
                <c:pt idx="135">
                  <c:v>3.5466666666666903E-2</c:v>
                </c:pt>
                <c:pt idx="136">
                  <c:v>3.5466666666666903E-2</c:v>
                </c:pt>
                <c:pt idx="137">
                  <c:v>0.10133333333333401</c:v>
                </c:pt>
                <c:pt idx="138">
                  <c:v>0.17733333333333454</c:v>
                </c:pt>
                <c:pt idx="139">
                  <c:v>0.24826666666666833</c:v>
                </c:pt>
                <c:pt idx="140">
                  <c:v>0.25333333333333502</c:v>
                </c:pt>
                <c:pt idx="141">
                  <c:v>0.17733333333333454</c:v>
                </c:pt>
                <c:pt idx="142">
                  <c:v>0.10133333333333401</c:v>
                </c:pt>
                <c:pt idx="143">
                  <c:v>2.5333333333333503E-2</c:v>
                </c:pt>
                <c:pt idx="144">
                  <c:v>2.0266666666666804E-2</c:v>
                </c:pt>
                <c:pt idx="145">
                  <c:v>2.5333333333333503E-2</c:v>
                </c:pt>
                <c:pt idx="146">
                  <c:v>2.0266666666666804E-2</c:v>
                </c:pt>
                <c:pt idx="147">
                  <c:v>2.5333333333333503E-2</c:v>
                </c:pt>
                <c:pt idx="148">
                  <c:v>2.0266666666666804E-2</c:v>
                </c:pt>
                <c:pt idx="149">
                  <c:v>9.1200000000000614E-2</c:v>
                </c:pt>
                <c:pt idx="150">
                  <c:v>0.15706666666666771</c:v>
                </c:pt>
                <c:pt idx="151">
                  <c:v>0.22293333333333484</c:v>
                </c:pt>
                <c:pt idx="152">
                  <c:v>0.22293333333333484</c:v>
                </c:pt>
                <c:pt idx="153">
                  <c:v>0.17226666666666782</c:v>
                </c:pt>
                <c:pt idx="154">
                  <c:v>0.12666666666666751</c:v>
                </c:pt>
                <c:pt idx="155">
                  <c:v>8.1066666666667217E-2</c:v>
                </c:pt>
                <c:pt idx="156">
                  <c:v>8.1066666666667217E-2</c:v>
                </c:pt>
                <c:pt idx="157">
                  <c:v>8.1066666666667217E-2</c:v>
                </c:pt>
                <c:pt idx="158">
                  <c:v>7.6000000000000512E-2</c:v>
                </c:pt>
                <c:pt idx="159">
                  <c:v>7.6000000000000512E-2</c:v>
                </c:pt>
                <c:pt idx="160">
                  <c:v>7.6000000000000512E-2</c:v>
                </c:pt>
                <c:pt idx="161">
                  <c:v>0.11653333333333411</c:v>
                </c:pt>
                <c:pt idx="162">
                  <c:v>0.15706666666666771</c:v>
                </c:pt>
                <c:pt idx="163">
                  <c:v>0.19253333333333464</c:v>
                </c:pt>
                <c:pt idx="164">
                  <c:v>0.19253333333333464</c:v>
                </c:pt>
                <c:pt idx="165">
                  <c:v>0.14186666666666761</c:v>
                </c:pt>
                <c:pt idx="166">
                  <c:v>9.1200000000000614E-2</c:v>
                </c:pt>
                <c:pt idx="167">
                  <c:v>4.0533333333333608E-2</c:v>
                </c:pt>
                <c:pt idx="168">
                  <c:v>3.5466666666666903E-2</c:v>
                </c:pt>
                <c:pt idx="169">
                  <c:v>4.0533333333333608E-2</c:v>
                </c:pt>
                <c:pt idx="170">
                  <c:v>3.5466666666666903E-2</c:v>
                </c:pt>
                <c:pt idx="171">
                  <c:v>4.0533333333333608E-2</c:v>
                </c:pt>
                <c:pt idx="172">
                  <c:v>3.5466666666666903E-2</c:v>
                </c:pt>
                <c:pt idx="173">
                  <c:v>0.15706666666666771</c:v>
                </c:pt>
                <c:pt idx="174">
                  <c:v>0.28373333333333522</c:v>
                </c:pt>
                <c:pt idx="175">
                  <c:v>0.40533333333333604</c:v>
                </c:pt>
                <c:pt idx="176">
                  <c:v>0.41546666666666948</c:v>
                </c:pt>
                <c:pt idx="177">
                  <c:v>0.28373333333333522</c:v>
                </c:pt>
                <c:pt idx="178">
                  <c:v>0.16213333333333443</c:v>
                </c:pt>
                <c:pt idx="179">
                  <c:v>3.0400000000000205E-2</c:v>
                </c:pt>
                <c:pt idx="180">
                  <c:v>3.0400000000000205E-2</c:v>
                </c:pt>
                <c:pt idx="181">
                  <c:v>3.0400000000000205E-2</c:v>
                </c:pt>
                <c:pt idx="182">
                  <c:v>3.0400000000000205E-2</c:v>
                </c:pt>
                <c:pt idx="183">
                  <c:v>3.0400000000000205E-2</c:v>
                </c:pt>
                <c:pt idx="184">
                  <c:v>3.0400000000000205E-2</c:v>
                </c:pt>
                <c:pt idx="185">
                  <c:v>0.12160000000000082</c:v>
                </c:pt>
                <c:pt idx="186">
                  <c:v>0.21280000000000143</c:v>
                </c:pt>
                <c:pt idx="187">
                  <c:v>0.30400000000000205</c:v>
                </c:pt>
                <c:pt idx="188">
                  <c:v>0.30906666666666877</c:v>
                </c:pt>
                <c:pt idx="189">
                  <c:v>0.22800000000000153</c:v>
                </c:pt>
                <c:pt idx="190">
                  <c:v>0.14693333333333433</c:v>
                </c:pt>
                <c:pt idx="191">
                  <c:v>6.0800000000000409E-2</c:v>
                </c:pt>
                <c:pt idx="192">
                  <c:v>6.0800000000000409E-2</c:v>
                </c:pt>
                <c:pt idx="193">
                  <c:v>6.0800000000000409E-2</c:v>
                </c:pt>
                <c:pt idx="194">
                  <c:v>5.5733333333333711E-2</c:v>
                </c:pt>
                <c:pt idx="195">
                  <c:v>5.5733333333333711E-2</c:v>
                </c:pt>
                <c:pt idx="196">
                  <c:v>5.5733333333333711E-2</c:v>
                </c:pt>
                <c:pt idx="197">
                  <c:v>0.14693333333333433</c:v>
                </c:pt>
                <c:pt idx="198">
                  <c:v>0.23813333333333495</c:v>
                </c:pt>
                <c:pt idx="199">
                  <c:v>0.32426666666666887</c:v>
                </c:pt>
                <c:pt idx="200">
                  <c:v>0.32933333333333553</c:v>
                </c:pt>
                <c:pt idx="201">
                  <c:v>0.23306666666666823</c:v>
                </c:pt>
                <c:pt idx="202">
                  <c:v>0.13680000000000092</c:v>
                </c:pt>
                <c:pt idx="203">
                  <c:v>4.0533333333333608E-2</c:v>
                </c:pt>
                <c:pt idx="204">
                  <c:v>3.5466666666666903E-2</c:v>
                </c:pt>
                <c:pt idx="205">
                  <c:v>4.0533333333333608E-2</c:v>
                </c:pt>
                <c:pt idx="206">
                  <c:v>3.5466666666666903E-2</c:v>
                </c:pt>
                <c:pt idx="207">
                  <c:v>4.0533333333333608E-2</c:v>
                </c:pt>
                <c:pt idx="208">
                  <c:v>3.5466666666666903E-2</c:v>
                </c:pt>
                <c:pt idx="209">
                  <c:v>0.12160000000000082</c:v>
                </c:pt>
                <c:pt idx="210">
                  <c:v>0.20266666666666802</c:v>
                </c:pt>
                <c:pt idx="211">
                  <c:v>0.28880000000000194</c:v>
                </c:pt>
                <c:pt idx="212">
                  <c:v>0.28880000000000194</c:v>
                </c:pt>
                <c:pt idx="213">
                  <c:v>0.20266666666666802</c:v>
                </c:pt>
                <c:pt idx="214">
                  <c:v>0.11653333333333411</c:v>
                </c:pt>
                <c:pt idx="215">
                  <c:v>3.0400000000000205E-2</c:v>
                </c:pt>
                <c:pt idx="216">
                  <c:v>3.0400000000000205E-2</c:v>
                </c:pt>
                <c:pt idx="217">
                  <c:v>3.0400000000000205E-2</c:v>
                </c:pt>
                <c:pt idx="218">
                  <c:v>3.0400000000000205E-2</c:v>
                </c:pt>
                <c:pt idx="219">
                  <c:v>3.0400000000000205E-2</c:v>
                </c:pt>
                <c:pt idx="220">
                  <c:v>2.5333333333333503E-2</c:v>
                </c:pt>
                <c:pt idx="221">
                  <c:v>6.5866666666667115E-2</c:v>
                </c:pt>
                <c:pt idx="222">
                  <c:v>0.11146666666666742</c:v>
                </c:pt>
                <c:pt idx="223">
                  <c:v>0.15706666666666771</c:v>
                </c:pt>
                <c:pt idx="224">
                  <c:v>0.16213333333333443</c:v>
                </c:pt>
                <c:pt idx="225">
                  <c:v>0.12666666666666751</c:v>
                </c:pt>
                <c:pt idx="226">
                  <c:v>0.10133333333333401</c:v>
                </c:pt>
                <c:pt idx="227">
                  <c:v>6.5866666666667115E-2</c:v>
                </c:pt>
                <c:pt idx="228">
                  <c:v>6.5866666666667115E-2</c:v>
                </c:pt>
                <c:pt idx="229">
                  <c:v>6.0800000000000409E-2</c:v>
                </c:pt>
                <c:pt idx="230">
                  <c:v>6.5866666666667115E-2</c:v>
                </c:pt>
                <c:pt idx="231">
                  <c:v>6.5866666666667115E-2</c:v>
                </c:pt>
                <c:pt idx="232">
                  <c:v>6.5866666666667115E-2</c:v>
                </c:pt>
                <c:pt idx="233">
                  <c:v>0.12160000000000082</c:v>
                </c:pt>
                <c:pt idx="234">
                  <c:v>0.18746666666666792</c:v>
                </c:pt>
                <c:pt idx="235">
                  <c:v>0.25333333333333502</c:v>
                </c:pt>
                <c:pt idx="236">
                  <c:v>0.25840000000000174</c:v>
                </c:pt>
                <c:pt idx="237">
                  <c:v>0.18746666666666792</c:v>
                </c:pt>
                <c:pt idx="238">
                  <c:v>0.11146666666666742</c:v>
                </c:pt>
                <c:pt idx="239">
                  <c:v>4.0533333333333608E-2</c:v>
                </c:pt>
                <c:pt idx="240">
                  <c:v>3.5466666666666903E-2</c:v>
                </c:pt>
                <c:pt idx="241">
                  <c:v>3.5466666666666903E-2</c:v>
                </c:pt>
                <c:pt idx="242">
                  <c:v>3.5466666666666903E-2</c:v>
                </c:pt>
                <c:pt idx="243">
                  <c:v>3.5466666666666903E-2</c:v>
                </c:pt>
                <c:pt idx="244">
                  <c:v>3.5466666666666903E-2</c:v>
                </c:pt>
                <c:pt idx="245">
                  <c:v>8.6133333333333909E-2</c:v>
                </c:pt>
                <c:pt idx="246">
                  <c:v>0.14693333333333433</c:v>
                </c:pt>
                <c:pt idx="247">
                  <c:v>0.20266666666666802</c:v>
                </c:pt>
                <c:pt idx="248">
                  <c:v>0.20773333333333474</c:v>
                </c:pt>
                <c:pt idx="249">
                  <c:v>0.14693333333333433</c:v>
                </c:pt>
                <c:pt idx="250">
                  <c:v>9.1200000000000614E-2</c:v>
                </c:pt>
                <c:pt idx="251">
                  <c:v>3.0400000000000205E-2</c:v>
                </c:pt>
                <c:pt idx="252">
                  <c:v>3.0400000000000205E-2</c:v>
                </c:pt>
                <c:pt idx="253">
                  <c:v>3.0400000000000205E-2</c:v>
                </c:pt>
                <c:pt idx="254">
                  <c:v>3.0400000000000205E-2</c:v>
                </c:pt>
                <c:pt idx="255">
                  <c:v>3.0400000000000205E-2</c:v>
                </c:pt>
                <c:pt idx="256">
                  <c:v>3.0400000000000205E-2</c:v>
                </c:pt>
                <c:pt idx="257">
                  <c:v>0.10133333333333401</c:v>
                </c:pt>
                <c:pt idx="258">
                  <c:v>0.17733333333333454</c:v>
                </c:pt>
                <c:pt idx="259">
                  <c:v>0.24826666666666833</c:v>
                </c:pt>
                <c:pt idx="260">
                  <c:v>0.25333333333333502</c:v>
                </c:pt>
                <c:pt idx="261">
                  <c:v>0.18240000000000123</c:v>
                </c:pt>
                <c:pt idx="262">
                  <c:v>0.12160000000000082</c:v>
                </c:pt>
                <c:pt idx="263">
                  <c:v>5.0666666666667005E-2</c:v>
                </c:pt>
                <c:pt idx="264">
                  <c:v>5.0666666666667005E-2</c:v>
                </c:pt>
                <c:pt idx="265">
                  <c:v>5.0666666666667005E-2</c:v>
                </c:pt>
                <c:pt idx="266">
                  <c:v>5.0666666666667005E-2</c:v>
                </c:pt>
                <c:pt idx="267">
                  <c:v>5.0666666666667005E-2</c:v>
                </c:pt>
                <c:pt idx="268">
                  <c:v>4.5600000000000307E-2</c:v>
                </c:pt>
                <c:pt idx="269">
                  <c:v>0.10640000000000072</c:v>
                </c:pt>
                <c:pt idx="270">
                  <c:v>0.17226666666666782</c:v>
                </c:pt>
                <c:pt idx="271">
                  <c:v>0.23813333333333495</c:v>
                </c:pt>
                <c:pt idx="272">
                  <c:v>0.24320000000000164</c:v>
                </c:pt>
                <c:pt idx="273">
                  <c:v>0.18240000000000123</c:v>
                </c:pt>
                <c:pt idx="274">
                  <c:v>0.12160000000000082</c:v>
                </c:pt>
                <c:pt idx="275">
                  <c:v>6.0800000000000409E-2</c:v>
                </c:pt>
                <c:pt idx="276">
                  <c:v>6.0800000000000409E-2</c:v>
                </c:pt>
                <c:pt idx="277">
                  <c:v>6.0800000000000409E-2</c:v>
                </c:pt>
                <c:pt idx="278">
                  <c:v>6.0800000000000409E-2</c:v>
                </c:pt>
                <c:pt idx="279">
                  <c:v>6.0800000000000409E-2</c:v>
                </c:pt>
                <c:pt idx="280">
                  <c:v>6.0800000000000409E-2</c:v>
                </c:pt>
                <c:pt idx="281">
                  <c:v>0.11653333333333411</c:v>
                </c:pt>
                <c:pt idx="282">
                  <c:v>0.17733333333333454</c:v>
                </c:pt>
                <c:pt idx="283">
                  <c:v>0.23813333333333495</c:v>
                </c:pt>
                <c:pt idx="284">
                  <c:v>0.24320000000000164</c:v>
                </c:pt>
                <c:pt idx="285">
                  <c:v>0.17226666666666782</c:v>
                </c:pt>
                <c:pt idx="286">
                  <c:v>0.10133333333333401</c:v>
                </c:pt>
                <c:pt idx="287">
                  <c:v>3.0400000000000205E-2</c:v>
                </c:pt>
                <c:pt idx="288">
                  <c:v>2.5333333333333503E-2</c:v>
                </c:pt>
                <c:pt idx="289">
                  <c:v>2.5333333333333503E-2</c:v>
                </c:pt>
                <c:pt idx="290">
                  <c:v>2.5333333333333503E-2</c:v>
                </c:pt>
                <c:pt idx="291">
                  <c:v>3.0400000000000205E-2</c:v>
                </c:pt>
                <c:pt idx="292">
                  <c:v>2.5333333333333503E-2</c:v>
                </c:pt>
                <c:pt idx="293">
                  <c:v>9.1200000000000614E-2</c:v>
                </c:pt>
                <c:pt idx="294">
                  <c:v>0.16213333333333443</c:v>
                </c:pt>
                <c:pt idx="295">
                  <c:v>0.23813333333333495</c:v>
                </c:pt>
                <c:pt idx="296">
                  <c:v>0.24320000000000164</c:v>
                </c:pt>
                <c:pt idx="297">
                  <c:v>0.17226666666666782</c:v>
                </c:pt>
                <c:pt idx="298">
                  <c:v>0.10133333333333401</c:v>
                </c:pt>
                <c:pt idx="299">
                  <c:v>3.0400000000000205E-2</c:v>
                </c:pt>
                <c:pt idx="300">
                  <c:v>3.0400000000000205E-2</c:v>
                </c:pt>
                <c:pt idx="301">
                  <c:v>3.0400000000000205E-2</c:v>
                </c:pt>
                <c:pt idx="302">
                  <c:v>3.0400000000000205E-2</c:v>
                </c:pt>
                <c:pt idx="303">
                  <c:v>3.0400000000000205E-2</c:v>
                </c:pt>
                <c:pt idx="304">
                  <c:v>3.0400000000000205E-2</c:v>
                </c:pt>
                <c:pt idx="305">
                  <c:v>9.6266666666667319E-2</c:v>
                </c:pt>
                <c:pt idx="306">
                  <c:v>0.16720000000000113</c:v>
                </c:pt>
                <c:pt idx="307">
                  <c:v>0.23306666666666823</c:v>
                </c:pt>
                <c:pt idx="308">
                  <c:v>0.23306666666666823</c:v>
                </c:pt>
                <c:pt idx="309">
                  <c:v>0.16213333333333443</c:v>
                </c:pt>
                <c:pt idx="310">
                  <c:v>9.1200000000000614E-2</c:v>
                </c:pt>
                <c:pt idx="311">
                  <c:v>2.5333333333333503E-2</c:v>
                </c:pt>
                <c:pt idx="312">
                  <c:v>2.0266666666666804E-2</c:v>
                </c:pt>
                <c:pt idx="313">
                  <c:v>2.0266666666666804E-2</c:v>
                </c:pt>
                <c:pt idx="314">
                  <c:v>2.0266666666666804E-2</c:v>
                </c:pt>
                <c:pt idx="315">
                  <c:v>2.0266666666666804E-2</c:v>
                </c:pt>
                <c:pt idx="316">
                  <c:v>2.0266666666666804E-2</c:v>
                </c:pt>
                <c:pt idx="317">
                  <c:v>5.0666666666667005E-2</c:v>
                </c:pt>
                <c:pt idx="318">
                  <c:v>9.1200000000000614E-2</c:v>
                </c:pt>
                <c:pt idx="319">
                  <c:v>0.12666666666666751</c:v>
                </c:pt>
                <c:pt idx="320">
                  <c:v>0.12666666666666751</c:v>
                </c:pt>
                <c:pt idx="321">
                  <c:v>0.11146666666666742</c:v>
                </c:pt>
                <c:pt idx="322">
                  <c:v>0.10640000000000072</c:v>
                </c:pt>
                <c:pt idx="323">
                  <c:v>9.6266666666667319E-2</c:v>
                </c:pt>
                <c:pt idx="324">
                  <c:v>9.6266666666667319E-2</c:v>
                </c:pt>
                <c:pt idx="325">
                  <c:v>9.6266666666667319E-2</c:v>
                </c:pt>
                <c:pt idx="326">
                  <c:v>9.6266666666667319E-2</c:v>
                </c:pt>
                <c:pt idx="327">
                  <c:v>0.10133333333333401</c:v>
                </c:pt>
                <c:pt idx="328">
                  <c:v>9.6266666666667319E-2</c:v>
                </c:pt>
                <c:pt idx="329">
                  <c:v>0.15706666666666771</c:v>
                </c:pt>
                <c:pt idx="330">
                  <c:v>0.21786666666666812</c:v>
                </c:pt>
                <c:pt idx="331">
                  <c:v>0.27866666666666856</c:v>
                </c:pt>
                <c:pt idx="332">
                  <c:v>0.28373333333333522</c:v>
                </c:pt>
                <c:pt idx="333">
                  <c:v>0.19760000000000133</c:v>
                </c:pt>
                <c:pt idx="334">
                  <c:v>0.11146666666666742</c:v>
                </c:pt>
                <c:pt idx="335">
                  <c:v>2.0266666666666804E-2</c:v>
                </c:pt>
                <c:pt idx="336">
                  <c:v>1.5200000000000102E-2</c:v>
                </c:pt>
                <c:pt idx="337">
                  <c:v>2.0266666666666804E-2</c:v>
                </c:pt>
                <c:pt idx="338">
                  <c:v>2.0266666666666804E-2</c:v>
                </c:pt>
                <c:pt idx="339">
                  <c:v>2.0266666666666804E-2</c:v>
                </c:pt>
                <c:pt idx="340">
                  <c:v>1.5200000000000102E-2</c:v>
                </c:pt>
                <c:pt idx="341">
                  <c:v>4.5600000000000307E-2</c:v>
                </c:pt>
                <c:pt idx="342">
                  <c:v>7.6000000000000512E-2</c:v>
                </c:pt>
                <c:pt idx="343">
                  <c:v>0.10640000000000072</c:v>
                </c:pt>
                <c:pt idx="344">
                  <c:v>0.10640000000000072</c:v>
                </c:pt>
                <c:pt idx="345">
                  <c:v>8.6133333333333909E-2</c:v>
                </c:pt>
                <c:pt idx="346">
                  <c:v>7.0933333333333806E-2</c:v>
                </c:pt>
                <c:pt idx="347">
                  <c:v>5.0666666666667005E-2</c:v>
                </c:pt>
                <c:pt idx="348">
                  <c:v>5.0666666666667005E-2</c:v>
                </c:pt>
                <c:pt idx="349">
                  <c:v>5.0666666666667005E-2</c:v>
                </c:pt>
                <c:pt idx="350">
                  <c:v>5.0666666666667005E-2</c:v>
                </c:pt>
                <c:pt idx="351">
                  <c:v>5.0666666666667005E-2</c:v>
                </c:pt>
                <c:pt idx="352">
                  <c:v>4.5600000000000307E-2</c:v>
                </c:pt>
                <c:pt idx="353">
                  <c:v>0.15200000000000102</c:v>
                </c:pt>
                <c:pt idx="354">
                  <c:v>0.25840000000000174</c:v>
                </c:pt>
                <c:pt idx="355">
                  <c:v>0.36480000000000246</c:v>
                </c:pt>
                <c:pt idx="356">
                  <c:v>0.36986666666666917</c:v>
                </c:pt>
                <c:pt idx="357">
                  <c:v>0.26346666666666846</c:v>
                </c:pt>
                <c:pt idx="358">
                  <c:v>0.15706666666666771</c:v>
                </c:pt>
                <c:pt idx="359">
                  <c:v>4.5600000000000307E-2</c:v>
                </c:pt>
                <c:pt idx="360">
                  <c:v>4.5600000000000307E-2</c:v>
                </c:pt>
                <c:pt idx="361">
                  <c:v>4.5600000000000307E-2</c:v>
                </c:pt>
                <c:pt idx="362">
                  <c:v>4.5600000000000307E-2</c:v>
                </c:pt>
                <c:pt idx="363">
                  <c:v>4.5600000000000307E-2</c:v>
                </c:pt>
                <c:pt idx="364">
                  <c:v>4.5600000000000307E-2</c:v>
                </c:pt>
                <c:pt idx="365">
                  <c:v>0.11146666666666742</c:v>
                </c:pt>
                <c:pt idx="366">
                  <c:v>0.17733333333333454</c:v>
                </c:pt>
                <c:pt idx="367">
                  <c:v>0.24320000000000164</c:v>
                </c:pt>
                <c:pt idx="368">
                  <c:v>0.24320000000000164</c:v>
                </c:pt>
                <c:pt idx="369">
                  <c:v>0.17226666666666782</c:v>
                </c:pt>
                <c:pt idx="370">
                  <c:v>0.10133333333333401</c:v>
                </c:pt>
                <c:pt idx="371">
                  <c:v>3.0400000000000205E-2</c:v>
                </c:pt>
                <c:pt idx="372">
                  <c:v>3.0400000000000205E-2</c:v>
                </c:pt>
                <c:pt idx="373">
                  <c:v>3.0400000000000205E-2</c:v>
                </c:pt>
                <c:pt idx="374">
                  <c:v>3.0400000000000205E-2</c:v>
                </c:pt>
                <c:pt idx="375">
                  <c:v>3.0400000000000205E-2</c:v>
                </c:pt>
                <c:pt idx="376">
                  <c:v>2.5333333333333503E-2</c:v>
                </c:pt>
                <c:pt idx="377">
                  <c:v>9.1200000000000614E-2</c:v>
                </c:pt>
                <c:pt idx="378">
                  <c:v>0.15706666666666771</c:v>
                </c:pt>
                <c:pt idx="379">
                  <c:v>0.22293333333333484</c:v>
                </c:pt>
                <c:pt idx="380">
                  <c:v>0.22293333333333484</c:v>
                </c:pt>
                <c:pt idx="381">
                  <c:v>0.15706666666666771</c:v>
                </c:pt>
                <c:pt idx="382">
                  <c:v>9.1200000000000614E-2</c:v>
                </c:pt>
                <c:pt idx="383">
                  <c:v>2.5333333333333503E-2</c:v>
                </c:pt>
                <c:pt idx="384">
                  <c:v>2.0266666666666804E-2</c:v>
                </c:pt>
                <c:pt idx="385">
                  <c:v>2.0266666666666804E-2</c:v>
                </c:pt>
                <c:pt idx="386">
                  <c:v>2.0266666666666804E-2</c:v>
                </c:pt>
                <c:pt idx="387">
                  <c:v>2.0266666666666804E-2</c:v>
                </c:pt>
                <c:pt idx="388">
                  <c:v>2.0266666666666804E-2</c:v>
                </c:pt>
                <c:pt idx="389">
                  <c:v>6.5866666666667115E-2</c:v>
                </c:pt>
                <c:pt idx="390">
                  <c:v>0.11653333333333411</c:v>
                </c:pt>
                <c:pt idx="391">
                  <c:v>0.16720000000000113</c:v>
                </c:pt>
                <c:pt idx="392">
                  <c:v>0.16720000000000113</c:v>
                </c:pt>
                <c:pt idx="393">
                  <c:v>0.12666666666666751</c:v>
                </c:pt>
                <c:pt idx="394">
                  <c:v>8.6133333333333909E-2</c:v>
                </c:pt>
                <c:pt idx="395">
                  <c:v>4.5600000000000307E-2</c:v>
                </c:pt>
                <c:pt idx="396">
                  <c:v>4.0533333333333608E-2</c:v>
                </c:pt>
                <c:pt idx="397">
                  <c:v>4.0533333333333608E-2</c:v>
                </c:pt>
                <c:pt idx="398">
                  <c:v>4.0533333333333608E-2</c:v>
                </c:pt>
                <c:pt idx="399">
                  <c:v>4.5600000000000307E-2</c:v>
                </c:pt>
                <c:pt idx="400">
                  <c:v>4.0533333333333608E-2</c:v>
                </c:pt>
                <c:pt idx="401">
                  <c:v>7.0933333333333806E-2</c:v>
                </c:pt>
                <c:pt idx="402">
                  <c:v>0.10133333333333401</c:v>
                </c:pt>
                <c:pt idx="403">
                  <c:v>0.13680000000000092</c:v>
                </c:pt>
                <c:pt idx="404">
                  <c:v>0.13680000000000092</c:v>
                </c:pt>
                <c:pt idx="405">
                  <c:v>0.10133333333333401</c:v>
                </c:pt>
                <c:pt idx="406">
                  <c:v>6.5866666666667115E-2</c:v>
                </c:pt>
                <c:pt idx="407">
                  <c:v>3.0400000000000205E-2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5B-4A2C-B424-BBBECA867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892424"/>
        <c:axId val="800892752"/>
      </c:scatterChart>
      <c:valAx>
        <c:axId val="800892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92752"/>
        <c:crosses val="autoZero"/>
        <c:crossBetween val="midCat"/>
      </c:valAx>
      <c:valAx>
        <c:axId val="80089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92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monthly!$L$1</c:f>
              <c:strCache>
                <c:ptCount val="1"/>
                <c:pt idx="0">
                  <c:v>Calcification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monthly!$I$2:$I$409</c:f>
              <c:numCache>
                <c:formatCode>0.0</c:formatCode>
                <c:ptCount val="408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</c:numCache>
            </c:numRef>
          </c:xVal>
          <c:yVal>
            <c:numRef>
              <c:f>monthly!$L$2:$L$409</c:f>
              <c:numCache>
                <c:formatCode>0.000</c:formatCode>
                <c:ptCount val="408"/>
                <c:pt idx="0">
                  <c:v>5.207221736486442E-2</c:v>
                </c:pt>
                <c:pt idx="1">
                  <c:v>4.895938018498025E-2</c:v>
                </c:pt>
                <c:pt idx="2">
                  <c:v>3.7545529778446309E-2</c:v>
                </c:pt>
                <c:pt idx="3">
                  <c:v>4.6678449237633465E-2</c:v>
                </c:pt>
                <c:pt idx="4">
                  <c:v>3.7911607613894671E-2</c:v>
                </c:pt>
                <c:pt idx="5">
                  <c:v>3.8410937480051456E-2</c:v>
                </c:pt>
                <c:pt idx="6">
                  <c:v>0.1210246107362786</c:v>
                </c:pt>
                <c:pt idx="7">
                  <c:v>0.142330192321724</c:v>
                </c:pt>
                <c:pt idx="8">
                  <c:v>0.136929410359137</c:v>
                </c:pt>
                <c:pt idx="9">
                  <c:v>0.14994487854089386</c:v>
                </c:pt>
                <c:pt idx="10">
                  <c:v>5.8654575067896168E-2</c:v>
                </c:pt>
                <c:pt idx="11">
                  <c:v>5.6171991015791657E-2</c:v>
                </c:pt>
                <c:pt idx="12">
                  <c:v>5.7637518957997735E-2</c:v>
                </c:pt>
                <c:pt idx="13">
                  <c:v>6.1871891430406778E-2</c:v>
                </c:pt>
                <c:pt idx="14">
                  <c:v>7.3256597394801254E-2</c:v>
                </c:pt>
                <c:pt idx="15">
                  <c:v>5.6973295980689939E-2</c:v>
                </c:pt>
                <c:pt idx="16">
                  <c:v>6.3890594405622322E-2</c:v>
                </c:pt>
                <c:pt idx="17">
                  <c:v>6.0196179223090597E-2</c:v>
                </c:pt>
                <c:pt idx="18">
                  <c:v>0.1501695490268059</c:v>
                </c:pt>
                <c:pt idx="19">
                  <c:v>0.14249024544044925</c:v>
                </c:pt>
                <c:pt idx="20">
                  <c:v>0.17440577453682193</c:v>
                </c:pt>
                <c:pt idx="21">
                  <c:v>0.1735966367893696</c:v>
                </c:pt>
                <c:pt idx="22">
                  <c:v>5.3252090396527674E-2</c:v>
                </c:pt>
                <c:pt idx="23">
                  <c:v>6.6435004643576781E-2</c:v>
                </c:pt>
                <c:pt idx="24">
                  <c:v>5.9376672309225206E-2</c:v>
                </c:pt>
                <c:pt idx="25">
                  <c:v>6.8908246863626663E-2</c:v>
                </c:pt>
                <c:pt idx="26">
                  <c:v>4.5712034476153768E-2</c:v>
                </c:pt>
                <c:pt idx="27">
                  <c:v>5.7932244826138013E-2</c:v>
                </c:pt>
                <c:pt idx="28">
                  <c:v>7.2327401293436913E-2</c:v>
                </c:pt>
                <c:pt idx="29">
                  <c:v>5.6311228575726555E-2</c:v>
                </c:pt>
                <c:pt idx="30">
                  <c:v>0.20903812530311666</c:v>
                </c:pt>
                <c:pt idx="31">
                  <c:v>0.18350960611470965</c:v>
                </c:pt>
                <c:pt idx="32">
                  <c:v>0.18425047115896906</c:v>
                </c:pt>
                <c:pt idx="33">
                  <c:v>0.18305494011353401</c:v>
                </c:pt>
                <c:pt idx="34">
                  <c:v>6.2722443527412061E-2</c:v>
                </c:pt>
                <c:pt idx="35">
                  <c:v>7.140863291169107E-2</c:v>
                </c:pt>
                <c:pt idx="36">
                  <c:v>7.2283550019590234E-2</c:v>
                </c:pt>
                <c:pt idx="37">
                  <c:v>6.8408230284015964E-2</c:v>
                </c:pt>
                <c:pt idx="38">
                  <c:v>7.9043204572338988E-2</c:v>
                </c:pt>
                <c:pt idx="39">
                  <c:v>7.8923053481622055E-2</c:v>
                </c:pt>
                <c:pt idx="40">
                  <c:v>9.2644883782769027E-2</c:v>
                </c:pt>
                <c:pt idx="41">
                  <c:v>8.9235016025988587E-2</c:v>
                </c:pt>
                <c:pt idx="42">
                  <c:v>0.1842504848857611</c:v>
                </c:pt>
                <c:pt idx="43">
                  <c:v>0.19352238680353845</c:v>
                </c:pt>
                <c:pt idx="44">
                  <c:v>0.1366409897576687</c:v>
                </c:pt>
                <c:pt idx="45">
                  <c:v>0.14604566506982483</c:v>
                </c:pt>
                <c:pt idx="46">
                  <c:v>2.9574934300492121E-2</c:v>
                </c:pt>
                <c:pt idx="47">
                  <c:v>3.3731591347333868E-2</c:v>
                </c:pt>
                <c:pt idx="48">
                  <c:v>3.5881100768296773E-2</c:v>
                </c:pt>
                <c:pt idx="49">
                  <c:v>3.685721728941628E-2</c:v>
                </c:pt>
                <c:pt idx="50">
                  <c:v>3.2744817306015028E-2</c:v>
                </c:pt>
                <c:pt idx="51">
                  <c:v>2.2583576770271948E-2</c:v>
                </c:pt>
                <c:pt idx="52">
                  <c:v>3.0526002928705099E-2</c:v>
                </c:pt>
                <c:pt idx="53">
                  <c:v>3.2653908689286887E-2</c:v>
                </c:pt>
                <c:pt idx="54">
                  <c:v>0.11053792888492768</c:v>
                </c:pt>
                <c:pt idx="55">
                  <c:v>0.11602881763416291</c:v>
                </c:pt>
                <c:pt idx="56">
                  <c:v>0.10619327738698808</c:v>
                </c:pt>
                <c:pt idx="57">
                  <c:v>9.1026914974904408E-2</c:v>
                </c:pt>
                <c:pt idx="58">
                  <c:v>3.0926494241660874E-2</c:v>
                </c:pt>
                <c:pt idx="59">
                  <c:v>4.4031201698246911E-2</c:v>
                </c:pt>
                <c:pt idx="60">
                  <c:v>4.3256323489545119E-2</c:v>
                </c:pt>
                <c:pt idx="61">
                  <c:v>4.4708998550660531E-2</c:v>
                </c:pt>
                <c:pt idx="62">
                  <c:v>4.8888025780604978E-2</c:v>
                </c:pt>
                <c:pt idx="63">
                  <c:v>5.9603805121377605E-2</c:v>
                </c:pt>
                <c:pt idx="64">
                  <c:v>4.7700966176476012E-2</c:v>
                </c:pt>
                <c:pt idx="65">
                  <c:v>5.0815251398045963E-2</c:v>
                </c:pt>
                <c:pt idx="66">
                  <c:v>0.15434382601404478</c:v>
                </c:pt>
                <c:pt idx="67">
                  <c:v>0.16042768415614717</c:v>
                </c:pt>
                <c:pt idx="68">
                  <c:v>0.15477455840845886</c:v>
                </c:pt>
                <c:pt idx="69">
                  <c:v>0.13665327486923856</c:v>
                </c:pt>
                <c:pt idx="70">
                  <c:v>2.3863504355298864E-2</c:v>
                </c:pt>
                <c:pt idx="71">
                  <c:v>2.5634484311374939E-2</c:v>
                </c:pt>
                <c:pt idx="72">
                  <c:v>2.7801581224522434E-2</c:v>
                </c:pt>
                <c:pt idx="73">
                  <c:v>2.9540076498022899E-2</c:v>
                </c:pt>
                <c:pt idx="74">
                  <c:v>2.9956914499077759E-2</c:v>
                </c:pt>
                <c:pt idx="75">
                  <c:v>2.9839611612764529E-2</c:v>
                </c:pt>
                <c:pt idx="76">
                  <c:v>3.0148611450551189E-2</c:v>
                </c:pt>
                <c:pt idx="77">
                  <c:v>3.0585536752027638E-2</c:v>
                </c:pt>
                <c:pt idx="78">
                  <c:v>0.11425719437214089</c:v>
                </c:pt>
                <c:pt idx="79">
                  <c:v>9.8163186072091332E-2</c:v>
                </c:pt>
                <c:pt idx="80">
                  <c:v>9.4248140626656388E-2</c:v>
                </c:pt>
                <c:pt idx="81">
                  <c:v>8.9606285011170628E-2</c:v>
                </c:pt>
                <c:pt idx="82">
                  <c:v>2.7312762851753603E-2</c:v>
                </c:pt>
                <c:pt idx="83">
                  <c:v>2.9596997868387553E-2</c:v>
                </c:pt>
                <c:pt idx="84">
                  <c:v>4.2082888138657612E-2</c:v>
                </c:pt>
                <c:pt idx="85">
                  <c:v>3.5634837146023057E-2</c:v>
                </c:pt>
                <c:pt idx="86">
                  <c:v>3.7277247746364997E-2</c:v>
                </c:pt>
                <c:pt idx="87">
                  <c:v>4.1102197696805017E-2</c:v>
                </c:pt>
                <c:pt idx="88">
                  <c:v>4.3799323413086892E-2</c:v>
                </c:pt>
                <c:pt idx="89">
                  <c:v>4.6068140542937168E-2</c:v>
                </c:pt>
                <c:pt idx="90">
                  <c:v>0.1362286812482425</c:v>
                </c:pt>
                <c:pt idx="91">
                  <c:v>0.15104828832764314</c:v>
                </c:pt>
                <c:pt idx="92">
                  <c:v>0.12127437824776163</c:v>
                </c:pt>
                <c:pt idx="93">
                  <c:v>0.11020501032282784</c:v>
                </c:pt>
                <c:pt idx="94">
                  <c:v>3.4058728612001751E-2</c:v>
                </c:pt>
                <c:pt idx="95">
                  <c:v>3.4868547870602985E-2</c:v>
                </c:pt>
                <c:pt idx="96">
                  <c:v>4.4249215696184944E-2</c:v>
                </c:pt>
                <c:pt idx="97">
                  <c:v>3.919639692834706E-2</c:v>
                </c:pt>
                <c:pt idx="98">
                  <c:v>4.2445476196300257E-2</c:v>
                </c:pt>
                <c:pt idx="99">
                  <c:v>4.369511710224222E-2</c:v>
                </c:pt>
                <c:pt idx="100">
                  <c:v>4.5228041397778494E-2</c:v>
                </c:pt>
                <c:pt idx="101">
                  <c:v>4.6121572260857273E-2</c:v>
                </c:pt>
                <c:pt idx="102">
                  <c:v>0.17543781935623545</c:v>
                </c:pt>
                <c:pt idx="103">
                  <c:v>0.16181694468278254</c:v>
                </c:pt>
                <c:pt idx="104">
                  <c:v>0.1529727240950336</c:v>
                </c:pt>
                <c:pt idx="105">
                  <c:v>0.14273843454364304</c:v>
                </c:pt>
                <c:pt idx="106">
                  <c:v>2.2038441323775599E-2</c:v>
                </c:pt>
                <c:pt idx="107">
                  <c:v>2.3004344593759045E-2</c:v>
                </c:pt>
                <c:pt idx="108">
                  <c:v>1.6136208851353282E-2</c:v>
                </c:pt>
                <c:pt idx="109">
                  <c:v>2.6265875608711894E-2</c:v>
                </c:pt>
                <c:pt idx="110">
                  <c:v>1.9010981293784351E-2</c:v>
                </c:pt>
                <c:pt idx="111">
                  <c:v>2.991644761588283E-2</c:v>
                </c:pt>
                <c:pt idx="112">
                  <c:v>3.1518671249415951E-2</c:v>
                </c:pt>
                <c:pt idx="113">
                  <c:v>2.2119219418341492E-2</c:v>
                </c:pt>
                <c:pt idx="114">
                  <c:v>8.4793612330495191E-2</c:v>
                </c:pt>
                <c:pt idx="115">
                  <c:v>8.5812330880870258E-2</c:v>
                </c:pt>
                <c:pt idx="116">
                  <c:v>8.2547900774072203E-2</c:v>
                </c:pt>
                <c:pt idx="117">
                  <c:v>9.1405990591400296E-2</c:v>
                </c:pt>
                <c:pt idx="118">
                  <c:v>4.3908790998303519E-2</c:v>
                </c:pt>
                <c:pt idx="119">
                  <c:v>3.4212439149323891E-2</c:v>
                </c:pt>
                <c:pt idx="120">
                  <c:v>4.6716694867627861E-2</c:v>
                </c:pt>
                <c:pt idx="121">
                  <c:v>4.6907058967138059E-2</c:v>
                </c:pt>
                <c:pt idx="122">
                  <c:v>3.6317501338965698E-2</c:v>
                </c:pt>
                <c:pt idx="123">
                  <c:v>4.949081237207522E-2</c:v>
                </c:pt>
                <c:pt idx="124">
                  <c:v>5.1792280261579844E-2</c:v>
                </c:pt>
                <c:pt idx="125">
                  <c:v>4.0667768602776967E-2</c:v>
                </c:pt>
                <c:pt idx="126">
                  <c:v>0.30639089842028283</c:v>
                </c:pt>
                <c:pt idx="127">
                  <c:v>0.25984409685035503</c:v>
                </c:pt>
                <c:pt idx="128">
                  <c:v>0.21210945747666379</c:v>
                </c:pt>
                <c:pt idx="129">
                  <c:v>0.21244671486521119</c:v>
                </c:pt>
                <c:pt idx="130">
                  <c:v>2.2163331129190032E-2</c:v>
                </c:pt>
                <c:pt idx="131">
                  <c:v>1.5329798853165343E-2</c:v>
                </c:pt>
                <c:pt idx="132">
                  <c:v>1.6146940536568649E-2</c:v>
                </c:pt>
                <c:pt idx="133">
                  <c:v>2.6041153771621306E-2</c:v>
                </c:pt>
                <c:pt idx="134">
                  <c:v>1.8349167003860332E-2</c:v>
                </c:pt>
                <c:pt idx="135">
                  <c:v>2.8703791805026857E-2</c:v>
                </c:pt>
                <c:pt idx="136">
                  <c:v>1.9942643558855413E-2</c:v>
                </c:pt>
                <c:pt idx="137">
                  <c:v>2.0380725572857021E-2</c:v>
                </c:pt>
                <c:pt idx="138">
                  <c:v>0.16491390535571926</c:v>
                </c:pt>
                <c:pt idx="139">
                  <c:v>0.16185872043320104</c:v>
                </c:pt>
                <c:pt idx="140">
                  <c:v>0.12946252913271461</c:v>
                </c:pt>
                <c:pt idx="141">
                  <c:v>0.16177619090715115</c:v>
                </c:pt>
                <c:pt idx="142">
                  <c:v>1.9591670424650008E-2</c:v>
                </c:pt>
                <c:pt idx="143">
                  <c:v>9.8784372162251909E-3</c:v>
                </c:pt>
                <c:pt idx="144">
                  <c:v>2.0061059677718252E-2</c:v>
                </c:pt>
                <c:pt idx="145">
                  <c:v>1.0230323379527001E-2</c:v>
                </c:pt>
                <c:pt idx="146">
                  <c:v>2.1023786208090367E-2</c:v>
                </c:pt>
                <c:pt idx="147">
                  <c:v>1.0909583752124719E-2</c:v>
                </c:pt>
                <c:pt idx="148">
                  <c:v>2.2638488845250045E-2</c:v>
                </c:pt>
                <c:pt idx="149">
                  <c:v>1.1645281228113908E-2</c:v>
                </c:pt>
                <c:pt idx="150">
                  <c:v>0.15888732833352501</c:v>
                </c:pt>
                <c:pt idx="151">
                  <c:v>0.15305149240772523</c:v>
                </c:pt>
                <c:pt idx="152">
                  <c:v>0.13280550875789462</c:v>
                </c:pt>
                <c:pt idx="153">
                  <c:v>0.12563100631563667</c:v>
                </c:pt>
                <c:pt idx="154">
                  <c:v>3.90576284152373E-2</c:v>
                </c:pt>
                <c:pt idx="155">
                  <c:v>4.3346259133127459E-2</c:v>
                </c:pt>
                <c:pt idx="156">
                  <c:v>5.954259387136316E-2</c:v>
                </c:pt>
                <c:pt idx="157">
                  <c:v>5.0955190838636963E-2</c:v>
                </c:pt>
                <c:pt idx="158">
                  <c:v>5.2818577246596339E-2</c:v>
                </c:pt>
                <c:pt idx="159">
                  <c:v>5.4042251606724719E-2</c:v>
                </c:pt>
                <c:pt idx="160">
                  <c:v>5.7118517814771994E-2</c:v>
                </c:pt>
                <c:pt idx="161">
                  <c:v>5.871275840112844E-2</c:v>
                </c:pt>
                <c:pt idx="162">
                  <c:v>0.14446996136267604</c:v>
                </c:pt>
                <c:pt idx="163">
                  <c:v>0.13204050469501155</c:v>
                </c:pt>
                <c:pt idx="164">
                  <c:v>0.12126984653421834</c:v>
                </c:pt>
                <c:pt idx="165">
                  <c:v>0.12129213449217366</c:v>
                </c:pt>
                <c:pt idx="166">
                  <c:v>2.5838074754561294E-2</c:v>
                </c:pt>
                <c:pt idx="167">
                  <c:v>1.9042014123036265E-2</c:v>
                </c:pt>
                <c:pt idx="168">
                  <c:v>3.2464500934941243E-2</c:v>
                </c:pt>
                <c:pt idx="169">
                  <c:v>2.3682670793136726E-2</c:v>
                </c:pt>
                <c:pt idx="170">
                  <c:v>3.6594988715476506E-2</c:v>
                </c:pt>
                <c:pt idx="171">
                  <c:v>2.4637345542539726E-2</c:v>
                </c:pt>
                <c:pt idx="172">
                  <c:v>3.7195297095922709E-2</c:v>
                </c:pt>
                <c:pt idx="173">
                  <c:v>2.5090608397350445E-2</c:v>
                </c:pt>
                <c:pt idx="174">
                  <c:v>0.30548735702606761</c:v>
                </c:pt>
                <c:pt idx="175">
                  <c:v>0.30593945049346533</c:v>
                </c:pt>
                <c:pt idx="176">
                  <c:v>0.24057600540809179</c:v>
                </c:pt>
                <c:pt idx="177">
                  <c:v>0.26165861048847389</c:v>
                </c:pt>
                <c:pt idx="178">
                  <c:v>1.7818888354798321E-2</c:v>
                </c:pt>
                <c:pt idx="179">
                  <c:v>1.7938258055415872E-2</c:v>
                </c:pt>
                <c:pt idx="180">
                  <c:v>1.829119627728628E-2</c:v>
                </c:pt>
                <c:pt idx="181">
                  <c:v>1.8797508938584073E-2</c:v>
                </c:pt>
                <c:pt idx="182">
                  <c:v>1.9399957245623538E-2</c:v>
                </c:pt>
                <c:pt idx="183">
                  <c:v>1.9718169244127611E-2</c:v>
                </c:pt>
                <c:pt idx="184">
                  <c:v>1.9899108738430156E-2</c:v>
                </c:pt>
                <c:pt idx="185">
                  <c:v>1.9990100674358094E-2</c:v>
                </c:pt>
                <c:pt idx="186">
                  <c:v>0.19811809189602411</c:v>
                </c:pt>
                <c:pt idx="187">
                  <c:v>0.16152351134106269</c:v>
                </c:pt>
                <c:pt idx="188">
                  <c:v>0.17970315745810056</c:v>
                </c:pt>
                <c:pt idx="189">
                  <c:v>0.21696252527139281</c:v>
                </c:pt>
                <c:pt idx="190">
                  <c:v>4.2085930283850943E-2</c:v>
                </c:pt>
                <c:pt idx="191">
                  <c:v>4.4561224972772887E-2</c:v>
                </c:pt>
                <c:pt idx="192">
                  <c:v>4.7019743633110705E-2</c:v>
                </c:pt>
                <c:pt idx="193">
                  <c:v>5.0547904724197276E-2</c:v>
                </c:pt>
                <c:pt idx="194">
                  <c:v>4.9849159666175744E-2</c:v>
                </c:pt>
                <c:pt idx="195">
                  <c:v>3.6436706518855048E-2</c:v>
                </c:pt>
                <c:pt idx="196">
                  <c:v>4.8348090404924965E-2</c:v>
                </c:pt>
                <c:pt idx="197">
                  <c:v>4.9192671006867479E-2</c:v>
                </c:pt>
                <c:pt idx="198">
                  <c:v>0.25110171763832284</c:v>
                </c:pt>
                <c:pt idx="199">
                  <c:v>0.23685241661707779</c:v>
                </c:pt>
                <c:pt idx="200">
                  <c:v>0.21361946439904672</c:v>
                </c:pt>
                <c:pt idx="201">
                  <c:v>0.20622714227776953</c:v>
                </c:pt>
                <c:pt idx="202">
                  <c:v>2.5007340186568385E-2</c:v>
                </c:pt>
                <c:pt idx="203">
                  <c:v>1.7052695718383692E-2</c:v>
                </c:pt>
                <c:pt idx="204">
                  <c:v>2.6912445305873139E-2</c:v>
                </c:pt>
                <c:pt idx="205">
                  <c:v>1.952910659483453E-2</c:v>
                </c:pt>
                <c:pt idx="206">
                  <c:v>3.2039676577849695E-2</c:v>
                </c:pt>
                <c:pt idx="207">
                  <c:v>2.2744015829925059E-2</c:v>
                </c:pt>
                <c:pt idx="208">
                  <c:v>3.5442107675835152E-2</c:v>
                </c:pt>
                <c:pt idx="209">
                  <c:v>2.4499022767550595E-2</c:v>
                </c:pt>
                <c:pt idx="210">
                  <c:v>0.20232109901874296</c:v>
                </c:pt>
                <c:pt idx="211">
                  <c:v>0.18983648303752659</c:v>
                </c:pt>
                <c:pt idx="212">
                  <c:v>0.18783469077661261</c:v>
                </c:pt>
                <c:pt idx="213">
                  <c:v>0.17760509881004816</c:v>
                </c:pt>
                <c:pt idx="214">
                  <c:v>1.6976455518319899E-2</c:v>
                </c:pt>
                <c:pt idx="215">
                  <c:v>1.7365969119149578E-2</c:v>
                </c:pt>
                <c:pt idx="216">
                  <c:v>1.8511444869489413E-2</c:v>
                </c:pt>
                <c:pt idx="217">
                  <c:v>2.026502371028234E-2</c:v>
                </c:pt>
                <c:pt idx="218">
                  <c:v>2.2197167466359566E-2</c:v>
                </c:pt>
                <c:pt idx="219">
                  <c:v>2.4094056297532647E-2</c:v>
                </c:pt>
                <c:pt idx="220">
                  <c:v>2.5836045030448968E-2</c:v>
                </c:pt>
                <c:pt idx="221">
                  <c:v>1.3361395150008056E-2</c:v>
                </c:pt>
                <c:pt idx="222">
                  <c:v>0.11980471808809055</c:v>
                </c:pt>
                <c:pt idx="223">
                  <c:v>0.11178556822555062</c:v>
                </c:pt>
                <c:pt idx="224">
                  <c:v>9.6511046950535126E-2</c:v>
                </c:pt>
                <c:pt idx="225">
                  <c:v>9.4214785113016425E-2</c:v>
                </c:pt>
                <c:pt idx="226">
                  <c:v>3.1319387685576475E-2</c:v>
                </c:pt>
                <c:pt idx="227">
                  <c:v>4.2800164057240721E-2</c:v>
                </c:pt>
                <c:pt idx="228">
                  <c:v>3.616016489663005E-2</c:v>
                </c:pt>
                <c:pt idx="229">
                  <c:v>3.8786024005446021E-2</c:v>
                </c:pt>
                <c:pt idx="230">
                  <c:v>4.2099452593736417E-2</c:v>
                </c:pt>
                <c:pt idx="231">
                  <c:v>5.5173632104842885E-2</c:v>
                </c:pt>
                <c:pt idx="232">
                  <c:v>4.6158097590585465E-2</c:v>
                </c:pt>
                <c:pt idx="233">
                  <c:v>4.9572306347065498E-2</c:v>
                </c:pt>
                <c:pt idx="234">
                  <c:v>0.18518026970627469</c:v>
                </c:pt>
                <c:pt idx="235">
                  <c:v>0.17348462370531728</c:v>
                </c:pt>
                <c:pt idx="236">
                  <c:v>0.13986587872998457</c:v>
                </c:pt>
                <c:pt idx="237">
                  <c:v>0.12252802616246357</c:v>
                </c:pt>
                <c:pt idx="238">
                  <c:v>1.9125808135401028E-2</c:v>
                </c:pt>
                <c:pt idx="239">
                  <c:v>1.3302636537157358E-2</c:v>
                </c:pt>
                <c:pt idx="240">
                  <c:v>2.2422992078652105E-2</c:v>
                </c:pt>
                <c:pt idx="241">
                  <c:v>1.765801215556817E-2</c:v>
                </c:pt>
                <c:pt idx="242">
                  <c:v>2.0794221539587255E-2</c:v>
                </c:pt>
                <c:pt idx="243">
                  <c:v>3.6972726230224677E-2</c:v>
                </c:pt>
                <c:pt idx="244">
                  <c:v>2.7487308058776451E-2</c:v>
                </c:pt>
                <c:pt idx="245">
                  <c:v>2.8542832519276234E-2</c:v>
                </c:pt>
                <c:pt idx="246">
                  <c:v>0.18112363609892723</c:v>
                </c:pt>
                <c:pt idx="247">
                  <c:v>0.1743545303970532</c:v>
                </c:pt>
                <c:pt idx="248">
                  <c:v>0.13983470435437009</c:v>
                </c:pt>
                <c:pt idx="249">
                  <c:v>0.14709392663963497</c:v>
                </c:pt>
                <c:pt idx="250">
                  <c:v>2.0116167487125334E-2</c:v>
                </c:pt>
                <c:pt idx="251">
                  <c:v>2.0746660217549357E-2</c:v>
                </c:pt>
                <c:pt idx="252">
                  <c:v>2.1779041954581989E-2</c:v>
                </c:pt>
                <c:pt idx="253">
                  <c:v>2.2606779810931434E-2</c:v>
                </c:pt>
                <c:pt idx="254">
                  <c:v>2.345507806934756E-2</c:v>
                </c:pt>
                <c:pt idx="255">
                  <c:v>2.456378839111609E-2</c:v>
                </c:pt>
                <c:pt idx="256">
                  <c:v>2.5798909344993425E-2</c:v>
                </c:pt>
                <c:pt idx="257">
                  <c:v>2.6633623959156316E-2</c:v>
                </c:pt>
                <c:pt idx="258">
                  <c:v>0.197028904045778</c:v>
                </c:pt>
                <c:pt idx="259">
                  <c:v>0.21480606063661653</c:v>
                </c:pt>
                <c:pt idx="260">
                  <c:v>0.19782627719302168</c:v>
                </c:pt>
                <c:pt idx="261">
                  <c:v>0.16980548581171689</c:v>
                </c:pt>
                <c:pt idx="262">
                  <c:v>2.5021218317060862E-2</c:v>
                </c:pt>
                <c:pt idx="263">
                  <c:v>3.4389107605440089E-2</c:v>
                </c:pt>
                <c:pt idx="264">
                  <c:v>2.7360604189800391E-2</c:v>
                </c:pt>
                <c:pt idx="265">
                  <c:v>2.8767429831770785E-2</c:v>
                </c:pt>
                <c:pt idx="266">
                  <c:v>4.0300739093258722E-2</c:v>
                </c:pt>
                <c:pt idx="267">
                  <c:v>3.2678146414954208E-2</c:v>
                </c:pt>
                <c:pt idx="268">
                  <c:v>3.6314852504572497E-2</c:v>
                </c:pt>
                <c:pt idx="269">
                  <c:v>3.9969468548197835E-2</c:v>
                </c:pt>
                <c:pt idx="270">
                  <c:v>0.18931326520415584</c:v>
                </c:pt>
                <c:pt idx="271">
                  <c:v>0.19588732529846523</c:v>
                </c:pt>
                <c:pt idx="272">
                  <c:v>0.16583530478980221</c:v>
                </c:pt>
                <c:pt idx="273">
                  <c:v>0.14073824835242438</c:v>
                </c:pt>
                <c:pt idx="274">
                  <c:v>2.9209812892166013E-2</c:v>
                </c:pt>
                <c:pt idx="275">
                  <c:v>3.2162430017929844E-2</c:v>
                </c:pt>
                <c:pt idx="276">
                  <c:v>3.4580876332404017E-2</c:v>
                </c:pt>
                <c:pt idx="277">
                  <c:v>3.5730948360285252E-2</c:v>
                </c:pt>
                <c:pt idx="278">
                  <c:v>3.6851309326933902E-2</c:v>
                </c:pt>
                <c:pt idx="279">
                  <c:v>3.9079045933919296E-2</c:v>
                </c:pt>
                <c:pt idx="280">
                  <c:v>4.4553936462470106E-2</c:v>
                </c:pt>
                <c:pt idx="281">
                  <c:v>5.2667455434850657E-2</c:v>
                </c:pt>
                <c:pt idx="282">
                  <c:v>0.17175183962097984</c:v>
                </c:pt>
                <c:pt idx="283">
                  <c:v>0.172354909188631</c:v>
                </c:pt>
                <c:pt idx="284">
                  <c:v>0.19149714662504091</c:v>
                </c:pt>
                <c:pt idx="285">
                  <c:v>0.18442899104802993</c:v>
                </c:pt>
                <c:pt idx="286">
                  <c:v>2.1828797403575403E-2</c:v>
                </c:pt>
                <c:pt idx="287">
                  <c:v>2.2272314690460791E-2</c:v>
                </c:pt>
                <c:pt idx="288">
                  <c:v>2.3092706735458948E-2</c:v>
                </c:pt>
                <c:pt idx="289">
                  <c:v>1.179068147714844E-2</c:v>
                </c:pt>
                <c:pt idx="290">
                  <c:v>2.3868324191871997E-2</c:v>
                </c:pt>
                <c:pt idx="291">
                  <c:v>2.4729971881298076E-2</c:v>
                </c:pt>
                <c:pt idx="292">
                  <c:v>2.6271735671029247E-2</c:v>
                </c:pt>
                <c:pt idx="293">
                  <c:v>1.3702378012152842E-2</c:v>
                </c:pt>
                <c:pt idx="294">
                  <c:v>0.18174868929242141</c:v>
                </c:pt>
                <c:pt idx="295">
                  <c:v>0.17349577347176612</c:v>
                </c:pt>
                <c:pt idx="296">
                  <c:v>0.19209743380183381</c:v>
                </c:pt>
                <c:pt idx="297">
                  <c:v>0.19899415658425273</c:v>
                </c:pt>
                <c:pt idx="298">
                  <c:v>2.2231394196657858E-2</c:v>
                </c:pt>
                <c:pt idx="299">
                  <c:v>2.2377508246176396E-2</c:v>
                </c:pt>
                <c:pt idx="300">
                  <c:v>2.2608580983736568E-2</c:v>
                </c:pt>
                <c:pt idx="301">
                  <c:v>2.2821034152580952E-2</c:v>
                </c:pt>
                <c:pt idx="302">
                  <c:v>2.3080786601791806E-2</c:v>
                </c:pt>
                <c:pt idx="303">
                  <c:v>2.3623712573183794E-2</c:v>
                </c:pt>
                <c:pt idx="304">
                  <c:v>2.4841994259626372E-2</c:v>
                </c:pt>
                <c:pt idx="305">
                  <c:v>2.6601461721875136E-2</c:v>
                </c:pt>
                <c:pt idx="306">
                  <c:v>0.18558061685431476</c:v>
                </c:pt>
                <c:pt idx="307">
                  <c:v>0.20268233571722663</c:v>
                </c:pt>
                <c:pt idx="308">
                  <c:v>0.14353516314309941</c:v>
                </c:pt>
                <c:pt idx="309">
                  <c:v>0.16484179726932294</c:v>
                </c:pt>
                <c:pt idx="310">
                  <c:v>2.1730843427283136E-2</c:v>
                </c:pt>
                <c:pt idx="311">
                  <c:v>1.0889466901896143E-2</c:v>
                </c:pt>
                <c:pt idx="312">
                  <c:v>2.1891723085605976E-2</c:v>
                </c:pt>
                <c:pt idx="313">
                  <c:v>1.1096827850794647E-2</c:v>
                </c:pt>
                <c:pt idx="314">
                  <c:v>1.1323587989892716E-2</c:v>
                </c:pt>
                <c:pt idx="315">
                  <c:v>2.3549267806721688E-2</c:v>
                </c:pt>
                <c:pt idx="316">
                  <c:v>1.2174809153738338E-2</c:v>
                </c:pt>
                <c:pt idx="317">
                  <c:v>1.2301601887891322E-2</c:v>
                </c:pt>
                <c:pt idx="318">
                  <c:v>9.4133065837715732E-2</c:v>
                </c:pt>
                <c:pt idx="319">
                  <c:v>8.2873044125623102E-2</c:v>
                </c:pt>
                <c:pt idx="320">
                  <c:v>6.821901702473715E-2</c:v>
                </c:pt>
                <c:pt idx="321">
                  <c:v>6.1347121266052296E-2</c:v>
                </c:pt>
                <c:pt idx="322">
                  <c:v>4.2737138141874173E-2</c:v>
                </c:pt>
                <c:pt idx="323">
                  <c:v>5.2042768171813678E-2</c:v>
                </c:pt>
                <c:pt idx="324">
                  <c:v>4.8635196717105436E-2</c:v>
                </c:pt>
                <c:pt idx="325">
                  <c:v>5.4599947616608156E-2</c:v>
                </c:pt>
                <c:pt idx="326">
                  <c:v>7.0398506773613131E-2</c:v>
                </c:pt>
                <c:pt idx="327">
                  <c:v>6.3280839468776703E-2</c:v>
                </c:pt>
                <c:pt idx="328">
                  <c:v>8.6036626088533838E-2</c:v>
                </c:pt>
                <c:pt idx="329">
                  <c:v>8.3774843264580637E-2</c:v>
                </c:pt>
                <c:pt idx="330">
                  <c:v>0.23571287026628657</c:v>
                </c:pt>
                <c:pt idx="331">
                  <c:v>0.21509947571238364</c:v>
                </c:pt>
                <c:pt idx="332">
                  <c:v>0.19751994950222951</c:v>
                </c:pt>
                <c:pt idx="333">
                  <c:v>0.24146027999690134</c:v>
                </c:pt>
                <c:pt idx="334">
                  <c:v>2.3829216179067036E-2</c:v>
                </c:pt>
                <c:pt idx="335">
                  <c:v>1.2093879415088231E-2</c:v>
                </c:pt>
                <c:pt idx="336">
                  <c:v>1.2331855927035533E-2</c:v>
                </c:pt>
                <c:pt idx="337">
                  <c:v>1.261657647922214E-2</c:v>
                </c:pt>
                <c:pt idx="338">
                  <c:v>2.6209748275383828E-2</c:v>
                </c:pt>
                <c:pt idx="339">
                  <c:v>1.3557224067184266E-2</c:v>
                </c:pt>
                <c:pt idx="340">
                  <c:v>1.3814977573053633E-2</c:v>
                </c:pt>
                <c:pt idx="341">
                  <c:v>1.3991294014906884E-2</c:v>
                </c:pt>
                <c:pt idx="342">
                  <c:v>9.4680146475596805E-2</c:v>
                </c:pt>
                <c:pt idx="343">
                  <c:v>9.5694365340601328E-2</c:v>
                </c:pt>
                <c:pt idx="344">
                  <c:v>8.6754840462494487E-2</c:v>
                </c:pt>
                <c:pt idx="345">
                  <c:v>7.0042992256940773E-2</c:v>
                </c:pt>
                <c:pt idx="346">
                  <c:v>2.8428758133725637E-2</c:v>
                </c:pt>
                <c:pt idx="347">
                  <c:v>3.8169030047913208E-2</c:v>
                </c:pt>
                <c:pt idx="348">
                  <c:v>2.8806558868126088E-2</c:v>
                </c:pt>
                <c:pt idx="349">
                  <c:v>2.9469204450122279E-2</c:v>
                </c:pt>
                <c:pt idx="350">
                  <c:v>4.0658792695074705E-2</c:v>
                </c:pt>
                <c:pt idx="351">
                  <c:v>3.2542046161961748E-2</c:v>
                </c:pt>
                <c:pt idx="352">
                  <c:v>3.442926220337441E-2</c:v>
                </c:pt>
                <c:pt idx="353">
                  <c:v>3.6176949079531749E-2</c:v>
                </c:pt>
                <c:pt idx="354">
                  <c:v>0.27272919427923337</c:v>
                </c:pt>
                <c:pt idx="355">
                  <c:v>0.26521671360345894</c:v>
                </c:pt>
                <c:pt idx="356">
                  <c:v>0.23390133049834957</c:v>
                </c:pt>
                <c:pt idx="357">
                  <c:v>0.32419823280080706</c:v>
                </c:pt>
                <c:pt idx="358">
                  <c:v>3.7322628291139012E-2</c:v>
                </c:pt>
                <c:pt idx="359">
                  <c:v>3.8543064316549545E-2</c:v>
                </c:pt>
                <c:pt idx="360">
                  <c:v>4.0249538767152773E-2</c:v>
                </c:pt>
                <c:pt idx="361">
                  <c:v>4.1742434069551151E-2</c:v>
                </c:pt>
                <c:pt idx="362">
                  <c:v>4.2557473310355705E-2</c:v>
                </c:pt>
                <c:pt idx="363">
                  <c:v>4.4251249486301672E-2</c:v>
                </c:pt>
                <c:pt idx="364">
                  <c:v>4.7109373159332578E-2</c:v>
                </c:pt>
                <c:pt idx="365">
                  <c:v>5.0209040935269351E-2</c:v>
                </c:pt>
                <c:pt idx="366">
                  <c:v>0.24155000766479179</c:v>
                </c:pt>
                <c:pt idx="367">
                  <c:v>0.21918676018947428</c:v>
                </c:pt>
                <c:pt idx="368">
                  <c:v>0.21277244128969416</c:v>
                </c:pt>
                <c:pt idx="369">
                  <c:v>0.21065461331187002</c:v>
                </c:pt>
                <c:pt idx="370">
                  <c:v>2.3894594714664794E-2</c:v>
                </c:pt>
                <c:pt idx="371">
                  <c:v>2.4307724839410676E-2</c:v>
                </c:pt>
                <c:pt idx="372">
                  <c:v>2.4687194748069699E-2</c:v>
                </c:pt>
                <c:pt idx="373">
                  <c:v>2.5064268076271531E-2</c:v>
                </c:pt>
                <c:pt idx="374">
                  <c:v>2.5625068399104712E-2</c:v>
                </c:pt>
                <c:pt idx="375">
                  <c:v>2.6229764187139567E-2</c:v>
                </c:pt>
                <c:pt idx="376">
                  <c:v>2.6744092349068938E-2</c:v>
                </c:pt>
                <c:pt idx="377">
                  <c:v>1.3512642004119448E-2</c:v>
                </c:pt>
                <c:pt idx="378">
                  <c:v>0.19845657130264538</c:v>
                </c:pt>
                <c:pt idx="379">
                  <c:v>0.17236990870507138</c:v>
                </c:pt>
                <c:pt idx="380">
                  <c:v>0.15771979967524158</c:v>
                </c:pt>
                <c:pt idx="381">
                  <c:v>0.18626178014621064</c:v>
                </c:pt>
                <c:pt idx="382">
                  <c:v>2.4118456502879651E-2</c:v>
                </c:pt>
                <c:pt idx="383">
                  <c:v>1.2290536995764529E-2</c:v>
                </c:pt>
                <c:pt idx="384">
                  <c:v>2.5571741109868186E-2</c:v>
                </c:pt>
                <c:pt idx="385">
                  <c:v>1.3431761801218901E-2</c:v>
                </c:pt>
                <c:pt idx="386">
                  <c:v>1.3888616949254598E-2</c:v>
                </c:pt>
                <c:pt idx="387">
                  <c:v>2.8801458085641395E-2</c:v>
                </c:pt>
                <c:pt idx="388">
                  <c:v>1.4711477839514655E-2</c:v>
                </c:pt>
                <c:pt idx="389">
                  <c:v>1.4801682809441824E-2</c:v>
                </c:pt>
                <c:pt idx="390">
                  <c:v>0.15861410652294872</c:v>
                </c:pt>
                <c:pt idx="391">
                  <c:v>0.14542901263895724</c:v>
                </c:pt>
                <c:pt idx="392">
                  <c:v>0.12289350875345818</c:v>
                </c:pt>
                <c:pt idx="393">
                  <c:v>0.11252121244023958</c:v>
                </c:pt>
                <c:pt idx="394">
                  <c:v>3.0364860338493751E-2</c:v>
                </c:pt>
                <c:pt idx="395">
                  <c:v>3.140571585897662E-2</c:v>
                </c:pt>
                <c:pt idx="396">
                  <c:v>3.2317523105915513E-2</c:v>
                </c:pt>
                <c:pt idx="397">
                  <c:v>2.1988107877967619E-2</c:v>
                </c:pt>
                <c:pt idx="398">
                  <c:v>3.4202799236664097E-2</c:v>
                </c:pt>
                <c:pt idx="399">
                  <c:v>3.6355469224638524E-2</c:v>
                </c:pt>
                <c:pt idx="400">
                  <c:v>3.8739638302570448E-2</c:v>
                </c:pt>
                <c:pt idx="401">
                  <c:v>2.6912680856595046E-2</c:v>
                </c:pt>
                <c:pt idx="402">
                  <c:v>0.11033764308995959</c:v>
                </c:pt>
                <c:pt idx="403">
                  <c:v>9.8153583386939636E-2</c:v>
                </c:pt>
                <c:pt idx="404">
                  <c:v>0.11638625172742899</c:v>
                </c:pt>
                <c:pt idx="405">
                  <c:v>0.11852735403060075</c:v>
                </c:pt>
                <c:pt idx="406">
                  <c:v>2.4663803384440696E-2</c:v>
                </c:pt>
                <c:pt idx="407">
                  <c:v>2.4820255533472772E-2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57-45F4-968E-1CAF3000E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892424"/>
        <c:axId val="800892752"/>
      </c:scatterChart>
      <c:valAx>
        <c:axId val="800892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92752"/>
        <c:crosses val="autoZero"/>
        <c:crossBetween val="midCat"/>
      </c:valAx>
      <c:valAx>
        <c:axId val="80089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92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1</xdr:row>
      <xdr:rowOff>19051</xdr:rowOff>
    </xdr:from>
    <xdr:to>
      <xdr:col>14</xdr:col>
      <xdr:colOff>123825</xdr:colOff>
      <xdr:row>27</xdr:row>
      <xdr:rowOff>23813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57150</xdr:colOff>
      <xdr:row>1</xdr:row>
      <xdr:rowOff>28575</xdr:rowOff>
    </xdr:from>
    <xdr:to>
      <xdr:col>30</xdr:col>
      <xdr:colOff>47625</xdr:colOff>
      <xdr:row>27</xdr:row>
      <xdr:rowOff>33337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340361</xdr:colOff>
      <xdr:row>33</xdr:row>
      <xdr:rowOff>3496</xdr:rowOff>
    </xdr:from>
    <xdr:to>
      <xdr:col>22</xdr:col>
      <xdr:colOff>340361</xdr:colOff>
      <xdr:row>47</xdr:row>
      <xdr:rowOff>79696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515408</xdr:colOff>
      <xdr:row>0</xdr:row>
      <xdr:rowOff>53174</xdr:rowOff>
    </xdr:from>
    <xdr:to>
      <xdr:col>34</xdr:col>
      <xdr:colOff>54428</xdr:colOff>
      <xdr:row>26</xdr:row>
      <xdr:rowOff>111445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8429322" y="53174"/>
          <a:ext cx="19318363" cy="5228985"/>
          <a:chOff x="-2031932" y="801006"/>
          <a:chExt cx="16650984" cy="544830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GraphicFramePr/>
        </xdr:nvGraphicFramePr>
        <xdr:xfrm>
          <a:off x="-2031932" y="801006"/>
          <a:ext cx="16650984" cy="5448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7" name="Conector recto de flecha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CxnSpPr/>
        </xdr:nvCxnSpPr>
        <xdr:spPr>
          <a:xfrm flipH="1" flipV="1">
            <a:off x="13329391" y="1918030"/>
            <a:ext cx="7327" cy="348761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87247</xdr:colOff>
      <xdr:row>11</xdr:row>
      <xdr:rowOff>138473</xdr:rowOff>
    </xdr:from>
    <xdr:to>
      <xdr:col>22</xdr:col>
      <xdr:colOff>266541</xdr:colOff>
      <xdr:row>13</xdr:row>
      <xdr:rowOff>15208</xdr:rowOff>
    </xdr:to>
    <xdr:sp macro="" textlink="">
      <xdr:nvSpPr>
        <xdr:cNvPr id="8" name="Flecha abaj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790140" y="2642187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25</xdr:col>
      <xdr:colOff>196041</xdr:colOff>
      <xdr:row>10</xdr:row>
      <xdr:rowOff>63583</xdr:rowOff>
    </xdr:from>
    <xdr:to>
      <xdr:col>25</xdr:col>
      <xdr:colOff>375335</xdr:colOff>
      <xdr:row>11</xdr:row>
      <xdr:rowOff>130818</xdr:rowOff>
    </xdr:to>
    <xdr:sp macro="" textlink="">
      <xdr:nvSpPr>
        <xdr:cNvPr id="9" name="Flecha abaj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0184934" y="2376797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221174</xdr:colOff>
      <xdr:row>16</xdr:row>
      <xdr:rowOff>29485</xdr:rowOff>
    </xdr:from>
    <xdr:to>
      <xdr:col>14</xdr:col>
      <xdr:colOff>400468</xdr:colOff>
      <xdr:row>17</xdr:row>
      <xdr:rowOff>96720</xdr:rowOff>
    </xdr:to>
    <xdr:sp macro="" textlink="">
      <xdr:nvSpPr>
        <xdr:cNvPr id="10" name="Flecha abaj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1828067" y="3485699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244868</xdr:colOff>
      <xdr:row>13</xdr:row>
      <xdr:rowOff>46774</xdr:rowOff>
    </xdr:from>
    <xdr:to>
      <xdr:col>17</xdr:col>
      <xdr:colOff>424162</xdr:colOff>
      <xdr:row>14</xdr:row>
      <xdr:rowOff>114009</xdr:rowOff>
    </xdr:to>
    <xdr:sp macro="" textlink="">
      <xdr:nvSpPr>
        <xdr:cNvPr id="11" name="Flecha abaj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4137761" y="2931488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229657</xdr:colOff>
      <xdr:row>8</xdr:row>
      <xdr:rowOff>134818</xdr:rowOff>
    </xdr:from>
    <xdr:to>
      <xdr:col>11</xdr:col>
      <xdr:colOff>408951</xdr:colOff>
      <xdr:row>10</xdr:row>
      <xdr:rowOff>11553</xdr:rowOff>
    </xdr:to>
    <xdr:sp macro="" textlink="">
      <xdr:nvSpPr>
        <xdr:cNvPr id="12" name="Flecha abajo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9468907" y="2067032"/>
          <a:ext cx="179294" cy="257735"/>
        </a:xfrm>
        <a:prstGeom prst="down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27214</xdr:colOff>
      <xdr:row>9</xdr:row>
      <xdr:rowOff>163287</xdr:rowOff>
    </xdr:from>
    <xdr:to>
      <xdr:col>26</xdr:col>
      <xdr:colOff>27214</xdr:colOff>
      <xdr:row>11</xdr:row>
      <xdr:rowOff>81644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20465143" y="2299608"/>
          <a:ext cx="0" cy="29935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517071</xdr:colOff>
      <xdr:row>9</xdr:row>
      <xdr:rowOff>108853</xdr:rowOff>
    </xdr:from>
    <xdr:to>
      <xdr:col>26</xdr:col>
      <xdr:colOff>517071</xdr:colOff>
      <xdr:row>11</xdr:row>
      <xdr:rowOff>27210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>
        <a:xfrm>
          <a:off x="20955000" y="2245174"/>
          <a:ext cx="0" cy="29935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176892</xdr:colOff>
      <xdr:row>11</xdr:row>
      <xdr:rowOff>108857</xdr:rowOff>
    </xdr:from>
    <xdr:to>
      <xdr:col>28</xdr:col>
      <xdr:colOff>176892</xdr:colOff>
      <xdr:row>13</xdr:row>
      <xdr:rowOff>27214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>
          <a:off x="22451785" y="2612571"/>
          <a:ext cx="0" cy="29935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612321</xdr:colOff>
      <xdr:row>9</xdr:row>
      <xdr:rowOff>122462</xdr:rowOff>
    </xdr:from>
    <xdr:to>
      <xdr:col>29</xdr:col>
      <xdr:colOff>29615</xdr:colOff>
      <xdr:row>10</xdr:row>
      <xdr:rowOff>189697</xdr:rowOff>
    </xdr:to>
    <xdr:sp macro="" textlink="">
      <xdr:nvSpPr>
        <xdr:cNvPr id="16" name="Flecha abaj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22574250" y="2258783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29</xdr:col>
      <xdr:colOff>353785</xdr:colOff>
      <xdr:row>9</xdr:row>
      <xdr:rowOff>163284</xdr:rowOff>
    </xdr:from>
    <xdr:to>
      <xdr:col>29</xdr:col>
      <xdr:colOff>353785</xdr:colOff>
      <xdr:row>11</xdr:row>
      <xdr:rowOff>81641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/>
      </xdr:nvCxnSpPr>
      <xdr:spPr>
        <a:xfrm>
          <a:off x="23390678" y="2285998"/>
          <a:ext cx="0" cy="29935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217715</xdr:colOff>
      <xdr:row>10</xdr:row>
      <xdr:rowOff>95250</xdr:rowOff>
    </xdr:from>
    <xdr:to>
      <xdr:col>31</xdr:col>
      <xdr:colOff>217715</xdr:colOff>
      <xdr:row>12</xdr:row>
      <xdr:rowOff>13607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>
        <a:xfrm>
          <a:off x="24778608" y="2408464"/>
          <a:ext cx="0" cy="29935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653144</xdr:colOff>
      <xdr:row>11</xdr:row>
      <xdr:rowOff>163285</xdr:rowOff>
    </xdr:from>
    <xdr:to>
      <xdr:col>29</xdr:col>
      <xdr:colOff>653144</xdr:colOff>
      <xdr:row>13</xdr:row>
      <xdr:rowOff>81642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/>
      </xdr:nvCxnSpPr>
      <xdr:spPr>
        <a:xfrm>
          <a:off x="23690037" y="2666999"/>
          <a:ext cx="0" cy="29935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517072</xdr:colOff>
      <xdr:row>9</xdr:row>
      <xdr:rowOff>68036</xdr:rowOff>
    </xdr:from>
    <xdr:to>
      <xdr:col>31</xdr:col>
      <xdr:colOff>696366</xdr:colOff>
      <xdr:row>10</xdr:row>
      <xdr:rowOff>135271</xdr:rowOff>
    </xdr:to>
    <xdr:sp macro="" textlink="">
      <xdr:nvSpPr>
        <xdr:cNvPr id="21" name="Flecha abaj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25077965" y="2190750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176892</xdr:colOff>
      <xdr:row>10</xdr:row>
      <xdr:rowOff>54428</xdr:rowOff>
    </xdr:from>
    <xdr:to>
      <xdr:col>32</xdr:col>
      <xdr:colOff>176892</xdr:colOff>
      <xdr:row>11</xdr:row>
      <xdr:rowOff>163285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>
          <a:off x="25499785" y="2367642"/>
          <a:ext cx="0" cy="29935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55485</xdr:colOff>
      <xdr:row>9</xdr:row>
      <xdr:rowOff>151147</xdr:rowOff>
    </xdr:from>
    <xdr:to>
      <xdr:col>12</xdr:col>
      <xdr:colOff>234779</xdr:colOff>
      <xdr:row>11</xdr:row>
      <xdr:rowOff>27882</xdr:rowOff>
    </xdr:to>
    <xdr:sp macro="" textlink="">
      <xdr:nvSpPr>
        <xdr:cNvPr id="24" name="Flecha abaj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0056735" y="2273861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588885</xdr:colOff>
      <xdr:row>11</xdr:row>
      <xdr:rowOff>181082</xdr:rowOff>
    </xdr:from>
    <xdr:to>
      <xdr:col>12</xdr:col>
      <xdr:colOff>768179</xdr:colOff>
      <xdr:row>13</xdr:row>
      <xdr:rowOff>57817</xdr:rowOff>
    </xdr:to>
    <xdr:sp macro="" textlink="">
      <xdr:nvSpPr>
        <xdr:cNvPr id="25" name="Flecha abaj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0590135" y="2684796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482749</xdr:colOff>
      <xdr:row>12</xdr:row>
      <xdr:rowOff>156589</xdr:rowOff>
    </xdr:from>
    <xdr:to>
      <xdr:col>13</xdr:col>
      <xdr:colOff>662043</xdr:colOff>
      <xdr:row>14</xdr:row>
      <xdr:rowOff>33324</xdr:rowOff>
    </xdr:to>
    <xdr:sp macro="" textlink="">
      <xdr:nvSpPr>
        <xdr:cNvPr id="26" name="Flecha abaj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1327642" y="2850803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169467</xdr:colOff>
      <xdr:row>11</xdr:row>
      <xdr:rowOff>168276</xdr:rowOff>
    </xdr:from>
    <xdr:to>
      <xdr:col>16</xdr:col>
      <xdr:colOff>348761</xdr:colOff>
      <xdr:row>13</xdr:row>
      <xdr:rowOff>45011</xdr:rowOff>
    </xdr:to>
    <xdr:sp macro="" textlink="">
      <xdr:nvSpPr>
        <xdr:cNvPr id="27" name="Flecha abaj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3300360" y="2671990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743690</xdr:colOff>
      <xdr:row>13</xdr:row>
      <xdr:rowOff>143784</xdr:rowOff>
    </xdr:from>
    <xdr:to>
      <xdr:col>15</xdr:col>
      <xdr:colOff>160984</xdr:colOff>
      <xdr:row>15</xdr:row>
      <xdr:rowOff>20519</xdr:rowOff>
    </xdr:to>
    <xdr:sp macro="" textlink="">
      <xdr:nvSpPr>
        <xdr:cNvPr id="28" name="Flecha abaj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2350583" y="3028498"/>
          <a:ext cx="179294" cy="257735"/>
        </a:xfrm>
        <a:prstGeom prst="down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474268</xdr:colOff>
      <xdr:row>13</xdr:row>
      <xdr:rowOff>92077</xdr:rowOff>
    </xdr:from>
    <xdr:to>
      <xdr:col>15</xdr:col>
      <xdr:colOff>653562</xdr:colOff>
      <xdr:row>14</xdr:row>
      <xdr:rowOff>159312</xdr:rowOff>
    </xdr:to>
    <xdr:sp macro="" textlink="">
      <xdr:nvSpPr>
        <xdr:cNvPr id="29" name="Flecha abaj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12843161" y="2976791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591288</xdr:colOff>
      <xdr:row>10</xdr:row>
      <xdr:rowOff>100243</xdr:rowOff>
    </xdr:from>
    <xdr:to>
      <xdr:col>18</xdr:col>
      <xdr:colOff>8582</xdr:colOff>
      <xdr:row>11</xdr:row>
      <xdr:rowOff>167478</xdr:rowOff>
    </xdr:to>
    <xdr:sp macro="" textlink="">
      <xdr:nvSpPr>
        <xdr:cNvPr id="30" name="Flecha abaj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4484181" y="2413457"/>
          <a:ext cx="179294" cy="257735"/>
        </a:xfrm>
        <a:prstGeom prst="down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553188</xdr:colOff>
      <xdr:row>12</xdr:row>
      <xdr:rowOff>116569</xdr:rowOff>
    </xdr:from>
    <xdr:to>
      <xdr:col>16</xdr:col>
      <xdr:colOff>732482</xdr:colOff>
      <xdr:row>13</xdr:row>
      <xdr:rowOff>183804</xdr:rowOff>
    </xdr:to>
    <xdr:sp macro="" textlink="">
      <xdr:nvSpPr>
        <xdr:cNvPr id="31" name="Flecha abaj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3684081" y="2810783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533339</xdr:colOff>
      <xdr:row>13</xdr:row>
      <xdr:rowOff>144744</xdr:rowOff>
    </xdr:from>
    <xdr:to>
      <xdr:col>18</xdr:col>
      <xdr:colOff>712633</xdr:colOff>
      <xdr:row>15</xdr:row>
      <xdr:rowOff>21479</xdr:rowOff>
    </xdr:to>
    <xdr:sp macro="" textlink="">
      <xdr:nvSpPr>
        <xdr:cNvPr id="32" name="Flecha abaj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5188232" y="3029458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195881</xdr:colOff>
      <xdr:row>12</xdr:row>
      <xdr:rowOff>93037</xdr:rowOff>
    </xdr:from>
    <xdr:to>
      <xdr:col>19</xdr:col>
      <xdr:colOff>375175</xdr:colOff>
      <xdr:row>13</xdr:row>
      <xdr:rowOff>160272</xdr:rowOff>
    </xdr:to>
    <xdr:sp macro="" textlink="">
      <xdr:nvSpPr>
        <xdr:cNvPr id="33" name="Flecha abajo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15612774" y="2787251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712954</xdr:colOff>
      <xdr:row>12</xdr:row>
      <xdr:rowOff>38609</xdr:rowOff>
    </xdr:from>
    <xdr:to>
      <xdr:col>20</xdr:col>
      <xdr:colOff>130248</xdr:colOff>
      <xdr:row>13</xdr:row>
      <xdr:rowOff>105844</xdr:rowOff>
    </xdr:to>
    <xdr:sp macro="" textlink="">
      <xdr:nvSpPr>
        <xdr:cNvPr id="34" name="Flecha abajo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16129847" y="2732823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21</xdr:col>
      <xdr:colOff>225819</xdr:colOff>
      <xdr:row>14</xdr:row>
      <xdr:rowOff>82151</xdr:rowOff>
    </xdr:from>
    <xdr:to>
      <xdr:col>21</xdr:col>
      <xdr:colOff>405113</xdr:colOff>
      <xdr:row>15</xdr:row>
      <xdr:rowOff>149386</xdr:rowOff>
    </xdr:to>
    <xdr:sp macro="" textlink="">
      <xdr:nvSpPr>
        <xdr:cNvPr id="35" name="Flecha abajo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7166712" y="3157365"/>
          <a:ext cx="179294" cy="257735"/>
        </a:xfrm>
        <a:prstGeom prst="down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364612</xdr:colOff>
      <xdr:row>11</xdr:row>
      <xdr:rowOff>125695</xdr:rowOff>
    </xdr:from>
    <xdr:to>
      <xdr:col>20</xdr:col>
      <xdr:colOff>543906</xdr:colOff>
      <xdr:row>13</xdr:row>
      <xdr:rowOff>2430</xdr:rowOff>
    </xdr:to>
    <xdr:sp macro="" textlink="">
      <xdr:nvSpPr>
        <xdr:cNvPr id="36" name="Flecha abajo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16543505" y="2629409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22</xdr:col>
      <xdr:colOff>678693</xdr:colOff>
      <xdr:row>11</xdr:row>
      <xdr:rowOff>93995</xdr:rowOff>
    </xdr:from>
    <xdr:to>
      <xdr:col>23</xdr:col>
      <xdr:colOff>95987</xdr:colOff>
      <xdr:row>12</xdr:row>
      <xdr:rowOff>161230</xdr:rowOff>
    </xdr:to>
    <xdr:sp macro="" textlink="">
      <xdr:nvSpPr>
        <xdr:cNvPr id="37" name="Flecha abajo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18381586" y="2597709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23</xdr:col>
      <xdr:colOff>436487</xdr:colOff>
      <xdr:row>10</xdr:row>
      <xdr:rowOff>69503</xdr:rowOff>
    </xdr:from>
    <xdr:to>
      <xdr:col>23</xdr:col>
      <xdr:colOff>615781</xdr:colOff>
      <xdr:row>11</xdr:row>
      <xdr:rowOff>136738</xdr:rowOff>
    </xdr:to>
    <xdr:sp macro="" textlink="">
      <xdr:nvSpPr>
        <xdr:cNvPr id="38" name="Flecha abajo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18901380" y="2382717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24</xdr:col>
      <xdr:colOff>493636</xdr:colOff>
      <xdr:row>9</xdr:row>
      <xdr:rowOff>126653</xdr:rowOff>
    </xdr:from>
    <xdr:to>
      <xdr:col>24</xdr:col>
      <xdr:colOff>672930</xdr:colOff>
      <xdr:row>11</xdr:row>
      <xdr:rowOff>3388</xdr:rowOff>
    </xdr:to>
    <xdr:sp macro="" textlink="">
      <xdr:nvSpPr>
        <xdr:cNvPr id="39" name="Flecha abajo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19720529" y="2249367"/>
          <a:ext cx="179294" cy="257735"/>
        </a:xfrm>
        <a:prstGeom prst="down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24</xdr:col>
      <xdr:colOff>49084</xdr:colOff>
      <xdr:row>11</xdr:row>
      <xdr:rowOff>134340</xdr:rowOff>
    </xdr:from>
    <xdr:to>
      <xdr:col>24</xdr:col>
      <xdr:colOff>228378</xdr:colOff>
      <xdr:row>13</xdr:row>
      <xdr:rowOff>11075</xdr:rowOff>
    </xdr:to>
    <xdr:sp macro="" textlink="">
      <xdr:nvSpPr>
        <xdr:cNvPr id="40" name="Flecha abajo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19275977" y="2638054"/>
          <a:ext cx="179294" cy="2577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27</xdr:col>
      <xdr:colOff>111579</xdr:colOff>
      <xdr:row>10</xdr:row>
      <xdr:rowOff>2721</xdr:rowOff>
    </xdr:from>
    <xdr:to>
      <xdr:col>27</xdr:col>
      <xdr:colOff>111579</xdr:colOff>
      <xdr:row>11</xdr:row>
      <xdr:rowOff>111578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/>
      </xdr:nvCxnSpPr>
      <xdr:spPr>
        <a:xfrm>
          <a:off x="21624472" y="2315935"/>
          <a:ext cx="0" cy="29935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441927</xdr:colOff>
      <xdr:row>10</xdr:row>
      <xdr:rowOff>115767</xdr:rowOff>
    </xdr:from>
    <xdr:to>
      <xdr:col>27</xdr:col>
      <xdr:colOff>621221</xdr:colOff>
      <xdr:row>11</xdr:row>
      <xdr:rowOff>183002</xdr:rowOff>
    </xdr:to>
    <xdr:sp macro="" textlink="">
      <xdr:nvSpPr>
        <xdr:cNvPr id="42" name="Flecha abajo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21954820" y="2428981"/>
          <a:ext cx="179294" cy="257735"/>
        </a:xfrm>
        <a:prstGeom prst="down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431044</xdr:colOff>
      <xdr:row>6</xdr:row>
      <xdr:rowOff>145702</xdr:rowOff>
    </xdr:from>
    <xdr:to>
      <xdr:col>30</xdr:col>
      <xdr:colOff>610338</xdr:colOff>
      <xdr:row>8</xdr:row>
      <xdr:rowOff>22437</xdr:rowOff>
    </xdr:to>
    <xdr:sp macro="" textlink="">
      <xdr:nvSpPr>
        <xdr:cNvPr id="43" name="Flecha abajo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4229937" y="1696916"/>
          <a:ext cx="179294" cy="257735"/>
        </a:xfrm>
        <a:prstGeom prst="down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352122</xdr:colOff>
      <xdr:row>5</xdr:row>
      <xdr:rowOff>66780</xdr:rowOff>
    </xdr:from>
    <xdr:to>
      <xdr:col>32</xdr:col>
      <xdr:colOff>531416</xdr:colOff>
      <xdr:row>6</xdr:row>
      <xdr:rowOff>134015</xdr:rowOff>
    </xdr:to>
    <xdr:sp macro="" textlink="">
      <xdr:nvSpPr>
        <xdr:cNvPr id="44" name="Flecha abajo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25675015" y="1427494"/>
          <a:ext cx="179294" cy="257735"/>
        </a:xfrm>
        <a:prstGeom prst="down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576942</xdr:colOff>
      <xdr:row>10</xdr:row>
      <xdr:rowOff>77561</xdr:rowOff>
    </xdr:from>
    <xdr:to>
      <xdr:col>35</xdr:col>
      <xdr:colOff>381000</xdr:colOff>
      <xdr:row>26</xdr:row>
      <xdr:rowOff>180976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373651</xdr:colOff>
      <xdr:row>3</xdr:row>
      <xdr:rowOff>121375</xdr:rowOff>
    </xdr:from>
    <xdr:to>
      <xdr:col>11</xdr:col>
      <xdr:colOff>442232</xdr:colOff>
      <xdr:row>21</xdr:row>
      <xdr:rowOff>113755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357052</xdr:colOff>
      <xdr:row>21</xdr:row>
      <xdr:rowOff>122193</xdr:rowOff>
    </xdr:from>
    <xdr:to>
      <xdr:col>11</xdr:col>
      <xdr:colOff>421823</xdr:colOff>
      <xdr:row>39</xdr:row>
      <xdr:rowOff>86272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331470</xdr:colOff>
      <xdr:row>39</xdr:row>
      <xdr:rowOff>63953</xdr:rowOff>
    </xdr:from>
    <xdr:to>
      <xdr:col>11</xdr:col>
      <xdr:colOff>401956</xdr:colOff>
      <xdr:row>57</xdr:row>
      <xdr:rowOff>22315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381000</xdr:colOff>
      <xdr:row>0</xdr:row>
      <xdr:rowOff>204107</xdr:rowOff>
    </xdr:from>
    <xdr:to>
      <xdr:col>17</xdr:col>
      <xdr:colOff>556533</xdr:colOff>
      <xdr:row>16</xdr:row>
      <xdr:rowOff>106137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418010</xdr:colOff>
      <xdr:row>18</xdr:row>
      <xdr:rowOff>31024</xdr:rowOff>
    </xdr:from>
    <xdr:to>
      <xdr:col>17</xdr:col>
      <xdr:colOff>599258</xdr:colOff>
      <xdr:row>35</xdr:row>
      <xdr:rowOff>158660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340177</xdr:colOff>
      <xdr:row>35</xdr:row>
      <xdr:rowOff>95250</xdr:rowOff>
    </xdr:from>
    <xdr:to>
      <xdr:col>17</xdr:col>
      <xdr:colOff>515710</xdr:colOff>
      <xdr:row>53</xdr:row>
      <xdr:rowOff>38101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477066</xdr:colOff>
      <xdr:row>7</xdr:row>
      <xdr:rowOff>546</xdr:rowOff>
    </xdr:from>
    <xdr:to>
      <xdr:col>25</xdr:col>
      <xdr:colOff>93616</xdr:colOff>
      <xdr:row>21</xdr:row>
      <xdr:rowOff>147231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E46B843-3351-4931-866A-BA35C739B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632012</xdr:colOff>
      <xdr:row>12</xdr:row>
      <xdr:rowOff>71718</xdr:rowOff>
    </xdr:from>
    <xdr:to>
      <xdr:col>18</xdr:col>
      <xdr:colOff>192741</xdr:colOff>
      <xdr:row>27</xdr:row>
      <xdr:rowOff>125506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C6C51A-5E8E-0AD6-A8B2-CDB875ACB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78441</xdr:colOff>
      <xdr:row>8</xdr:row>
      <xdr:rowOff>42583</xdr:rowOff>
    </xdr:from>
    <xdr:to>
      <xdr:col>18</xdr:col>
      <xdr:colOff>31376</xdr:colOff>
      <xdr:row>22</xdr:row>
      <xdr:rowOff>107577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85165</xdr:colOff>
      <xdr:row>22</xdr:row>
      <xdr:rowOff>71718</xdr:rowOff>
    </xdr:from>
    <xdr:to>
      <xdr:col>18</xdr:col>
      <xdr:colOff>38100</xdr:colOff>
      <xdr:row>36</xdr:row>
      <xdr:rowOff>136712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524996</xdr:colOff>
      <xdr:row>37</xdr:row>
      <xdr:rowOff>28575</xdr:rowOff>
    </xdr:from>
    <xdr:to>
      <xdr:col>18</xdr:col>
      <xdr:colOff>477931</xdr:colOff>
      <xdr:row>51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365649</xdr:colOff>
      <xdr:row>3</xdr:row>
      <xdr:rowOff>102422</xdr:rowOff>
    </xdr:from>
    <xdr:to>
      <xdr:col>11</xdr:col>
      <xdr:colOff>445659</xdr:colOff>
      <xdr:row>18</xdr:row>
      <xdr:rowOff>158115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EF33B3B-12E8-4D2D-B49C-89109F276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756285</xdr:colOff>
      <xdr:row>9</xdr:row>
      <xdr:rowOff>47625</xdr:rowOff>
    </xdr:from>
    <xdr:to>
      <xdr:col>10</xdr:col>
      <xdr:colOff>203835</xdr:colOff>
      <xdr:row>24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0CC947-978E-454A-96DB-EC2327653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318135</xdr:colOff>
      <xdr:row>20</xdr:row>
      <xdr:rowOff>47625</xdr:rowOff>
    </xdr:from>
    <xdr:to>
      <xdr:col>12</xdr:col>
      <xdr:colOff>554355</xdr:colOff>
      <xdr:row>35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0AA8E8-27C0-4F6F-90F5-79709ED02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76200</xdr:colOff>
      <xdr:row>39</xdr:row>
      <xdr:rowOff>127635</xdr:rowOff>
    </xdr:from>
    <xdr:to>
      <xdr:col>12</xdr:col>
      <xdr:colOff>314325</xdr:colOff>
      <xdr:row>54</xdr:row>
      <xdr:rowOff>127635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24F7CF5-0DD6-47F1-BC4A-F8C5FC152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IOLOGIA\Cartagena\Parametros%20Ambientales\Canal%20del%20Dique\Canal%20del%20Dique%20(Mensual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VAR%203%20R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udal"/>
      <sheetName val="Pruebas de tendencia de Mann-K2"/>
      <sheetName val="Pruebas de tendencia de Mann-K3"/>
      <sheetName val="Pruebas de tendencia de Mann-K4"/>
      <sheetName val="Pruebas de tendencia de Mann-K5"/>
      <sheetName val="Pruebas de tendencia de Mann-K6"/>
      <sheetName val="Pruebas de tendencia de Mann-K7"/>
      <sheetName val="Pruebas de tendencia de Mann-K8"/>
      <sheetName val="Pruebas de tendencia de Mann-K9"/>
      <sheetName val="Nivel"/>
      <sheetName val="Sedimentos"/>
      <sheetName val="Pruebas de tendencia de Mann-K1"/>
      <sheetName val="Precip"/>
      <sheetName val="Temp-aire"/>
      <sheetName val="HadISST"/>
      <sheetName val="SST-Dique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">
          <cell r="C9" t="str">
            <v>Temp (°C)</v>
          </cell>
        </row>
        <row r="22">
          <cell r="C22">
            <v>26.3</v>
          </cell>
          <cell r="D22">
            <v>19725</v>
          </cell>
        </row>
        <row r="23">
          <cell r="C23">
            <v>26.6</v>
          </cell>
          <cell r="D23">
            <v>19756</v>
          </cell>
        </row>
        <row r="24">
          <cell r="C24">
            <v>27.4</v>
          </cell>
          <cell r="D24">
            <v>19784</v>
          </cell>
        </row>
        <row r="25">
          <cell r="C25">
            <v>27.8</v>
          </cell>
          <cell r="D25">
            <v>19815</v>
          </cell>
        </row>
        <row r="26">
          <cell r="C26">
            <v>28.3</v>
          </cell>
          <cell r="D26">
            <v>19845</v>
          </cell>
        </row>
        <row r="27">
          <cell r="C27">
            <v>28.7</v>
          </cell>
          <cell r="D27">
            <v>19876</v>
          </cell>
        </row>
        <row r="28">
          <cell r="C28">
            <v>28.8</v>
          </cell>
          <cell r="D28">
            <v>19906</v>
          </cell>
        </row>
        <row r="29">
          <cell r="C29">
            <v>28.7</v>
          </cell>
          <cell r="D29">
            <v>19937</v>
          </cell>
        </row>
        <row r="30">
          <cell r="C30">
            <v>28.5</v>
          </cell>
          <cell r="D30">
            <v>19968</v>
          </cell>
        </row>
        <row r="31">
          <cell r="C31">
            <v>27.8</v>
          </cell>
          <cell r="D31">
            <v>19998</v>
          </cell>
        </row>
        <row r="32">
          <cell r="C32">
            <v>27.8</v>
          </cell>
          <cell r="D32">
            <v>20029</v>
          </cell>
        </row>
        <row r="33">
          <cell r="C33">
            <v>27.3</v>
          </cell>
          <cell r="D33">
            <v>20059</v>
          </cell>
        </row>
        <row r="34">
          <cell r="C34">
            <v>26.9</v>
          </cell>
          <cell r="D34">
            <v>20090</v>
          </cell>
        </row>
        <row r="35">
          <cell r="C35">
            <v>27.1</v>
          </cell>
          <cell r="D35">
            <v>20121</v>
          </cell>
        </row>
        <row r="36">
          <cell r="C36">
            <v>26.3</v>
          </cell>
          <cell r="D36">
            <v>20149</v>
          </cell>
        </row>
        <row r="37">
          <cell r="C37">
            <v>27.2</v>
          </cell>
          <cell r="D37">
            <v>20180</v>
          </cell>
        </row>
        <row r="38">
          <cell r="C38">
            <v>28.1</v>
          </cell>
          <cell r="D38">
            <v>20210</v>
          </cell>
        </row>
        <row r="39">
          <cell r="C39">
            <v>28</v>
          </cell>
          <cell r="D39">
            <v>20241</v>
          </cell>
        </row>
        <row r="40">
          <cell r="C40">
            <v>28.2</v>
          </cell>
          <cell r="D40">
            <v>20271</v>
          </cell>
        </row>
        <row r="41">
          <cell r="C41">
            <v>28.6</v>
          </cell>
          <cell r="D41">
            <v>20302</v>
          </cell>
        </row>
        <row r="42">
          <cell r="C42">
            <v>28.3</v>
          </cell>
          <cell r="D42">
            <v>20333</v>
          </cell>
        </row>
        <row r="43">
          <cell r="C43">
            <v>27.5</v>
          </cell>
          <cell r="D43">
            <v>20363</v>
          </cell>
        </row>
        <row r="44">
          <cell r="C44">
            <v>27.9</v>
          </cell>
          <cell r="D44">
            <v>20394</v>
          </cell>
        </row>
        <row r="45">
          <cell r="C45">
            <v>27.6</v>
          </cell>
          <cell r="D45">
            <v>20424</v>
          </cell>
        </row>
        <row r="46">
          <cell r="C46">
            <v>26.4</v>
          </cell>
          <cell r="D46">
            <v>20455</v>
          </cell>
        </row>
        <row r="47">
          <cell r="C47">
            <v>26.6</v>
          </cell>
          <cell r="D47">
            <v>20486</v>
          </cell>
        </row>
        <row r="48">
          <cell r="C48">
            <v>26.7</v>
          </cell>
          <cell r="D48">
            <v>20515</v>
          </cell>
        </row>
        <row r="49">
          <cell r="C49">
            <v>27.6</v>
          </cell>
          <cell r="D49">
            <v>20546</v>
          </cell>
        </row>
        <row r="50">
          <cell r="C50">
            <v>27.7</v>
          </cell>
          <cell r="D50">
            <v>20576</v>
          </cell>
        </row>
        <row r="51">
          <cell r="C51">
            <v>27.8</v>
          </cell>
          <cell r="D51">
            <v>20607</v>
          </cell>
        </row>
        <row r="52">
          <cell r="C52">
            <v>28.1</v>
          </cell>
          <cell r="D52">
            <v>20637</v>
          </cell>
        </row>
        <row r="53">
          <cell r="C53">
            <v>27.5</v>
          </cell>
          <cell r="D53">
            <v>20668</v>
          </cell>
        </row>
        <row r="54">
          <cell r="C54">
            <v>28</v>
          </cell>
          <cell r="D54">
            <v>20699</v>
          </cell>
        </row>
        <row r="55">
          <cell r="C55">
            <v>26.9</v>
          </cell>
          <cell r="D55">
            <v>20729</v>
          </cell>
        </row>
        <row r="56">
          <cell r="C56">
            <v>27.4</v>
          </cell>
          <cell r="D56">
            <v>20760</v>
          </cell>
        </row>
        <row r="57">
          <cell r="C57">
            <v>26.9</v>
          </cell>
          <cell r="D57">
            <v>20790</v>
          </cell>
        </row>
        <row r="58">
          <cell r="C58">
            <v>28.2</v>
          </cell>
          <cell r="D58">
            <v>20821</v>
          </cell>
        </row>
        <row r="59">
          <cell r="C59">
            <v>26.1</v>
          </cell>
          <cell r="D59">
            <v>20852</v>
          </cell>
        </row>
        <row r="60">
          <cell r="C60">
            <v>27.6</v>
          </cell>
          <cell r="D60">
            <v>20880</v>
          </cell>
        </row>
        <row r="61">
          <cell r="C61">
            <v>26.6</v>
          </cell>
          <cell r="D61">
            <v>20911</v>
          </cell>
        </row>
        <row r="62">
          <cell r="C62">
            <v>28.4</v>
          </cell>
          <cell r="D62">
            <v>20941</v>
          </cell>
        </row>
        <row r="63">
          <cell r="C63">
            <v>28.6</v>
          </cell>
          <cell r="D63">
            <v>20972</v>
          </cell>
        </row>
        <row r="64">
          <cell r="C64">
            <v>28.8</v>
          </cell>
          <cell r="D64">
            <v>21002</v>
          </cell>
        </row>
        <row r="65">
          <cell r="C65">
            <v>29.1</v>
          </cell>
          <cell r="D65">
            <v>21033</v>
          </cell>
        </row>
        <row r="66">
          <cell r="C66">
            <v>28.9</v>
          </cell>
          <cell r="D66">
            <v>21064</v>
          </cell>
        </row>
        <row r="67">
          <cell r="C67">
            <v>28.4</v>
          </cell>
          <cell r="D67">
            <v>21094</v>
          </cell>
        </row>
        <row r="68">
          <cell r="C68">
            <v>28.6</v>
          </cell>
          <cell r="D68">
            <v>21125</v>
          </cell>
        </row>
        <row r="69">
          <cell r="C69">
            <v>28</v>
          </cell>
          <cell r="D69">
            <v>21155</v>
          </cell>
        </row>
        <row r="70">
          <cell r="C70">
            <v>27.5</v>
          </cell>
          <cell r="D70">
            <v>21186</v>
          </cell>
        </row>
        <row r="71">
          <cell r="C71">
            <v>27.2</v>
          </cell>
          <cell r="D71">
            <v>21217</v>
          </cell>
        </row>
        <row r="72">
          <cell r="C72">
            <v>27.9</v>
          </cell>
          <cell r="D72">
            <v>21245</v>
          </cell>
        </row>
        <row r="73">
          <cell r="C73">
            <v>28.4</v>
          </cell>
          <cell r="D73">
            <v>21276</v>
          </cell>
        </row>
        <row r="74">
          <cell r="C74">
            <v>28.5</v>
          </cell>
          <cell r="D74">
            <v>21306</v>
          </cell>
        </row>
        <row r="75">
          <cell r="C75">
            <v>29.1</v>
          </cell>
          <cell r="D75">
            <v>21337</v>
          </cell>
        </row>
        <row r="76">
          <cell r="C76">
            <v>29</v>
          </cell>
          <cell r="D76">
            <v>21367</v>
          </cell>
        </row>
        <row r="77">
          <cell r="C77">
            <v>28.7</v>
          </cell>
          <cell r="D77">
            <v>21398</v>
          </cell>
        </row>
        <row r="78">
          <cell r="C78">
            <v>29.2</v>
          </cell>
          <cell r="D78">
            <v>21429</v>
          </cell>
        </row>
        <row r="79">
          <cell r="C79">
            <v>28.8</v>
          </cell>
          <cell r="D79">
            <v>21459</v>
          </cell>
        </row>
        <row r="80">
          <cell r="C80">
            <v>28.5</v>
          </cell>
          <cell r="D80">
            <v>21490</v>
          </cell>
        </row>
        <row r="81">
          <cell r="C81">
            <v>27.2</v>
          </cell>
          <cell r="D81">
            <v>21520</v>
          </cell>
        </row>
        <row r="82">
          <cell r="C82">
            <v>26.4</v>
          </cell>
          <cell r="D82">
            <v>21551</v>
          </cell>
        </row>
        <row r="83">
          <cell r="C83">
            <v>25.5</v>
          </cell>
          <cell r="D83">
            <v>21582</v>
          </cell>
        </row>
        <row r="84">
          <cell r="C84">
            <v>26.5</v>
          </cell>
          <cell r="D84">
            <v>21610</v>
          </cell>
        </row>
        <row r="85">
          <cell r="C85">
            <v>27.2</v>
          </cell>
          <cell r="D85">
            <v>21641</v>
          </cell>
        </row>
        <row r="86">
          <cell r="C86">
            <v>27.8</v>
          </cell>
          <cell r="D86">
            <v>21671</v>
          </cell>
        </row>
        <row r="87">
          <cell r="C87">
            <v>28.2</v>
          </cell>
          <cell r="D87">
            <v>21702</v>
          </cell>
        </row>
        <row r="88">
          <cell r="C88">
            <v>28</v>
          </cell>
          <cell r="D88">
            <v>21732</v>
          </cell>
        </row>
        <row r="89">
          <cell r="C89">
            <v>28.2</v>
          </cell>
          <cell r="D89">
            <v>21763</v>
          </cell>
        </row>
        <row r="90">
          <cell r="C90">
            <v>28.4</v>
          </cell>
          <cell r="D90">
            <v>21794</v>
          </cell>
        </row>
        <row r="91">
          <cell r="C91">
            <v>28</v>
          </cell>
          <cell r="D91">
            <v>21824</v>
          </cell>
        </row>
        <row r="92">
          <cell r="C92">
            <v>27.9</v>
          </cell>
          <cell r="D92">
            <v>21855</v>
          </cell>
        </row>
        <row r="93">
          <cell r="C93">
            <v>27.6</v>
          </cell>
          <cell r="D93">
            <v>21885</v>
          </cell>
        </row>
        <row r="94">
          <cell r="C94">
            <v>26.6</v>
          </cell>
          <cell r="D94">
            <v>21916</v>
          </cell>
        </row>
        <row r="95">
          <cell r="C95">
            <v>27.6</v>
          </cell>
          <cell r="D95">
            <v>21947</v>
          </cell>
        </row>
        <row r="96">
          <cell r="C96">
            <v>26.8</v>
          </cell>
          <cell r="D96">
            <v>21976</v>
          </cell>
        </row>
        <row r="97">
          <cell r="C97">
            <v>28.5</v>
          </cell>
          <cell r="D97">
            <v>22007</v>
          </cell>
        </row>
        <row r="98">
          <cell r="C98">
            <v>28.6</v>
          </cell>
          <cell r="D98">
            <v>22037</v>
          </cell>
        </row>
        <row r="99">
          <cell r="C99">
            <v>28.4</v>
          </cell>
          <cell r="D99">
            <v>22068</v>
          </cell>
        </row>
        <row r="100">
          <cell r="C100">
            <v>28.5</v>
          </cell>
          <cell r="D100">
            <v>22098</v>
          </cell>
        </row>
        <row r="101">
          <cell r="C101">
            <v>28.4</v>
          </cell>
          <cell r="D101">
            <v>22129</v>
          </cell>
        </row>
        <row r="102">
          <cell r="C102">
            <v>28.4</v>
          </cell>
          <cell r="D102">
            <v>22160</v>
          </cell>
        </row>
        <row r="103">
          <cell r="C103">
            <v>28.1</v>
          </cell>
          <cell r="D103">
            <v>22190</v>
          </cell>
        </row>
        <row r="104">
          <cell r="C104">
            <v>27.7</v>
          </cell>
          <cell r="D104">
            <v>22221</v>
          </cell>
        </row>
        <row r="105">
          <cell r="C105">
            <v>27.2</v>
          </cell>
          <cell r="D105">
            <v>22251</v>
          </cell>
        </row>
        <row r="106">
          <cell r="C106">
            <v>26.9</v>
          </cell>
          <cell r="D106">
            <v>22282</v>
          </cell>
        </row>
        <row r="107">
          <cell r="C107">
            <v>26.2</v>
          </cell>
          <cell r="D107">
            <v>22313</v>
          </cell>
        </row>
        <row r="108">
          <cell r="C108">
            <v>25.9</v>
          </cell>
          <cell r="D108">
            <v>22341</v>
          </cell>
        </row>
        <row r="109">
          <cell r="C109">
            <v>27.2</v>
          </cell>
          <cell r="D109">
            <v>22372</v>
          </cell>
        </row>
        <row r="110">
          <cell r="C110">
            <v>28</v>
          </cell>
          <cell r="D110">
            <v>22402</v>
          </cell>
        </row>
        <row r="111">
          <cell r="C111">
            <v>28.8</v>
          </cell>
          <cell r="D111">
            <v>22433</v>
          </cell>
        </row>
        <row r="112">
          <cell r="C112">
            <v>28.2</v>
          </cell>
          <cell r="D112">
            <v>22463</v>
          </cell>
        </row>
        <row r="113">
          <cell r="C113">
            <v>28.3</v>
          </cell>
          <cell r="D113">
            <v>22494</v>
          </cell>
        </row>
        <row r="114">
          <cell r="C114">
            <v>28.1</v>
          </cell>
          <cell r="D114">
            <v>22525</v>
          </cell>
        </row>
        <row r="115">
          <cell r="C115">
            <v>28</v>
          </cell>
          <cell r="D115">
            <v>22555</v>
          </cell>
        </row>
        <row r="116">
          <cell r="C116">
            <v>25.9</v>
          </cell>
          <cell r="D116">
            <v>22586</v>
          </cell>
        </row>
        <row r="117">
          <cell r="C117">
            <v>26.6</v>
          </cell>
          <cell r="D117">
            <v>22616</v>
          </cell>
        </row>
        <row r="118">
          <cell r="C118">
            <v>26.5</v>
          </cell>
          <cell r="D118">
            <v>22647</v>
          </cell>
        </row>
        <row r="119">
          <cell r="C119">
            <v>27</v>
          </cell>
          <cell r="D119">
            <v>22678</v>
          </cell>
        </row>
        <row r="120">
          <cell r="C120">
            <v>27.8</v>
          </cell>
          <cell r="D120">
            <v>22706</v>
          </cell>
        </row>
        <row r="121">
          <cell r="C121">
            <v>27.6</v>
          </cell>
          <cell r="D121">
            <v>22737</v>
          </cell>
        </row>
        <row r="122">
          <cell r="C122">
            <v>29</v>
          </cell>
          <cell r="D122">
            <v>22767</v>
          </cell>
        </row>
        <row r="123">
          <cell r="C123">
            <v>27.2</v>
          </cell>
          <cell r="D123">
            <v>22798</v>
          </cell>
        </row>
        <row r="124">
          <cell r="C124">
            <v>28.2</v>
          </cell>
          <cell r="D124">
            <v>22828</v>
          </cell>
        </row>
        <row r="125">
          <cell r="C125">
            <v>28.1</v>
          </cell>
          <cell r="D125">
            <v>22859</v>
          </cell>
        </row>
        <row r="126">
          <cell r="C126">
            <v>28.3</v>
          </cell>
          <cell r="D126">
            <v>22890</v>
          </cell>
        </row>
        <row r="127">
          <cell r="C127">
            <v>28.6</v>
          </cell>
          <cell r="D127">
            <v>22920</v>
          </cell>
        </row>
        <row r="128">
          <cell r="C128">
            <v>28.4</v>
          </cell>
          <cell r="D128">
            <v>22951</v>
          </cell>
        </row>
        <row r="129">
          <cell r="C129">
            <v>27.6</v>
          </cell>
          <cell r="D129">
            <v>22981</v>
          </cell>
        </row>
        <row r="130">
          <cell r="C130">
            <v>28.3</v>
          </cell>
          <cell r="D130">
            <v>23012</v>
          </cell>
        </row>
        <row r="131">
          <cell r="C131">
            <v>28</v>
          </cell>
          <cell r="D131">
            <v>23043</v>
          </cell>
        </row>
        <row r="132">
          <cell r="C132">
            <v>28.2</v>
          </cell>
          <cell r="D132">
            <v>23071</v>
          </cell>
        </row>
        <row r="133">
          <cell r="C133">
            <v>27.9</v>
          </cell>
          <cell r="D133">
            <v>23102</v>
          </cell>
        </row>
        <row r="134">
          <cell r="C134">
            <v>27.8</v>
          </cell>
          <cell r="D134">
            <v>23132</v>
          </cell>
        </row>
        <row r="135">
          <cell r="C135">
            <v>27.7</v>
          </cell>
          <cell r="D135">
            <v>23163</v>
          </cell>
        </row>
        <row r="136">
          <cell r="C136">
            <v>27.8</v>
          </cell>
          <cell r="D136">
            <v>23193</v>
          </cell>
        </row>
        <row r="137">
          <cell r="C137">
            <v>27.8</v>
          </cell>
          <cell r="D137">
            <v>23224</v>
          </cell>
        </row>
        <row r="138">
          <cell r="C138">
            <v>27.8</v>
          </cell>
          <cell r="D138">
            <v>23255</v>
          </cell>
        </row>
        <row r="139">
          <cell r="C139">
            <v>27.8</v>
          </cell>
          <cell r="D139">
            <v>23285</v>
          </cell>
        </row>
        <row r="140">
          <cell r="C140">
            <v>27.5</v>
          </cell>
          <cell r="D140">
            <v>23316</v>
          </cell>
        </row>
        <row r="141">
          <cell r="C141">
            <v>27.5</v>
          </cell>
          <cell r="D141">
            <v>23346</v>
          </cell>
        </row>
        <row r="142">
          <cell r="C142">
            <v>26.8</v>
          </cell>
          <cell r="D142">
            <v>23377</v>
          </cell>
        </row>
        <row r="143">
          <cell r="C143">
            <v>27.1</v>
          </cell>
          <cell r="D143">
            <v>23408</v>
          </cell>
        </row>
        <row r="144">
          <cell r="C144">
            <v>27</v>
          </cell>
          <cell r="D144">
            <v>23437</v>
          </cell>
        </row>
        <row r="145">
          <cell r="C145">
            <v>28</v>
          </cell>
          <cell r="D145">
            <v>23468</v>
          </cell>
        </row>
        <row r="146">
          <cell r="C146">
            <v>28.2</v>
          </cell>
          <cell r="D146">
            <v>23498</v>
          </cell>
        </row>
        <row r="147">
          <cell r="C147">
            <v>28.1</v>
          </cell>
          <cell r="D147">
            <v>23529</v>
          </cell>
        </row>
        <row r="148">
          <cell r="C148">
            <v>27.9</v>
          </cell>
          <cell r="D148">
            <v>23559</v>
          </cell>
        </row>
        <row r="149">
          <cell r="C149">
            <v>27.5</v>
          </cell>
          <cell r="D149">
            <v>23590</v>
          </cell>
        </row>
        <row r="150">
          <cell r="C150">
            <v>27.7</v>
          </cell>
          <cell r="D150">
            <v>23621</v>
          </cell>
        </row>
        <row r="151">
          <cell r="C151">
            <v>27.4</v>
          </cell>
          <cell r="D151">
            <v>23651</v>
          </cell>
        </row>
        <row r="152">
          <cell r="C152">
            <v>27.2</v>
          </cell>
          <cell r="D152">
            <v>23682</v>
          </cell>
        </row>
        <row r="153">
          <cell r="C153">
            <v>26.5</v>
          </cell>
          <cell r="D153">
            <v>23712</v>
          </cell>
        </row>
        <row r="154">
          <cell r="C154">
            <v>26.3</v>
          </cell>
          <cell r="D154">
            <v>23743</v>
          </cell>
        </row>
        <row r="155">
          <cell r="C155">
            <v>26.7</v>
          </cell>
          <cell r="D155">
            <v>23774</v>
          </cell>
        </row>
        <row r="156">
          <cell r="C156">
            <v>27.1</v>
          </cell>
          <cell r="D156">
            <v>23802</v>
          </cell>
        </row>
        <row r="157">
          <cell r="C157">
            <v>27.6</v>
          </cell>
          <cell r="D157">
            <v>23833</v>
          </cell>
        </row>
        <row r="158">
          <cell r="C158">
            <v>28</v>
          </cell>
          <cell r="D158">
            <v>23863</v>
          </cell>
        </row>
        <row r="159">
          <cell r="C159">
            <v>28.2</v>
          </cell>
          <cell r="D159">
            <v>23894</v>
          </cell>
        </row>
        <row r="160">
          <cell r="C160">
            <v>28.5</v>
          </cell>
          <cell r="D160">
            <v>23924</v>
          </cell>
        </row>
        <row r="161">
          <cell r="C161">
            <v>28.1</v>
          </cell>
          <cell r="D161">
            <v>23955</v>
          </cell>
        </row>
        <row r="162">
          <cell r="C162">
            <v>28.4</v>
          </cell>
          <cell r="D162">
            <v>23986</v>
          </cell>
        </row>
        <row r="163">
          <cell r="C163">
            <v>28</v>
          </cell>
          <cell r="D163">
            <v>24016</v>
          </cell>
        </row>
        <row r="164">
          <cell r="C164">
            <v>27.2</v>
          </cell>
          <cell r="D164">
            <v>24047</v>
          </cell>
        </row>
        <row r="165">
          <cell r="C165">
            <v>27.6</v>
          </cell>
          <cell r="D165">
            <v>24077</v>
          </cell>
        </row>
        <row r="166">
          <cell r="C166">
            <v>27.8</v>
          </cell>
          <cell r="D166">
            <v>24108</v>
          </cell>
        </row>
        <row r="167">
          <cell r="C167">
            <v>27.6</v>
          </cell>
          <cell r="D167">
            <v>24139</v>
          </cell>
        </row>
        <row r="168">
          <cell r="C168">
            <v>26.7</v>
          </cell>
          <cell r="D168">
            <v>24167</v>
          </cell>
        </row>
        <row r="169">
          <cell r="C169">
            <v>28.1</v>
          </cell>
          <cell r="D169">
            <v>24198</v>
          </cell>
        </row>
        <row r="170">
          <cell r="C170">
            <v>28</v>
          </cell>
          <cell r="D170">
            <v>24228</v>
          </cell>
        </row>
        <row r="171">
          <cell r="C171">
            <v>27.7</v>
          </cell>
          <cell r="D171">
            <v>24259</v>
          </cell>
        </row>
        <row r="172">
          <cell r="C172">
            <v>28.1</v>
          </cell>
          <cell r="D172">
            <v>24289</v>
          </cell>
        </row>
        <row r="173">
          <cell r="C173">
            <v>28</v>
          </cell>
          <cell r="D173">
            <v>24320</v>
          </cell>
        </row>
        <row r="174">
          <cell r="C174">
            <v>27.8</v>
          </cell>
          <cell r="D174">
            <v>24351</v>
          </cell>
        </row>
        <row r="175">
          <cell r="C175">
            <v>27.4</v>
          </cell>
          <cell r="D175">
            <v>24381</v>
          </cell>
        </row>
        <row r="176">
          <cell r="C176">
            <v>26.7</v>
          </cell>
          <cell r="D176">
            <v>24412</v>
          </cell>
        </row>
        <row r="177">
          <cell r="C177">
            <v>25.8</v>
          </cell>
          <cell r="D177">
            <v>24442</v>
          </cell>
        </row>
        <row r="178">
          <cell r="C178">
            <v>26.4</v>
          </cell>
          <cell r="D178">
            <v>24473</v>
          </cell>
        </row>
        <row r="179">
          <cell r="C179">
            <v>26.7</v>
          </cell>
          <cell r="D179">
            <v>24504</v>
          </cell>
        </row>
        <row r="180">
          <cell r="C180">
            <v>27.4</v>
          </cell>
          <cell r="D180">
            <v>24532</v>
          </cell>
        </row>
        <row r="181">
          <cell r="C181">
            <v>27.9</v>
          </cell>
          <cell r="D181">
            <v>24563</v>
          </cell>
        </row>
        <row r="182">
          <cell r="C182">
            <v>28.3</v>
          </cell>
          <cell r="D182">
            <v>24593</v>
          </cell>
        </row>
        <row r="183">
          <cell r="C183">
            <v>28.4</v>
          </cell>
          <cell r="D183">
            <v>24624</v>
          </cell>
        </row>
        <row r="184">
          <cell r="C184">
            <v>28.4</v>
          </cell>
          <cell r="D184">
            <v>24654</v>
          </cell>
        </row>
        <row r="185">
          <cell r="C185">
            <v>28.2</v>
          </cell>
          <cell r="D185">
            <v>24685</v>
          </cell>
        </row>
        <row r="186">
          <cell r="C186">
            <v>28</v>
          </cell>
          <cell r="D186">
            <v>24716</v>
          </cell>
        </row>
        <row r="187">
          <cell r="C187">
            <v>27.7</v>
          </cell>
          <cell r="D187">
            <v>24746</v>
          </cell>
        </row>
        <row r="188">
          <cell r="C188">
            <v>27.5</v>
          </cell>
          <cell r="D188">
            <v>24777</v>
          </cell>
        </row>
        <row r="189">
          <cell r="C189">
            <v>27.4</v>
          </cell>
          <cell r="D189">
            <v>24807</v>
          </cell>
        </row>
        <row r="190">
          <cell r="C190">
            <v>26.3</v>
          </cell>
          <cell r="D190">
            <v>24838</v>
          </cell>
        </row>
        <row r="191">
          <cell r="C191">
            <v>26.5</v>
          </cell>
          <cell r="D191">
            <v>24869</v>
          </cell>
        </row>
        <row r="192">
          <cell r="C192">
            <v>27</v>
          </cell>
          <cell r="D192">
            <v>24898</v>
          </cell>
        </row>
        <row r="193">
          <cell r="C193">
            <v>26.3</v>
          </cell>
          <cell r="D193">
            <v>24929</v>
          </cell>
        </row>
        <row r="194">
          <cell r="C194">
            <v>26.7</v>
          </cell>
          <cell r="D194">
            <v>24959</v>
          </cell>
        </row>
        <row r="195">
          <cell r="C195">
            <v>27.8</v>
          </cell>
          <cell r="D195">
            <v>24990</v>
          </cell>
        </row>
        <row r="196">
          <cell r="C196">
            <v>27.8</v>
          </cell>
          <cell r="D196">
            <v>25020</v>
          </cell>
        </row>
        <row r="197">
          <cell r="C197">
            <v>27.8</v>
          </cell>
          <cell r="D197">
            <v>25051</v>
          </cell>
        </row>
        <row r="198">
          <cell r="C198">
            <v>27.8</v>
          </cell>
          <cell r="D198">
            <v>25082</v>
          </cell>
        </row>
        <row r="199">
          <cell r="C199">
            <v>27.7</v>
          </cell>
          <cell r="D199">
            <v>25112</v>
          </cell>
        </row>
        <row r="200">
          <cell r="C200">
            <v>27.7</v>
          </cell>
          <cell r="D200">
            <v>25143</v>
          </cell>
        </row>
        <row r="201">
          <cell r="C201">
            <v>27.7</v>
          </cell>
          <cell r="D201">
            <v>25173</v>
          </cell>
        </row>
        <row r="202">
          <cell r="C202">
            <v>27.1</v>
          </cell>
          <cell r="D202">
            <v>25204</v>
          </cell>
        </row>
        <row r="203">
          <cell r="C203">
            <v>27.3</v>
          </cell>
          <cell r="D203">
            <v>25235</v>
          </cell>
        </row>
        <row r="204">
          <cell r="C204">
            <v>27.9</v>
          </cell>
          <cell r="D204">
            <v>25263</v>
          </cell>
        </row>
        <row r="205">
          <cell r="C205">
            <v>28.1</v>
          </cell>
          <cell r="D205">
            <v>25294</v>
          </cell>
        </row>
        <row r="206">
          <cell r="C206">
            <v>28.3</v>
          </cell>
          <cell r="D206">
            <v>25324</v>
          </cell>
        </row>
        <row r="207">
          <cell r="C207">
            <v>27.7</v>
          </cell>
          <cell r="D207">
            <v>25355</v>
          </cell>
        </row>
        <row r="208">
          <cell r="C208">
            <v>27.4</v>
          </cell>
          <cell r="D208">
            <v>25385</v>
          </cell>
        </row>
        <row r="209">
          <cell r="C209">
            <v>27.3</v>
          </cell>
          <cell r="D209">
            <v>25416</v>
          </cell>
        </row>
        <row r="210">
          <cell r="C210">
            <v>27.7</v>
          </cell>
          <cell r="D210">
            <v>25447</v>
          </cell>
        </row>
        <row r="211">
          <cell r="C211">
            <v>27.2</v>
          </cell>
          <cell r="D211">
            <v>25477</v>
          </cell>
        </row>
        <row r="212">
          <cell r="C212">
            <v>27</v>
          </cell>
          <cell r="D212">
            <v>25508</v>
          </cell>
        </row>
        <row r="213">
          <cell r="C213">
            <v>27</v>
          </cell>
          <cell r="D213">
            <v>25538</v>
          </cell>
        </row>
        <row r="214">
          <cell r="C214">
            <v>26.6</v>
          </cell>
          <cell r="D214">
            <v>25569</v>
          </cell>
        </row>
        <row r="215">
          <cell r="C215">
            <v>27</v>
          </cell>
          <cell r="D215">
            <v>25600</v>
          </cell>
        </row>
        <row r="216">
          <cell r="C216">
            <v>27.3</v>
          </cell>
          <cell r="D216">
            <v>25628</v>
          </cell>
        </row>
        <row r="217">
          <cell r="C217">
            <v>27.8</v>
          </cell>
          <cell r="D217">
            <v>25659</v>
          </cell>
        </row>
        <row r="218">
          <cell r="C218">
            <v>27.8</v>
          </cell>
          <cell r="D218">
            <v>25689</v>
          </cell>
        </row>
        <row r="219">
          <cell r="C219">
            <v>28.3</v>
          </cell>
          <cell r="D219">
            <v>25720</v>
          </cell>
        </row>
        <row r="220">
          <cell r="C220">
            <v>27.9</v>
          </cell>
          <cell r="D220">
            <v>25750</v>
          </cell>
        </row>
        <row r="221">
          <cell r="C221">
            <v>26.7</v>
          </cell>
          <cell r="D221">
            <v>25781</v>
          </cell>
        </row>
        <row r="222">
          <cell r="C222">
            <v>27.5</v>
          </cell>
          <cell r="D222">
            <v>25812</v>
          </cell>
        </row>
        <row r="223">
          <cell r="C223">
            <v>28.1</v>
          </cell>
          <cell r="D223">
            <v>25842</v>
          </cell>
        </row>
        <row r="224">
          <cell r="C224">
            <v>27.9</v>
          </cell>
          <cell r="D224">
            <v>25873</v>
          </cell>
        </row>
        <row r="225">
          <cell r="C225">
            <v>28</v>
          </cell>
          <cell r="D225">
            <v>25903</v>
          </cell>
        </row>
        <row r="226">
          <cell r="C226">
            <v>27.8</v>
          </cell>
          <cell r="D226">
            <v>25934</v>
          </cell>
        </row>
        <row r="227">
          <cell r="C227">
            <v>27.6</v>
          </cell>
          <cell r="D227">
            <v>25965</v>
          </cell>
        </row>
        <row r="228">
          <cell r="C228">
            <v>28.1</v>
          </cell>
          <cell r="D228">
            <v>25993</v>
          </cell>
        </row>
        <row r="229">
          <cell r="C229">
            <v>28.1</v>
          </cell>
          <cell r="D229">
            <v>26024</v>
          </cell>
        </row>
        <row r="230">
          <cell r="C230">
            <v>28.2</v>
          </cell>
          <cell r="D230">
            <v>26054</v>
          </cell>
        </row>
        <row r="231">
          <cell r="C231">
            <v>28.3</v>
          </cell>
          <cell r="D231">
            <v>26085</v>
          </cell>
        </row>
        <row r="232">
          <cell r="C232">
            <v>28</v>
          </cell>
          <cell r="D232">
            <v>26115</v>
          </cell>
        </row>
        <row r="233">
          <cell r="C233">
            <v>27.9</v>
          </cell>
          <cell r="D233">
            <v>26146</v>
          </cell>
        </row>
        <row r="234">
          <cell r="C234">
            <v>28</v>
          </cell>
          <cell r="D234">
            <v>26177</v>
          </cell>
        </row>
        <row r="235">
          <cell r="C235">
            <v>27.8</v>
          </cell>
          <cell r="D235">
            <v>26207</v>
          </cell>
        </row>
        <row r="236">
          <cell r="C236">
            <v>27.4</v>
          </cell>
          <cell r="D236">
            <v>26238</v>
          </cell>
        </row>
        <row r="237">
          <cell r="C237">
            <v>27.2</v>
          </cell>
          <cell r="D237">
            <v>26268</v>
          </cell>
        </row>
        <row r="238">
          <cell r="C238">
            <v>26.5</v>
          </cell>
          <cell r="D238">
            <v>26299</v>
          </cell>
        </row>
        <row r="239">
          <cell r="C239">
            <v>26</v>
          </cell>
          <cell r="D239">
            <v>26330</v>
          </cell>
        </row>
        <row r="240">
          <cell r="C240">
            <v>27</v>
          </cell>
          <cell r="D240">
            <v>26359</v>
          </cell>
        </row>
        <row r="241">
          <cell r="C241">
            <v>27.4</v>
          </cell>
          <cell r="D241">
            <v>26390</v>
          </cell>
        </row>
        <row r="242">
          <cell r="C242">
            <v>27.7</v>
          </cell>
          <cell r="D242">
            <v>26420</v>
          </cell>
        </row>
        <row r="243">
          <cell r="C243">
            <v>29.2</v>
          </cell>
          <cell r="D243">
            <v>26451</v>
          </cell>
        </row>
        <row r="244">
          <cell r="C244">
            <v>29.2</v>
          </cell>
          <cell r="D244">
            <v>26481</v>
          </cell>
        </row>
        <row r="245">
          <cell r="C245">
            <v>29.5</v>
          </cell>
          <cell r="D245">
            <v>26512</v>
          </cell>
        </row>
        <row r="246">
          <cell r="C246">
            <v>29.8</v>
          </cell>
          <cell r="D246">
            <v>26543</v>
          </cell>
        </row>
        <row r="247">
          <cell r="C247">
            <v>29.7</v>
          </cell>
          <cell r="D247">
            <v>26573</v>
          </cell>
        </row>
        <row r="248">
          <cell r="C248">
            <v>29.5</v>
          </cell>
          <cell r="D248">
            <v>26604</v>
          </cell>
        </row>
        <row r="249">
          <cell r="C249">
            <v>29.5</v>
          </cell>
          <cell r="D249">
            <v>26634</v>
          </cell>
        </row>
        <row r="250">
          <cell r="C250">
            <v>28.9</v>
          </cell>
          <cell r="D250">
            <v>26665</v>
          </cell>
        </row>
        <row r="251">
          <cell r="C251">
            <v>27.4</v>
          </cell>
          <cell r="D251">
            <v>26696</v>
          </cell>
        </row>
        <row r="252">
          <cell r="C252">
            <v>28.4</v>
          </cell>
          <cell r="D252">
            <v>26724</v>
          </cell>
        </row>
        <row r="253">
          <cell r="C253">
            <v>27.6</v>
          </cell>
          <cell r="D253">
            <v>26755</v>
          </cell>
        </row>
        <row r="254">
          <cell r="C254">
            <v>27.8</v>
          </cell>
          <cell r="D254">
            <v>26785</v>
          </cell>
        </row>
        <row r="255">
          <cell r="C255">
            <v>28</v>
          </cell>
          <cell r="D255">
            <v>26816</v>
          </cell>
        </row>
        <row r="256">
          <cell r="C256">
            <v>27.8</v>
          </cell>
          <cell r="D256">
            <v>26846</v>
          </cell>
        </row>
        <row r="257">
          <cell r="C257">
            <v>27.9</v>
          </cell>
          <cell r="D257">
            <v>26877</v>
          </cell>
        </row>
        <row r="258">
          <cell r="C258">
            <v>28.1</v>
          </cell>
          <cell r="D258">
            <v>26908</v>
          </cell>
        </row>
        <row r="259">
          <cell r="C259">
            <v>28</v>
          </cell>
          <cell r="D259">
            <v>26938</v>
          </cell>
        </row>
        <row r="260">
          <cell r="C260">
            <v>27.7</v>
          </cell>
          <cell r="D260">
            <v>26969</v>
          </cell>
        </row>
        <row r="261">
          <cell r="C261">
            <v>27.6</v>
          </cell>
          <cell r="D261">
            <v>26999</v>
          </cell>
        </row>
        <row r="262">
          <cell r="C262">
            <v>27</v>
          </cell>
          <cell r="D262">
            <v>27030</v>
          </cell>
        </row>
        <row r="263">
          <cell r="C263">
            <v>27</v>
          </cell>
          <cell r="D263">
            <v>27061</v>
          </cell>
        </row>
        <row r="264">
          <cell r="C264">
            <v>27.7</v>
          </cell>
          <cell r="D264">
            <v>27089</v>
          </cell>
        </row>
        <row r="265">
          <cell r="C265">
            <v>27.7</v>
          </cell>
          <cell r="D265">
            <v>27120</v>
          </cell>
        </row>
        <row r="266">
          <cell r="C266">
            <v>28.6</v>
          </cell>
          <cell r="D266">
            <v>27150</v>
          </cell>
        </row>
        <row r="267">
          <cell r="C267">
            <v>28.1</v>
          </cell>
          <cell r="D267">
            <v>27181</v>
          </cell>
        </row>
        <row r="268">
          <cell r="C268">
            <v>27.9</v>
          </cell>
          <cell r="D268">
            <v>27211</v>
          </cell>
        </row>
        <row r="269">
          <cell r="C269">
            <v>27.9</v>
          </cell>
          <cell r="D269">
            <v>27242</v>
          </cell>
        </row>
        <row r="270">
          <cell r="C270">
            <v>28.1</v>
          </cell>
          <cell r="D270">
            <v>27273</v>
          </cell>
        </row>
        <row r="271">
          <cell r="C271">
            <v>28</v>
          </cell>
          <cell r="D271">
            <v>27303</v>
          </cell>
        </row>
        <row r="272">
          <cell r="C272">
            <v>27.7</v>
          </cell>
          <cell r="D272">
            <v>27334</v>
          </cell>
        </row>
        <row r="273">
          <cell r="C273">
            <v>27.7</v>
          </cell>
          <cell r="D273">
            <v>27364</v>
          </cell>
        </row>
        <row r="274">
          <cell r="C274">
            <v>26.9</v>
          </cell>
          <cell r="D274">
            <v>27395</v>
          </cell>
        </row>
        <row r="275">
          <cell r="C275">
            <v>26.5</v>
          </cell>
          <cell r="D275">
            <v>27426</v>
          </cell>
        </row>
        <row r="276">
          <cell r="C276">
            <v>26.6</v>
          </cell>
          <cell r="D276">
            <v>27454</v>
          </cell>
        </row>
        <row r="277">
          <cell r="C277">
            <v>27.1</v>
          </cell>
          <cell r="D277">
            <v>27485</v>
          </cell>
        </row>
        <row r="278">
          <cell r="C278">
            <v>27.8</v>
          </cell>
          <cell r="D278">
            <v>27515</v>
          </cell>
        </row>
        <row r="279">
          <cell r="C279">
            <v>27.6</v>
          </cell>
          <cell r="D279">
            <v>27546</v>
          </cell>
        </row>
        <row r="280">
          <cell r="C280">
            <v>27.4</v>
          </cell>
          <cell r="D280">
            <v>27576</v>
          </cell>
        </row>
        <row r="281">
          <cell r="C281">
            <v>27.2</v>
          </cell>
          <cell r="D281">
            <v>27607</v>
          </cell>
        </row>
        <row r="282">
          <cell r="C282">
            <v>27.5</v>
          </cell>
          <cell r="D282">
            <v>27638</v>
          </cell>
        </row>
        <row r="283">
          <cell r="C283">
            <v>26.7</v>
          </cell>
          <cell r="D283">
            <v>27668</v>
          </cell>
        </row>
        <row r="284">
          <cell r="C284">
            <v>27.1</v>
          </cell>
          <cell r="D284">
            <v>27699</v>
          </cell>
        </row>
        <row r="285">
          <cell r="C285">
            <v>26.3</v>
          </cell>
          <cell r="D285">
            <v>27729</v>
          </cell>
        </row>
        <row r="286">
          <cell r="C286">
            <v>26.1</v>
          </cell>
          <cell r="D286">
            <v>27760</v>
          </cell>
        </row>
        <row r="287">
          <cell r="C287">
            <v>25.6</v>
          </cell>
          <cell r="D287">
            <v>27791</v>
          </cell>
        </row>
        <row r="288">
          <cell r="C288">
            <v>26.2</v>
          </cell>
          <cell r="D288">
            <v>27820</v>
          </cell>
        </row>
        <row r="289">
          <cell r="C289">
            <v>26.6</v>
          </cell>
          <cell r="D289">
            <v>27851</v>
          </cell>
        </row>
        <row r="290">
          <cell r="C290">
            <v>27.8</v>
          </cell>
          <cell r="D290">
            <v>27881</v>
          </cell>
        </row>
        <row r="291">
          <cell r="C291">
            <v>27.4</v>
          </cell>
          <cell r="D291">
            <v>27912</v>
          </cell>
        </row>
        <row r="292">
          <cell r="C292">
            <v>27.6</v>
          </cell>
          <cell r="D292">
            <v>27942</v>
          </cell>
        </row>
        <row r="293">
          <cell r="C293">
            <v>27.9</v>
          </cell>
          <cell r="D293">
            <v>27973</v>
          </cell>
        </row>
        <row r="294">
          <cell r="C294">
            <v>28</v>
          </cell>
          <cell r="D294">
            <v>28004</v>
          </cell>
        </row>
        <row r="295">
          <cell r="C295">
            <v>27.8</v>
          </cell>
          <cell r="D295">
            <v>28034</v>
          </cell>
        </row>
        <row r="296">
          <cell r="C296">
            <v>28.5</v>
          </cell>
          <cell r="D296">
            <v>28065</v>
          </cell>
        </row>
        <row r="297">
          <cell r="C297">
            <v>27.2</v>
          </cell>
          <cell r="D297">
            <v>28095</v>
          </cell>
        </row>
        <row r="298">
          <cell r="C298">
            <v>26.8</v>
          </cell>
          <cell r="D298">
            <v>28126</v>
          </cell>
        </row>
        <row r="299">
          <cell r="C299">
            <v>26.6</v>
          </cell>
          <cell r="D299">
            <v>28157</v>
          </cell>
        </row>
        <row r="300">
          <cell r="C300">
            <v>26.6</v>
          </cell>
          <cell r="D300">
            <v>28185</v>
          </cell>
        </row>
        <row r="301">
          <cell r="C301">
            <v>27.1</v>
          </cell>
          <cell r="D301">
            <v>28216</v>
          </cell>
        </row>
        <row r="302">
          <cell r="C302">
            <v>27.7</v>
          </cell>
          <cell r="D302">
            <v>28246</v>
          </cell>
        </row>
        <row r="303">
          <cell r="C303">
            <v>28.2</v>
          </cell>
          <cell r="D303">
            <v>28277</v>
          </cell>
        </row>
        <row r="304">
          <cell r="C304">
            <v>27.8</v>
          </cell>
          <cell r="D304">
            <v>28307</v>
          </cell>
        </row>
        <row r="305">
          <cell r="C305">
            <v>27.9</v>
          </cell>
          <cell r="D305">
            <v>28338</v>
          </cell>
        </row>
        <row r="306">
          <cell r="C306">
            <v>28.8</v>
          </cell>
          <cell r="D306">
            <v>28369</v>
          </cell>
        </row>
        <row r="307">
          <cell r="C307">
            <v>28.4</v>
          </cell>
          <cell r="D307">
            <v>28399</v>
          </cell>
        </row>
        <row r="308">
          <cell r="C308">
            <v>28.4</v>
          </cell>
          <cell r="D308">
            <v>28430</v>
          </cell>
        </row>
        <row r="309">
          <cell r="C309">
            <v>28</v>
          </cell>
          <cell r="D309">
            <v>28460</v>
          </cell>
        </row>
        <row r="310">
          <cell r="C310">
            <v>27.5</v>
          </cell>
          <cell r="D310">
            <v>28491</v>
          </cell>
        </row>
        <row r="311">
          <cell r="C311">
            <v>27.3</v>
          </cell>
          <cell r="D311">
            <v>28522</v>
          </cell>
        </row>
        <row r="312">
          <cell r="C312">
            <v>27.7</v>
          </cell>
          <cell r="D312">
            <v>28550</v>
          </cell>
        </row>
        <row r="313">
          <cell r="C313">
            <v>28</v>
          </cell>
          <cell r="D313">
            <v>28581</v>
          </cell>
        </row>
        <row r="314">
          <cell r="C314">
            <v>28.5</v>
          </cell>
          <cell r="D314">
            <v>28611</v>
          </cell>
        </row>
        <row r="315">
          <cell r="C315">
            <v>28.5</v>
          </cell>
          <cell r="D315">
            <v>28642</v>
          </cell>
        </row>
        <row r="316">
          <cell r="C316">
            <v>28.4</v>
          </cell>
          <cell r="D316">
            <v>28672</v>
          </cell>
        </row>
        <row r="317">
          <cell r="C317">
            <v>28.3</v>
          </cell>
          <cell r="D317">
            <v>28703</v>
          </cell>
        </row>
        <row r="318">
          <cell r="C318">
            <v>28.6</v>
          </cell>
          <cell r="D318">
            <v>28734</v>
          </cell>
        </row>
        <row r="319">
          <cell r="C319">
            <v>28.4</v>
          </cell>
          <cell r="D319">
            <v>28764</v>
          </cell>
        </row>
        <row r="320">
          <cell r="C320">
            <v>28.4</v>
          </cell>
          <cell r="D320">
            <v>28795</v>
          </cell>
        </row>
        <row r="321">
          <cell r="C321">
            <v>28</v>
          </cell>
          <cell r="D321">
            <v>28825</v>
          </cell>
        </row>
        <row r="322">
          <cell r="C322">
            <v>27.5</v>
          </cell>
          <cell r="D322">
            <v>28856</v>
          </cell>
        </row>
        <row r="323">
          <cell r="C323">
            <v>27.2</v>
          </cell>
          <cell r="D323">
            <v>28887</v>
          </cell>
        </row>
        <row r="324">
          <cell r="C324">
            <v>27.7</v>
          </cell>
          <cell r="D324">
            <v>28915</v>
          </cell>
        </row>
        <row r="325">
          <cell r="C325">
            <v>27.9</v>
          </cell>
          <cell r="D325">
            <v>28946</v>
          </cell>
        </row>
        <row r="326">
          <cell r="C326">
            <v>28.5</v>
          </cell>
          <cell r="D326">
            <v>28976</v>
          </cell>
        </row>
        <row r="327">
          <cell r="C327">
            <v>28.5</v>
          </cell>
          <cell r="D327">
            <v>29007</v>
          </cell>
        </row>
        <row r="328">
          <cell r="C328">
            <v>28.4</v>
          </cell>
          <cell r="D328">
            <v>29037</v>
          </cell>
        </row>
        <row r="329">
          <cell r="C329">
            <v>28.3</v>
          </cell>
          <cell r="D329">
            <v>29068</v>
          </cell>
        </row>
        <row r="330">
          <cell r="C330">
            <v>28.6</v>
          </cell>
          <cell r="D330">
            <v>29099</v>
          </cell>
        </row>
        <row r="331">
          <cell r="C331">
            <v>28.4</v>
          </cell>
          <cell r="D331">
            <v>29129</v>
          </cell>
        </row>
        <row r="332">
          <cell r="C332">
            <v>28.4</v>
          </cell>
          <cell r="D332">
            <v>29160</v>
          </cell>
        </row>
        <row r="333">
          <cell r="C333">
            <v>27.8</v>
          </cell>
          <cell r="D333">
            <v>29190</v>
          </cell>
        </row>
        <row r="334">
          <cell r="C334">
            <v>27.4</v>
          </cell>
          <cell r="D334">
            <v>29221</v>
          </cell>
        </row>
        <row r="335">
          <cell r="C335">
            <v>27.3</v>
          </cell>
          <cell r="D335">
            <v>29252</v>
          </cell>
        </row>
        <row r="336">
          <cell r="C336">
            <v>27.6</v>
          </cell>
          <cell r="D336">
            <v>29281</v>
          </cell>
        </row>
        <row r="337">
          <cell r="C337">
            <v>27.9</v>
          </cell>
          <cell r="D337">
            <v>29312</v>
          </cell>
        </row>
        <row r="338">
          <cell r="C338">
            <v>28.5</v>
          </cell>
          <cell r="D338">
            <v>29342</v>
          </cell>
        </row>
        <row r="339">
          <cell r="C339">
            <v>28.6</v>
          </cell>
          <cell r="D339">
            <v>29373</v>
          </cell>
        </row>
        <row r="340">
          <cell r="C340">
            <v>28.5</v>
          </cell>
          <cell r="D340">
            <v>29403</v>
          </cell>
        </row>
        <row r="341">
          <cell r="C341">
            <v>28.4</v>
          </cell>
          <cell r="D341">
            <v>29434</v>
          </cell>
        </row>
        <row r="342">
          <cell r="C342">
            <v>28.6</v>
          </cell>
          <cell r="D342">
            <v>29465</v>
          </cell>
        </row>
        <row r="343">
          <cell r="C343">
            <v>28.3</v>
          </cell>
          <cell r="D343">
            <v>29495</v>
          </cell>
        </row>
        <row r="344">
          <cell r="C344">
            <v>28.4</v>
          </cell>
          <cell r="D344">
            <v>29526</v>
          </cell>
        </row>
        <row r="345">
          <cell r="C345">
            <v>27.8</v>
          </cell>
          <cell r="D345">
            <v>29556</v>
          </cell>
        </row>
        <row r="346">
          <cell r="C346">
            <v>27.4</v>
          </cell>
          <cell r="D346">
            <v>29587</v>
          </cell>
        </row>
        <row r="347">
          <cell r="C347">
            <v>27.1</v>
          </cell>
          <cell r="D347">
            <v>29618</v>
          </cell>
        </row>
        <row r="348">
          <cell r="C348">
            <v>27.6</v>
          </cell>
          <cell r="D348">
            <v>29646</v>
          </cell>
        </row>
        <row r="349">
          <cell r="C349">
            <v>27.6</v>
          </cell>
          <cell r="D349">
            <v>29677</v>
          </cell>
        </row>
        <row r="350">
          <cell r="C350">
            <v>28</v>
          </cell>
          <cell r="D350">
            <v>29707</v>
          </cell>
        </row>
        <row r="351">
          <cell r="C351">
            <v>28.1</v>
          </cell>
          <cell r="D351">
            <v>29738</v>
          </cell>
        </row>
        <row r="352">
          <cell r="C352">
            <v>28.4</v>
          </cell>
          <cell r="D352">
            <v>29768</v>
          </cell>
        </row>
        <row r="353">
          <cell r="C353">
            <v>27.9</v>
          </cell>
          <cell r="D353">
            <v>29799</v>
          </cell>
        </row>
        <row r="354">
          <cell r="C354">
            <v>28.3</v>
          </cell>
          <cell r="D354">
            <v>29830</v>
          </cell>
        </row>
        <row r="355">
          <cell r="C355">
            <v>27.9</v>
          </cell>
          <cell r="D355">
            <v>29860</v>
          </cell>
        </row>
        <row r="356">
          <cell r="C356">
            <v>28.3</v>
          </cell>
          <cell r="D356">
            <v>29891</v>
          </cell>
        </row>
        <row r="357">
          <cell r="C357">
            <v>27.7</v>
          </cell>
          <cell r="D357">
            <v>29921</v>
          </cell>
        </row>
        <row r="358">
          <cell r="C358">
            <v>26.7</v>
          </cell>
          <cell r="D358">
            <v>29952</v>
          </cell>
        </row>
        <row r="359">
          <cell r="C359">
            <v>26.8</v>
          </cell>
          <cell r="D359">
            <v>29983</v>
          </cell>
        </row>
        <row r="360">
          <cell r="C360">
            <v>26.6</v>
          </cell>
          <cell r="D360">
            <v>30011</v>
          </cell>
        </row>
        <row r="361">
          <cell r="C361">
            <v>27.3</v>
          </cell>
          <cell r="D361">
            <v>30042</v>
          </cell>
        </row>
        <row r="362">
          <cell r="C362">
            <v>28</v>
          </cell>
          <cell r="D362">
            <v>30072</v>
          </cell>
        </row>
        <row r="363">
          <cell r="C363">
            <v>28.4</v>
          </cell>
          <cell r="D363">
            <v>30103</v>
          </cell>
        </row>
        <row r="364">
          <cell r="C364">
            <v>28.1</v>
          </cell>
          <cell r="D364">
            <v>30133</v>
          </cell>
        </row>
        <row r="365">
          <cell r="C365">
            <v>28.3</v>
          </cell>
          <cell r="D365">
            <v>30164</v>
          </cell>
        </row>
        <row r="366">
          <cell r="C366">
            <v>28.3</v>
          </cell>
          <cell r="D366">
            <v>30195</v>
          </cell>
        </row>
        <row r="367">
          <cell r="C367">
            <v>27.6</v>
          </cell>
          <cell r="D367">
            <v>30225</v>
          </cell>
        </row>
        <row r="368">
          <cell r="C368">
            <v>28</v>
          </cell>
          <cell r="D368">
            <v>30256</v>
          </cell>
        </row>
        <row r="369">
          <cell r="C369">
            <v>27</v>
          </cell>
          <cell r="D369">
            <v>30286</v>
          </cell>
        </row>
        <row r="370">
          <cell r="C370">
            <v>27.4</v>
          </cell>
          <cell r="D370">
            <v>30317</v>
          </cell>
        </row>
        <row r="371">
          <cell r="C371">
            <v>27.1</v>
          </cell>
          <cell r="D371">
            <v>30348</v>
          </cell>
        </row>
        <row r="372">
          <cell r="C372">
            <v>28</v>
          </cell>
          <cell r="D372">
            <v>30376</v>
          </cell>
        </row>
        <row r="373">
          <cell r="C373">
            <v>28.1</v>
          </cell>
          <cell r="D373">
            <v>30407</v>
          </cell>
        </row>
        <row r="374">
          <cell r="C374">
            <v>28.6</v>
          </cell>
          <cell r="D374">
            <v>30437</v>
          </cell>
        </row>
        <row r="375">
          <cell r="C375">
            <v>29.2</v>
          </cell>
          <cell r="D375">
            <v>30468</v>
          </cell>
        </row>
        <row r="376">
          <cell r="C376">
            <v>28.7</v>
          </cell>
          <cell r="D376">
            <v>30498</v>
          </cell>
        </row>
        <row r="377">
          <cell r="C377">
            <v>28.6</v>
          </cell>
          <cell r="D377">
            <v>30529</v>
          </cell>
        </row>
        <row r="378">
          <cell r="C378">
            <v>28.3</v>
          </cell>
          <cell r="D378">
            <v>30560</v>
          </cell>
        </row>
        <row r="379">
          <cell r="C379">
            <v>27.7</v>
          </cell>
          <cell r="D379">
            <v>30590</v>
          </cell>
        </row>
        <row r="380">
          <cell r="C380">
            <v>28.3</v>
          </cell>
          <cell r="D380">
            <v>30621</v>
          </cell>
        </row>
        <row r="381">
          <cell r="C381">
            <v>27.4</v>
          </cell>
          <cell r="D381">
            <v>30651</v>
          </cell>
        </row>
        <row r="382">
          <cell r="C382">
            <v>26.8</v>
          </cell>
          <cell r="D382">
            <v>30682</v>
          </cell>
        </row>
        <row r="383">
          <cell r="C383">
            <v>27.2</v>
          </cell>
          <cell r="D383">
            <v>30713</v>
          </cell>
        </row>
        <row r="384">
          <cell r="C384">
            <v>26.9</v>
          </cell>
          <cell r="D384">
            <v>30742</v>
          </cell>
        </row>
        <row r="385">
          <cell r="C385">
            <v>27.5</v>
          </cell>
          <cell r="D385">
            <v>30773</v>
          </cell>
        </row>
        <row r="386">
          <cell r="C386">
            <v>28.1</v>
          </cell>
          <cell r="D386">
            <v>30803</v>
          </cell>
        </row>
        <row r="387">
          <cell r="C387">
            <v>28.2</v>
          </cell>
          <cell r="D387">
            <v>30834</v>
          </cell>
        </row>
        <row r="388">
          <cell r="C388">
            <v>27.7</v>
          </cell>
          <cell r="D388">
            <v>30864</v>
          </cell>
        </row>
        <row r="389">
          <cell r="C389">
            <v>27.6</v>
          </cell>
          <cell r="D389">
            <v>30895</v>
          </cell>
        </row>
        <row r="390">
          <cell r="C390">
            <v>27.5</v>
          </cell>
          <cell r="D390">
            <v>30926</v>
          </cell>
        </row>
        <row r="391">
          <cell r="C391">
            <v>27.5</v>
          </cell>
          <cell r="D391">
            <v>30956</v>
          </cell>
        </row>
        <row r="392">
          <cell r="C392">
            <v>27.4</v>
          </cell>
          <cell r="D392">
            <v>30987</v>
          </cell>
        </row>
        <row r="393">
          <cell r="C393">
            <v>26.3</v>
          </cell>
          <cell r="D393">
            <v>31017</v>
          </cell>
        </row>
        <row r="394">
          <cell r="C394">
            <v>25.9</v>
          </cell>
          <cell r="D394">
            <v>31048</v>
          </cell>
        </row>
        <row r="395">
          <cell r="C395">
            <v>26.5</v>
          </cell>
          <cell r="D395">
            <v>31079</v>
          </cell>
        </row>
        <row r="396">
          <cell r="C396">
            <v>26.7</v>
          </cell>
          <cell r="D396">
            <v>31107</v>
          </cell>
        </row>
        <row r="397">
          <cell r="C397">
            <v>27</v>
          </cell>
          <cell r="D397">
            <v>31138</v>
          </cell>
        </row>
        <row r="398">
          <cell r="C398">
            <v>28.2</v>
          </cell>
          <cell r="D398">
            <v>31168</v>
          </cell>
        </row>
        <row r="399">
          <cell r="C399">
            <v>28.5</v>
          </cell>
          <cell r="D399">
            <v>31199</v>
          </cell>
        </row>
        <row r="400">
          <cell r="C400">
            <v>28.3</v>
          </cell>
          <cell r="D400">
            <v>31229</v>
          </cell>
        </row>
        <row r="401">
          <cell r="C401">
            <v>27.9</v>
          </cell>
          <cell r="D401">
            <v>31260</v>
          </cell>
        </row>
        <row r="402">
          <cell r="C402">
            <v>27.8</v>
          </cell>
          <cell r="D402">
            <v>31291</v>
          </cell>
        </row>
        <row r="403">
          <cell r="C403">
            <v>28.2</v>
          </cell>
          <cell r="D403">
            <v>31321</v>
          </cell>
        </row>
        <row r="404">
          <cell r="C404">
            <v>27.7</v>
          </cell>
          <cell r="D404">
            <v>31352</v>
          </cell>
        </row>
        <row r="405">
          <cell r="C405">
            <v>26.9</v>
          </cell>
          <cell r="D405">
            <v>31382</v>
          </cell>
        </row>
        <row r="406">
          <cell r="C406">
            <v>26.5</v>
          </cell>
          <cell r="D406">
            <v>31413</v>
          </cell>
        </row>
        <row r="407">
          <cell r="C407">
            <v>26.6</v>
          </cell>
          <cell r="D407">
            <v>31444</v>
          </cell>
        </row>
        <row r="408">
          <cell r="C408">
            <v>27</v>
          </cell>
          <cell r="D408">
            <v>31472</v>
          </cell>
        </row>
        <row r="409">
          <cell r="C409">
            <v>27.6</v>
          </cell>
          <cell r="D409">
            <v>31503</v>
          </cell>
        </row>
        <row r="410">
          <cell r="C410">
            <v>28.3</v>
          </cell>
          <cell r="D410">
            <v>31533</v>
          </cell>
        </row>
        <row r="411">
          <cell r="C411">
            <v>28.4</v>
          </cell>
          <cell r="D411">
            <v>31564</v>
          </cell>
        </row>
        <row r="412">
          <cell r="C412">
            <v>28.3</v>
          </cell>
          <cell r="D412">
            <v>31594</v>
          </cell>
        </row>
        <row r="413">
          <cell r="C413">
            <v>28.4</v>
          </cell>
          <cell r="D413">
            <v>31625</v>
          </cell>
        </row>
        <row r="414">
          <cell r="C414">
            <v>28.3</v>
          </cell>
          <cell r="D414">
            <v>31656</v>
          </cell>
        </row>
        <row r="415">
          <cell r="C415">
            <v>27.6</v>
          </cell>
          <cell r="D415">
            <v>31686</v>
          </cell>
        </row>
        <row r="416">
          <cell r="C416">
            <v>27.9</v>
          </cell>
          <cell r="D416">
            <v>31717</v>
          </cell>
        </row>
        <row r="417">
          <cell r="C417">
            <v>27.1</v>
          </cell>
          <cell r="D417">
            <v>31747</v>
          </cell>
        </row>
        <row r="418">
          <cell r="C418">
            <v>27.1</v>
          </cell>
          <cell r="D418">
            <v>31778</v>
          </cell>
        </row>
        <row r="419">
          <cell r="C419">
            <v>27.4</v>
          </cell>
          <cell r="D419">
            <v>31809</v>
          </cell>
        </row>
        <row r="420">
          <cell r="C420">
            <v>27.6</v>
          </cell>
          <cell r="D420">
            <v>31837</v>
          </cell>
        </row>
        <row r="421">
          <cell r="C421">
            <v>28.1</v>
          </cell>
          <cell r="D421">
            <v>31868</v>
          </cell>
        </row>
        <row r="422">
          <cell r="C422">
            <v>28.1</v>
          </cell>
          <cell r="D422">
            <v>31898</v>
          </cell>
        </row>
        <row r="423">
          <cell r="C423">
            <v>29.3</v>
          </cell>
          <cell r="D423">
            <v>31929</v>
          </cell>
        </row>
        <row r="424">
          <cell r="C424">
            <v>28.7</v>
          </cell>
          <cell r="D424">
            <v>31959</v>
          </cell>
        </row>
        <row r="425">
          <cell r="C425">
            <v>28.7</v>
          </cell>
          <cell r="D425">
            <v>31990</v>
          </cell>
        </row>
        <row r="426">
          <cell r="C426">
            <v>28</v>
          </cell>
          <cell r="D426">
            <v>32021</v>
          </cell>
        </row>
        <row r="427">
          <cell r="C427">
            <v>27.7</v>
          </cell>
          <cell r="D427">
            <v>32051</v>
          </cell>
        </row>
        <row r="428">
          <cell r="C428">
            <v>27.8</v>
          </cell>
          <cell r="D428">
            <v>32082</v>
          </cell>
        </row>
        <row r="429">
          <cell r="C429">
            <v>27.1</v>
          </cell>
          <cell r="D429">
            <v>32112</v>
          </cell>
        </row>
        <row r="430">
          <cell r="C430">
            <v>26.7</v>
          </cell>
          <cell r="D430">
            <v>32143</v>
          </cell>
        </row>
        <row r="431">
          <cell r="C431">
            <v>26.7</v>
          </cell>
          <cell r="D431">
            <v>32174</v>
          </cell>
        </row>
        <row r="432">
          <cell r="C432">
            <v>27</v>
          </cell>
          <cell r="D432">
            <v>32203</v>
          </cell>
        </row>
        <row r="433">
          <cell r="C433">
            <v>27.3</v>
          </cell>
          <cell r="D433">
            <v>32234</v>
          </cell>
        </row>
        <row r="434">
          <cell r="C434">
            <v>28</v>
          </cell>
          <cell r="D434">
            <v>32264</v>
          </cell>
        </row>
        <row r="435">
          <cell r="C435">
            <v>28.2</v>
          </cell>
          <cell r="D435">
            <v>32295</v>
          </cell>
        </row>
        <row r="436">
          <cell r="C436">
            <v>28</v>
          </cell>
          <cell r="D436">
            <v>32325</v>
          </cell>
        </row>
        <row r="437">
          <cell r="C437">
            <v>27.9</v>
          </cell>
          <cell r="D437">
            <v>32356</v>
          </cell>
        </row>
        <row r="438">
          <cell r="C438">
            <v>27.9</v>
          </cell>
          <cell r="D438">
            <v>32387</v>
          </cell>
        </row>
        <row r="439">
          <cell r="C439">
            <v>27.7</v>
          </cell>
          <cell r="D439">
            <v>32417</v>
          </cell>
        </row>
        <row r="440">
          <cell r="C440">
            <v>27.7</v>
          </cell>
          <cell r="D440">
            <v>32448</v>
          </cell>
        </row>
        <row r="441">
          <cell r="C441">
            <v>27</v>
          </cell>
          <cell r="D441">
            <v>32478</v>
          </cell>
        </row>
        <row r="442">
          <cell r="C442">
            <v>26.7</v>
          </cell>
          <cell r="D442">
            <v>32509</v>
          </cell>
        </row>
        <row r="443">
          <cell r="C443">
            <v>26.7</v>
          </cell>
          <cell r="D443">
            <v>32540</v>
          </cell>
        </row>
        <row r="444">
          <cell r="C444">
            <v>27</v>
          </cell>
          <cell r="D444">
            <v>32568</v>
          </cell>
        </row>
        <row r="445">
          <cell r="C445">
            <v>27.4</v>
          </cell>
          <cell r="D445">
            <v>32599</v>
          </cell>
        </row>
        <row r="446">
          <cell r="C446">
            <v>28</v>
          </cell>
          <cell r="D446">
            <v>32629</v>
          </cell>
        </row>
        <row r="447">
          <cell r="C447">
            <v>28.3</v>
          </cell>
          <cell r="D447">
            <v>32660</v>
          </cell>
        </row>
        <row r="448">
          <cell r="C448">
            <v>28</v>
          </cell>
          <cell r="D448">
            <v>32690</v>
          </cell>
        </row>
        <row r="449">
          <cell r="C449">
            <v>27.9</v>
          </cell>
          <cell r="D449">
            <v>32721</v>
          </cell>
        </row>
        <row r="450">
          <cell r="C450">
            <v>27.9</v>
          </cell>
          <cell r="D450">
            <v>32752</v>
          </cell>
        </row>
        <row r="451">
          <cell r="C451">
            <v>27.6</v>
          </cell>
          <cell r="D451">
            <v>32782</v>
          </cell>
        </row>
        <row r="452">
          <cell r="C452">
            <v>27.7</v>
          </cell>
          <cell r="D452">
            <v>32813</v>
          </cell>
        </row>
        <row r="453">
          <cell r="C453">
            <v>27.7</v>
          </cell>
          <cell r="D453">
            <v>32843</v>
          </cell>
        </row>
        <row r="454">
          <cell r="C454">
            <v>26.6</v>
          </cell>
          <cell r="D454">
            <v>32874</v>
          </cell>
        </row>
        <row r="455">
          <cell r="C455">
            <v>26.7</v>
          </cell>
          <cell r="D455">
            <v>32905</v>
          </cell>
        </row>
        <row r="456">
          <cell r="C456">
            <v>27</v>
          </cell>
          <cell r="D456">
            <v>32933</v>
          </cell>
        </row>
        <row r="457">
          <cell r="C457">
            <v>27.3</v>
          </cell>
          <cell r="D457">
            <v>32964</v>
          </cell>
        </row>
        <row r="458">
          <cell r="C458">
            <v>27.9</v>
          </cell>
          <cell r="D458">
            <v>32994</v>
          </cell>
        </row>
        <row r="459">
          <cell r="C459">
            <v>28.2</v>
          </cell>
          <cell r="D459">
            <v>33025</v>
          </cell>
        </row>
        <row r="460">
          <cell r="C460">
            <v>28</v>
          </cell>
          <cell r="D460">
            <v>33055</v>
          </cell>
        </row>
        <row r="461">
          <cell r="C461">
            <v>27.9</v>
          </cell>
          <cell r="D461">
            <v>33086</v>
          </cell>
        </row>
        <row r="462">
          <cell r="C462">
            <v>27.9</v>
          </cell>
          <cell r="D462">
            <v>33117</v>
          </cell>
        </row>
        <row r="463">
          <cell r="C463">
            <v>27.6</v>
          </cell>
          <cell r="D463">
            <v>33147</v>
          </cell>
        </row>
        <row r="464">
          <cell r="C464">
            <v>27.7</v>
          </cell>
          <cell r="D464">
            <v>33178</v>
          </cell>
        </row>
        <row r="465">
          <cell r="C465">
            <v>26.9</v>
          </cell>
          <cell r="D465">
            <v>33208</v>
          </cell>
        </row>
        <row r="466">
          <cell r="C466">
            <v>26.7</v>
          </cell>
          <cell r="D466">
            <v>33239</v>
          </cell>
        </row>
        <row r="467">
          <cell r="C467">
            <v>26.7</v>
          </cell>
          <cell r="D467">
            <v>33270</v>
          </cell>
        </row>
        <row r="468">
          <cell r="C468">
            <v>27</v>
          </cell>
          <cell r="D468">
            <v>33298</v>
          </cell>
        </row>
        <row r="469">
          <cell r="C469">
            <v>27.6</v>
          </cell>
          <cell r="D469">
            <v>33329</v>
          </cell>
        </row>
        <row r="470">
          <cell r="C470">
            <v>28.1</v>
          </cell>
          <cell r="D470">
            <v>33359</v>
          </cell>
        </row>
        <row r="471">
          <cell r="C471">
            <v>28.4</v>
          </cell>
          <cell r="D471">
            <v>33390</v>
          </cell>
        </row>
        <row r="472">
          <cell r="C472">
            <v>28.2</v>
          </cell>
          <cell r="D472">
            <v>33420</v>
          </cell>
        </row>
        <row r="473">
          <cell r="C473">
            <v>28.4</v>
          </cell>
          <cell r="D473">
            <v>33451</v>
          </cell>
        </row>
        <row r="474">
          <cell r="C474">
            <v>28.2</v>
          </cell>
          <cell r="D474">
            <v>33482</v>
          </cell>
        </row>
        <row r="475">
          <cell r="C475">
            <v>27.8</v>
          </cell>
          <cell r="D475">
            <v>33512</v>
          </cell>
        </row>
        <row r="476">
          <cell r="C476">
            <v>27.7</v>
          </cell>
          <cell r="D476">
            <v>33543</v>
          </cell>
        </row>
        <row r="477">
          <cell r="C477">
            <v>26.7</v>
          </cell>
          <cell r="D477">
            <v>33573</v>
          </cell>
        </row>
        <row r="478">
          <cell r="C478">
            <v>26.6</v>
          </cell>
          <cell r="D478">
            <v>33604</v>
          </cell>
        </row>
        <row r="479">
          <cell r="C479">
            <v>27.1</v>
          </cell>
          <cell r="D479">
            <v>33635</v>
          </cell>
        </row>
        <row r="480">
          <cell r="C480">
            <v>27.4</v>
          </cell>
          <cell r="D480">
            <v>33664</v>
          </cell>
        </row>
        <row r="481">
          <cell r="C481">
            <v>28.2</v>
          </cell>
          <cell r="D481">
            <v>33695</v>
          </cell>
        </row>
        <row r="482">
          <cell r="C482">
            <v>28.4</v>
          </cell>
          <cell r="D482">
            <v>33725</v>
          </cell>
        </row>
        <row r="483">
          <cell r="C483">
            <v>28.7</v>
          </cell>
          <cell r="D483">
            <v>33756</v>
          </cell>
        </row>
        <row r="484">
          <cell r="C484">
            <v>27.9</v>
          </cell>
          <cell r="D484">
            <v>33786</v>
          </cell>
        </row>
        <row r="485">
          <cell r="C485">
            <v>28</v>
          </cell>
          <cell r="D485">
            <v>33817</v>
          </cell>
        </row>
        <row r="486">
          <cell r="C486">
            <v>27.8</v>
          </cell>
          <cell r="D486">
            <v>33848</v>
          </cell>
        </row>
        <row r="487">
          <cell r="C487">
            <v>27.9</v>
          </cell>
          <cell r="D487">
            <v>33878</v>
          </cell>
        </row>
        <row r="488">
          <cell r="C488">
            <v>27.9</v>
          </cell>
          <cell r="D488">
            <v>33909</v>
          </cell>
        </row>
        <row r="489">
          <cell r="C489">
            <v>27.4</v>
          </cell>
          <cell r="D489">
            <v>33939</v>
          </cell>
        </row>
        <row r="490">
          <cell r="C490">
            <v>27.1</v>
          </cell>
          <cell r="D490">
            <v>33970</v>
          </cell>
        </row>
        <row r="491">
          <cell r="C491">
            <v>27</v>
          </cell>
          <cell r="D491">
            <v>34001</v>
          </cell>
        </row>
        <row r="492">
          <cell r="C492">
            <v>27.3</v>
          </cell>
          <cell r="D492">
            <v>34029</v>
          </cell>
        </row>
        <row r="493">
          <cell r="C493">
            <v>27.9</v>
          </cell>
          <cell r="D493">
            <v>34060</v>
          </cell>
        </row>
        <row r="494">
          <cell r="C494">
            <v>28.1</v>
          </cell>
          <cell r="D494">
            <v>34090</v>
          </cell>
        </row>
        <row r="495">
          <cell r="C495">
            <v>28.6</v>
          </cell>
          <cell r="D495">
            <v>34121</v>
          </cell>
        </row>
        <row r="496">
          <cell r="C496">
            <v>28.2</v>
          </cell>
          <cell r="D496">
            <v>34151</v>
          </cell>
        </row>
        <row r="497">
          <cell r="C497">
            <v>28.5</v>
          </cell>
          <cell r="D497">
            <v>34182</v>
          </cell>
        </row>
        <row r="498">
          <cell r="C498">
            <v>27.6</v>
          </cell>
          <cell r="D498">
            <v>34213</v>
          </cell>
        </row>
        <row r="499">
          <cell r="C499">
            <v>28.3</v>
          </cell>
          <cell r="D499">
            <v>34243</v>
          </cell>
        </row>
        <row r="500">
          <cell r="C500">
            <v>27.5</v>
          </cell>
          <cell r="D500">
            <v>34274</v>
          </cell>
        </row>
        <row r="501">
          <cell r="C501">
            <v>27.4</v>
          </cell>
          <cell r="D501">
            <v>34304</v>
          </cell>
        </row>
        <row r="502">
          <cell r="C502">
            <v>26.5</v>
          </cell>
          <cell r="D502">
            <v>34335</v>
          </cell>
        </row>
        <row r="503">
          <cell r="C503">
            <v>26.4</v>
          </cell>
          <cell r="D503">
            <v>34366</v>
          </cell>
        </row>
        <row r="504">
          <cell r="C504">
            <v>27</v>
          </cell>
          <cell r="D504">
            <v>34394</v>
          </cell>
        </row>
        <row r="505">
          <cell r="C505">
            <v>27.3</v>
          </cell>
          <cell r="D505">
            <v>34425</v>
          </cell>
        </row>
        <row r="506">
          <cell r="C506">
            <v>28.1</v>
          </cell>
          <cell r="D506">
            <v>34455</v>
          </cell>
        </row>
        <row r="507">
          <cell r="C507">
            <v>28.3</v>
          </cell>
          <cell r="D507">
            <v>34486</v>
          </cell>
        </row>
        <row r="508">
          <cell r="C508">
            <v>28</v>
          </cell>
          <cell r="D508">
            <v>34516</v>
          </cell>
        </row>
        <row r="509">
          <cell r="C509">
            <v>28.1</v>
          </cell>
          <cell r="D509">
            <v>34547</v>
          </cell>
        </row>
        <row r="510">
          <cell r="C510">
            <v>28.2</v>
          </cell>
          <cell r="D510">
            <v>34578</v>
          </cell>
        </row>
        <row r="511">
          <cell r="C511">
            <v>27.6</v>
          </cell>
          <cell r="D511">
            <v>34608</v>
          </cell>
        </row>
        <row r="512">
          <cell r="C512">
            <v>27.5</v>
          </cell>
          <cell r="D512">
            <v>34639</v>
          </cell>
        </row>
        <row r="513">
          <cell r="C513">
            <v>27</v>
          </cell>
          <cell r="D513">
            <v>34669</v>
          </cell>
        </row>
        <row r="514">
          <cell r="C514">
            <v>27</v>
          </cell>
          <cell r="D514">
            <v>34700</v>
          </cell>
        </row>
        <row r="515">
          <cell r="C515">
            <v>26.7</v>
          </cell>
          <cell r="D515">
            <v>34731</v>
          </cell>
        </row>
        <row r="516">
          <cell r="C516">
            <v>27.2</v>
          </cell>
          <cell r="D516">
            <v>34759</v>
          </cell>
        </row>
        <row r="517">
          <cell r="C517">
            <v>27.9</v>
          </cell>
          <cell r="D517">
            <v>34790</v>
          </cell>
        </row>
        <row r="518">
          <cell r="C518">
            <v>28.4</v>
          </cell>
          <cell r="D518">
            <v>34820</v>
          </cell>
        </row>
        <row r="519">
          <cell r="C519">
            <v>28.5</v>
          </cell>
          <cell r="D519">
            <v>34851</v>
          </cell>
        </row>
        <row r="520">
          <cell r="C520">
            <v>28</v>
          </cell>
          <cell r="D520">
            <v>34881</v>
          </cell>
        </row>
        <row r="521">
          <cell r="C521">
            <v>28</v>
          </cell>
          <cell r="D521">
            <v>34912</v>
          </cell>
        </row>
        <row r="522">
          <cell r="C522">
            <v>28.6</v>
          </cell>
          <cell r="D522">
            <v>34943</v>
          </cell>
        </row>
        <row r="523">
          <cell r="C523">
            <v>27.7</v>
          </cell>
          <cell r="D523">
            <v>34973</v>
          </cell>
        </row>
        <row r="524">
          <cell r="C524">
            <v>28</v>
          </cell>
          <cell r="D524">
            <v>35004</v>
          </cell>
        </row>
        <row r="525">
          <cell r="C525">
            <v>27.5</v>
          </cell>
          <cell r="D525">
            <v>35034</v>
          </cell>
        </row>
        <row r="526">
          <cell r="C526">
            <v>27.3</v>
          </cell>
          <cell r="D526">
            <v>35065</v>
          </cell>
        </row>
        <row r="527">
          <cell r="C527">
            <v>27.2</v>
          </cell>
          <cell r="D527">
            <v>35096</v>
          </cell>
        </row>
        <row r="528">
          <cell r="C528">
            <v>27.4</v>
          </cell>
          <cell r="D528">
            <v>35125</v>
          </cell>
        </row>
        <row r="529">
          <cell r="C529">
            <v>27.9</v>
          </cell>
          <cell r="D529">
            <v>35156</v>
          </cell>
        </row>
        <row r="530">
          <cell r="C530">
            <v>27.9</v>
          </cell>
          <cell r="D530">
            <v>35186</v>
          </cell>
        </row>
        <row r="531">
          <cell r="C531">
            <v>28.4</v>
          </cell>
          <cell r="D531">
            <v>35217</v>
          </cell>
        </row>
        <row r="532">
          <cell r="C532">
            <v>28</v>
          </cell>
          <cell r="D532">
            <v>35247</v>
          </cell>
        </row>
        <row r="533">
          <cell r="C533">
            <v>28</v>
          </cell>
          <cell r="D533">
            <v>35278</v>
          </cell>
        </row>
        <row r="534">
          <cell r="C534">
            <v>28</v>
          </cell>
          <cell r="D534">
            <v>35309</v>
          </cell>
        </row>
        <row r="535">
          <cell r="C535">
            <v>27.8</v>
          </cell>
          <cell r="D535">
            <v>35339</v>
          </cell>
        </row>
        <row r="536">
          <cell r="C536">
            <v>27.5</v>
          </cell>
          <cell r="D536">
            <v>35370</v>
          </cell>
        </row>
        <row r="537">
          <cell r="C537">
            <v>26.9</v>
          </cell>
          <cell r="D537">
            <v>35400</v>
          </cell>
        </row>
        <row r="538">
          <cell r="C538">
            <v>26.5</v>
          </cell>
          <cell r="D538">
            <v>35431</v>
          </cell>
        </row>
        <row r="539">
          <cell r="C539">
            <v>27</v>
          </cell>
          <cell r="D539">
            <v>35462</v>
          </cell>
        </row>
        <row r="540">
          <cell r="C540">
            <v>26.4</v>
          </cell>
          <cell r="D540">
            <v>35490</v>
          </cell>
        </row>
        <row r="541">
          <cell r="C541">
            <v>27.2</v>
          </cell>
          <cell r="D541">
            <v>35521</v>
          </cell>
        </row>
        <row r="542">
          <cell r="C542">
            <v>28.2</v>
          </cell>
          <cell r="D542">
            <v>35551</v>
          </cell>
        </row>
        <row r="543">
          <cell r="C543">
            <v>28.1</v>
          </cell>
          <cell r="D543">
            <v>35582</v>
          </cell>
        </row>
        <row r="544">
          <cell r="C544">
            <v>28.4</v>
          </cell>
          <cell r="D544">
            <v>35612</v>
          </cell>
        </row>
        <row r="545">
          <cell r="C545">
            <v>28.6</v>
          </cell>
          <cell r="D545">
            <v>35643</v>
          </cell>
        </row>
        <row r="546">
          <cell r="C546">
            <v>28.5</v>
          </cell>
          <cell r="D546">
            <v>35674</v>
          </cell>
        </row>
        <row r="547">
          <cell r="C547">
            <v>28.5</v>
          </cell>
          <cell r="D547">
            <v>35704</v>
          </cell>
        </row>
        <row r="548">
          <cell r="C548">
            <v>28</v>
          </cell>
          <cell r="D548">
            <v>35735</v>
          </cell>
        </row>
        <row r="549">
          <cell r="C549">
            <v>27.8</v>
          </cell>
          <cell r="D549">
            <v>35765</v>
          </cell>
        </row>
        <row r="550">
          <cell r="C550">
            <v>27.4</v>
          </cell>
          <cell r="D550">
            <v>35796</v>
          </cell>
        </row>
        <row r="551">
          <cell r="C551">
            <v>27.7</v>
          </cell>
          <cell r="D551">
            <v>35827</v>
          </cell>
        </row>
        <row r="552">
          <cell r="C552">
            <v>27.5</v>
          </cell>
          <cell r="D552">
            <v>35855</v>
          </cell>
        </row>
        <row r="553">
          <cell r="C553">
            <v>28.4</v>
          </cell>
          <cell r="D553">
            <v>35886</v>
          </cell>
        </row>
        <row r="554">
          <cell r="C554">
            <v>28.5</v>
          </cell>
          <cell r="D554">
            <v>35916</v>
          </cell>
        </row>
        <row r="555">
          <cell r="C555">
            <v>28.6</v>
          </cell>
          <cell r="D555">
            <v>35947</v>
          </cell>
        </row>
        <row r="556">
          <cell r="C556">
            <v>28.3</v>
          </cell>
          <cell r="D556">
            <v>35977</v>
          </cell>
        </row>
        <row r="557">
          <cell r="C557">
            <v>28.9</v>
          </cell>
          <cell r="D557">
            <v>36008</v>
          </cell>
        </row>
        <row r="558">
          <cell r="C558">
            <v>28.4</v>
          </cell>
          <cell r="D558">
            <v>36039</v>
          </cell>
        </row>
        <row r="559">
          <cell r="C559">
            <v>28.2</v>
          </cell>
          <cell r="D559">
            <v>36069</v>
          </cell>
        </row>
        <row r="560">
          <cell r="C560">
            <v>28</v>
          </cell>
          <cell r="D560">
            <v>36100</v>
          </cell>
        </row>
        <row r="561">
          <cell r="C561">
            <v>27.3</v>
          </cell>
          <cell r="D561">
            <v>36130</v>
          </cell>
        </row>
        <row r="562">
          <cell r="C562">
            <v>26.8</v>
          </cell>
          <cell r="D562">
            <v>36161</v>
          </cell>
        </row>
        <row r="563">
          <cell r="C563">
            <v>26.3</v>
          </cell>
          <cell r="D563">
            <v>36192</v>
          </cell>
        </row>
        <row r="564">
          <cell r="C564">
            <v>27.3</v>
          </cell>
          <cell r="D564">
            <v>36220</v>
          </cell>
        </row>
        <row r="565">
          <cell r="C565">
            <v>27.8</v>
          </cell>
          <cell r="D565">
            <v>36251</v>
          </cell>
        </row>
        <row r="566">
          <cell r="C566">
            <v>28.2</v>
          </cell>
          <cell r="D566">
            <v>36281</v>
          </cell>
        </row>
        <row r="567">
          <cell r="C567">
            <v>28</v>
          </cell>
          <cell r="D567">
            <v>36312</v>
          </cell>
        </row>
        <row r="568">
          <cell r="C568">
            <v>28.1</v>
          </cell>
          <cell r="D568">
            <v>36342</v>
          </cell>
        </row>
        <row r="569">
          <cell r="C569">
            <v>27.6</v>
          </cell>
          <cell r="D569">
            <v>36373</v>
          </cell>
        </row>
        <row r="570">
          <cell r="C570">
            <v>27.4</v>
          </cell>
          <cell r="D570">
            <v>36404</v>
          </cell>
        </row>
        <row r="571">
          <cell r="C571">
            <v>27.2</v>
          </cell>
          <cell r="D571">
            <v>36434</v>
          </cell>
        </row>
        <row r="572">
          <cell r="C572">
            <v>27.4</v>
          </cell>
          <cell r="D572">
            <v>36465</v>
          </cell>
        </row>
        <row r="573">
          <cell r="C573">
            <v>26.8</v>
          </cell>
          <cell r="D573">
            <v>36495</v>
          </cell>
        </row>
        <row r="574">
          <cell r="C574">
            <v>26.1</v>
          </cell>
          <cell r="D574">
            <v>36526</v>
          </cell>
        </row>
        <row r="575">
          <cell r="C575">
            <v>26.3</v>
          </cell>
          <cell r="D575">
            <v>36557</v>
          </cell>
        </row>
        <row r="576">
          <cell r="C576">
            <v>26.4</v>
          </cell>
          <cell r="D576">
            <v>36586</v>
          </cell>
        </row>
        <row r="577">
          <cell r="C577">
            <v>27.3</v>
          </cell>
          <cell r="D577">
            <v>36617</v>
          </cell>
        </row>
        <row r="578">
          <cell r="C578">
            <v>27.9</v>
          </cell>
          <cell r="D578">
            <v>36647</v>
          </cell>
        </row>
        <row r="579">
          <cell r="C579">
            <v>28.1</v>
          </cell>
          <cell r="D579">
            <v>36678</v>
          </cell>
        </row>
        <row r="580">
          <cell r="C580">
            <v>27.8</v>
          </cell>
          <cell r="D580">
            <v>36708</v>
          </cell>
        </row>
        <row r="581">
          <cell r="C581">
            <v>28.2</v>
          </cell>
          <cell r="D581">
            <v>36739</v>
          </cell>
        </row>
        <row r="582">
          <cell r="C582">
            <v>27.7</v>
          </cell>
          <cell r="D582">
            <v>36770</v>
          </cell>
        </row>
        <row r="583">
          <cell r="C583">
            <v>27.8</v>
          </cell>
          <cell r="D583">
            <v>36800</v>
          </cell>
        </row>
        <row r="584">
          <cell r="C584">
            <v>27.7</v>
          </cell>
          <cell r="D584">
            <v>36831</v>
          </cell>
        </row>
        <row r="585">
          <cell r="D585">
            <v>36861</v>
          </cell>
        </row>
        <row r="586">
          <cell r="C586">
            <v>26.9</v>
          </cell>
          <cell r="D586">
            <v>36892</v>
          </cell>
        </row>
        <row r="587">
          <cell r="C587">
            <v>26</v>
          </cell>
          <cell r="D587">
            <v>36923</v>
          </cell>
        </row>
        <row r="588">
          <cell r="C588">
            <v>26.7</v>
          </cell>
          <cell r="D588">
            <v>36951</v>
          </cell>
        </row>
        <row r="589">
          <cell r="C589">
            <v>27.3</v>
          </cell>
          <cell r="D589">
            <v>36982</v>
          </cell>
        </row>
        <row r="590">
          <cell r="C590">
            <v>28</v>
          </cell>
          <cell r="D590">
            <v>37012</v>
          </cell>
        </row>
        <row r="591">
          <cell r="C591">
            <v>28.2</v>
          </cell>
          <cell r="D591">
            <v>37043</v>
          </cell>
        </row>
        <row r="592">
          <cell r="C592">
            <v>28.3</v>
          </cell>
          <cell r="D592">
            <v>37073</v>
          </cell>
        </row>
        <row r="593">
          <cell r="C593">
            <v>28.8</v>
          </cell>
          <cell r="D593">
            <v>37104</v>
          </cell>
        </row>
        <row r="594">
          <cell r="C594">
            <v>28.2</v>
          </cell>
          <cell r="D594">
            <v>37135</v>
          </cell>
        </row>
        <row r="595">
          <cell r="C595">
            <v>28.1</v>
          </cell>
          <cell r="D595">
            <v>37165</v>
          </cell>
        </row>
        <row r="596">
          <cell r="C596">
            <v>28.1</v>
          </cell>
          <cell r="D596">
            <v>37196</v>
          </cell>
        </row>
        <row r="597">
          <cell r="C597">
            <v>27.9</v>
          </cell>
          <cell r="D597">
            <v>37226</v>
          </cell>
        </row>
        <row r="598">
          <cell r="C598">
            <v>27.7</v>
          </cell>
          <cell r="D598">
            <v>37257</v>
          </cell>
        </row>
        <row r="599">
          <cell r="C599">
            <v>26.7</v>
          </cell>
          <cell r="D599">
            <v>37288</v>
          </cell>
        </row>
        <row r="600">
          <cell r="C600">
            <v>27</v>
          </cell>
          <cell r="D600">
            <v>37316</v>
          </cell>
        </row>
        <row r="601">
          <cell r="C601">
            <v>27.7</v>
          </cell>
          <cell r="D601">
            <v>37347</v>
          </cell>
        </row>
        <row r="602">
          <cell r="C602">
            <v>28.5</v>
          </cell>
          <cell r="D602">
            <v>37377</v>
          </cell>
        </row>
        <row r="603">
          <cell r="C603">
            <v>28.7</v>
          </cell>
          <cell r="D603">
            <v>37408</v>
          </cell>
        </row>
        <row r="604">
          <cell r="C604">
            <v>28.4</v>
          </cell>
          <cell r="D604">
            <v>37438</v>
          </cell>
        </row>
        <row r="605">
          <cell r="C605">
            <v>28.8</v>
          </cell>
          <cell r="D605">
            <v>37469</v>
          </cell>
        </row>
        <row r="606">
          <cell r="C606">
            <v>28.5</v>
          </cell>
          <cell r="D606">
            <v>37500</v>
          </cell>
        </row>
        <row r="607">
          <cell r="C607">
            <v>28.4</v>
          </cell>
          <cell r="D607">
            <v>37530</v>
          </cell>
        </row>
        <row r="608">
          <cell r="C608">
            <v>28.3</v>
          </cell>
          <cell r="D608">
            <v>37561</v>
          </cell>
        </row>
        <row r="609">
          <cell r="C609">
            <v>27.9</v>
          </cell>
          <cell r="D609">
            <v>37591</v>
          </cell>
        </row>
        <row r="610">
          <cell r="C610">
            <v>27.3</v>
          </cell>
          <cell r="D610">
            <v>37622</v>
          </cell>
        </row>
        <row r="611">
          <cell r="C611">
            <v>27.4</v>
          </cell>
          <cell r="D611">
            <v>37653</v>
          </cell>
        </row>
        <row r="612">
          <cell r="C612">
            <v>27.5</v>
          </cell>
          <cell r="D612">
            <v>37681</v>
          </cell>
        </row>
        <row r="613">
          <cell r="C613">
            <v>27.9</v>
          </cell>
          <cell r="D613">
            <v>37712</v>
          </cell>
        </row>
        <row r="614">
          <cell r="C614">
            <v>28.7</v>
          </cell>
          <cell r="D614">
            <v>37742</v>
          </cell>
        </row>
        <row r="615">
          <cell r="C615">
            <v>28.3</v>
          </cell>
          <cell r="D615">
            <v>37773</v>
          </cell>
        </row>
        <row r="616">
          <cell r="C616">
            <v>28.2</v>
          </cell>
          <cell r="D616">
            <v>37803</v>
          </cell>
        </row>
        <row r="617">
          <cell r="C617">
            <v>28.4</v>
          </cell>
          <cell r="D617">
            <v>37834</v>
          </cell>
        </row>
        <row r="618">
          <cell r="C618">
            <v>28.6</v>
          </cell>
          <cell r="D618">
            <v>37865</v>
          </cell>
        </row>
        <row r="619">
          <cell r="C619">
            <v>27.9</v>
          </cell>
          <cell r="D619">
            <v>37895</v>
          </cell>
        </row>
        <row r="620">
          <cell r="C620">
            <v>28.3</v>
          </cell>
          <cell r="D620">
            <v>37926</v>
          </cell>
        </row>
        <row r="621">
          <cell r="C621">
            <v>27.8</v>
          </cell>
          <cell r="D621">
            <v>37956</v>
          </cell>
        </row>
        <row r="622">
          <cell r="C622">
            <v>27</v>
          </cell>
          <cell r="D622">
            <v>37987</v>
          </cell>
        </row>
        <row r="623">
          <cell r="C623">
            <v>27.4</v>
          </cell>
          <cell r="D623">
            <v>38018</v>
          </cell>
        </row>
        <row r="624">
          <cell r="C624">
            <v>27.1</v>
          </cell>
          <cell r="D624">
            <v>38047</v>
          </cell>
        </row>
        <row r="625">
          <cell r="C625">
            <v>27.8</v>
          </cell>
          <cell r="D625">
            <v>38078</v>
          </cell>
        </row>
        <row r="626">
          <cell r="C626">
            <v>28.2</v>
          </cell>
          <cell r="D626">
            <v>38108</v>
          </cell>
        </row>
        <row r="627">
          <cell r="C627">
            <v>28.5</v>
          </cell>
          <cell r="D627">
            <v>38139</v>
          </cell>
        </row>
        <row r="628">
          <cell r="C628">
            <v>28.2</v>
          </cell>
          <cell r="D628">
            <v>38169</v>
          </cell>
        </row>
        <row r="629">
          <cell r="C629">
            <v>28.6</v>
          </cell>
          <cell r="D629">
            <v>38200</v>
          </cell>
        </row>
        <row r="630">
          <cell r="C630">
            <v>28.3</v>
          </cell>
          <cell r="D630">
            <v>38231</v>
          </cell>
        </row>
        <row r="631">
          <cell r="C631">
            <v>28</v>
          </cell>
          <cell r="D631">
            <v>38261</v>
          </cell>
        </row>
        <row r="632">
          <cell r="C632">
            <v>27.6</v>
          </cell>
          <cell r="D632">
            <v>38292</v>
          </cell>
        </row>
        <row r="633">
          <cell r="C633">
            <v>27.6</v>
          </cell>
          <cell r="D633">
            <v>38322</v>
          </cell>
        </row>
        <row r="634">
          <cell r="C634">
            <v>27.4</v>
          </cell>
          <cell r="D634">
            <v>38353</v>
          </cell>
        </row>
        <row r="635">
          <cell r="C635">
            <v>27.3</v>
          </cell>
          <cell r="D635">
            <v>38384</v>
          </cell>
        </row>
        <row r="636">
          <cell r="C636">
            <v>28.2</v>
          </cell>
          <cell r="D636">
            <v>38412</v>
          </cell>
        </row>
        <row r="637">
          <cell r="C637">
            <v>28.3</v>
          </cell>
          <cell r="D637">
            <v>38443</v>
          </cell>
        </row>
        <row r="638">
          <cell r="C638">
            <v>28.5</v>
          </cell>
          <cell r="D638">
            <v>38473</v>
          </cell>
        </row>
        <row r="639">
          <cell r="C639">
            <v>28.8</v>
          </cell>
          <cell r="D639">
            <v>38504</v>
          </cell>
        </row>
        <row r="640">
          <cell r="C640">
            <v>28.7</v>
          </cell>
          <cell r="D640">
            <v>38534</v>
          </cell>
        </row>
        <row r="641">
          <cell r="C641">
            <v>28.6</v>
          </cell>
          <cell r="D641">
            <v>38565</v>
          </cell>
        </row>
        <row r="642">
          <cell r="C642">
            <v>28.5</v>
          </cell>
          <cell r="D642">
            <v>38596</v>
          </cell>
        </row>
        <row r="643">
          <cell r="C643">
            <v>27.8</v>
          </cell>
          <cell r="D643">
            <v>38626</v>
          </cell>
        </row>
        <row r="644">
          <cell r="C644">
            <v>28</v>
          </cell>
          <cell r="D644">
            <v>38657</v>
          </cell>
        </row>
        <row r="645">
          <cell r="C645">
            <v>27.5</v>
          </cell>
          <cell r="D645">
            <v>38687</v>
          </cell>
        </row>
        <row r="646">
          <cell r="C646">
            <v>27.2</v>
          </cell>
          <cell r="D646">
            <v>38718</v>
          </cell>
        </row>
        <row r="647">
          <cell r="C647">
            <v>26.8</v>
          </cell>
          <cell r="D647">
            <v>38749</v>
          </cell>
        </row>
        <row r="648">
          <cell r="C648">
            <v>27.1</v>
          </cell>
          <cell r="D648">
            <v>38777</v>
          </cell>
        </row>
        <row r="649">
          <cell r="C649">
            <v>27.6</v>
          </cell>
          <cell r="D649">
            <v>38808</v>
          </cell>
        </row>
        <row r="650">
          <cell r="C650">
            <v>28.3</v>
          </cell>
          <cell r="D650">
            <v>38838</v>
          </cell>
        </row>
        <row r="651">
          <cell r="C651">
            <v>28.5</v>
          </cell>
          <cell r="D651">
            <v>38869</v>
          </cell>
        </row>
        <row r="652">
          <cell r="C652">
            <v>28.6</v>
          </cell>
          <cell r="D652">
            <v>38899</v>
          </cell>
        </row>
        <row r="653">
          <cell r="C653">
            <v>28.7</v>
          </cell>
          <cell r="D653">
            <v>38930</v>
          </cell>
        </row>
        <row r="654">
          <cell r="C654">
            <v>28.5</v>
          </cell>
          <cell r="D654">
            <v>38961</v>
          </cell>
        </row>
        <row r="655">
          <cell r="C655">
            <v>28.4</v>
          </cell>
          <cell r="D655">
            <v>38991</v>
          </cell>
        </row>
        <row r="656">
          <cell r="C656">
            <v>28.2</v>
          </cell>
          <cell r="D656">
            <v>39022</v>
          </cell>
        </row>
        <row r="657">
          <cell r="C657">
            <v>27.8</v>
          </cell>
          <cell r="D657">
            <v>39052</v>
          </cell>
        </row>
        <row r="658">
          <cell r="C658">
            <v>26.9</v>
          </cell>
          <cell r="D658">
            <v>39083</v>
          </cell>
        </row>
        <row r="659">
          <cell r="C659">
            <v>27.1</v>
          </cell>
          <cell r="D659">
            <v>39114</v>
          </cell>
        </row>
        <row r="660">
          <cell r="C660">
            <v>27.4</v>
          </cell>
          <cell r="D660">
            <v>39142</v>
          </cell>
        </row>
        <row r="661">
          <cell r="C661">
            <v>27.8</v>
          </cell>
          <cell r="D661">
            <v>39173</v>
          </cell>
        </row>
        <row r="662">
          <cell r="C662">
            <v>27.9</v>
          </cell>
          <cell r="D662">
            <v>39203</v>
          </cell>
        </row>
        <row r="663">
          <cell r="C663">
            <v>28.7</v>
          </cell>
          <cell r="D663">
            <v>39234</v>
          </cell>
        </row>
        <row r="664">
          <cell r="C664">
            <v>28.4</v>
          </cell>
          <cell r="D664">
            <v>39264</v>
          </cell>
        </row>
        <row r="665">
          <cell r="C665">
            <v>27.8</v>
          </cell>
          <cell r="D665">
            <v>39295</v>
          </cell>
        </row>
        <row r="666">
          <cell r="C666">
            <v>28</v>
          </cell>
          <cell r="D666">
            <v>39326</v>
          </cell>
        </row>
        <row r="667">
          <cell r="C667">
            <v>27.5</v>
          </cell>
          <cell r="D667">
            <v>39356</v>
          </cell>
        </row>
        <row r="668">
          <cell r="C668">
            <v>28.2</v>
          </cell>
          <cell r="D668">
            <v>39387</v>
          </cell>
        </row>
        <row r="669">
          <cell r="C669">
            <v>27.6</v>
          </cell>
          <cell r="D669">
            <v>39417</v>
          </cell>
        </row>
        <row r="670">
          <cell r="C670">
            <v>27</v>
          </cell>
          <cell r="D670">
            <v>39448</v>
          </cell>
        </row>
        <row r="671">
          <cell r="C671">
            <v>26.9</v>
          </cell>
          <cell r="D671">
            <v>39479</v>
          </cell>
        </row>
        <row r="672">
          <cell r="C672">
            <v>27</v>
          </cell>
          <cell r="D672">
            <v>39508</v>
          </cell>
        </row>
        <row r="673">
          <cell r="C673">
            <v>27.7</v>
          </cell>
          <cell r="D673">
            <v>39539</v>
          </cell>
        </row>
        <row r="674">
          <cell r="C674">
            <v>28</v>
          </cell>
          <cell r="D674">
            <v>39569</v>
          </cell>
        </row>
        <row r="675">
          <cell r="C675">
            <v>28.2</v>
          </cell>
          <cell r="D675">
            <v>39600</v>
          </cell>
        </row>
        <row r="676">
          <cell r="C676">
            <v>28</v>
          </cell>
          <cell r="D676">
            <v>39630</v>
          </cell>
        </row>
        <row r="677">
          <cell r="C677">
            <v>27.8</v>
          </cell>
          <cell r="D677">
            <v>39661</v>
          </cell>
        </row>
        <row r="678">
          <cell r="C678">
            <v>28.2</v>
          </cell>
          <cell r="D678">
            <v>39692</v>
          </cell>
        </row>
        <row r="679">
          <cell r="C679">
            <v>28</v>
          </cell>
          <cell r="D679">
            <v>39722</v>
          </cell>
        </row>
        <row r="680">
          <cell r="C680">
            <v>27.7</v>
          </cell>
          <cell r="D680">
            <v>39753</v>
          </cell>
        </row>
        <row r="681">
          <cell r="C681">
            <v>27.1</v>
          </cell>
          <cell r="D681">
            <v>39783</v>
          </cell>
        </row>
        <row r="682">
          <cell r="C682">
            <v>26.7</v>
          </cell>
          <cell r="D682">
            <v>39814</v>
          </cell>
        </row>
        <row r="683">
          <cell r="C683">
            <v>27</v>
          </cell>
          <cell r="D683">
            <v>39845</v>
          </cell>
        </row>
        <row r="684">
          <cell r="C684">
            <v>27.4</v>
          </cell>
          <cell r="D684">
            <v>39873</v>
          </cell>
        </row>
        <row r="685">
          <cell r="C685">
            <v>28</v>
          </cell>
          <cell r="D685">
            <v>39904</v>
          </cell>
        </row>
        <row r="686">
          <cell r="C686">
            <v>28.7</v>
          </cell>
          <cell r="D686">
            <v>39934</v>
          </cell>
        </row>
        <row r="687">
          <cell r="C687">
            <v>28.6</v>
          </cell>
          <cell r="D687">
            <v>39965</v>
          </cell>
        </row>
        <row r="688">
          <cell r="C688">
            <v>28.8</v>
          </cell>
          <cell r="D688">
            <v>39995</v>
          </cell>
        </row>
        <row r="689">
          <cell r="C689">
            <v>28.6</v>
          </cell>
          <cell r="D689">
            <v>40026</v>
          </cell>
        </row>
        <row r="690">
          <cell r="C690">
            <v>29</v>
          </cell>
          <cell r="D690">
            <v>40057</v>
          </cell>
        </row>
        <row r="691">
          <cell r="C691">
            <v>28.3</v>
          </cell>
          <cell r="D691">
            <v>40087</v>
          </cell>
        </row>
        <row r="692">
          <cell r="C692">
            <v>28.5</v>
          </cell>
          <cell r="D692">
            <v>40118</v>
          </cell>
        </row>
        <row r="693">
          <cell r="C693">
            <v>28.4</v>
          </cell>
          <cell r="D693">
            <v>40148</v>
          </cell>
        </row>
        <row r="694">
          <cell r="C694">
            <v>27.9</v>
          </cell>
          <cell r="D694">
            <v>40179</v>
          </cell>
        </row>
        <row r="695">
          <cell r="C695">
            <v>28</v>
          </cell>
          <cell r="D695">
            <v>40210</v>
          </cell>
        </row>
        <row r="696">
          <cell r="C696">
            <v>28.6</v>
          </cell>
          <cell r="D696">
            <v>40238</v>
          </cell>
        </row>
        <row r="697">
          <cell r="C697">
            <v>28.8</v>
          </cell>
          <cell r="D697">
            <v>40269</v>
          </cell>
        </row>
        <row r="698">
          <cell r="C698">
            <v>29</v>
          </cell>
          <cell r="D698">
            <v>40299</v>
          </cell>
        </row>
        <row r="699">
          <cell r="C699">
            <v>28.7</v>
          </cell>
          <cell r="D699">
            <v>40330</v>
          </cell>
        </row>
        <row r="700">
          <cell r="C700">
            <v>28.1</v>
          </cell>
          <cell r="D700">
            <v>40360</v>
          </cell>
        </row>
        <row r="701">
          <cell r="C701">
            <v>28.1</v>
          </cell>
          <cell r="D701">
            <v>40391</v>
          </cell>
        </row>
        <row r="702">
          <cell r="C702">
            <v>28.2</v>
          </cell>
          <cell r="D702">
            <v>40422</v>
          </cell>
        </row>
        <row r="703">
          <cell r="C703">
            <v>27.9</v>
          </cell>
          <cell r="D703">
            <v>40452</v>
          </cell>
        </row>
        <row r="704">
          <cell r="C704">
            <v>27.1</v>
          </cell>
          <cell r="D704">
            <v>40483</v>
          </cell>
        </row>
        <row r="705">
          <cell r="C705">
            <v>27.2</v>
          </cell>
          <cell r="D705">
            <v>40513</v>
          </cell>
        </row>
        <row r="706">
          <cell r="D706">
            <v>40544</v>
          </cell>
        </row>
        <row r="707">
          <cell r="C707">
            <v>27.1</v>
          </cell>
          <cell r="D707">
            <v>40575</v>
          </cell>
        </row>
        <row r="708">
          <cell r="C708">
            <v>27.3</v>
          </cell>
          <cell r="D708">
            <v>40603</v>
          </cell>
        </row>
        <row r="709">
          <cell r="C709">
            <v>28</v>
          </cell>
          <cell r="D709">
            <v>40634</v>
          </cell>
        </row>
        <row r="710">
          <cell r="C710">
            <v>28.3</v>
          </cell>
          <cell r="D710">
            <v>40664</v>
          </cell>
        </row>
        <row r="711">
          <cell r="C711">
            <v>28.6</v>
          </cell>
          <cell r="D711">
            <v>40695</v>
          </cell>
        </row>
        <row r="712">
          <cell r="C712">
            <v>28.1</v>
          </cell>
          <cell r="D712">
            <v>40725</v>
          </cell>
        </row>
        <row r="713">
          <cell r="C713">
            <v>28.1</v>
          </cell>
          <cell r="D713">
            <v>40756</v>
          </cell>
        </row>
        <row r="714">
          <cell r="C714">
            <v>28.2</v>
          </cell>
          <cell r="D714">
            <v>40787</v>
          </cell>
        </row>
        <row r="715">
          <cell r="C715">
            <v>27.3</v>
          </cell>
          <cell r="D715">
            <v>40817</v>
          </cell>
        </row>
        <row r="716">
          <cell r="C716">
            <v>27.3</v>
          </cell>
          <cell r="D716">
            <v>40848</v>
          </cell>
        </row>
        <row r="717">
          <cell r="C717">
            <v>27.1</v>
          </cell>
          <cell r="D717">
            <v>40878</v>
          </cell>
        </row>
        <row r="718">
          <cell r="C718">
            <v>26.9</v>
          </cell>
          <cell r="D718">
            <v>40909</v>
          </cell>
        </row>
        <row r="719">
          <cell r="C719">
            <v>26.7</v>
          </cell>
          <cell r="D719">
            <v>40940</v>
          </cell>
        </row>
        <row r="720">
          <cell r="C720">
            <v>27.4</v>
          </cell>
          <cell r="D720">
            <v>40969</v>
          </cell>
        </row>
        <row r="721">
          <cell r="C721">
            <v>28</v>
          </cell>
          <cell r="D721">
            <v>41000</v>
          </cell>
        </row>
        <row r="722">
          <cell r="C722">
            <v>28.9</v>
          </cell>
          <cell r="D722">
            <v>41030</v>
          </cell>
        </row>
        <row r="723">
          <cell r="C723">
            <v>29</v>
          </cell>
          <cell r="D723">
            <v>41061</v>
          </cell>
        </row>
        <row r="724">
          <cell r="C724">
            <v>28.9</v>
          </cell>
          <cell r="D724">
            <v>41091</v>
          </cell>
        </row>
        <row r="725">
          <cell r="C725">
            <v>28.4</v>
          </cell>
          <cell r="D725">
            <v>41122</v>
          </cell>
        </row>
        <row r="726">
          <cell r="C726">
            <v>28.9</v>
          </cell>
          <cell r="D726">
            <v>41153</v>
          </cell>
        </row>
        <row r="727">
          <cell r="D727">
            <v>41183</v>
          </cell>
        </row>
        <row r="728">
          <cell r="D728">
            <v>41214</v>
          </cell>
        </row>
        <row r="729">
          <cell r="D729">
            <v>41244</v>
          </cell>
        </row>
        <row r="730">
          <cell r="C730">
            <v>27</v>
          </cell>
          <cell r="D730">
            <v>41275</v>
          </cell>
        </row>
        <row r="731">
          <cell r="C731">
            <v>27.2</v>
          </cell>
          <cell r="D731">
            <v>41306</v>
          </cell>
        </row>
        <row r="732">
          <cell r="C732">
            <v>28.1</v>
          </cell>
          <cell r="D732">
            <v>41334</v>
          </cell>
        </row>
        <row r="733">
          <cell r="C733">
            <v>28.3</v>
          </cell>
          <cell r="D733">
            <v>41365</v>
          </cell>
        </row>
        <row r="734">
          <cell r="C734">
            <v>28.1</v>
          </cell>
          <cell r="D734">
            <v>41395</v>
          </cell>
        </row>
        <row r="735">
          <cell r="C735">
            <v>28.8</v>
          </cell>
          <cell r="D735">
            <v>41426</v>
          </cell>
        </row>
        <row r="736">
          <cell r="C736">
            <v>28.3</v>
          </cell>
          <cell r="D736">
            <v>41456</v>
          </cell>
        </row>
        <row r="737">
          <cell r="C737">
            <v>28.2</v>
          </cell>
          <cell r="D737">
            <v>41487</v>
          </cell>
        </row>
        <row r="738">
          <cell r="C738">
            <v>28.3</v>
          </cell>
          <cell r="D738">
            <v>41518</v>
          </cell>
        </row>
        <row r="739">
          <cell r="C739">
            <v>28.4</v>
          </cell>
          <cell r="D739">
            <v>41548</v>
          </cell>
        </row>
        <row r="740">
          <cell r="C740">
            <v>28.8</v>
          </cell>
          <cell r="D740">
            <v>41579</v>
          </cell>
        </row>
        <row r="741">
          <cell r="C741">
            <v>28.8</v>
          </cell>
          <cell r="D741">
            <v>41609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-Wedge"/>
      <sheetName val="Var-Cor"/>
      <sheetName val="Var-Sag"/>
      <sheetName val="VarRates"/>
      <sheetName val="VarRates-match"/>
      <sheetName val="MonthlyRates"/>
      <sheetName val="Disepimentos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Densidad</v>
          </cell>
          <cell r="C1" t="str">
            <v>Extension</v>
          </cell>
          <cell r="D1" t="str">
            <v>Calcificacion</v>
          </cell>
        </row>
        <row r="2">
          <cell r="A2">
            <v>2015</v>
          </cell>
          <cell r="B2">
            <v>1.0125992706391531</v>
          </cell>
          <cell r="C2">
            <v>0.73838500000000062</v>
          </cell>
          <cell r="D2">
            <v>0.74769124603587001</v>
          </cell>
          <cell r="L2">
            <v>2015</v>
          </cell>
          <cell r="M2">
            <v>28.423099541666669</v>
          </cell>
        </row>
        <row r="3">
          <cell r="A3">
            <v>2014</v>
          </cell>
          <cell r="B3">
            <v>0.70969203905973333</v>
          </cell>
          <cell r="C3">
            <v>0.98448000000000069</v>
          </cell>
          <cell r="D3">
            <v>0.72911794367672156</v>
          </cell>
          <cell r="L3">
            <v>2014</v>
          </cell>
          <cell r="M3">
            <v>28.351277749999994</v>
          </cell>
        </row>
        <row r="4">
          <cell r="A4">
            <v>2013</v>
          </cell>
          <cell r="B4">
            <v>0.79106191531897641</v>
          </cell>
          <cell r="C4">
            <v>0.55374999999999885</v>
          </cell>
          <cell r="D4">
            <v>0.43686880931474409</v>
          </cell>
          <cell r="L4">
            <v>2013</v>
          </cell>
          <cell r="M4">
            <v>28.37731610416667</v>
          </cell>
        </row>
        <row r="5">
          <cell r="A5">
            <v>2012</v>
          </cell>
          <cell r="B5">
            <v>0.87570355164583891</v>
          </cell>
          <cell r="C5">
            <v>0.6768499999999984</v>
          </cell>
          <cell r="D5">
            <v>0.59760797188018988</v>
          </cell>
          <cell r="L5">
            <v>2012</v>
          </cell>
          <cell r="M5">
            <v>28.302105500000007</v>
          </cell>
        </row>
        <row r="6">
          <cell r="A6">
            <v>2011</v>
          </cell>
          <cell r="B6">
            <v>1.1571420690941947</v>
          </cell>
          <cell r="C6">
            <v>0.70761999999999947</v>
          </cell>
          <cell r="D6">
            <v>0.85115901872641309</v>
          </cell>
          <cell r="L6">
            <v>2011</v>
          </cell>
          <cell r="M6">
            <v>28.453210916666666</v>
          </cell>
        </row>
        <row r="7">
          <cell r="A7">
            <v>2010</v>
          </cell>
          <cell r="B7">
            <v>0.800878820130699</v>
          </cell>
          <cell r="C7">
            <v>0.76912999999999876</v>
          </cell>
          <cell r="D7">
            <v>0.61447358754057646</v>
          </cell>
          <cell r="L7">
            <v>2010</v>
          </cell>
          <cell r="M7">
            <v>28.770052250000006</v>
          </cell>
        </row>
        <row r="8">
          <cell r="A8">
            <v>2009</v>
          </cell>
          <cell r="B8">
            <v>0.76428239312599699</v>
          </cell>
          <cell r="C8">
            <v>0.76911499999999844</v>
          </cell>
          <cell r="D8">
            <v>0.58352026927277212</v>
          </cell>
          <cell r="L8">
            <v>2009</v>
          </cell>
          <cell r="M8">
            <v>28.164556312499993</v>
          </cell>
        </row>
        <row r="9">
          <cell r="A9">
            <v>2008</v>
          </cell>
          <cell r="B9">
            <v>0.69483669452694241</v>
          </cell>
          <cell r="C9">
            <v>0.55380000000000251</v>
          </cell>
          <cell r="D9">
            <v>0.3861398246573936</v>
          </cell>
          <cell r="L9">
            <v>2008</v>
          </cell>
          <cell r="M9">
            <v>28.190106104166663</v>
          </cell>
        </row>
        <row r="10">
          <cell r="A10">
            <v>2007</v>
          </cell>
          <cell r="B10">
            <v>0.6976166506065884</v>
          </cell>
          <cell r="C10">
            <v>0.98450000000000237</v>
          </cell>
          <cell r="D10">
            <v>0.68999357550681195</v>
          </cell>
          <cell r="L10">
            <v>2007</v>
          </cell>
          <cell r="M10">
            <v>28.263913000000002</v>
          </cell>
        </row>
        <row r="11">
          <cell r="A11">
            <v>2006</v>
          </cell>
          <cell r="B11">
            <v>0.80800203012841554</v>
          </cell>
          <cell r="C11">
            <v>0.7383650000000026</v>
          </cell>
          <cell r="D11">
            <v>0.60450574529205836</v>
          </cell>
          <cell r="L11">
            <v>2006</v>
          </cell>
          <cell r="M11">
            <v>28.389604145833335</v>
          </cell>
        </row>
        <row r="12">
          <cell r="A12">
            <v>2005</v>
          </cell>
          <cell r="B12">
            <v>0.77179205309270993</v>
          </cell>
          <cell r="C12">
            <v>1.230590000000003</v>
          </cell>
          <cell r="D12">
            <v>0.89528306928747248</v>
          </cell>
          <cell r="L12">
            <v>2005</v>
          </cell>
          <cell r="M12">
            <v>28.563888562499997</v>
          </cell>
        </row>
        <row r="13">
          <cell r="A13">
            <v>2004</v>
          </cell>
          <cell r="B13">
            <v>0.66640379250559534</v>
          </cell>
          <cell r="C13">
            <v>0.64607000000000259</v>
          </cell>
          <cell r="D13">
            <v>0.41388145793266212</v>
          </cell>
          <cell r="L13">
            <v>2004</v>
          </cell>
          <cell r="M13">
            <v>28.309538416666658</v>
          </cell>
        </row>
        <row r="14">
          <cell r="A14">
            <v>2003</v>
          </cell>
          <cell r="B14">
            <v>0.57355839221412375</v>
          </cell>
          <cell r="C14">
            <v>0.86145500000000386</v>
          </cell>
          <cell r="D14">
            <v>0.48394386405730438</v>
          </cell>
          <cell r="L14">
            <v>2003</v>
          </cell>
          <cell r="M14">
            <v>28.338822208333337</v>
          </cell>
        </row>
        <row r="15">
          <cell r="A15">
            <v>2002</v>
          </cell>
          <cell r="B15">
            <v>0.63824346727065517</v>
          </cell>
          <cell r="C15">
            <v>1.1075500000000051</v>
          </cell>
          <cell r="D15">
            <v>0.68993728343819227</v>
          </cell>
          <cell r="L15">
            <v>2002</v>
          </cell>
          <cell r="M15">
            <v>28.139796520833332</v>
          </cell>
        </row>
        <row r="16">
          <cell r="A16">
            <v>2001</v>
          </cell>
          <cell r="B16">
            <v>0.55921950833705458</v>
          </cell>
          <cell r="C16">
            <v>0.83064500000000319</v>
          </cell>
          <cell r="D16">
            <v>0.46487505860880418</v>
          </cell>
          <cell r="L16">
            <v>2001</v>
          </cell>
          <cell r="M16">
            <v>28.095453333333328</v>
          </cell>
        </row>
        <row r="17">
          <cell r="A17">
            <v>2000</v>
          </cell>
          <cell r="B17">
            <v>0.7458976377903157</v>
          </cell>
          <cell r="C17">
            <v>0.83066499999999621</v>
          </cell>
          <cell r="D17">
            <v>0.60869180207901241</v>
          </cell>
          <cell r="L17">
            <v>2000</v>
          </cell>
          <cell r="M17">
            <v>27.996726958333337</v>
          </cell>
        </row>
        <row r="18">
          <cell r="A18">
            <v>1999</v>
          </cell>
          <cell r="B18">
            <v>0.76988592132089084</v>
          </cell>
          <cell r="C18">
            <v>1.0459999999999905</v>
          </cell>
          <cell r="D18">
            <v>0.79896581383635323</v>
          </cell>
          <cell r="L18">
            <v>1999</v>
          </cell>
          <cell r="M18">
            <v>28.098379645833329</v>
          </cell>
        </row>
        <row r="19">
          <cell r="A19">
            <v>1998</v>
          </cell>
          <cell r="B19">
            <v>0.88970843637835006</v>
          </cell>
          <cell r="C19">
            <v>0.67684999999999462</v>
          </cell>
          <cell r="D19">
            <v>0.61555175104352811</v>
          </cell>
          <cell r="L19">
            <v>1998</v>
          </cell>
          <cell r="M19">
            <v>28.548408229166679</v>
          </cell>
        </row>
        <row r="20">
          <cell r="A20">
            <v>1997</v>
          </cell>
          <cell r="B20">
            <v>0.92425463709827382</v>
          </cell>
          <cell r="C20">
            <v>0.86143499999999129</v>
          </cell>
          <cell r="D20">
            <v>0.74016234589913432</v>
          </cell>
          <cell r="L20">
            <v>1997</v>
          </cell>
          <cell r="M20">
            <v>28.206131187500006</v>
          </cell>
        </row>
        <row r="21">
          <cell r="A21">
            <v>1996</v>
          </cell>
          <cell r="B21">
            <v>0.93248217281424917</v>
          </cell>
          <cell r="C21">
            <v>0.79991499999999505</v>
          </cell>
          <cell r="D21">
            <v>0.7515839672923621</v>
          </cell>
          <cell r="L21">
            <v>1996</v>
          </cell>
          <cell r="M21">
            <v>28.202881958333332</v>
          </cell>
        </row>
        <row r="22">
          <cell r="A22">
            <v>1995</v>
          </cell>
          <cell r="B22">
            <v>0.89821092981784645</v>
          </cell>
          <cell r="C22">
            <v>0.92292999999999559</v>
          </cell>
          <cell r="D22">
            <v>0.83918389470895627</v>
          </cell>
          <cell r="L22">
            <v>1995</v>
          </cell>
          <cell r="M22">
            <v>28.358498166666667</v>
          </cell>
        </row>
        <row r="23">
          <cell r="A23">
            <v>1994</v>
          </cell>
          <cell r="B23">
            <v>0.83442382931871206</v>
          </cell>
          <cell r="C23">
            <v>0.76916499999999211</v>
          </cell>
          <cell r="D23">
            <v>0.63748879392704572</v>
          </cell>
          <cell r="L23">
            <v>1994</v>
          </cell>
          <cell r="M23">
            <v>27.9955560625</v>
          </cell>
        </row>
        <row r="24">
          <cell r="A24">
            <v>1993</v>
          </cell>
          <cell r="B24">
            <v>0.7951994346568938</v>
          </cell>
          <cell r="C24">
            <v>0.89219499999999385</v>
          </cell>
          <cell r="D24">
            <v>0.69254222979469859</v>
          </cell>
          <cell r="L24">
            <v>1993</v>
          </cell>
          <cell r="M24">
            <v>28.183268833333344</v>
          </cell>
        </row>
        <row r="25">
          <cell r="A25">
            <v>1992</v>
          </cell>
          <cell r="B25">
            <v>0.73397240666837393</v>
          </cell>
          <cell r="C25">
            <v>1.3229049999999933</v>
          </cell>
          <cell r="D25">
            <v>0.95252981733793385</v>
          </cell>
          <cell r="L25">
            <v>1992</v>
          </cell>
          <cell r="M25">
            <v>27.968899645833332</v>
          </cell>
        </row>
        <row r="26">
          <cell r="A26">
            <v>1991</v>
          </cell>
          <cell r="B26">
            <v>0.67807066578332076</v>
          </cell>
          <cell r="C26">
            <v>0.64604499999999376</v>
          </cell>
          <cell r="D26">
            <v>0.4179670843583041</v>
          </cell>
          <cell r="L26">
            <v>1991</v>
          </cell>
          <cell r="M26">
            <v>27.845612479166661</v>
          </cell>
        </row>
        <row r="27">
          <cell r="A27">
            <v>1990</v>
          </cell>
          <cell r="B27">
            <v>0.71726364179987789</v>
          </cell>
          <cell r="C27">
            <v>0.76912499999999184</v>
          </cell>
          <cell r="D27">
            <v>0.54206162644762446</v>
          </cell>
          <cell r="L27">
            <v>1990</v>
          </cell>
          <cell r="M27">
            <v>28.003563854166668</v>
          </cell>
        </row>
        <row r="28">
          <cell r="A28">
            <v>1989</v>
          </cell>
          <cell r="B28">
            <v>0.73716266196337643</v>
          </cell>
          <cell r="C28">
            <v>1.0768049999999931</v>
          </cell>
          <cell r="D28">
            <v>0.79402770664940436</v>
          </cell>
          <cell r="L28">
            <v>1989</v>
          </cell>
          <cell r="M28">
            <v>27.706958854166661</v>
          </cell>
        </row>
        <row r="29">
          <cell r="A29">
            <v>1988</v>
          </cell>
          <cell r="B29">
            <v>0.75722308165373586</v>
          </cell>
          <cell r="C29">
            <v>1.0152549999999927</v>
          </cell>
          <cell r="D29">
            <v>0.76925528541902533</v>
          </cell>
          <cell r="L29">
            <v>1988</v>
          </cell>
          <cell r="M29">
            <v>28.134612124999993</v>
          </cell>
        </row>
        <row r="30">
          <cell r="A30">
            <v>1987</v>
          </cell>
          <cell r="B30">
            <v>0.66275702259992308</v>
          </cell>
          <cell r="C30">
            <v>0.98450999999999134</v>
          </cell>
          <cell r="D30">
            <v>0.63683172569335844</v>
          </cell>
          <cell r="L30">
            <v>1987</v>
          </cell>
          <cell r="M30">
            <v>28.304472583333325</v>
          </cell>
        </row>
        <row r="31">
          <cell r="A31">
            <v>1986</v>
          </cell>
          <cell r="B31">
            <v>0.78319910724484387</v>
          </cell>
          <cell r="C31">
            <v>1.3228849999999941</v>
          </cell>
          <cell r="D31">
            <v>1.0434160876062517</v>
          </cell>
          <cell r="L31">
            <v>1986</v>
          </cell>
          <cell r="M31">
            <v>27.657292895833347</v>
          </cell>
        </row>
        <row r="32">
          <cell r="A32">
            <v>1985</v>
          </cell>
          <cell r="B32">
            <v>0.80699207711055865</v>
          </cell>
          <cell r="C32">
            <v>0.86142999999999503</v>
          </cell>
          <cell r="D32">
            <v>0.703406215282397</v>
          </cell>
          <cell r="L32">
            <v>1985</v>
          </cell>
          <cell r="M32">
            <v>27.53784960416667</v>
          </cell>
        </row>
        <row r="33">
          <cell r="A33">
            <v>1984</v>
          </cell>
          <cell r="B33">
            <v>0.767450460620835</v>
          </cell>
          <cell r="C33">
            <v>1.0767849999999886</v>
          </cell>
          <cell r="D33">
            <v>0.82951931499231246</v>
          </cell>
          <cell r="L33">
            <v>1984</v>
          </cell>
          <cell r="M33">
            <v>27.799449333333332</v>
          </cell>
        </row>
        <row r="34">
          <cell r="A34">
            <v>1983</v>
          </cell>
          <cell r="B34">
            <v>0.66536298599220101</v>
          </cell>
          <cell r="C34">
            <v>1.3228949999999919</v>
          </cell>
          <cell r="D34">
            <v>0.88282402665577842</v>
          </cell>
          <cell r="L34">
            <v>1983</v>
          </cell>
          <cell r="M34">
            <v>28.243803999999994</v>
          </cell>
        </row>
        <row r="35">
          <cell r="A35">
            <v>1982</v>
          </cell>
          <cell r="B35">
            <v>0.66076015791343479</v>
          </cell>
          <cell r="C35">
            <v>0.89219499999999385</v>
          </cell>
          <cell r="D35">
            <v>0.58965696231728137</v>
          </cell>
          <cell r="L35">
            <v>1982</v>
          </cell>
          <cell r="M35">
            <v>27.910599041666671</v>
          </cell>
        </row>
        <row r="36">
          <cell r="A36">
            <v>1981</v>
          </cell>
          <cell r="B36">
            <v>0.67817969424034652</v>
          </cell>
          <cell r="C36">
            <v>1.1998449999999909</v>
          </cell>
          <cell r="D36">
            <v>0.78488313733350923</v>
          </cell>
          <cell r="L36">
            <v>1981</v>
          </cell>
          <cell r="M36">
            <v>28.190505104166665</v>
          </cell>
        </row>
        <row r="37">
          <cell r="A37">
            <v>1980</v>
          </cell>
          <cell r="B37">
            <v>0.62270223021697901</v>
          </cell>
          <cell r="C37">
            <v>0.98448999999999209</v>
          </cell>
          <cell r="D37">
            <v>0.61304392582567535</v>
          </cell>
          <cell r="L37">
            <v>1980</v>
          </cell>
          <cell r="M37">
            <v>28.085189812500008</v>
          </cell>
        </row>
        <row r="38">
          <cell r="A38">
            <v>1979</v>
          </cell>
          <cell r="B38">
            <v>0.94102333078191425</v>
          </cell>
          <cell r="C38">
            <v>0.7999299999999927</v>
          </cell>
          <cell r="D38">
            <v>0.74575634970463023</v>
          </cell>
          <cell r="L38">
            <v>1979</v>
          </cell>
          <cell r="M38">
            <v>28.039692041666665</v>
          </cell>
        </row>
        <row r="39">
          <cell r="A39">
            <v>1978</v>
          </cell>
          <cell r="B39">
            <v>0.58396358572640739</v>
          </cell>
          <cell r="C39">
            <v>0.86122499999999746</v>
          </cell>
          <cell r="D39">
            <v>0.50061300155262867</v>
          </cell>
          <cell r="L39">
            <v>1978</v>
          </cell>
          <cell r="M39">
            <v>28.00674589583333</v>
          </cell>
        </row>
        <row r="40">
          <cell r="A40">
            <v>1977</v>
          </cell>
          <cell r="B40">
            <v>0.6949071979868533</v>
          </cell>
          <cell r="C40">
            <v>0.92271000000000214</v>
          </cell>
          <cell r="D40">
            <v>0.63740937276119392</v>
          </cell>
          <cell r="L40">
            <v>1977</v>
          </cell>
          <cell r="M40">
            <v>27.848811729166666</v>
          </cell>
        </row>
        <row r="41">
          <cell r="A41">
            <v>1976</v>
          </cell>
          <cell r="B41">
            <v>0.58990273393689596</v>
          </cell>
          <cell r="C41">
            <v>0.76897499999999752</v>
          </cell>
          <cell r="D41">
            <v>0.45169534367231928</v>
          </cell>
          <cell r="L41">
            <v>1976</v>
          </cell>
          <cell r="M41">
            <v>27.593948624999999</v>
          </cell>
        </row>
        <row r="42">
          <cell r="A42">
            <v>1975</v>
          </cell>
          <cell r="B42">
            <v>0.66688544810036199</v>
          </cell>
          <cell r="C42">
            <v>1.0149749999999997</v>
          </cell>
          <cell r="D42">
            <v>0.6817840371234688</v>
          </cell>
          <cell r="L42">
            <v>1975</v>
          </cell>
          <cell r="M42">
            <v>27.617070500000001</v>
          </cell>
        </row>
        <row r="43">
          <cell r="A43">
            <v>1974</v>
          </cell>
          <cell r="B43">
            <v>0.63046331522771881</v>
          </cell>
          <cell r="C43">
            <v>0.79968000000000217</v>
          </cell>
          <cell r="D43">
            <v>0.50356561583088877</v>
          </cell>
          <cell r="L43">
            <v>1974</v>
          </cell>
          <cell r="M43">
            <v>27.655980875000008</v>
          </cell>
        </row>
        <row r="44">
          <cell r="A44">
            <v>1973</v>
          </cell>
          <cell r="B44">
            <v>0.71200347713312007</v>
          </cell>
          <cell r="C44">
            <v>0.98422499999999857</v>
          </cell>
          <cell r="D44">
            <v>0.69673135474760839</v>
          </cell>
          <cell r="L44">
            <v>1973</v>
          </cell>
          <cell r="M44">
            <v>28.098266416666675</v>
          </cell>
        </row>
        <row r="45">
          <cell r="A45">
            <v>1972</v>
          </cell>
          <cell r="B45">
            <v>0.75856741738393207</v>
          </cell>
          <cell r="C45">
            <v>0.86119500000000215</v>
          </cell>
          <cell r="D45">
            <v>0.65343001643443488</v>
          </cell>
          <cell r="L45">
            <v>1972</v>
          </cell>
          <cell r="M45">
            <v>27.925443666666663</v>
          </cell>
        </row>
        <row r="46">
          <cell r="A46">
            <v>1971</v>
          </cell>
          <cell r="B46">
            <v>0.75128274208852364</v>
          </cell>
          <cell r="C46">
            <v>0.86118000000000094</v>
          </cell>
          <cell r="D46">
            <v>0.66326874486604059</v>
          </cell>
          <cell r="L46">
            <v>1971</v>
          </cell>
          <cell r="M46">
            <v>27.747976750000003</v>
          </cell>
        </row>
        <row r="47">
          <cell r="A47">
            <v>1970</v>
          </cell>
          <cell r="B47">
            <v>0.99569462095956263</v>
          </cell>
          <cell r="C47">
            <v>1.0149450000000044</v>
          </cell>
          <cell r="D47">
            <v>1.023181335455865</v>
          </cell>
          <cell r="L47">
            <v>1970</v>
          </cell>
          <cell r="M47">
            <v>28.057351499999999</v>
          </cell>
        </row>
        <row r="48">
          <cell r="A48">
            <v>1969</v>
          </cell>
          <cell r="B48">
            <v>0.92779852290412601</v>
          </cell>
          <cell r="C48">
            <v>0.73813500000000332</v>
          </cell>
          <cell r="D48">
            <v>0.66940443360427415</v>
          </cell>
          <cell r="L48">
            <v>1969</v>
          </cell>
          <cell r="M48">
            <v>28.46633525</v>
          </cell>
        </row>
        <row r="49">
          <cell r="A49">
            <v>1968</v>
          </cell>
          <cell r="B49">
            <v>0.79998842210400412</v>
          </cell>
          <cell r="C49">
            <v>1.1379900000000021</v>
          </cell>
          <cell r="D49">
            <v>0.88941273418498468</v>
          </cell>
          <cell r="L49">
            <v>1968</v>
          </cell>
          <cell r="M49">
            <v>27.818258729166672</v>
          </cell>
        </row>
        <row r="50">
          <cell r="A50">
            <v>1967</v>
          </cell>
          <cell r="B50">
            <v>0.83339101809092442</v>
          </cell>
          <cell r="C50">
            <v>0.8919150000000009</v>
          </cell>
          <cell r="D50">
            <v>0.72849599383080332</v>
          </cell>
          <cell r="L50">
            <v>1967</v>
          </cell>
          <cell r="M50">
            <v>27.861846458333332</v>
          </cell>
        </row>
        <row r="51">
          <cell r="A51">
            <v>1966</v>
          </cell>
          <cell r="B51">
            <v>0.81070761023016269</v>
          </cell>
          <cell r="C51">
            <v>0.86120999999999981</v>
          </cell>
          <cell r="D51">
            <v>0.69820667159594074</v>
          </cell>
          <cell r="L51">
            <v>1966</v>
          </cell>
          <cell r="M51">
            <v>28.11201914583334</v>
          </cell>
        </row>
        <row r="52">
          <cell r="A52">
            <v>1965</v>
          </cell>
          <cell r="B52">
            <v>0.8355585291121167</v>
          </cell>
          <cell r="C52">
            <v>1.3839900000000078</v>
          </cell>
          <cell r="D52">
            <v>1.2168493738058528</v>
          </cell>
          <cell r="L52">
            <v>1965</v>
          </cell>
          <cell r="M52">
            <v>27.697469937500006</v>
          </cell>
        </row>
        <row r="53">
          <cell r="A53">
            <v>1964</v>
          </cell>
          <cell r="B53">
            <v>0.76381904641653642</v>
          </cell>
          <cell r="C53">
            <v>1.1687100000000044</v>
          </cell>
          <cell r="D53">
            <v>0.91948260763958412</v>
          </cell>
          <cell r="L53">
            <v>1964</v>
          </cell>
          <cell r="M53">
            <v>27.925833333333333</v>
          </cell>
        </row>
        <row r="54">
          <cell r="A54">
            <v>1963</v>
          </cell>
          <cell r="B54">
            <v>0.80878178592437378</v>
          </cell>
          <cell r="C54">
            <v>0.9227249999999998</v>
          </cell>
          <cell r="D54">
            <v>0.74628942123734443</v>
          </cell>
          <cell r="L54">
            <v>1963</v>
          </cell>
          <cell r="M54">
            <v>28.201881833333331</v>
          </cell>
        </row>
        <row r="55">
          <cell r="A55">
            <v>1962</v>
          </cell>
          <cell r="B55">
            <v>0.87478177247717248</v>
          </cell>
          <cell r="C55">
            <v>1.2609900000000032</v>
          </cell>
          <cell r="D55">
            <v>1.0816424748159748</v>
          </cell>
          <cell r="L55">
            <v>1962</v>
          </cell>
          <cell r="M55">
            <v>28.0825688125</v>
          </cell>
        </row>
        <row r="56">
          <cell r="A56">
            <v>1961</v>
          </cell>
          <cell r="B56">
            <v>0.85833821831563029</v>
          </cell>
          <cell r="C56">
            <v>1.0148850000000067</v>
          </cell>
          <cell r="D56">
            <v>0.82625431420923423</v>
          </cell>
          <cell r="L56">
            <v>1961</v>
          </cell>
          <cell r="M56">
            <v>28.092758312499999</v>
          </cell>
        </row>
        <row r="57">
          <cell r="A57">
            <v>1960</v>
          </cell>
          <cell r="B57">
            <v>0.87734873654828371</v>
          </cell>
          <cell r="C57">
            <v>1.0765349999999998</v>
          </cell>
          <cell r="D57">
            <v>0.95198198166607595</v>
          </cell>
          <cell r="L57">
            <v>1960</v>
          </cell>
          <cell r="M57">
            <v>28.311101854166655</v>
          </cell>
        </row>
        <row r="58">
          <cell r="A58">
            <v>1959</v>
          </cell>
          <cell r="B58">
            <v>0.83035521688795821</v>
          </cell>
          <cell r="C58">
            <v>1.0765049999999974</v>
          </cell>
          <cell r="D58">
            <v>0.89571931377933445</v>
          </cell>
          <cell r="L58">
            <v>1959</v>
          </cell>
          <cell r="M58">
            <v>27.934912333333333</v>
          </cell>
        </row>
        <row r="59">
          <cell r="A59">
            <v>1958</v>
          </cell>
          <cell r="B59">
            <v>0.83317542328973249</v>
          </cell>
          <cell r="C59">
            <v>1.1995050000000305</v>
          </cell>
          <cell r="D59">
            <v>1.0099910079924499</v>
          </cell>
          <cell r="L59">
            <v>1958</v>
          </cell>
          <cell r="M59">
            <v>28.552400791666667</v>
          </cell>
        </row>
        <row r="60">
          <cell r="A60">
            <v>1957</v>
          </cell>
          <cell r="B60">
            <v>0.93022634301734897</v>
          </cell>
          <cell r="C60">
            <v>1.01494500000004</v>
          </cell>
          <cell r="D60">
            <v>0.94171082115941984</v>
          </cell>
          <cell r="L60">
            <v>1957</v>
          </cell>
          <cell r="M60">
            <v>27.900255416666663</v>
          </cell>
        </row>
        <row r="61">
          <cell r="A61">
            <v>1956</v>
          </cell>
          <cell r="B61">
            <v>0.94143153684461511</v>
          </cell>
          <cell r="C61">
            <v>1.0456950000000411</v>
          </cell>
          <cell r="D61">
            <v>0.94915060274267704</v>
          </cell>
          <cell r="L61">
            <v>1956</v>
          </cell>
          <cell r="M61">
            <v>27.764755729166669</v>
          </cell>
        </row>
        <row r="62">
          <cell r="A62">
            <v>1955</v>
          </cell>
          <cell r="B62">
            <v>0.81724860190439597</v>
          </cell>
          <cell r="C62">
            <v>1.0764900000000459</v>
          </cell>
          <cell r="D62">
            <v>0.87713599293962607</v>
          </cell>
          <cell r="L62">
            <v>1955</v>
          </cell>
          <cell r="M62">
            <v>27.889878333333339</v>
          </cell>
        </row>
        <row r="63">
          <cell r="A63">
            <v>1954</v>
          </cell>
          <cell r="B63">
            <v>0.95252946662586591</v>
          </cell>
          <cell r="C63">
            <v>0.95344500000004118</v>
          </cell>
          <cell r="D63">
            <v>0.89381247865645308</v>
          </cell>
          <cell r="L63">
            <v>1954</v>
          </cell>
          <cell r="M63">
            <v>27.994138395833335</v>
          </cell>
        </row>
        <row r="64">
          <cell r="A64">
            <v>1953</v>
          </cell>
          <cell r="B64">
            <v>0.92836792152646264</v>
          </cell>
          <cell r="C64">
            <v>1.0457100000000423</v>
          </cell>
          <cell r="D64">
            <v>0.96668411986550884</v>
          </cell>
          <cell r="L64">
            <v>1953</v>
          </cell>
          <cell r="M64">
            <v>28.049866291666664</v>
          </cell>
        </row>
        <row r="65">
          <cell r="A65">
            <v>1952</v>
          </cell>
          <cell r="B65">
            <v>0.99935069030124746</v>
          </cell>
          <cell r="C65">
            <v>1.0456800000000328</v>
          </cell>
          <cell r="D65">
            <v>1.0434647553960963</v>
          </cell>
          <cell r="L65">
            <v>1952</v>
          </cell>
          <cell r="M65">
            <v>28.191666416666667</v>
          </cell>
        </row>
        <row r="66">
          <cell r="A66">
            <v>1951</v>
          </cell>
          <cell r="B66">
            <v>0.82382176492747328</v>
          </cell>
          <cell r="C66">
            <v>1.3225950000000637</v>
          </cell>
          <cell r="D66">
            <v>1.0908906787482013</v>
          </cell>
          <cell r="L66">
            <v>1951</v>
          </cell>
          <cell r="M66">
            <v>28.09758177083333</v>
          </cell>
        </row>
        <row r="67">
          <cell r="A67">
            <v>1950</v>
          </cell>
          <cell r="B67">
            <v>0.91671249258132748</v>
          </cell>
          <cell r="C67">
            <v>0.9842100000000471</v>
          </cell>
          <cell r="D67">
            <v>0.89458554208374386</v>
          </cell>
          <cell r="L67">
            <v>1950</v>
          </cell>
          <cell r="M67">
            <v>27.675130104166673</v>
          </cell>
        </row>
        <row r="68">
          <cell r="A68">
            <v>1949</v>
          </cell>
          <cell r="B68">
            <v>1.0171164551613876</v>
          </cell>
          <cell r="C68">
            <v>1.1380650000000543</v>
          </cell>
          <cell r="D68">
            <v>1.1325751216687574</v>
          </cell>
        </row>
        <row r="69">
          <cell r="A69">
            <v>1948</v>
          </cell>
          <cell r="B69">
            <v>0.87428227202022857</v>
          </cell>
          <cell r="C69">
            <v>1.1996250000000686</v>
          </cell>
          <cell r="D69">
            <v>0.94991514880745576</v>
          </cell>
        </row>
        <row r="70">
          <cell r="A70">
            <v>1947</v>
          </cell>
          <cell r="B70">
            <v>0.92687696322540614</v>
          </cell>
          <cell r="C70">
            <v>1.5070950000000636</v>
          </cell>
          <cell r="D70">
            <v>1.4099798308222125</v>
          </cell>
        </row>
        <row r="71">
          <cell r="A71">
            <v>1946</v>
          </cell>
          <cell r="B71">
            <v>0.90129086559029259</v>
          </cell>
          <cell r="C71">
            <v>1.1380350000000519</v>
          </cell>
          <cell r="D71">
            <v>1.019697769510739</v>
          </cell>
        </row>
        <row r="72">
          <cell r="A72">
            <v>1945</v>
          </cell>
          <cell r="B72">
            <v>1.1285432382207232</v>
          </cell>
          <cell r="C72">
            <v>1.0764750000000447</v>
          </cell>
          <cell r="D72">
            <v>1.2628864014932168</v>
          </cell>
        </row>
        <row r="73">
          <cell r="A73">
            <v>1944</v>
          </cell>
          <cell r="B73">
            <v>0.86681328293455451</v>
          </cell>
          <cell r="C73">
            <v>1.4767200000001139</v>
          </cell>
          <cell r="D73">
            <v>1.280040511175214</v>
          </cell>
        </row>
        <row r="74">
          <cell r="A74">
            <v>1943</v>
          </cell>
          <cell r="B74">
            <v>0.77607042771597012</v>
          </cell>
          <cell r="C74">
            <v>1.1075400000000855</v>
          </cell>
          <cell r="D74">
            <v>0.85952904151261189</v>
          </cell>
        </row>
        <row r="75">
          <cell r="A75">
            <v>1942</v>
          </cell>
          <cell r="B75">
            <v>0.95796688669110053</v>
          </cell>
          <cell r="C75">
            <v>0.92295000000007121</v>
          </cell>
          <cell r="D75">
            <v>0.88415553807161951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workbookViewId="0">
      <selection activeCell="C6" sqref="C6"/>
    </sheetView>
  </sheetViews>
  <sheetFormatPr baseColWidth="10" defaultColWidth="11.44140625" defaultRowHeight="14.4" x14ac:dyDescent="0.3"/>
  <cols>
    <col min="1" max="1" width="14.109375" customWidth="1"/>
  </cols>
  <sheetData>
    <row r="1" spans="1:7" x14ac:dyDescent="0.3">
      <c r="A1" t="s">
        <v>6</v>
      </c>
    </row>
    <row r="2" spans="1:7" x14ac:dyDescent="0.3">
      <c r="B2" s="4"/>
    </row>
    <row r="10" spans="1:7" x14ac:dyDescent="0.3">
      <c r="B10" t="s">
        <v>42</v>
      </c>
      <c r="C10" s="34" t="s">
        <v>43</v>
      </c>
      <c r="D10" s="34"/>
      <c r="E10" s="34"/>
      <c r="F10" s="34"/>
    </row>
    <row r="11" spans="1:7" x14ac:dyDescent="0.3">
      <c r="B11" s="34"/>
      <c r="C11" s="34"/>
      <c r="D11" s="34"/>
      <c r="E11" s="34"/>
      <c r="F11" s="4"/>
    </row>
    <row r="12" spans="1:7" x14ac:dyDescent="0.3">
      <c r="A12" t="s">
        <v>26</v>
      </c>
      <c r="B12" t="s">
        <v>25</v>
      </c>
      <c r="C12" t="s">
        <v>38</v>
      </c>
      <c r="D12" t="s">
        <v>39</v>
      </c>
      <c r="E12" t="s">
        <v>40</v>
      </c>
      <c r="F12" t="s">
        <v>41</v>
      </c>
      <c r="G12" t="s">
        <v>44</v>
      </c>
    </row>
    <row r="13" spans="1:7" x14ac:dyDescent="0.3">
      <c r="A13" s="9" t="s">
        <v>27</v>
      </c>
      <c r="B13">
        <v>7.53</v>
      </c>
      <c r="G13">
        <v>7.53</v>
      </c>
    </row>
    <row r="14" spans="1:7" x14ac:dyDescent="0.3">
      <c r="A14">
        <v>1</v>
      </c>
      <c r="B14">
        <v>7.23</v>
      </c>
      <c r="G14">
        <v>7.23</v>
      </c>
    </row>
    <row r="15" spans="1:7" x14ac:dyDescent="0.3">
      <c r="A15">
        <v>2</v>
      </c>
      <c r="B15">
        <v>7.01</v>
      </c>
      <c r="G15">
        <v>7.01</v>
      </c>
    </row>
    <row r="16" spans="1:7" x14ac:dyDescent="0.3">
      <c r="A16">
        <v>3</v>
      </c>
      <c r="B16">
        <v>7.16</v>
      </c>
      <c r="G16">
        <v>7.16</v>
      </c>
    </row>
    <row r="17" spans="1:7" x14ac:dyDescent="0.3">
      <c r="A17">
        <v>4</v>
      </c>
      <c r="B17" s="3">
        <v>7</v>
      </c>
      <c r="G17" s="3">
        <v>7</v>
      </c>
    </row>
    <row r="18" spans="1:7" x14ac:dyDescent="0.3">
      <c r="A18">
        <v>5</v>
      </c>
      <c r="B18">
        <v>7.08</v>
      </c>
      <c r="G18">
        <v>7.08</v>
      </c>
    </row>
    <row r="19" spans="1:7" x14ac:dyDescent="0.3">
      <c r="A19">
        <v>6</v>
      </c>
      <c r="B19" s="3">
        <v>7.1</v>
      </c>
      <c r="G19" s="3">
        <v>7.1</v>
      </c>
    </row>
    <row r="20" spans="1:7" x14ac:dyDescent="0.3">
      <c r="A20">
        <v>7</v>
      </c>
      <c r="B20">
        <v>7.16</v>
      </c>
      <c r="G20">
        <v>7.16</v>
      </c>
    </row>
    <row r="21" spans="1:7" x14ac:dyDescent="0.3">
      <c r="A21">
        <v>8</v>
      </c>
      <c r="B21" s="3">
        <v>6.96</v>
      </c>
      <c r="G21" s="3">
        <v>6.96</v>
      </c>
    </row>
    <row r="22" spans="1:7" x14ac:dyDescent="0.3">
      <c r="A22">
        <v>9</v>
      </c>
      <c r="B22">
        <v>7.24</v>
      </c>
      <c r="G22">
        <v>7.24</v>
      </c>
    </row>
    <row r="23" spans="1:7" x14ac:dyDescent="0.3">
      <c r="A23">
        <v>10</v>
      </c>
      <c r="B23" s="3">
        <v>7</v>
      </c>
      <c r="G23" s="3">
        <v>7</v>
      </c>
    </row>
    <row r="24" spans="1:7" x14ac:dyDescent="0.3">
      <c r="A24">
        <v>11</v>
      </c>
      <c r="B24">
        <v>7.24</v>
      </c>
      <c r="G24">
        <v>7.24</v>
      </c>
    </row>
    <row r="25" spans="1:7" x14ac:dyDescent="0.3">
      <c r="A25">
        <v>12</v>
      </c>
      <c r="B25" s="3">
        <v>7.08</v>
      </c>
      <c r="G25" s="3">
        <v>7.08</v>
      </c>
    </row>
    <row r="26" spans="1:7" x14ac:dyDescent="0.3">
      <c r="A26">
        <v>13</v>
      </c>
      <c r="B26">
        <v>7.12</v>
      </c>
      <c r="G26">
        <v>7.12</v>
      </c>
    </row>
    <row r="27" spans="1:7" x14ac:dyDescent="0.3">
      <c r="A27">
        <v>14</v>
      </c>
      <c r="B27" s="3">
        <v>7.17</v>
      </c>
      <c r="G27" s="3">
        <v>7.17</v>
      </c>
    </row>
    <row r="28" spans="1:7" x14ac:dyDescent="0.3">
      <c r="A28">
        <v>15</v>
      </c>
      <c r="B28" s="3">
        <v>7</v>
      </c>
      <c r="G28" s="3">
        <v>7</v>
      </c>
    </row>
    <row r="29" spans="1:7" x14ac:dyDescent="0.3">
      <c r="A29">
        <v>16</v>
      </c>
      <c r="B29" s="3">
        <v>7.13</v>
      </c>
      <c r="G29" s="3">
        <v>7.13</v>
      </c>
    </row>
    <row r="30" spans="1:7" x14ac:dyDescent="0.3">
      <c r="A30">
        <v>17</v>
      </c>
      <c r="B30" s="3">
        <v>7.13</v>
      </c>
      <c r="G30" s="3">
        <v>7.13</v>
      </c>
    </row>
    <row r="31" spans="1:7" x14ac:dyDescent="0.3">
      <c r="A31">
        <v>18</v>
      </c>
      <c r="B31" s="3">
        <v>7.25</v>
      </c>
      <c r="G31" s="3">
        <v>7.25</v>
      </c>
    </row>
    <row r="32" spans="1:7" x14ac:dyDescent="0.3">
      <c r="A32">
        <v>19</v>
      </c>
      <c r="B32" s="3">
        <v>7.04</v>
      </c>
      <c r="G32" s="3">
        <v>7.04</v>
      </c>
    </row>
    <row r="33" spans="1:7" x14ac:dyDescent="0.3">
      <c r="A33">
        <v>20</v>
      </c>
      <c r="B33" s="3">
        <v>7.11</v>
      </c>
      <c r="G33" s="3">
        <v>7.11</v>
      </c>
    </row>
    <row r="34" spans="1:7" x14ac:dyDescent="0.3">
      <c r="A34">
        <v>21</v>
      </c>
      <c r="B34" s="3">
        <v>7.25</v>
      </c>
      <c r="G34" s="3">
        <v>7.25</v>
      </c>
    </row>
    <row r="35" spans="1:7" x14ac:dyDescent="0.3">
      <c r="A35">
        <v>22</v>
      </c>
      <c r="B35" s="3">
        <v>7.05</v>
      </c>
      <c r="G35" s="3">
        <v>7.05</v>
      </c>
    </row>
    <row r="36" spans="1:7" x14ac:dyDescent="0.3">
      <c r="A36">
        <v>23</v>
      </c>
      <c r="B36" s="3">
        <v>7.11</v>
      </c>
      <c r="G36" s="3">
        <v>7.11</v>
      </c>
    </row>
    <row r="37" spans="1:7" x14ac:dyDescent="0.3">
      <c r="A37">
        <v>24</v>
      </c>
      <c r="B37" s="3">
        <v>7.29</v>
      </c>
      <c r="G37" s="3">
        <v>7.29</v>
      </c>
    </row>
    <row r="38" spans="1:7" x14ac:dyDescent="0.3">
      <c r="A38">
        <v>25</v>
      </c>
      <c r="B38" s="3">
        <v>7.09</v>
      </c>
      <c r="G38" s="3">
        <v>7.09</v>
      </c>
    </row>
    <row r="39" spans="1:7" x14ac:dyDescent="0.3">
      <c r="A39">
        <v>26</v>
      </c>
      <c r="B39" s="3">
        <v>6.94</v>
      </c>
      <c r="G39" s="3">
        <v>6.94</v>
      </c>
    </row>
    <row r="40" spans="1:7" x14ac:dyDescent="0.3">
      <c r="A40">
        <v>27</v>
      </c>
      <c r="B40" s="3">
        <v>6.8</v>
      </c>
      <c r="C40">
        <v>7.31</v>
      </c>
      <c r="G40" s="3">
        <f>AVERAGE(B40:C40)</f>
        <v>7.0549999999999997</v>
      </c>
    </row>
    <row r="41" spans="1:7" x14ac:dyDescent="0.3">
      <c r="A41">
        <v>28</v>
      </c>
      <c r="C41">
        <v>7.18</v>
      </c>
      <c r="G41">
        <v>7.18</v>
      </c>
    </row>
    <row r="42" spans="1:7" x14ac:dyDescent="0.3">
      <c r="A42">
        <v>29</v>
      </c>
      <c r="C42">
        <v>6.79</v>
      </c>
      <c r="G42">
        <v>6.79</v>
      </c>
    </row>
    <row r="43" spans="1:7" x14ac:dyDescent="0.3">
      <c r="A43">
        <v>30</v>
      </c>
      <c r="C43">
        <v>7.12</v>
      </c>
      <c r="G43">
        <v>7.12</v>
      </c>
    </row>
    <row r="44" spans="1:7" x14ac:dyDescent="0.3">
      <c r="A44">
        <v>31</v>
      </c>
      <c r="C44">
        <v>7.14</v>
      </c>
      <c r="G44">
        <v>7.14</v>
      </c>
    </row>
    <row r="45" spans="1:7" x14ac:dyDescent="0.3">
      <c r="A45">
        <v>32</v>
      </c>
      <c r="C45">
        <v>7.11</v>
      </c>
      <c r="G45">
        <v>7.11</v>
      </c>
    </row>
    <row r="46" spans="1:7" x14ac:dyDescent="0.3">
      <c r="A46">
        <v>33</v>
      </c>
      <c r="C46">
        <v>7.03</v>
      </c>
      <c r="D46">
        <v>6.99</v>
      </c>
      <c r="G46">
        <f>AVERAGE(C46:D46)</f>
        <v>7.01</v>
      </c>
    </row>
    <row r="47" spans="1:7" x14ac:dyDescent="0.3">
      <c r="A47">
        <v>34</v>
      </c>
      <c r="D47">
        <v>6.71</v>
      </c>
      <c r="G47">
        <v>6.71</v>
      </c>
    </row>
    <row r="48" spans="1:7" x14ac:dyDescent="0.3">
      <c r="A48">
        <v>35</v>
      </c>
      <c r="D48">
        <v>6.99</v>
      </c>
      <c r="G48">
        <v>6.99</v>
      </c>
    </row>
    <row r="49" spans="1:7" x14ac:dyDescent="0.3">
      <c r="A49">
        <v>36</v>
      </c>
      <c r="D49">
        <v>6.92</v>
      </c>
      <c r="G49">
        <v>6.92</v>
      </c>
    </row>
    <row r="50" spans="1:7" x14ac:dyDescent="0.3">
      <c r="A50">
        <v>37</v>
      </c>
      <c r="D50">
        <v>7.03</v>
      </c>
      <c r="E50">
        <v>6.89</v>
      </c>
      <c r="G50">
        <f>AVERAGE(D50:E50)</f>
        <v>6.96</v>
      </c>
    </row>
    <row r="51" spans="1:7" x14ac:dyDescent="0.3">
      <c r="A51">
        <v>38</v>
      </c>
      <c r="E51">
        <v>6.88</v>
      </c>
      <c r="G51">
        <v>6.88</v>
      </c>
    </row>
    <row r="52" spans="1:7" x14ac:dyDescent="0.3">
      <c r="A52">
        <v>39</v>
      </c>
      <c r="E52">
        <v>7.02</v>
      </c>
      <c r="G52">
        <v>7.02</v>
      </c>
    </row>
    <row r="53" spans="1:7" x14ac:dyDescent="0.3">
      <c r="A53">
        <v>40</v>
      </c>
      <c r="E53">
        <v>6.93</v>
      </c>
      <c r="G53">
        <v>6.93</v>
      </c>
    </row>
    <row r="54" spans="1:7" x14ac:dyDescent="0.3">
      <c r="A54">
        <v>41</v>
      </c>
      <c r="E54">
        <v>7.01</v>
      </c>
      <c r="F54">
        <v>6.97</v>
      </c>
      <c r="G54">
        <f>AVERAGE(E54:F54)</f>
        <v>6.99</v>
      </c>
    </row>
    <row r="55" spans="1:7" x14ac:dyDescent="0.3">
      <c r="A55">
        <v>42</v>
      </c>
      <c r="E55">
        <v>7.16</v>
      </c>
      <c r="F55">
        <v>7.22</v>
      </c>
      <c r="G55">
        <f>AVERAGE(E55:F55)</f>
        <v>7.1899999999999995</v>
      </c>
    </row>
    <row r="56" spans="1:7" x14ac:dyDescent="0.3">
      <c r="A56">
        <v>43</v>
      </c>
      <c r="F56">
        <v>7.17</v>
      </c>
      <c r="G56">
        <v>7.17</v>
      </c>
    </row>
    <row r="57" spans="1:7" x14ac:dyDescent="0.3">
      <c r="A57">
        <v>44</v>
      </c>
      <c r="F57">
        <v>7.31</v>
      </c>
      <c r="G57">
        <v>7.31</v>
      </c>
    </row>
    <row r="58" spans="1:7" x14ac:dyDescent="0.3">
      <c r="A58">
        <v>45</v>
      </c>
      <c r="F58">
        <v>7.18</v>
      </c>
      <c r="G58">
        <v>7.18</v>
      </c>
    </row>
    <row r="59" spans="1:7" x14ac:dyDescent="0.3">
      <c r="A59">
        <v>46</v>
      </c>
      <c r="F59">
        <v>7.19</v>
      </c>
      <c r="G59">
        <v>7.19</v>
      </c>
    </row>
    <row r="60" spans="1:7" x14ac:dyDescent="0.3">
      <c r="A60">
        <v>47</v>
      </c>
      <c r="F60">
        <v>7.19</v>
      </c>
      <c r="G60">
        <v>7.19</v>
      </c>
    </row>
    <row r="61" spans="1:7" x14ac:dyDescent="0.3">
      <c r="A61">
        <v>48</v>
      </c>
      <c r="F61">
        <v>7.17</v>
      </c>
      <c r="G61">
        <v>7.17</v>
      </c>
    </row>
    <row r="62" spans="1:7" x14ac:dyDescent="0.3">
      <c r="A62">
        <v>49</v>
      </c>
      <c r="F62">
        <v>6.95</v>
      </c>
      <c r="G62">
        <v>6.95</v>
      </c>
    </row>
  </sheetData>
  <mergeCells count="2">
    <mergeCell ref="B11:E11"/>
    <mergeCell ref="C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42"/>
  <sheetViews>
    <sheetView workbookViewId="0">
      <selection activeCell="U6" sqref="U6"/>
    </sheetView>
  </sheetViews>
  <sheetFormatPr baseColWidth="10" defaultColWidth="11.44140625" defaultRowHeight="14.4" x14ac:dyDescent="0.3"/>
  <sheetData>
    <row r="1" spans="1:23" ht="55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4</v>
      </c>
      <c r="G1" s="2" t="s">
        <v>5</v>
      </c>
      <c r="Q1" s="1" t="s">
        <v>0</v>
      </c>
      <c r="R1" s="2" t="s">
        <v>1</v>
      </c>
      <c r="S1" s="2" t="s">
        <v>2</v>
      </c>
      <c r="T1" s="2" t="s">
        <v>3</v>
      </c>
      <c r="U1" s="2" t="s">
        <v>8</v>
      </c>
      <c r="V1" s="2" t="s">
        <v>4</v>
      </c>
      <c r="W1" s="2" t="s">
        <v>5</v>
      </c>
    </row>
    <row r="2" spans="1:23" x14ac:dyDescent="0.3">
      <c r="A2">
        <v>0</v>
      </c>
      <c r="B2">
        <v>242.46199999999999</v>
      </c>
      <c r="C2">
        <f>AVERAGE(B2:B3)</f>
        <v>240.98099999999999</v>
      </c>
      <c r="D2" s="3">
        <v>1.212</v>
      </c>
      <c r="E2">
        <v>2.8251750000000002</v>
      </c>
      <c r="F2">
        <f>LN(C2)</f>
        <v>5.4847180922084888</v>
      </c>
      <c r="G2">
        <f>D2*E$2</f>
        <v>3.4241121000000003</v>
      </c>
      <c r="Q2">
        <v>0</v>
      </c>
      <c r="R2">
        <v>67.542000000000002</v>
      </c>
      <c r="S2">
        <f>AVERAGE(R2:R4)</f>
        <v>163.72233333333335</v>
      </c>
      <c r="T2" s="3">
        <v>1.38</v>
      </c>
      <c r="U2">
        <v>2.82</v>
      </c>
      <c r="V2">
        <f>LN(S2)</f>
        <v>5.0981719034975601</v>
      </c>
      <c r="W2">
        <f>T2*U$2</f>
        <v>3.8915999999999995</v>
      </c>
    </row>
    <row r="3" spans="1:23" x14ac:dyDescent="0.3">
      <c r="A3">
        <v>1.523E-2</v>
      </c>
      <c r="B3">
        <v>239.5</v>
      </c>
      <c r="C3">
        <f>AVERAGE(B2:B4)</f>
        <v>239.39766666666665</v>
      </c>
      <c r="D3" s="3">
        <v>1.2062830188679246</v>
      </c>
      <c r="F3">
        <f t="shared" ref="F3:F66" si="0">LN(C3)</f>
        <v>5.4781260464876809</v>
      </c>
      <c r="G3">
        <f>D3*E$2</f>
        <v>3.4079606278301888</v>
      </c>
      <c r="Q3">
        <v>1.67E-2</v>
      </c>
      <c r="R3">
        <v>190.5</v>
      </c>
      <c r="S3">
        <f>AVERAGE(R2:R5)</f>
        <v>183.25</v>
      </c>
      <c r="T3" s="3">
        <v>1.3778403755868542</v>
      </c>
      <c r="V3">
        <f t="shared" ref="V3:V66" si="1">LN(S3)</f>
        <v>5.2108513407667605</v>
      </c>
      <c r="W3">
        <f t="shared" ref="W3:W66" si="2">T3*U$2</f>
        <v>3.8855098591549289</v>
      </c>
    </row>
    <row r="4" spans="1:23" x14ac:dyDescent="0.3">
      <c r="A4">
        <v>3.0470000000000001E-2</v>
      </c>
      <c r="B4">
        <v>236.23099999999999</v>
      </c>
      <c r="C4">
        <f t="shared" ref="C4:C67" si="3">AVERAGE(B3:B5)</f>
        <v>236.80766666666668</v>
      </c>
      <c r="D4" s="3">
        <v>1.2005660377358489</v>
      </c>
      <c r="F4">
        <f t="shared" si="0"/>
        <v>5.4672482786118817</v>
      </c>
      <c r="G4">
        <f>D4*E$2</f>
        <v>3.3918091556603773</v>
      </c>
      <c r="Q4">
        <v>3.3500000000000002E-2</v>
      </c>
      <c r="R4">
        <v>233.125</v>
      </c>
      <c r="S4">
        <f>AVERAGE(R2:R6)</f>
        <v>194.63339999999999</v>
      </c>
      <c r="T4" s="3">
        <v>1.3756807511737088</v>
      </c>
      <c r="V4">
        <f t="shared" si="1"/>
        <v>5.2711177891457286</v>
      </c>
      <c r="W4">
        <f t="shared" si="2"/>
        <v>3.8794197183098587</v>
      </c>
    </row>
    <row r="5" spans="1:23" x14ac:dyDescent="0.3">
      <c r="A5">
        <v>4.5699999999999998E-2</v>
      </c>
      <c r="B5">
        <v>234.69200000000001</v>
      </c>
      <c r="C5">
        <f t="shared" si="3"/>
        <v>234.58966666666666</v>
      </c>
      <c r="D5" s="3">
        <v>1.1948490566037735</v>
      </c>
      <c r="F5">
        <f t="shared" si="0"/>
        <v>5.4578378886451464</v>
      </c>
      <c r="G5">
        <f>D5*E$2</f>
        <v>3.3756576834905658</v>
      </c>
      <c r="Q5">
        <v>5.0200000000000002E-2</v>
      </c>
      <c r="R5">
        <v>241.833</v>
      </c>
      <c r="S5">
        <f t="shared" ref="S5:S68" si="4">AVERAGE(R3:R7)</f>
        <v>229.65</v>
      </c>
      <c r="T5" s="3">
        <v>1.3735211267605631</v>
      </c>
      <c r="V5">
        <f t="shared" si="1"/>
        <v>5.4365564107718027</v>
      </c>
      <c r="W5">
        <f t="shared" si="2"/>
        <v>3.873329577464788</v>
      </c>
    </row>
    <row r="6" spans="1:23" x14ac:dyDescent="0.3">
      <c r="A6">
        <v>6.0940000000000001E-2</v>
      </c>
      <c r="B6">
        <v>232.846</v>
      </c>
      <c r="C6">
        <f t="shared" si="3"/>
        <v>233.15366666666668</v>
      </c>
      <c r="D6" s="3">
        <v>1.1891320754716981</v>
      </c>
      <c r="F6">
        <f t="shared" si="0"/>
        <v>5.4516977497730297</v>
      </c>
      <c r="G6">
        <f t="shared" ref="G6:G66" si="5">D6*E$2</f>
        <v>3.3595062113207548</v>
      </c>
      <c r="Q6">
        <v>6.7000000000000004E-2</v>
      </c>
      <c r="R6">
        <v>240.167</v>
      </c>
      <c r="S6">
        <f t="shared" si="4"/>
        <v>239.61660000000001</v>
      </c>
      <c r="T6" s="3">
        <v>1.3713615023474177</v>
      </c>
      <c r="V6">
        <f t="shared" si="1"/>
        <v>5.4790401459782929</v>
      </c>
      <c r="W6">
        <f t="shared" si="2"/>
        <v>3.8672394366197178</v>
      </c>
    </row>
    <row r="7" spans="1:23" x14ac:dyDescent="0.3">
      <c r="A7">
        <v>7.6170000000000002E-2</v>
      </c>
      <c r="B7">
        <v>231.923</v>
      </c>
      <c r="C7">
        <f t="shared" si="3"/>
        <v>232.29466666666667</v>
      </c>
      <c r="D7" s="3">
        <v>1.1834150943396227</v>
      </c>
      <c r="F7">
        <f t="shared" si="0"/>
        <v>5.448006680695185</v>
      </c>
      <c r="G7">
        <f t="shared" si="5"/>
        <v>3.3433547391509437</v>
      </c>
      <c r="Q7">
        <v>8.3699999999999997E-2</v>
      </c>
      <c r="R7">
        <v>242.625</v>
      </c>
      <c r="S7">
        <f t="shared" si="4"/>
        <v>241.29160000000002</v>
      </c>
      <c r="T7" s="3">
        <v>1.3692018779342721</v>
      </c>
      <c r="V7">
        <f t="shared" si="1"/>
        <v>5.4860061605870101</v>
      </c>
      <c r="W7">
        <f t="shared" si="2"/>
        <v>3.8611492957746472</v>
      </c>
    </row>
    <row r="8" spans="1:23" x14ac:dyDescent="0.3">
      <c r="A8">
        <v>9.1410000000000005E-2</v>
      </c>
      <c r="B8">
        <v>232.11500000000001</v>
      </c>
      <c r="C8">
        <f t="shared" si="3"/>
        <v>232.14099999999999</v>
      </c>
      <c r="D8" s="3">
        <v>1.177698113207547</v>
      </c>
      <c r="F8">
        <f t="shared" si="0"/>
        <v>5.4473449456765239</v>
      </c>
      <c r="G8">
        <f t="shared" si="5"/>
        <v>3.3272032669811318</v>
      </c>
      <c r="Q8">
        <v>0.10050000000000001</v>
      </c>
      <c r="R8">
        <v>240.333</v>
      </c>
      <c r="S8">
        <f t="shared" si="4"/>
        <v>240.8</v>
      </c>
      <c r="T8" s="3">
        <v>1.3670422535211266</v>
      </c>
      <c r="V8">
        <f t="shared" si="1"/>
        <v>5.4839667134346657</v>
      </c>
      <c r="W8">
        <f t="shared" si="2"/>
        <v>3.855059154929577</v>
      </c>
    </row>
    <row r="9" spans="1:23" x14ac:dyDescent="0.3">
      <c r="A9">
        <v>0.10664</v>
      </c>
      <c r="B9">
        <v>232.38499999999999</v>
      </c>
      <c r="C9">
        <f t="shared" si="3"/>
        <v>232.30766666666668</v>
      </c>
      <c r="D9" s="3">
        <v>1.1719811320754716</v>
      </c>
      <c r="F9">
        <f t="shared" si="0"/>
        <v>5.448062642532097</v>
      </c>
      <c r="G9">
        <f t="shared" si="5"/>
        <v>3.3110517948113207</v>
      </c>
      <c r="Q9">
        <v>0.1172</v>
      </c>
      <c r="R9">
        <v>241.5</v>
      </c>
      <c r="S9">
        <f t="shared" si="4"/>
        <v>240.50819999999999</v>
      </c>
      <c r="T9" s="3">
        <v>1.364882629107981</v>
      </c>
      <c r="V9">
        <f t="shared" si="1"/>
        <v>5.4827541845986687</v>
      </c>
      <c r="W9">
        <f t="shared" si="2"/>
        <v>3.8489690140845063</v>
      </c>
    </row>
    <row r="10" spans="1:23" x14ac:dyDescent="0.3">
      <c r="A10">
        <v>0.12187000000000001</v>
      </c>
      <c r="B10">
        <v>232.423</v>
      </c>
      <c r="C10">
        <f t="shared" si="3"/>
        <v>232.37199999999999</v>
      </c>
      <c r="D10" s="3">
        <v>1.1662641509433962</v>
      </c>
      <c r="F10">
        <f t="shared" si="0"/>
        <v>5.448339535791515</v>
      </c>
      <c r="G10">
        <f t="shared" si="5"/>
        <v>3.2949003226415097</v>
      </c>
      <c r="Q10">
        <v>0.13400000000000001</v>
      </c>
      <c r="R10">
        <v>239.375</v>
      </c>
      <c r="S10">
        <f t="shared" si="4"/>
        <v>239.69980000000001</v>
      </c>
      <c r="T10" s="3">
        <v>1.3627230046948355</v>
      </c>
      <c r="V10">
        <f t="shared" si="1"/>
        <v>5.4793873070636865</v>
      </c>
      <c r="W10">
        <f t="shared" si="2"/>
        <v>3.8428788732394361</v>
      </c>
    </row>
    <row r="11" spans="1:23" x14ac:dyDescent="0.3">
      <c r="A11">
        <v>0.13711000000000001</v>
      </c>
      <c r="B11">
        <v>232.30799999999999</v>
      </c>
      <c r="C11">
        <f t="shared" si="3"/>
        <v>232.19233333333332</v>
      </c>
      <c r="D11" s="3">
        <v>1.1605471698113208</v>
      </c>
      <c r="F11">
        <f t="shared" si="0"/>
        <v>5.4475660512050634</v>
      </c>
      <c r="G11">
        <f t="shared" si="5"/>
        <v>3.2787488504716986</v>
      </c>
      <c r="Q11">
        <v>0.1507</v>
      </c>
      <c r="R11">
        <v>238.708</v>
      </c>
      <c r="S11">
        <f t="shared" si="4"/>
        <v>239.2748</v>
      </c>
      <c r="T11" s="3">
        <v>1.3605633802816899</v>
      </c>
      <c r="V11">
        <f t="shared" si="1"/>
        <v>5.4776126822232989</v>
      </c>
      <c r="W11">
        <f t="shared" si="2"/>
        <v>3.8367887323943655</v>
      </c>
    </row>
    <row r="12" spans="1:23" x14ac:dyDescent="0.3">
      <c r="A12">
        <v>0.15234</v>
      </c>
      <c r="B12">
        <v>231.846</v>
      </c>
      <c r="C12">
        <f t="shared" si="3"/>
        <v>231.85900000000001</v>
      </c>
      <c r="D12" s="3">
        <v>1.1548301886792451</v>
      </c>
      <c r="F12">
        <f t="shared" si="0"/>
        <v>5.4461294282854862</v>
      </c>
      <c r="G12">
        <f t="shared" si="5"/>
        <v>3.2625973783018867</v>
      </c>
      <c r="Q12">
        <v>0.16739999999999999</v>
      </c>
      <c r="R12">
        <v>238.583</v>
      </c>
      <c r="S12">
        <f t="shared" si="4"/>
        <v>238.57479999999995</v>
      </c>
      <c r="T12" s="3">
        <v>1.3584037558685444</v>
      </c>
      <c r="V12">
        <f t="shared" si="1"/>
        <v>5.4746828879921621</v>
      </c>
      <c r="W12">
        <f t="shared" si="2"/>
        <v>3.8306985915492953</v>
      </c>
    </row>
    <row r="13" spans="1:23" x14ac:dyDescent="0.3">
      <c r="A13">
        <v>0.16758000000000001</v>
      </c>
      <c r="B13">
        <v>231.423</v>
      </c>
      <c r="C13">
        <f t="shared" si="3"/>
        <v>231.43566666666666</v>
      </c>
      <c r="D13" s="3">
        <v>1.1491132075471697</v>
      </c>
      <c r="F13">
        <f t="shared" si="0"/>
        <v>5.4443019371373698</v>
      </c>
      <c r="G13">
        <f t="shared" si="5"/>
        <v>3.2464459061320756</v>
      </c>
      <c r="Q13">
        <v>0.1842</v>
      </c>
      <c r="R13">
        <v>238.208</v>
      </c>
      <c r="S13">
        <f t="shared" si="4"/>
        <v>238.21640000000002</v>
      </c>
      <c r="T13" s="3">
        <v>1.3562441314553988</v>
      </c>
      <c r="V13">
        <f t="shared" si="1"/>
        <v>5.4731795042572973</v>
      </c>
      <c r="W13">
        <f t="shared" si="2"/>
        <v>3.8246084507042242</v>
      </c>
    </row>
    <row r="14" spans="1:23" x14ac:dyDescent="0.3">
      <c r="A14">
        <v>0.18281</v>
      </c>
      <c r="B14">
        <v>231.03800000000001</v>
      </c>
      <c r="C14">
        <f t="shared" si="3"/>
        <v>231.12800000000001</v>
      </c>
      <c r="D14" s="3">
        <v>1.1433962264150943</v>
      </c>
      <c r="F14">
        <f t="shared" si="0"/>
        <v>5.4429716696122332</v>
      </c>
      <c r="G14">
        <f t="shared" si="5"/>
        <v>3.2302944339622641</v>
      </c>
      <c r="Q14">
        <v>0.2009</v>
      </c>
      <c r="R14">
        <v>238</v>
      </c>
      <c r="S14">
        <f t="shared" si="4"/>
        <v>238.03319999999999</v>
      </c>
      <c r="T14" s="3">
        <v>1.3540845070422534</v>
      </c>
      <c r="V14">
        <f t="shared" si="1"/>
        <v>5.4724101597411599</v>
      </c>
      <c r="W14">
        <f t="shared" si="2"/>
        <v>3.8185183098591544</v>
      </c>
    </row>
    <row r="15" spans="1:23" x14ac:dyDescent="0.3">
      <c r="A15">
        <v>0.19805</v>
      </c>
      <c r="B15">
        <v>230.923</v>
      </c>
      <c r="C15">
        <f t="shared" si="3"/>
        <v>230.98699999999999</v>
      </c>
      <c r="D15" s="3">
        <v>1.1376792452830189</v>
      </c>
      <c r="F15">
        <f t="shared" si="0"/>
        <v>5.4423614318819036</v>
      </c>
      <c r="G15">
        <f t="shared" si="5"/>
        <v>3.2141429617924531</v>
      </c>
      <c r="Q15">
        <v>0.2177</v>
      </c>
      <c r="R15">
        <v>237.583</v>
      </c>
      <c r="S15">
        <f t="shared" si="4"/>
        <v>237.875</v>
      </c>
      <c r="T15" s="3">
        <v>1.3519248826291077</v>
      </c>
      <c r="V15">
        <f t="shared" si="1"/>
        <v>5.4717453256163138</v>
      </c>
      <c r="W15">
        <f t="shared" si="2"/>
        <v>3.8124281690140833</v>
      </c>
    </row>
    <row r="16" spans="1:23" x14ac:dyDescent="0.3">
      <c r="A16">
        <v>0.21328</v>
      </c>
      <c r="B16">
        <v>231</v>
      </c>
      <c r="C16">
        <f t="shared" si="3"/>
        <v>230.88466666666667</v>
      </c>
      <c r="D16" s="3">
        <v>1.1319622641509433</v>
      </c>
      <c r="F16">
        <f t="shared" si="0"/>
        <v>5.4419183073415027</v>
      </c>
      <c r="G16">
        <f t="shared" si="5"/>
        <v>3.1979914896226416</v>
      </c>
      <c r="Q16">
        <v>0.2344</v>
      </c>
      <c r="R16">
        <v>237.792</v>
      </c>
      <c r="S16">
        <f t="shared" si="4"/>
        <v>237.67500000000001</v>
      </c>
      <c r="T16" s="3">
        <v>1.3497652582159623</v>
      </c>
      <c r="V16">
        <f t="shared" si="1"/>
        <v>5.4709041942450938</v>
      </c>
      <c r="W16">
        <f t="shared" si="2"/>
        <v>3.8063380281690136</v>
      </c>
    </row>
    <row r="17" spans="1:23" x14ac:dyDescent="0.3">
      <c r="A17">
        <v>0.22850999999999999</v>
      </c>
      <c r="B17">
        <v>230.73099999999999</v>
      </c>
      <c r="C17">
        <f t="shared" si="3"/>
        <v>230.48733333333334</v>
      </c>
      <c r="D17" s="3">
        <v>1.1262452830188678</v>
      </c>
      <c r="F17">
        <f t="shared" si="0"/>
        <v>5.4401959079260083</v>
      </c>
      <c r="G17">
        <f t="shared" si="5"/>
        <v>3.1818400174528301</v>
      </c>
      <c r="Q17">
        <v>0.25119999999999998</v>
      </c>
      <c r="R17">
        <v>237.792</v>
      </c>
      <c r="S17">
        <f t="shared" si="4"/>
        <v>237.43339999999998</v>
      </c>
      <c r="T17" s="3">
        <v>1.3476056338028166</v>
      </c>
      <c r="V17">
        <f t="shared" si="1"/>
        <v>5.469887163096729</v>
      </c>
      <c r="W17">
        <f t="shared" si="2"/>
        <v>3.8002478873239425</v>
      </c>
    </row>
    <row r="18" spans="1:23" x14ac:dyDescent="0.3">
      <c r="A18">
        <v>0.24374999999999999</v>
      </c>
      <c r="B18">
        <v>229.73099999999999</v>
      </c>
      <c r="C18">
        <f t="shared" si="3"/>
        <v>229.80799999999999</v>
      </c>
      <c r="D18" s="3">
        <v>1.1205283018867924</v>
      </c>
      <c r="F18">
        <f t="shared" si="0"/>
        <v>5.4372441776894673</v>
      </c>
      <c r="G18">
        <f t="shared" si="5"/>
        <v>3.165688545283019</v>
      </c>
      <c r="Q18">
        <v>0.26790000000000003</v>
      </c>
      <c r="R18">
        <v>237.208</v>
      </c>
      <c r="S18">
        <f t="shared" si="4"/>
        <v>237.28340000000003</v>
      </c>
      <c r="T18" s="3">
        <v>1.3454460093896712</v>
      </c>
      <c r="V18">
        <f t="shared" si="1"/>
        <v>5.469255207349673</v>
      </c>
      <c r="W18">
        <f t="shared" si="2"/>
        <v>3.7941577464788727</v>
      </c>
    </row>
    <row r="19" spans="1:23" x14ac:dyDescent="0.3">
      <c r="A19">
        <v>0.25897999999999999</v>
      </c>
      <c r="B19">
        <v>228.96199999999999</v>
      </c>
      <c r="C19">
        <f t="shared" si="3"/>
        <v>228.84633333333332</v>
      </c>
      <c r="D19" s="3">
        <v>1.114811320754717</v>
      </c>
      <c r="F19">
        <f t="shared" si="0"/>
        <v>5.4330507448316112</v>
      </c>
      <c r="G19">
        <f t="shared" si="5"/>
        <v>3.149537073113208</v>
      </c>
      <c r="Q19">
        <v>0.28470000000000001</v>
      </c>
      <c r="R19">
        <v>236.792</v>
      </c>
      <c r="S19">
        <f t="shared" si="4"/>
        <v>236.91660000000002</v>
      </c>
      <c r="T19" s="3">
        <v>1.3432863849765255</v>
      </c>
      <c r="V19">
        <f t="shared" si="1"/>
        <v>5.4677081804700647</v>
      </c>
      <c r="W19">
        <f t="shared" si="2"/>
        <v>3.7880676056338016</v>
      </c>
    </row>
    <row r="20" spans="1:23" x14ac:dyDescent="0.3">
      <c r="A20">
        <v>0.27422000000000002</v>
      </c>
      <c r="B20">
        <v>227.846</v>
      </c>
      <c r="C20">
        <f t="shared" si="3"/>
        <v>228.24366666666666</v>
      </c>
      <c r="D20" s="3">
        <v>1.1090943396226414</v>
      </c>
      <c r="F20">
        <f t="shared" si="0"/>
        <v>5.4304137717370642</v>
      </c>
      <c r="G20">
        <f t="shared" si="5"/>
        <v>3.133385600943396</v>
      </c>
      <c r="Q20">
        <v>0.3014</v>
      </c>
      <c r="R20">
        <v>236.833</v>
      </c>
      <c r="S20">
        <f t="shared" si="4"/>
        <v>236.4248</v>
      </c>
      <c r="T20" s="3">
        <v>1.3411267605633801</v>
      </c>
      <c r="V20">
        <f t="shared" si="1"/>
        <v>5.4656301869669894</v>
      </c>
      <c r="W20">
        <f t="shared" si="2"/>
        <v>3.7819774647887319</v>
      </c>
    </row>
    <row r="21" spans="1:23" x14ac:dyDescent="0.3">
      <c r="A21">
        <v>0.28944999999999999</v>
      </c>
      <c r="B21">
        <v>227.923</v>
      </c>
      <c r="C21">
        <f t="shared" si="3"/>
        <v>227.846</v>
      </c>
      <c r="D21" s="3">
        <v>1.103377358490566</v>
      </c>
      <c r="F21">
        <f t="shared" si="0"/>
        <v>5.4286699621465333</v>
      </c>
      <c r="G21">
        <f t="shared" si="5"/>
        <v>3.117234128773585</v>
      </c>
      <c r="Q21">
        <v>0.31809999999999999</v>
      </c>
      <c r="R21">
        <v>235.958</v>
      </c>
      <c r="S21">
        <f t="shared" si="4"/>
        <v>235.87479999999999</v>
      </c>
      <c r="T21" s="3">
        <v>1.3389671361502344</v>
      </c>
      <c r="V21">
        <f t="shared" si="1"/>
        <v>5.4633011557816245</v>
      </c>
      <c r="W21">
        <f t="shared" si="2"/>
        <v>3.7758873239436608</v>
      </c>
    </row>
    <row r="22" spans="1:23" x14ac:dyDescent="0.3">
      <c r="A22">
        <v>0.30469000000000002</v>
      </c>
      <c r="B22">
        <v>227.76900000000001</v>
      </c>
      <c r="C22">
        <f t="shared" si="3"/>
        <v>227.57666666666668</v>
      </c>
      <c r="D22" s="3">
        <v>1.0976603773584905</v>
      </c>
      <c r="F22">
        <f t="shared" si="0"/>
        <v>5.4274871779574898</v>
      </c>
      <c r="G22">
        <f t="shared" si="5"/>
        <v>3.1010826566037739</v>
      </c>
      <c r="Q22">
        <v>0.33489999999999998</v>
      </c>
      <c r="R22">
        <v>235.333</v>
      </c>
      <c r="S22">
        <f t="shared" si="4"/>
        <v>235.2998</v>
      </c>
      <c r="T22" s="3">
        <v>1.336807511737089</v>
      </c>
      <c r="V22">
        <f t="shared" si="1"/>
        <v>5.4608604457542054</v>
      </c>
      <c r="W22">
        <f t="shared" si="2"/>
        <v>3.7697971830985906</v>
      </c>
    </row>
    <row r="23" spans="1:23" x14ac:dyDescent="0.3">
      <c r="A23">
        <v>0.31991999999999998</v>
      </c>
      <c r="B23">
        <v>227.03800000000001</v>
      </c>
      <c r="C23">
        <f t="shared" si="3"/>
        <v>226.94833333333335</v>
      </c>
      <c r="D23" s="3">
        <v>1.0919433962264151</v>
      </c>
      <c r="F23">
        <f t="shared" si="0"/>
        <v>5.4247223851140349</v>
      </c>
      <c r="G23">
        <f t="shared" si="5"/>
        <v>3.0849311844339624</v>
      </c>
      <c r="Q23">
        <v>0.35160000000000002</v>
      </c>
      <c r="R23">
        <v>234.458</v>
      </c>
      <c r="S23">
        <f t="shared" si="4"/>
        <v>234.71660000000003</v>
      </c>
      <c r="T23" s="3">
        <v>1.3346478873239433</v>
      </c>
      <c r="V23">
        <f t="shared" si="1"/>
        <v>5.4583788289455182</v>
      </c>
      <c r="W23">
        <f t="shared" si="2"/>
        <v>3.7637070422535199</v>
      </c>
    </row>
    <row r="24" spans="1:23" x14ac:dyDescent="0.3">
      <c r="A24">
        <v>0.33515</v>
      </c>
      <c r="B24">
        <v>226.03800000000001</v>
      </c>
      <c r="C24">
        <f t="shared" si="3"/>
        <v>226.16633333333334</v>
      </c>
      <c r="D24" s="3">
        <v>1.0862264150943395</v>
      </c>
      <c r="F24">
        <f t="shared" si="0"/>
        <v>5.4212707167663767</v>
      </c>
      <c r="G24">
        <f t="shared" si="5"/>
        <v>3.0687797122641509</v>
      </c>
      <c r="Q24">
        <v>0.36840000000000001</v>
      </c>
      <c r="R24">
        <v>233.917</v>
      </c>
      <c r="S24">
        <f t="shared" si="4"/>
        <v>234.23339999999999</v>
      </c>
      <c r="T24" s="3">
        <v>1.3324882629107979</v>
      </c>
      <c r="V24">
        <f t="shared" si="1"/>
        <v>5.4563180541464815</v>
      </c>
      <c r="W24">
        <f t="shared" si="2"/>
        <v>3.7576169014084497</v>
      </c>
    </row>
    <row r="25" spans="1:23" x14ac:dyDescent="0.3">
      <c r="A25">
        <v>0.35038999999999998</v>
      </c>
      <c r="B25">
        <v>225.423</v>
      </c>
      <c r="C25">
        <f t="shared" si="3"/>
        <v>225.46133333333333</v>
      </c>
      <c r="D25" s="3">
        <v>1.0805094339622641</v>
      </c>
      <c r="F25">
        <f t="shared" si="0"/>
        <v>5.4181486734343167</v>
      </c>
      <c r="G25">
        <f t="shared" si="5"/>
        <v>3.0526282400943394</v>
      </c>
      <c r="Q25">
        <v>0.3851</v>
      </c>
      <c r="R25">
        <v>233.917</v>
      </c>
      <c r="S25">
        <f t="shared" si="4"/>
        <v>233.77519999999998</v>
      </c>
      <c r="T25" s="3">
        <v>1.3303286384976523</v>
      </c>
      <c r="V25">
        <f t="shared" si="1"/>
        <v>5.4543599698446181</v>
      </c>
      <c r="W25">
        <f t="shared" si="2"/>
        <v>3.7515267605633791</v>
      </c>
    </row>
    <row r="26" spans="1:23" x14ac:dyDescent="0.3">
      <c r="A26">
        <v>0.36562</v>
      </c>
      <c r="B26">
        <v>224.923</v>
      </c>
      <c r="C26">
        <f t="shared" si="3"/>
        <v>225.06399999999999</v>
      </c>
      <c r="D26" s="3">
        <v>1.0747924528301886</v>
      </c>
      <c r="F26">
        <f t="shared" si="0"/>
        <v>5.4163848062022133</v>
      </c>
      <c r="G26">
        <f t="shared" si="5"/>
        <v>3.0364767679245284</v>
      </c>
      <c r="Q26">
        <v>0.40189999999999998</v>
      </c>
      <c r="R26">
        <v>233.542</v>
      </c>
      <c r="S26">
        <f t="shared" si="4"/>
        <v>233.48360000000002</v>
      </c>
      <c r="T26" s="3">
        <v>1.3281690140845068</v>
      </c>
      <c r="V26">
        <f t="shared" si="1"/>
        <v>5.4531118390962821</v>
      </c>
      <c r="W26">
        <f t="shared" si="2"/>
        <v>3.7454366197183089</v>
      </c>
    </row>
    <row r="27" spans="1:23" x14ac:dyDescent="0.3">
      <c r="A27">
        <v>0.38085999999999998</v>
      </c>
      <c r="B27">
        <v>224.846</v>
      </c>
      <c r="C27">
        <f t="shared" si="3"/>
        <v>224.23066666666668</v>
      </c>
      <c r="D27" s="3">
        <v>1.0690754716981132</v>
      </c>
      <c r="F27">
        <f t="shared" si="0"/>
        <v>5.4126752839187207</v>
      </c>
      <c r="G27">
        <f t="shared" si="5"/>
        <v>3.0203252957547173</v>
      </c>
      <c r="Q27">
        <v>0.41860000000000003</v>
      </c>
      <c r="R27">
        <v>233.042</v>
      </c>
      <c r="S27">
        <f t="shared" si="4"/>
        <v>233.12520000000001</v>
      </c>
      <c r="T27" s="3">
        <v>1.3260093896713614</v>
      </c>
      <c r="V27">
        <f t="shared" si="1"/>
        <v>5.4515756483065596</v>
      </c>
      <c r="W27">
        <f t="shared" si="2"/>
        <v>3.7393464788732391</v>
      </c>
    </row>
    <row r="28" spans="1:23" x14ac:dyDescent="0.3">
      <c r="A28">
        <v>0.39609</v>
      </c>
      <c r="B28">
        <v>222.923</v>
      </c>
      <c r="C28">
        <f t="shared" si="3"/>
        <v>223.37166666666667</v>
      </c>
      <c r="D28" s="3">
        <v>1.0633584905660376</v>
      </c>
      <c r="F28">
        <f t="shared" si="0"/>
        <v>5.4088370507791801</v>
      </c>
      <c r="G28">
        <f t="shared" si="5"/>
        <v>3.0041738235849054</v>
      </c>
      <c r="Q28">
        <v>0.43540000000000001</v>
      </c>
      <c r="R28">
        <v>233</v>
      </c>
      <c r="S28">
        <f t="shared" si="4"/>
        <v>232.64180000000002</v>
      </c>
      <c r="T28" s="3">
        <v>1.3238497652582157</v>
      </c>
      <c r="V28">
        <f t="shared" si="1"/>
        <v>5.449499931591701</v>
      </c>
      <c r="W28">
        <f t="shared" si="2"/>
        <v>3.733256338028168</v>
      </c>
    </row>
    <row r="29" spans="1:23" x14ac:dyDescent="0.3">
      <c r="A29">
        <v>0.41132999999999997</v>
      </c>
      <c r="B29">
        <v>222.346</v>
      </c>
      <c r="C29">
        <f t="shared" si="3"/>
        <v>222.25633333333334</v>
      </c>
      <c r="D29" s="3">
        <v>1.0576415094339622</v>
      </c>
      <c r="F29">
        <f t="shared" si="0"/>
        <v>5.4038313704259435</v>
      </c>
      <c r="G29">
        <f t="shared" si="5"/>
        <v>2.9880223514150943</v>
      </c>
      <c r="Q29">
        <v>0.4521</v>
      </c>
      <c r="R29">
        <v>232.125</v>
      </c>
      <c r="S29">
        <f t="shared" si="4"/>
        <v>232.09180000000001</v>
      </c>
      <c r="T29" s="3">
        <v>1.3216901408450703</v>
      </c>
      <c r="V29">
        <f t="shared" si="1"/>
        <v>5.4471329830569761</v>
      </c>
      <c r="W29">
        <f t="shared" si="2"/>
        <v>3.7271661971830978</v>
      </c>
    </row>
    <row r="30" spans="1:23" x14ac:dyDescent="0.3">
      <c r="A30">
        <v>0.42655999999999999</v>
      </c>
      <c r="B30">
        <v>221.5</v>
      </c>
      <c r="C30">
        <f t="shared" si="3"/>
        <v>221.32033333333334</v>
      </c>
      <c r="D30" s="3">
        <v>1.0519245283018868</v>
      </c>
      <c r="F30">
        <f t="shared" si="0"/>
        <v>5.3996111241436013</v>
      </c>
      <c r="G30">
        <f t="shared" si="5"/>
        <v>2.9718708792452833</v>
      </c>
      <c r="Q30">
        <v>0.46879999999999999</v>
      </c>
      <c r="R30">
        <v>231.5</v>
      </c>
      <c r="S30">
        <f t="shared" si="4"/>
        <v>231.52500000000001</v>
      </c>
      <c r="T30" s="3">
        <v>1.3195305164319246</v>
      </c>
      <c r="V30">
        <f t="shared" si="1"/>
        <v>5.4446878590563328</v>
      </c>
      <c r="W30">
        <f t="shared" si="2"/>
        <v>3.7210760563380272</v>
      </c>
    </row>
    <row r="31" spans="1:23" x14ac:dyDescent="0.3">
      <c r="A31">
        <v>0.44180000000000003</v>
      </c>
      <c r="B31">
        <v>220.11500000000001</v>
      </c>
      <c r="C31">
        <f t="shared" si="3"/>
        <v>220.14099999999999</v>
      </c>
      <c r="D31" s="3">
        <v>1.0462075471698113</v>
      </c>
      <c r="F31">
        <f t="shared" si="0"/>
        <v>5.3942682501487509</v>
      </c>
      <c r="G31">
        <f t="shared" si="5"/>
        <v>2.9557194070754722</v>
      </c>
      <c r="Q31">
        <v>0.48559999999999998</v>
      </c>
      <c r="R31">
        <v>230.792</v>
      </c>
      <c r="S31">
        <f t="shared" si="4"/>
        <v>230.96660000000003</v>
      </c>
      <c r="T31" s="3">
        <v>1.3173708920187792</v>
      </c>
      <c r="V31">
        <f t="shared" si="1"/>
        <v>5.442273111323245</v>
      </c>
      <c r="W31">
        <f t="shared" si="2"/>
        <v>3.714985915492957</v>
      </c>
    </row>
    <row r="32" spans="1:23" x14ac:dyDescent="0.3">
      <c r="A32">
        <v>0.45702999999999999</v>
      </c>
      <c r="B32">
        <v>218.80799999999999</v>
      </c>
      <c r="C32">
        <f t="shared" si="3"/>
        <v>218.79499999999999</v>
      </c>
      <c r="D32" s="3">
        <v>1.0404905660377357</v>
      </c>
      <c r="F32">
        <f t="shared" si="0"/>
        <v>5.3881352183671556</v>
      </c>
      <c r="G32">
        <f t="shared" si="5"/>
        <v>2.9395679349056603</v>
      </c>
      <c r="Q32">
        <v>0.50229999999999997</v>
      </c>
      <c r="R32">
        <v>230.208</v>
      </c>
      <c r="S32">
        <f t="shared" si="4"/>
        <v>230.44160000000002</v>
      </c>
      <c r="T32" s="3">
        <v>1.3152112676056336</v>
      </c>
      <c r="V32">
        <f t="shared" si="1"/>
        <v>5.439997468079099</v>
      </c>
      <c r="W32">
        <f t="shared" si="2"/>
        <v>3.7088957746478863</v>
      </c>
    </row>
    <row r="33" spans="1:23" x14ac:dyDescent="0.3">
      <c r="A33">
        <v>0.47226000000000001</v>
      </c>
      <c r="B33">
        <v>217.46199999999999</v>
      </c>
      <c r="C33">
        <f t="shared" si="3"/>
        <v>217.56433333333334</v>
      </c>
      <c r="D33" s="3">
        <v>1.0347735849056603</v>
      </c>
      <c r="F33">
        <f t="shared" si="0"/>
        <v>5.3824945922334626</v>
      </c>
      <c r="G33">
        <f t="shared" si="5"/>
        <v>2.9234164627358492</v>
      </c>
      <c r="Q33">
        <v>0.51910000000000001</v>
      </c>
      <c r="R33">
        <v>230.208</v>
      </c>
      <c r="S33">
        <f t="shared" si="4"/>
        <v>229.89160000000001</v>
      </c>
      <c r="T33" s="3">
        <v>1.3130516431924881</v>
      </c>
      <c r="V33">
        <f t="shared" si="1"/>
        <v>5.4376078934765664</v>
      </c>
      <c r="W33">
        <f t="shared" si="2"/>
        <v>3.7028056338028161</v>
      </c>
    </row>
    <row r="34" spans="1:23" x14ac:dyDescent="0.3">
      <c r="A34">
        <v>0.48749999999999999</v>
      </c>
      <c r="B34">
        <v>216.423</v>
      </c>
      <c r="C34">
        <f t="shared" si="3"/>
        <v>216.55133333333333</v>
      </c>
      <c r="D34" s="3">
        <v>1.0290566037735849</v>
      </c>
      <c r="F34">
        <f t="shared" si="0"/>
        <v>5.3778276248032286</v>
      </c>
      <c r="G34">
        <f t="shared" si="5"/>
        <v>2.9072649905660377</v>
      </c>
      <c r="Q34">
        <v>0.53580000000000005</v>
      </c>
      <c r="R34">
        <v>229.5</v>
      </c>
      <c r="S34">
        <f t="shared" si="4"/>
        <v>229.34980000000002</v>
      </c>
      <c r="T34" s="3">
        <v>1.3108920187793425</v>
      </c>
      <c r="V34">
        <f t="shared" si="1"/>
        <v>5.4352483490131522</v>
      </c>
      <c r="W34">
        <f t="shared" si="2"/>
        <v>3.6967154929577455</v>
      </c>
    </row>
    <row r="35" spans="1:23" x14ac:dyDescent="0.3">
      <c r="A35">
        <v>0.50273000000000001</v>
      </c>
      <c r="B35">
        <v>215.76900000000001</v>
      </c>
      <c r="C35">
        <f t="shared" si="3"/>
        <v>215.55133333333333</v>
      </c>
      <c r="D35" s="3">
        <v>1.0233396226415095</v>
      </c>
      <c r="F35">
        <f t="shared" si="0"/>
        <v>5.3731990869004482</v>
      </c>
      <c r="G35">
        <f t="shared" si="5"/>
        <v>2.8911135183962267</v>
      </c>
      <c r="Q35">
        <v>0.55259999999999998</v>
      </c>
      <c r="R35">
        <v>228.75</v>
      </c>
      <c r="S35">
        <f t="shared" si="4"/>
        <v>228.64159999999998</v>
      </c>
      <c r="T35" s="3">
        <v>1.308732394366197</v>
      </c>
      <c r="V35">
        <f t="shared" si="1"/>
        <v>5.4321557120577015</v>
      </c>
      <c r="W35">
        <f t="shared" si="2"/>
        <v>3.6906253521126753</v>
      </c>
    </row>
    <row r="36" spans="1:23" x14ac:dyDescent="0.3">
      <c r="A36">
        <v>0.51797000000000004</v>
      </c>
      <c r="B36">
        <v>214.46199999999999</v>
      </c>
      <c r="C36">
        <f t="shared" si="3"/>
        <v>214.577</v>
      </c>
      <c r="D36" s="3">
        <v>1.0176226415094338</v>
      </c>
      <c r="F36">
        <f t="shared" si="0"/>
        <v>5.3686686483111661</v>
      </c>
      <c r="G36">
        <f t="shared" si="5"/>
        <v>2.8749620462264147</v>
      </c>
      <c r="Q36">
        <v>0.56930000000000003</v>
      </c>
      <c r="R36">
        <v>228.083</v>
      </c>
      <c r="S36">
        <f t="shared" si="4"/>
        <v>227.81660000000002</v>
      </c>
      <c r="T36" s="3">
        <v>1.3065727699530514</v>
      </c>
      <c r="V36">
        <f t="shared" si="1"/>
        <v>5.4285409192975447</v>
      </c>
      <c r="W36">
        <f t="shared" si="2"/>
        <v>3.6845352112676046</v>
      </c>
    </row>
    <row r="37" spans="1:23" x14ac:dyDescent="0.3">
      <c r="A37">
        <v>0.53320000000000001</v>
      </c>
      <c r="B37">
        <v>213.5</v>
      </c>
      <c r="C37">
        <f t="shared" si="3"/>
        <v>213.42333333333332</v>
      </c>
      <c r="D37" s="3">
        <v>1.0119056603773584</v>
      </c>
      <c r="F37">
        <f t="shared" si="0"/>
        <v>5.3632776737213703</v>
      </c>
      <c r="G37">
        <f t="shared" si="5"/>
        <v>2.8588105740566037</v>
      </c>
      <c r="Q37">
        <v>0.58609999999999995</v>
      </c>
      <c r="R37">
        <v>226.667</v>
      </c>
      <c r="S37">
        <f t="shared" si="4"/>
        <v>226.97499999999999</v>
      </c>
      <c r="T37" s="3">
        <v>1.3044131455399059</v>
      </c>
      <c r="V37">
        <f t="shared" si="1"/>
        <v>5.4248398792578207</v>
      </c>
      <c r="W37">
        <f t="shared" si="2"/>
        <v>3.6784450704225344</v>
      </c>
    </row>
    <row r="38" spans="1:23" x14ac:dyDescent="0.3">
      <c r="A38">
        <v>0.54844000000000004</v>
      </c>
      <c r="B38">
        <v>212.30799999999999</v>
      </c>
      <c r="C38">
        <f t="shared" si="3"/>
        <v>212.23099999999999</v>
      </c>
      <c r="D38" s="3">
        <v>1.006188679245283</v>
      </c>
      <c r="F38">
        <f t="shared" si="0"/>
        <v>5.3576753041056477</v>
      </c>
      <c r="G38">
        <f t="shared" si="5"/>
        <v>2.8426591018867926</v>
      </c>
      <c r="Q38">
        <v>0.6028</v>
      </c>
      <c r="R38">
        <v>226.083</v>
      </c>
      <c r="S38">
        <f t="shared" si="4"/>
        <v>225.98339999999999</v>
      </c>
      <c r="T38" s="3">
        <v>1.3022535211267603</v>
      </c>
      <c r="V38">
        <f t="shared" si="1"/>
        <v>5.4204615452471714</v>
      </c>
      <c r="W38">
        <f t="shared" si="2"/>
        <v>3.6723549295774638</v>
      </c>
    </row>
    <row r="39" spans="1:23" x14ac:dyDescent="0.3">
      <c r="A39">
        <v>0.56367</v>
      </c>
      <c r="B39">
        <v>210.88499999999999</v>
      </c>
      <c r="C39">
        <f t="shared" si="3"/>
        <v>210.94899999999998</v>
      </c>
      <c r="D39" s="3">
        <v>1.0004716981132076</v>
      </c>
      <c r="F39">
        <f t="shared" si="0"/>
        <v>5.3516163980992868</v>
      </c>
      <c r="G39">
        <f t="shared" si="5"/>
        <v>2.8265076297169816</v>
      </c>
      <c r="Q39">
        <v>0.61950000000000005</v>
      </c>
      <c r="R39">
        <v>225.292</v>
      </c>
      <c r="S39">
        <f t="shared" si="4"/>
        <v>225.00840000000002</v>
      </c>
      <c r="T39" s="3">
        <v>1.3000938967136149</v>
      </c>
      <c r="V39">
        <f t="shared" si="1"/>
        <v>5.4161377348408823</v>
      </c>
      <c r="W39">
        <f t="shared" si="2"/>
        <v>3.6662647887323936</v>
      </c>
    </row>
    <row r="40" spans="1:23" x14ac:dyDescent="0.3">
      <c r="A40">
        <v>0.57889999999999997</v>
      </c>
      <c r="B40">
        <v>209.654</v>
      </c>
      <c r="C40">
        <f t="shared" si="3"/>
        <v>209.654</v>
      </c>
      <c r="D40" s="3">
        <v>0.99475471698113205</v>
      </c>
      <c r="F40">
        <f t="shared" si="0"/>
        <v>5.3454585528528398</v>
      </c>
      <c r="G40">
        <f t="shared" si="5"/>
        <v>2.8103561575471701</v>
      </c>
      <c r="Q40">
        <v>0.63629999999999998</v>
      </c>
      <c r="R40">
        <v>223.792</v>
      </c>
      <c r="S40">
        <f t="shared" si="4"/>
        <v>224.16660000000002</v>
      </c>
      <c r="T40" s="3">
        <v>1.2979342723004692</v>
      </c>
      <c r="V40">
        <f t="shared" si="1"/>
        <v>5.4123895254100711</v>
      </c>
      <c r="W40">
        <f t="shared" si="2"/>
        <v>3.6601746478873229</v>
      </c>
    </row>
    <row r="41" spans="1:23" x14ac:dyDescent="0.3">
      <c r="A41">
        <v>0.59414</v>
      </c>
      <c r="B41">
        <v>208.423</v>
      </c>
      <c r="C41">
        <f t="shared" si="3"/>
        <v>208.5</v>
      </c>
      <c r="D41" s="3">
        <v>0.98903773584905652</v>
      </c>
      <c r="F41">
        <f t="shared" si="0"/>
        <v>5.3399390412388561</v>
      </c>
      <c r="G41">
        <f t="shared" si="5"/>
        <v>2.7942046853773586</v>
      </c>
      <c r="Q41">
        <v>0.65300000000000002</v>
      </c>
      <c r="R41">
        <v>223.208</v>
      </c>
      <c r="S41">
        <f t="shared" si="4"/>
        <v>223.21660000000003</v>
      </c>
      <c r="T41" s="3">
        <v>1.2957746478873238</v>
      </c>
      <c r="V41">
        <f t="shared" si="1"/>
        <v>5.4081426005014963</v>
      </c>
      <c r="W41">
        <f t="shared" si="2"/>
        <v>3.6540845070422527</v>
      </c>
    </row>
    <row r="42" spans="1:23" x14ac:dyDescent="0.3">
      <c r="A42">
        <v>0.60936999999999997</v>
      </c>
      <c r="B42">
        <v>207.423</v>
      </c>
      <c r="C42">
        <f t="shared" si="3"/>
        <v>207.52566666666667</v>
      </c>
      <c r="D42" s="3">
        <v>0.9833207547169811</v>
      </c>
      <c r="F42">
        <f t="shared" si="0"/>
        <v>5.3352550268003007</v>
      </c>
      <c r="G42">
        <f t="shared" si="5"/>
        <v>2.7780532132075475</v>
      </c>
      <c r="Q42">
        <v>0.66979999999999995</v>
      </c>
      <c r="R42">
        <v>222.458</v>
      </c>
      <c r="S42">
        <f t="shared" si="4"/>
        <v>222.28319999999999</v>
      </c>
      <c r="T42" s="3">
        <v>1.2936150234741781</v>
      </c>
      <c r="V42">
        <f t="shared" si="1"/>
        <v>5.403952244565069</v>
      </c>
      <c r="W42">
        <f t="shared" si="2"/>
        <v>3.6479943661971821</v>
      </c>
    </row>
    <row r="43" spans="1:23" x14ac:dyDescent="0.3">
      <c r="A43">
        <v>0.62461</v>
      </c>
      <c r="B43">
        <v>206.73099999999999</v>
      </c>
      <c r="C43">
        <f t="shared" si="3"/>
        <v>205.923</v>
      </c>
      <c r="D43" s="3">
        <v>0.97760377358490558</v>
      </c>
      <c r="F43">
        <f t="shared" si="0"/>
        <v>5.3275023125062617</v>
      </c>
      <c r="G43">
        <f t="shared" si="5"/>
        <v>2.761901741037736</v>
      </c>
      <c r="Q43">
        <v>0.6865</v>
      </c>
      <c r="R43">
        <v>221.333</v>
      </c>
      <c r="S43">
        <f t="shared" si="4"/>
        <v>221.34140000000002</v>
      </c>
      <c r="T43" s="3">
        <v>1.2914553990610327</v>
      </c>
      <c r="V43">
        <f t="shared" si="1"/>
        <v>5.3997063059273254</v>
      </c>
      <c r="W43">
        <f t="shared" si="2"/>
        <v>3.6419042253521119</v>
      </c>
    </row>
    <row r="44" spans="1:23" x14ac:dyDescent="0.3">
      <c r="A44">
        <v>0.63983999999999996</v>
      </c>
      <c r="B44">
        <v>203.61500000000001</v>
      </c>
      <c r="C44">
        <f t="shared" si="3"/>
        <v>204.62800000000001</v>
      </c>
      <c r="D44" s="3">
        <v>0.97188679245283016</v>
      </c>
      <c r="F44">
        <f t="shared" si="0"/>
        <v>5.3211936965490088</v>
      </c>
      <c r="G44">
        <f t="shared" si="5"/>
        <v>2.7457502688679245</v>
      </c>
      <c r="Q44">
        <v>0.70330000000000004</v>
      </c>
      <c r="R44">
        <v>220.625</v>
      </c>
      <c r="S44">
        <f t="shared" si="4"/>
        <v>220.12479999999996</v>
      </c>
      <c r="T44" s="3">
        <v>1.289295774647887</v>
      </c>
      <c r="V44">
        <f t="shared" si="1"/>
        <v>5.3941946582412834</v>
      </c>
      <c r="W44">
        <f t="shared" si="2"/>
        <v>3.6358140845070412</v>
      </c>
    </row>
    <row r="45" spans="1:23" x14ac:dyDescent="0.3">
      <c r="A45">
        <v>0.65508</v>
      </c>
      <c r="B45">
        <v>203.53800000000001</v>
      </c>
      <c r="C45">
        <f t="shared" si="3"/>
        <v>203.38433333333333</v>
      </c>
      <c r="D45" s="3">
        <v>0.96616981132075463</v>
      </c>
      <c r="F45">
        <f t="shared" si="0"/>
        <v>5.3150974567213831</v>
      </c>
      <c r="G45">
        <f t="shared" si="5"/>
        <v>2.729598796698113</v>
      </c>
      <c r="Q45">
        <v>0.72</v>
      </c>
      <c r="R45">
        <v>219.083</v>
      </c>
      <c r="S45">
        <f t="shared" si="4"/>
        <v>218.65819999999999</v>
      </c>
      <c r="T45" s="3">
        <v>1.2871361502347416</v>
      </c>
      <c r="V45">
        <f t="shared" si="1"/>
        <v>5.3875097800141649</v>
      </c>
      <c r="W45">
        <f t="shared" si="2"/>
        <v>3.629723943661971</v>
      </c>
    </row>
    <row r="46" spans="1:23" x14ac:dyDescent="0.3">
      <c r="A46">
        <v>0.67030999999999996</v>
      </c>
      <c r="B46">
        <v>203</v>
      </c>
      <c r="C46">
        <f t="shared" si="3"/>
        <v>202.97433333333333</v>
      </c>
      <c r="D46" s="3">
        <v>0.96045283018867922</v>
      </c>
      <c r="F46">
        <f t="shared" si="0"/>
        <v>5.3130795342663744</v>
      </c>
      <c r="G46">
        <f t="shared" si="5"/>
        <v>2.713447324528302</v>
      </c>
      <c r="Q46">
        <v>0.73680000000000001</v>
      </c>
      <c r="R46">
        <v>217.125</v>
      </c>
      <c r="S46">
        <f t="shared" si="4"/>
        <v>217.16660000000002</v>
      </c>
      <c r="T46" s="3">
        <v>1.2849765258215959</v>
      </c>
      <c r="V46">
        <f t="shared" si="1"/>
        <v>5.3806648009128599</v>
      </c>
      <c r="W46">
        <f t="shared" si="2"/>
        <v>3.6236338028169004</v>
      </c>
    </row>
    <row r="47" spans="1:23" x14ac:dyDescent="0.3">
      <c r="A47">
        <v>0.68554000000000004</v>
      </c>
      <c r="B47">
        <v>202.38499999999999</v>
      </c>
      <c r="C47">
        <f t="shared" si="3"/>
        <v>202.17966666666666</v>
      </c>
      <c r="D47" s="3">
        <v>0.9547358490566038</v>
      </c>
      <c r="F47">
        <f t="shared" si="0"/>
        <v>5.3091567410286711</v>
      </c>
      <c r="G47">
        <f t="shared" si="5"/>
        <v>2.6972958523584909</v>
      </c>
      <c r="Q47">
        <v>0.75349999999999995</v>
      </c>
      <c r="R47">
        <v>215.125</v>
      </c>
      <c r="S47">
        <f t="shared" si="4"/>
        <v>215.65819999999999</v>
      </c>
      <c r="T47" s="3">
        <v>1.2828169014084505</v>
      </c>
      <c r="V47">
        <f t="shared" si="1"/>
        <v>5.3736947469477965</v>
      </c>
      <c r="W47">
        <f t="shared" si="2"/>
        <v>3.6175436619718302</v>
      </c>
    </row>
    <row r="48" spans="1:23" x14ac:dyDescent="0.3">
      <c r="A48">
        <v>0.70077999999999996</v>
      </c>
      <c r="B48">
        <v>201.154</v>
      </c>
      <c r="C48">
        <f t="shared" si="3"/>
        <v>201.077</v>
      </c>
      <c r="D48" s="3">
        <v>0.94901886792452828</v>
      </c>
      <c r="F48">
        <f t="shared" si="0"/>
        <v>5.303687919278028</v>
      </c>
      <c r="G48">
        <f t="shared" si="5"/>
        <v>2.6811443801886794</v>
      </c>
      <c r="Q48">
        <v>0.7702</v>
      </c>
      <c r="R48">
        <v>213.875</v>
      </c>
      <c r="S48">
        <f t="shared" si="4"/>
        <v>214.24160000000001</v>
      </c>
      <c r="T48" s="3">
        <v>1.2806572769953051</v>
      </c>
      <c r="V48">
        <f t="shared" si="1"/>
        <v>5.3671043501748708</v>
      </c>
      <c r="W48">
        <f t="shared" si="2"/>
        <v>3.61145352112676</v>
      </c>
    </row>
    <row r="49" spans="1:23" x14ac:dyDescent="0.3">
      <c r="A49">
        <v>0.71601000000000004</v>
      </c>
      <c r="B49">
        <v>199.69200000000001</v>
      </c>
      <c r="C49">
        <f t="shared" si="3"/>
        <v>199.71799999999999</v>
      </c>
      <c r="D49" s="3">
        <v>0.94330188679245275</v>
      </c>
      <c r="F49">
        <f t="shared" si="0"/>
        <v>5.2969063715626401</v>
      </c>
      <c r="G49">
        <f t="shared" si="5"/>
        <v>2.6649929080188679</v>
      </c>
      <c r="Q49">
        <v>0.78700000000000003</v>
      </c>
      <c r="R49">
        <v>213.083</v>
      </c>
      <c r="S49">
        <f t="shared" si="4"/>
        <v>212.95819999999998</v>
      </c>
      <c r="T49" s="3">
        <v>1.2784976525821594</v>
      </c>
      <c r="V49">
        <f t="shared" si="1"/>
        <v>5.3610959023195708</v>
      </c>
      <c r="W49">
        <f t="shared" si="2"/>
        <v>3.6053633802816893</v>
      </c>
    </row>
    <row r="50" spans="1:23" x14ac:dyDescent="0.3">
      <c r="A50">
        <v>0.73124999999999996</v>
      </c>
      <c r="B50">
        <v>198.30799999999999</v>
      </c>
      <c r="C50">
        <f t="shared" si="3"/>
        <v>198.55133333333333</v>
      </c>
      <c r="D50" s="3">
        <v>0.93758490566037733</v>
      </c>
      <c r="F50">
        <f t="shared" si="0"/>
        <v>5.2910476729076885</v>
      </c>
      <c r="G50">
        <f t="shared" si="5"/>
        <v>2.6488414358490568</v>
      </c>
      <c r="Q50">
        <v>0.80369999999999997</v>
      </c>
      <c r="R50">
        <v>212</v>
      </c>
      <c r="S50">
        <f t="shared" si="4"/>
        <v>211.70819999999998</v>
      </c>
      <c r="T50" s="3">
        <v>1.276338028169014</v>
      </c>
      <c r="V50">
        <f t="shared" si="1"/>
        <v>5.3552089114483037</v>
      </c>
      <c r="W50">
        <f t="shared" si="2"/>
        <v>3.5992732394366191</v>
      </c>
    </row>
    <row r="51" spans="1:23" x14ac:dyDescent="0.3">
      <c r="A51">
        <v>0.74648000000000003</v>
      </c>
      <c r="B51">
        <v>197.654</v>
      </c>
      <c r="C51">
        <f t="shared" si="3"/>
        <v>197.24366666666666</v>
      </c>
      <c r="D51" s="3">
        <v>0.93186792452830192</v>
      </c>
      <c r="F51">
        <f t="shared" si="0"/>
        <v>5.2844398510567245</v>
      </c>
      <c r="G51">
        <f t="shared" si="5"/>
        <v>2.6326899636792453</v>
      </c>
      <c r="Q51">
        <v>0.82050000000000001</v>
      </c>
      <c r="R51">
        <v>210.708</v>
      </c>
      <c r="S51">
        <f t="shared" si="4"/>
        <v>210.25819999999999</v>
      </c>
      <c r="T51" s="3">
        <v>1.2741784037558683</v>
      </c>
      <c r="V51">
        <f t="shared" si="1"/>
        <v>5.3483362992815913</v>
      </c>
      <c r="W51">
        <f t="shared" si="2"/>
        <v>3.5931830985915485</v>
      </c>
    </row>
    <row r="52" spans="1:23" x14ac:dyDescent="0.3">
      <c r="A52">
        <v>0.76171999999999995</v>
      </c>
      <c r="B52">
        <v>195.76900000000001</v>
      </c>
      <c r="C52">
        <f t="shared" si="3"/>
        <v>196.05133333333333</v>
      </c>
      <c r="D52" s="3">
        <v>0.92615094339622639</v>
      </c>
      <c r="F52">
        <f t="shared" si="0"/>
        <v>5.2783765297013572</v>
      </c>
      <c r="G52">
        <f t="shared" si="5"/>
        <v>2.6165384915094343</v>
      </c>
      <c r="Q52">
        <v>0.83720000000000006</v>
      </c>
      <c r="R52">
        <v>208.875</v>
      </c>
      <c r="S52">
        <f t="shared" si="4"/>
        <v>208.55</v>
      </c>
      <c r="T52" s="3">
        <v>1.2720187793427229</v>
      </c>
      <c r="V52">
        <f t="shared" si="1"/>
        <v>5.3401788206429543</v>
      </c>
      <c r="W52">
        <f t="shared" si="2"/>
        <v>3.5870929577464783</v>
      </c>
    </row>
    <row r="53" spans="1:23" x14ac:dyDescent="0.3">
      <c r="A53">
        <v>0.77695000000000003</v>
      </c>
      <c r="B53">
        <v>194.73099999999999</v>
      </c>
      <c r="C53">
        <f t="shared" si="3"/>
        <v>194.73066666666668</v>
      </c>
      <c r="D53" s="3">
        <v>0.92043396226415086</v>
      </c>
      <c r="F53">
        <f t="shared" si="0"/>
        <v>5.2716174072513367</v>
      </c>
      <c r="G53">
        <f t="shared" si="5"/>
        <v>2.6003870193396228</v>
      </c>
      <c r="Q53">
        <v>0.85399999999999998</v>
      </c>
      <c r="R53">
        <v>206.625</v>
      </c>
      <c r="S53">
        <f t="shared" si="4"/>
        <v>206.73339999999999</v>
      </c>
      <c r="T53" s="3">
        <v>1.2698591549295772</v>
      </c>
      <c r="V53">
        <f t="shared" si="1"/>
        <v>5.3314300404748076</v>
      </c>
      <c r="W53">
        <f t="shared" si="2"/>
        <v>3.5810028169014076</v>
      </c>
    </row>
    <row r="54" spans="1:23" x14ac:dyDescent="0.3">
      <c r="A54">
        <v>0.79218</v>
      </c>
      <c r="B54">
        <v>193.69200000000001</v>
      </c>
      <c r="C54">
        <f t="shared" si="3"/>
        <v>193.58966666666666</v>
      </c>
      <c r="D54" s="3">
        <v>0.91471698113207545</v>
      </c>
      <c r="F54">
        <f t="shared" si="0"/>
        <v>5.2657407987623515</v>
      </c>
      <c r="G54">
        <f t="shared" si="5"/>
        <v>2.5842355471698113</v>
      </c>
      <c r="Q54">
        <v>0.87070000000000003</v>
      </c>
      <c r="R54">
        <v>204.542</v>
      </c>
      <c r="S54">
        <f t="shared" si="4"/>
        <v>204.70840000000001</v>
      </c>
      <c r="T54" s="3">
        <v>1.2676995305164318</v>
      </c>
      <c r="V54">
        <f t="shared" si="1"/>
        <v>5.3215865274872485</v>
      </c>
      <c r="W54">
        <f t="shared" si="2"/>
        <v>3.5749126760563374</v>
      </c>
    </row>
    <row r="55" spans="1:23" x14ac:dyDescent="0.3">
      <c r="A55">
        <v>0.80742000000000003</v>
      </c>
      <c r="B55">
        <v>192.346</v>
      </c>
      <c r="C55">
        <f t="shared" si="3"/>
        <v>192.56399999999999</v>
      </c>
      <c r="D55" s="3">
        <v>0.90900000000000003</v>
      </c>
      <c r="F55">
        <f t="shared" si="0"/>
        <v>5.2604285660052232</v>
      </c>
      <c r="G55">
        <f t="shared" si="5"/>
        <v>2.5680840750000002</v>
      </c>
      <c r="Q55">
        <v>0.88749999999999996</v>
      </c>
      <c r="R55">
        <v>202.917</v>
      </c>
      <c r="S55">
        <f t="shared" si="4"/>
        <v>202.71680000000001</v>
      </c>
      <c r="T55" s="3">
        <v>1.2655399061032861</v>
      </c>
      <c r="V55">
        <f t="shared" si="1"/>
        <v>5.3118099311285869</v>
      </c>
      <c r="W55">
        <f t="shared" si="2"/>
        <v>3.5688225352112668</v>
      </c>
    </row>
    <row r="56" spans="1:23" x14ac:dyDescent="0.3">
      <c r="A56">
        <v>0.82264999999999999</v>
      </c>
      <c r="B56">
        <v>191.654</v>
      </c>
      <c r="C56">
        <f t="shared" si="3"/>
        <v>191.60266666666666</v>
      </c>
      <c r="D56" s="3">
        <v>0.9032830188679245</v>
      </c>
      <c r="F56">
        <f t="shared" si="0"/>
        <v>5.2554237833243889</v>
      </c>
      <c r="G56">
        <f t="shared" si="5"/>
        <v>2.5519326028301887</v>
      </c>
      <c r="Q56">
        <v>0.9042</v>
      </c>
      <c r="R56">
        <v>200.583</v>
      </c>
      <c r="S56">
        <f t="shared" si="4"/>
        <v>200.83340000000001</v>
      </c>
      <c r="T56" s="3">
        <v>1.2633802816901407</v>
      </c>
      <c r="V56">
        <f t="shared" si="1"/>
        <v>5.3024757086468526</v>
      </c>
      <c r="W56">
        <f t="shared" si="2"/>
        <v>3.5627323943661966</v>
      </c>
    </row>
    <row r="57" spans="1:23" x14ac:dyDescent="0.3">
      <c r="A57">
        <v>0.83789000000000002</v>
      </c>
      <c r="B57">
        <v>190.80799999999999</v>
      </c>
      <c r="C57">
        <f t="shared" si="3"/>
        <v>190.69233333333332</v>
      </c>
      <c r="D57" s="3">
        <v>0.89756603773584898</v>
      </c>
      <c r="F57">
        <f t="shared" si="0"/>
        <v>5.2506613090364658</v>
      </c>
      <c r="G57">
        <f t="shared" si="5"/>
        <v>2.5357811306603772</v>
      </c>
      <c r="Q57">
        <v>0.92090000000000005</v>
      </c>
      <c r="R57">
        <v>198.917</v>
      </c>
      <c r="S57">
        <f t="shared" si="4"/>
        <v>198.9084</v>
      </c>
      <c r="T57" s="3">
        <v>1.2612206572769951</v>
      </c>
      <c r="V57">
        <f t="shared" si="1"/>
        <v>5.2928444172456954</v>
      </c>
      <c r="W57">
        <f t="shared" si="2"/>
        <v>3.556642253521126</v>
      </c>
    </row>
    <row r="58" spans="1:23" x14ac:dyDescent="0.3">
      <c r="A58">
        <v>0.85311999999999999</v>
      </c>
      <c r="B58">
        <v>189.61500000000001</v>
      </c>
      <c r="C58">
        <f t="shared" si="3"/>
        <v>189.83333333333334</v>
      </c>
      <c r="D58" s="3">
        <v>0.89184905660377356</v>
      </c>
      <c r="F58">
        <f t="shared" si="0"/>
        <v>5.2461464942191274</v>
      </c>
      <c r="G58">
        <f t="shared" si="5"/>
        <v>2.5196296584905662</v>
      </c>
      <c r="Q58">
        <v>0.93769999999999998</v>
      </c>
      <c r="R58">
        <v>197.208</v>
      </c>
      <c r="S58">
        <f t="shared" si="4"/>
        <v>196.75839999999999</v>
      </c>
      <c r="T58" s="3">
        <v>1.2590610328638496</v>
      </c>
      <c r="V58">
        <f t="shared" si="1"/>
        <v>5.2819765801599843</v>
      </c>
      <c r="W58">
        <f t="shared" si="2"/>
        <v>3.5505521126760557</v>
      </c>
    </row>
    <row r="59" spans="1:23" x14ac:dyDescent="0.3">
      <c r="A59">
        <v>0.86836000000000002</v>
      </c>
      <c r="B59">
        <v>189.077</v>
      </c>
      <c r="C59">
        <f t="shared" si="3"/>
        <v>188.82033333333334</v>
      </c>
      <c r="D59" s="3">
        <v>0.88613207547169814</v>
      </c>
      <c r="F59">
        <f t="shared" si="0"/>
        <v>5.2407959456525282</v>
      </c>
      <c r="G59">
        <f t="shared" si="5"/>
        <v>2.5034781863207551</v>
      </c>
      <c r="Q59">
        <v>0.95440000000000003</v>
      </c>
      <c r="R59">
        <v>194.917</v>
      </c>
      <c r="S59">
        <f t="shared" si="4"/>
        <v>194.47520000000003</v>
      </c>
      <c r="T59" s="3">
        <v>1.256901408450704</v>
      </c>
      <c r="V59">
        <f t="shared" si="1"/>
        <v>5.2703046485021305</v>
      </c>
      <c r="W59">
        <f t="shared" si="2"/>
        <v>3.5444619718309851</v>
      </c>
    </row>
    <row r="60" spans="1:23" x14ac:dyDescent="0.3">
      <c r="A60">
        <v>0.88358999999999999</v>
      </c>
      <c r="B60">
        <v>187.76900000000001</v>
      </c>
      <c r="C60">
        <f t="shared" si="3"/>
        <v>187.923</v>
      </c>
      <c r="D60" s="3">
        <v>0.88041509433962262</v>
      </c>
      <c r="F60">
        <f t="shared" si="0"/>
        <v>5.2360323044633326</v>
      </c>
      <c r="G60">
        <f t="shared" si="5"/>
        <v>2.4873267141509436</v>
      </c>
      <c r="Q60">
        <v>0.97119999999999995</v>
      </c>
      <c r="R60">
        <v>192.167</v>
      </c>
      <c r="S60">
        <f t="shared" si="4"/>
        <v>192.10840000000002</v>
      </c>
      <c r="T60" s="3">
        <v>1.2547417840375585</v>
      </c>
      <c r="V60">
        <f t="shared" si="1"/>
        <v>5.2580597960439075</v>
      </c>
      <c r="W60">
        <f t="shared" si="2"/>
        <v>3.5383718309859149</v>
      </c>
    </row>
    <row r="61" spans="1:23" x14ac:dyDescent="0.3">
      <c r="A61">
        <v>0.89881999999999995</v>
      </c>
      <c r="B61">
        <v>186.923</v>
      </c>
      <c r="C61">
        <f t="shared" si="3"/>
        <v>186.74333333333334</v>
      </c>
      <c r="D61" s="3">
        <v>0.87469811320754709</v>
      </c>
      <c r="F61">
        <f t="shared" si="0"/>
        <v>5.2297351250267745</v>
      </c>
      <c r="G61">
        <f t="shared" si="5"/>
        <v>2.4711752419811321</v>
      </c>
      <c r="Q61">
        <v>0.9879</v>
      </c>
      <c r="R61">
        <v>189.167</v>
      </c>
      <c r="S61">
        <f t="shared" si="4"/>
        <v>189.89179999999999</v>
      </c>
      <c r="T61" s="3">
        <v>1.2525821596244129</v>
      </c>
      <c r="V61">
        <f t="shared" si="1"/>
        <v>5.2464544362645507</v>
      </c>
      <c r="W61">
        <f t="shared" si="2"/>
        <v>3.5322816901408443</v>
      </c>
    </row>
    <row r="62" spans="1:23" x14ac:dyDescent="0.3">
      <c r="A62">
        <v>0.91405999999999998</v>
      </c>
      <c r="B62">
        <v>185.53800000000001</v>
      </c>
      <c r="C62">
        <f t="shared" si="3"/>
        <v>185.48699999999999</v>
      </c>
      <c r="D62" s="3">
        <v>0.86898113207547167</v>
      </c>
      <c r="F62">
        <f t="shared" si="0"/>
        <v>5.2229847987291773</v>
      </c>
      <c r="G62">
        <f t="shared" si="5"/>
        <v>2.4550237698113211</v>
      </c>
      <c r="Q62">
        <v>1.0046999999999999</v>
      </c>
      <c r="R62">
        <v>187.083</v>
      </c>
      <c r="S62">
        <f t="shared" si="4"/>
        <v>188.08340000000001</v>
      </c>
      <c r="T62" s="3">
        <v>1.2504225352112674</v>
      </c>
      <c r="V62">
        <f t="shared" si="1"/>
        <v>5.2368854814822861</v>
      </c>
      <c r="W62">
        <f t="shared" si="2"/>
        <v>3.5261915492957741</v>
      </c>
    </row>
    <row r="63" spans="1:23" x14ac:dyDescent="0.3">
      <c r="A63">
        <v>0.92928999999999995</v>
      </c>
      <c r="B63">
        <v>184</v>
      </c>
      <c r="C63">
        <f t="shared" si="3"/>
        <v>184.11533333333333</v>
      </c>
      <c r="D63" s="3">
        <v>0.86326415094339626</v>
      </c>
      <c r="F63">
        <f t="shared" si="0"/>
        <v>5.2155623728388525</v>
      </c>
      <c r="G63">
        <f t="shared" si="5"/>
        <v>2.4388722976415096</v>
      </c>
      <c r="Q63">
        <v>1.0214000000000001</v>
      </c>
      <c r="R63">
        <v>186.125</v>
      </c>
      <c r="S63">
        <f t="shared" si="4"/>
        <v>186.86660000000001</v>
      </c>
      <c r="T63" s="3">
        <v>1.2482629107981218</v>
      </c>
      <c r="V63">
        <f t="shared" si="1"/>
        <v>5.2303949933019007</v>
      </c>
      <c r="W63">
        <f t="shared" si="2"/>
        <v>3.5201014084507034</v>
      </c>
    </row>
    <row r="64" spans="1:23" x14ac:dyDescent="0.3">
      <c r="A64">
        <v>0.94452999999999998</v>
      </c>
      <c r="B64">
        <v>182.80799999999999</v>
      </c>
      <c r="C64">
        <f t="shared" si="3"/>
        <v>182.79499999999999</v>
      </c>
      <c r="D64" s="3">
        <v>0.85754716981132073</v>
      </c>
      <c r="F64">
        <f t="shared" si="0"/>
        <v>5.2083653063483757</v>
      </c>
      <c r="G64">
        <f t="shared" si="5"/>
        <v>2.4227208254716981</v>
      </c>
      <c r="Q64">
        <v>1.0382</v>
      </c>
      <c r="R64">
        <v>185.875</v>
      </c>
      <c r="S64">
        <f t="shared" si="4"/>
        <v>186.3416</v>
      </c>
      <c r="T64" s="3">
        <v>1.2461032863849764</v>
      </c>
      <c r="V64">
        <f t="shared" si="1"/>
        <v>5.2275815484402832</v>
      </c>
      <c r="W64">
        <f t="shared" si="2"/>
        <v>3.5140112676056332</v>
      </c>
    </row>
    <row r="65" spans="1:23" x14ac:dyDescent="0.3">
      <c r="A65">
        <v>0.95975999999999995</v>
      </c>
      <c r="B65">
        <v>181.577</v>
      </c>
      <c r="C65">
        <f t="shared" si="3"/>
        <v>181.67966666666666</v>
      </c>
      <c r="D65" s="3">
        <v>0.8518301886792452</v>
      </c>
      <c r="F65">
        <f t="shared" si="0"/>
        <v>5.2022450630678936</v>
      </c>
      <c r="G65">
        <f t="shared" si="5"/>
        <v>2.4065693533018866</v>
      </c>
      <c r="Q65">
        <v>1.0548999999999999</v>
      </c>
      <c r="R65">
        <v>186.083</v>
      </c>
      <c r="S65">
        <f t="shared" si="4"/>
        <v>186.125</v>
      </c>
      <c r="T65" s="3">
        <v>1.2439436619718307</v>
      </c>
      <c r="V65">
        <f t="shared" si="1"/>
        <v>5.2264184910041731</v>
      </c>
      <c r="W65">
        <f t="shared" si="2"/>
        <v>3.5079211267605626</v>
      </c>
    </row>
    <row r="66" spans="1:23" x14ac:dyDescent="0.3">
      <c r="A66">
        <v>0.97499999999999998</v>
      </c>
      <c r="B66">
        <v>180.654</v>
      </c>
      <c r="C66">
        <f t="shared" si="3"/>
        <v>180.79499999999999</v>
      </c>
      <c r="D66" s="3">
        <v>0.84611320754716979</v>
      </c>
      <c r="F66">
        <f t="shared" si="0"/>
        <v>5.1973637927084164</v>
      </c>
      <c r="G66">
        <f t="shared" si="5"/>
        <v>2.3904178811320755</v>
      </c>
      <c r="Q66">
        <v>1.0717000000000001</v>
      </c>
      <c r="R66">
        <v>186.542</v>
      </c>
      <c r="S66">
        <f t="shared" si="4"/>
        <v>186.05</v>
      </c>
      <c r="T66" s="3">
        <v>1.2417840375586853</v>
      </c>
      <c r="V66">
        <f t="shared" si="1"/>
        <v>5.2260154547926314</v>
      </c>
      <c r="W66">
        <f t="shared" si="2"/>
        <v>3.5018309859154924</v>
      </c>
    </row>
    <row r="67" spans="1:23" x14ac:dyDescent="0.3">
      <c r="A67">
        <v>0.99023000000000005</v>
      </c>
      <c r="B67">
        <v>180.154</v>
      </c>
      <c r="C67">
        <f t="shared" si="3"/>
        <v>179.61533333333333</v>
      </c>
      <c r="D67" s="3">
        <v>0.84039622641509437</v>
      </c>
      <c r="F67">
        <f t="shared" ref="F67:F130" si="6">LN(C67)</f>
        <v>5.1908175271310704</v>
      </c>
      <c r="G67">
        <f t="shared" ref="G67:G130" si="7">D67*E$2</f>
        <v>2.3742664089622645</v>
      </c>
      <c r="Q67">
        <v>1.0884</v>
      </c>
      <c r="R67">
        <v>186</v>
      </c>
      <c r="S67">
        <f t="shared" si="4"/>
        <v>185.91659999999999</v>
      </c>
      <c r="T67" s="3">
        <v>1.2396244131455396</v>
      </c>
      <c r="V67">
        <f t="shared" ref="V67:V130" si="8">LN(S67)</f>
        <v>5.2252981860608729</v>
      </c>
      <c r="W67">
        <f t="shared" ref="W67:W130" si="9">T67*U$2</f>
        <v>3.4957408450704217</v>
      </c>
    </row>
    <row r="68" spans="1:23" x14ac:dyDescent="0.3">
      <c r="A68">
        <v>1.0054700000000001</v>
      </c>
      <c r="B68">
        <v>178.03800000000001</v>
      </c>
      <c r="C68">
        <f t="shared" ref="C68:C131" si="10">AVERAGE(B67:B69)</f>
        <v>178.60233333333335</v>
      </c>
      <c r="D68" s="3">
        <v>0.83467924528301884</v>
      </c>
      <c r="F68">
        <f t="shared" si="6"/>
        <v>5.1851617329333921</v>
      </c>
      <c r="G68">
        <f t="shared" si="7"/>
        <v>2.358114936792453</v>
      </c>
      <c r="Q68">
        <v>1.1051</v>
      </c>
      <c r="R68">
        <v>185.75</v>
      </c>
      <c r="S68">
        <f t="shared" si="4"/>
        <v>185.64159999999998</v>
      </c>
      <c r="T68" s="3">
        <v>1.2374647887323942</v>
      </c>
      <c r="V68">
        <f t="shared" si="8"/>
        <v>5.2238179331679815</v>
      </c>
      <c r="W68">
        <f t="shared" si="9"/>
        <v>3.4896507042253515</v>
      </c>
    </row>
    <row r="69" spans="1:23" x14ac:dyDescent="0.3">
      <c r="A69">
        <v>1.0206999999999999</v>
      </c>
      <c r="B69">
        <v>177.61500000000001</v>
      </c>
      <c r="C69">
        <f t="shared" si="10"/>
        <v>177.37166666666667</v>
      </c>
      <c r="D69" s="3">
        <v>0.82896226415094332</v>
      </c>
      <c r="F69">
        <f t="shared" si="6"/>
        <v>5.1782473427266922</v>
      </c>
      <c r="G69">
        <f t="shared" si="7"/>
        <v>2.3419634646226415</v>
      </c>
      <c r="Q69">
        <v>1.1218999999999999</v>
      </c>
      <c r="R69">
        <v>185.208</v>
      </c>
      <c r="S69">
        <f t="shared" ref="S69:S132" si="11">AVERAGE(R67:R71)</f>
        <v>185.13319999999999</v>
      </c>
      <c r="T69" s="3">
        <v>1.2353051643192487</v>
      </c>
      <c r="V69">
        <f t="shared" si="8"/>
        <v>5.221075566002674</v>
      </c>
      <c r="W69">
        <f t="shared" si="9"/>
        <v>3.4835605633802813</v>
      </c>
    </row>
    <row r="70" spans="1:23" x14ac:dyDescent="0.3">
      <c r="A70">
        <v>1.03593</v>
      </c>
      <c r="B70">
        <v>176.46199999999999</v>
      </c>
      <c r="C70">
        <f t="shared" si="10"/>
        <v>176.34633333333332</v>
      </c>
      <c r="D70" s="3">
        <v>0.8232452830188679</v>
      </c>
      <c r="F70">
        <f t="shared" si="6"/>
        <v>5.1724498644802699</v>
      </c>
      <c r="G70">
        <f t="shared" si="7"/>
        <v>2.3258119924528304</v>
      </c>
      <c r="Q70">
        <v>1.1386000000000001</v>
      </c>
      <c r="R70">
        <v>184.708</v>
      </c>
      <c r="S70">
        <f t="shared" si="11"/>
        <v>184.64159999999998</v>
      </c>
      <c r="T70" s="3">
        <v>1.2331455399061031</v>
      </c>
      <c r="V70">
        <f t="shared" si="8"/>
        <v>5.2184166487934549</v>
      </c>
      <c r="W70">
        <f t="shared" si="9"/>
        <v>3.4774704225352107</v>
      </c>
    </row>
    <row r="71" spans="1:23" x14ac:dyDescent="0.3">
      <c r="A71">
        <v>1.0511699999999999</v>
      </c>
      <c r="B71">
        <v>174.96199999999999</v>
      </c>
      <c r="C71">
        <f t="shared" si="10"/>
        <v>174.98733333333334</v>
      </c>
      <c r="D71" s="3">
        <v>0.81752830188679249</v>
      </c>
      <c r="F71">
        <f t="shared" si="6"/>
        <v>5.1647135903515053</v>
      </c>
      <c r="G71">
        <f t="shared" si="7"/>
        <v>2.3096605202830189</v>
      </c>
      <c r="Q71">
        <v>1.1554</v>
      </c>
      <c r="R71">
        <v>184</v>
      </c>
      <c r="S71">
        <f t="shared" si="11"/>
        <v>184.16659999999999</v>
      </c>
      <c r="T71" s="3">
        <v>1.2309859154929574</v>
      </c>
      <c r="V71">
        <f t="shared" si="8"/>
        <v>5.2158407827327826</v>
      </c>
      <c r="W71">
        <f t="shared" si="9"/>
        <v>3.4713802816901396</v>
      </c>
    </row>
    <row r="72" spans="1:23" x14ac:dyDescent="0.3">
      <c r="A72">
        <v>1.0664</v>
      </c>
      <c r="B72">
        <v>173.53800000000001</v>
      </c>
      <c r="C72">
        <f t="shared" si="10"/>
        <v>173.5</v>
      </c>
      <c r="D72" s="3">
        <v>0.81181132075471696</v>
      </c>
      <c r="F72">
        <f t="shared" si="6"/>
        <v>5.1561775993869139</v>
      </c>
      <c r="G72">
        <f t="shared" si="7"/>
        <v>2.2935090481132074</v>
      </c>
      <c r="Q72">
        <v>1.1720999999999999</v>
      </c>
      <c r="R72">
        <v>183.542</v>
      </c>
      <c r="S72">
        <f t="shared" si="11"/>
        <v>183.66659999999999</v>
      </c>
      <c r="T72" s="3">
        <v>1.228826291079812</v>
      </c>
      <c r="V72">
        <f t="shared" si="8"/>
        <v>5.213122157508332</v>
      </c>
      <c r="W72">
        <f t="shared" si="9"/>
        <v>3.4652901408450698</v>
      </c>
    </row>
    <row r="73" spans="1:23" x14ac:dyDescent="0.3">
      <c r="A73">
        <v>1.0816399999999999</v>
      </c>
      <c r="B73">
        <v>172</v>
      </c>
      <c r="C73">
        <f t="shared" si="10"/>
        <v>172.06399999999999</v>
      </c>
      <c r="D73" s="3">
        <v>0.80609433962264143</v>
      </c>
      <c r="F73">
        <f t="shared" si="6"/>
        <v>5.1478665006272672</v>
      </c>
      <c r="G73">
        <f t="shared" si="7"/>
        <v>2.2773575759433964</v>
      </c>
      <c r="Q73">
        <v>1.1889000000000001</v>
      </c>
      <c r="R73">
        <v>183.375</v>
      </c>
      <c r="S73">
        <f t="shared" si="11"/>
        <v>183.2166</v>
      </c>
      <c r="T73" s="3">
        <v>1.2266666666666666</v>
      </c>
      <c r="V73">
        <f t="shared" si="8"/>
        <v>5.2106690594887812</v>
      </c>
      <c r="W73">
        <f t="shared" si="9"/>
        <v>3.4591999999999996</v>
      </c>
    </row>
    <row r="74" spans="1:23" x14ac:dyDescent="0.3">
      <c r="A74">
        <v>1.09687</v>
      </c>
      <c r="B74">
        <v>170.654</v>
      </c>
      <c r="C74">
        <f t="shared" si="10"/>
        <v>170.91033333333334</v>
      </c>
      <c r="D74" s="3">
        <v>0.80037735849056602</v>
      </c>
      <c r="F74">
        <f t="shared" si="6"/>
        <v>5.1411390525027478</v>
      </c>
      <c r="G74">
        <f t="shared" si="7"/>
        <v>2.2612061037735849</v>
      </c>
      <c r="Q74">
        <v>1.2056</v>
      </c>
      <c r="R74">
        <v>182.708</v>
      </c>
      <c r="S74">
        <f t="shared" si="11"/>
        <v>182.88319999999999</v>
      </c>
      <c r="T74" s="3">
        <v>1.2245070422535209</v>
      </c>
      <c r="V74">
        <f t="shared" si="8"/>
        <v>5.2088476977061893</v>
      </c>
      <c r="W74">
        <f t="shared" si="9"/>
        <v>3.453109859154929</v>
      </c>
    </row>
    <row r="75" spans="1:23" x14ac:dyDescent="0.3">
      <c r="A75">
        <v>1.1121099999999999</v>
      </c>
      <c r="B75">
        <v>170.077</v>
      </c>
      <c r="C75">
        <f t="shared" si="10"/>
        <v>169.79499999999999</v>
      </c>
      <c r="D75" s="3">
        <v>0.7946603773584906</v>
      </c>
      <c r="F75">
        <f t="shared" si="6"/>
        <v>5.1345918270361546</v>
      </c>
      <c r="G75">
        <f t="shared" si="7"/>
        <v>2.2450546316037738</v>
      </c>
      <c r="Q75">
        <v>1.2223999999999999</v>
      </c>
      <c r="R75">
        <v>182.458</v>
      </c>
      <c r="S75">
        <f t="shared" si="11"/>
        <v>182.54979999999998</v>
      </c>
      <c r="T75" s="3">
        <v>1.2223474178403755</v>
      </c>
      <c r="V75">
        <f t="shared" si="8"/>
        <v>5.2070230125107964</v>
      </c>
      <c r="W75">
        <f t="shared" si="9"/>
        <v>3.4470197183098588</v>
      </c>
    </row>
    <row r="76" spans="1:23" x14ac:dyDescent="0.3">
      <c r="A76">
        <v>1.12734</v>
      </c>
      <c r="B76">
        <v>168.654</v>
      </c>
      <c r="C76">
        <f t="shared" si="10"/>
        <v>168.89766666666665</v>
      </c>
      <c r="D76" s="3">
        <v>0.78894339622641507</v>
      </c>
      <c r="F76">
        <f t="shared" si="6"/>
        <v>5.1292930088377284</v>
      </c>
      <c r="G76">
        <f t="shared" si="7"/>
        <v>2.2289031594339623</v>
      </c>
      <c r="Q76">
        <v>1.2391000000000001</v>
      </c>
      <c r="R76">
        <v>182.333</v>
      </c>
      <c r="S76">
        <f t="shared" si="11"/>
        <v>182.19980000000001</v>
      </c>
      <c r="T76" s="3">
        <v>1.2201877934272298</v>
      </c>
      <c r="V76">
        <f t="shared" si="8"/>
        <v>5.2051038871304147</v>
      </c>
      <c r="W76">
        <f t="shared" si="9"/>
        <v>3.4409295774647881</v>
      </c>
    </row>
    <row r="77" spans="1:23" x14ac:dyDescent="0.3">
      <c r="A77">
        <v>1.1425700000000001</v>
      </c>
      <c r="B77">
        <v>167.96199999999999</v>
      </c>
      <c r="C77">
        <f t="shared" si="10"/>
        <v>167.88466666666667</v>
      </c>
      <c r="D77" s="3">
        <v>0.78322641509433955</v>
      </c>
      <c r="F77">
        <f t="shared" si="6"/>
        <v>5.1232772357122736</v>
      </c>
      <c r="G77">
        <f t="shared" si="7"/>
        <v>2.2127516872641508</v>
      </c>
      <c r="Q77">
        <v>1.2558</v>
      </c>
      <c r="R77">
        <v>181.875</v>
      </c>
      <c r="S77">
        <f t="shared" si="11"/>
        <v>181.90819999999999</v>
      </c>
      <c r="T77" s="3">
        <v>1.2180281690140844</v>
      </c>
      <c r="V77">
        <f t="shared" si="8"/>
        <v>5.2035021642221455</v>
      </c>
      <c r="W77">
        <f t="shared" si="9"/>
        <v>3.4348394366197179</v>
      </c>
    </row>
    <row r="78" spans="1:23" x14ac:dyDescent="0.3">
      <c r="A78">
        <v>1.15781</v>
      </c>
      <c r="B78">
        <v>167.03800000000001</v>
      </c>
      <c r="C78">
        <f t="shared" si="10"/>
        <v>166.97433333333333</v>
      </c>
      <c r="D78" s="3">
        <v>0.77750943396226413</v>
      </c>
      <c r="F78">
        <f t="shared" si="6"/>
        <v>5.1178401079900642</v>
      </c>
      <c r="G78">
        <f t="shared" si="7"/>
        <v>2.1966002150943398</v>
      </c>
      <c r="Q78">
        <v>1.2726</v>
      </c>
      <c r="R78">
        <v>181.625</v>
      </c>
      <c r="S78">
        <f t="shared" si="11"/>
        <v>181.58319999999998</v>
      </c>
      <c r="T78" s="3">
        <v>1.2158685446009387</v>
      </c>
      <c r="V78">
        <f t="shared" si="8"/>
        <v>5.2017139508745691</v>
      </c>
      <c r="W78">
        <f t="shared" si="9"/>
        <v>3.4287492957746473</v>
      </c>
    </row>
    <row r="79" spans="1:23" x14ac:dyDescent="0.3">
      <c r="A79">
        <v>1.1730400000000001</v>
      </c>
      <c r="B79">
        <v>165.923</v>
      </c>
      <c r="C79">
        <f t="shared" si="10"/>
        <v>165.833</v>
      </c>
      <c r="D79" s="3">
        <v>0.77179245283018871</v>
      </c>
      <c r="F79">
        <f t="shared" si="6"/>
        <v>5.1109812578782661</v>
      </c>
      <c r="G79">
        <f t="shared" si="7"/>
        <v>2.1804487429245287</v>
      </c>
      <c r="Q79">
        <v>1.2892999999999999</v>
      </c>
      <c r="R79">
        <v>181.25</v>
      </c>
      <c r="S79">
        <f t="shared" si="11"/>
        <v>181.23319999999998</v>
      </c>
      <c r="T79" s="3">
        <v>1.2137089201877933</v>
      </c>
      <c r="V79">
        <f t="shared" si="8"/>
        <v>5.1997845997836603</v>
      </c>
      <c r="W79">
        <f t="shared" si="9"/>
        <v>3.4226591549295771</v>
      </c>
    </row>
    <row r="80" spans="1:23" x14ac:dyDescent="0.3">
      <c r="A80">
        <v>1.18828</v>
      </c>
      <c r="B80">
        <v>164.53800000000001</v>
      </c>
      <c r="C80">
        <f t="shared" si="10"/>
        <v>164.38433333333333</v>
      </c>
      <c r="D80" s="3">
        <v>0.76607547169811319</v>
      </c>
      <c r="F80">
        <f t="shared" si="6"/>
        <v>5.1022071820551718</v>
      </c>
      <c r="G80">
        <f t="shared" si="7"/>
        <v>2.1642972707547172</v>
      </c>
      <c r="Q80">
        <v>1.3061</v>
      </c>
      <c r="R80">
        <v>180.833</v>
      </c>
      <c r="S80">
        <f t="shared" si="11"/>
        <v>181.01659999999998</v>
      </c>
      <c r="T80" s="3">
        <v>1.2115492957746476</v>
      </c>
      <c r="V80">
        <f t="shared" si="8"/>
        <v>5.1985887397676551</v>
      </c>
      <c r="W80">
        <f t="shared" si="9"/>
        <v>3.416569014084506</v>
      </c>
    </row>
    <row r="81" spans="1:23" x14ac:dyDescent="0.3">
      <c r="A81">
        <v>1.2035100000000001</v>
      </c>
      <c r="B81">
        <v>162.69200000000001</v>
      </c>
      <c r="C81">
        <f t="shared" si="10"/>
        <v>162.833</v>
      </c>
      <c r="D81" s="3">
        <v>0.76035849056603766</v>
      </c>
      <c r="F81">
        <f t="shared" si="6"/>
        <v>5.0927251357297258</v>
      </c>
      <c r="G81">
        <f t="shared" si="7"/>
        <v>2.1481457985849057</v>
      </c>
      <c r="Q81">
        <v>1.3228</v>
      </c>
      <c r="R81">
        <v>180.583</v>
      </c>
      <c r="S81">
        <f t="shared" si="11"/>
        <v>180.70819999999998</v>
      </c>
      <c r="T81" s="3">
        <v>1.2093896713615022</v>
      </c>
      <c r="V81">
        <f t="shared" si="8"/>
        <v>5.1968835756499336</v>
      </c>
      <c r="W81">
        <f t="shared" si="9"/>
        <v>3.4104788732394362</v>
      </c>
    </row>
    <row r="82" spans="1:23" x14ac:dyDescent="0.3">
      <c r="A82">
        <v>1.21875</v>
      </c>
      <c r="B82">
        <v>161.26900000000001</v>
      </c>
      <c r="C82">
        <f t="shared" si="10"/>
        <v>161.48699999999999</v>
      </c>
      <c r="D82" s="3">
        <v>0.75464150943396224</v>
      </c>
      <c r="F82">
        <f t="shared" si="6"/>
        <v>5.0844246440667487</v>
      </c>
      <c r="G82">
        <f t="shared" si="7"/>
        <v>2.1319943264150942</v>
      </c>
      <c r="Q82">
        <v>1.3395999999999999</v>
      </c>
      <c r="R82">
        <v>180.792</v>
      </c>
      <c r="S82">
        <f t="shared" si="11"/>
        <v>180.35819999999998</v>
      </c>
      <c r="T82" s="3">
        <v>1.2072300469483566</v>
      </c>
      <c r="V82">
        <f t="shared" si="8"/>
        <v>5.1949448734631618</v>
      </c>
      <c r="W82">
        <f t="shared" si="9"/>
        <v>3.4043887323943651</v>
      </c>
    </row>
    <row r="83" spans="1:23" x14ac:dyDescent="0.3">
      <c r="A83">
        <v>1.2339800000000001</v>
      </c>
      <c r="B83">
        <v>160.5</v>
      </c>
      <c r="C83">
        <f t="shared" si="10"/>
        <v>160.39733333333334</v>
      </c>
      <c r="D83" s="3">
        <v>0.74892452830188683</v>
      </c>
      <c r="F83">
        <f t="shared" si="6"/>
        <v>5.0776540701903086</v>
      </c>
      <c r="G83">
        <f t="shared" si="7"/>
        <v>2.1158428542452832</v>
      </c>
      <c r="Q83">
        <v>1.3563000000000001</v>
      </c>
      <c r="R83">
        <v>180.083</v>
      </c>
      <c r="S83">
        <f t="shared" si="11"/>
        <v>180.08319999999998</v>
      </c>
      <c r="T83" s="3">
        <v>1.2050704225352111</v>
      </c>
      <c r="V83">
        <f t="shared" si="8"/>
        <v>5.1934189663206478</v>
      </c>
      <c r="W83">
        <f t="shared" si="9"/>
        <v>3.3982985915492954</v>
      </c>
    </row>
    <row r="84" spans="1:23" x14ac:dyDescent="0.3">
      <c r="A84">
        <v>1.2492099999999999</v>
      </c>
      <c r="B84">
        <v>159.423</v>
      </c>
      <c r="C84">
        <f t="shared" si="10"/>
        <v>159.43600000000001</v>
      </c>
      <c r="D84" s="3">
        <v>0.7432075471698113</v>
      </c>
      <c r="F84">
        <f t="shared" si="6"/>
        <v>5.0716425877825095</v>
      </c>
      <c r="G84">
        <f t="shared" si="7"/>
        <v>2.0996913820754717</v>
      </c>
      <c r="Q84">
        <v>1.3731</v>
      </c>
      <c r="R84">
        <v>179.5</v>
      </c>
      <c r="S84">
        <f t="shared" si="11"/>
        <v>179.95819999999998</v>
      </c>
      <c r="T84" s="3">
        <v>1.2029107981220655</v>
      </c>
      <c r="V84">
        <f t="shared" si="8"/>
        <v>5.1927246017002329</v>
      </c>
      <c r="W84">
        <f t="shared" si="9"/>
        <v>3.3922084507042243</v>
      </c>
    </row>
    <row r="85" spans="1:23" x14ac:dyDescent="0.3">
      <c r="A85">
        <v>1.2644500000000001</v>
      </c>
      <c r="B85">
        <v>158.38499999999999</v>
      </c>
      <c r="C85">
        <f t="shared" si="10"/>
        <v>158.24366666666666</v>
      </c>
      <c r="D85" s="3">
        <v>0.73749056603773577</v>
      </c>
      <c r="F85">
        <f t="shared" si="6"/>
        <v>5.0641360391597035</v>
      </c>
      <c r="G85">
        <f t="shared" si="7"/>
        <v>2.0835399099056602</v>
      </c>
      <c r="Q85">
        <v>1.3897999999999999</v>
      </c>
      <c r="R85">
        <v>179.458</v>
      </c>
      <c r="S85">
        <f t="shared" si="11"/>
        <v>179.75819999999999</v>
      </c>
      <c r="T85" s="3">
        <v>1.20075117370892</v>
      </c>
      <c r="V85">
        <f t="shared" si="8"/>
        <v>5.1916126144758046</v>
      </c>
      <c r="W85">
        <f t="shared" si="9"/>
        <v>3.3861183098591545</v>
      </c>
    </row>
    <row r="86" spans="1:23" x14ac:dyDescent="0.3">
      <c r="A86">
        <v>1.2796799999999999</v>
      </c>
      <c r="B86">
        <v>156.923</v>
      </c>
      <c r="C86">
        <f t="shared" si="10"/>
        <v>156.96166666666667</v>
      </c>
      <c r="D86" s="3">
        <v>0.73177358490566036</v>
      </c>
      <c r="F86">
        <f t="shared" si="6"/>
        <v>5.0560016141772595</v>
      </c>
      <c r="G86">
        <f t="shared" si="7"/>
        <v>2.0673884377358491</v>
      </c>
      <c r="Q86">
        <v>1.4065000000000001</v>
      </c>
      <c r="R86">
        <v>179.958</v>
      </c>
      <c r="S86">
        <f t="shared" si="11"/>
        <v>179.6</v>
      </c>
      <c r="T86" s="3">
        <v>1.1985915492957744</v>
      </c>
      <c r="V86">
        <f t="shared" si="8"/>
        <v>5.1907321558680994</v>
      </c>
      <c r="W86">
        <f t="shared" si="9"/>
        <v>3.3800281690140834</v>
      </c>
    </row>
    <row r="87" spans="1:23" x14ac:dyDescent="0.3">
      <c r="A87">
        <v>1.2949200000000001</v>
      </c>
      <c r="B87">
        <v>155.577</v>
      </c>
      <c r="C87">
        <f t="shared" si="10"/>
        <v>155.64099999999999</v>
      </c>
      <c r="D87" s="3">
        <v>0.72605660377358494</v>
      </c>
      <c r="F87">
        <f t="shared" si="6"/>
        <v>5.0475520731792383</v>
      </c>
      <c r="G87">
        <f t="shared" si="7"/>
        <v>2.0512369655660381</v>
      </c>
      <c r="Q87">
        <v>1.4233</v>
      </c>
      <c r="R87">
        <v>179.792</v>
      </c>
      <c r="S87">
        <f t="shared" si="11"/>
        <v>179.45</v>
      </c>
      <c r="T87" s="3">
        <v>1.1964319248826289</v>
      </c>
      <c r="V87">
        <f t="shared" si="8"/>
        <v>5.1898966175936163</v>
      </c>
      <c r="W87">
        <f t="shared" si="9"/>
        <v>3.3739380281690132</v>
      </c>
    </row>
    <row r="88" spans="1:23" x14ac:dyDescent="0.3">
      <c r="A88">
        <v>1.3101499999999999</v>
      </c>
      <c r="B88">
        <v>154.423</v>
      </c>
      <c r="C88">
        <f t="shared" si="10"/>
        <v>154.44866666666667</v>
      </c>
      <c r="D88" s="3">
        <v>0.72033962264150941</v>
      </c>
      <c r="F88">
        <f t="shared" si="6"/>
        <v>5.0398617865443347</v>
      </c>
      <c r="G88">
        <f t="shared" si="7"/>
        <v>2.0350854933962266</v>
      </c>
      <c r="Q88">
        <v>1.44</v>
      </c>
      <c r="R88">
        <v>179.292</v>
      </c>
      <c r="S88">
        <f t="shared" si="11"/>
        <v>179.21680000000001</v>
      </c>
      <c r="T88" s="3">
        <v>1.1942723004694833</v>
      </c>
      <c r="V88">
        <f t="shared" si="8"/>
        <v>5.1885962461465738</v>
      </c>
      <c r="W88">
        <f t="shared" si="9"/>
        <v>3.3678478873239426</v>
      </c>
    </row>
    <row r="89" spans="1:23" x14ac:dyDescent="0.3">
      <c r="A89">
        <v>1.3253900000000001</v>
      </c>
      <c r="B89">
        <v>153.346</v>
      </c>
      <c r="C89">
        <f t="shared" si="10"/>
        <v>153.35900000000001</v>
      </c>
      <c r="D89" s="3">
        <v>0.714622641509434</v>
      </c>
      <c r="F89">
        <f t="shared" si="6"/>
        <v>5.0327815781110177</v>
      </c>
      <c r="G89">
        <f t="shared" si="7"/>
        <v>2.0189340212264155</v>
      </c>
      <c r="Q89">
        <v>1.4568000000000001</v>
      </c>
      <c r="R89">
        <v>178.75</v>
      </c>
      <c r="S89">
        <f t="shared" si="11"/>
        <v>178.90020000000001</v>
      </c>
      <c r="T89" s="3">
        <v>1.1921126760563379</v>
      </c>
      <c r="V89">
        <f t="shared" si="8"/>
        <v>5.1868281084570338</v>
      </c>
      <c r="W89">
        <f t="shared" si="9"/>
        <v>3.3617577464788724</v>
      </c>
    </row>
    <row r="90" spans="1:23" x14ac:dyDescent="0.3">
      <c r="A90">
        <v>1.3406199999999999</v>
      </c>
      <c r="B90">
        <v>152.30799999999999</v>
      </c>
      <c r="C90">
        <f t="shared" si="10"/>
        <v>152.43600000000001</v>
      </c>
      <c r="D90" s="3">
        <v>0.70890566037735847</v>
      </c>
      <c r="F90">
        <f t="shared" si="6"/>
        <v>5.0267448358293239</v>
      </c>
      <c r="G90">
        <f t="shared" si="7"/>
        <v>2.002782549056604</v>
      </c>
      <c r="Q90">
        <v>1.4735</v>
      </c>
      <c r="R90">
        <v>178.292</v>
      </c>
      <c r="S90">
        <f t="shared" si="11"/>
        <v>178.61680000000001</v>
      </c>
      <c r="T90" s="3">
        <v>1.1899530516431922</v>
      </c>
      <c r="V90">
        <f t="shared" si="8"/>
        <v>5.1852427289681771</v>
      </c>
      <c r="W90">
        <f t="shared" si="9"/>
        <v>3.3556676056338017</v>
      </c>
    </row>
    <row r="91" spans="1:23" x14ac:dyDescent="0.3">
      <c r="A91">
        <v>1.35585</v>
      </c>
      <c r="B91">
        <v>151.654</v>
      </c>
      <c r="C91">
        <f t="shared" si="10"/>
        <v>151.12833333333333</v>
      </c>
      <c r="D91" s="3">
        <v>0.70318867924528305</v>
      </c>
      <c r="F91">
        <f t="shared" si="6"/>
        <v>5.01812936548796</v>
      </c>
      <c r="G91">
        <f t="shared" si="7"/>
        <v>1.9866310768867927</v>
      </c>
      <c r="Q91">
        <v>1.4903</v>
      </c>
      <c r="R91">
        <v>178.375</v>
      </c>
      <c r="S91">
        <f t="shared" si="11"/>
        <v>178.35840000000002</v>
      </c>
      <c r="T91" s="3">
        <v>1.1877934272300468</v>
      </c>
      <c r="V91">
        <f t="shared" si="8"/>
        <v>5.1837950090978246</v>
      </c>
      <c r="W91">
        <f t="shared" si="9"/>
        <v>3.3495774647887315</v>
      </c>
    </row>
    <row r="92" spans="1:23" x14ac:dyDescent="0.3">
      <c r="A92">
        <v>1.3710899999999999</v>
      </c>
      <c r="B92">
        <v>149.423</v>
      </c>
      <c r="C92">
        <f t="shared" si="10"/>
        <v>149.923</v>
      </c>
      <c r="D92" s="3">
        <v>0.69747169811320753</v>
      </c>
      <c r="F92">
        <f t="shared" si="6"/>
        <v>5.0101218289622595</v>
      </c>
      <c r="G92">
        <f t="shared" si="7"/>
        <v>1.9704796047169812</v>
      </c>
      <c r="Q92">
        <v>1.5069999999999999</v>
      </c>
      <c r="R92">
        <v>178.375</v>
      </c>
      <c r="S92">
        <f t="shared" si="11"/>
        <v>177.96680000000001</v>
      </c>
      <c r="T92" s="3">
        <v>1.1856338028169011</v>
      </c>
      <c r="V92">
        <f t="shared" si="8"/>
        <v>5.1815970160417208</v>
      </c>
      <c r="W92">
        <f t="shared" si="9"/>
        <v>3.3434873239436609</v>
      </c>
    </row>
    <row r="93" spans="1:23" x14ac:dyDescent="0.3">
      <c r="A93">
        <v>1.38632</v>
      </c>
      <c r="B93">
        <v>148.69200000000001</v>
      </c>
      <c r="C93">
        <f t="shared" si="10"/>
        <v>148.55100000000002</v>
      </c>
      <c r="D93" s="3">
        <v>0.69175471698113211</v>
      </c>
      <c r="F93">
        <f t="shared" si="6"/>
        <v>5.0009283336261134</v>
      </c>
      <c r="G93">
        <f t="shared" si="7"/>
        <v>1.95432813254717</v>
      </c>
      <c r="Q93">
        <v>1.5238</v>
      </c>
      <c r="R93">
        <v>178</v>
      </c>
      <c r="S93">
        <f t="shared" si="11"/>
        <v>177.5</v>
      </c>
      <c r="T93" s="3">
        <v>1.1834741784037557</v>
      </c>
      <c r="V93">
        <f t="shared" si="8"/>
        <v>5.1789706089154706</v>
      </c>
      <c r="W93">
        <f t="shared" si="9"/>
        <v>3.3373971830985907</v>
      </c>
    </row>
    <row r="94" spans="1:23" x14ac:dyDescent="0.3">
      <c r="A94">
        <v>1.4015599999999999</v>
      </c>
      <c r="B94">
        <v>147.53800000000001</v>
      </c>
      <c r="C94">
        <f t="shared" si="10"/>
        <v>147.46133333333333</v>
      </c>
      <c r="D94" s="3">
        <v>0.68603773584905658</v>
      </c>
      <c r="F94">
        <f t="shared" si="6"/>
        <v>4.9935659945207167</v>
      </c>
      <c r="G94">
        <f t="shared" si="7"/>
        <v>1.9381766603773585</v>
      </c>
      <c r="Q94">
        <v>1.5405</v>
      </c>
      <c r="R94">
        <v>176.792</v>
      </c>
      <c r="S94">
        <f t="shared" si="11"/>
        <v>176.99160000000001</v>
      </c>
      <c r="T94" s="3">
        <v>1.1813145539906102</v>
      </c>
      <c r="V94">
        <f t="shared" si="8"/>
        <v>5.176102273820562</v>
      </c>
      <c r="W94">
        <f t="shared" si="9"/>
        <v>3.3313070422535209</v>
      </c>
    </row>
    <row r="95" spans="1:23" x14ac:dyDescent="0.3">
      <c r="A95">
        <v>1.41679</v>
      </c>
      <c r="B95">
        <v>146.154</v>
      </c>
      <c r="C95">
        <f t="shared" si="10"/>
        <v>146.03833333333333</v>
      </c>
      <c r="D95" s="3">
        <v>0.68032075471698117</v>
      </c>
      <c r="F95">
        <f t="shared" si="6"/>
        <v>4.9838691443238847</v>
      </c>
      <c r="G95">
        <f t="shared" si="7"/>
        <v>1.9220251882075474</v>
      </c>
      <c r="Q95">
        <v>1.5571999999999999</v>
      </c>
      <c r="R95">
        <v>175.958</v>
      </c>
      <c r="S95">
        <f t="shared" si="11"/>
        <v>176.55</v>
      </c>
      <c r="T95" s="3">
        <v>1.1791549295774646</v>
      </c>
      <c r="V95">
        <f t="shared" si="8"/>
        <v>5.1736041223743952</v>
      </c>
      <c r="W95">
        <f t="shared" si="9"/>
        <v>3.3252169014084498</v>
      </c>
    </row>
    <row r="96" spans="1:23" x14ac:dyDescent="0.3">
      <c r="A96">
        <v>1.4320299999999999</v>
      </c>
      <c r="B96">
        <v>144.423</v>
      </c>
      <c r="C96">
        <f t="shared" si="10"/>
        <v>144.60266666666666</v>
      </c>
      <c r="D96" s="3">
        <v>0.67460377358490564</v>
      </c>
      <c r="F96">
        <f t="shared" si="6"/>
        <v>4.9739897512328115</v>
      </c>
      <c r="G96">
        <f t="shared" si="7"/>
        <v>1.9058737160377359</v>
      </c>
      <c r="Q96">
        <v>1.5740000000000001</v>
      </c>
      <c r="R96">
        <v>175.833</v>
      </c>
      <c r="S96">
        <f t="shared" si="11"/>
        <v>176.26659999999998</v>
      </c>
      <c r="T96" s="3">
        <v>1.1769953051643189</v>
      </c>
      <c r="V96">
        <f t="shared" si="8"/>
        <v>5.1719976216544694</v>
      </c>
      <c r="W96">
        <f t="shared" si="9"/>
        <v>3.3191267605633792</v>
      </c>
    </row>
    <row r="97" spans="1:23" x14ac:dyDescent="0.3">
      <c r="A97">
        <v>1.44726</v>
      </c>
      <c r="B97">
        <v>143.23099999999999</v>
      </c>
      <c r="C97">
        <f t="shared" si="10"/>
        <v>143.26933333333332</v>
      </c>
      <c r="D97" s="3">
        <v>0.66888679245283023</v>
      </c>
      <c r="F97">
        <f t="shared" si="6"/>
        <v>4.9647263086755906</v>
      </c>
      <c r="G97">
        <f t="shared" si="7"/>
        <v>1.8897222438679249</v>
      </c>
      <c r="Q97">
        <v>1.5907</v>
      </c>
      <c r="R97">
        <v>176.167</v>
      </c>
      <c r="S97">
        <f t="shared" si="11"/>
        <v>176.20819999999998</v>
      </c>
      <c r="T97" s="3">
        <v>1.1748356807511735</v>
      </c>
      <c r="V97">
        <f t="shared" si="8"/>
        <v>5.1716662504441899</v>
      </c>
      <c r="W97">
        <f t="shared" si="9"/>
        <v>3.313036619718309</v>
      </c>
    </row>
    <row r="98" spans="1:23" x14ac:dyDescent="0.3">
      <c r="A98">
        <v>1.4624900000000001</v>
      </c>
      <c r="B98">
        <v>142.154</v>
      </c>
      <c r="C98">
        <f t="shared" si="10"/>
        <v>142.33333333333334</v>
      </c>
      <c r="D98" s="3">
        <v>0.6631698113207547</v>
      </c>
      <c r="F98">
        <f t="shared" si="6"/>
        <v>4.9581717245605148</v>
      </c>
      <c r="G98">
        <f t="shared" si="7"/>
        <v>1.8735707716981134</v>
      </c>
      <c r="Q98">
        <v>1.6074999999999999</v>
      </c>
      <c r="R98">
        <v>176.583</v>
      </c>
      <c r="S98">
        <f t="shared" si="11"/>
        <v>176.11660000000001</v>
      </c>
      <c r="T98" s="3">
        <v>1.1726760563380281</v>
      </c>
      <c r="V98">
        <f t="shared" si="8"/>
        <v>5.1711462756819042</v>
      </c>
      <c r="W98">
        <f t="shared" si="9"/>
        <v>3.3069464788732388</v>
      </c>
    </row>
    <row r="99" spans="1:23" x14ac:dyDescent="0.3">
      <c r="A99">
        <v>1.47773</v>
      </c>
      <c r="B99">
        <v>141.61500000000001</v>
      </c>
      <c r="C99">
        <f t="shared" si="10"/>
        <v>141.08966666666666</v>
      </c>
      <c r="D99" s="3">
        <v>0.65745283018867928</v>
      </c>
      <c r="F99">
        <f t="shared" si="6"/>
        <v>4.9493956220640971</v>
      </c>
      <c r="G99">
        <f t="shared" si="7"/>
        <v>1.8574192995283021</v>
      </c>
      <c r="Q99">
        <v>1.6242000000000001</v>
      </c>
      <c r="R99">
        <v>176.5</v>
      </c>
      <c r="S99">
        <f t="shared" si="11"/>
        <v>175.82499999999999</v>
      </c>
      <c r="T99" s="3">
        <v>1.1705164319248824</v>
      </c>
      <c r="V99">
        <f t="shared" si="8"/>
        <v>5.1694891821940816</v>
      </c>
      <c r="W99">
        <f t="shared" si="9"/>
        <v>3.3008563380281681</v>
      </c>
    </row>
    <row r="100" spans="1:23" x14ac:dyDescent="0.3">
      <c r="A100">
        <v>1.4929600000000001</v>
      </c>
      <c r="B100">
        <v>139.5</v>
      </c>
      <c r="C100">
        <f t="shared" si="10"/>
        <v>139.94866666666667</v>
      </c>
      <c r="D100" s="3">
        <v>0.65173584905660376</v>
      </c>
      <c r="F100">
        <f t="shared" si="6"/>
        <v>4.9412756887039784</v>
      </c>
      <c r="G100">
        <f t="shared" si="7"/>
        <v>1.8412678273584906</v>
      </c>
      <c r="Q100">
        <v>1.641</v>
      </c>
      <c r="R100">
        <v>175.5</v>
      </c>
      <c r="S100">
        <f t="shared" si="11"/>
        <v>175.27500000000001</v>
      </c>
      <c r="T100" s="3">
        <v>1.168356807511737</v>
      </c>
      <c r="V100">
        <f t="shared" si="8"/>
        <v>5.1663561690930315</v>
      </c>
      <c r="W100">
        <f t="shared" si="9"/>
        <v>3.2947661971830979</v>
      </c>
    </row>
    <row r="101" spans="1:23" x14ac:dyDescent="0.3">
      <c r="A101">
        <v>1.5082</v>
      </c>
      <c r="B101">
        <v>138.73099999999999</v>
      </c>
      <c r="C101">
        <f t="shared" si="10"/>
        <v>138.577</v>
      </c>
      <c r="D101" s="3">
        <v>0.64601886792452834</v>
      </c>
      <c r="F101">
        <f t="shared" si="6"/>
        <v>4.9314261278194351</v>
      </c>
      <c r="G101">
        <f t="shared" si="7"/>
        <v>1.8251163551886795</v>
      </c>
      <c r="Q101">
        <v>1.6577</v>
      </c>
      <c r="R101">
        <v>174.375</v>
      </c>
      <c r="S101">
        <f t="shared" si="11"/>
        <v>174.58340000000001</v>
      </c>
      <c r="T101" s="3">
        <v>1.1661971830985913</v>
      </c>
      <c r="V101">
        <f t="shared" si="8"/>
        <v>5.1624025644297404</v>
      </c>
      <c r="W101">
        <f t="shared" si="9"/>
        <v>3.2886760563380273</v>
      </c>
    </row>
    <row r="102" spans="1:23" x14ac:dyDescent="0.3">
      <c r="A102">
        <v>1.5234300000000001</v>
      </c>
      <c r="B102">
        <v>137.5</v>
      </c>
      <c r="C102">
        <f t="shared" si="10"/>
        <v>137.48733333333334</v>
      </c>
      <c r="D102" s="3">
        <v>0.64030188679245281</v>
      </c>
      <c r="F102">
        <f t="shared" si="6"/>
        <v>4.9235317916510857</v>
      </c>
      <c r="G102">
        <f t="shared" si="7"/>
        <v>1.808964883018868</v>
      </c>
      <c r="Q102">
        <v>1.6745000000000001</v>
      </c>
      <c r="R102">
        <v>173.417</v>
      </c>
      <c r="S102">
        <f t="shared" si="11"/>
        <v>173.85</v>
      </c>
      <c r="T102" s="3">
        <v>1.1640375586854459</v>
      </c>
      <c r="V102">
        <f t="shared" si="8"/>
        <v>5.1581928584538703</v>
      </c>
      <c r="W102">
        <f t="shared" si="9"/>
        <v>3.2825859154929571</v>
      </c>
    </row>
    <row r="103" spans="1:23" x14ac:dyDescent="0.3">
      <c r="A103">
        <v>1.53867</v>
      </c>
      <c r="B103">
        <v>136.23099999999999</v>
      </c>
      <c r="C103">
        <f t="shared" si="10"/>
        <v>136.23099999999999</v>
      </c>
      <c r="D103" s="3">
        <v>0.6345849056603774</v>
      </c>
      <c r="F103">
        <f t="shared" si="6"/>
        <v>4.9143519742780777</v>
      </c>
      <c r="G103">
        <f t="shared" si="7"/>
        <v>1.7928134108490568</v>
      </c>
      <c r="Q103">
        <v>1.6912</v>
      </c>
      <c r="R103">
        <v>173.125</v>
      </c>
      <c r="S103">
        <f t="shared" si="11"/>
        <v>173.39159999999998</v>
      </c>
      <c r="T103" s="3">
        <v>1.1618779342723002</v>
      </c>
      <c r="V103">
        <f t="shared" si="8"/>
        <v>5.1555526202664712</v>
      </c>
      <c r="W103">
        <f t="shared" si="9"/>
        <v>3.2764957746478864</v>
      </c>
    </row>
    <row r="104" spans="1:23" x14ac:dyDescent="0.3">
      <c r="A104">
        <v>1.5539000000000001</v>
      </c>
      <c r="B104">
        <v>134.96199999999999</v>
      </c>
      <c r="C104">
        <f t="shared" si="10"/>
        <v>134.98733333333334</v>
      </c>
      <c r="D104" s="3">
        <v>0.62886792452830187</v>
      </c>
      <c r="F104">
        <f t="shared" si="6"/>
        <v>4.905180946875892</v>
      </c>
      <c r="G104">
        <f t="shared" si="7"/>
        <v>1.7766619386792453</v>
      </c>
      <c r="Q104">
        <v>1.7079</v>
      </c>
      <c r="R104">
        <v>172.833</v>
      </c>
      <c r="S104">
        <f t="shared" si="11"/>
        <v>173.14159999999998</v>
      </c>
      <c r="T104" s="3">
        <v>1.1597183098591548</v>
      </c>
      <c r="V104">
        <f t="shared" si="8"/>
        <v>5.1541097568215148</v>
      </c>
      <c r="W104">
        <f t="shared" si="9"/>
        <v>3.2704056338028162</v>
      </c>
    </row>
    <row r="105" spans="1:23" x14ac:dyDescent="0.3">
      <c r="A105">
        <v>1.5691299999999999</v>
      </c>
      <c r="B105">
        <v>133.76900000000001</v>
      </c>
      <c r="C105">
        <f t="shared" si="10"/>
        <v>133.85900000000001</v>
      </c>
      <c r="D105" s="3">
        <v>0.62315094339622645</v>
      </c>
      <c r="F105">
        <f t="shared" si="6"/>
        <v>4.8967870071530335</v>
      </c>
      <c r="G105">
        <f t="shared" si="7"/>
        <v>1.7605104665094342</v>
      </c>
      <c r="Q105">
        <v>1.7246999999999999</v>
      </c>
      <c r="R105">
        <v>173.208</v>
      </c>
      <c r="S105">
        <f t="shared" si="11"/>
        <v>173.0582</v>
      </c>
      <c r="T105" s="3">
        <v>1.1575586854460092</v>
      </c>
      <c r="V105">
        <f t="shared" si="8"/>
        <v>5.1536279541075132</v>
      </c>
      <c r="W105">
        <f t="shared" si="9"/>
        <v>3.2643154929577456</v>
      </c>
    </row>
    <row r="106" spans="1:23" x14ac:dyDescent="0.3">
      <c r="A106">
        <v>1.5843700000000001</v>
      </c>
      <c r="B106">
        <v>132.846</v>
      </c>
      <c r="C106">
        <f t="shared" si="10"/>
        <v>132.91</v>
      </c>
      <c r="D106" s="3">
        <v>0.61743396226415093</v>
      </c>
      <c r="F106">
        <f t="shared" si="6"/>
        <v>4.8896722074332413</v>
      </c>
      <c r="G106">
        <f t="shared" si="7"/>
        <v>1.7443589943396227</v>
      </c>
      <c r="Q106">
        <v>1.7414000000000001</v>
      </c>
      <c r="R106">
        <v>173.125</v>
      </c>
      <c r="S106">
        <f t="shared" si="11"/>
        <v>172.91659999999999</v>
      </c>
      <c r="T106" s="3">
        <v>1.1553990610328637</v>
      </c>
      <c r="V106">
        <f t="shared" si="8"/>
        <v>5.152809397334555</v>
      </c>
      <c r="W106">
        <f t="shared" si="9"/>
        <v>3.2582253521126754</v>
      </c>
    </row>
    <row r="107" spans="1:23" x14ac:dyDescent="0.3">
      <c r="A107">
        <v>1.5995999999999999</v>
      </c>
      <c r="B107">
        <v>132.11500000000001</v>
      </c>
      <c r="C107">
        <f t="shared" si="10"/>
        <v>131.923</v>
      </c>
      <c r="D107" s="3">
        <v>0.61171698113207551</v>
      </c>
      <c r="F107">
        <f t="shared" si="6"/>
        <v>4.8822184190479545</v>
      </c>
      <c r="G107">
        <f t="shared" si="7"/>
        <v>1.7282075221698117</v>
      </c>
      <c r="Q107">
        <v>1.7582</v>
      </c>
      <c r="R107">
        <v>173</v>
      </c>
      <c r="S107">
        <f t="shared" si="11"/>
        <v>172.75839999999999</v>
      </c>
      <c r="T107" s="3">
        <v>1.1532394366197181</v>
      </c>
      <c r="V107">
        <f t="shared" si="8"/>
        <v>5.1518940866465108</v>
      </c>
      <c r="W107">
        <f t="shared" si="9"/>
        <v>3.2521352112676047</v>
      </c>
    </row>
    <row r="108" spans="1:23" x14ac:dyDescent="0.3">
      <c r="A108">
        <v>1.6148400000000001</v>
      </c>
      <c r="B108">
        <v>130.80799999999999</v>
      </c>
      <c r="C108">
        <f t="shared" si="10"/>
        <v>131.05133333333333</v>
      </c>
      <c r="D108" s="3">
        <v>0.60599999999999998</v>
      </c>
      <c r="F108">
        <f t="shared" si="6"/>
        <v>4.8755891039514108</v>
      </c>
      <c r="G108">
        <f t="shared" si="7"/>
        <v>1.7120560500000002</v>
      </c>
      <c r="Q108">
        <v>1.7748999999999999</v>
      </c>
      <c r="R108">
        <v>172.417</v>
      </c>
      <c r="S108">
        <f t="shared" si="11"/>
        <v>172.5668</v>
      </c>
      <c r="T108" s="3">
        <v>1.1510798122065726</v>
      </c>
      <c r="V108">
        <f t="shared" si="8"/>
        <v>5.1507844078876994</v>
      </c>
      <c r="W108">
        <f t="shared" si="9"/>
        <v>3.2460450704225345</v>
      </c>
    </row>
    <row r="109" spans="1:23" x14ac:dyDescent="0.3">
      <c r="A109">
        <v>1.6300699999999999</v>
      </c>
      <c r="B109">
        <v>130.23099999999999</v>
      </c>
      <c r="C109">
        <f t="shared" si="10"/>
        <v>130.00033333333332</v>
      </c>
      <c r="D109" s="3">
        <v>0.60028301886792457</v>
      </c>
      <c r="F109">
        <f t="shared" si="6"/>
        <v>4.8675370145548591</v>
      </c>
      <c r="G109">
        <f t="shared" si="7"/>
        <v>1.6959045778301889</v>
      </c>
      <c r="Q109">
        <v>1.7917000000000001</v>
      </c>
      <c r="R109">
        <v>172.042</v>
      </c>
      <c r="S109">
        <f t="shared" si="11"/>
        <v>172.43340000000001</v>
      </c>
      <c r="T109" s="3">
        <v>1.148920187793427</v>
      </c>
      <c r="V109">
        <f t="shared" si="8"/>
        <v>5.1500110749641346</v>
      </c>
      <c r="W109">
        <f t="shared" si="9"/>
        <v>3.2399549295774639</v>
      </c>
    </row>
    <row r="110" spans="1:23" x14ac:dyDescent="0.3">
      <c r="A110">
        <v>1.6453100000000001</v>
      </c>
      <c r="B110">
        <v>128.96199999999999</v>
      </c>
      <c r="C110">
        <f t="shared" si="10"/>
        <v>128.98733333333334</v>
      </c>
      <c r="D110" s="3">
        <v>0.59456603773584904</v>
      </c>
      <c r="F110">
        <f t="shared" si="6"/>
        <v>4.8597142083261291</v>
      </c>
      <c r="G110">
        <f t="shared" si="7"/>
        <v>1.6797531056603774</v>
      </c>
      <c r="Q110">
        <v>1.8084</v>
      </c>
      <c r="R110">
        <v>172.25</v>
      </c>
      <c r="S110">
        <f t="shared" si="11"/>
        <v>172.2</v>
      </c>
      <c r="T110" s="3">
        <v>1.1467605633802815</v>
      </c>
      <c r="V110">
        <f t="shared" si="8"/>
        <v>5.14865659199363</v>
      </c>
      <c r="W110">
        <f t="shared" si="9"/>
        <v>3.2338647887323937</v>
      </c>
    </row>
    <row r="111" spans="1:23" x14ac:dyDescent="0.3">
      <c r="A111">
        <v>1.6605399999999999</v>
      </c>
      <c r="B111">
        <v>127.76900000000001</v>
      </c>
      <c r="C111">
        <f t="shared" si="10"/>
        <v>127.66666666666667</v>
      </c>
      <c r="D111" s="3">
        <v>0.58884905660377362</v>
      </c>
      <c r="F111">
        <f t="shared" si="6"/>
        <v>4.8494227005125365</v>
      </c>
      <c r="G111">
        <f t="shared" si="7"/>
        <v>1.6636016334905663</v>
      </c>
      <c r="Q111">
        <v>1.8251999999999999</v>
      </c>
      <c r="R111">
        <v>172.458</v>
      </c>
      <c r="S111">
        <f t="shared" si="11"/>
        <v>171.90819999999999</v>
      </c>
      <c r="T111" s="3">
        <v>1.1446009389671359</v>
      </c>
      <c r="V111">
        <f t="shared" si="8"/>
        <v>5.1469606134035066</v>
      </c>
      <c r="W111">
        <f t="shared" si="9"/>
        <v>3.227774647887323</v>
      </c>
    </row>
    <row r="112" spans="1:23" x14ac:dyDescent="0.3">
      <c r="A112">
        <v>1.67577</v>
      </c>
      <c r="B112">
        <v>126.26900000000001</v>
      </c>
      <c r="C112">
        <f t="shared" si="10"/>
        <v>126.43566666666668</v>
      </c>
      <c r="D112" s="3">
        <v>0.5831320754716981</v>
      </c>
      <c r="F112">
        <f t="shared" si="6"/>
        <v>4.8397336149052252</v>
      </c>
      <c r="G112">
        <f t="shared" si="7"/>
        <v>1.6474501613207548</v>
      </c>
      <c r="Q112">
        <v>1.8419000000000001</v>
      </c>
      <c r="R112">
        <v>171.833</v>
      </c>
      <c r="S112">
        <f t="shared" si="11"/>
        <v>171.4332</v>
      </c>
      <c r="T112" s="3">
        <v>1.1424413145539905</v>
      </c>
      <c r="V112">
        <f t="shared" si="8"/>
        <v>5.1441936863562852</v>
      </c>
      <c r="W112">
        <f t="shared" si="9"/>
        <v>3.2216845070422528</v>
      </c>
    </row>
    <row r="113" spans="1:23" x14ac:dyDescent="0.3">
      <c r="A113">
        <v>1.6910099999999999</v>
      </c>
      <c r="B113">
        <v>125.26900000000001</v>
      </c>
      <c r="C113">
        <f t="shared" si="10"/>
        <v>125.38433333333334</v>
      </c>
      <c r="D113" s="3">
        <v>0.57741509433962268</v>
      </c>
      <c r="F113">
        <f t="shared" si="6"/>
        <v>4.8313836868479889</v>
      </c>
      <c r="G113">
        <f t="shared" si="7"/>
        <v>1.6312986891509436</v>
      </c>
      <c r="Q113">
        <v>1.8586</v>
      </c>
      <c r="R113">
        <v>170.958</v>
      </c>
      <c r="S113">
        <f t="shared" si="11"/>
        <v>170.72480000000002</v>
      </c>
      <c r="T113" s="3">
        <v>1.1402816901408448</v>
      </c>
      <c r="V113">
        <f t="shared" si="8"/>
        <v>5.1400529033718731</v>
      </c>
      <c r="W113">
        <f t="shared" si="9"/>
        <v>3.2155943661971822</v>
      </c>
    </row>
    <row r="114" spans="1:23" x14ac:dyDescent="0.3">
      <c r="A114">
        <v>1.70624</v>
      </c>
      <c r="B114">
        <v>124.61499999999999</v>
      </c>
      <c r="C114">
        <f t="shared" si="10"/>
        <v>124.67933333333333</v>
      </c>
      <c r="D114" s="3">
        <v>0.57169811320754715</v>
      </c>
      <c r="F114">
        <f t="shared" si="6"/>
        <v>4.8257451078631322</v>
      </c>
      <c r="G114">
        <f t="shared" si="7"/>
        <v>1.6151472169811321</v>
      </c>
      <c r="Q114">
        <v>1.8754</v>
      </c>
      <c r="R114">
        <v>169.667</v>
      </c>
      <c r="S114">
        <f t="shared" si="11"/>
        <v>170.04159999999999</v>
      </c>
      <c r="T114" s="3">
        <v>1.1381220657276994</v>
      </c>
      <c r="V114">
        <f t="shared" si="8"/>
        <v>5.1360431129970134</v>
      </c>
      <c r="W114">
        <f t="shared" si="9"/>
        <v>3.209504225352112</v>
      </c>
    </row>
    <row r="115" spans="1:23" x14ac:dyDescent="0.3">
      <c r="A115">
        <v>1.7214799999999999</v>
      </c>
      <c r="B115">
        <v>124.154</v>
      </c>
      <c r="C115">
        <f t="shared" si="10"/>
        <v>123.64100000000001</v>
      </c>
      <c r="D115" s="3">
        <v>0.56598113207547174</v>
      </c>
      <c r="F115">
        <f t="shared" si="6"/>
        <v>4.8173822052286202</v>
      </c>
      <c r="G115">
        <f t="shared" si="7"/>
        <v>1.598995744811321</v>
      </c>
      <c r="Q115">
        <v>1.8920999999999999</v>
      </c>
      <c r="R115">
        <v>168.708</v>
      </c>
      <c r="S115">
        <f t="shared" si="11"/>
        <v>169.44159999999999</v>
      </c>
      <c r="T115" s="3">
        <v>1.1359624413145539</v>
      </c>
      <c r="V115">
        <f t="shared" si="8"/>
        <v>5.1325083246791454</v>
      </c>
      <c r="W115">
        <f t="shared" si="9"/>
        <v>3.2034140845070418</v>
      </c>
    </row>
    <row r="116" spans="1:23" x14ac:dyDescent="0.3">
      <c r="A116">
        <v>1.73671</v>
      </c>
      <c r="B116">
        <v>122.154</v>
      </c>
      <c r="C116">
        <f t="shared" si="10"/>
        <v>122.56433333333332</v>
      </c>
      <c r="D116" s="3">
        <v>0.56026415094339621</v>
      </c>
      <c r="F116">
        <f t="shared" si="6"/>
        <v>4.8086360621992705</v>
      </c>
      <c r="G116">
        <f t="shared" si="7"/>
        <v>1.5828442726415095</v>
      </c>
      <c r="Q116">
        <v>1.9089</v>
      </c>
      <c r="R116">
        <v>169.042</v>
      </c>
      <c r="S116">
        <f t="shared" si="11"/>
        <v>169.06659999999999</v>
      </c>
      <c r="T116" s="3">
        <v>1.1338028169014083</v>
      </c>
      <c r="V116">
        <f t="shared" si="8"/>
        <v>5.1302927201330624</v>
      </c>
      <c r="W116">
        <f t="shared" si="9"/>
        <v>3.1973239436619711</v>
      </c>
    </row>
    <row r="117" spans="1:23" x14ac:dyDescent="0.3">
      <c r="A117">
        <v>1.7519499999999999</v>
      </c>
      <c r="B117">
        <v>121.38500000000001</v>
      </c>
      <c r="C117">
        <f t="shared" si="10"/>
        <v>121.35899999999999</v>
      </c>
      <c r="D117" s="3">
        <v>0.55454716981132079</v>
      </c>
      <c r="F117">
        <f t="shared" si="6"/>
        <v>4.7987530950590642</v>
      </c>
      <c r="G117">
        <f t="shared" si="7"/>
        <v>1.5666928004716985</v>
      </c>
      <c r="Q117">
        <v>1.9256</v>
      </c>
      <c r="R117">
        <v>168.833</v>
      </c>
      <c r="S117">
        <f t="shared" si="11"/>
        <v>169.00819999999999</v>
      </c>
      <c r="T117" s="3">
        <v>1.1316431924882626</v>
      </c>
      <c r="V117">
        <f t="shared" si="8"/>
        <v>5.1299472344560408</v>
      </c>
      <c r="W117">
        <f t="shared" si="9"/>
        <v>3.1912338028169005</v>
      </c>
    </row>
    <row r="118" spans="1:23" x14ac:dyDescent="0.3">
      <c r="A118">
        <v>1.76718</v>
      </c>
      <c r="B118">
        <v>120.538</v>
      </c>
      <c r="C118">
        <f t="shared" si="10"/>
        <v>120.47433333333333</v>
      </c>
      <c r="D118" s="3">
        <v>0.54883018867924527</v>
      </c>
      <c r="F118">
        <f t="shared" si="6"/>
        <v>4.7914367288595674</v>
      </c>
      <c r="G118">
        <f t="shared" si="7"/>
        <v>1.550541328301887</v>
      </c>
      <c r="Q118">
        <v>1.9423999999999999</v>
      </c>
      <c r="R118">
        <v>169.083</v>
      </c>
      <c r="S118">
        <f t="shared" si="11"/>
        <v>169.11660000000001</v>
      </c>
      <c r="T118" s="3">
        <v>1.1294835680751172</v>
      </c>
      <c r="V118">
        <f t="shared" si="8"/>
        <v>5.1305884178517207</v>
      </c>
      <c r="W118">
        <f t="shared" si="9"/>
        <v>3.1851436619718303</v>
      </c>
    </row>
    <row r="119" spans="1:23" x14ac:dyDescent="0.3">
      <c r="A119">
        <v>1.7824199999999999</v>
      </c>
      <c r="B119">
        <v>119.5</v>
      </c>
      <c r="C119">
        <f t="shared" si="10"/>
        <v>119.38433333333334</v>
      </c>
      <c r="D119" s="3">
        <v>0.54311320754716985</v>
      </c>
      <c r="F119">
        <f t="shared" si="6"/>
        <v>4.7823479807358815</v>
      </c>
      <c r="G119">
        <f t="shared" si="7"/>
        <v>1.5343898561320757</v>
      </c>
      <c r="Q119">
        <v>1.9591000000000001</v>
      </c>
      <c r="R119">
        <v>169.375</v>
      </c>
      <c r="S119">
        <f t="shared" si="11"/>
        <v>168.92479999999998</v>
      </c>
      <c r="T119" s="3">
        <v>1.1273239436619718</v>
      </c>
      <c r="V119">
        <f t="shared" si="8"/>
        <v>5.1294536454801598</v>
      </c>
      <c r="W119">
        <f t="shared" si="9"/>
        <v>3.1790535211267601</v>
      </c>
    </row>
    <row r="120" spans="1:23" x14ac:dyDescent="0.3">
      <c r="A120">
        <v>1.79765</v>
      </c>
      <c r="B120">
        <v>118.11499999999999</v>
      </c>
      <c r="C120">
        <f t="shared" si="10"/>
        <v>118.051</v>
      </c>
      <c r="D120" s="3">
        <v>0.53739622641509432</v>
      </c>
      <c r="F120">
        <f t="shared" si="6"/>
        <v>4.7711167344825132</v>
      </c>
      <c r="G120">
        <f t="shared" si="7"/>
        <v>1.5182383839622642</v>
      </c>
      <c r="Q120">
        <v>1.9759</v>
      </c>
      <c r="R120">
        <v>169.25</v>
      </c>
      <c r="S120">
        <f t="shared" si="11"/>
        <v>168.79979999999998</v>
      </c>
      <c r="T120" s="3">
        <v>1.1251643192488261</v>
      </c>
      <c r="V120">
        <f t="shared" si="8"/>
        <v>5.1287133973270311</v>
      </c>
      <c r="W120">
        <f t="shared" si="9"/>
        <v>3.1729633802816894</v>
      </c>
    </row>
    <row r="121" spans="1:23" x14ac:dyDescent="0.3">
      <c r="A121">
        <v>1.81288</v>
      </c>
      <c r="B121">
        <v>116.538</v>
      </c>
      <c r="C121">
        <f t="shared" si="10"/>
        <v>116.51266666666668</v>
      </c>
      <c r="D121" s="3">
        <v>0.53167924528301891</v>
      </c>
      <c r="F121">
        <f t="shared" si="6"/>
        <v>4.7579999938479336</v>
      </c>
      <c r="G121">
        <f t="shared" si="7"/>
        <v>1.5020869117924531</v>
      </c>
      <c r="Q121">
        <v>1.9925999999999999</v>
      </c>
      <c r="R121">
        <v>168.083</v>
      </c>
      <c r="S121">
        <f t="shared" si="11"/>
        <v>168.60819999999998</v>
      </c>
      <c r="T121" s="3">
        <v>1.1230046948356804</v>
      </c>
      <c r="V121">
        <f t="shared" si="8"/>
        <v>5.1275776802095079</v>
      </c>
      <c r="W121">
        <f t="shared" si="9"/>
        <v>3.1668732394366188</v>
      </c>
    </row>
    <row r="122" spans="1:23" x14ac:dyDescent="0.3">
      <c r="A122">
        <v>1.82812</v>
      </c>
      <c r="B122">
        <v>114.88500000000001</v>
      </c>
      <c r="C122">
        <f t="shared" si="10"/>
        <v>115.19233333333334</v>
      </c>
      <c r="D122" s="3">
        <v>0.52596226415094338</v>
      </c>
      <c r="F122">
        <f t="shared" si="6"/>
        <v>4.7466031951212537</v>
      </c>
      <c r="G122">
        <f t="shared" si="7"/>
        <v>1.4859354396226416</v>
      </c>
      <c r="Q122">
        <v>2.0093000000000001</v>
      </c>
      <c r="R122">
        <v>168.208</v>
      </c>
      <c r="S122">
        <f t="shared" si="11"/>
        <v>168.24160000000001</v>
      </c>
      <c r="T122" s="3">
        <v>1.120845070422535</v>
      </c>
      <c r="V122">
        <f t="shared" si="8"/>
        <v>5.1254010415727125</v>
      </c>
      <c r="W122">
        <f t="shared" si="9"/>
        <v>3.1607830985915486</v>
      </c>
    </row>
    <row r="123" spans="1:23" x14ac:dyDescent="0.3">
      <c r="A123">
        <v>1.84335</v>
      </c>
      <c r="B123">
        <v>114.154</v>
      </c>
      <c r="C123">
        <f t="shared" si="10"/>
        <v>113.53866666666666</v>
      </c>
      <c r="D123" s="3">
        <v>0.52024528301886797</v>
      </c>
      <c r="F123">
        <f t="shared" si="6"/>
        <v>4.7321434543819825</v>
      </c>
      <c r="G123">
        <f t="shared" si="7"/>
        <v>1.4697839674528304</v>
      </c>
      <c r="Q123">
        <v>2.0261</v>
      </c>
      <c r="R123">
        <v>168.125</v>
      </c>
      <c r="S123">
        <f t="shared" si="11"/>
        <v>167.73319999999998</v>
      </c>
      <c r="T123" s="3">
        <v>1.1186854460093896</v>
      </c>
      <c r="V123">
        <f t="shared" si="8"/>
        <v>5.1223746218052453</v>
      </c>
      <c r="W123">
        <f t="shared" si="9"/>
        <v>3.1546929577464784</v>
      </c>
    </row>
    <row r="124" spans="1:23" x14ac:dyDescent="0.3">
      <c r="A124">
        <v>1.85859</v>
      </c>
      <c r="B124">
        <v>111.577</v>
      </c>
      <c r="C124">
        <f t="shared" si="10"/>
        <v>112.16666666666667</v>
      </c>
      <c r="D124" s="3">
        <v>0.51452830188679244</v>
      </c>
      <c r="F124">
        <f t="shared" si="6"/>
        <v>4.7199858604166725</v>
      </c>
      <c r="G124">
        <f t="shared" si="7"/>
        <v>1.4536324952830189</v>
      </c>
      <c r="Q124">
        <v>2.0428000000000002</v>
      </c>
      <c r="R124">
        <v>167.542</v>
      </c>
      <c r="S124">
        <f t="shared" si="11"/>
        <v>167.41659999999999</v>
      </c>
      <c r="T124" s="3">
        <v>1.1165258215962439</v>
      </c>
      <c r="V124">
        <f t="shared" si="8"/>
        <v>5.1204853168187912</v>
      </c>
      <c r="W124">
        <f t="shared" si="9"/>
        <v>3.1486028169014078</v>
      </c>
    </row>
    <row r="125" spans="1:23" x14ac:dyDescent="0.3">
      <c r="A125">
        <v>1.87382</v>
      </c>
      <c r="B125">
        <v>110.76900000000001</v>
      </c>
      <c r="C125">
        <f t="shared" si="10"/>
        <v>110.74366666666667</v>
      </c>
      <c r="D125" s="3">
        <v>0.50881132075471702</v>
      </c>
      <c r="F125">
        <f t="shared" si="6"/>
        <v>4.7072182214360465</v>
      </c>
      <c r="G125">
        <f t="shared" si="7"/>
        <v>1.4374810231132078</v>
      </c>
      <c r="Q125">
        <v>2.0596000000000001</v>
      </c>
      <c r="R125">
        <v>166.708</v>
      </c>
      <c r="S125">
        <f t="shared" si="11"/>
        <v>167.05840000000001</v>
      </c>
      <c r="T125" s="3">
        <v>1.1143661971830985</v>
      </c>
      <c r="V125">
        <f t="shared" si="8"/>
        <v>5.1183434518845541</v>
      </c>
      <c r="W125">
        <f t="shared" si="9"/>
        <v>3.1425126760563376</v>
      </c>
    </row>
    <row r="126" spans="1:23" x14ac:dyDescent="0.3">
      <c r="A126">
        <v>1.88906</v>
      </c>
      <c r="B126">
        <v>109.88500000000001</v>
      </c>
      <c r="C126">
        <f t="shared" si="10"/>
        <v>109.85899999999999</v>
      </c>
      <c r="D126" s="3">
        <v>0.5030943396226415</v>
      </c>
      <c r="F126">
        <f t="shared" si="6"/>
        <v>4.699197725378963</v>
      </c>
      <c r="G126">
        <f t="shared" si="7"/>
        <v>1.4213295509433963</v>
      </c>
      <c r="Q126">
        <v>2.0762999999999998</v>
      </c>
      <c r="R126">
        <v>166.5</v>
      </c>
      <c r="S126">
        <f t="shared" si="11"/>
        <v>166.75839999999999</v>
      </c>
      <c r="T126" s="3">
        <v>1.1122065727699528</v>
      </c>
      <c r="V126">
        <f t="shared" si="8"/>
        <v>5.1165460583395586</v>
      </c>
      <c r="W126">
        <f t="shared" si="9"/>
        <v>3.1364225352112669</v>
      </c>
    </row>
    <row r="127" spans="1:23" x14ac:dyDescent="0.3">
      <c r="A127">
        <v>1.90429</v>
      </c>
      <c r="B127">
        <v>108.923</v>
      </c>
      <c r="C127">
        <f t="shared" si="10"/>
        <v>108.74366666666667</v>
      </c>
      <c r="D127" s="3">
        <v>0.49737735849056608</v>
      </c>
      <c r="F127">
        <f t="shared" si="6"/>
        <v>4.6889934307250289</v>
      </c>
      <c r="G127">
        <f t="shared" si="7"/>
        <v>1.405178078773585</v>
      </c>
      <c r="Q127">
        <v>2.0931000000000002</v>
      </c>
      <c r="R127">
        <v>166.417</v>
      </c>
      <c r="S127">
        <f t="shared" si="11"/>
        <v>166.55</v>
      </c>
      <c r="T127" s="3">
        <v>1.1100469483568074</v>
      </c>
      <c r="V127">
        <f t="shared" si="8"/>
        <v>5.1152955646396885</v>
      </c>
      <c r="W127">
        <f t="shared" si="9"/>
        <v>3.1303323943661967</v>
      </c>
    </row>
    <row r="128" spans="1:23" x14ac:dyDescent="0.3">
      <c r="A128">
        <v>1.9195199999999999</v>
      </c>
      <c r="B128">
        <v>107.423</v>
      </c>
      <c r="C128">
        <f t="shared" si="10"/>
        <v>107.628</v>
      </c>
      <c r="D128" s="3">
        <v>0.49166037735849055</v>
      </c>
      <c r="F128">
        <f t="shared" si="6"/>
        <v>4.6786808369238662</v>
      </c>
      <c r="G128">
        <f t="shared" si="7"/>
        <v>1.3890266066037738</v>
      </c>
      <c r="Q128">
        <v>2.1097999999999999</v>
      </c>
      <c r="R128">
        <v>166.625</v>
      </c>
      <c r="S128">
        <f t="shared" si="11"/>
        <v>166.4084</v>
      </c>
      <c r="T128" s="3">
        <v>1.1078873239436617</v>
      </c>
      <c r="V128">
        <f t="shared" si="8"/>
        <v>5.1144450078822281</v>
      </c>
      <c r="W128">
        <f t="shared" si="9"/>
        <v>3.1242422535211261</v>
      </c>
    </row>
    <row r="129" spans="1:23" x14ac:dyDescent="0.3">
      <c r="A129">
        <v>1.93476</v>
      </c>
      <c r="B129">
        <v>106.538</v>
      </c>
      <c r="C129">
        <f t="shared" si="10"/>
        <v>106.52533333333334</v>
      </c>
      <c r="D129" s="3">
        <v>0.48594339622641514</v>
      </c>
      <c r="F129">
        <f t="shared" si="6"/>
        <v>4.6683828285369904</v>
      </c>
      <c r="G129">
        <f t="shared" si="7"/>
        <v>1.3728751344339625</v>
      </c>
      <c r="Q129">
        <v>2.1265999999999998</v>
      </c>
      <c r="R129">
        <v>166.5</v>
      </c>
      <c r="S129">
        <f t="shared" si="11"/>
        <v>166.41680000000002</v>
      </c>
      <c r="T129" s="3">
        <v>1.1057276995305163</v>
      </c>
      <c r="V129">
        <f t="shared" si="8"/>
        <v>5.1144954848292965</v>
      </c>
      <c r="W129">
        <f t="shared" si="9"/>
        <v>3.1181521126760559</v>
      </c>
    </row>
    <row r="130" spans="1:23" x14ac:dyDescent="0.3">
      <c r="A130">
        <v>1.9499899999999999</v>
      </c>
      <c r="B130">
        <v>105.61499999999999</v>
      </c>
      <c r="C130">
        <f t="shared" si="10"/>
        <v>105.66633333333334</v>
      </c>
      <c r="D130" s="3">
        <v>0.48022641509433972</v>
      </c>
      <c r="F130">
        <f t="shared" si="6"/>
        <v>4.660286330630063</v>
      </c>
      <c r="G130">
        <f t="shared" si="7"/>
        <v>1.3567236622641514</v>
      </c>
      <c r="Q130">
        <v>2.1433</v>
      </c>
      <c r="R130">
        <v>166</v>
      </c>
      <c r="S130">
        <f t="shared" si="11"/>
        <v>166.4084</v>
      </c>
      <c r="T130" s="3">
        <v>1.1035680751173707</v>
      </c>
      <c r="V130">
        <f t="shared" si="8"/>
        <v>5.1144450078822281</v>
      </c>
      <c r="W130">
        <f t="shared" si="9"/>
        <v>3.1120619718309852</v>
      </c>
    </row>
    <row r="131" spans="1:23" x14ac:dyDescent="0.3">
      <c r="A131">
        <v>1.96523</v>
      </c>
      <c r="B131">
        <v>104.846</v>
      </c>
      <c r="C131">
        <f t="shared" si="10"/>
        <v>104.30766666666666</v>
      </c>
      <c r="D131" s="3">
        <v>0.47450943396226419</v>
      </c>
      <c r="F131">
        <f t="shared" ref="F131:F194" si="12">LN(C131)</f>
        <v>4.6473448652177316</v>
      </c>
      <c r="G131">
        <f t="shared" ref="G131:G194" si="13">D131*E$2</f>
        <v>1.3405721900943399</v>
      </c>
      <c r="Q131">
        <v>2.16</v>
      </c>
      <c r="R131">
        <v>166.542</v>
      </c>
      <c r="S131">
        <f t="shared" si="11"/>
        <v>166.1584</v>
      </c>
      <c r="T131" s="3">
        <v>1.1014084507042252</v>
      </c>
      <c r="V131">
        <f t="shared" ref="V131:V194" si="14">LN(S131)</f>
        <v>5.1129415502485056</v>
      </c>
      <c r="W131">
        <f t="shared" ref="W131:W194" si="15">T131*U$2</f>
        <v>3.105971830985915</v>
      </c>
    </row>
    <row r="132" spans="1:23" x14ac:dyDescent="0.3">
      <c r="A132">
        <v>1.9804600000000001</v>
      </c>
      <c r="B132">
        <v>102.462</v>
      </c>
      <c r="C132">
        <f t="shared" ref="C132:C195" si="16">AVERAGE(B131:B133)</f>
        <v>103</v>
      </c>
      <c r="D132" s="3">
        <v>0.46879245283018878</v>
      </c>
      <c r="F132">
        <f t="shared" si="12"/>
        <v>4.6347289882296359</v>
      </c>
      <c r="G132">
        <f t="shared" si="13"/>
        <v>1.3244207179245286</v>
      </c>
      <c r="Q132">
        <v>2.1768000000000001</v>
      </c>
      <c r="R132">
        <v>166.375</v>
      </c>
      <c r="S132">
        <f t="shared" si="11"/>
        <v>165.74180000000001</v>
      </c>
      <c r="T132" s="3">
        <v>1.0992488262910796</v>
      </c>
      <c r="V132">
        <f t="shared" si="14"/>
        <v>5.1104311557456565</v>
      </c>
      <c r="W132">
        <f t="shared" si="15"/>
        <v>3.0998816901408444</v>
      </c>
    </row>
    <row r="133" spans="1:23" x14ac:dyDescent="0.3">
      <c r="A133">
        <v>1.9957</v>
      </c>
      <c r="B133">
        <v>101.69199999999999</v>
      </c>
      <c r="C133">
        <f t="shared" si="16"/>
        <v>101.51299999999999</v>
      </c>
      <c r="D133" s="3">
        <v>0.46307547169811325</v>
      </c>
      <c r="F133">
        <f t="shared" si="12"/>
        <v>4.620186869098184</v>
      </c>
      <c r="G133">
        <f t="shared" si="13"/>
        <v>1.3082692457547171</v>
      </c>
      <c r="Q133">
        <v>2.1934999999999998</v>
      </c>
      <c r="R133">
        <v>165.375</v>
      </c>
      <c r="S133">
        <f t="shared" ref="S133:S196" si="17">AVERAGE(R131:R135)</f>
        <v>165.26680000000002</v>
      </c>
      <c r="T133" s="3">
        <v>1.0970892018779341</v>
      </c>
      <c r="V133">
        <f t="shared" si="14"/>
        <v>5.1075611377095811</v>
      </c>
      <c r="W133">
        <f t="shared" si="15"/>
        <v>3.0937915492957742</v>
      </c>
    </row>
    <row r="134" spans="1:23" x14ac:dyDescent="0.3">
      <c r="A134">
        <v>2.0109300000000001</v>
      </c>
      <c r="B134">
        <v>100.38500000000001</v>
      </c>
      <c r="C134">
        <f t="shared" si="16"/>
        <v>100.48733333333332</v>
      </c>
      <c r="D134" s="3">
        <v>0.45735849056603783</v>
      </c>
      <c r="F134">
        <f t="shared" si="12"/>
        <v>4.6100316830716199</v>
      </c>
      <c r="G134">
        <f t="shared" si="13"/>
        <v>1.2921177735849061</v>
      </c>
      <c r="Q134">
        <v>2.2103000000000002</v>
      </c>
      <c r="R134">
        <v>164.417</v>
      </c>
      <c r="S134">
        <f t="shared" si="17"/>
        <v>164.5334</v>
      </c>
      <c r="T134" s="3">
        <v>1.0949295774647885</v>
      </c>
      <c r="V134">
        <f t="shared" si="14"/>
        <v>5.1031135891093724</v>
      </c>
      <c r="W134">
        <f t="shared" si="15"/>
        <v>3.0877014084507035</v>
      </c>
    </row>
    <row r="135" spans="1:23" x14ac:dyDescent="0.3">
      <c r="A135">
        <v>2.02616</v>
      </c>
      <c r="B135">
        <v>99.385000000000005</v>
      </c>
      <c r="C135">
        <f t="shared" si="16"/>
        <v>99.320666666666668</v>
      </c>
      <c r="D135" s="3">
        <v>0.45164150943396231</v>
      </c>
      <c r="F135">
        <f t="shared" si="12"/>
        <v>4.598353672927816</v>
      </c>
      <c r="G135">
        <f t="shared" si="13"/>
        <v>1.2759663014150946</v>
      </c>
      <c r="Q135">
        <v>2.2269999999999999</v>
      </c>
      <c r="R135">
        <v>163.625</v>
      </c>
      <c r="S135">
        <f t="shared" si="17"/>
        <v>163.73340000000002</v>
      </c>
      <c r="T135" s="3">
        <v>1.092769953051643</v>
      </c>
      <c r="V135">
        <f t="shared" si="14"/>
        <v>5.0982394953308638</v>
      </c>
      <c r="W135">
        <f t="shared" si="15"/>
        <v>3.0816112676056333</v>
      </c>
    </row>
    <row r="136" spans="1:23" x14ac:dyDescent="0.3">
      <c r="A136">
        <v>2.0413999999999999</v>
      </c>
      <c r="B136">
        <v>98.191999999999993</v>
      </c>
      <c r="C136">
        <f t="shared" si="16"/>
        <v>98.230666666666664</v>
      </c>
      <c r="D136" s="3">
        <v>0.44592452830188689</v>
      </c>
      <c r="F136">
        <f t="shared" si="12"/>
        <v>4.587318454456649</v>
      </c>
      <c r="G136">
        <f t="shared" si="13"/>
        <v>1.2598148292452833</v>
      </c>
      <c r="Q136">
        <v>2.2437999999999998</v>
      </c>
      <c r="R136">
        <v>162.875</v>
      </c>
      <c r="S136">
        <f t="shared" si="17"/>
        <v>163.27500000000001</v>
      </c>
      <c r="T136" s="3">
        <v>1.0906103286384976</v>
      </c>
      <c r="V136">
        <f t="shared" si="14"/>
        <v>5.0954358957887207</v>
      </c>
      <c r="W136">
        <f t="shared" si="15"/>
        <v>3.0755211267605631</v>
      </c>
    </row>
    <row r="137" spans="1:23" x14ac:dyDescent="0.3">
      <c r="A137">
        <v>2.0566300000000002</v>
      </c>
      <c r="B137">
        <v>97.114999999999995</v>
      </c>
      <c r="C137">
        <f t="shared" si="16"/>
        <v>97.243333333333339</v>
      </c>
      <c r="D137" s="3">
        <v>0.44020754716981136</v>
      </c>
      <c r="F137">
        <f t="shared" si="12"/>
        <v>4.57721642830644</v>
      </c>
      <c r="G137">
        <f t="shared" si="13"/>
        <v>1.2436633570754718</v>
      </c>
      <c r="Q137">
        <v>2.2605</v>
      </c>
      <c r="R137">
        <v>162.375</v>
      </c>
      <c r="S137">
        <f t="shared" si="17"/>
        <v>163.16659999999999</v>
      </c>
      <c r="T137" s="3">
        <v>1.088450704225352</v>
      </c>
      <c r="V137">
        <f t="shared" si="14"/>
        <v>5.0947717647221884</v>
      </c>
      <c r="W137">
        <f t="shared" si="15"/>
        <v>3.0694309859154925</v>
      </c>
    </row>
    <row r="138" spans="1:23" x14ac:dyDescent="0.3">
      <c r="A138">
        <v>2.0718700000000001</v>
      </c>
      <c r="B138">
        <v>96.423000000000002</v>
      </c>
      <c r="C138">
        <f t="shared" si="16"/>
        <v>96.25633333333333</v>
      </c>
      <c r="D138" s="3">
        <v>0.43449056603773595</v>
      </c>
      <c r="F138">
        <f t="shared" si="12"/>
        <v>4.5670147718689122</v>
      </c>
      <c r="G138">
        <f t="shared" si="13"/>
        <v>1.2275118849056608</v>
      </c>
      <c r="Q138">
        <v>2.2772999999999999</v>
      </c>
      <c r="R138">
        <v>163.083</v>
      </c>
      <c r="S138">
        <f t="shared" si="17"/>
        <v>163.24160000000001</v>
      </c>
      <c r="T138" s="3">
        <v>1.0862910798122063</v>
      </c>
      <c r="V138">
        <f t="shared" si="14"/>
        <v>5.0952313120088055</v>
      </c>
      <c r="W138">
        <f t="shared" si="15"/>
        <v>3.0633408450704214</v>
      </c>
    </row>
    <row r="139" spans="1:23" x14ac:dyDescent="0.3">
      <c r="A139">
        <v>2.0871</v>
      </c>
      <c r="B139">
        <v>95.230999999999995</v>
      </c>
      <c r="C139">
        <f t="shared" si="16"/>
        <v>95.115333333333339</v>
      </c>
      <c r="D139" s="3">
        <v>0.42877358490566042</v>
      </c>
      <c r="F139">
        <f t="shared" si="12"/>
        <v>4.5550901903435683</v>
      </c>
      <c r="G139">
        <f t="shared" si="13"/>
        <v>1.2113604127358493</v>
      </c>
      <c r="Q139">
        <v>2.294</v>
      </c>
      <c r="R139">
        <v>163.875</v>
      </c>
      <c r="S139">
        <f t="shared" si="17"/>
        <v>163.28319999999999</v>
      </c>
      <c r="T139" s="3">
        <v>1.0841314553990609</v>
      </c>
      <c r="V139">
        <f t="shared" si="14"/>
        <v>5.0954861165457048</v>
      </c>
      <c r="W139">
        <f t="shared" si="15"/>
        <v>3.0572507042253516</v>
      </c>
    </row>
    <row r="140" spans="1:23" x14ac:dyDescent="0.3">
      <c r="A140">
        <v>2.1023399999999999</v>
      </c>
      <c r="B140">
        <v>93.691999999999993</v>
      </c>
      <c r="C140">
        <f t="shared" si="16"/>
        <v>94.025666666666666</v>
      </c>
      <c r="D140" s="3">
        <v>0.423056603773585</v>
      </c>
      <c r="F140">
        <f t="shared" si="12"/>
        <v>4.5435677946441242</v>
      </c>
      <c r="G140">
        <f t="shared" si="13"/>
        <v>1.1952089405660382</v>
      </c>
      <c r="Q140">
        <v>2.3107000000000002</v>
      </c>
      <c r="R140">
        <v>164</v>
      </c>
      <c r="S140">
        <f t="shared" si="17"/>
        <v>163.20819999999998</v>
      </c>
      <c r="T140" s="3">
        <v>1.0819718309859154</v>
      </c>
      <c r="V140">
        <f t="shared" si="14"/>
        <v>5.0950266863658031</v>
      </c>
      <c r="W140">
        <f t="shared" si="15"/>
        <v>3.0511605633802814</v>
      </c>
    </row>
    <row r="141" spans="1:23" x14ac:dyDescent="0.3">
      <c r="A141">
        <v>2.1175700000000002</v>
      </c>
      <c r="B141">
        <v>93.153999999999996</v>
      </c>
      <c r="C141">
        <f t="shared" si="16"/>
        <v>93.025666666666666</v>
      </c>
      <c r="D141" s="3">
        <v>0.41733962264150948</v>
      </c>
      <c r="F141">
        <f t="shared" si="12"/>
        <v>4.5328754407393008</v>
      </c>
      <c r="G141">
        <f t="shared" si="13"/>
        <v>1.1790574683962267</v>
      </c>
      <c r="Q141">
        <v>2.3275000000000001</v>
      </c>
      <c r="R141">
        <v>163.083</v>
      </c>
      <c r="S141">
        <f t="shared" si="17"/>
        <v>163.00819999999999</v>
      </c>
      <c r="T141" s="3">
        <v>1.0798122065727698</v>
      </c>
      <c r="V141">
        <f t="shared" si="14"/>
        <v>5.0938005062898863</v>
      </c>
      <c r="W141">
        <f t="shared" si="15"/>
        <v>3.0450704225352108</v>
      </c>
    </row>
    <row r="142" spans="1:23" x14ac:dyDescent="0.3">
      <c r="A142">
        <v>2.1328</v>
      </c>
      <c r="B142">
        <v>92.230999999999995</v>
      </c>
      <c r="C142">
        <f t="shared" si="16"/>
        <v>92.115666666666655</v>
      </c>
      <c r="D142" s="3">
        <v>0.41162264150943406</v>
      </c>
      <c r="F142">
        <f t="shared" si="12"/>
        <v>4.5230450337534318</v>
      </c>
      <c r="G142">
        <f t="shared" si="13"/>
        <v>1.1629059962264154</v>
      </c>
      <c r="Q142">
        <v>2.3441999999999998</v>
      </c>
      <c r="R142">
        <v>162</v>
      </c>
      <c r="S142">
        <f t="shared" si="17"/>
        <v>162.5916</v>
      </c>
      <c r="T142" s="3">
        <v>1.0776525821596241</v>
      </c>
      <c r="V142">
        <f t="shared" si="14"/>
        <v>5.0912415352626548</v>
      </c>
      <c r="W142">
        <f t="shared" si="15"/>
        <v>3.0389802816901397</v>
      </c>
    </row>
    <row r="143" spans="1:23" x14ac:dyDescent="0.3">
      <c r="A143">
        <v>2.1480399999999999</v>
      </c>
      <c r="B143">
        <v>90.962000000000003</v>
      </c>
      <c r="C143">
        <f t="shared" si="16"/>
        <v>90.872</v>
      </c>
      <c r="D143" s="3">
        <v>0.40590566037735853</v>
      </c>
      <c r="F143">
        <f t="shared" si="12"/>
        <v>4.5094519229291201</v>
      </c>
      <c r="G143">
        <f t="shared" si="13"/>
        <v>1.1467545240566039</v>
      </c>
      <c r="Q143">
        <v>2.3610000000000002</v>
      </c>
      <c r="R143">
        <v>162.083</v>
      </c>
      <c r="S143">
        <f t="shared" si="17"/>
        <v>161.98319999999998</v>
      </c>
      <c r="T143" s="3">
        <v>1.0754929577464787</v>
      </c>
      <c r="V143">
        <f t="shared" si="14"/>
        <v>5.0874926261510796</v>
      </c>
      <c r="W143">
        <f t="shared" si="15"/>
        <v>3.0328901408450699</v>
      </c>
    </row>
    <row r="144" spans="1:23" x14ac:dyDescent="0.3">
      <c r="A144">
        <v>2.1632699999999998</v>
      </c>
      <c r="B144">
        <v>89.423000000000002</v>
      </c>
      <c r="C144">
        <f t="shared" si="16"/>
        <v>89.602666666666664</v>
      </c>
      <c r="D144" s="3">
        <v>0.40018867924528312</v>
      </c>
      <c r="F144">
        <f t="shared" si="12"/>
        <v>4.4953850814427696</v>
      </c>
      <c r="G144">
        <f t="shared" si="13"/>
        <v>1.1306030518867929</v>
      </c>
      <c r="Q144">
        <v>2.3776999999999999</v>
      </c>
      <c r="R144">
        <v>161.792</v>
      </c>
      <c r="S144">
        <f t="shared" si="17"/>
        <v>161.45819999999998</v>
      </c>
      <c r="T144" s="3">
        <v>1.0733333333333333</v>
      </c>
      <c r="V144">
        <f t="shared" si="14"/>
        <v>5.0842462856327089</v>
      </c>
      <c r="W144">
        <f t="shared" si="15"/>
        <v>3.0267999999999997</v>
      </c>
    </row>
    <row r="145" spans="1:23" x14ac:dyDescent="0.3">
      <c r="A145">
        <v>2.1785100000000002</v>
      </c>
      <c r="B145">
        <v>88.423000000000002</v>
      </c>
      <c r="C145">
        <f t="shared" si="16"/>
        <v>88.435999999999993</v>
      </c>
      <c r="D145" s="3">
        <v>0.39447169811320759</v>
      </c>
      <c r="F145">
        <f t="shared" si="12"/>
        <v>4.4822791265629727</v>
      </c>
      <c r="G145">
        <f t="shared" si="13"/>
        <v>1.1144515797169814</v>
      </c>
      <c r="Q145">
        <v>2.3944999999999999</v>
      </c>
      <c r="R145">
        <v>160.958</v>
      </c>
      <c r="S145">
        <f t="shared" si="17"/>
        <v>161.06659999999999</v>
      </c>
      <c r="T145" s="3">
        <v>1.0711737089201876</v>
      </c>
      <c r="V145">
        <f t="shared" si="14"/>
        <v>5.0818179440451248</v>
      </c>
      <c r="W145">
        <f t="shared" si="15"/>
        <v>3.0207098591549291</v>
      </c>
    </row>
    <row r="146" spans="1:23" x14ac:dyDescent="0.3">
      <c r="A146">
        <v>2.19374</v>
      </c>
      <c r="B146">
        <v>87.462000000000003</v>
      </c>
      <c r="C146">
        <f t="shared" si="16"/>
        <v>87.615666666666655</v>
      </c>
      <c r="D146" s="3">
        <v>0.38875471698113218</v>
      </c>
      <c r="F146">
        <f t="shared" si="12"/>
        <v>4.4729598251785907</v>
      </c>
      <c r="G146">
        <f t="shared" si="13"/>
        <v>1.0983001075471701</v>
      </c>
      <c r="Q146">
        <v>2.4112</v>
      </c>
      <c r="R146">
        <v>160.458</v>
      </c>
      <c r="S146">
        <f t="shared" si="17"/>
        <v>160.7166</v>
      </c>
      <c r="T146" s="3">
        <v>1.0690140845070419</v>
      </c>
      <c r="V146">
        <f t="shared" si="14"/>
        <v>5.0796425654795279</v>
      </c>
      <c r="W146">
        <f t="shared" si="15"/>
        <v>3.014619718309858</v>
      </c>
    </row>
    <row r="147" spans="1:23" x14ac:dyDescent="0.3">
      <c r="A147">
        <v>2.2089799999999999</v>
      </c>
      <c r="B147">
        <v>86.962000000000003</v>
      </c>
      <c r="C147">
        <f t="shared" si="16"/>
        <v>86.525999999999996</v>
      </c>
      <c r="D147" s="3">
        <v>0.38303773584905665</v>
      </c>
      <c r="F147">
        <f t="shared" si="12"/>
        <v>4.4604449468079883</v>
      </c>
      <c r="G147">
        <f t="shared" si="13"/>
        <v>1.0821486353773586</v>
      </c>
      <c r="Q147">
        <v>2.4279999999999999</v>
      </c>
      <c r="R147">
        <v>160.042</v>
      </c>
      <c r="S147">
        <f t="shared" si="17"/>
        <v>160.4332</v>
      </c>
      <c r="T147" s="3">
        <v>1.0668544600938965</v>
      </c>
      <c r="V147">
        <f t="shared" si="14"/>
        <v>5.0778776565581234</v>
      </c>
      <c r="W147">
        <f t="shared" si="15"/>
        <v>3.0085295774647878</v>
      </c>
    </row>
    <row r="148" spans="1:23" x14ac:dyDescent="0.3">
      <c r="A148">
        <v>2.2242099999999998</v>
      </c>
      <c r="B148">
        <v>85.153999999999996</v>
      </c>
      <c r="C148">
        <f t="shared" si="16"/>
        <v>85.448999999999998</v>
      </c>
      <c r="D148" s="3">
        <v>0.37732075471698123</v>
      </c>
      <c r="F148">
        <f t="shared" si="12"/>
        <v>4.4479197067429759</v>
      </c>
      <c r="G148">
        <f t="shared" si="13"/>
        <v>1.0659971632075476</v>
      </c>
      <c r="Q148">
        <v>2.4447000000000001</v>
      </c>
      <c r="R148">
        <v>160.333</v>
      </c>
      <c r="S148">
        <f t="shared" si="17"/>
        <v>160.27500000000001</v>
      </c>
      <c r="T148" s="3">
        <v>1.0646948356807511</v>
      </c>
      <c r="V148">
        <f t="shared" si="14"/>
        <v>5.0768910898733211</v>
      </c>
      <c r="W148">
        <f t="shared" si="15"/>
        <v>3.002439436619718</v>
      </c>
    </row>
    <row r="149" spans="1:23" x14ac:dyDescent="0.3">
      <c r="A149">
        <v>2.2394400000000001</v>
      </c>
      <c r="B149">
        <v>84.230999999999995</v>
      </c>
      <c r="C149">
        <f t="shared" si="16"/>
        <v>84.089999999999989</v>
      </c>
      <c r="D149" s="3">
        <v>0.37160377358490571</v>
      </c>
      <c r="F149">
        <f t="shared" si="12"/>
        <v>4.4318876538448064</v>
      </c>
      <c r="G149">
        <f t="shared" si="13"/>
        <v>1.0498456910377361</v>
      </c>
      <c r="Q149">
        <v>2.4613999999999998</v>
      </c>
      <c r="R149">
        <v>160.375</v>
      </c>
      <c r="S149">
        <f t="shared" si="17"/>
        <v>160.19999999999999</v>
      </c>
      <c r="T149" s="3">
        <v>1.0625352112676054</v>
      </c>
      <c r="V149">
        <f t="shared" si="14"/>
        <v>5.0764230346342591</v>
      </c>
      <c r="W149">
        <f t="shared" si="15"/>
        <v>2.9963492957746469</v>
      </c>
    </row>
    <row r="150" spans="1:23" x14ac:dyDescent="0.3">
      <c r="A150">
        <v>2.25468</v>
      </c>
      <c r="B150">
        <v>82.885000000000005</v>
      </c>
      <c r="C150">
        <f t="shared" si="16"/>
        <v>82.961666666666659</v>
      </c>
      <c r="D150" s="3">
        <v>0.36588679245283029</v>
      </c>
      <c r="F150">
        <f t="shared" si="12"/>
        <v>4.4183786537226846</v>
      </c>
      <c r="G150">
        <f t="shared" si="13"/>
        <v>1.0336942188679248</v>
      </c>
      <c r="Q150">
        <v>2.4782000000000002</v>
      </c>
      <c r="R150">
        <v>160.167</v>
      </c>
      <c r="S150">
        <f t="shared" si="17"/>
        <v>160.17500000000001</v>
      </c>
      <c r="T150" s="3">
        <v>1.06037558685446</v>
      </c>
      <c r="V150">
        <f t="shared" si="14"/>
        <v>5.0762669675250853</v>
      </c>
      <c r="W150">
        <f t="shared" si="15"/>
        <v>2.9902591549295772</v>
      </c>
    </row>
    <row r="151" spans="1:23" x14ac:dyDescent="0.3">
      <c r="A151">
        <v>2.2699099999999999</v>
      </c>
      <c r="B151">
        <v>81.769000000000005</v>
      </c>
      <c r="C151">
        <f t="shared" si="16"/>
        <v>81.769333333333336</v>
      </c>
      <c r="D151" s="3">
        <v>0.36016981132075476</v>
      </c>
      <c r="F151">
        <f t="shared" si="12"/>
        <v>4.4039022751913208</v>
      </c>
      <c r="G151">
        <f t="shared" si="13"/>
        <v>1.0175427466981135</v>
      </c>
      <c r="Q151">
        <v>2.4948999999999999</v>
      </c>
      <c r="R151">
        <v>160.083</v>
      </c>
      <c r="S151">
        <f t="shared" si="17"/>
        <v>160.00839999999999</v>
      </c>
      <c r="T151" s="3">
        <v>1.0582159624413143</v>
      </c>
      <c r="V151">
        <f t="shared" si="14"/>
        <v>5.0752263138557501</v>
      </c>
      <c r="W151">
        <f t="shared" si="15"/>
        <v>2.9841690140845061</v>
      </c>
    </row>
    <row r="152" spans="1:23" x14ac:dyDescent="0.3">
      <c r="A152">
        <v>2.2851499999999998</v>
      </c>
      <c r="B152">
        <v>80.653999999999996</v>
      </c>
      <c r="C152">
        <f t="shared" si="16"/>
        <v>80.718000000000004</v>
      </c>
      <c r="D152" s="3">
        <v>0.35445283018867935</v>
      </c>
      <c r="F152">
        <f t="shared" si="12"/>
        <v>4.3909615987314607</v>
      </c>
      <c r="G152">
        <f t="shared" si="13"/>
        <v>1.0013912745283022</v>
      </c>
      <c r="Q152">
        <v>2.5116999999999998</v>
      </c>
      <c r="R152">
        <v>159.917</v>
      </c>
      <c r="S152">
        <f t="shared" si="17"/>
        <v>159.64180000000002</v>
      </c>
      <c r="T152" s="3">
        <v>1.0560563380281689</v>
      </c>
      <c r="V152">
        <f t="shared" si="14"/>
        <v>5.0729325554865481</v>
      </c>
      <c r="W152">
        <f t="shared" si="15"/>
        <v>2.9780788732394363</v>
      </c>
    </row>
    <row r="153" spans="1:23" x14ac:dyDescent="0.3">
      <c r="A153">
        <v>2.3003800000000001</v>
      </c>
      <c r="B153">
        <v>79.730999999999995</v>
      </c>
      <c r="C153">
        <f t="shared" si="16"/>
        <v>79.705333333333328</v>
      </c>
      <c r="D153" s="3">
        <v>0.34873584905660382</v>
      </c>
      <c r="F153">
        <f t="shared" si="12"/>
        <v>4.3783365011649815</v>
      </c>
      <c r="G153">
        <f t="shared" si="13"/>
        <v>0.98523980235849073</v>
      </c>
      <c r="Q153">
        <v>2.5284</v>
      </c>
      <c r="R153">
        <v>159.5</v>
      </c>
      <c r="S153">
        <f t="shared" si="17"/>
        <v>159.23340000000002</v>
      </c>
      <c r="T153" s="3">
        <v>1.0538967136150232</v>
      </c>
      <c r="V153">
        <f t="shared" si="14"/>
        <v>5.0703710504005262</v>
      </c>
      <c r="W153">
        <f t="shared" si="15"/>
        <v>2.9719887323943652</v>
      </c>
    </row>
    <row r="154" spans="1:23" x14ac:dyDescent="0.3">
      <c r="A154">
        <v>2.31562</v>
      </c>
      <c r="B154">
        <v>78.730999999999995</v>
      </c>
      <c r="C154">
        <f t="shared" si="16"/>
        <v>78.858999999999995</v>
      </c>
      <c r="D154" s="3">
        <v>0.3430188679245284</v>
      </c>
      <c r="F154">
        <f t="shared" si="12"/>
        <v>4.3676614476691054</v>
      </c>
      <c r="G154">
        <f t="shared" si="13"/>
        <v>0.96908833018867957</v>
      </c>
      <c r="Q154">
        <v>2.5451999999999999</v>
      </c>
      <c r="R154">
        <v>158.542</v>
      </c>
      <c r="S154">
        <f t="shared" si="17"/>
        <v>158.83340000000001</v>
      </c>
      <c r="T154" s="3">
        <v>1.0517370892018778</v>
      </c>
      <c r="V154">
        <f t="shared" si="14"/>
        <v>5.0678558541532368</v>
      </c>
      <c r="W154">
        <f t="shared" si="15"/>
        <v>2.965898591549295</v>
      </c>
    </row>
    <row r="155" spans="1:23" x14ac:dyDescent="0.3">
      <c r="A155">
        <v>2.3308499999999999</v>
      </c>
      <c r="B155">
        <v>78.114999999999995</v>
      </c>
      <c r="C155">
        <f t="shared" si="16"/>
        <v>77.74366666666667</v>
      </c>
      <c r="D155" s="3">
        <v>0.33730188679245288</v>
      </c>
      <c r="F155">
        <f t="shared" si="12"/>
        <v>4.3534170900780369</v>
      </c>
      <c r="G155">
        <f t="shared" si="13"/>
        <v>0.95293685801886807</v>
      </c>
      <c r="Q155">
        <v>2.5619000000000001</v>
      </c>
      <c r="R155">
        <v>158.125</v>
      </c>
      <c r="S155">
        <f t="shared" si="17"/>
        <v>158.41659999999999</v>
      </c>
      <c r="T155" s="3">
        <v>1.0495774647887322</v>
      </c>
      <c r="V155">
        <f t="shared" si="14"/>
        <v>5.0652282718691986</v>
      </c>
      <c r="W155">
        <f t="shared" si="15"/>
        <v>2.9598084507042244</v>
      </c>
    </row>
    <row r="156" spans="1:23" x14ac:dyDescent="0.3">
      <c r="A156">
        <v>2.3460800000000002</v>
      </c>
      <c r="B156">
        <v>76.385000000000005</v>
      </c>
      <c r="C156">
        <f t="shared" si="16"/>
        <v>76.75633333333333</v>
      </c>
      <c r="D156" s="3">
        <v>0.33158490566037746</v>
      </c>
      <c r="F156">
        <f t="shared" si="12"/>
        <v>4.3406359020638865</v>
      </c>
      <c r="G156">
        <f t="shared" si="13"/>
        <v>0.93678538584905702</v>
      </c>
      <c r="Q156">
        <v>2.5787</v>
      </c>
      <c r="R156">
        <v>158.083</v>
      </c>
      <c r="S156">
        <f t="shared" si="17"/>
        <v>158.03319999999999</v>
      </c>
      <c r="T156" s="3">
        <v>1.0474178403755867</v>
      </c>
      <c r="V156">
        <f t="shared" si="14"/>
        <v>5.0628051375357472</v>
      </c>
      <c r="W156">
        <f t="shared" si="15"/>
        <v>2.9537183098591542</v>
      </c>
    </row>
    <row r="157" spans="1:23" x14ac:dyDescent="0.3">
      <c r="A157">
        <v>2.3613200000000001</v>
      </c>
      <c r="B157">
        <v>75.769000000000005</v>
      </c>
      <c r="C157">
        <f t="shared" si="16"/>
        <v>75.666666666666671</v>
      </c>
      <c r="D157" s="3">
        <v>0.32586792452830193</v>
      </c>
      <c r="F157">
        <f t="shared" si="12"/>
        <v>4.3263377288132929</v>
      </c>
      <c r="G157">
        <f t="shared" si="13"/>
        <v>0.92063391367924552</v>
      </c>
      <c r="Q157">
        <v>2.5954000000000002</v>
      </c>
      <c r="R157">
        <v>157.833</v>
      </c>
      <c r="S157">
        <f t="shared" si="17"/>
        <v>157.79979999999998</v>
      </c>
      <c r="T157" s="3">
        <v>1.0452582159624411</v>
      </c>
      <c r="V157">
        <f t="shared" si="14"/>
        <v>5.0613271409838472</v>
      </c>
      <c r="W157">
        <f t="shared" si="15"/>
        <v>2.9476281690140835</v>
      </c>
    </row>
    <row r="158" spans="1:23" x14ac:dyDescent="0.3">
      <c r="A158">
        <v>2.3765499999999999</v>
      </c>
      <c r="B158">
        <v>74.846000000000004</v>
      </c>
      <c r="C158">
        <f t="shared" si="16"/>
        <v>74.833333333333329</v>
      </c>
      <c r="D158" s="3">
        <v>0.32015094339622652</v>
      </c>
      <c r="F158">
        <f t="shared" si="12"/>
        <v>4.3152634185141991</v>
      </c>
      <c r="G158">
        <f t="shared" si="13"/>
        <v>0.90448244150943435</v>
      </c>
      <c r="Q158">
        <v>2.6120999999999999</v>
      </c>
      <c r="R158">
        <v>157.583</v>
      </c>
      <c r="S158">
        <f t="shared" si="17"/>
        <v>157.6414</v>
      </c>
      <c r="T158" s="3">
        <v>1.0430985915492956</v>
      </c>
      <c r="V158">
        <f t="shared" si="14"/>
        <v>5.0603228332820382</v>
      </c>
      <c r="W158">
        <f t="shared" si="15"/>
        <v>2.9415380281690133</v>
      </c>
    </row>
    <row r="159" spans="1:23" x14ac:dyDescent="0.3">
      <c r="A159">
        <v>2.3917899999999999</v>
      </c>
      <c r="B159">
        <v>73.885000000000005</v>
      </c>
      <c r="C159">
        <f t="shared" si="16"/>
        <v>73.833333333333329</v>
      </c>
      <c r="D159" s="3">
        <v>0.31443396226415099</v>
      </c>
      <c r="F159">
        <f t="shared" si="12"/>
        <v>4.3018103008170803</v>
      </c>
      <c r="G159">
        <f t="shared" si="13"/>
        <v>0.88833096933962286</v>
      </c>
      <c r="Q159">
        <v>2.6288999999999998</v>
      </c>
      <c r="R159">
        <v>157.375</v>
      </c>
      <c r="S159">
        <f t="shared" si="17"/>
        <v>157.4914</v>
      </c>
      <c r="T159" s="3">
        <v>1.04093896713615</v>
      </c>
      <c r="V159">
        <f t="shared" si="14"/>
        <v>5.0593708536002771</v>
      </c>
      <c r="W159">
        <f t="shared" si="15"/>
        <v>2.9354478873239427</v>
      </c>
    </row>
    <row r="160" spans="1:23" x14ac:dyDescent="0.3">
      <c r="A160">
        <v>2.4070200000000002</v>
      </c>
      <c r="B160">
        <v>72.769000000000005</v>
      </c>
      <c r="C160">
        <f t="shared" si="16"/>
        <v>72.807666666666663</v>
      </c>
      <c r="D160" s="3">
        <v>0.30871698113207557</v>
      </c>
      <c r="F160">
        <f t="shared" si="12"/>
        <v>4.2878212610131001</v>
      </c>
      <c r="G160">
        <f t="shared" si="13"/>
        <v>0.87217949716981169</v>
      </c>
      <c r="Q160">
        <v>2.6456</v>
      </c>
      <c r="R160">
        <v>157.333</v>
      </c>
      <c r="S160">
        <f t="shared" si="17"/>
        <v>157.31639999999999</v>
      </c>
      <c r="T160" s="3">
        <v>1.0387793427230045</v>
      </c>
      <c r="V160">
        <f t="shared" si="14"/>
        <v>5.0582590640065872</v>
      </c>
      <c r="W160">
        <f t="shared" si="15"/>
        <v>2.9293577464788725</v>
      </c>
    </row>
    <row r="161" spans="1:23" x14ac:dyDescent="0.3">
      <c r="A161">
        <v>2.4222600000000001</v>
      </c>
      <c r="B161">
        <v>71.769000000000005</v>
      </c>
      <c r="C161">
        <f t="shared" si="16"/>
        <v>71.807666666666663</v>
      </c>
      <c r="D161" s="3">
        <v>0.30300000000000005</v>
      </c>
      <c r="F161">
        <f t="shared" si="12"/>
        <v>4.2739912484410834</v>
      </c>
      <c r="G161">
        <f t="shared" si="13"/>
        <v>0.85602802500000019</v>
      </c>
      <c r="Q161">
        <v>2.6623999999999999</v>
      </c>
      <c r="R161">
        <v>157.333</v>
      </c>
      <c r="S161">
        <f t="shared" si="17"/>
        <v>157.20819999999998</v>
      </c>
      <c r="T161" s="3">
        <v>1.0366197183098591</v>
      </c>
      <c r="V161">
        <f t="shared" si="14"/>
        <v>5.0575710414845449</v>
      </c>
      <c r="W161">
        <f t="shared" si="15"/>
        <v>2.9232676056338027</v>
      </c>
    </row>
    <row r="162" spans="1:23" x14ac:dyDescent="0.3">
      <c r="A162">
        <v>2.4374899999999999</v>
      </c>
      <c r="B162">
        <v>70.885000000000005</v>
      </c>
      <c r="C162">
        <f t="shared" si="16"/>
        <v>71.025666666666666</v>
      </c>
      <c r="D162" s="3">
        <v>0.29728301886792463</v>
      </c>
      <c r="F162">
        <f t="shared" si="12"/>
        <v>4.2630413140625025</v>
      </c>
      <c r="G162">
        <f t="shared" si="13"/>
        <v>0.83987655283018903</v>
      </c>
      <c r="Q162">
        <v>2.6791</v>
      </c>
      <c r="R162">
        <v>156.958</v>
      </c>
      <c r="S162">
        <f t="shared" si="17"/>
        <v>157.09980000000002</v>
      </c>
      <c r="T162" s="3">
        <v>1.0344600938967135</v>
      </c>
      <c r="V162">
        <f t="shared" si="14"/>
        <v>5.0568812721862901</v>
      </c>
      <c r="W162">
        <f t="shared" si="15"/>
        <v>2.9171774647887316</v>
      </c>
    </row>
    <row r="163" spans="1:23" x14ac:dyDescent="0.3">
      <c r="A163">
        <v>2.4527299999999999</v>
      </c>
      <c r="B163">
        <v>70.423000000000002</v>
      </c>
      <c r="C163">
        <f t="shared" si="16"/>
        <v>69.961666666666659</v>
      </c>
      <c r="D163" s="3">
        <v>0.2915660377358491</v>
      </c>
      <c r="F163">
        <f t="shared" si="12"/>
        <v>4.2479474730036655</v>
      </c>
      <c r="G163">
        <f t="shared" si="13"/>
        <v>0.82372508066037753</v>
      </c>
      <c r="Q163">
        <v>2.6959</v>
      </c>
      <c r="R163">
        <v>157.042</v>
      </c>
      <c r="S163">
        <f t="shared" si="17"/>
        <v>156.94159999999999</v>
      </c>
      <c r="T163" s="3">
        <v>1.0323004694835678</v>
      </c>
      <c r="V163">
        <f t="shared" si="14"/>
        <v>5.0558737616263318</v>
      </c>
      <c r="W163">
        <f t="shared" si="15"/>
        <v>2.911087323943661</v>
      </c>
    </row>
    <row r="164" spans="1:23" x14ac:dyDescent="0.3">
      <c r="A164">
        <v>2.4679600000000002</v>
      </c>
      <c r="B164">
        <v>68.576999999999998</v>
      </c>
      <c r="C164">
        <f t="shared" si="16"/>
        <v>68.974333333333334</v>
      </c>
      <c r="D164" s="3">
        <v>0.28584905660377369</v>
      </c>
      <c r="F164">
        <f t="shared" si="12"/>
        <v>4.2337344547189577</v>
      </c>
      <c r="G164">
        <f t="shared" si="13"/>
        <v>0.80757360849056636</v>
      </c>
      <c r="Q164">
        <v>2.7126000000000001</v>
      </c>
      <c r="R164">
        <v>156.833</v>
      </c>
      <c r="S164">
        <f t="shared" si="17"/>
        <v>156.69159999999999</v>
      </c>
      <c r="T164" s="3">
        <v>1.0301408450704224</v>
      </c>
      <c r="V164">
        <f t="shared" si="14"/>
        <v>5.0542795423093168</v>
      </c>
      <c r="W164">
        <f t="shared" si="15"/>
        <v>2.9049971830985908</v>
      </c>
    </row>
    <row r="165" spans="1:23" x14ac:dyDescent="0.3">
      <c r="A165">
        <v>2.48319</v>
      </c>
      <c r="B165">
        <v>67.923000000000002</v>
      </c>
      <c r="C165">
        <f t="shared" si="16"/>
        <v>67.820666666666668</v>
      </c>
      <c r="D165" s="3">
        <v>0.28013207547169816</v>
      </c>
      <c r="F165">
        <f t="shared" si="12"/>
        <v>4.2168669665911827</v>
      </c>
      <c r="G165">
        <f t="shared" si="13"/>
        <v>0.79142213632075487</v>
      </c>
      <c r="Q165">
        <v>2.7294</v>
      </c>
      <c r="R165">
        <v>156.542</v>
      </c>
      <c r="S165">
        <f t="shared" si="17"/>
        <v>156.4666</v>
      </c>
      <c r="T165" s="3">
        <v>1.0279812206572769</v>
      </c>
      <c r="V165">
        <f t="shared" si="14"/>
        <v>5.0528425686728813</v>
      </c>
      <c r="W165">
        <f t="shared" si="15"/>
        <v>2.8989070422535206</v>
      </c>
    </row>
    <row r="166" spans="1:23" x14ac:dyDescent="0.3">
      <c r="A166">
        <v>2.4984299999999999</v>
      </c>
      <c r="B166">
        <v>66.962000000000003</v>
      </c>
      <c r="C166">
        <f t="shared" si="16"/>
        <v>67.038666666666657</v>
      </c>
      <c r="D166" s="3">
        <v>0.27441509433962274</v>
      </c>
      <c r="F166">
        <f t="shared" si="12"/>
        <v>4.2052695673523388</v>
      </c>
      <c r="G166">
        <f t="shared" si="13"/>
        <v>0.7752706641509437</v>
      </c>
      <c r="Q166">
        <v>2.7461000000000002</v>
      </c>
      <c r="R166">
        <v>156.083</v>
      </c>
      <c r="S166">
        <f t="shared" si="17"/>
        <v>156.1832</v>
      </c>
      <c r="T166" s="3">
        <v>1.0258215962441313</v>
      </c>
      <c r="V166">
        <f t="shared" si="14"/>
        <v>5.0510296772037808</v>
      </c>
      <c r="W166">
        <f t="shared" si="15"/>
        <v>2.8928169014084499</v>
      </c>
    </row>
    <row r="167" spans="1:23" x14ac:dyDescent="0.3">
      <c r="A167">
        <v>2.5136599999999998</v>
      </c>
      <c r="B167">
        <v>66.230999999999995</v>
      </c>
      <c r="C167">
        <f t="shared" si="16"/>
        <v>66.102666666666664</v>
      </c>
      <c r="D167" s="3">
        <v>0.26869811320754722</v>
      </c>
      <c r="F167">
        <f t="shared" si="12"/>
        <v>4.1912090889586624</v>
      </c>
      <c r="G167">
        <f t="shared" si="13"/>
        <v>0.75911919198113231</v>
      </c>
      <c r="Q167">
        <v>2.7627999999999999</v>
      </c>
      <c r="R167">
        <v>155.833</v>
      </c>
      <c r="S167">
        <f t="shared" si="17"/>
        <v>155.90819999999999</v>
      </c>
      <c r="T167" s="3">
        <v>1.0236619718309856</v>
      </c>
      <c r="V167">
        <f t="shared" si="14"/>
        <v>5.0492673724996289</v>
      </c>
      <c r="W167">
        <f t="shared" si="15"/>
        <v>2.8867267605633793</v>
      </c>
    </row>
    <row r="168" spans="1:23" x14ac:dyDescent="0.3">
      <c r="A168">
        <v>2.5289000000000001</v>
      </c>
      <c r="B168">
        <v>65.114999999999995</v>
      </c>
      <c r="C168">
        <f t="shared" si="16"/>
        <v>65.24366666666667</v>
      </c>
      <c r="D168" s="3">
        <v>0.2629811320754718</v>
      </c>
      <c r="F168">
        <f t="shared" si="12"/>
        <v>4.1781289789121043</v>
      </c>
      <c r="G168">
        <f t="shared" si="13"/>
        <v>0.74296771981132115</v>
      </c>
      <c r="Q168">
        <v>2.7795999999999998</v>
      </c>
      <c r="R168">
        <v>155.625</v>
      </c>
      <c r="S168">
        <f t="shared" si="17"/>
        <v>155.57480000000001</v>
      </c>
      <c r="T168" s="3">
        <v>1.0215023474178402</v>
      </c>
      <c r="V168">
        <f t="shared" si="14"/>
        <v>5.0471266449008638</v>
      </c>
      <c r="W168">
        <f t="shared" si="15"/>
        <v>2.8806366197183091</v>
      </c>
    </row>
    <row r="169" spans="1:23" x14ac:dyDescent="0.3">
      <c r="A169">
        <v>2.54413</v>
      </c>
      <c r="B169">
        <v>64.385000000000005</v>
      </c>
      <c r="C169">
        <f t="shared" si="16"/>
        <v>64.307666666666663</v>
      </c>
      <c r="D169" s="3">
        <v>0.25726415094339627</v>
      </c>
      <c r="F169">
        <f t="shared" si="12"/>
        <v>4.1636788568990024</v>
      </c>
      <c r="G169">
        <f t="shared" si="13"/>
        <v>0.72681624764150965</v>
      </c>
      <c r="Q169">
        <v>2.7963</v>
      </c>
      <c r="R169">
        <v>155.458</v>
      </c>
      <c r="S169">
        <f t="shared" si="17"/>
        <v>155.17479999999998</v>
      </c>
      <c r="T169" s="3">
        <v>1.0193427230046948</v>
      </c>
      <c r="V169">
        <f t="shared" si="14"/>
        <v>5.0445522234314781</v>
      </c>
      <c r="W169">
        <f t="shared" si="15"/>
        <v>2.8745464788732389</v>
      </c>
    </row>
    <row r="170" spans="1:23" x14ac:dyDescent="0.3">
      <c r="A170">
        <v>2.5593699999999999</v>
      </c>
      <c r="B170">
        <v>63.423000000000002</v>
      </c>
      <c r="C170">
        <f t="shared" si="16"/>
        <v>63.525666666666666</v>
      </c>
      <c r="D170" s="3">
        <v>0.25154716981132086</v>
      </c>
      <c r="F170">
        <f t="shared" si="12"/>
        <v>4.1514440237071097</v>
      </c>
      <c r="G170">
        <f t="shared" si="13"/>
        <v>0.71066477547169848</v>
      </c>
      <c r="Q170">
        <v>2.8130999999999999</v>
      </c>
      <c r="R170">
        <v>154.875</v>
      </c>
      <c r="S170">
        <f t="shared" si="17"/>
        <v>154.81659999999999</v>
      </c>
      <c r="T170" s="3">
        <v>1.0171830985915491</v>
      </c>
      <c r="V170">
        <f t="shared" si="14"/>
        <v>5.0422411905484683</v>
      </c>
      <c r="W170">
        <f t="shared" si="15"/>
        <v>2.8684563380281682</v>
      </c>
    </row>
    <row r="171" spans="1:23" x14ac:dyDescent="0.3">
      <c r="A171">
        <v>2.5746000000000002</v>
      </c>
      <c r="B171">
        <v>62.768999999999998</v>
      </c>
      <c r="C171">
        <f t="shared" si="16"/>
        <v>62.243333333333339</v>
      </c>
      <c r="D171" s="3">
        <v>0.24583018867924533</v>
      </c>
      <c r="F171">
        <f t="shared" si="12"/>
        <v>4.1310514345628793</v>
      </c>
      <c r="G171">
        <f t="shared" si="13"/>
        <v>0.69451330330188699</v>
      </c>
      <c r="Q171">
        <v>2.8298000000000001</v>
      </c>
      <c r="R171">
        <v>154.083</v>
      </c>
      <c r="S171">
        <f t="shared" si="17"/>
        <v>154.42500000000001</v>
      </c>
      <c r="T171" s="3">
        <v>1.0150234741784037</v>
      </c>
      <c r="V171">
        <f t="shared" si="14"/>
        <v>5.0397085415819634</v>
      </c>
      <c r="W171">
        <f t="shared" si="15"/>
        <v>2.862366197183098</v>
      </c>
    </row>
    <row r="172" spans="1:23" x14ac:dyDescent="0.3">
      <c r="A172">
        <v>2.5898300000000001</v>
      </c>
      <c r="B172">
        <v>60.537999999999997</v>
      </c>
      <c r="C172">
        <f t="shared" si="16"/>
        <v>61.063999999999993</v>
      </c>
      <c r="D172" s="3">
        <v>0.24011320754716992</v>
      </c>
      <c r="F172">
        <f t="shared" si="12"/>
        <v>4.1119224944961692</v>
      </c>
      <c r="G172">
        <f t="shared" si="13"/>
        <v>0.67836183113207582</v>
      </c>
      <c r="Q172">
        <v>2.8466</v>
      </c>
      <c r="R172">
        <v>154.042</v>
      </c>
      <c r="S172">
        <f t="shared" si="17"/>
        <v>154.05840000000001</v>
      </c>
      <c r="T172" s="3">
        <v>1.012863849765258</v>
      </c>
      <c r="V172">
        <f t="shared" si="14"/>
        <v>5.0373317513068239</v>
      </c>
      <c r="W172">
        <f t="shared" si="15"/>
        <v>2.8562760563380274</v>
      </c>
    </row>
    <row r="173" spans="1:23" x14ac:dyDescent="0.3">
      <c r="A173">
        <v>2.60507</v>
      </c>
      <c r="B173">
        <v>59.884999999999998</v>
      </c>
      <c r="C173">
        <f t="shared" si="16"/>
        <v>59.769333333333329</v>
      </c>
      <c r="D173" s="3">
        <v>0.23439622641509439</v>
      </c>
      <c r="F173">
        <f t="shared" si="12"/>
        <v>4.0904927089063543</v>
      </c>
      <c r="G173">
        <f t="shared" si="13"/>
        <v>0.66221035896226432</v>
      </c>
      <c r="Q173">
        <v>2.8633000000000002</v>
      </c>
      <c r="R173">
        <v>153.667</v>
      </c>
      <c r="S173">
        <f t="shared" si="17"/>
        <v>153.75</v>
      </c>
      <c r="T173" s="3">
        <v>1.0107042253521126</v>
      </c>
      <c r="V173">
        <f t="shared" si="14"/>
        <v>5.0353279066866277</v>
      </c>
      <c r="W173">
        <f t="shared" si="15"/>
        <v>2.8501859154929572</v>
      </c>
    </row>
    <row r="174" spans="1:23" x14ac:dyDescent="0.3">
      <c r="A174">
        <v>2.6202999999999999</v>
      </c>
      <c r="B174">
        <v>58.884999999999998</v>
      </c>
      <c r="C174">
        <f t="shared" si="16"/>
        <v>58.808</v>
      </c>
      <c r="D174" s="3">
        <v>0.22867924528301897</v>
      </c>
      <c r="F174">
        <f t="shared" si="12"/>
        <v>4.0742779000717864</v>
      </c>
      <c r="G174">
        <f t="shared" si="13"/>
        <v>0.64605888679245316</v>
      </c>
      <c r="Q174">
        <v>2.8801000000000001</v>
      </c>
      <c r="R174">
        <v>153.625</v>
      </c>
      <c r="S174">
        <f t="shared" si="17"/>
        <v>153.6</v>
      </c>
      <c r="T174" s="3">
        <v>1.0085446009389669</v>
      </c>
      <c r="V174">
        <f t="shared" si="14"/>
        <v>5.0343518207135718</v>
      </c>
      <c r="W174">
        <f t="shared" si="15"/>
        <v>2.8440957746478865</v>
      </c>
    </row>
    <row r="175" spans="1:23" x14ac:dyDescent="0.3">
      <c r="A175">
        <v>2.6355400000000002</v>
      </c>
      <c r="B175">
        <v>57.654000000000003</v>
      </c>
      <c r="C175">
        <f t="shared" si="16"/>
        <v>57.62833333333333</v>
      </c>
      <c r="D175" s="3">
        <v>0.22296226415094345</v>
      </c>
      <c r="F175">
        <f t="shared" si="12"/>
        <v>4.0540143449077588</v>
      </c>
      <c r="G175">
        <f t="shared" si="13"/>
        <v>0.62990741462264166</v>
      </c>
      <c r="Q175">
        <v>2.8967999999999998</v>
      </c>
      <c r="R175">
        <v>153.333</v>
      </c>
      <c r="S175">
        <f t="shared" si="17"/>
        <v>153.41659999999999</v>
      </c>
      <c r="T175" s="3">
        <v>1.0063849765258215</v>
      </c>
      <c r="V175">
        <f t="shared" si="14"/>
        <v>5.0331570968985408</v>
      </c>
      <c r="W175">
        <f t="shared" si="15"/>
        <v>2.8380056338028163</v>
      </c>
    </row>
    <row r="176" spans="1:23" x14ac:dyDescent="0.3">
      <c r="A176">
        <v>2.6507700000000001</v>
      </c>
      <c r="B176">
        <v>56.345999999999997</v>
      </c>
      <c r="C176">
        <f t="shared" si="16"/>
        <v>56.37166666666667</v>
      </c>
      <c r="D176" s="3">
        <v>0.21724528301886803</v>
      </c>
      <c r="F176">
        <f t="shared" si="12"/>
        <v>4.0319666682107158</v>
      </c>
      <c r="G176">
        <f t="shared" si="13"/>
        <v>0.61375594245283049</v>
      </c>
      <c r="Q176">
        <v>2.9135</v>
      </c>
      <c r="R176">
        <v>153.333</v>
      </c>
      <c r="S176">
        <f t="shared" si="17"/>
        <v>153.19979999999998</v>
      </c>
      <c r="T176" s="3">
        <v>1.0042253521126758</v>
      </c>
      <c r="V176">
        <f t="shared" si="14"/>
        <v>5.0317429518226096</v>
      </c>
      <c r="W176">
        <f t="shared" si="15"/>
        <v>2.8319154929577457</v>
      </c>
    </row>
    <row r="177" spans="1:23" x14ac:dyDescent="0.3">
      <c r="A177">
        <v>2.66601</v>
      </c>
      <c r="B177">
        <v>55.115000000000002</v>
      </c>
      <c r="C177">
        <f t="shared" si="16"/>
        <v>55.192</v>
      </c>
      <c r="D177" s="3">
        <v>0.21152830188679261</v>
      </c>
      <c r="F177">
        <f t="shared" si="12"/>
        <v>4.0108180152438075</v>
      </c>
      <c r="G177">
        <f t="shared" si="13"/>
        <v>0.59760447028301933</v>
      </c>
      <c r="Q177">
        <v>2.9302999999999999</v>
      </c>
      <c r="R177">
        <v>153.125</v>
      </c>
      <c r="S177">
        <f t="shared" si="17"/>
        <v>152.84139999999999</v>
      </c>
      <c r="T177" s="3">
        <v>1.0020657276995304</v>
      </c>
      <c r="V177">
        <f t="shared" si="14"/>
        <v>5.0294007824425311</v>
      </c>
      <c r="W177">
        <f t="shared" si="15"/>
        <v>2.8258253521126755</v>
      </c>
    </row>
    <row r="178" spans="1:23" x14ac:dyDescent="0.3">
      <c r="A178">
        <v>2.6812399999999998</v>
      </c>
      <c r="B178">
        <v>54.115000000000002</v>
      </c>
      <c r="C178">
        <f t="shared" si="16"/>
        <v>54.230666666666671</v>
      </c>
      <c r="D178" s="3">
        <v>0.20581132075471698</v>
      </c>
      <c r="F178">
        <f t="shared" si="12"/>
        <v>3.9932465540959887</v>
      </c>
      <c r="G178">
        <f t="shared" si="13"/>
        <v>0.58145299811320761</v>
      </c>
      <c r="Q178">
        <v>2.9470000000000001</v>
      </c>
      <c r="R178">
        <v>152.583</v>
      </c>
      <c r="S178">
        <f t="shared" si="17"/>
        <v>152.56639999999999</v>
      </c>
      <c r="T178" s="3">
        <v>0.99990610328638474</v>
      </c>
      <c r="V178">
        <f t="shared" si="14"/>
        <v>5.0275999111201752</v>
      </c>
      <c r="W178">
        <f t="shared" si="15"/>
        <v>2.8197352112676048</v>
      </c>
    </row>
    <row r="179" spans="1:23" x14ac:dyDescent="0.3">
      <c r="A179">
        <v>2.6964700000000001</v>
      </c>
      <c r="B179">
        <v>53.462000000000003</v>
      </c>
      <c r="C179">
        <f t="shared" si="16"/>
        <v>52.948666666666668</v>
      </c>
      <c r="D179" s="3">
        <v>0.20009433962264156</v>
      </c>
      <c r="F179">
        <f t="shared" si="12"/>
        <v>3.9693228907420153</v>
      </c>
      <c r="G179">
        <f t="shared" si="13"/>
        <v>0.56530152594339644</v>
      </c>
      <c r="Q179">
        <v>2.9638</v>
      </c>
      <c r="R179">
        <v>151.833</v>
      </c>
      <c r="S179">
        <f t="shared" si="17"/>
        <v>152.24139999999997</v>
      </c>
      <c r="T179" s="3">
        <v>0.99774647887323931</v>
      </c>
      <c r="V179">
        <f t="shared" si="14"/>
        <v>5.0254674189519166</v>
      </c>
      <c r="W179">
        <f t="shared" si="15"/>
        <v>2.8136450704225346</v>
      </c>
    </row>
    <row r="180" spans="1:23" x14ac:dyDescent="0.3">
      <c r="A180">
        <v>2.7117100000000001</v>
      </c>
      <c r="B180">
        <v>51.268999999999998</v>
      </c>
      <c r="C180">
        <f t="shared" si="16"/>
        <v>51.936</v>
      </c>
      <c r="D180" s="3">
        <v>0.19437735849056614</v>
      </c>
      <c r="F180">
        <f t="shared" si="12"/>
        <v>3.9500121913321808</v>
      </c>
      <c r="G180">
        <f t="shared" si="13"/>
        <v>0.54915005377358528</v>
      </c>
      <c r="Q180">
        <v>2.9805000000000001</v>
      </c>
      <c r="R180">
        <v>151.958</v>
      </c>
      <c r="S180">
        <f t="shared" si="17"/>
        <v>151.87479999999999</v>
      </c>
      <c r="T180" s="3">
        <v>0.99558685446009365</v>
      </c>
      <c r="V180">
        <f t="shared" si="14"/>
        <v>5.0230564972215177</v>
      </c>
      <c r="W180">
        <f t="shared" si="15"/>
        <v>2.807554929577464</v>
      </c>
    </row>
    <row r="181" spans="1:23" x14ac:dyDescent="0.3">
      <c r="A181">
        <v>2.7269399999999999</v>
      </c>
      <c r="B181">
        <v>51.076999999999998</v>
      </c>
      <c r="C181">
        <f t="shared" si="16"/>
        <v>50.756333333333338</v>
      </c>
      <c r="D181" s="3">
        <v>0.18866037735849073</v>
      </c>
      <c r="F181">
        <f t="shared" si="12"/>
        <v>3.9270364048811648</v>
      </c>
      <c r="G181">
        <f t="shared" si="13"/>
        <v>0.53299858160377411</v>
      </c>
      <c r="Q181">
        <v>2.9973000000000001</v>
      </c>
      <c r="R181">
        <v>151.708</v>
      </c>
      <c r="S181">
        <f t="shared" si="17"/>
        <v>151.45820000000001</v>
      </c>
      <c r="T181" s="3">
        <v>0.99342723004694822</v>
      </c>
      <c r="V181">
        <f t="shared" si="14"/>
        <v>5.0203096792891628</v>
      </c>
      <c r="W181">
        <f t="shared" si="15"/>
        <v>2.8014647887323938</v>
      </c>
    </row>
    <row r="182" spans="1:23" x14ac:dyDescent="0.3">
      <c r="A182">
        <v>2.7421799999999998</v>
      </c>
      <c r="B182">
        <v>49.923000000000002</v>
      </c>
      <c r="C182">
        <f t="shared" si="16"/>
        <v>49.884666666666668</v>
      </c>
      <c r="D182" s="3">
        <v>0.18294339622641509</v>
      </c>
      <c r="F182">
        <f t="shared" si="12"/>
        <v>3.9097136743077976</v>
      </c>
      <c r="G182">
        <f t="shared" si="13"/>
        <v>0.51684710943396228</v>
      </c>
      <c r="Q182">
        <v>3.0139999999999998</v>
      </c>
      <c r="R182">
        <v>151.292</v>
      </c>
      <c r="S182">
        <f t="shared" si="17"/>
        <v>151.15</v>
      </c>
      <c r="T182" s="3">
        <v>0.99126760563380267</v>
      </c>
      <c r="V182">
        <f t="shared" si="14"/>
        <v>5.0182727212254674</v>
      </c>
      <c r="W182">
        <f t="shared" si="15"/>
        <v>2.7953746478873236</v>
      </c>
    </row>
    <row r="183" spans="1:23" x14ac:dyDescent="0.3">
      <c r="A183">
        <v>2.7574100000000001</v>
      </c>
      <c r="B183">
        <v>48.654000000000003</v>
      </c>
      <c r="C183">
        <f t="shared" si="16"/>
        <v>48.512999999999998</v>
      </c>
      <c r="D183" s="3">
        <v>0.17722641509433967</v>
      </c>
      <c r="F183">
        <f t="shared" si="12"/>
        <v>3.8818318032639163</v>
      </c>
      <c r="G183">
        <f t="shared" si="13"/>
        <v>0.50069563726415112</v>
      </c>
      <c r="Q183">
        <v>3.0308000000000002</v>
      </c>
      <c r="R183">
        <v>150.5</v>
      </c>
      <c r="S183">
        <f t="shared" si="17"/>
        <v>150.79180000000002</v>
      </c>
      <c r="T183" s="3">
        <v>0.98910798122065713</v>
      </c>
      <c r="V183">
        <f t="shared" si="14"/>
        <v>5.0159000774375668</v>
      </c>
      <c r="W183">
        <f t="shared" si="15"/>
        <v>2.7892845070422529</v>
      </c>
    </row>
    <row r="184" spans="1:23" x14ac:dyDescent="0.3">
      <c r="A184">
        <v>2.7726500000000001</v>
      </c>
      <c r="B184">
        <v>46.962000000000003</v>
      </c>
      <c r="C184">
        <f t="shared" si="16"/>
        <v>47.102666666666671</v>
      </c>
      <c r="D184" s="3">
        <v>0.17150943396226426</v>
      </c>
      <c r="F184">
        <f t="shared" si="12"/>
        <v>3.8523296165463639</v>
      </c>
      <c r="G184">
        <f t="shared" si="13"/>
        <v>0.48454416509433995</v>
      </c>
      <c r="Q184">
        <v>3.0474999999999999</v>
      </c>
      <c r="R184">
        <v>150.292</v>
      </c>
      <c r="S184">
        <f t="shared" si="17"/>
        <v>150.37520000000001</v>
      </c>
      <c r="T184" s="3">
        <v>0.98694835680751158</v>
      </c>
      <c r="V184">
        <f t="shared" si="14"/>
        <v>5.0131335043022709</v>
      </c>
      <c r="W184">
        <f t="shared" si="15"/>
        <v>2.7831943661971823</v>
      </c>
    </row>
    <row r="185" spans="1:23" x14ac:dyDescent="0.3">
      <c r="A185">
        <v>2.7878799999999999</v>
      </c>
      <c r="B185">
        <v>45.692</v>
      </c>
      <c r="C185">
        <f t="shared" si="16"/>
        <v>45.846333333333327</v>
      </c>
      <c r="D185" s="3">
        <v>0.16579245283018884</v>
      </c>
      <c r="F185">
        <f t="shared" si="12"/>
        <v>3.8252952245849636</v>
      </c>
      <c r="G185">
        <f t="shared" si="13"/>
        <v>0.46839269292452879</v>
      </c>
      <c r="Q185">
        <v>3.0642999999999998</v>
      </c>
      <c r="R185">
        <v>150.167</v>
      </c>
      <c r="S185">
        <f t="shared" si="17"/>
        <v>150.09180000000001</v>
      </c>
      <c r="T185" s="3">
        <v>0.98478873239436604</v>
      </c>
      <c r="V185">
        <f t="shared" si="14"/>
        <v>5.0112471069006279</v>
      </c>
      <c r="W185">
        <f t="shared" si="15"/>
        <v>2.7771042253521121</v>
      </c>
    </row>
    <row r="186" spans="1:23" x14ac:dyDescent="0.3">
      <c r="A186">
        <v>2.8031100000000002</v>
      </c>
      <c r="B186">
        <v>44.884999999999998</v>
      </c>
      <c r="C186">
        <f t="shared" si="16"/>
        <v>45.012999999999998</v>
      </c>
      <c r="D186" s="3">
        <v>0.1600754716981132</v>
      </c>
      <c r="F186">
        <f t="shared" si="12"/>
        <v>3.8069513369388486</v>
      </c>
      <c r="G186">
        <f t="shared" si="13"/>
        <v>0.45224122075471701</v>
      </c>
      <c r="Q186">
        <v>3.081</v>
      </c>
      <c r="R186">
        <v>149.625</v>
      </c>
      <c r="S186">
        <f t="shared" si="17"/>
        <v>149.88339999999999</v>
      </c>
      <c r="T186" s="3">
        <v>0.9826291079812205</v>
      </c>
      <c r="V186">
        <f t="shared" si="14"/>
        <v>5.0098576584827086</v>
      </c>
      <c r="W186">
        <f t="shared" si="15"/>
        <v>2.7710140845070415</v>
      </c>
    </row>
    <row r="187" spans="1:23" x14ac:dyDescent="0.3">
      <c r="A187">
        <v>2.8183500000000001</v>
      </c>
      <c r="B187">
        <v>44.462000000000003</v>
      </c>
      <c r="C187">
        <f t="shared" si="16"/>
        <v>43.692666666666668</v>
      </c>
      <c r="D187" s="3">
        <v>0.15435849056603779</v>
      </c>
      <c r="F187">
        <f t="shared" si="12"/>
        <v>3.7771802771883052</v>
      </c>
      <c r="G187">
        <f t="shared" si="13"/>
        <v>0.43608974858490585</v>
      </c>
      <c r="Q187">
        <v>3.0977000000000001</v>
      </c>
      <c r="R187">
        <v>149.875</v>
      </c>
      <c r="S187">
        <f t="shared" si="17"/>
        <v>149.65</v>
      </c>
      <c r="T187" s="3">
        <v>0.98046948356807495</v>
      </c>
      <c r="V187">
        <f t="shared" si="14"/>
        <v>5.0082992342987076</v>
      </c>
      <c r="W187">
        <f t="shared" si="15"/>
        <v>2.7649239436619713</v>
      </c>
    </row>
    <row r="188" spans="1:23" x14ac:dyDescent="0.3">
      <c r="A188">
        <v>2.83358</v>
      </c>
      <c r="B188">
        <v>41.731000000000002</v>
      </c>
      <c r="C188">
        <f t="shared" si="16"/>
        <v>42.551666666666669</v>
      </c>
      <c r="D188" s="3">
        <v>0.14864150943396237</v>
      </c>
      <c r="F188">
        <f t="shared" si="12"/>
        <v>3.7507190238566612</v>
      </c>
      <c r="G188">
        <f t="shared" si="13"/>
        <v>0.41993827641509468</v>
      </c>
      <c r="Q188">
        <v>3.1145</v>
      </c>
      <c r="R188">
        <v>149.458</v>
      </c>
      <c r="S188">
        <f t="shared" si="17"/>
        <v>149.41659999999999</v>
      </c>
      <c r="T188" s="3">
        <v>0.97830985915492941</v>
      </c>
      <c r="V188">
        <f t="shared" si="14"/>
        <v>5.0067383776374452</v>
      </c>
      <c r="W188">
        <f t="shared" si="15"/>
        <v>2.7588338028169006</v>
      </c>
    </row>
    <row r="189" spans="1:23" x14ac:dyDescent="0.3">
      <c r="A189">
        <v>2.8488199999999999</v>
      </c>
      <c r="B189">
        <v>41.462000000000003</v>
      </c>
      <c r="C189">
        <f t="shared" si="16"/>
        <v>41.205333333333336</v>
      </c>
      <c r="D189" s="3">
        <v>0.14292452830188696</v>
      </c>
      <c r="F189">
        <f t="shared" si="12"/>
        <v>3.7185676978157614</v>
      </c>
      <c r="G189">
        <f t="shared" si="13"/>
        <v>0.40378680424528351</v>
      </c>
      <c r="Q189">
        <v>3.1312000000000002</v>
      </c>
      <c r="R189">
        <v>149.125</v>
      </c>
      <c r="S189">
        <f t="shared" si="17"/>
        <v>149.28319999999999</v>
      </c>
      <c r="T189" s="3">
        <v>0.97615023474178386</v>
      </c>
      <c r="V189">
        <f t="shared" si="14"/>
        <v>5.005845173096505</v>
      </c>
      <c r="W189">
        <f t="shared" si="15"/>
        <v>2.7527436619718304</v>
      </c>
    </row>
    <row r="190" spans="1:23" x14ac:dyDescent="0.3">
      <c r="A190">
        <v>2.8640500000000002</v>
      </c>
      <c r="B190">
        <v>40.423000000000002</v>
      </c>
      <c r="C190">
        <f t="shared" si="16"/>
        <v>40.205333333333336</v>
      </c>
      <c r="D190" s="3">
        <v>0.13720754716981132</v>
      </c>
      <c r="F190">
        <f t="shared" si="12"/>
        <v>3.6939996568085078</v>
      </c>
      <c r="G190">
        <f t="shared" si="13"/>
        <v>0.38763533207547174</v>
      </c>
      <c r="Q190">
        <v>3.1480000000000001</v>
      </c>
      <c r="R190">
        <v>149</v>
      </c>
      <c r="S190">
        <f t="shared" si="17"/>
        <v>149.16659999999999</v>
      </c>
      <c r="T190" s="3">
        <v>0.97399061032863832</v>
      </c>
      <c r="V190">
        <f t="shared" si="14"/>
        <v>5.0050638021193263</v>
      </c>
      <c r="W190">
        <f t="shared" si="15"/>
        <v>2.7466535211267598</v>
      </c>
    </row>
    <row r="191" spans="1:23" x14ac:dyDescent="0.3">
      <c r="A191">
        <v>2.8792900000000001</v>
      </c>
      <c r="B191">
        <v>38.731000000000002</v>
      </c>
      <c r="C191">
        <f t="shared" si="16"/>
        <v>38.884666666666668</v>
      </c>
      <c r="D191" s="3">
        <v>0.1314905660377359</v>
      </c>
      <c r="F191">
        <f t="shared" si="12"/>
        <v>3.6605999998243646</v>
      </c>
      <c r="G191">
        <f t="shared" si="13"/>
        <v>0.37148385990566057</v>
      </c>
      <c r="Q191">
        <v>3.1646999999999998</v>
      </c>
      <c r="R191">
        <v>148.958</v>
      </c>
      <c r="S191">
        <f t="shared" si="17"/>
        <v>149.1584</v>
      </c>
      <c r="T191" s="3">
        <v>0.97183098591549277</v>
      </c>
      <c r="V191">
        <f t="shared" si="14"/>
        <v>5.005008828516698</v>
      </c>
      <c r="W191">
        <f t="shared" si="15"/>
        <v>2.7405633802816896</v>
      </c>
    </row>
    <row r="192" spans="1:23" x14ac:dyDescent="0.3">
      <c r="A192">
        <v>2.89452</v>
      </c>
      <c r="B192">
        <v>37.5</v>
      </c>
      <c r="C192">
        <f t="shared" si="16"/>
        <v>37.333333333333336</v>
      </c>
      <c r="D192" s="3">
        <v>0.12577358490566048</v>
      </c>
      <c r="F192">
        <f t="shared" si="12"/>
        <v>3.619886582626985</v>
      </c>
      <c r="G192">
        <f t="shared" si="13"/>
        <v>0.35533238773584941</v>
      </c>
      <c r="Q192">
        <v>3.1815000000000002</v>
      </c>
      <c r="R192">
        <v>149.292</v>
      </c>
      <c r="S192">
        <f t="shared" si="17"/>
        <v>149.23340000000002</v>
      </c>
      <c r="T192" s="3">
        <v>0.96967136150234723</v>
      </c>
      <c r="V192">
        <f t="shared" si="14"/>
        <v>5.0055115233064296</v>
      </c>
      <c r="W192">
        <f t="shared" si="15"/>
        <v>2.7344732394366189</v>
      </c>
    </row>
    <row r="193" spans="1:23" x14ac:dyDescent="0.3">
      <c r="A193">
        <v>2.9097499999999998</v>
      </c>
      <c r="B193">
        <v>35.768999999999998</v>
      </c>
      <c r="C193">
        <f t="shared" si="16"/>
        <v>36</v>
      </c>
      <c r="D193" s="3">
        <v>0.12005660377358507</v>
      </c>
      <c r="F193">
        <f t="shared" si="12"/>
        <v>3.5835189384561099</v>
      </c>
      <c r="G193">
        <f t="shared" si="13"/>
        <v>0.33918091556603824</v>
      </c>
      <c r="Q193">
        <v>3.1981999999999999</v>
      </c>
      <c r="R193">
        <v>149.417</v>
      </c>
      <c r="S193">
        <f t="shared" si="17"/>
        <v>149.21680000000001</v>
      </c>
      <c r="T193" s="3">
        <v>0.96751173708920168</v>
      </c>
      <c r="V193">
        <f t="shared" si="14"/>
        <v>5.0054002819668888</v>
      </c>
      <c r="W193">
        <f t="shared" si="15"/>
        <v>2.7283830985915487</v>
      </c>
    </row>
    <row r="194" spans="1:23" x14ac:dyDescent="0.3">
      <c r="A194">
        <v>2.9249900000000002</v>
      </c>
      <c r="B194">
        <v>34.731000000000002</v>
      </c>
      <c r="C194">
        <f t="shared" si="16"/>
        <v>35</v>
      </c>
      <c r="D194" s="3">
        <v>0.11433962264150965</v>
      </c>
      <c r="F194">
        <f t="shared" si="12"/>
        <v>3.5553480614894135</v>
      </c>
      <c r="G194">
        <f t="shared" si="13"/>
        <v>0.32302944339622708</v>
      </c>
      <c r="Q194">
        <v>3.2149999999999999</v>
      </c>
      <c r="R194">
        <v>149.5</v>
      </c>
      <c r="S194">
        <f t="shared" si="17"/>
        <v>149.09179999999998</v>
      </c>
      <c r="T194" s="3">
        <v>0.96535211267605625</v>
      </c>
      <c r="V194">
        <f t="shared" si="14"/>
        <v>5.0045622236117753</v>
      </c>
      <c r="W194">
        <f t="shared" si="15"/>
        <v>2.7222929577464785</v>
      </c>
    </row>
    <row r="195" spans="1:23" x14ac:dyDescent="0.3">
      <c r="A195">
        <v>2.9402200000000001</v>
      </c>
      <c r="B195">
        <v>34.5</v>
      </c>
      <c r="C195">
        <f t="shared" si="16"/>
        <v>33.922999999999995</v>
      </c>
      <c r="D195" s="3">
        <v>0.10862264150943401</v>
      </c>
      <c r="F195">
        <f t="shared" ref="F195:F214" si="18">LN(C195)</f>
        <v>3.5240932504090421</v>
      </c>
      <c r="G195">
        <f t="shared" ref="G195:G214" si="19">D195*E$2</f>
        <v>0.30687797122641525</v>
      </c>
      <c r="Q195">
        <v>3.2317</v>
      </c>
      <c r="R195">
        <v>148.917</v>
      </c>
      <c r="S195">
        <f t="shared" si="17"/>
        <v>148.85840000000002</v>
      </c>
      <c r="T195" s="3">
        <v>0.9631924882629106</v>
      </c>
      <c r="V195">
        <f t="shared" ref="V195:V258" si="20">LN(S195)</f>
        <v>5.0029955185198425</v>
      </c>
      <c r="W195">
        <f t="shared" ref="W195:W258" si="21">T195*U$2</f>
        <v>2.7162028169014079</v>
      </c>
    </row>
    <row r="196" spans="1:23" x14ac:dyDescent="0.3">
      <c r="A196">
        <v>2.95546</v>
      </c>
      <c r="B196">
        <v>32.537999999999997</v>
      </c>
      <c r="C196">
        <f t="shared" ref="C196:C214" si="22">AVERAGE(B195:B197)</f>
        <v>32.897333333333329</v>
      </c>
      <c r="D196" s="3">
        <v>0.1029056603773586</v>
      </c>
      <c r="F196">
        <f t="shared" si="18"/>
        <v>3.4933916007882226</v>
      </c>
      <c r="G196">
        <f t="shared" si="19"/>
        <v>0.29072649905660408</v>
      </c>
      <c r="Q196">
        <v>3.2484000000000002</v>
      </c>
      <c r="R196">
        <v>148.333</v>
      </c>
      <c r="S196">
        <f t="shared" si="17"/>
        <v>148.6584</v>
      </c>
      <c r="T196" s="3">
        <v>0.96103286384976516</v>
      </c>
      <c r="V196">
        <f t="shared" si="20"/>
        <v>5.0016510564247518</v>
      </c>
      <c r="W196">
        <f t="shared" si="21"/>
        <v>2.7101126760563377</v>
      </c>
    </row>
    <row r="197" spans="1:23" x14ac:dyDescent="0.3">
      <c r="A197">
        <v>2.9706899999999998</v>
      </c>
      <c r="B197">
        <v>31.654</v>
      </c>
      <c r="C197">
        <f t="shared" si="22"/>
        <v>31.666666666666668</v>
      </c>
      <c r="D197" s="3">
        <v>9.7188679245283183E-2</v>
      </c>
      <c r="F197">
        <f t="shared" si="18"/>
        <v>3.4552646029324312</v>
      </c>
      <c r="G197">
        <f t="shared" si="19"/>
        <v>0.27457502688679292</v>
      </c>
      <c r="Q197">
        <v>3.2652000000000001</v>
      </c>
      <c r="R197">
        <v>148.125</v>
      </c>
      <c r="S197">
        <f t="shared" ref="S197:S260" si="23">AVERAGE(R195:R199)</f>
        <v>148.49180000000001</v>
      </c>
      <c r="T197" s="3">
        <v>0.95887323943661951</v>
      </c>
      <c r="V197">
        <f t="shared" si="20"/>
        <v>5.0005297378629185</v>
      </c>
      <c r="W197">
        <f t="shared" si="21"/>
        <v>2.704022535211267</v>
      </c>
    </row>
    <row r="198" spans="1:23" x14ac:dyDescent="0.3">
      <c r="A198">
        <v>2.9859300000000002</v>
      </c>
      <c r="B198">
        <v>30.808</v>
      </c>
      <c r="C198">
        <f t="shared" si="22"/>
        <v>30.641333333333336</v>
      </c>
      <c r="D198" s="3">
        <v>9.1471698113207767E-2</v>
      </c>
      <c r="F198">
        <f t="shared" si="18"/>
        <v>3.4223498600265501</v>
      </c>
      <c r="G198">
        <f t="shared" si="19"/>
        <v>0.25842355471698175</v>
      </c>
      <c r="Q198">
        <v>3.2818999999999998</v>
      </c>
      <c r="R198">
        <v>148.417</v>
      </c>
      <c r="S198">
        <f t="shared" si="23"/>
        <v>148.4084</v>
      </c>
      <c r="T198" s="3">
        <v>0.95671361502347407</v>
      </c>
      <c r="V198">
        <f t="shared" si="20"/>
        <v>4.9999679329049318</v>
      </c>
      <c r="W198">
        <f t="shared" si="21"/>
        <v>2.6979323943661968</v>
      </c>
    </row>
    <row r="199" spans="1:23" x14ac:dyDescent="0.3">
      <c r="A199">
        <v>3.00116</v>
      </c>
      <c r="B199">
        <v>29.462</v>
      </c>
      <c r="C199">
        <f t="shared" si="22"/>
        <v>29.512999999999995</v>
      </c>
      <c r="D199" s="3">
        <v>8.5754716981132129E-2</v>
      </c>
      <c r="F199">
        <f t="shared" si="18"/>
        <v>3.3848308442418573</v>
      </c>
      <c r="G199">
        <f t="shared" si="19"/>
        <v>0.24227208254716998</v>
      </c>
      <c r="Q199">
        <v>3.2987000000000002</v>
      </c>
      <c r="R199">
        <v>148.667</v>
      </c>
      <c r="S199">
        <f t="shared" si="23"/>
        <v>148.35020000000003</v>
      </c>
      <c r="T199" s="3">
        <v>0.95455399061032842</v>
      </c>
      <c r="V199">
        <f t="shared" si="20"/>
        <v>4.9995756948990504</v>
      </c>
      <c r="W199">
        <f t="shared" si="21"/>
        <v>2.6918422535211262</v>
      </c>
    </row>
    <row r="200" spans="1:23" x14ac:dyDescent="0.3">
      <c r="A200">
        <v>3.0163899999999999</v>
      </c>
      <c r="B200">
        <v>28.268999999999998</v>
      </c>
      <c r="C200">
        <f t="shared" si="22"/>
        <v>28.218</v>
      </c>
      <c r="D200" s="3">
        <v>8.0037735849056713E-2</v>
      </c>
      <c r="F200">
        <f t="shared" si="18"/>
        <v>3.3399600721909661</v>
      </c>
      <c r="G200">
        <f t="shared" si="19"/>
        <v>0.22612061037735881</v>
      </c>
      <c r="Q200">
        <v>3.3153999999999999</v>
      </c>
      <c r="R200">
        <v>148.5</v>
      </c>
      <c r="S200">
        <f t="shared" si="23"/>
        <v>148.36679999999998</v>
      </c>
      <c r="T200" s="3">
        <v>0.95239436619718298</v>
      </c>
      <c r="V200">
        <f t="shared" si="20"/>
        <v>4.9996875860277505</v>
      </c>
      <c r="W200">
        <f t="shared" si="21"/>
        <v>2.685752112676056</v>
      </c>
    </row>
    <row r="201" spans="1:23" x14ac:dyDescent="0.3">
      <c r="A201">
        <v>3.0316299999999998</v>
      </c>
      <c r="B201">
        <v>26.922999999999998</v>
      </c>
      <c r="C201">
        <f t="shared" si="22"/>
        <v>26.858999999999998</v>
      </c>
      <c r="D201" s="3">
        <v>7.4320754716981297E-2</v>
      </c>
      <c r="F201">
        <f t="shared" si="18"/>
        <v>3.2906009603201287</v>
      </c>
      <c r="G201">
        <f t="shared" si="19"/>
        <v>0.20996913820754765</v>
      </c>
      <c r="Q201">
        <v>3.3321999999999998</v>
      </c>
      <c r="R201">
        <v>148.042</v>
      </c>
      <c r="S201">
        <f t="shared" si="23"/>
        <v>148.35840000000002</v>
      </c>
      <c r="T201" s="3">
        <v>0.95023474178403733</v>
      </c>
      <c r="V201">
        <f t="shared" si="20"/>
        <v>4.9996309679851825</v>
      </c>
      <c r="W201">
        <f t="shared" si="21"/>
        <v>2.6796619718309853</v>
      </c>
    </row>
    <row r="202" spans="1:23" x14ac:dyDescent="0.3">
      <c r="A202">
        <v>3.0468600000000001</v>
      </c>
      <c r="B202">
        <v>25.385000000000002</v>
      </c>
      <c r="C202">
        <f t="shared" si="22"/>
        <v>25.666666666666668</v>
      </c>
      <c r="D202" s="3">
        <v>6.8603773584905881E-2</v>
      </c>
      <c r="F202">
        <f t="shared" si="18"/>
        <v>3.2451931331855741</v>
      </c>
      <c r="G202">
        <f t="shared" si="19"/>
        <v>0.19381766603773648</v>
      </c>
      <c r="Q202">
        <v>3.3489</v>
      </c>
      <c r="R202">
        <v>148.208</v>
      </c>
      <c r="S202">
        <f t="shared" si="23"/>
        <v>148.125</v>
      </c>
      <c r="T202" s="3">
        <v>0.9480751173708919</v>
      </c>
      <c r="V202">
        <f t="shared" si="20"/>
        <v>4.9980565118893958</v>
      </c>
      <c r="W202">
        <f t="shared" si="21"/>
        <v>2.6735718309859151</v>
      </c>
    </row>
    <row r="203" spans="1:23" x14ac:dyDescent="0.3">
      <c r="A203">
        <v>3.0621</v>
      </c>
      <c r="B203">
        <v>24.692</v>
      </c>
      <c r="C203">
        <f t="shared" si="22"/>
        <v>24.08966666666667</v>
      </c>
      <c r="D203" s="3">
        <v>6.2886792452830242E-2</v>
      </c>
      <c r="F203">
        <f t="shared" si="18"/>
        <v>3.1817829795309094</v>
      </c>
      <c r="G203">
        <f t="shared" si="19"/>
        <v>0.1776661938679247</v>
      </c>
      <c r="Q203">
        <v>3.3656999999999999</v>
      </c>
      <c r="R203">
        <v>148.375</v>
      </c>
      <c r="S203">
        <f t="shared" si="23"/>
        <v>147.80000000000001</v>
      </c>
      <c r="T203" s="3">
        <v>0.94591549295774624</v>
      </c>
      <c r="V203">
        <f t="shared" si="20"/>
        <v>4.9958600085141018</v>
      </c>
      <c r="W203">
        <f t="shared" si="21"/>
        <v>2.6674816901408445</v>
      </c>
    </row>
    <row r="204" spans="1:23" x14ac:dyDescent="0.3">
      <c r="A204">
        <v>3.0773299999999999</v>
      </c>
      <c r="B204">
        <v>22.192</v>
      </c>
      <c r="C204">
        <f t="shared" si="22"/>
        <v>22.986999999999998</v>
      </c>
      <c r="D204" s="3">
        <v>5.7169811320754826E-2</v>
      </c>
      <c r="F204">
        <f t="shared" si="18"/>
        <v>3.13492883874228</v>
      </c>
      <c r="G204">
        <f t="shared" si="19"/>
        <v>0.16151472169811354</v>
      </c>
      <c r="Q204">
        <v>3.3824000000000001</v>
      </c>
      <c r="R204">
        <v>147.5</v>
      </c>
      <c r="S204">
        <f t="shared" si="23"/>
        <v>147.55000000000001</v>
      </c>
      <c r="T204" s="3">
        <v>0.94375586854460081</v>
      </c>
      <c r="V204">
        <f t="shared" si="20"/>
        <v>4.9941671013889488</v>
      </c>
      <c r="W204">
        <f t="shared" si="21"/>
        <v>2.6613915492957743</v>
      </c>
    </row>
    <row r="205" spans="1:23" x14ac:dyDescent="0.3">
      <c r="A205">
        <v>3.0925699999999998</v>
      </c>
      <c r="B205">
        <v>22.077000000000002</v>
      </c>
      <c r="C205">
        <f t="shared" si="22"/>
        <v>21.782</v>
      </c>
      <c r="D205" s="3">
        <v>5.145283018867941E-2</v>
      </c>
      <c r="F205">
        <f t="shared" si="18"/>
        <v>3.0810839406534947</v>
      </c>
      <c r="G205">
        <f t="shared" si="19"/>
        <v>0.14536324952830237</v>
      </c>
      <c r="Q205">
        <v>3.3990999999999998</v>
      </c>
      <c r="R205">
        <v>146.875</v>
      </c>
      <c r="S205">
        <f t="shared" si="23"/>
        <v>147.2834</v>
      </c>
      <c r="T205" s="3">
        <v>0.94159624413145526</v>
      </c>
      <c r="V205">
        <f t="shared" si="20"/>
        <v>4.9923586219381004</v>
      </c>
      <c r="W205">
        <f t="shared" si="21"/>
        <v>2.6553014084507036</v>
      </c>
    </row>
    <row r="206" spans="1:23" x14ac:dyDescent="0.3">
      <c r="A206">
        <v>3.1078000000000001</v>
      </c>
      <c r="B206">
        <v>21.077000000000002</v>
      </c>
      <c r="C206">
        <f t="shared" si="22"/>
        <v>21</v>
      </c>
      <c r="D206" s="3">
        <v>4.5735849056603994E-2</v>
      </c>
      <c r="F206">
        <f t="shared" si="18"/>
        <v>3.044522437723423</v>
      </c>
      <c r="G206">
        <f t="shared" si="19"/>
        <v>0.12921177735849121</v>
      </c>
      <c r="Q206">
        <v>3.4159000000000002</v>
      </c>
      <c r="R206">
        <v>146.792</v>
      </c>
      <c r="S206">
        <f t="shared" si="23"/>
        <v>146.9418</v>
      </c>
      <c r="T206" s="3">
        <v>0.93943661971830972</v>
      </c>
      <c r="V206">
        <f t="shared" si="20"/>
        <v>4.9900365900150199</v>
      </c>
      <c r="W206">
        <f t="shared" si="21"/>
        <v>2.6492112676056334</v>
      </c>
    </row>
    <row r="207" spans="1:23" x14ac:dyDescent="0.3">
      <c r="A207">
        <v>3.12304</v>
      </c>
      <c r="B207">
        <v>19.846</v>
      </c>
      <c r="C207">
        <f t="shared" si="22"/>
        <v>19.705000000000002</v>
      </c>
      <c r="D207" s="3">
        <v>4.0018867924528356E-2</v>
      </c>
      <c r="F207">
        <f t="shared" si="18"/>
        <v>2.9808724106469673</v>
      </c>
      <c r="G207">
        <f t="shared" si="19"/>
        <v>0.11306030518867941</v>
      </c>
      <c r="Q207">
        <v>3.4325999999999999</v>
      </c>
      <c r="R207">
        <v>146.875</v>
      </c>
      <c r="S207">
        <f t="shared" si="23"/>
        <v>146.57520000000002</v>
      </c>
      <c r="T207" s="3">
        <v>0.93727699530516417</v>
      </c>
      <c r="V207">
        <f t="shared" si="20"/>
        <v>4.9875386073385171</v>
      </c>
      <c r="W207">
        <f t="shared" si="21"/>
        <v>2.6431211267605628</v>
      </c>
    </row>
    <row r="208" spans="1:23" x14ac:dyDescent="0.3">
      <c r="A208">
        <v>3.1382699999999999</v>
      </c>
      <c r="B208">
        <v>18.192</v>
      </c>
      <c r="C208">
        <f t="shared" si="22"/>
        <v>18.346</v>
      </c>
      <c r="D208" s="3">
        <v>3.430188679245294E-2</v>
      </c>
      <c r="F208">
        <f t="shared" si="18"/>
        <v>2.9094115670874636</v>
      </c>
      <c r="G208">
        <f t="shared" si="19"/>
        <v>9.690883301886824E-2</v>
      </c>
      <c r="Q208">
        <v>3.4493999999999998</v>
      </c>
      <c r="R208">
        <v>146.667</v>
      </c>
      <c r="S208">
        <f t="shared" si="23"/>
        <v>146.25020000000001</v>
      </c>
      <c r="T208" s="3">
        <v>0.93511737089201863</v>
      </c>
      <c r="V208">
        <f t="shared" si="20"/>
        <v>4.985318853632398</v>
      </c>
      <c r="W208">
        <f t="shared" si="21"/>
        <v>2.6370309859154926</v>
      </c>
    </row>
    <row r="209" spans="1:23" x14ac:dyDescent="0.3">
      <c r="A209">
        <v>3.1535000000000002</v>
      </c>
      <c r="B209">
        <v>17</v>
      </c>
      <c r="C209">
        <f t="shared" si="22"/>
        <v>17.064</v>
      </c>
      <c r="D209" s="3">
        <v>2.8584905660377524E-2</v>
      </c>
      <c r="F209">
        <f t="shared" si="18"/>
        <v>2.8369709811690496</v>
      </c>
      <c r="G209">
        <f t="shared" si="19"/>
        <v>8.0757360849057075E-2</v>
      </c>
      <c r="Q209">
        <v>3.4661</v>
      </c>
      <c r="R209">
        <v>145.667</v>
      </c>
      <c r="S209">
        <f t="shared" si="23"/>
        <v>145.9418</v>
      </c>
      <c r="T209" s="3">
        <v>0.93295774647887308</v>
      </c>
      <c r="V209">
        <f t="shared" si="20"/>
        <v>4.9832079120972361</v>
      </c>
      <c r="W209">
        <f t="shared" si="21"/>
        <v>2.6309408450704219</v>
      </c>
    </row>
    <row r="210" spans="1:23" x14ac:dyDescent="0.3">
      <c r="A210">
        <v>3.1687400000000001</v>
      </c>
      <c r="B210">
        <v>16</v>
      </c>
      <c r="C210">
        <f t="shared" si="22"/>
        <v>16.294999999999998</v>
      </c>
      <c r="D210" s="3">
        <v>2.2867924528302108E-2</v>
      </c>
      <c r="F210">
        <f t="shared" si="18"/>
        <v>2.790858312289525</v>
      </c>
      <c r="G210">
        <f t="shared" si="19"/>
        <v>6.460588867924591E-2</v>
      </c>
      <c r="Q210">
        <v>3.4828999999999999</v>
      </c>
      <c r="R210">
        <v>145.25</v>
      </c>
      <c r="S210">
        <f t="shared" si="23"/>
        <v>145.65020000000001</v>
      </c>
      <c r="T210" s="3">
        <v>0.93079812206572754</v>
      </c>
      <c r="V210">
        <f t="shared" si="20"/>
        <v>4.9812078565593243</v>
      </c>
      <c r="W210">
        <f t="shared" si="21"/>
        <v>2.6248507042253517</v>
      </c>
    </row>
    <row r="211" spans="1:23" x14ac:dyDescent="0.3">
      <c r="A211">
        <v>3.18397</v>
      </c>
      <c r="B211">
        <v>15.885</v>
      </c>
      <c r="C211">
        <f t="shared" si="22"/>
        <v>14.897666666666666</v>
      </c>
      <c r="D211" s="3">
        <v>1.715094339622647E-2</v>
      </c>
      <c r="F211">
        <f t="shared" si="18"/>
        <v>2.7012046011358506</v>
      </c>
      <c r="G211">
        <f t="shared" si="19"/>
        <v>4.845441650943412E-2</v>
      </c>
      <c r="Q211">
        <v>3.4996</v>
      </c>
      <c r="R211">
        <v>145.25</v>
      </c>
      <c r="S211">
        <f t="shared" si="23"/>
        <v>145.4084</v>
      </c>
      <c r="T211" s="3">
        <v>0.928638497652582</v>
      </c>
      <c r="V211">
        <f t="shared" si="20"/>
        <v>4.9795463350950744</v>
      </c>
      <c r="W211">
        <f t="shared" si="21"/>
        <v>2.6187605633802811</v>
      </c>
    </row>
    <row r="212" spans="1:23" x14ac:dyDescent="0.3">
      <c r="A212">
        <v>3.1992099999999999</v>
      </c>
      <c r="B212">
        <v>12.808</v>
      </c>
      <c r="C212">
        <f t="shared" si="22"/>
        <v>12.808</v>
      </c>
      <c r="D212" s="3">
        <v>1.1433962264151054E-2</v>
      </c>
      <c r="F212">
        <f t="shared" si="18"/>
        <v>2.5500699756944134</v>
      </c>
      <c r="G212">
        <f t="shared" si="19"/>
        <v>3.2302944339622955E-2</v>
      </c>
      <c r="Q212">
        <v>3.5164</v>
      </c>
      <c r="R212">
        <v>145.417</v>
      </c>
      <c r="S212">
        <f t="shared" si="23"/>
        <v>145.44999999999999</v>
      </c>
      <c r="T212" s="3">
        <v>0.92647887323943645</v>
      </c>
      <c r="V212">
        <f t="shared" si="20"/>
        <v>4.9798323849412105</v>
      </c>
      <c r="W212">
        <f t="shared" si="21"/>
        <v>2.6126704225352104</v>
      </c>
    </row>
    <row r="213" spans="1:23" x14ac:dyDescent="0.3">
      <c r="A213">
        <v>3.2144400000000002</v>
      </c>
      <c r="B213">
        <v>9.7309999999999999</v>
      </c>
      <c r="C213">
        <f t="shared" si="22"/>
        <v>9.1156666666666677</v>
      </c>
      <c r="D213" s="3">
        <v>5.7169811320756381E-3</v>
      </c>
      <c r="F213">
        <f t="shared" si="18"/>
        <v>2.2099945449696849</v>
      </c>
      <c r="G213">
        <f t="shared" si="19"/>
        <v>1.6151472169811793E-2</v>
      </c>
      <c r="Q213">
        <v>3.5331000000000001</v>
      </c>
      <c r="R213">
        <v>145.458</v>
      </c>
      <c r="S213">
        <f t="shared" si="23"/>
        <v>145.56659999999999</v>
      </c>
      <c r="T213" s="3">
        <v>0.92431924882629091</v>
      </c>
      <c r="V213">
        <f t="shared" si="20"/>
        <v>4.9806337138429937</v>
      </c>
      <c r="W213">
        <f t="shared" si="21"/>
        <v>2.6065802816901402</v>
      </c>
    </row>
    <row r="214" spans="1:23" x14ac:dyDescent="0.3">
      <c r="A214">
        <v>3.2296800000000001</v>
      </c>
      <c r="B214">
        <v>4.8079999999999998</v>
      </c>
      <c r="C214">
        <f t="shared" si="22"/>
        <v>7.2694999999999999</v>
      </c>
      <c r="D214" s="3">
        <v>2.2204460492503131E-16</v>
      </c>
      <c r="F214">
        <f t="shared" si="18"/>
        <v>1.9836875133893432</v>
      </c>
      <c r="G214">
        <f t="shared" si="19"/>
        <v>6.2731486671907537E-16</v>
      </c>
      <c r="Q214">
        <v>3.5497999999999998</v>
      </c>
      <c r="R214">
        <v>145.875</v>
      </c>
      <c r="S214">
        <f t="shared" si="23"/>
        <v>145.56659999999999</v>
      </c>
      <c r="T214" s="3">
        <v>0.92215962441314536</v>
      </c>
      <c r="V214">
        <f t="shared" si="20"/>
        <v>4.9806337138429937</v>
      </c>
      <c r="W214">
        <f t="shared" si="21"/>
        <v>2.6004901408450696</v>
      </c>
    </row>
    <row r="215" spans="1:23" x14ac:dyDescent="0.3">
      <c r="D215" s="3"/>
      <c r="Q215">
        <v>3.5666000000000002</v>
      </c>
      <c r="R215">
        <v>145.833</v>
      </c>
      <c r="S215">
        <f t="shared" si="23"/>
        <v>145.34979999999999</v>
      </c>
      <c r="T215" s="3">
        <v>0.91999999999999982</v>
      </c>
      <c r="V215">
        <f t="shared" si="20"/>
        <v>4.9791432510149463</v>
      </c>
      <c r="W215">
        <f t="shared" si="21"/>
        <v>2.5943999999999994</v>
      </c>
    </row>
    <row r="216" spans="1:23" x14ac:dyDescent="0.3">
      <c r="D216" s="3"/>
      <c r="Q216">
        <v>3.5832999999999999</v>
      </c>
      <c r="R216">
        <v>145.25</v>
      </c>
      <c r="S216">
        <f t="shared" si="23"/>
        <v>145.03319999999999</v>
      </c>
      <c r="T216" s="3">
        <v>0.91784037558685427</v>
      </c>
      <c r="V216">
        <f t="shared" si="20"/>
        <v>4.9769626817292121</v>
      </c>
      <c r="W216">
        <f t="shared" si="21"/>
        <v>2.5883098591549287</v>
      </c>
    </row>
    <row r="217" spans="1:23" x14ac:dyDescent="0.3">
      <c r="D217" s="3"/>
      <c r="Q217">
        <v>3.6000999999999999</v>
      </c>
      <c r="R217">
        <v>144.333</v>
      </c>
      <c r="S217">
        <f t="shared" si="23"/>
        <v>144.51659999999998</v>
      </c>
      <c r="T217" s="3">
        <v>0.91568075117370884</v>
      </c>
      <c r="V217">
        <f t="shared" si="20"/>
        <v>4.9733943798471456</v>
      </c>
      <c r="W217">
        <f t="shared" si="21"/>
        <v>2.582219718309859</v>
      </c>
    </row>
    <row r="218" spans="1:23" x14ac:dyDescent="0.3">
      <c r="D218" s="3"/>
      <c r="Q218">
        <v>3.6168</v>
      </c>
      <c r="R218">
        <v>143.875</v>
      </c>
      <c r="S218">
        <f t="shared" si="23"/>
        <v>143.94999999999999</v>
      </c>
      <c r="T218" s="3">
        <v>0.91352112676056318</v>
      </c>
      <c r="V218">
        <f t="shared" si="20"/>
        <v>4.9694660170581848</v>
      </c>
      <c r="W218">
        <f t="shared" si="21"/>
        <v>2.5761295774647879</v>
      </c>
    </row>
    <row r="219" spans="1:23" x14ac:dyDescent="0.3">
      <c r="D219" s="3"/>
      <c r="Q219">
        <v>3.6335999999999999</v>
      </c>
      <c r="R219">
        <v>143.292</v>
      </c>
      <c r="S219">
        <f t="shared" si="23"/>
        <v>143.41659999999999</v>
      </c>
      <c r="T219" s="3">
        <v>0.91136150234741775</v>
      </c>
      <c r="V219">
        <f t="shared" si="20"/>
        <v>4.9657536815774108</v>
      </c>
      <c r="W219">
        <f t="shared" si="21"/>
        <v>2.5700394366197181</v>
      </c>
    </row>
    <row r="220" spans="1:23" x14ac:dyDescent="0.3">
      <c r="D220" s="3"/>
      <c r="Q220">
        <v>3.6503000000000001</v>
      </c>
      <c r="R220">
        <v>143</v>
      </c>
      <c r="S220">
        <f t="shared" si="23"/>
        <v>143.10840000000002</v>
      </c>
      <c r="T220" s="3">
        <v>0.9092018779342721</v>
      </c>
      <c r="V220">
        <f t="shared" si="20"/>
        <v>4.963602385049259</v>
      </c>
      <c r="W220">
        <f t="shared" si="21"/>
        <v>2.563949295774647</v>
      </c>
    </row>
    <row r="221" spans="1:23" x14ac:dyDescent="0.3">
      <c r="D221" s="3"/>
      <c r="Q221">
        <v>3.6671</v>
      </c>
      <c r="R221">
        <v>142.583</v>
      </c>
      <c r="S221">
        <f t="shared" si="23"/>
        <v>142.84180000000001</v>
      </c>
      <c r="T221" s="3">
        <v>0.90704225352112666</v>
      </c>
      <c r="V221">
        <f t="shared" si="20"/>
        <v>4.9617377241590308</v>
      </c>
      <c r="W221">
        <f t="shared" si="21"/>
        <v>2.5578591549295768</v>
      </c>
    </row>
    <row r="222" spans="1:23" x14ac:dyDescent="0.3">
      <c r="D222" s="3"/>
      <c r="Q222">
        <v>3.6838000000000002</v>
      </c>
      <c r="R222">
        <v>142.792</v>
      </c>
      <c r="S222">
        <f t="shared" si="23"/>
        <v>142.57499999999999</v>
      </c>
      <c r="T222" s="3">
        <v>0.90488262910798101</v>
      </c>
      <c r="V222">
        <f t="shared" si="20"/>
        <v>4.9598681770426021</v>
      </c>
      <c r="W222">
        <f t="shared" si="21"/>
        <v>2.5517690140845062</v>
      </c>
    </row>
    <row r="223" spans="1:23" x14ac:dyDescent="0.3">
      <c r="D223" s="3"/>
      <c r="Q223">
        <v>3.7004999999999999</v>
      </c>
      <c r="R223">
        <v>142.542</v>
      </c>
      <c r="S223">
        <f t="shared" si="23"/>
        <v>142.2834</v>
      </c>
      <c r="T223" s="3">
        <v>0.90272300469483557</v>
      </c>
      <c r="V223">
        <f t="shared" si="20"/>
        <v>4.9578208433367665</v>
      </c>
      <c r="W223">
        <f t="shared" si="21"/>
        <v>2.545678873239436</v>
      </c>
    </row>
    <row r="224" spans="1:23" x14ac:dyDescent="0.3">
      <c r="D224" s="3"/>
      <c r="Q224">
        <v>3.7172999999999998</v>
      </c>
      <c r="R224">
        <v>141.958</v>
      </c>
      <c r="S224">
        <f t="shared" si="23"/>
        <v>142.10020000000003</v>
      </c>
      <c r="T224" s="3">
        <v>0.90056338028168992</v>
      </c>
      <c r="V224">
        <f t="shared" si="20"/>
        <v>4.9565324425616</v>
      </c>
      <c r="W224">
        <f t="shared" si="21"/>
        <v>2.5395887323943653</v>
      </c>
    </row>
    <row r="225" spans="4:23" x14ac:dyDescent="0.3">
      <c r="D225" s="3"/>
      <c r="Q225">
        <v>3.734</v>
      </c>
      <c r="R225">
        <v>141.542</v>
      </c>
      <c r="S225">
        <f t="shared" si="23"/>
        <v>141.85840000000002</v>
      </c>
      <c r="T225" s="3">
        <v>0.89840375586854448</v>
      </c>
      <c r="V225">
        <f t="shared" si="20"/>
        <v>4.9548293769848311</v>
      </c>
      <c r="W225">
        <f t="shared" si="21"/>
        <v>2.5334985915492951</v>
      </c>
    </row>
    <row r="226" spans="4:23" x14ac:dyDescent="0.3">
      <c r="D226" s="3"/>
      <c r="Q226">
        <v>3.7507999999999999</v>
      </c>
      <c r="R226">
        <v>141.667</v>
      </c>
      <c r="S226">
        <f t="shared" si="23"/>
        <v>141.70840000000001</v>
      </c>
      <c r="T226" s="3">
        <v>0.89624413145539883</v>
      </c>
      <c r="V226">
        <f t="shared" si="20"/>
        <v>4.9537714251090073</v>
      </c>
      <c r="W226">
        <f t="shared" si="21"/>
        <v>2.5274084507042245</v>
      </c>
    </row>
    <row r="227" spans="4:23" x14ac:dyDescent="0.3">
      <c r="D227" s="3"/>
      <c r="Q227">
        <v>3.7675000000000001</v>
      </c>
      <c r="R227">
        <v>141.583</v>
      </c>
      <c r="S227">
        <f t="shared" si="23"/>
        <v>141.67520000000002</v>
      </c>
      <c r="T227" s="3">
        <v>0.8940845070422534</v>
      </c>
      <c r="V227">
        <f t="shared" si="20"/>
        <v>4.9535371137363526</v>
      </c>
      <c r="W227">
        <f t="shared" si="21"/>
        <v>2.5213183098591543</v>
      </c>
    </row>
    <row r="228" spans="4:23" x14ac:dyDescent="0.3">
      <c r="D228" s="3"/>
      <c r="Q228">
        <v>3.7843</v>
      </c>
      <c r="R228">
        <v>141.792</v>
      </c>
      <c r="S228">
        <f t="shared" si="23"/>
        <v>141.50839999999999</v>
      </c>
      <c r="T228" s="3">
        <v>0.89192488262910785</v>
      </c>
      <c r="V228">
        <f t="shared" si="20"/>
        <v>4.9523590792789198</v>
      </c>
      <c r="W228">
        <f t="shared" si="21"/>
        <v>2.5152281690140841</v>
      </c>
    </row>
    <row r="229" spans="4:23" x14ac:dyDescent="0.3">
      <c r="D229" s="3"/>
      <c r="Q229">
        <v>3.8010000000000002</v>
      </c>
      <c r="R229">
        <v>141.792</v>
      </c>
      <c r="S229">
        <f t="shared" si="23"/>
        <v>141.05000000000001</v>
      </c>
      <c r="T229" s="3">
        <v>0.88976525821596231</v>
      </c>
      <c r="V229">
        <f t="shared" si="20"/>
        <v>4.9491144374480056</v>
      </c>
      <c r="W229">
        <f t="shared" si="21"/>
        <v>2.5091380281690134</v>
      </c>
    </row>
    <row r="230" spans="4:23" x14ac:dyDescent="0.3">
      <c r="D230" s="3"/>
      <c r="Q230">
        <v>3.8178000000000001</v>
      </c>
      <c r="R230">
        <v>140.708</v>
      </c>
      <c r="S230">
        <f t="shared" si="23"/>
        <v>140.48340000000002</v>
      </c>
      <c r="T230" s="3">
        <v>0.88760563380281676</v>
      </c>
      <c r="V230">
        <f t="shared" si="20"/>
        <v>4.9450893323274103</v>
      </c>
      <c r="W230">
        <f t="shared" si="21"/>
        <v>2.5030478873239432</v>
      </c>
    </row>
    <row r="231" spans="4:23" x14ac:dyDescent="0.3">
      <c r="D231" s="3"/>
      <c r="Q231">
        <v>3.8344999999999998</v>
      </c>
      <c r="R231">
        <v>139.375</v>
      </c>
      <c r="S231">
        <f t="shared" si="23"/>
        <v>139.93340000000001</v>
      </c>
      <c r="T231" s="3">
        <v>0.88544600938967122</v>
      </c>
      <c r="V231">
        <f t="shared" si="20"/>
        <v>4.9411665951356509</v>
      </c>
      <c r="W231">
        <f t="shared" si="21"/>
        <v>2.4969577464788726</v>
      </c>
    </row>
    <row r="232" spans="4:23" x14ac:dyDescent="0.3">
      <c r="D232" s="3"/>
      <c r="Q232">
        <v>3.8512</v>
      </c>
      <c r="R232">
        <v>138.75</v>
      </c>
      <c r="S232">
        <f t="shared" si="23"/>
        <v>139.47499999999999</v>
      </c>
      <c r="T232" s="3">
        <v>0.88328638497652567</v>
      </c>
      <c r="V232">
        <f t="shared" si="20"/>
        <v>4.937885373731592</v>
      </c>
      <c r="W232">
        <f t="shared" si="21"/>
        <v>2.4908676056338024</v>
      </c>
    </row>
    <row r="233" spans="4:23" x14ac:dyDescent="0.3">
      <c r="D233" s="3"/>
      <c r="Q233">
        <v>3.8679999999999999</v>
      </c>
      <c r="R233">
        <v>139.042</v>
      </c>
      <c r="S233">
        <f t="shared" si="23"/>
        <v>139.11680000000001</v>
      </c>
      <c r="T233" s="3">
        <v>0.88112676056338013</v>
      </c>
      <c r="V233">
        <f t="shared" si="20"/>
        <v>4.9353138680563546</v>
      </c>
      <c r="W233">
        <f t="shared" si="21"/>
        <v>2.4847774647887317</v>
      </c>
    </row>
    <row r="234" spans="4:23" x14ac:dyDescent="0.3">
      <c r="D234" s="3"/>
      <c r="Q234">
        <v>3.8847</v>
      </c>
      <c r="R234">
        <v>139.5</v>
      </c>
      <c r="S234">
        <f t="shared" si="23"/>
        <v>139.07520000000002</v>
      </c>
      <c r="T234" s="3">
        <v>0.87896713615023458</v>
      </c>
      <c r="V234">
        <f t="shared" si="20"/>
        <v>4.9350147940333056</v>
      </c>
      <c r="W234">
        <f t="shared" si="21"/>
        <v>2.4786873239436615</v>
      </c>
    </row>
    <row r="235" spans="4:23" x14ac:dyDescent="0.3">
      <c r="D235" s="3"/>
      <c r="Q235">
        <v>3.9015</v>
      </c>
      <c r="R235">
        <v>138.917</v>
      </c>
      <c r="S235">
        <f t="shared" si="23"/>
        <v>139.09180000000001</v>
      </c>
      <c r="T235" s="3">
        <v>0.87680751173708904</v>
      </c>
      <c r="V235">
        <f t="shared" si="20"/>
        <v>4.9351341467963552</v>
      </c>
      <c r="W235">
        <f t="shared" si="21"/>
        <v>2.4725971830985909</v>
      </c>
    </row>
    <row r="236" spans="4:23" x14ac:dyDescent="0.3">
      <c r="D236" s="3"/>
      <c r="Q236">
        <v>3.9182000000000001</v>
      </c>
      <c r="R236">
        <v>139.167</v>
      </c>
      <c r="S236">
        <f t="shared" si="23"/>
        <v>138.84180000000001</v>
      </c>
      <c r="T236" s="3">
        <v>0.8746478873239435</v>
      </c>
      <c r="V236">
        <f t="shared" si="20"/>
        <v>4.9333351554730731</v>
      </c>
      <c r="W236">
        <f t="shared" si="21"/>
        <v>2.4665070422535207</v>
      </c>
    </row>
    <row r="237" spans="4:23" x14ac:dyDescent="0.3">
      <c r="D237" s="3"/>
      <c r="Q237">
        <v>3.9350000000000001</v>
      </c>
      <c r="R237">
        <v>138.833</v>
      </c>
      <c r="S237">
        <f t="shared" si="23"/>
        <v>138.51680000000002</v>
      </c>
      <c r="T237" s="3">
        <v>0.87248826291079795</v>
      </c>
      <c r="V237">
        <f t="shared" si="20"/>
        <v>4.930991617910176</v>
      </c>
      <c r="W237">
        <f t="shared" si="21"/>
        <v>2.46041690140845</v>
      </c>
    </row>
    <row r="238" spans="4:23" x14ac:dyDescent="0.3">
      <c r="D238" s="3"/>
      <c r="Q238">
        <v>3.9517000000000002</v>
      </c>
      <c r="R238">
        <v>137.792</v>
      </c>
      <c r="S238">
        <f t="shared" si="23"/>
        <v>138.3168</v>
      </c>
      <c r="T238" s="3">
        <v>0.87032863849765241</v>
      </c>
      <c r="V238">
        <f t="shared" si="20"/>
        <v>4.9295467063474456</v>
      </c>
      <c r="W238">
        <f t="shared" si="21"/>
        <v>2.4543267605633798</v>
      </c>
    </row>
    <row r="239" spans="4:23" x14ac:dyDescent="0.3">
      <c r="D239" s="3"/>
      <c r="Q239">
        <v>3.9685000000000001</v>
      </c>
      <c r="R239">
        <v>137.875</v>
      </c>
      <c r="S239">
        <f t="shared" si="23"/>
        <v>137.875</v>
      </c>
      <c r="T239" s="3">
        <v>0.86816901408450686</v>
      </c>
      <c r="V239">
        <f t="shared" si="20"/>
        <v>4.9263474775736666</v>
      </c>
      <c r="W239">
        <f t="shared" si="21"/>
        <v>2.4482366197183092</v>
      </c>
    </row>
    <row r="240" spans="4:23" x14ac:dyDescent="0.3">
      <c r="D240" s="3"/>
      <c r="Q240">
        <v>3.9851999999999999</v>
      </c>
      <c r="R240">
        <v>137.917</v>
      </c>
      <c r="S240">
        <f t="shared" si="23"/>
        <v>137.38339999999999</v>
      </c>
      <c r="T240" s="3">
        <v>0.86600938967136132</v>
      </c>
      <c r="V240">
        <f t="shared" si="20"/>
        <v>4.9227755573512297</v>
      </c>
      <c r="W240">
        <f t="shared" si="21"/>
        <v>2.442146478873239</v>
      </c>
    </row>
    <row r="241" spans="4:23" x14ac:dyDescent="0.3">
      <c r="D241" s="3"/>
      <c r="Q241">
        <v>4.0019</v>
      </c>
      <c r="R241">
        <v>136.958</v>
      </c>
      <c r="S241">
        <f t="shared" si="23"/>
        <v>137.17500000000001</v>
      </c>
      <c r="T241" s="3">
        <v>0.86384976525821577</v>
      </c>
      <c r="V241">
        <f t="shared" si="20"/>
        <v>4.9212574829450393</v>
      </c>
      <c r="W241">
        <f t="shared" si="21"/>
        <v>2.4360563380281683</v>
      </c>
    </row>
    <row r="242" spans="4:23" x14ac:dyDescent="0.3">
      <c r="D242" s="3"/>
      <c r="Q242">
        <v>4.0186999999999999</v>
      </c>
      <c r="R242">
        <v>136.375</v>
      </c>
      <c r="S242">
        <f t="shared" si="23"/>
        <v>136.85840000000002</v>
      </c>
      <c r="T242" s="3">
        <v>0.86169014084507023</v>
      </c>
      <c r="V242">
        <f t="shared" si="20"/>
        <v>4.918946814677116</v>
      </c>
      <c r="W242">
        <f t="shared" si="21"/>
        <v>2.4299661971830977</v>
      </c>
    </row>
    <row r="243" spans="4:23" x14ac:dyDescent="0.3">
      <c r="D243" s="3"/>
      <c r="Q243">
        <v>4.0354000000000001</v>
      </c>
      <c r="R243">
        <v>136.75</v>
      </c>
      <c r="S243">
        <f t="shared" si="23"/>
        <v>136.4084</v>
      </c>
      <c r="T243" s="3">
        <v>0.85953051643192468</v>
      </c>
      <c r="V243">
        <f t="shared" si="20"/>
        <v>4.915653327090884</v>
      </c>
      <c r="W243">
        <f t="shared" si="21"/>
        <v>2.4238760563380275</v>
      </c>
    </row>
    <row r="244" spans="4:23" x14ac:dyDescent="0.3">
      <c r="D244" s="3"/>
      <c r="Q244">
        <v>4.0522</v>
      </c>
      <c r="R244">
        <v>136.292</v>
      </c>
      <c r="S244">
        <f t="shared" si="23"/>
        <v>136.0334</v>
      </c>
      <c r="T244" s="3">
        <v>0.85737089201877914</v>
      </c>
      <c r="V244">
        <f t="shared" si="20"/>
        <v>4.9129004438194919</v>
      </c>
      <c r="W244">
        <f t="shared" si="21"/>
        <v>2.4177859154929568</v>
      </c>
    </row>
    <row r="245" spans="4:23" x14ac:dyDescent="0.3">
      <c r="D245" s="3"/>
      <c r="Q245">
        <v>4.0689000000000002</v>
      </c>
      <c r="R245">
        <v>135.667</v>
      </c>
      <c r="S245">
        <f t="shared" si="23"/>
        <v>135.59180000000001</v>
      </c>
      <c r="T245" s="3">
        <v>0.8552112676056336</v>
      </c>
      <c r="V245">
        <f t="shared" si="20"/>
        <v>4.9096489017013907</v>
      </c>
      <c r="W245">
        <f t="shared" si="21"/>
        <v>2.4116957746478866</v>
      </c>
    </row>
    <row r="246" spans="4:23" x14ac:dyDescent="0.3">
      <c r="D246" s="3"/>
      <c r="Q246">
        <v>4.0857000000000001</v>
      </c>
      <c r="R246">
        <v>135.083</v>
      </c>
      <c r="S246">
        <f t="shared" si="23"/>
        <v>134.96680000000001</v>
      </c>
      <c r="T246" s="3">
        <v>0.85305164319248816</v>
      </c>
      <c r="V246">
        <f t="shared" si="20"/>
        <v>4.9050288222677647</v>
      </c>
      <c r="W246">
        <f t="shared" si="21"/>
        <v>2.4056056338028164</v>
      </c>
    </row>
    <row r="247" spans="4:23" x14ac:dyDescent="0.3">
      <c r="D247" s="3"/>
      <c r="Q247">
        <v>4.1024000000000003</v>
      </c>
      <c r="R247">
        <v>134.167</v>
      </c>
      <c r="S247">
        <f t="shared" si="23"/>
        <v>134.34180000000001</v>
      </c>
      <c r="T247" s="3">
        <v>0.85089201877934262</v>
      </c>
      <c r="V247">
        <f t="shared" si="20"/>
        <v>4.9003872985877219</v>
      </c>
      <c r="W247">
        <f t="shared" si="21"/>
        <v>2.3995154929577462</v>
      </c>
    </row>
    <row r="248" spans="4:23" x14ac:dyDescent="0.3">
      <c r="D248" s="3"/>
      <c r="Q248">
        <v>4.1192000000000002</v>
      </c>
      <c r="R248">
        <v>133.625</v>
      </c>
      <c r="S248">
        <f t="shared" si="23"/>
        <v>133.70840000000001</v>
      </c>
      <c r="T248" s="3">
        <v>0.84873239436619707</v>
      </c>
      <c r="V248">
        <f t="shared" si="20"/>
        <v>4.8956613093594807</v>
      </c>
      <c r="W248">
        <f t="shared" si="21"/>
        <v>2.3934253521126756</v>
      </c>
    </row>
    <row r="249" spans="4:23" x14ac:dyDescent="0.3">
      <c r="D249" s="3"/>
      <c r="Q249">
        <v>4.1359000000000004</v>
      </c>
      <c r="R249">
        <v>133.167</v>
      </c>
      <c r="S249">
        <f t="shared" si="23"/>
        <v>133.11680000000001</v>
      </c>
      <c r="T249" s="3">
        <v>0.84657276995305153</v>
      </c>
      <c r="V249">
        <f t="shared" si="20"/>
        <v>4.8912269383224318</v>
      </c>
      <c r="W249">
        <f t="shared" si="21"/>
        <v>2.3873352112676054</v>
      </c>
    </row>
    <row r="250" spans="4:23" x14ac:dyDescent="0.3">
      <c r="D250" s="3"/>
      <c r="Q250">
        <v>4.1525999999999996</v>
      </c>
      <c r="R250">
        <v>132.5</v>
      </c>
      <c r="S250">
        <f t="shared" si="23"/>
        <v>132.61680000000001</v>
      </c>
      <c r="T250" s="3">
        <v>0.84441314553990598</v>
      </c>
      <c r="V250">
        <f t="shared" si="20"/>
        <v>4.8874637665589757</v>
      </c>
      <c r="W250">
        <f t="shared" si="21"/>
        <v>2.3812450704225347</v>
      </c>
    </row>
    <row r="251" spans="4:23" x14ac:dyDescent="0.3">
      <c r="D251" s="3"/>
      <c r="Q251">
        <v>4.1694000000000004</v>
      </c>
      <c r="R251">
        <v>132.125</v>
      </c>
      <c r="S251">
        <f t="shared" si="23"/>
        <v>132.1584</v>
      </c>
      <c r="T251" s="3">
        <v>0.84225352112676044</v>
      </c>
      <c r="V251">
        <f t="shared" si="20"/>
        <v>4.8840012031618532</v>
      </c>
      <c r="W251">
        <f t="shared" si="21"/>
        <v>2.3751549295774641</v>
      </c>
    </row>
    <row r="252" spans="4:23" x14ac:dyDescent="0.3">
      <c r="D252" s="3"/>
      <c r="Q252">
        <v>4.1860999999999997</v>
      </c>
      <c r="R252">
        <v>131.667</v>
      </c>
      <c r="S252">
        <f t="shared" si="23"/>
        <v>131.70840000000001</v>
      </c>
      <c r="T252" s="3">
        <v>0.8400938967136149</v>
      </c>
      <c r="V252">
        <f t="shared" si="20"/>
        <v>4.8805903880364783</v>
      </c>
      <c r="W252">
        <f t="shared" si="21"/>
        <v>2.3690647887323939</v>
      </c>
    </row>
    <row r="253" spans="4:23" x14ac:dyDescent="0.3">
      <c r="D253" s="3"/>
      <c r="Q253">
        <v>4.2028999999999996</v>
      </c>
      <c r="R253">
        <v>131.333</v>
      </c>
      <c r="S253">
        <f t="shared" si="23"/>
        <v>131.42500000000001</v>
      </c>
      <c r="T253" s="3">
        <v>0.83793427230046935</v>
      </c>
      <c r="V253">
        <f t="shared" si="20"/>
        <v>4.8784363467055121</v>
      </c>
      <c r="W253">
        <f t="shared" si="21"/>
        <v>2.3629746478873233</v>
      </c>
    </row>
    <row r="254" spans="4:23" x14ac:dyDescent="0.3">
      <c r="D254" s="3"/>
      <c r="Q254">
        <v>4.2195999999999998</v>
      </c>
      <c r="R254">
        <v>130.917</v>
      </c>
      <c r="S254">
        <f t="shared" si="23"/>
        <v>131.05840000000001</v>
      </c>
      <c r="T254" s="3">
        <v>0.83577464788732381</v>
      </c>
      <c r="V254">
        <f t="shared" si="20"/>
        <v>4.8756430253878911</v>
      </c>
      <c r="W254">
        <f t="shared" si="21"/>
        <v>2.3568845070422531</v>
      </c>
    </row>
    <row r="255" spans="4:23" x14ac:dyDescent="0.3">
      <c r="D255" s="3"/>
      <c r="Q255">
        <v>4.2363999999999997</v>
      </c>
      <c r="R255">
        <v>131.083</v>
      </c>
      <c r="S255">
        <f t="shared" si="23"/>
        <v>130.68340000000001</v>
      </c>
      <c r="T255" s="3">
        <v>0.83361502347417826</v>
      </c>
      <c r="V255">
        <f t="shared" si="20"/>
        <v>4.8727776041477044</v>
      </c>
      <c r="W255">
        <f t="shared" si="21"/>
        <v>2.3507943661971824</v>
      </c>
    </row>
    <row r="256" spans="4:23" x14ac:dyDescent="0.3">
      <c r="D256" s="3"/>
      <c r="Q256">
        <v>4.2530999999999999</v>
      </c>
      <c r="R256">
        <v>130.292</v>
      </c>
      <c r="S256">
        <f t="shared" si="23"/>
        <v>130.2834</v>
      </c>
      <c r="T256" s="3">
        <v>0.83145539906103272</v>
      </c>
      <c r="V256">
        <f t="shared" si="20"/>
        <v>4.8697120777033565</v>
      </c>
      <c r="W256">
        <f t="shared" si="21"/>
        <v>2.3447042253521122</v>
      </c>
    </row>
    <row r="257" spans="4:23" x14ac:dyDescent="0.3">
      <c r="D257" s="3"/>
      <c r="Q257">
        <v>4.2698999999999998</v>
      </c>
      <c r="R257">
        <v>129.792</v>
      </c>
      <c r="S257">
        <f t="shared" si="23"/>
        <v>129.68340000000001</v>
      </c>
      <c r="T257" s="3">
        <v>0.82929577464788717</v>
      </c>
      <c r="V257">
        <f t="shared" si="20"/>
        <v>4.8650960954674387</v>
      </c>
      <c r="W257">
        <f t="shared" si="21"/>
        <v>2.3386140845070416</v>
      </c>
    </row>
    <row r="258" spans="4:23" x14ac:dyDescent="0.3">
      <c r="D258" s="3"/>
      <c r="Q258">
        <v>4.2866</v>
      </c>
      <c r="R258">
        <v>129.333</v>
      </c>
      <c r="S258">
        <f t="shared" si="23"/>
        <v>128.83340000000001</v>
      </c>
      <c r="T258" s="3">
        <v>0.82713615023474163</v>
      </c>
      <c r="V258">
        <f t="shared" si="20"/>
        <v>4.8585200968236579</v>
      </c>
      <c r="W258">
        <f t="shared" si="21"/>
        <v>2.3325239436619714</v>
      </c>
    </row>
    <row r="259" spans="4:23" x14ac:dyDescent="0.3">
      <c r="D259" s="3"/>
      <c r="Q259">
        <v>4.3033000000000001</v>
      </c>
      <c r="R259">
        <v>127.917</v>
      </c>
      <c r="S259">
        <f t="shared" si="23"/>
        <v>128.10840000000002</v>
      </c>
      <c r="T259" s="3">
        <v>0.82497652582159609</v>
      </c>
      <c r="V259">
        <f t="shared" ref="V259:V322" si="24">LN(S259)</f>
        <v>4.8528767805233146</v>
      </c>
      <c r="W259">
        <f t="shared" ref="W259:W322" si="25">T259*U$2</f>
        <v>2.3264338028169007</v>
      </c>
    </row>
    <row r="260" spans="4:23" x14ac:dyDescent="0.3">
      <c r="D260" s="3"/>
      <c r="Q260">
        <v>4.3201000000000001</v>
      </c>
      <c r="R260">
        <v>126.833</v>
      </c>
      <c r="S260">
        <f t="shared" si="23"/>
        <v>127.3916</v>
      </c>
      <c r="T260" s="3">
        <v>0.82281690140845054</v>
      </c>
      <c r="V260">
        <f t="shared" si="24"/>
        <v>4.8472658068983829</v>
      </c>
      <c r="W260">
        <f t="shared" si="25"/>
        <v>2.3203436619718305</v>
      </c>
    </row>
    <row r="261" spans="4:23" x14ac:dyDescent="0.3">
      <c r="D261" s="3"/>
      <c r="Q261">
        <v>4.3368000000000002</v>
      </c>
      <c r="R261">
        <v>126.667</v>
      </c>
      <c r="S261">
        <f t="shared" ref="S261:S324" si="26">AVERAGE(R259:R263)</f>
        <v>126.75840000000001</v>
      </c>
      <c r="T261" s="3">
        <v>0.820657276995305</v>
      </c>
      <c r="V261">
        <f t="shared" si="24"/>
        <v>4.8422829124647375</v>
      </c>
      <c r="W261">
        <f t="shared" si="25"/>
        <v>2.3142535211267599</v>
      </c>
    </row>
    <row r="262" spans="4:23" x14ac:dyDescent="0.3">
      <c r="D262" s="3"/>
      <c r="Q262">
        <v>4.3536000000000001</v>
      </c>
      <c r="R262">
        <v>126.208</v>
      </c>
      <c r="S262">
        <f t="shared" si="26"/>
        <v>126.22499999999999</v>
      </c>
      <c r="T262" s="3">
        <v>0.81849765258215945</v>
      </c>
      <c r="V262">
        <f t="shared" si="24"/>
        <v>4.8380660287449793</v>
      </c>
      <c r="W262">
        <f t="shared" si="25"/>
        <v>2.3081633802816897</v>
      </c>
    </row>
    <row r="263" spans="4:23" x14ac:dyDescent="0.3">
      <c r="D263" s="3"/>
      <c r="Q263">
        <v>4.3703000000000003</v>
      </c>
      <c r="R263">
        <v>126.167</v>
      </c>
      <c r="S263">
        <f t="shared" si="26"/>
        <v>125.72499999999999</v>
      </c>
      <c r="T263" s="3">
        <v>0.81633802816901391</v>
      </c>
      <c r="V263">
        <f t="shared" si="24"/>
        <v>4.8340969820580284</v>
      </c>
      <c r="W263">
        <f t="shared" si="25"/>
        <v>2.302073239436619</v>
      </c>
    </row>
    <row r="264" spans="4:23" x14ac:dyDescent="0.3">
      <c r="D264" s="3"/>
      <c r="Q264">
        <v>4.3871000000000002</v>
      </c>
      <c r="R264">
        <v>125.25</v>
      </c>
      <c r="S264">
        <f t="shared" si="26"/>
        <v>125.18319999999999</v>
      </c>
      <c r="T264" s="3">
        <v>0.81417840375586836</v>
      </c>
      <c r="V264">
        <f t="shared" si="24"/>
        <v>4.8297782643588301</v>
      </c>
      <c r="W264">
        <f t="shared" si="25"/>
        <v>2.2959830985915488</v>
      </c>
    </row>
    <row r="265" spans="4:23" x14ac:dyDescent="0.3">
      <c r="D265" s="3"/>
      <c r="Q265">
        <v>4.4038000000000004</v>
      </c>
      <c r="R265">
        <v>124.333</v>
      </c>
      <c r="S265">
        <f t="shared" si="26"/>
        <v>124.52500000000001</v>
      </c>
      <c r="T265" s="3">
        <v>0.81201877934272282</v>
      </c>
      <c r="V265">
        <f t="shared" si="24"/>
        <v>4.8245064989593471</v>
      </c>
      <c r="W265">
        <f t="shared" si="25"/>
        <v>2.2898929577464782</v>
      </c>
    </row>
    <row r="266" spans="4:23" x14ac:dyDescent="0.3">
      <c r="D266" s="3"/>
      <c r="Q266">
        <v>4.4206000000000003</v>
      </c>
      <c r="R266">
        <v>123.958</v>
      </c>
      <c r="S266">
        <f t="shared" si="26"/>
        <v>123.85819999999998</v>
      </c>
      <c r="T266" s="3">
        <v>0.80985915492957727</v>
      </c>
      <c r="V266">
        <f t="shared" si="24"/>
        <v>4.8191373628675818</v>
      </c>
      <c r="W266">
        <f t="shared" si="25"/>
        <v>2.283802816901408</v>
      </c>
    </row>
    <row r="267" spans="4:23" x14ac:dyDescent="0.3">
      <c r="D267" s="3"/>
      <c r="Q267">
        <v>4.4372999999999996</v>
      </c>
      <c r="R267">
        <v>122.917</v>
      </c>
      <c r="S267">
        <f t="shared" si="26"/>
        <v>123.39979999999998</v>
      </c>
      <c r="T267" s="3">
        <v>0.80769953051643173</v>
      </c>
      <c r="V267">
        <f t="shared" si="24"/>
        <v>4.8154294907244308</v>
      </c>
      <c r="W267">
        <f t="shared" si="25"/>
        <v>2.2777126760563373</v>
      </c>
    </row>
    <row r="268" spans="4:23" x14ac:dyDescent="0.3">
      <c r="D268" s="3"/>
      <c r="Q268">
        <v>4.4539999999999997</v>
      </c>
      <c r="R268">
        <v>122.833</v>
      </c>
      <c r="S268">
        <f t="shared" si="26"/>
        <v>122.7666</v>
      </c>
      <c r="T268" s="3">
        <v>0.80553990610328619</v>
      </c>
      <c r="V268">
        <f t="shared" si="24"/>
        <v>4.8102849917471939</v>
      </c>
      <c r="W268">
        <f t="shared" si="25"/>
        <v>2.2716225352112671</v>
      </c>
    </row>
    <row r="269" spans="4:23" x14ac:dyDescent="0.3">
      <c r="D269" s="3"/>
      <c r="Q269">
        <v>4.4707999999999997</v>
      </c>
      <c r="R269">
        <v>122.958</v>
      </c>
      <c r="S269">
        <f t="shared" si="26"/>
        <v>122.02500000000001</v>
      </c>
      <c r="T269" s="3">
        <v>0.80338028169014075</v>
      </c>
      <c r="V269">
        <f t="shared" si="24"/>
        <v>4.8042259417732112</v>
      </c>
      <c r="W269">
        <f t="shared" si="25"/>
        <v>2.2655323943661969</v>
      </c>
    </row>
    <row r="270" spans="4:23" x14ac:dyDescent="0.3">
      <c r="D270" s="3"/>
      <c r="Q270">
        <v>4.4874999999999998</v>
      </c>
      <c r="R270">
        <v>121.167</v>
      </c>
      <c r="S270">
        <f t="shared" si="26"/>
        <v>121.48319999999998</v>
      </c>
      <c r="T270" s="3">
        <v>0.80122065727699521</v>
      </c>
      <c r="V270">
        <f t="shared" si="24"/>
        <v>4.799775981615265</v>
      </c>
      <c r="W270">
        <f t="shared" si="25"/>
        <v>2.2594422535211263</v>
      </c>
    </row>
    <row r="271" spans="4:23" x14ac:dyDescent="0.3">
      <c r="D271" s="3"/>
      <c r="Q271">
        <v>4.5042999999999997</v>
      </c>
      <c r="R271">
        <v>120.25</v>
      </c>
      <c r="S271">
        <f t="shared" si="26"/>
        <v>120.80819999999999</v>
      </c>
      <c r="T271" s="3">
        <v>0.79906103286384966</v>
      </c>
      <c r="V271">
        <f t="shared" si="24"/>
        <v>4.79420416399162</v>
      </c>
      <c r="W271">
        <f t="shared" si="25"/>
        <v>2.2533521126760561</v>
      </c>
    </row>
    <row r="272" spans="4:23" x14ac:dyDescent="0.3">
      <c r="D272" s="3"/>
      <c r="Q272">
        <v>4.5209999999999999</v>
      </c>
      <c r="R272">
        <v>120.208</v>
      </c>
      <c r="S272">
        <f t="shared" si="26"/>
        <v>120.03319999999999</v>
      </c>
      <c r="T272" s="3">
        <v>0.79690140845070412</v>
      </c>
      <c r="V272">
        <f t="shared" si="24"/>
        <v>4.7877683711835477</v>
      </c>
      <c r="W272">
        <f t="shared" si="25"/>
        <v>2.2472619718309854</v>
      </c>
    </row>
    <row r="273" spans="4:23" x14ac:dyDescent="0.3">
      <c r="D273" s="3"/>
      <c r="Q273">
        <v>4.5377999999999998</v>
      </c>
      <c r="R273">
        <v>119.458</v>
      </c>
      <c r="S273">
        <f t="shared" si="26"/>
        <v>119.63320000000002</v>
      </c>
      <c r="T273" s="3">
        <v>0.79474178403755857</v>
      </c>
      <c r="V273">
        <f t="shared" si="24"/>
        <v>4.7844303949682523</v>
      </c>
      <c r="W273">
        <f t="shared" si="25"/>
        <v>2.2411718309859152</v>
      </c>
    </row>
    <row r="274" spans="4:23" x14ac:dyDescent="0.3">
      <c r="D274" s="3"/>
      <c r="Q274">
        <v>4.5545</v>
      </c>
      <c r="R274">
        <v>119.083</v>
      </c>
      <c r="S274">
        <f t="shared" si="26"/>
        <v>119.2748</v>
      </c>
      <c r="T274" s="3">
        <v>0.79258215962441303</v>
      </c>
      <c r="V274">
        <f t="shared" si="24"/>
        <v>4.7814300746034482</v>
      </c>
      <c r="W274">
        <f t="shared" si="25"/>
        <v>2.2350816901408446</v>
      </c>
    </row>
    <row r="275" spans="4:23" x14ac:dyDescent="0.3">
      <c r="D275" s="3"/>
      <c r="Q275">
        <v>4.5712999999999999</v>
      </c>
      <c r="R275">
        <v>119.167</v>
      </c>
      <c r="S275">
        <f t="shared" si="26"/>
        <v>118.9666</v>
      </c>
      <c r="T275" s="3">
        <v>0.79042253521126749</v>
      </c>
      <c r="V275">
        <f t="shared" si="24"/>
        <v>4.7788427814467891</v>
      </c>
      <c r="W275">
        <f t="shared" si="25"/>
        <v>2.2289915492957744</v>
      </c>
    </row>
    <row r="276" spans="4:23" x14ac:dyDescent="0.3">
      <c r="D276" s="3"/>
      <c r="Q276">
        <v>4.5880000000000001</v>
      </c>
      <c r="R276">
        <v>118.458</v>
      </c>
      <c r="S276">
        <f t="shared" si="26"/>
        <v>118.65</v>
      </c>
      <c r="T276" s="3">
        <v>0.78826291079812194</v>
      </c>
      <c r="V276">
        <f t="shared" si="24"/>
        <v>4.776177982881773</v>
      </c>
      <c r="W276">
        <f t="shared" si="25"/>
        <v>2.2229014084507037</v>
      </c>
    </row>
    <row r="277" spans="4:23" x14ac:dyDescent="0.3">
      <c r="D277" s="3"/>
      <c r="Q277">
        <v>4.6047000000000002</v>
      </c>
      <c r="R277">
        <v>118.667</v>
      </c>
      <c r="S277">
        <f t="shared" si="26"/>
        <v>118.175</v>
      </c>
      <c r="T277" s="3">
        <v>0.7861032863849764</v>
      </c>
      <c r="V277">
        <f t="shared" si="24"/>
        <v>4.7721665766793002</v>
      </c>
      <c r="W277">
        <f t="shared" si="25"/>
        <v>2.2168112676056335</v>
      </c>
    </row>
    <row r="278" spans="4:23" x14ac:dyDescent="0.3">
      <c r="D278" s="3"/>
      <c r="Q278">
        <v>4.6215000000000002</v>
      </c>
      <c r="R278">
        <v>117.875</v>
      </c>
      <c r="S278">
        <f t="shared" si="26"/>
        <v>117.66659999999999</v>
      </c>
      <c r="T278" s="3">
        <v>0.78394366197183085</v>
      </c>
      <c r="V278">
        <f t="shared" si="24"/>
        <v>4.7678552016927886</v>
      </c>
      <c r="W278">
        <f t="shared" si="25"/>
        <v>2.2107211267605629</v>
      </c>
    </row>
    <row r="279" spans="4:23" x14ac:dyDescent="0.3">
      <c r="D279" s="3"/>
      <c r="Q279">
        <v>4.6382000000000003</v>
      </c>
      <c r="R279">
        <v>116.708</v>
      </c>
      <c r="S279">
        <f t="shared" si="26"/>
        <v>117.06659999999999</v>
      </c>
      <c r="T279" s="3">
        <v>0.78178403755868531</v>
      </c>
      <c r="V279">
        <f t="shared" si="24"/>
        <v>4.7627430036166079</v>
      </c>
      <c r="W279">
        <f t="shared" si="25"/>
        <v>2.2046309859154922</v>
      </c>
    </row>
    <row r="280" spans="4:23" x14ac:dyDescent="0.3">
      <c r="D280" s="3"/>
      <c r="Q280">
        <v>4.6550000000000002</v>
      </c>
      <c r="R280">
        <v>116.625</v>
      </c>
      <c r="S280">
        <f t="shared" si="26"/>
        <v>116.23319999999998</v>
      </c>
      <c r="T280" s="3">
        <v>0.77962441314553976</v>
      </c>
      <c r="V280">
        <f t="shared" si="24"/>
        <v>4.7555985178949713</v>
      </c>
      <c r="W280">
        <f t="shared" si="25"/>
        <v>2.198540845070422</v>
      </c>
    </row>
    <row r="281" spans="4:23" x14ac:dyDescent="0.3">
      <c r="D281" s="3"/>
      <c r="Q281">
        <v>4.6717000000000004</v>
      </c>
      <c r="R281">
        <v>115.458</v>
      </c>
      <c r="S281">
        <f t="shared" si="26"/>
        <v>115.70819999999999</v>
      </c>
      <c r="T281" s="3">
        <v>0.77746478873239422</v>
      </c>
      <c r="V281">
        <f t="shared" si="24"/>
        <v>4.7510715046355392</v>
      </c>
      <c r="W281">
        <f t="shared" si="25"/>
        <v>2.1924507042253514</v>
      </c>
    </row>
    <row r="282" spans="4:23" x14ac:dyDescent="0.3">
      <c r="D282" s="3"/>
      <c r="Q282">
        <v>4.6885000000000003</v>
      </c>
      <c r="R282">
        <v>114.5</v>
      </c>
      <c r="S282">
        <f t="shared" si="26"/>
        <v>115.30819999999999</v>
      </c>
      <c r="T282" s="3">
        <v>0.77530516431924867</v>
      </c>
      <c r="V282">
        <f t="shared" si="24"/>
        <v>4.747608543566658</v>
      </c>
      <c r="W282">
        <f t="shared" si="25"/>
        <v>2.1863605633802812</v>
      </c>
    </row>
    <row r="283" spans="4:23" x14ac:dyDescent="0.3">
      <c r="D283" s="3"/>
      <c r="Q283">
        <v>4.7051999999999996</v>
      </c>
      <c r="R283">
        <v>115.25</v>
      </c>
      <c r="S283">
        <f t="shared" si="26"/>
        <v>114.72479999999999</v>
      </c>
      <c r="T283" s="3">
        <v>0.77314553990610313</v>
      </c>
      <c r="V283">
        <f t="shared" si="24"/>
        <v>4.7425362169801835</v>
      </c>
      <c r="W283">
        <f t="shared" si="25"/>
        <v>2.1802704225352105</v>
      </c>
    </row>
    <row r="284" spans="4:23" x14ac:dyDescent="0.3">
      <c r="D284" s="3"/>
      <c r="Q284">
        <v>4.7220000000000004</v>
      </c>
      <c r="R284">
        <v>114.708</v>
      </c>
      <c r="S284">
        <f t="shared" si="26"/>
        <v>114.29979999999998</v>
      </c>
      <c r="T284" s="3">
        <v>0.77098591549295759</v>
      </c>
      <c r="V284">
        <f t="shared" si="24"/>
        <v>4.7388248210179569</v>
      </c>
      <c r="W284">
        <f t="shared" si="25"/>
        <v>2.1741802816901403</v>
      </c>
    </row>
    <row r="285" spans="4:23" x14ac:dyDescent="0.3">
      <c r="D285" s="3"/>
      <c r="Q285">
        <v>4.7386999999999997</v>
      </c>
      <c r="R285">
        <v>113.708</v>
      </c>
      <c r="S285">
        <f t="shared" si="26"/>
        <v>113.99980000000001</v>
      </c>
      <c r="T285" s="3">
        <v>0.76882629107981204</v>
      </c>
      <c r="V285">
        <f t="shared" si="24"/>
        <v>4.7361966940069919</v>
      </c>
      <c r="W285">
        <f t="shared" si="25"/>
        <v>2.1680901408450697</v>
      </c>
    </row>
    <row r="286" spans="4:23" x14ac:dyDescent="0.3">
      <c r="D286" s="3"/>
      <c r="Q286">
        <v>4.7553999999999998</v>
      </c>
      <c r="R286">
        <v>113.333</v>
      </c>
      <c r="S286">
        <f t="shared" si="26"/>
        <v>113.4914</v>
      </c>
      <c r="T286" s="3">
        <v>0.7666666666666665</v>
      </c>
      <c r="V286">
        <f t="shared" si="24"/>
        <v>4.7317270631255859</v>
      </c>
      <c r="W286">
        <f t="shared" si="25"/>
        <v>2.1619999999999995</v>
      </c>
    </row>
    <row r="287" spans="4:23" x14ac:dyDescent="0.3">
      <c r="D287" s="3"/>
      <c r="Q287">
        <v>4.7721999999999998</v>
      </c>
      <c r="R287">
        <v>113</v>
      </c>
      <c r="S287">
        <f t="shared" si="26"/>
        <v>113.1498</v>
      </c>
      <c r="T287" s="3">
        <v>0.76450704225352095</v>
      </c>
      <c r="V287">
        <f t="shared" si="24"/>
        <v>4.728712604512805</v>
      </c>
      <c r="W287">
        <f t="shared" si="25"/>
        <v>2.1559098591549288</v>
      </c>
    </row>
    <row r="288" spans="4:23" x14ac:dyDescent="0.3">
      <c r="D288" s="3"/>
      <c r="Q288">
        <v>4.7888999999999999</v>
      </c>
      <c r="R288">
        <v>112.708</v>
      </c>
      <c r="S288">
        <f t="shared" si="26"/>
        <v>112.9748</v>
      </c>
      <c r="T288" s="3">
        <v>0.76234741784037541</v>
      </c>
      <c r="V288">
        <f t="shared" si="24"/>
        <v>4.7271647849926124</v>
      </c>
      <c r="W288">
        <f t="shared" si="25"/>
        <v>2.1498197183098586</v>
      </c>
    </row>
    <row r="289" spans="4:23" x14ac:dyDescent="0.3">
      <c r="D289" s="3"/>
      <c r="Q289">
        <v>4.8056999999999999</v>
      </c>
      <c r="R289">
        <v>113</v>
      </c>
      <c r="S289">
        <f t="shared" si="26"/>
        <v>112.73319999999998</v>
      </c>
      <c r="T289" s="3">
        <v>0.76018779342722986</v>
      </c>
      <c r="V289">
        <f t="shared" si="24"/>
        <v>4.725023965063559</v>
      </c>
      <c r="W289">
        <f t="shared" si="25"/>
        <v>2.143729577464788</v>
      </c>
    </row>
    <row r="290" spans="4:23" x14ac:dyDescent="0.3">
      <c r="D290" s="3"/>
      <c r="Q290">
        <v>4.8224</v>
      </c>
      <c r="R290">
        <v>112.833</v>
      </c>
      <c r="S290">
        <f t="shared" si="26"/>
        <v>112.56659999999999</v>
      </c>
      <c r="T290" s="3">
        <v>0.75802816901408432</v>
      </c>
      <c r="V290">
        <f t="shared" si="24"/>
        <v>4.7235450464816022</v>
      </c>
      <c r="W290">
        <f t="shared" si="25"/>
        <v>2.1376394366197178</v>
      </c>
    </row>
    <row r="291" spans="4:23" x14ac:dyDescent="0.3">
      <c r="D291" s="3"/>
      <c r="Q291">
        <v>4.8391999999999999</v>
      </c>
      <c r="R291">
        <v>112.125</v>
      </c>
      <c r="S291">
        <f t="shared" si="26"/>
        <v>112.47499999999999</v>
      </c>
      <c r="T291" s="3">
        <v>0.75586854460093877</v>
      </c>
      <c r="V291">
        <f t="shared" si="24"/>
        <v>4.7227309747272361</v>
      </c>
      <c r="W291">
        <f t="shared" si="25"/>
        <v>2.1315492957746471</v>
      </c>
    </row>
    <row r="292" spans="4:23" x14ac:dyDescent="0.3">
      <c r="D292" s="3"/>
      <c r="Q292">
        <v>4.8559000000000001</v>
      </c>
      <c r="R292">
        <v>112.167</v>
      </c>
      <c r="S292">
        <f t="shared" si="26"/>
        <v>112.31659999999999</v>
      </c>
      <c r="T292" s="3">
        <v>0.75370892018779334</v>
      </c>
      <c r="V292">
        <f t="shared" si="24"/>
        <v>4.7213216691640651</v>
      </c>
      <c r="W292">
        <f t="shared" si="25"/>
        <v>2.1254591549295769</v>
      </c>
    </row>
    <row r="293" spans="4:23" x14ac:dyDescent="0.3">
      <c r="D293" s="3"/>
      <c r="Q293">
        <v>4.8727</v>
      </c>
      <c r="R293">
        <v>112.25</v>
      </c>
      <c r="S293">
        <f t="shared" si="26"/>
        <v>112.18340000000001</v>
      </c>
      <c r="T293" s="3">
        <v>0.7515492957746478</v>
      </c>
      <c r="V293">
        <f t="shared" si="24"/>
        <v>4.7201350320537756</v>
      </c>
      <c r="W293">
        <f t="shared" si="25"/>
        <v>2.1193690140845067</v>
      </c>
    </row>
    <row r="294" spans="4:23" x14ac:dyDescent="0.3">
      <c r="D294" s="3"/>
      <c r="Q294">
        <v>4.8894000000000002</v>
      </c>
      <c r="R294">
        <v>112.208</v>
      </c>
      <c r="S294">
        <f t="shared" si="26"/>
        <v>112.08340000000001</v>
      </c>
      <c r="T294" s="3">
        <v>0.74938967136150225</v>
      </c>
      <c r="V294">
        <f t="shared" si="24"/>
        <v>4.7192432370433011</v>
      </c>
      <c r="W294">
        <f t="shared" si="25"/>
        <v>2.1132788732394361</v>
      </c>
    </row>
    <row r="295" spans="4:23" x14ac:dyDescent="0.3">
      <c r="D295" s="3"/>
      <c r="Q295">
        <v>4.9061000000000003</v>
      </c>
      <c r="R295">
        <v>112.167</v>
      </c>
      <c r="S295">
        <f t="shared" si="26"/>
        <v>111.9834</v>
      </c>
      <c r="T295" s="3">
        <v>0.74723004694835671</v>
      </c>
      <c r="V295">
        <f t="shared" si="24"/>
        <v>4.7183506460245574</v>
      </c>
      <c r="W295">
        <f t="shared" si="25"/>
        <v>2.1071887323943659</v>
      </c>
    </row>
    <row r="296" spans="4:23" x14ac:dyDescent="0.3">
      <c r="D296" s="3"/>
      <c r="Q296">
        <v>4.9229000000000003</v>
      </c>
      <c r="R296">
        <v>111.625</v>
      </c>
      <c r="S296">
        <f t="shared" si="26"/>
        <v>111.6584</v>
      </c>
      <c r="T296" s="3">
        <v>0.74507042253521116</v>
      </c>
      <c r="V296">
        <f t="shared" si="24"/>
        <v>4.7154442105658658</v>
      </c>
      <c r="W296">
        <f t="shared" si="25"/>
        <v>2.1010985915492952</v>
      </c>
    </row>
    <row r="297" spans="4:23" x14ac:dyDescent="0.3">
      <c r="D297" s="3"/>
      <c r="Q297">
        <v>4.9396000000000004</v>
      </c>
      <c r="R297">
        <v>111.667</v>
      </c>
      <c r="S297">
        <f t="shared" si="26"/>
        <v>111.1084</v>
      </c>
      <c r="T297" s="3">
        <v>0.74291079812206562</v>
      </c>
      <c r="V297">
        <f t="shared" si="24"/>
        <v>4.7105063013482331</v>
      </c>
      <c r="W297">
        <f t="shared" si="25"/>
        <v>2.095008450704225</v>
      </c>
    </row>
    <row r="298" spans="4:23" x14ac:dyDescent="0.3">
      <c r="D298" s="3"/>
      <c r="Q298">
        <v>4.9564000000000004</v>
      </c>
      <c r="R298">
        <v>110.625</v>
      </c>
      <c r="S298">
        <f t="shared" si="26"/>
        <v>110.58340000000001</v>
      </c>
      <c r="T298" s="3">
        <v>0.74075117370892007</v>
      </c>
      <c r="V298">
        <f t="shared" si="24"/>
        <v>4.7057699874076278</v>
      </c>
      <c r="W298">
        <f t="shared" si="25"/>
        <v>2.0889183098591544</v>
      </c>
    </row>
    <row r="299" spans="4:23" x14ac:dyDescent="0.3">
      <c r="D299" s="3"/>
      <c r="Q299">
        <v>4.9730999999999996</v>
      </c>
      <c r="R299">
        <v>109.458</v>
      </c>
      <c r="S299">
        <f t="shared" si="26"/>
        <v>110.1</v>
      </c>
      <c r="T299" s="3">
        <v>0.73859154929577453</v>
      </c>
      <c r="V299">
        <f t="shared" si="24"/>
        <v>4.7013890437286339</v>
      </c>
      <c r="W299">
        <f t="shared" si="25"/>
        <v>2.0828281690140842</v>
      </c>
    </row>
    <row r="300" spans="4:23" x14ac:dyDescent="0.3">
      <c r="D300" s="3"/>
      <c r="Q300">
        <v>4.9898999999999996</v>
      </c>
      <c r="R300">
        <v>109.542</v>
      </c>
      <c r="S300">
        <f t="shared" si="26"/>
        <v>109.43319999999999</v>
      </c>
      <c r="T300" s="3">
        <v>0.73643192488262899</v>
      </c>
      <c r="V300">
        <f t="shared" si="24"/>
        <v>4.6953143174408885</v>
      </c>
      <c r="W300">
        <f t="shared" si="25"/>
        <v>2.0767380281690135</v>
      </c>
    </row>
    <row r="301" spans="4:23" x14ac:dyDescent="0.3">
      <c r="D301" s="3"/>
      <c r="Q301">
        <v>5.0065999999999997</v>
      </c>
      <c r="R301">
        <v>109.208</v>
      </c>
      <c r="S301">
        <f t="shared" si="26"/>
        <v>108.87479999999998</v>
      </c>
      <c r="T301" s="3">
        <v>0.73427230046948344</v>
      </c>
      <c r="V301">
        <f t="shared" si="24"/>
        <v>4.6901985982019783</v>
      </c>
      <c r="W301">
        <f t="shared" si="25"/>
        <v>2.0706478873239433</v>
      </c>
    </row>
    <row r="302" spans="4:23" x14ac:dyDescent="0.3">
      <c r="D302" s="3"/>
      <c r="Q302">
        <v>5.0233999999999996</v>
      </c>
      <c r="R302">
        <v>108.333</v>
      </c>
      <c r="S302">
        <f t="shared" si="26"/>
        <v>108.4666</v>
      </c>
      <c r="T302" s="3">
        <v>0.7321126760563379</v>
      </c>
      <c r="V302">
        <f t="shared" si="24"/>
        <v>4.6864422914884889</v>
      </c>
      <c r="W302">
        <f t="shared" si="25"/>
        <v>2.0645577464788727</v>
      </c>
    </row>
    <row r="303" spans="4:23" x14ac:dyDescent="0.3">
      <c r="D303" s="3"/>
      <c r="Q303">
        <v>5.0400999999999998</v>
      </c>
      <c r="R303">
        <v>107.833</v>
      </c>
      <c r="S303">
        <f t="shared" si="26"/>
        <v>108.00820000000002</v>
      </c>
      <c r="T303" s="3">
        <v>0.72995305164319235</v>
      </c>
      <c r="V303">
        <f t="shared" si="24"/>
        <v>4.6822071501679181</v>
      </c>
      <c r="W303">
        <f t="shared" si="25"/>
        <v>2.0584676056338025</v>
      </c>
    </row>
    <row r="304" spans="4:23" x14ac:dyDescent="0.3">
      <c r="D304" s="3"/>
      <c r="Q304">
        <v>5.0568999999999997</v>
      </c>
      <c r="R304">
        <v>107.417</v>
      </c>
      <c r="S304">
        <f t="shared" si="26"/>
        <v>107.54159999999999</v>
      </c>
      <c r="T304" s="3">
        <v>0.72779342723004681</v>
      </c>
      <c r="V304">
        <f t="shared" si="24"/>
        <v>4.677877749455714</v>
      </c>
      <c r="W304">
        <f t="shared" si="25"/>
        <v>2.0523774647887318</v>
      </c>
    </row>
    <row r="305" spans="4:23" x14ac:dyDescent="0.3">
      <c r="D305" s="3"/>
      <c r="Q305">
        <v>5.0735999999999999</v>
      </c>
      <c r="R305">
        <v>107.25</v>
      </c>
      <c r="S305">
        <f t="shared" si="26"/>
        <v>107.35</v>
      </c>
      <c r="T305" s="3">
        <v>0.72563380281690126</v>
      </c>
      <c r="V305">
        <f t="shared" si="24"/>
        <v>4.6760945243247898</v>
      </c>
      <c r="W305">
        <f t="shared" si="25"/>
        <v>2.0462873239436616</v>
      </c>
    </row>
    <row r="306" spans="4:23" x14ac:dyDescent="0.3">
      <c r="D306" s="3"/>
      <c r="Q306">
        <v>5.0903</v>
      </c>
      <c r="R306">
        <v>106.875</v>
      </c>
      <c r="S306">
        <f t="shared" si="26"/>
        <v>107.1</v>
      </c>
      <c r="T306" s="3">
        <v>0.72347417840375572</v>
      </c>
      <c r="V306">
        <f t="shared" si="24"/>
        <v>4.6737629774537028</v>
      </c>
      <c r="W306">
        <f t="shared" si="25"/>
        <v>2.040197183098591</v>
      </c>
    </row>
    <row r="307" spans="4:23" x14ac:dyDescent="0.3">
      <c r="D307" s="3"/>
      <c r="Q307">
        <v>5.1071</v>
      </c>
      <c r="R307">
        <v>107.375</v>
      </c>
      <c r="S307">
        <f t="shared" si="26"/>
        <v>106.75819999999999</v>
      </c>
      <c r="T307" s="3">
        <v>0.72131455399061017</v>
      </c>
      <c r="V307">
        <f t="shared" si="24"/>
        <v>4.670566464146904</v>
      </c>
      <c r="W307">
        <f t="shared" si="25"/>
        <v>2.0341070422535208</v>
      </c>
    </row>
    <row r="308" spans="4:23" x14ac:dyDescent="0.3">
      <c r="D308" s="3"/>
      <c r="Q308">
        <v>5.1238000000000001</v>
      </c>
      <c r="R308">
        <v>106.583</v>
      </c>
      <c r="S308">
        <f t="shared" si="26"/>
        <v>106.31659999999999</v>
      </c>
      <c r="T308" s="3">
        <v>0.71915492957746463</v>
      </c>
      <c r="V308">
        <f t="shared" si="24"/>
        <v>4.6664214349621256</v>
      </c>
      <c r="W308">
        <f t="shared" si="25"/>
        <v>2.0280169014084501</v>
      </c>
    </row>
    <row r="309" spans="4:23" x14ac:dyDescent="0.3">
      <c r="D309" s="3"/>
      <c r="Q309">
        <v>5.1406000000000001</v>
      </c>
      <c r="R309">
        <v>105.708</v>
      </c>
      <c r="S309">
        <f t="shared" si="26"/>
        <v>105.99159999999999</v>
      </c>
      <c r="T309" s="3">
        <v>0.71699530516431909</v>
      </c>
      <c r="V309">
        <f t="shared" si="24"/>
        <v>4.6633598456889747</v>
      </c>
      <c r="W309">
        <f t="shared" si="25"/>
        <v>2.0219267605633795</v>
      </c>
    </row>
    <row r="310" spans="4:23" x14ac:dyDescent="0.3">
      <c r="D310" s="3"/>
      <c r="Q310">
        <v>5.1573000000000002</v>
      </c>
      <c r="R310">
        <v>105.042</v>
      </c>
      <c r="S310">
        <f t="shared" si="26"/>
        <v>105.60819999999998</v>
      </c>
      <c r="T310" s="3">
        <v>0.71483568075117354</v>
      </c>
      <c r="V310">
        <f t="shared" si="24"/>
        <v>4.6597360197725894</v>
      </c>
      <c r="W310">
        <f t="shared" si="25"/>
        <v>2.0158366197183093</v>
      </c>
    </row>
    <row r="311" spans="4:23" x14ac:dyDescent="0.3">
      <c r="D311" s="3"/>
      <c r="Q311">
        <v>5.1741000000000001</v>
      </c>
      <c r="R311">
        <v>105.25</v>
      </c>
      <c r="S311">
        <f t="shared" si="26"/>
        <v>105.35819999999998</v>
      </c>
      <c r="T311" s="3">
        <v>0.712676056338028</v>
      </c>
      <c r="V311">
        <f t="shared" si="24"/>
        <v>4.6573659730066277</v>
      </c>
      <c r="W311">
        <f t="shared" si="25"/>
        <v>2.0097464788732387</v>
      </c>
    </row>
    <row r="312" spans="4:23" x14ac:dyDescent="0.3">
      <c r="D312" s="3"/>
      <c r="Q312">
        <v>5.1908000000000003</v>
      </c>
      <c r="R312">
        <v>105.458</v>
      </c>
      <c r="S312">
        <f t="shared" si="26"/>
        <v>105.15</v>
      </c>
      <c r="T312" s="3">
        <v>0.71051643192488245</v>
      </c>
      <c r="V312">
        <f t="shared" si="24"/>
        <v>4.6553879021487088</v>
      </c>
      <c r="W312">
        <f t="shared" si="25"/>
        <v>2.0036563380281684</v>
      </c>
    </row>
    <row r="313" spans="4:23" x14ac:dyDescent="0.3">
      <c r="D313" s="3"/>
      <c r="Q313">
        <v>5.2076000000000002</v>
      </c>
      <c r="R313">
        <v>105.333</v>
      </c>
      <c r="S313">
        <f t="shared" si="26"/>
        <v>105.08319999999999</v>
      </c>
      <c r="T313" s="3">
        <v>0.70835680751173691</v>
      </c>
      <c r="V313">
        <f t="shared" si="24"/>
        <v>4.6547524173418555</v>
      </c>
      <c r="W313">
        <f t="shared" si="25"/>
        <v>1.997566197183098</v>
      </c>
    </row>
    <row r="314" spans="4:23" x14ac:dyDescent="0.3">
      <c r="D314" s="3"/>
      <c r="Q314">
        <v>5.2243000000000004</v>
      </c>
      <c r="R314">
        <v>104.667</v>
      </c>
      <c r="S314">
        <f t="shared" si="26"/>
        <v>104.9666</v>
      </c>
      <c r="T314" s="3">
        <v>0.70619718309859136</v>
      </c>
      <c r="V314">
        <f t="shared" si="24"/>
        <v>4.653642204316407</v>
      </c>
      <c r="W314">
        <f t="shared" si="25"/>
        <v>1.9914760563380276</v>
      </c>
    </row>
    <row r="315" spans="4:23" x14ac:dyDescent="0.3">
      <c r="D315" s="3"/>
      <c r="Q315">
        <v>5.2409999999999997</v>
      </c>
      <c r="R315">
        <v>104.708</v>
      </c>
      <c r="S315">
        <f t="shared" si="26"/>
        <v>104.72499999999999</v>
      </c>
      <c r="T315" s="3">
        <v>0.70403755868544582</v>
      </c>
      <c r="V315">
        <f t="shared" si="24"/>
        <v>4.6513378668330985</v>
      </c>
      <c r="W315">
        <f t="shared" si="25"/>
        <v>1.9853859154929572</v>
      </c>
    </row>
    <row r="316" spans="4:23" x14ac:dyDescent="0.3">
      <c r="D316" s="3"/>
      <c r="Q316">
        <v>5.2577999999999996</v>
      </c>
      <c r="R316">
        <v>104.667</v>
      </c>
      <c r="S316">
        <f t="shared" si="26"/>
        <v>104.45840000000001</v>
      </c>
      <c r="T316" s="3">
        <v>0.70187793427230039</v>
      </c>
      <c r="V316">
        <f t="shared" si="24"/>
        <v>4.6487889060231478</v>
      </c>
      <c r="W316">
        <f t="shared" si="25"/>
        <v>1.979295774647887</v>
      </c>
    </row>
    <row r="317" spans="4:23" x14ac:dyDescent="0.3">
      <c r="D317" s="3"/>
      <c r="Q317">
        <v>5.2744999999999997</v>
      </c>
      <c r="R317">
        <v>104.25</v>
      </c>
      <c r="S317">
        <f t="shared" si="26"/>
        <v>104.4084</v>
      </c>
      <c r="T317" s="3">
        <v>0.69971830985915484</v>
      </c>
      <c r="V317">
        <f t="shared" si="24"/>
        <v>4.6483101319819395</v>
      </c>
      <c r="W317">
        <f t="shared" si="25"/>
        <v>1.9732056338028165</v>
      </c>
    </row>
    <row r="318" spans="4:23" x14ac:dyDescent="0.3">
      <c r="D318" s="3"/>
      <c r="Q318">
        <v>5.2912999999999997</v>
      </c>
      <c r="R318">
        <v>104</v>
      </c>
      <c r="S318">
        <f t="shared" si="26"/>
        <v>104.37520000000002</v>
      </c>
      <c r="T318" s="3">
        <v>0.6975586854460093</v>
      </c>
      <c r="V318">
        <f t="shared" si="24"/>
        <v>4.6479920993368484</v>
      </c>
      <c r="W318">
        <f t="shared" si="25"/>
        <v>1.9671154929577461</v>
      </c>
    </row>
    <row r="319" spans="4:23" x14ac:dyDescent="0.3">
      <c r="D319" s="3"/>
      <c r="Q319">
        <v>5.3079999999999998</v>
      </c>
      <c r="R319">
        <v>104.417</v>
      </c>
      <c r="S319">
        <f t="shared" si="26"/>
        <v>104.34180000000001</v>
      </c>
      <c r="T319" s="3">
        <v>0.69539906103286375</v>
      </c>
      <c r="V319">
        <f t="shared" si="24"/>
        <v>4.6476720487392917</v>
      </c>
      <c r="W319">
        <f t="shared" si="25"/>
        <v>1.9610253521126757</v>
      </c>
    </row>
    <row r="320" spans="4:23" x14ac:dyDescent="0.3">
      <c r="D320" s="3"/>
      <c r="Q320">
        <v>5.3247999999999998</v>
      </c>
      <c r="R320">
        <v>104.542</v>
      </c>
      <c r="S320">
        <f t="shared" si="26"/>
        <v>104.33340000000001</v>
      </c>
      <c r="T320" s="3">
        <v>0.69323943661971821</v>
      </c>
      <c r="V320">
        <f t="shared" si="24"/>
        <v>4.6475915408494757</v>
      </c>
      <c r="W320">
        <f t="shared" si="25"/>
        <v>1.9549352112676053</v>
      </c>
    </row>
    <row r="321" spans="4:23" x14ac:dyDescent="0.3">
      <c r="D321" s="3"/>
      <c r="Q321">
        <v>5.3414999999999999</v>
      </c>
      <c r="R321">
        <v>104.5</v>
      </c>
      <c r="S321">
        <f t="shared" si="26"/>
        <v>104.20840000000001</v>
      </c>
      <c r="T321" s="3">
        <v>0.69107981220657266</v>
      </c>
      <c r="V321">
        <f t="shared" si="24"/>
        <v>4.646392740273571</v>
      </c>
      <c r="W321">
        <f t="shared" si="25"/>
        <v>1.9488450704225349</v>
      </c>
    </row>
    <row r="322" spans="4:23" x14ac:dyDescent="0.3">
      <c r="D322" s="3"/>
      <c r="Q322">
        <v>5.3582999999999998</v>
      </c>
      <c r="R322">
        <v>104.208</v>
      </c>
      <c r="S322">
        <f t="shared" si="26"/>
        <v>103.9834</v>
      </c>
      <c r="T322" s="3">
        <v>0.68892018779342712</v>
      </c>
      <c r="V322">
        <f t="shared" si="24"/>
        <v>4.6442312710168663</v>
      </c>
      <c r="W322">
        <f t="shared" si="25"/>
        <v>1.9427549295774644</v>
      </c>
    </row>
    <row r="323" spans="4:23" x14ac:dyDescent="0.3">
      <c r="D323" s="3"/>
      <c r="Q323">
        <v>5.375</v>
      </c>
      <c r="R323">
        <v>103.375</v>
      </c>
      <c r="S323">
        <f t="shared" si="26"/>
        <v>103.72499999999999</v>
      </c>
      <c r="T323" s="3">
        <v>0.68676056338028157</v>
      </c>
      <c r="V323">
        <f t="shared" ref="V323:V386" si="27">LN(S323)</f>
        <v>4.6417431662189319</v>
      </c>
      <c r="W323">
        <f t="shared" ref="W323:W386" si="28">T323*U$2</f>
        <v>1.936664788732394</v>
      </c>
    </row>
    <row r="324" spans="4:23" x14ac:dyDescent="0.3">
      <c r="D324" s="3"/>
      <c r="Q324">
        <v>5.3917000000000002</v>
      </c>
      <c r="R324">
        <v>103.292</v>
      </c>
      <c r="S324">
        <f t="shared" si="26"/>
        <v>103.33340000000001</v>
      </c>
      <c r="T324" s="3">
        <v>0.68460093896713603</v>
      </c>
      <c r="V324">
        <f t="shared" si="27"/>
        <v>4.6379606539721649</v>
      </c>
      <c r="W324">
        <f t="shared" si="28"/>
        <v>1.9305746478873236</v>
      </c>
    </row>
    <row r="325" spans="4:23" x14ac:dyDescent="0.3">
      <c r="D325" s="3"/>
      <c r="Q325">
        <v>5.4085000000000001</v>
      </c>
      <c r="R325">
        <v>103.25</v>
      </c>
      <c r="S325">
        <f t="shared" ref="S325:S388" si="29">AVERAGE(R323:R327)</f>
        <v>102.90020000000001</v>
      </c>
      <c r="T325" s="3">
        <v>0.68244131455399049</v>
      </c>
      <c r="V325">
        <f t="shared" si="27"/>
        <v>4.6337595864727117</v>
      </c>
      <c r="W325">
        <f t="shared" si="28"/>
        <v>1.9244845070422532</v>
      </c>
    </row>
    <row r="326" spans="4:23" x14ac:dyDescent="0.3">
      <c r="D326" s="3"/>
      <c r="Q326">
        <v>5.4252000000000002</v>
      </c>
      <c r="R326">
        <v>102.542</v>
      </c>
      <c r="S326">
        <f t="shared" si="29"/>
        <v>102.51679999999999</v>
      </c>
      <c r="T326" s="3">
        <v>0.68028169014084494</v>
      </c>
      <c r="V326">
        <f t="shared" si="27"/>
        <v>4.63002668758695</v>
      </c>
      <c r="W326">
        <f t="shared" si="28"/>
        <v>1.9183943661971827</v>
      </c>
    </row>
    <row r="327" spans="4:23" x14ac:dyDescent="0.3">
      <c r="D327" s="3"/>
      <c r="Q327">
        <v>5.4420000000000002</v>
      </c>
      <c r="R327">
        <v>102.042</v>
      </c>
      <c r="S327">
        <f t="shared" si="29"/>
        <v>102.2334</v>
      </c>
      <c r="T327" s="3">
        <v>0.6781220657276994</v>
      </c>
      <c r="V327">
        <f t="shared" si="27"/>
        <v>4.6272584345549159</v>
      </c>
      <c r="W327">
        <f t="shared" si="28"/>
        <v>1.9123042253521121</v>
      </c>
    </row>
    <row r="328" spans="4:23" x14ac:dyDescent="0.3">
      <c r="D328" s="3"/>
      <c r="Q328">
        <v>5.4587000000000003</v>
      </c>
      <c r="R328">
        <v>101.458</v>
      </c>
      <c r="S328">
        <f t="shared" si="29"/>
        <v>101.99180000000001</v>
      </c>
      <c r="T328" s="3">
        <v>0.67596244131455385</v>
      </c>
      <c r="V328">
        <f t="shared" si="27"/>
        <v>4.6248924178957855</v>
      </c>
      <c r="W328">
        <f t="shared" si="28"/>
        <v>1.9062140845070417</v>
      </c>
    </row>
    <row r="329" spans="4:23" x14ac:dyDescent="0.3">
      <c r="D329" s="3"/>
      <c r="Q329">
        <v>5.4755000000000003</v>
      </c>
      <c r="R329">
        <v>101.875</v>
      </c>
      <c r="S329">
        <f t="shared" si="29"/>
        <v>101.69180000000001</v>
      </c>
      <c r="T329" s="3">
        <v>0.67380281690140831</v>
      </c>
      <c r="V329">
        <f t="shared" si="27"/>
        <v>4.621946670501929</v>
      </c>
      <c r="W329">
        <f t="shared" si="28"/>
        <v>1.9001239436619712</v>
      </c>
    </row>
    <row r="330" spans="4:23" x14ac:dyDescent="0.3">
      <c r="D330" s="3"/>
      <c r="Q330">
        <v>5.4922000000000004</v>
      </c>
      <c r="R330">
        <v>102.042</v>
      </c>
      <c r="S330">
        <f t="shared" si="29"/>
        <v>101.43340000000001</v>
      </c>
      <c r="T330" s="3">
        <v>0.67164319248826276</v>
      </c>
      <c r="V330">
        <f t="shared" si="27"/>
        <v>4.6194024254807386</v>
      </c>
      <c r="W330">
        <f t="shared" si="28"/>
        <v>1.8940338028169008</v>
      </c>
    </row>
    <row r="331" spans="4:23" x14ac:dyDescent="0.3">
      <c r="D331" s="3"/>
      <c r="Q331">
        <v>5.5090000000000003</v>
      </c>
      <c r="R331">
        <v>101.042</v>
      </c>
      <c r="S331">
        <f t="shared" si="29"/>
        <v>101.1584</v>
      </c>
      <c r="T331" s="3">
        <v>0.66948356807511722</v>
      </c>
      <c r="V331">
        <f t="shared" si="27"/>
        <v>4.6166876051484094</v>
      </c>
      <c r="W331">
        <f t="shared" si="28"/>
        <v>1.8879436619718304</v>
      </c>
    </row>
    <row r="332" spans="4:23" x14ac:dyDescent="0.3">
      <c r="D332" s="3"/>
      <c r="Q332">
        <v>5.5256999999999996</v>
      </c>
      <c r="R332">
        <v>100.75</v>
      </c>
      <c r="S332">
        <f t="shared" si="29"/>
        <v>100.72499999999999</v>
      </c>
      <c r="T332" s="3">
        <v>0.66732394366197167</v>
      </c>
      <c r="V332">
        <f t="shared" si="27"/>
        <v>4.612394031077411</v>
      </c>
      <c r="W332">
        <f t="shared" si="28"/>
        <v>1.88185352112676</v>
      </c>
    </row>
    <row r="333" spans="4:23" x14ac:dyDescent="0.3">
      <c r="D333" s="3"/>
      <c r="Q333">
        <v>5.5423999999999998</v>
      </c>
      <c r="R333">
        <v>100.083</v>
      </c>
      <c r="S333">
        <f t="shared" si="29"/>
        <v>100.2666</v>
      </c>
      <c r="T333" s="3">
        <v>0.66516431924882613</v>
      </c>
      <c r="V333">
        <f t="shared" si="27"/>
        <v>4.6078326385137371</v>
      </c>
      <c r="W333">
        <f t="shared" si="28"/>
        <v>1.8757633802816895</v>
      </c>
    </row>
    <row r="334" spans="4:23" x14ac:dyDescent="0.3">
      <c r="D334" s="3"/>
      <c r="Q334">
        <v>5.5591999999999997</v>
      </c>
      <c r="R334">
        <v>99.707999999999998</v>
      </c>
      <c r="S334">
        <f t="shared" si="29"/>
        <v>99.899799999999999</v>
      </c>
      <c r="T334" s="3">
        <v>0.66300469483568059</v>
      </c>
      <c r="V334">
        <f t="shared" si="27"/>
        <v>4.6041676836505019</v>
      </c>
      <c r="W334">
        <f t="shared" si="28"/>
        <v>1.8696732394366191</v>
      </c>
    </row>
    <row r="335" spans="4:23" x14ac:dyDescent="0.3">
      <c r="D335" s="3"/>
      <c r="Q335">
        <v>5.5758999999999999</v>
      </c>
      <c r="R335">
        <v>99.75</v>
      </c>
      <c r="S335">
        <f t="shared" si="29"/>
        <v>99.524799999999999</v>
      </c>
      <c r="T335" s="3">
        <v>0.66084507042253504</v>
      </c>
      <c r="V335">
        <f t="shared" si="27"/>
        <v>4.6004068593390217</v>
      </c>
      <c r="W335">
        <f t="shared" si="28"/>
        <v>1.8635830985915487</v>
      </c>
    </row>
    <row r="336" spans="4:23" x14ac:dyDescent="0.3">
      <c r="D336" s="3"/>
      <c r="Q336">
        <v>5.5926999999999998</v>
      </c>
      <c r="R336">
        <v>99.207999999999998</v>
      </c>
      <c r="S336">
        <f t="shared" si="29"/>
        <v>99.174800000000005</v>
      </c>
      <c r="T336" s="3">
        <v>0.6586854460093895</v>
      </c>
      <c r="V336">
        <f t="shared" si="27"/>
        <v>4.5968839497611027</v>
      </c>
      <c r="W336">
        <f t="shared" si="28"/>
        <v>1.8574929577464783</v>
      </c>
    </row>
    <row r="337" spans="4:23" x14ac:dyDescent="0.3">
      <c r="D337" s="3"/>
      <c r="Q337">
        <v>5.6093999999999999</v>
      </c>
      <c r="R337">
        <v>98.875</v>
      </c>
      <c r="S337">
        <f t="shared" si="29"/>
        <v>98.949799999999982</v>
      </c>
      <c r="T337" s="3">
        <v>0.65652582159624395</v>
      </c>
      <c r="V337">
        <f t="shared" si="27"/>
        <v>4.5946126508236924</v>
      </c>
      <c r="W337">
        <f t="shared" si="28"/>
        <v>1.8514028169014078</v>
      </c>
    </row>
    <row r="338" spans="4:23" x14ac:dyDescent="0.3">
      <c r="D338" s="3"/>
      <c r="Q338">
        <v>5.6261999999999999</v>
      </c>
      <c r="R338">
        <v>98.332999999999998</v>
      </c>
      <c r="S338">
        <f t="shared" si="29"/>
        <v>98.633200000000016</v>
      </c>
      <c r="T338" s="3">
        <v>0.65436619718309841</v>
      </c>
      <c r="V338">
        <f t="shared" si="27"/>
        <v>4.5914079189290975</v>
      </c>
      <c r="W338">
        <f t="shared" si="28"/>
        <v>1.8453126760563374</v>
      </c>
    </row>
    <row r="339" spans="4:23" x14ac:dyDescent="0.3">
      <c r="D339" s="3"/>
      <c r="Q339">
        <v>5.6429</v>
      </c>
      <c r="R339">
        <v>98.582999999999998</v>
      </c>
      <c r="S339">
        <f t="shared" si="29"/>
        <v>98.275000000000006</v>
      </c>
      <c r="T339" s="3">
        <v>0.65220657276995297</v>
      </c>
      <c r="V339">
        <f t="shared" si="27"/>
        <v>4.5877696713079237</v>
      </c>
      <c r="W339">
        <f t="shared" si="28"/>
        <v>1.8392225352112672</v>
      </c>
    </row>
    <row r="340" spans="4:23" x14ac:dyDescent="0.3">
      <c r="D340" s="3"/>
      <c r="Q340">
        <v>5.6597</v>
      </c>
      <c r="R340">
        <v>98.167000000000002</v>
      </c>
      <c r="S340">
        <f t="shared" si="29"/>
        <v>97.9</v>
      </c>
      <c r="T340" s="3">
        <v>0.65004694835680743</v>
      </c>
      <c r="V340">
        <f t="shared" si="27"/>
        <v>4.5839465495364644</v>
      </c>
      <c r="W340">
        <f t="shared" si="28"/>
        <v>1.8331323943661968</v>
      </c>
    </row>
    <row r="341" spans="4:23" x14ac:dyDescent="0.3">
      <c r="D341" s="3"/>
      <c r="Q341">
        <v>5.6764000000000001</v>
      </c>
      <c r="R341">
        <v>97.417000000000002</v>
      </c>
      <c r="S341">
        <f t="shared" si="29"/>
        <v>97.541800000000009</v>
      </c>
      <c r="T341" s="3">
        <v>0.64788732394366189</v>
      </c>
      <c r="V341">
        <f t="shared" si="27"/>
        <v>4.5802810040792377</v>
      </c>
      <c r="W341">
        <f t="shared" si="28"/>
        <v>1.8270422535211264</v>
      </c>
    </row>
    <row r="342" spans="4:23" x14ac:dyDescent="0.3">
      <c r="D342" s="3"/>
      <c r="Q342">
        <v>5.6931000000000003</v>
      </c>
      <c r="R342">
        <v>97</v>
      </c>
      <c r="S342">
        <f t="shared" si="29"/>
        <v>97.033600000000007</v>
      </c>
      <c r="T342" s="3">
        <v>0.64572769953051634</v>
      </c>
      <c r="V342">
        <f t="shared" si="27"/>
        <v>4.575057310276188</v>
      </c>
      <c r="W342">
        <f t="shared" si="28"/>
        <v>1.8209521126760559</v>
      </c>
    </row>
    <row r="343" spans="4:23" x14ac:dyDescent="0.3">
      <c r="D343" s="3"/>
      <c r="Q343">
        <v>5.7099000000000002</v>
      </c>
      <c r="R343">
        <v>96.542000000000002</v>
      </c>
      <c r="S343">
        <f t="shared" si="29"/>
        <v>96.458600000000004</v>
      </c>
      <c r="T343" s="3">
        <v>0.6435680751173708</v>
      </c>
      <c r="V343">
        <f t="shared" si="27"/>
        <v>4.5691139007474009</v>
      </c>
      <c r="W343">
        <f t="shared" si="28"/>
        <v>1.8148619718309855</v>
      </c>
    </row>
    <row r="344" spans="4:23" x14ac:dyDescent="0.3">
      <c r="D344" s="3"/>
      <c r="Q344">
        <v>5.7266000000000004</v>
      </c>
      <c r="R344">
        <v>96.042000000000002</v>
      </c>
      <c r="S344">
        <f t="shared" si="29"/>
        <v>95.858599999999996</v>
      </c>
      <c r="T344" s="3">
        <v>0.64140845070422525</v>
      </c>
      <c r="V344">
        <f t="shared" si="27"/>
        <v>4.5628741889930815</v>
      </c>
      <c r="W344">
        <f t="shared" si="28"/>
        <v>1.8087718309859151</v>
      </c>
    </row>
    <row r="345" spans="4:23" x14ac:dyDescent="0.3">
      <c r="D345" s="3"/>
      <c r="Q345">
        <v>5.7434000000000003</v>
      </c>
      <c r="R345">
        <v>95.292000000000002</v>
      </c>
      <c r="S345">
        <f t="shared" si="29"/>
        <v>95.233599999999996</v>
      </c>
      <c r="T345" s="3">
        <v>0.63924882629107971</v>
      </c>
      <c r="V345">
        <f t="shared" si="27"/>
        <v>4.5563328207047045</v>
      </c>
      <c r="W345">
        <f t="shared" si="28"/>
        <v>1.8026816901408447</v>
      </c>
    </row>
    <row r="346" spans="4:23" x14ac:dyDescent="0.3">
      <c r="D346" s="3"/>
      <c r="Q346">
        <v>5.7601000000000004</v>
      </c>
      <c r="R346">
        <v>94.417000000000002</v>
      </c>
      <c r="S346">
        <f t="shared" si="29"/>
        <v>94.716799999999992</v>
      </c>
      <c r="T346" s="3">
        <v>0.63708920187793416</v>
      </c>
      <c r="V346">
        <f t="shared" si="27"/>
        <v>4.5508913867812266</v>
      </c>
      <c r="W346">
        <f t="shared" si="28"/>
        <v>1.7965915492957742</v>
      </c>
    </row>
    <row r="347" spans="4:23" x14ac:dyDescent="0.3">
      <c r="D347" s="3"/>
      <c r="Q347">
        <v>5.7769000000000004</v>
      </c>
      <c r="R347">
        <v>93.875</v>
      </c>
      <c r="S347">
        <f t="shared" si="29"/>
        <v>94.116800000000012</v>
      </c>
      <c r="T347" s="3">
        <v>0.63492957746478862</v>
      </c>
      <c r="V347">
        <f t="shared" si="27"/>
        <v>4.5445365641311568</v>
      </c>
      <c r="W347">
        <f t="shared" si="28"/>
        <v>1.7905014084507038</v>
      </c>
    </row>
    <row r="348" spans="4:23" x14ac:dyDescent="0.3">
      <c r="D348" s="3"/>
      <c r="Q348">
        <v>5.7935999999999996</v>
      </c>
      <c r="R348">
        <v>93.957999999999998</v>
      </c>
      <c r="S348">
        <f t="shared" si="29"/>
        <v>93.616800000000012</v>
      </c>
      <c r="T348" s="3">
        <v>0.63276995305164307</v>
      </c>
      <c r="V348">
        <f t="shared" si="27"/>
        <v>4.5392098545571367</v>
      </c>
      <c r="W348">
        <f t="shared" si="28"/>
        <v>1.7844112676056334</v>
      </c>
    </row>
    <row r="349" spans="4:23" x14ac:dyDescent="0.3">
      <c r="D349" s="3"/>
      <c r="Q349">
        <v>5.8103999999999996</v>
      </c>
      <c r="R349">
        <v>93.042000000000002</v>
      </c>
      <c r="S349">
        <f t="shared" si="29"/>
        <v>93.224999999999994</v>
      </c>
      <c r="T349" s="3">
        <v>0.63061032863849753</v>
      </c>
      <c r="V349">
        <f t="shared" si="27"/>
        <v>4.5350159260648848</v>
      </c>
      <c r="W349">
        <f t="shared" si="28"/>
        <v>1.778321126760563</v>
      </c>
    </row>
    <row r="350" spans="4:23" x14ac:dyDescent="0.3">
      <c r="D350" s="3"/>
      <c r="Q350">
        <v>5.8270999999999997</v>
      </c>
      <c r="R350">
        <v>92.792000000000002</v>
      </c>
      <c r="S350">
        <f t="shared" si="29"/>
        <v>92.758400000000009</v>
      </c>
      <c r="T350" s="3">
        <v>0.62845070422535199</v>
      </c>
      <c r="V350">
        <f t="shared" si="27"/>
        <v>4.5299982634244245</v>
      </c>
      <c r="W350">
        <f t="shared" si="28"/>
        <v>1.7722309859154926</v>
      </c>
    </row>
    <row r="351" spans="4:23" x14ac:dyDescent="0.3">
      <c r="D351" s="3"/>
      <c r="Q351">
        <v>5.8437999999999999</v>
      </c>
      <c r="R351">
        <v>92.457999999999998</v>
      </c>
      <c r="S351">
        <f t="shared" si="29"/>
        <v>92.250200000000021</v>
      </c>
      <c r="T351" s="3">
        <v>0.62629107981220644</v>
      </c>
      <c r="V351">
        <f t="shared" si="27"/>
        <v>4.5245044509399666</v>
      </c>
      <c r="W351">
        <f t="shared" si="28"/>
        <v>1.7661408450704221</v>
      </c>
    </row>
    <row r="352" spans="4:23" x14ac:dyDescent="0.3">
      <c r="D352" s="3"/>
      <c r="Q352">
        <v>5.8605999999999998</v>
      </c>
      <c r="R352">
        <v>91.542000000000002</v>
      </c>
      <c r="S352">
        <f t="shared" si="29"/>
        <v>92.041800000000009</v>
      </c>
      <c r="T352" s="3">
        <v>0.6241314553990609</v>
      </c>
      <c r="V352">
        <f t="shared" si="27"/>
        <v>4.5222428216904076</v>
      </c>
      <c r="W352">
        <f t="shared" si="28"/>
        <v>1.7600507042253517</v>
      </c>
    </row>
    <row r="353" spans="4:23" x14ac:dyDescent="0.3">
      <c r="D353" s="3"/>
      <c r="Q353">
        <v>5.8773</v>
      </c>
      <c r="R353">
        <v>91.417000000000002</v>
      </c>
      <c r="S353">
        <f t="shared" si="29"/>
        <v>91.608400000000003</v>
      </c>
      <c r="T353" s="3">
        <v>0.62197183098591535</v>
      </c>
      <c r="V353">
        <f t="shared" si="27"/>
        <v>4.5175229705323847</v>
      </c>
      <c r="W353">
        <f t="shared" si="28"/>
        <v>1.7539605633802813</v>
      </c>
    </row>
    <row r="354" spans="4:23" x14ac:dyDescent="0.3">
      <c r="D354" s="3"/>
      <c r="Q354">
        <v>5.8940999999999999</v>
      </c>
      <c r="R354">
        <v>92</v>
      </c>
      <c r="S354">
        <f t="shared" si="29"/>
        <v>91.241799999999998</v>
      </c>
      <c r="T354" s="3">
        <v>0.61981220657276981</v>
      </c>
      <c r="V354">
        <f t="shared" si="27"/>
        <v>4.5135131254109799</v>
      </c>
      <c r="W354">
        <f t="shared" si="28"/>
        <v>1.7478704225352109</v>
      </c>
    </row>
    <row r="355" spans="4:23" x14ac:dyDescent="0.3">
      <c r="D355" s="3"/>
      <c r="Q355">
        <v>5.9108000000000001</v>
      </c>
      <c r="R355">
        <v>90.625</v>
      </c>
      <c r="S355">
        <f t="shared" si="29"/>
        <v>91.083400000000012</v>
      </c>
      <c r="T355" s="3">
        <v>0.61765258215962426</v>
      </c>
      <c r="V355">
        <f t="shared" si="27"/>
        <v>4.5117755703187372</v>
      </c>
      <c r="W355">
        <f t="shared" si="28"/>
        <v>1.7417802816901404</v>
      </c>
    </row>
    <row r="356" spans="4:23" x14ac:dyDescent="0.3">
      <c r="D356" s="3"/>
      <c r="Q356">
        <v>5.9276</v>
      </c>
      <c r="R356">
        <v>90.625</v>
      </c>
      <c r="S356">
        <f t="shared" si="29"/>
        <v>91.008400000000009</v>
      </c>
      <c r="T356" s="3">
        <v>0.61549295774647872</v>
      </c>
      <c r="V356">
        <f t="shared" si="27"/>
        <v>4.5109518099490646</v>
      </c>
      <c r="W356">
        <f t="shared" si="28"/>
        <v>1.7356901408450698</v>
      </c>
    </row>
    <row r="357" spans="4:23" x14ac:dyDescent="0.3">
      <c r="D357" s="3"/>
      <c r="Q357">
        <v>5.9443000000000001</v>
      </c>
      <c r="R357">
        <v>90.75</v>
      </c>
      <c r="S357">
        <f t="shared" si="29"/>
        <v>90.7</v>
      </c>
      <c r="T357" s="3">
        <v>0.61333333333333317</v>
      </c>
      <c r="V357">
        <f t="shared" si="27"/>
        <v>4.5075573571210912</v>
      </c>
      <c r="W357">
        <f t="shared" si="28"/>
        <v>1.7295999999999994</v>
      </c>
    </row>
    <row r="358" spans="4:23" x14ac:dyDescent="0.3">
      <c r="D358" s="3"/>
      <c r="Q358">
        <v>5.9611000000000001</v>
      </c>
      <c r="R358">
        <v>91.042000000000002</v>
      </c>
      <c r="S358">
        <f t="shared" si="29"/>
        <v>90.4084</v>
      </c>
      <c r="T358" s="3">
        <v>0.61117370892018763</v>
      </c>
      <c r="V358">
        <f t="shared" si="27"/>
        <v>4.5043371834352843</v>
      </c>
      <c r="W358">
        <f t="shared" si="28"/>
        <v>1.7235098591549289</v>
      </c>
    </row>
    <row r="359" spans="4:23" x14ac:dyDescent="0.3">
      <c r="D359" s="3"/>
      <c r="Q359">
        <v>5.9778000000000002</v>
      </c>
      <c r="R359">
        <v>90.457999999999998</v>
      </c>
      <c r="S359">
        <f t="shared" si="29"/>
        <v>89.866800000000012</v>
      </c>
      <c r="T359" s="3">
        <v>0.60901408450704209</v>
      </c>
      <c r="V359">
        <f t="shared" si="27"/>
        <v>4.4983285740484673</v>
      </c>
      <c r="W359">
        <f t="shared" si="28"/>
        <v>1.7174197183098585</v>
      </c>
    </row>
    <row r="360" spans="4:23" x14ac:dyDescent="0.3">
      <c r="D360" s="3"/>
      <c r="Q360">
        <v>5.9945000000000004</v>
      </c>
      <c r="R360">
        <v>89.167000000000002</v>
      </c>
      <c r="S360">
        <f t="shared" si="29"/>
        <v>89.150200000000012</v>
      </c>
      <c r="T360" s="3">
        <v>0.60685446009389654</v>
      </c>
      <c r="V360">
        <f t="shared" si="27"/>
        <v>4.4903225877166166</v>
      </c>
      <c r="W360">
        <f t="shared" si="28"/>
        <v>1.7113295774647881</v>
      </c>
    </row>
    <row r="361" spans="4:23" x14ac:dyDescent="0.3">
      <c r="D361" s="3"/>
      <c r="Q361">
        <v>6.0113000000000003</v>
      </c>
      <c r="R361">
        <v>87.917000000000002</v>
      </c>
      <c r="S361">
        <f t="shared" si="29"/>
        <v>88.383400000000009</v>
      </c>
      <c r="T361" s="3">
        <v>0.604694835680751</v>
      </c>
      <c r="V361">
        <f t="shared" si="27"/>
        <v>4.4816841692047698</v>
      </c>
      <c r="W361">
        <f t="shared" si="28"/>
        <v>1.7052394366197177</v>
      </c>
    </row>
    <row r="362" spans="4:23" x14ac:dyDescent="0.3">
      <c r="D362" s="3"/>
      <c r="Q362">
        <v>6.0279999999999996</v>
      </c>
      <c r="R362">
        <v>87.167000000000002</v>
      </c>
      <c r="S362">
        <f t="shared" si="29"/>
        <v>87.658399999999986</v>
      </c>
      <c r="T362" s="3">
        <v>0.60253521126760556</v>
      </c>
      <c r="V362">
        <f t="shared" si="27"/>
        <v>4.4734474424855062</v>
      </c>
      <c r="W362">
        <f t="shared" si="28"/>
        <v>1.6991492957746477</v>
      </c>
    </row>
    <row r="363" spans="4:23" x14ac:dyDescent="0.3">
      <c r="D363" s="3"/>
      <c r="Q363">
        <v>6.0448000000000004</v>
      </c>
      <c r="R363">
        <v>87.207999999999998</v>
      </c>
      <c r="S363">
        <f t="shared" si="29"/>
        <v>87.0334</v>
      </c>
      <c r="T363" s="3">
        <v>0.60037558685446002</v>
      </c>
      <c r="V363">
        <f t="shared" si="27"/>
        <v>4.4662919530267224</v>
      </c>
      <c r="W363">
        <f t="shared" si="28"/>
        <v>1.6930591549295773</v>
      </c>
    </row>
    <row r="364" spans="4:23" x14ac:dyDescent="0.3">
      <c r="D364" s="3"/>
      <c r="Q364">
        <v>6.0614999999999997</v>
      </c>
      <c r="R364">
        <v>86.832999999999998</v>
      </c>
      <c r="S364">
        <f t="shared" si="29"/>
        <v>86.691599999999994</v>
      </c>
      <c r="T364" s="3">
        <v>0.59821596244131447</v>
      </c>
      <c r="V364">
        <f t="shared" si="27"/>
        <v>4.4623569932796139</v>
      </c>
      <c r="W364">
        <f t="shared" si="28"/>
        <v>1.6869690140845066</v>
      </c>
    </row>
    <row r="365" spans="4:23" x14ac:dyDescent="0.3">
      <c r="D365" s="3"/>
      <c r="Q365">
        <v>6.0782999999999996</v>
      </c>
      <c r="R365">
        <v>86.042000000000002</v>
      </c>
      <c r="S365">
        <f t="shared" si="29"/>
        <v>86.433199999999985</v>
      </c>
      <c r="T365" s="3">
        <v>0.59605633802816893</v>
      </c>
      <c r="V365">
        <f t="shared" si="27"/>
        <v>4.4593718612605873</v>
      </c>
      <c r="W365">
        <f t="shared" si="28"/>
        <v>1.6808788732394362</v>
      </c>
    </row>
    <row r="366" spans="4:23" x14ac:dyDescent="0.3">
      <c r="D366" s="3"/>
      <c r="Q366">
        <v>6.0949999999999998</v>
      </c>
      <c r="R366">
        <v>86.207999999999998</v>
      </c>
      <c r="S366">
        <f t="shared" si="29"/>
        <v>86.0916</v>
      </c>
      <c r="T366" s="3">
        <v>0.59389671361502339</v>
      </c>
      <c r="V366">
        <f t="shared" si="27"/>
        <v>4.455411845698694</v>
      </c>
      <c r="W366">
        <f t="shared" si="28"/>
        <v>1.6747887323943658</v>
      </c>
    </row>
    <row r="367" spans="4:23" x14ac:dyDescent="0.3">
      <c r="D367" s="3"/>
      <c r="Q367">
        <v>6.1117999999999997</v>
      </c>
      <c r="R367">
        <v>85.875</v>
      </c>
      <c r="S367">
        <f t="shared" si="29"/>
        <v>85.541599999999988</v>
      </c>
      <c r="T367" s="3">
        <v>0.59173708920187784</v>
      </c>
      <c r="V367">
        <f t="shared" si="27"/>
        <v>4.4490028073233878</v>
      </c>
      <c r="W367">
        <f t="shared" si="28"/>
        <v>1.6686985915492953</v>
      </c>
    </row>
    <row r="368" spans="4:23" x14ac:dyDescent="0.3">
      <c r="D368" s="3"/>
      <c r="Q368">
        <v>6.1284999999999998</v>
      </c>
      <c r="R368">
        <v>85.5</v>
      </c>
      <c r="S368">
        <f t="shared" si="29"/>
        <v>85.0916</v>
      </c>
      <c r="T368" s="3">
        <v>0.5895774647887323</v>
      </c>
      <c r="V368">
        <f t="shared" si="27"/>
        <v>4.4437283233043772</v>
      </c>
      <c r="W368">
        <f t="shared" si="28"/>
        <v>1.6626084507042249</v>
      </c>
    </row>
    <row r="369" spans="4:23" x14ac:dyDescent="0.3">
      <c r="D369" s="3"/>
      <c r="Q369">
        <v>6.1452</v>
      </c>
      <c r="R369">
        <v>84.082999999999998</v>
      </c>
      <c r="S369">
        <f t="shared" si="29"/>
        <v>84.583400000000012</v>
      </c>
      <c r="T369" s="3">
        <v>0.58741784037558675</v>
      </c>
      <c r="V369">
        <f t="shared" si="27"/>
        <v>4.4377380298649172</v>
      </c>
      <c r="W369">
        <f t="shared" si="28"/>
        <v>1.6565183098591545</v>
      </c>
    </row>
    <row r="370" spans="4:23" x14ac:dyDescent="0.3">
      <c r="D370" s="3"/>
      <c r="Q370">
        <v>6.1619999999999999</v>
      </c>
      <c r="R370">
        <v>83.792000000000002</v>
      </c>
      <c r="S370">
        <f t="shared" si="29"/>
        <v>84.166800000000009</v>
      </c>
      <c r="T370" s="3">
        <v>0.58525821596244121</v>
      </c>
      <c r="V370">
        <f t="shared" si="27"/>
        <v>4.4328005442044658</v>
      </c>
      <c r="W370">
        <f t="shared" si="28"/>
        <v>1.6504281690140841</v>
      </c>
    </row>
    <row r="371" spans="4:23" x14ac:dyDescent="0.3">
      <c r="D371" s="3"/>
      <c r="Q371">
        <v>6.1787000000000001</v>
      </c>
      <c r="R371">
        <v>83.667000000000002</v>
      </c>
      <c r="S371">
        <f t="shared" si="29"/>
        <v>83.683400000000006</v>
      </c>
      <c r="T371" s="3">
        <v>0.58309859154929566</v>
      </c>
      <c r="V371">
        <f t="shared" si="27"/>
        <v>4.4270406304663403</v>
      </c>
      <c r="W371">
        <f t="shared" si="28"/>
        <v>1.6443380281690136</v>
      </c>
    </row>
    <row r="372" spans="4:23" x14ac:dyDescent="0.3">
      <c r="D372" s="3"/>
      <c r="Q372">
        <v>6.1955</v>
      </c>
      <c r="R372">
        <v>83.792000000000002</v>
      </c>
      <c r="S372">
        <f t="shared" si="29"/>
        <v>83.383400000000009</v>
      </c>
      <c r="T372" s="3">
        <v>0.58093896713615012</v>
      </c>
      <c r="V372">
        <f t="shared" si="27"/>
        <v>4.4234492487860724</v>
      </c>
      <c r="W372">
        <f t="shared" si="28"/>
        <v>1.6382478873239432</v>
      </c>
    </row>
    <row r="373" spans="4:23" x14ac:dyDescent="0.3">
      <c r="D373" s="3"/>
      <c r="Q373">
        <v>6.2122000000000002</v>
      </c>
      <c r="R373">
        <v>83.082999999999998</v>
      </c>
      <c r="S373">
        <f t="shared" si="29"/>
        <v>83.058400000000006</v>
      </c>
      <c r="T373" s="3">
        <v>0.57877934272300458</v>
      </c>
      <c r="V373">
        <f t="shared" si="27"/>
        <v>4.4195439748338288</v>
      </c>
      <c r="W373">
        <f t="shared" si="28"/>
        <v>1.6321577464788728</v>
      </c>
    </row>
    <row r="374" spans="4:23" x14ac:dyDescent="0.3">
      <c r="D374" s="3"/>
      <c r="Q374">
        <v>6.2290000000000001</v>
      </c>
      <c r="R374">
        <v>82.582999999999998</v>
      </c>
      <c r="S374">
        <f t="shared" si="29"/>
        <v>82.608400000000003</v>
      </c>
      <c r="T374" s="3">
        <v>0.57661971830985903</v>
      </c>
      <c r="V374">
        <f t="shared" si="27"/>
        <v>4.414111370271609</v>
      </c>
      <c r="W374">
        <f t="shared" si="28"/>
        <v>1.6260676056338024</v>
      </c>
    </row>
    <row r="375" spans="4:23" x14ac:dyDescent="0.3">
      <c r="D375" s="3"/>
      <c r="Q375">
        <v>6.2457000000000003</v>
      </c>
      <c r="R375">
        <v>82.167000000000002</v>
      </c>
      <c r="S375">
        <f t="shared" si="29"/>
        <v>82.083400000000012</v>
      </c>
      <c r="T375" s="3">
        <v>0.57446009389671349</v>
      </c>
      <c r="V375">
        <f t="shared" si="27"/>
        <v>4.4077358035665002</v>
      </c>
      <c r="W375">
        <f t="shared" si="28"/>
        <v>1.6199774647887319</v>
      </c>
    </row>
    <row r="376" spans="4:23" x14ac:dyDescent="0.3">
      <c r="D376" s="3"/>
      <c r="Q376">
        <v>6.2625000000000002</v>
      </c>
      <c r="R376">
        <v>81.417000000000002</v>
      </c>
      <c r="S376">
        <f t="shared" si="29"/>
        <v>81.633400000000009</v>
      </c>
      <c r="T376" s="3">
        <v>0.57230046948356794</v>
      </c>
      <c r="V376">
        <f t="shared" si="27"/>
        <v>4.4022384919495403</v>
      </c>
      <c r="W376">
        <f t="shared" si="28"/>
        <v>1.6138873239436615</v>
      </c>
    </row>
    <row r="377" spans="4:23" x14ac:dyDescent="0.3">
      <c r="D377" s="3"/>
      <c r="Q377">
        <v>6.2792000000000003</v>
      </c>
      <c r="R377">
        <v>81.167000000000002</v>
      </c>
      <c r="S377">
        <f t="shared" si="29"/>
        <v>81.108400000000003</v>
      </c>
      <c r="T377" s="3">
        <v>0.5701408450704224</v>
      </c>
      <c r="V377">
        <f t="shared" si="27"/>
        <v>4.3957865315900673</v>
      </c>
      <c r="W377">
        <f t="shared" si="28"/>
        <v>1.6077971830985911</v>
      </c>
    </row>
    <row r="378" spans="4:23" x14ac:dyDescent="0.3">
      <c r="D378" s="3"/>
      <c r="Q378">
        <v>6.2958999999999996</v>
      </c>
      <c r="R378">
        <v>80.832999999999998</v>
      </c>
      <c r="S378">
        <f t="shared" si="29"/>
        <v>80.575000000000003</v>
      </c>
      <c r="T378" s="3">
        <v>0.56798122065727685</v>
      </c>
      <c r="V378">
        <f t="shared" si="27"/>
        <v>4.3891884277015016</v>
      </c>
      <c r="W378">
        <f t="shared" si="28"/>
        <v>1.6017070422535207</v>
      </c>
    </row>
    <row r="379" spans="4:23" x14ac:dyDescent="0.3">
      <c r="D379" s="3"/>
      <c r="Q379">
        <v>6.3127000000000004</v>
      </c>
      <c r="R379">
        <v>79.957999999999998</v>
      </c>
      <c r="S379">
        <f t="shared" si="29"/>
        <v>80.041599999999988</v>
      </c>
      <c r="T379" s="3">
        <v>0.56582159624413131</v>
      </c>
      <c r="V379">
        <f t="shared" si="27"/>
        <v>4.3825464995207328</v>
      </c>
      <c r="W379">
        <f t="shared" si="28"/>
        <v>1.5956169014084502</v>
      </c>
    </row>
    <row r="380" spans="4:23" x14ac:dyDescent="0.3">
      <c r="D380" s="3"/>
      <c r="Q380">
        <v>6.3293999999999997</v>
      </c>
      <c r="R380">
        <v>79.5</v>
      </c>
      <c r="S380">
        <f t="shared" si="29"/>
        <v>79.424800000000005</v>
      </c>
      <c r="T380" s="3">
        <v>0.56366197183098576</v>
      </c>
      <c r="V380">
        <f t="shared" si="27"/>
        <v>4.3748106620535738</v>
      </c>
      <c r="W380">
        <f t="shared" si="28"/>
        <v>1.5895267605633798</v>
      </c>
    </row>
    <row r="381" spans="4:23" x14ac:dyDescent="0.3">
      <c r="D381" s="3"/>
      <c r="Q381">
        <v>6.3461999999999996</v>
      </c>
      <c r="R381">
        <v>78.75</v>
      </c>
      <c r="S381">
        <f t="shared" si="29"/>
        <v>78.724800000000002</v>
      </c>
      <c r="T381" s="3">
        <v>0.56150234741784022</v>
      </c>
      <c r="V381">
        <f t="shared" si="27"/>
        <v>4.3659582264948176</v>
      </c>
      <c r="W381">
        <f t="shared" si="28"/>
        <v>1.5834366197183094</v>
      </c>
    </row>
    <row r="382" spans="4:23" x14ac:dyDescent="0.3">
      <c r="D382" s="3"/>
      <c r="Q382">
        <v>6.3628999999999998</v>
      </c>
      <c r="R382">
        <v>78.082999999999998</v>
      </c>
      <c r="S382">
        <f t="shared" si="29"/>
        <v>78.099800000000002</v>
      </c>
      <c r="T382" s="3">
        <v>0.55934272300469468</v>
      </c>
      <c r="V382">
        <f t="shared" si="27"/>
        <v>4.3579874960228988</v>
      </c>
      <c r="W382">
        <f t="shared" si="28"/>
        <v>1.577346478873239</v>
      </c>
    </row>
    <row r="383" spans="4:23" x14ac:dyDescent="0.3">
      <c r="D383" s="3"/>
      <c r="Q383">
        <v>6.3796999999999997</v>
      </c>
      <c r="R383">
        <v>77.332999999999998</v>
      </c>
      <c r="S383">
        <f t="shared" si="29"/>
        <v>77.474800000000002</v>
      </c>
      <c r="T383" s="3">
        <v>0.55718309859154913</v>
      </c>
      <c r="V383">
        <f t="shared" si="27"/>
        <v>4.349952722192584</v>
      </c>
      <c r="W383">
        <f t="shared" si="28"/>
        <v>1.5712563380281686</v>
      </c>
    </row>
    <row r="384" spans="4:23" x14ac:dyDescent="0.3">
      <c r="D384" s="3"/>
      <c r="Q384">
        <v>6.3963999999999999</v>
      </c>
      <c r="R384">
        <v>76.832999999999998</v>
      </c>
      <c r="S384">
        <f t="shared" si="29"/>
        <v>76.899799999999999</v>
      </c>
      <c r="T384" s="3">
        <v>0.55502347417840359</v>
      </c>
      <c r="V384">
        <f t="shared" si="27"/>
        <v>4.3425032757279824</v>
      </c>
      <c r="W384">
        <f t="shared" si="28"/>
        <v>1.5651661971830981</v>
      </c>
    </row>
    <row r="385" spans="4:23" x14ac:dyDescent="0.3">
      <c r="D385" s="3"/>
      <c r="Q385">
        <v>6.4131999999999998</v>
      </c>
      <c r="R385">
        <v>76.375</v>
      </c>
      <c r="S385">
        <f t="shared" si="29"/>
        <v>76.483199999999997</v>
      </c>
      <c r="T385" s="3">
        <v>0.55286384976525804</v>
      </c>
      <c r="V385">
        <f t="shared" si="27"/>
        <v>4.3370711088720197</v>
      </c>
      <c r="W385">
        <f t="shared" si="28"/>
        <v>1.5590760563380275</v>
      </c>
    </row>
    <row r="386" spans="4:23" x14ac:dyDescent="0.3">
      <c r="D386" s="3"/>
      <c r="Q386">
        <v>6.4298999999999999</v>
      </c>
      <c r="R386">
        <v>75.875</v>
      </c>
      <c r="S386">
        <f t="shared" si="29"/>
        <v>76.191599999999994</v>
      </c>
      <c r="T386" s="3">
        <v>0.55070422535211261</v>
      </c>
      <c r="V386">
        <f t="shared" si="27"/>
        <v>4.3332512203956695</v>
      </c>
      <c r="W386">
        <f t="shared" si="28"/>
        <v>1.5529859154929575</v>
      </c>
    </row>
    <row r="387" spans="4:23" x14ac:dyDescent="0.3">
      <c r="D387" s="3"/>
      <c r="Q387">
        <v>6.4466000000000001</v>
      </c>
      <c r="R387">
        <v>76</v>
      </c>
      <c r="S387">
        <f t="shared" si="29"/>
        <v>75.866599999999991</v>
      </c>
      <c r="T387" s="3">
        <v>0.54854460093896706</v>
      </c>
      <c r="V387">
        <f t="shared" ref="V387:V450" si="30">LN(S387)</f>
        <v>4.3289765348490574</v>
      </c>
      <c r="W387">
        <f t="shared" ref="W387:W450" si="31">T387*U$2</f>
        <v>1.5468957746478871</v>
      </c>
    </row>
    <row r="388" spans="4:23" x14ac:dyDescent="0.3">
      <c r="D388" s="3"/>
      <c r="Q388">
        <v>6.4634</v>
      </c>
      <c r="R388">
        <v>75.875</v>
      </c>
      <c r="S388">
        <f t="shared" si="29"/>
        <v>75.458199999999991</v>
      </c>
      <c r="T388" s="3">
        <v>0.54638497652582152</v>
      </c>
      <c r="V388">
        <f t="shared" si="30"/>
        <v>4.3235788605543375</v>
      </c>
      <c r="W388">
        <f t="shared" si="31"/>
        <v>1.5408056338028167</v>
      </c>
    </row>
    <row r="389" spans="4:23" x14ac:dyDescent="0.3">
      <c r="D389" s="3"/>
      <c r="Q389">
        <v>6.4801000000000002</v>
      </c>
      <c r="R389">
        <v>75.207999999999998</v>
      </c>
      <c r="S389">
        <f t="shared" ref="S389:S452" si="32">AVERAGE(R387:R391)</f>
        <v>75.041599999999988</v>
      </c>
      <c r="T389" s="3">
        <v>0.54422535211267598</v>
      </c>
      <c r="V389">
        <f t="shared" si="30"/>
        <v>4.3180426264322795</v>
      </c>
      <c r="W389">
        <f t="shared" si="31"/>
        <v>1.5347154929577462</v>
      </c>
    </row>
    <row r="390" spans="4:23" x14ac:dyDescent="0.3">
      <c r="D390" s="3"/>
      <c r="Q390">
        <v>6.4969000000000001</v>
      </c>
      <c r="R390">
        <v>74.332999999999998</v>
      </c>
      <c r="S390">
        <f t="shared" si="32"/>
        <v>74.5</v>
      </c>
      <c r="T390" s="3">
        <v>0.54206572769953043</v>
      </c>
      <c r="V390">
        <f t="shared" si="30"/>
        <v>4.3107991253855138</v>
      </c>
      <c r="W390">
        <f t="shared" si="31"/>
        <v>1.5286253521126758</v>
      </c>
    </row>
    <row r="391" spans="4:23" x14ac:dyDescent="0.3">
      <c r="D391" s="3"/>
      <c r="Q391">
        <v>6.5136000000000003</v>
      </c>
      <c r="R391">
        <v>73.792000000000002</v>
      </c>
      <c r="S391">
        <f t="shared" si="32"/>
        <v>73.9084</v>
      </c>
      <c r="T391" s="3">
        <v>0.53990610328638489</v>
      </c>
      <c r="V391">
        <f t="shared" si="30"/>
        <v>4.3028264886122658</v>
      </c>
      <c r="W391">
        <f t="shared" si="31"/>
        <v>1.5225352112676054</v>
      </c>
    </row>
    <row r="392" spans="4:23" x14ac:dyDescent="0.3">
      <c r="D392" s="3"/>
      <c r="Q392">
        <v>6.5304000000000002</v>
      </c>
      <c r="R392">
        <v>73.292000000000002</v>
      </c>
      <c r="S392">
        <f t="shared" si="32"/>
        <v>73.441800000000001</v>
      </c>
      <c r="T392" s="3">
        <v>0.53774647887323934</v>
      </c>
      <c r="V392">
        <f t="shared" si="30"/>
        <v>4.296493255815796</v>
      </c>
      <c r="W392">
        <f t="shared" si="31"/>
        <v>1.516445070422535</v>
      </c>
    </row>
    <row r="393" spans="4:23" x14ac:dyDescent="0.3">
      <c r="D393" s="3"/>
      <c r="Q393">
        <v>6.5471000000000004</v>
      </c>
      <c r="R393">
        <v>72.917000000000002</v>
      </c>
      <c r="S393">
        <f t="shared" si="32"/>
        <v>73.108599999999996</v>
      </c>
      <c r="T393" s="3">
        <v>0.5355868544600938</v>
      </c>
      <c r="V393">
        <f t="shared" si="30"/>
        <v>4.2919460068946842</v>
      </c>
      <c r="W393">
        <f t="shared" si="31"/>
        <v>1.5103549295774645</v>
      </c>
    </row>
    <row r="394" spans="4:23" x14ac:dyDescent="0.3">
      <c r="D394" s="3"/>
      <c r="Q394">
        <v>6.5639000000000003</v>
      </c>
      <c r="R394">
        <v>72.875</v>
      </c>
      <c r="S394">
        <f t="shared" si="32"/>
        <v>72.80019999999999</v>
      </c>
      <c r="T394" s="3">
        <v>0.53342723004694825</v>
      </c>
      <c r="V394">
        <f t="shared" si="30"/>
        <v>4.2877187024516141</v>
      </c>
      <c r="W394">
        <f t="shared" si="31"/>
        <v>1.5042647887323939</v>
      </c>
    </row>
    <row r="395" spans="4:23" x14ac:dyDescent="0.3">
      <c r="D395" s="3"/>
      <c r="Q395">
        <v>6.5805999999999996</v>
      </c>
      <c r="R395">
        <v>72.667000000000002</v>
      </c>
      <c r="S395">
        <f t="shared" si="32"/>
        <v>72.5334</v>
      </c>
      <c r="T395" s="3">
        <v>0.53126760563380271</v>
      </c>
      <c r="V395">
        <f t="shared" si="30"/>
        <v>4.2840471454309021</v>
      </c>
      <c r="W395">
        <f t="shared" si="31"/>
        <v>1.4981746478873235</v>
      </c>
    </row>
    <row r="396" spans="4:23" x14ac:dyDescent="0.3">
      <c r="D396" s="3"/>
      <c r="Q396">
        <v>6.5972999999999997</v>
      </c>
      <c r="R396">
        <v>72.25</v>
      </c>
      <c r="S396">
        <f t="shared" si="32"/>
        <v>72.116599999999991</v>
      </c>
      <c r="T396" s="3">
        <v>0.52910798122065716</v>
      </c>
      <c r="V396">
        <f t="shared" si="30"/>
        <v>4.2782842535743466</v>
      </c>
      <c r="W396">
        <f t="shared" si="31"/>
        <v>1.492084507042253</v>
      </c>
    </row>
    <row r="397" spans="4:23" x14ac:dyDescent="0.3">
      <c r="D397" s="3"/>
      <c r="Q397">
        <v>6.6140999999999996</v>
      </c>
      <c r="R397">
        <v>71.957999999999998</v>
      </c>
      <c r="S397">
        <f t="shared" si="32"/>
        <v>71.616599999999991</v>
      </c>
      <c r="T397" s="3">
        <v>0.52694835680751162</v>
      </c>
      <c r="V397">
        <f t="shared" si="30"/>
        <v>4.2713268906704505</v>
      </c>
      <c r="W397">
        <f t="shared" si="31"/>
        <v>1.4859943661971826</v>
      </c>
    </row>
    <row r="398" spans="4:23" x14ac:dyDescent="0.3">
      <c r="D398" s="3"/>
      <c r="Q398">
        <v>6.6307999999999998</v>
      </c>
      <c r="R398">
        <v>70.832999999999998</v>
      </c>
      <c r="S398">
        <f t="shared" si="32"/>
        <v>71.141599999999997</v>
      </c>
      <c r="T398" s="3">
        <v>0.52478873239436608</v>
      </c>
      <c r="V398">
        <f t="shared" si="30"/>
        <v>4.2646722571304805</v>
      </c>
      <c r="W398">
        <f t="shared" si="31"/>
        <v>1.4799042253521122</v>
      </c>
    </row>
    <row r="399" spans="4:23" x14ac:dyDescent="0.3">
      <c r="D399" s="3"/>
      <c r="Q399">
        <v>6.6475999999999997</v>
      </c>
      <c r="R399">
        <v>70.375</v>
      </c>
      <c r="S399">
        <f t="shared" si="32"/>
        <v>70.733199999999982</v>
      </c>
      <c r="T399" s="3">
        <v>0.52262910798122053</v>
      </c>
      <c r="V399">
        <f t="shared" si="30"/>
        <v>4.2589150524958583</v>
      </c>
      <c r="W399">
        <f t="shared" si="31"/>
        <v>1.4738140845070418</v>
      </c>
    </row>
    <row r="400" spans="4:23" x14ac:dyDescent="0.3">
      <c r="D400" s="3"/>
      <c r="Q400">
        <v>6.6642999999999999</v>
      </c>
      <c r="R400">
        <v>70.292000000000002</v>
      </c>
      <c r="S400">
        <f t="shared" si="32"/>
        <v>70.325000000000003</v>
      </c>
      <c r="T400" s="3">
        <v>0.52046948356807499</v>
      </c>
      <c r="V400">
        <f t="shared" si="30"/>
        <v>4.2531273543759207</v>
      </c>
      <c r="W400">
        <f t="shared" si="31"/>
        <v>1.4677239436619713</v>
      </c>
    </row>
    <row r="401" spans="4:23" x14ac:dyDescent="0.3">
      <c r="D401" s="3"/>
      <c r="Q401">
        <v>6.6810999999999998</v>
      </c>
      <c r="R401">
        <v>70.207999999999998</v>
      </c>
      <c r="S401">
        <f t="shared" si="32"/>
        <v>70.025000000000006</v>
      </c>
      <c r="T401" s="3">
        <v>0.51830985915492944</v>
      </c>
      <c r="V401">
        <f t="shared" si="30"/>
        <v>4.2488523211461722</v>
      </c>
      <c r="W401">
        <f t="shared" si="31"/>
        <v>1.4616338028169009</v>
      </c>
    </row>
    <row r="402" spans="4:23" x14ac:dyDescent="0.3">
      <c r="D402" s="3"/>
      <c r="Q402">
        <v>6.6978</v>
      </c>
      <c r="R402">
        <v>69.917000000000002</v>
      </c>
      <c r="S402">
        <f t="shared" si="32"/>
        <v>69.7</v>
      </c>
      <c r="T402" s="3">
        <v>0.5161502347417839</v>
      </c>
      <c r="V402">
        <f t="shared" si="30"/>
        <v>4.2442003177664782</v>
      </c>
      <c r="W402">
        <f t="shared" si="31"/>
        <v>1.4555436619718305</v>
      </c>
    </row>
    <row r="403" spans="4:23" x14ac:dyDescent="0.3">
      <c r="D403" s="3"/>
      <c r="Q403">
        <v>6.7145999999999999</v>
      </c>
      <c r="R403">
        <v>69.332999999999998</v>
      </c>
      <c r="S403">
        <f t="shared" si="32"/>
        <v>69.2</v>
      </c>
      <c r="T403" s="3">
        <v>0.51399061032863835</v>
      </c>
      <c r="V403">
        <f t="shared" si="30"/>
        <v>4.2370008626236242</v>
      </c>
      <c r="W403">
        <f t="shared" si="31"/>
        <v>1.4494535211267601</v>
      </c>
    </row>
    <row r="404" spans="4:23" x14ac:dyDescent="0.3">
      <c r="D404" s="3"/>
      <c r="Q404">
        <v>6.7313000000000001</v>
      </c>
      <c r="R404">
        <v>68.75</v>
      </c>
      <c r="S404">
        <f t="shared" si="32"/>
        <v>68.691800000000015</v>
      </c>
      <c r="T404" s="3">
        <v>0.51183098591549281</v>
      </c>
      <c r="V404">
        <f t="shared" si="30"/>
        <v>4.2296298325701809</v>
      </c>
      <c r="W404">
        <f t="shared" si="31"/>
        <v>1.4433633802816896</v>
      </c>
    </row>
    <row r="405" spans="4:23" x14ac:dyDescent="0.3">
      <c r="D405" s="3"/>
      <c r="Q405">
        <v>6.7480000000000002</v>
      </c>
      <c r="R405">
        <v>67.792000000000002</v>
      </c>
      <c r="S405">
        <f t="shared" si="32"/>
        <v>68.233400000000003</v>
      </c>
      <c r="T405" s="3">
        <v>0.50967136150234726</v>
      </c>
      <c r="V405">
        <f t="shared" si="30"/>
        <v>4.2229341810382266</v>
      </c>
      <c r="W405">
        <f t="shared" si="31"/>
        <v>1.4372732394366192</v>
      </c>
    </row>
    <row r="406" spans="4:23" x14ac:dyDescent="0.3">
      <c r="D406" s="3"/>
      <c r="Q406">
        <v>6.7648000000000001</v>
      </c>
      <c r="R406">
        <v>67.667000000000002</v>
      </c>
      <c r="S406">
        <f t="shared" si="32"/>
        <v>67.808400000000006</v>
      </c>
      <c r="T406" s="3">
        <v>0.50751173708920172</v>
      </c>
      <c r="V406">
        <f t="shared" si="30"/>
        <v>4.216686081077456</v>
      </c>
      <c r="W406">
        <f t="shared" si="31"/>
        <v>1.4311830985915488</v>
      </c>
    </row>
    <row r="407" spans="4:23" x14ac:dyDescent="0.3">
      <c r="D407" s="3"/>
      <c r="Q407">
        <v>6.7815000000000003</v>
      </c>
      <c r="R407">
        <v>67.625</v>
      </c>
      <c r="S407">
        <f t="shared" si="32"/>
        <v>67.358400000000003</v>
      </c>
      <c r="T407" s="3">
        <v>0.50535211267605618</v>
      </c>
      <c r="V407">
        <f t="shared" si="30"/>
        <v>4.2100276166828436</v>
      </c>
      <c r="W407">
        <f t="shared" si="31"/>
        <v>1.4250929577464784</v>
      </c>
    </row>
    <row r="408" spans="4:23" x14ac:dyDescent="0.3">
      <c r="D408" s="3"/>
      <c r="Q408">
        <v>6.7983000000000002</v>
      </c>
      <c r="R408">
        <v>67.207999999999998</v>
      </c>
      <c r="S408">
        <f t="shared" si="32"/>
        <v>66.866599999999991</v>
      </c>
      <c r="T408" s="3">
        <v>0.50319248826291063</v>
      </c>
      <c r="V408">
        <f t="shared" si="30"/>
        <v>4.2026995898502548</v>
      </c>
      <c r="W408">
        <f t="shared" si="31"/>
        <v>1.4190028169014079</v>
      </c>
    </row>
    <row r="409" spans="4:23" x14ac:dyDescent="0.3">
      <c r="D409" s="3"/>
      <c r="Q409">
        <v>6.8150000000000004</v>
      </c>
      <c r="R409">
        <v>66.5</v>
      </c>
      <c r="S409">
        <f t="shared" si="32"/>
        <v>66.374800000000008</v>
      </c>
      <c r="T409" s="3">
        <v>0.5010328638497652</v>
      </c>
      <c r="V409">
        <f t="shared" si="30"/>
        <v>4.1953174663748891</v>
      </c>
      <c r="W409">
        <f t="shared" si="31"/>
        <v>1.4129126760563377</v>
      </c>
    </row>
    <row r="410" spans="4:23" x14ac:dyDescent="0.3">
      <c r="D410" s="3"/>
      <c r="Q410">
        <v>6.8318000000000003</v>
      </c>
      <c r="R410">
        <v>65.332999999999998</v>
      </c>
      <c r="S410">
        <f t="shared" si="32"/>
        <v>65.908200000000008</v>
      </c>
      <c r="T410" s="3">
        <v>0.49887323943661965</v>
      </c>
      <c r="V410">
        <f t="shared" si="30"/>
        <v>4.1882628647235665</v>
      </c>
      <c r="W410">
        <f t="shared" si="31"/>
        <v>1.4068225352112673</v>
      </c>
    </row>
    <row r="411" spans="4:23" x14ac:dyDescent="0.3">
      <c r="D411" s="3"/>
      <c r="Q411">
        <v>6.8484999999999996</v>
      </c>
      <c r="R411">
        <v>65.207999999999998</v>
      </c>
      <c r="S411">
        <f t="shared" si="32"/>
        <v>65.508199999999988</v>
      </c>
      <c r="T411" s="3">
        <v>0.49671361502347411</v>
      </c>
      <c r="V411">
        <f t="shared" si="30"/>
        <v>4.1821753256451819</v>
      </c>
      <c r="W411">
        <f t="shared" si="31"/>
        <v>1.4007323943661969</v>
      </c>
    </row>
    <row r="412" spans="4:23" x14ac:dyDescent="0.3">
      <c r="D412" s="3"/>
      <c r="Q412">
        <v>6.8653000000000004</v>
      </c>
      <c r="R412">
        <v>65.292000000000002</v>
      </c>
      <c r="S412">
        <f t="shared" si="32"/>
        <v>65.19980000000001</v>
      </c>
      <c r="T412" s="3">
        <v>0.49455399061032856</v>
      </c>
      <c r="V412">
        <f t="shared" si="30"/>
        <v>4.1774564014432398</v>
      </c>
      <c r="W412">
        <f t="shared" si="31"/>
        <v>1.3946422535211265</v>
      </c>
    </row>
    <row r="413" spans="4:23" x14ac:dyDescent="0.3">
      <c r="D413" s="3"/>
      <c r="Q413">
        <v>6.8819999999999997</v>
      </c>
      <c r="R413">
        <v>65.207999999999998</v>
      </c>
      <c r="S413">
        <f t="shared" si="32"/>
        <v>65.016599999999997</v>
      </c>
      <c r="T413" s="3">
        <v>0.49239436619718302</v>
      </c>
      <c r="V413">
        <f t="shared" si="30"/>
        <v>4.1746426219059218</v>
      </c>
      <c r="W413">
        <f t="shared" si="31"/>
        <v>1.388552112676056</v>
      </c>
    </row>
    <row r="414" spans="4:23" x14ac:dyDescent="0.3">
      <c r="D414" s="3"/>
      <c r="Q414">
        <v>6.8987999999999996</v>
      </c>
      <c r="R414">
        <v>64.957999999999998</v>
      </c>
      <c r="S414">
        <f t="shared" si="32"/>
        <v>64.741599999999991</v>
      </c>
      <c r="T414" s="3">
        <v>0.49023474178403748</v>
      </c>
      <c r="V414">
        <f t="shared" si="30"/>
        <v>4.1704039624342881</v>
      </c>
      <c r="W414">
        <f t="shared" si="31"/>
        <v>1.3824619718309856</v>
      </c>
    </row>
    <row r="415" spans="4:23" x14ac:dyDescent="0.3">
      <c r="D415" s="3"/>
      <c r="Q415">
        <v>6.9154999999999998</v>
      </c>
      <c r="R415">
        <v>64.417000000000002</v>
      </c>
      <c r="S415">
        <f t="shared" si="32"/>
        <v>64.333200000000005</v>
      </c>
      <c r="T415" s="3">
        <v>0.48807511737089193</v>
      </c>
      <c r="V415">
        <f t="shared" si="30"/>
        <v>4.1640758276957683</v>
      </c>
      <c r="W415">
        <f t="shared" si="31"/>
        <v>1.3763718309859152</v>
      </c>
    </row>
    <row r="416" spans="4:23" x14ac:dyDescent="0.3">
      <c r="D416" s="3"/>
      <c r="Q416">
        <v>6.9321999999999999</v>
      </c>
      <c r="R416">
        <v>63.832999999999998</v>
      </c>
      <c r="S416">
        <f t="shared" si="32"/>
        <v>63.883199999999988</v>
      </c>
      <c r="T416" s="3">
        <v>0.48591549295774639</v>
      </c>
      <c r="V416">
        <f t="shared" si="30"/>
        <v>4.1570564160182641</v>
      </c>
      <c r="W416">
        <f t="shared" si="31"/>
        <v>1.3702816901408448</v>
      </c>
    </row>
    <row r="417" spans="4:23" x14ac:dyDescent="0.3">
      <c r="D417" s="3"/>
      <c r="Q417">
        <v>6.9489999999999998</v>
      </c>
      <c r="R417">
        <v>63.25</v>
      </c>
      <c r="S417">
        <f t="shared" si="32"/>
        <v>63.4</v>
      </c>
      <c r="T417" s="3">
        <v>0.48375586854460084</v>
      </c>
      <c r="V417">
        <f t="shared" si="30"/>
        <v>4.1494638614431798</v>
      </c>
      <c r="W417">
        <f t="shared" si="31"/>
        <v>1.3641915492957744</v>
      </c>
    </row>
    <row r="418" spans="4:23" x14ac:dyDescent="0.3">
      <c r="D418" s="3"/>
      <c r="Q418">
        <v>6.9657</v>
      </c>
      <c r="R418">
        <v>62.957999999999998</v>
      </c>
      <c r="S418">
        <f t="shared" si="32"/>
        <v>62.991599999999991</v>
      </c>
      <c r="T418" s="3">
        <v>0.4815962441314553</v>
      </c>
      <c r="V418">
        <f t="shared" si="30"/>
        <v>4.14300138416852</v>
      </c>
      <c r="W418">
        <f t="shared" si="31"/>
        <v>1.3581014084507039</v>
      </c>
    </row>
    <row r="419" spans="4:23" x14ac:dyDescent="0.3">
      <c r="D419" s="3"/>
      <c r="Q419">
        <v>6.9824999999999999</v>
      </c>
      <c r="R419">
        <v>62.542000000000002</v>
      </c>
      <c r="S419">
        <f t="shared" si="32"/>
        <v>62.541599999999995</v>
      </c>
      <c r="T419" s="3">
        <v>0.47943661971830975</v>
      </c>
      <c r="V419">
        <f t="shared" si="30"/>
        <v>4.1358319353289188</v>
      </c>
      <c r="W419">
        <f t="shared" si="31"/>
        <v>1.3520112676056335</v>
      </c>
    </row>
    <row r="420" spans="4:23" x14ac:dyDescent="0.3">
      <c r="D420" s="3"/>
      <c r="Q420">
        <v>6.9992000000000001</v>
      </c>
      <c r="R420">
        <v>62.375</v>
      </c>
      <c r="S420">
        <f t="shared" si="32"/>
        <v>62.174999999999997</v>
      </c>
      <c r="T420" s="3">
        <v>0.47727699530516421</v>
      </c>
      <c r="V420">
        <f t="shared" si="30"/>
        <v>4.1299529896894684</v>
      </c>
      <c r="W420">
        <f t="shared" si="31"/>
        <v>1.3459211267605631</v>
      </c>
    </row>
    <row r="421" spans="4:23" x14ac:dyDescent="0.3">
      <c r="D421" s="3"/>
      <c r="Q421">
        <v>7.016</v>
      </c>
      <c r="R421">
        <v>61.582999999999998</v>
      </c>
      <c r="S421">
        <f t="shared" si="32"/>
        <v>61.774999999999999</v>
      </c>
      <c r="T421" s="3">
        <v>0.47511737089201866</v>
      </c>
      <c r="V421">
        <f t="shared" si="30"/>
        <v>4.1234987518746742</v>
      </c>
      <c r="W421">
        <f t="shared" si="31"/>
        <v>1.3398309859154927</v>
      </c>
    </row>
    <row r="422" spans="4:23" x14ac:dyDescent="0.3">
      <c r="D422" s="3"/>
      <c r="Q422">
        <v>7.0327000000000002</v>
      </c>
      <c r="R422">
        <v>61.417000000000002</v>
      </c>
      <c r="S422">
        <f t="shared" si="32"/>
        <v>61.358199999999997</v>
      </c>
      <c r="T422" s="3">
        <v>0.47295774647887312</v>
      </c>
      <c r="V422">
        <f t="shared" si="30"/>
        <v>4.116728821557011</v>
      </c>
      <c r="W422">
        <f t="shared" si="31"/>
        <v>1.3337408450704222</v>
      </c>
    </row>
    <row r="423" spans="4:23" x14ac:dyDescent="0.3">
      <c r="D423" s="3"/>
      <c r="Q423">
        <v>7.0495000000000001</v>
      </c>
      <c r="R423">
        <v>60.957999999999998</v>
      </c>
      <c r="S423">
        <f t="shared" si="32"/>
        <v>60.983199999999997</v>
      </c>
      <c r="T423" s="3">
        <v>0.47079812206572758</v>
      </c>
      <c r="V423">
        <f t="shared" si="30"/>
        <v>4.1105984164049918</v>
      </c>
      <c r="W423">
        <f t="shared" si="31"/>
        <v>1.3276507042253516</v>
      </c>
    </row>
    <row r="424" spans="4:23" x14ac:dyDescent="0.3">
      <c r="D424" s="3"/>
      <c r="Q424">
        <v>7.0662000000000003</v>
      </c>
      <c r="R424">
        <v>60.457999999999998</v>
      </c>
      <c r="S424">
        <f t="shared" si="32"/>
        <v>60.641599999999997</v>
      </c>
      <c r="T424" s="3">
        <v>0.46863849765258203</v>
      </c>
      <c r="V424">
        <f t="shared" si="30"/>
        <v>4.1049811262103066</v>
      </c>
      <c r="W424">
        <f t="shared" si="31"/>
        <v>1.3215605633802812</v>
      </c>
    </row>
    <row r="425" spans="4:23" x14ac:dyDescent="0.3">
      <c r="D425" s="3"/>
      <c r="Q425">
        <v>7.0829000000000004</v>
      </c>
      <c r="R425">
        <v>60.5</v>
      </c>
      <c r="S425">
        <f t="shared" si="32"/>
        <v>60.174800000000005</v>
      </c>
      <c r="T425" s="3">
        <v>0.46647887323943649</v>
      </c>
      <c r="V425">
        <f t="shared" si="30"/>
        <v>4.0972536600242275</v>
      </c>
      <c r="W425">
        <f t="shared" si="31"/>
        <v>1.3154704225352107</v>
      </c>
    </row>
    <row r="426" spans="4:23" x14ac:dyDescent="0.3">
      <c r="D426" s="3"/>
      <c r="Q426">
        <v>7.0997000000000003</v>
      </c>
      <c r="R426">
        <v>59.875</v>
      </c>
      <c r="S426">
        <f t="shared" si="32"/>
        <v>59.733199999999997</v>
      </c>
      <c r="T426" s="3">
        <v>0.46431924882629094</v>
      </c>
      <c r="V426">
        <f t="shared" si="30"/>
        <v>4.0898879797273722</v>
      </c>
      <c r="W426">
        <f t="shared" si="31"/>
        <v>1.3093802816901403</v>
      </c>
    </row>
    <row r="427" spans="4:23" x14ac:dyDescent="0.3">
      <c r="D427" s="3"/>
      <c r="Q427">
        <v>7.1163999999999996</v>
      </c>
      <c r="R427">
        <v>59.082999999999998</v>
      </c>
      <c r="S427">
        <f t="shared" si="32"/>
        <v>59.274999999999999</v>
      </c>
      <c r="T427" s="3">
        <v>0.4621596244131454</v>
      </c>
      <c r="V427">
        <f t="shared" si="30"/>
        <v>4.0821876319514692</v>
      </c>
      <c r="W427">
        <f t="shared" si="31"/>
        <v>1.3032901408450699</v>
      </c>
    </row>
    <row r="428" spans="4:23" x14ac:dyDescent="0.3">
      <c r="D428" s="3"/>
      <c r="Q428">
        <v>7.1332000000000004</v>
      </c>
      <c r="R428">
        <v>58.75</v>
      </c>
      <c r="S428">
        <f t="shared" si="32"/>
        <v>58.708400000000005</v>
      </c>
      <c r="T428" s="3">
        <v>0.45999999999999985</v>
      </c>
      <c r="V428">
        <f t="shared" si="30"/>
        <v>4.0725828171072225</v>
      </c>
      <c r="W428">
        <f t="shared" si="31"/>
        <v>1.2971999999999995</v>
      </c>
    </row>
    <row r="429" spans="4:23" x14ac:dyDescent="0.3">
      <c r="D429" s="3"/>
      <c r="Q429">
        <v>7.1498999999999997</v>
      </c>
      <c r="R429">
        <v>58.167000000000002</v>
      </c>
      <c r="S429">
        <f t="shared" si="32"/>
        <v>58.2</v>
      </c>
      <c r="T429" s="3">
        <v>0.45784037558685431</v>
      </c>
      <c r="V429">
        <f t="shared" si="30"/>
        <v>4.0638853547373923</v>
      </c>
      <c r="W429">
        <f t="shared" si="31"/>
        <v>1.291109859154929</v>
      </c>
    </row>
    <row r="430" spans="4:23" x14ac:dyDescent="0.3">
      <c r="D430" s="3"/>
      <c r="Q430">
        <v>7.1666999999999996</v>
      </c>
      <c r="R430">
        <v>57.667000000000002</v>
      </c>
      <c r="S430">
        <f t="shared" si="32"/>
        <v>57.791800000000002</v>
      </c>
      <c r="T430" s="3">
        <v>0.45568075117370876</v>
      </c>
      <c r="V430">
        <f t="shared" si="30"/>
        <v>4.0568468971019316</v>
      </c>
      <c r="W430">
        <f t="shared" si="31"/>
        <v>1.2850197183098586</v>
      </c>
    </row>
    <row r="431" spans="4:23" x14ac:dyDescent="0.3">
      <c r="D431" s="3"/>
      <c r="Q431">
        <v>7.1833999999999998</v>
      </c>
      <c r="R431">
        <v>57.332999999999998</v>
      </c>
      <c r="S431">
        <f t="shared" si="32"/>
        <v>57.500199999999992</v>
      </c>
      <c r="T431" s="3">
        <v>0.45352112676056322</v>
      </c>
      <c r="V431">
        <f t="shared" si="30"/>
        <v>4.0517884260581249</v>
      </c>
      <c r="W431">
        <f t="shared" si="31"/>
        <v>1.2789295774647882</v>
      </c>
    </row>
    <row r="432" spans="4:23" x14ac:dyDescent="0.3">
      <c r="D432" s="3"/>
      <c r="Q432">
        <v>7.2001999999999997</v>
      </c>
      <c r="R432">
        <v>57.042000000000002</v>
      </c>
      <c r="S432">
        <f t="shared" si="32"/>
        <v>57.233400000000003</v>
      </c>
      <c r="T432" s="3">
        <v>0.45136150234741779</v>
      </c>
      <c r="V432">
        <f t="shared" si="30"/>
        <v>4.0471376440570062</v>
      </c>
      <c r="W432">
        <f t="shared" si="31"/>
        <v>1.272839436619718</v>
      </c>
    </row>
    <row r="433" spans="4:23" x14ac:dyDescent="0.3">
      <c r="D433" s="3"/>
      <c r="Q433">
        <v>7.2168999999999999</v>
      </c>
      <c r="R433">
        <v>57.292000000000002</v>
      </c>
      <c r="S433">
        <f t="shared" si="32"/>
        <v>56.841599999999993</v>
      </c>
      <c r="T433" s="3">
        <v>0.44920187793427224</v>
      </c>
      <c r="V433">
        <f t="shared" si="30"/>
        <v>4.0402684520234295</v>
      </c>
      <c r="W433">
        <f t="shared" si="31"/>
        <v>1.2667492957746476</v>
      </c>
    </row>
    <row r="434" spans="4:23" x14ac:dyDescent="0.3">
      <c r="D434" s="3"/>
      <c r="Q434">
        <v>7.2336</v>
      </c>
      <c r="R434">
        <v>56.832999999999998</v>
      </c>
      <c r="S434">
        <f t="shared" si="32"/>
        <v>56.533400000000007</v>
      </c>
      <c r="T434" s="3">
        <v>0.4470422535211267</v>
      </c>
      <c r="V434">
        <f t="shared" si="30"/>
        <v>4.0348316139342808</v>
      </c>
      <c r="W434">
        <f t="shared" si="31"/>
        <v>1.2606591549295771</v>
      </c>
    </row>
    <row r="435" spans="4:23" x14ac:dyDescent="0.3">
      <c r="D435" s="3"/>
      <c r="Q435">
        <v>7.2504</v>
      </c>
      <c r="R435">
        <v>55.707999999999998</v>
      </c>
      <c r="S435">
        <f t="shared" si="32"/>
        <v>56.2</v>
      </c>
      <c r="T435" s="3">
        <v>0.44488262910798115</v>
      </c>
      <c r="V435">
        <f t="shared" si="30"/>
        <v>4.0289167568996458</v>
      </c>
      <c r="W435">
        <f t="shared" si="31"/>
        <v>1.2545690140845067</v>
      </c>
    </row>
    <row r="436" spans="4:23" x14ac:dyDescent="0.3">
      <c r="D436" s="3"/>
      <c r="Q436">
        <v>7.2671000000000001</v>
      </c>
      <c r="R436">
        <v>55.792000000000002</v>
      </c>
      <c r="S436">
        <f t="shared" si="32"/>
        <v>55.725000000000001</v>
      </c>
      <c r="T436" s="3">
        <v>0.44272300469483561</v>
      </c>
      <c r="V436">
        <f t="shared" si="30"/>
        <v>4.0204288792719325</v>
      </c>
      <c r="W436">
        <f t="shared" si="31"/>
        <v>1.2484788732394363</v>
      </c>
    </row>
    <row r="437" spans="4:23" x14ac:dyDescent="0.3">
      <c r="D437" s="3"/>
      <c r="Q437">
        <v>7.2839</v>
      </c>
      <c r="R437">
        <v>55.375</v>
      </c>
      <c r="S437">
        <f t="shared" si="32"/>
        <v>55.274999999999999</v>
      </c>
      <c r="T437" s="3">
        <v>0.44056338028169006</v>
      </c>
      <c r="V437">
        <f t="shared" si="30"/>
        <v>4.0123207267435097</v>
      </c>
      <c r="W437">
        <f t="shared" si="31"/>
        <v>1.2423887323943659</v>
      </c>
    </row>
    <row r="438" spans="4:23" x14ac:dyDescent="0.3">
      <c r="D438" s="3"/>
      <c r="Q438">
        <v>7.3006000000000002</v>
      </c>
      <c r="R438">
        <v>54.917000000000002</v>
      </c>
      <c r="S438">
        <f t="shared" si="32"/>
        <v>54.966799999999999</v>
      </c>
      <c r="T438" s="3">
        <v>0.43840375586854452</v>
      </c>
      <c r="V438">
        <f t="shared" si="30"/>
        <v>4.0067293666070549</v>
      </c>
      <c r="W438">
        <f t="shared" si="31"/>
        <v>1.2362985915492954</v>
      </c>
    </row>
    <row r="439" spans="4:23" x14ac:dyDescent="0.3">
      <c r="D439" s="3"/>
      <c r="Q439">
        <v>7.3174000000000001</v>
      </c>
      <c r="R439">
        <v>54.582999999999998</v>
      </c>
      <c r="S439">
        <f t="shared" si="32"/>
        <v>54.591799999999999</v>
      </c>
      <c r="T439" s="3">
        <v>0.43624413145539898</v>
      </c>
      <c r="V439">
        <f t="shared" si="30"/>
        <v>3.9998836883220577</v>
      </c>
      <c r="W439">
        <f t="shared" si="31"/>
        <v>1.230208450704225</v>
      </c>
    </row>
    <row r="440" spans="4:23" x14ac:dyDescent="0.3">
      <c r="D440" s="3"/>
      <c r="Q440">
        <v>7.3341000000000003</v>
      </c>
      <c r="R440">
        <v>54.167000000000002</v>
      </c>
      <c r="S440">
        <f t="shared" si="32"/>
        <v>54.266800000000003</v>
      </c>
      <c r="T440" s="3">
        <v>0.43408450704225343</v>
      </c>
      <c r="V440">
        <f t="shared" si="30"/>
        <v>3.9939126218997689</v>
      </c>
      <c r="W440">
        <f t="shared" si="31"/>
        <v>1.2241183098591546</v>
      </c>
    </row>
    <row r="441" spans="4:23" x14ac:dyDescent="0.3">
      <c r="D441" s="3"/>
      <c r="Q441">
        <v>7.3509000000000002</v>
      </c>
      <c r="R441">
        <v>53.917000000000002</v>
      </c>
      <c r="S441">
        <f t="shared" si="32"/>
        <v>53.991799999999998</v>
      </c>
      <c r="T441" s="3">
        <v>0.43192488262910789</v>
      </c>
      <c r="V441">
        <f t="shared" si="30"/>
        <v>3.9888321831817626</v>
      </c>
      <c r="W441">
        <f t="shared" si="31"/>
        <v>1.2180281690140842</v>
      </c>
    </row>
    <row r="442" spans="4:23" x14ac:dyDescent="0.3">
      <c r="D442" s="3"/>
      <c r="Q442">
        <v>7.3676000000000004</v>
      </c>
      <c r="R442">
        <v>53.75</v>
      </c>
      <c r="S442">
        <f t="shared" si="32"/>
        <v>53.800199999999997</v>
      </c>
      <c r="T442" s="3">
        <v>0.42976525821596234</v>
      </c>
      <c r="V442">
        <f t="shared" si="30"/>
        <v>3.985277184632948</v>
      </c>
      <c r="W442">
        <f t="shared" si="31"/>
        <v>1.2119380281690137</v>
      </c>
    </row>
    <row r="443" spans="4:23" x14ac:dyDescent="0.3">
      <c r="D443" s="3"/>
      <c r="Q443">
        <v>7.3842999999999996</v>
      </c>
      <c r="R443">
        <v>53.542000000000002</v>
      </c>
      <c r="S443">
        <f t="shared" si="32"/>
        <v>53.608400000000003</v>
      </c>
      <c r="T443" s="3">
        <v>0.4276056338028168</v>
      </c>
      <c r="V443">
        <f t="shared" si="30"/>
        <v>3.9817057722159319</v>
      </c>
      <c r="W443">
        <f t="shared" si="31"/>
        <v>1.2058478873239433</v>
      </c>
    </row>
    <row r="444" spans="4:23" x14ac:dyDescent="0.3">
      <c r="D444" s="3"/>
      <c r="Q444">
        <v>7.4010999999999996</v>
      </c>
      <c r="R444">
        <v>53.625</v>
      </c>
      <c r="S444">
        <f t="shared" si="32"/>
        <v>53.358400000000003</v>
      </c>
      <c r="T444" s="3">
        <v>0.42544600938967125</v>
      </c>
      <c r="V444">
        <f t="shared" si="30"/>
        <v>3.9770314161503126</v>
      </c>
      <c r="W444">
        <f t="shared" si="31"/>
        <v>1.1997577464788729</v>
      </c>
    </row>
    <row r="445" spans="4:23" x14ac:dyDescent="0.3">
      <c r="D445" s="3"/>
      <c r="Q445">
        <v>7.4177999999999997</v>
      </c>
      <c r="R445">
        <v>53.207999999999998</v>
      </c>
      <c r="S445">
        <f t="shared" si="32"/>
        <v>53.1</v>
      </c>
      <c r="T445" s="3">
        <v>0.42328638497652571</v>
      </c>
      <c r="V445">
        <f t="shared" si="30"/>
        <v>3.9721769282478934</v>
      </c>
      <c r="W445">
        <f t="shared" si="31"/>
        <v>1.1936676056338025</v>
      </c>
    </row>
    <row r="446" spans="4:23" x14ac:dyDescent="0.3">
      <c r="D446" s="3"/>
      <c r="Q446">
        <v>7.4345999999999997</v>
      </c>
      <c r="R446">
        <v>52.667000000000002</v>
      </c>
      <c r="S446">
        <f t="shared" si="32"/>
        <v>52.783200000000001</v>
      </c>
      <c r="T446" s="3">
        <v>0.42112676056338016</v>
      </c>
      <c r="V446">
        <f t="shared" si="30"/>
        <v>3.9661929582634592</v>
      </c>
      <c r="W446">
        <f t="shared" si="31"/>
        <v>1.1875774647887321</v>
      </c>
    </row>
    <row r="447" spans="4:23" x14ac:dyDescent="0.3">
      <c r="D447" s="3"/>
      <c r="Q447">
        <v>7.4512999999999998</v>
      </c>
      <c r="R447">
        <v>52.457999999999998</v>
      </c>
      <c r="S447">
        <f t="shared" si="32"/>
        <v>52.416599999999995</v>
      </c>
      <c r="T447" s="3">
        <v>0.41896713615023462</v>
      </c>
      <c r="V447">
        <f t="shared" si="30"/>
        <v>3.959223335051536</v>
      </c>
      <c r="W447">
        <f t="shared" si="31"/>
        <v>1.1814873239436616</v>
      </c>
    </row>
    <row r="448" spans="4:23" x14ac:dyDescent="0.3">
      <c r="D448" s="3"/>
      <c r="Q448">
        <v>7.4680999999999997</v>
      </c>
      <c r="R448">
        <v>51.957999999999998</v>
      </c>
      <c r="S448">
        <f t="shared" si="32"/>
        <v>52.108400000000003</v>
      </c>
      <c r="T448" s="3">
        <v>0.41680751173708908</v>
      </c>
      <c r="V448">
        <f t="shared" si="30"/>
        <v>3.9533261641703286</v>
      </c>
      <c r="W448">
        <f t="shared" si="31"/>
        <v>1.1753971830985912</v>
      </c>
    </row>
    <row r="449" spans="4:23" x14ac:dyDescent="0.3">
      <c r="D449" s="3"/>
      <c r="Q449">
        <v>7.4847999999999999</v>
      </c>
      <c r="R449">
        <v>51.792000000000002</v>
      </c>
      <c r="S449">
        <f t="shared" si="32"/>
        <v>51.841599999999993</v>
      </c>
      <c r="T449" s="3">
        <v>0.41464788732394353</v>
      </c>
      <c r="V449">
        <f t="shared" si="30"/>
        <v>3.9481929157652602</v>
      </c>
      <c r="W449">
        <f t="shared" si="31"/>
        <v>1.1693070422535208</v>
      </c>
    </row>
    <row r="450" spans="4:23" x14ac:dyDescent="0.3">
      <c r="D450" s="3"/>
      <c r="Q450">
        <v>7.5015999999999998</v>
      </c>
      <c r="R450">
        <v>51.667000000000002</v>
      </c>
      <c r="S450">
        <f t="shared" si="32"/>
        <v>51.541599999999995</v>
      </c>
      <c r="T450" s="3">
        <v>0.41248826291079799</v>
      </c>
      <c r="V450">
        <f t="shared" si="30"/>
        <v>3.9423892485918057</v>
      </c>
      <c r="W450">
        <f t="shared" si="31"/>
        <v>1.1632169014084504</v>
      </c>
    </row>
    <row r="451" spans="4:23" x14ac:dyDescent="0.3">
      <c r="D451" s="3"/>
      <c r="Q451">
        <v>7.5183</v>
      </c>
      <c r="R451">
        <v>51.332999999999998</v>
      </c>
      <c r="S451">
        <f t="shared" si="32"/>
        <v>51.3</v>
      </c>
      <c r="T451" s="3">
        <v>0.41032863849765244</v>
      </c>
      <c r="V451">
        <f t="shared" ref="V451:V514" si="33">LN(S451)</f>
        <v>3.9376907521767239</v>
      </c>
      <c r="W451">
        <f t="shared" ref="W451:W514" si="34">T451*U$2</f>
        <v>1.1571267605633799</v>
      </c>
    </row>
    <row r="452" spans="4:23" x14ac:dyDescent="0.3">
      <c r="D452" s="3"/>
      <c r="Q452">
        <v>7.5350000000000001</v>
      </c>
      <c r="R452">
        <v>50.957999999999998</v>
      </c>
      <c r="S452">
        <f t="shared" si="32"/>
        <v>51.05</v>
      </c>
      <c r="T452" s="3">
        <v>0.4081690140845069</v>
      </c>
      <c r="V452">
        <f t="shared" si="33"/>
        <v>3.9328055446106744</v>
      </c>
      <c r="W452">
        <f t="shared" si="34"/>
        <v>1.1510366197183093</v>
      </c>
    </row>
    <row r="453" spans="4:23" x14ac:dyDescent="0.3">
      <c r="D453" s="3"/>
      <c r="Q453">
        <v>7.5518000000000001</v>
      </c>
      <c r="R453">
        <v>50.75</v>
      </c>
      <c r="S453">
        <f t="shared" ref="S453:S516" si="35">AVERAGE(R451:R455)</f>
        <v>50.758200000000002</v>
      </c>
      <c r="T453" s="3">
        <v>0.40600938967136135</v>
      </c>
      <c r="V453">
        <f t="shared" si="33"/>
        <v>3.9270731812245234</v>
      </c>
      <c r="W453">
        <f t="shared" si="34"/>
        <v>1.1449464788732389</v>
      </c>
    </row>
    <row r="454" spans="4:23" x14ac:dyDescent="0.3">
      <c r="D454" s="3"/>
      <c r="Q454">
        <v>7.5685000000000002</v>
      </c>
      <c r="R454">
        <v>50.542000000000002</v>
      </c>
      <c r="S454">
        <f t="shared" si="35"/>
        <v>50.458199999999998</v>
      </c>
      <c r="T454" s="3">
        <v>0.40384976525821581</v>
      </c>
      <c r="V454">
        <f t="shared" si="33"/>
        <v>3.9211452707573944</v>
      </c>
      <c r="W454">
        <f t="shared" si="34"/>
        <v>1.1388563380281684</v>
      </c>
    </row>
    <row r="455" spans="4:23" x14ac:dyDescent="0.3">
      <c r="D455" s="3"/>
      <c r="Q455">
        <v>7.5853000000000002</v>
      </c>
      <c r="R455">
        <v>50.207999999999998</v>
      </c>
      <c r="S455">
        <f t="shared" si="35"/>
        <v>50.174999999999997</v>
      </c>
      <c r="T455" s="3">
        <v>0.40169014084507038</v>
      </c>
      <c r="V455">
        <f t="shared" si="33"/>
        <v>3.9155168946824017</v>
      </c>
      <c r="W455">
        <f t="shared" si="34"/>
        <v>1.1327661971830985</v>
      </c>
    </row>
    <row r="456" spans="4:23" x14ac:dyDescent="0.3">
      <c r="D456" s="3"/>
      <c r="Q456">
        <v>7.6020000000000003</v>
      </c>
      <c r="R456">
        <v>49.832999999999998</v>
      </c>
      <c r="S456">
        <f t="shared" si="35"/>
        <v>49.9084</v>
      </c>
      <c r="T456" s="3">
        <v>0.39953051643192483</v>
      </c>
      <c r="V456">
        <f t="shared" si="33"/>
        <v>3.9101893252637918</v>
      </c>
      <c r="W456">
        <f t="shared" si="34"/>
        <v>1.126676056338028</v>
      </c>
    </row>
    <row r="457" spans="4:23" x14ac:dyDescent="0.3">
      <c r="D457" s="3"/>
      <c r="Q457">
        <v>7.6188000000000002</v>
      </c>
      <c r="R457">
        <v>49.542000000000002</v>
      </c>
      <c r="S457">
        <f t="shared" si="35"/>
        <v>49.616599999999998</v>
      </c>
      <c r="T457" s="3">
        <v>0.39737089201877929</v>
      </c>
      <c r="V457">
        <f t="shared" si="33"/>
        <v>3.9043254551582414</v>
      </c>
      <c r="W457">
        <f t="shared" si="34"/>
        <v>1.1205859154929576</v>
      </c>
    </row>
    <row r="458" spans="4:23" x14ac:dyDescent="0.3">
      <c r="D458" s="3"/>
      <c r="Q458">
        <v>7.6355000000000004</v>
      </c>
      <c r="R458">
        <v>49.417000000000002</v>
      </c>
      <c r="S458">
        <f t="shared" si="35"/>
        <v>49.358400000000003</v>
      </c>
      <c r="T458" s="3">
        <v>0.39521126760563374</v>
      </c>
      <c r="V458">
        <f t="shared" si="33"/>
        <v>3.899107964160899</v>
      </c>
      <c r="W458">
        <f t="shared" si="34"/>
        <v>1.1144957746478872</v>
      </c>
    </row>
    <row r="459" spans="4:23" x14ac:dyDescent="0.3">
      <c r="D459" s="3"/>
      <c r="Q459">
        <v>7.6523000000000003</v>
      </c>
      <c r="R459">
        <v>49.082999999999998</v>
      </c>
      <c r="S459">
        <f t="shared" si="35"/>
        <v>49.083399999999997</v>
      </c>
      <c r="T459" s="3">
        <v>0.3930516431924882</v>
      </c>
      <c r="V459">
        <f t="shared" si="33"/>
        <v>3.8935208920969595</v>
      </c>
      <c r="W459">
        <f t="shared" si="34"/>
        <v>1.1084056338028168</v>
      </c>
    </row>
    <row r="460" spans="4:23" x14ac:dyDescent="0.3">
      <c r="D460" s="3"/>
      <c r="Q460">
        <v>7.6689999999999996</v>
      </c>
      <c r="R460">
        <v>48.917000000000002</v>
      </c>
      <c r="S460">
        <f t="shared" si="35"/>
        <v>48.75</v>
      </c>
      <c r="T460" s="3">
        <v>0.39089201877934265</v>
      </c>
      <c r="V460">
        <f t="shared" si="33"/>
        <v>3.886705197443856</v>
      </c>
      <c r="W460">
        <f t="shared" si="34"/>
        <v>1.1023154929577461</v>
      </c>
    </row>
    <row r="461" spans="4:23" x14ac:dyDescent="0.3">
      <c r="D461" s="3"/>
      <c r="Q461">
        <v>7.6856999999999998</v>
      </c>
      <c r="R461">
        <v>48.457999999999998</v>
      </c>
      <c r="S461">
        <f t="shared" si="35"/>
        <v>48.408200000000001</v>
      </c>
      <c r="T461" s="3">
        <v>0.38873239436619711</v>
      </c>
      <c r="V461">
        <f t="shared" si="33"/>
        <v>3.8796692208599901</v>
      </c>
      <c r="W461">
        <f t="shared" si="34"/>
        <v>1.0962253521126757</v>
      </c>
    </row>
    <row r="462" spans="4:23" x14ac:dyDescent="0.3">
      <c r="D462" s="3"/>
      <c r="Q462">
        <v>7.7024999999999997</v>
      </c>
      <c r="R462">
        <v>47.875</v>
      </c>
      <c r="S462">
        <f t="shared" si="35"/>
        <v>48.016599999999997</v>
      </c>
      <c r="T462" s="3">
        <v>0.38657276995305156</v>
      </c>
      <c r="V462">
        <f t="shared" si="33"/>
        <v>3.8715467844546607</v>
      </c>
      <c r="W462">
        <f t="shared" si="34"/>
        <v>1.0901352112676053</v>
      </c>
    </row>
    <row r="463" spans="4:23" x14ac:dyDescent="0.3">
      <c r="D463" s="3"/>
      <c r="Q463">
        <v>7.7191999999999998</v>
      </c>
      <c r="R463">
        <v>47.707999999999998</v>
      </c>
      <c r="S463">
        <f t="shared" si="35"/>
        <v>47.566600000000001</v>
      </c>
      <c r="T463" s="3">
        <v>0.38441314553990602</v>
      </c>
      <c r="V463">
        <f t="shared" si="33"/>
        <v>3.8621308342720031</v>
      </c>
      <c r="W463">
        <f t="shared" si="34"/>
        <v>1.0840450704225348</v>
      </c>
    </row>
    <row r="464" spans="4:23" x14ac:dyDescent="0.3">
      <c r="D464" s="3"/>
      <c r="Q464">
        <v>7.7359999999999998</v>
      </c>
      <c r="R464">
        <v>47.125</v>
      </c>
      <c r="S464">
        <f t="shared" si="35"/>
        <v>47.233400000000003</v>
      </c>
      <c r="T464" s="3">
        <v>0.38225352112676048</v>
      </c>
      <c r="V464">
        <f t="shared" si="33"/>
        <v>3.8551012694601332</v>
      </c>
      <c r="W464">
        <f t="shared" si="34"/>
        <v>1.0779549295774644</v>
      </c>
    </row>
    <row r="465" spans="4:23" x14ac:dyDescent="0.3">
      <c r="D465" s="3"/>
      <c r="Q465">
        <v>7.7526999999999999</v>
      </c>
      <c r="R465">
        <v>46.667000000000002</v>
      </c>
      <c r="S465">
        <f t="shared" si="35"/>
        <v>47.116799999999998</v>
      </c>
      <c r="T465" s="3">
        <v>0.38009389671361493</v>
      </c>
      <c r="V465">
        <f t="shared" si="33"/>
        <v>3.8526296253224555</v>
      </c>
      <c r="W465">
        <f t="shared" si="34"/>
        <v>1.071864788732394</v>
      </c>
    </row>
    <row r="466" spans="4:23" x14ac:dyDescent="0.3">
      <c r="D466" s="3"/>
      <c r="Q466">
        <v>7.7694999999999999</v>
      </c>
      <c r="R466">
        <v>46.792000000000002</v>
      </c>
      <c r="S466">
        <f t="shared" si="35"/>
        <v>46.983600000000003</v>
      </c>
      <c r="T466" s="3">
        <v>0.37793427230046928</v>
      </c>
      <c r="V466">
        <f t="shared" si="33"/>
        <v>3.849798604647455</v>
      </c>
      <c r="W466">
        <f t="shared" si="34"/>
        <v>1.0657746478873233</v>
      </c>
    </row>
    <row r="467" spans="4:23" x14ac:dyDescent="0.3">
      <c r="D467" s="3"/>
      <c r="Q467">
        <v>7.7862</v>
      </c>
      <c r="R467">
        <v>47.292000000000002</v>
      </c>
      <c r="S467">
        <f t="shared" si="35"/>
        <v>46.867000000000004</v>
      </c>
      <c r="T467" s="3">
        <v>0.37577464788732384</v>
      </c>
      <c r="V467">
        <f t="shared" si="33"/>
        <v>3.8473138030586957</v>
      </c>
      <c r="W467">
        <f t="shared" si="34"/>
        <v>1.0596845070422531</v>
      </c>
    </row>
    <row r="468" spans="4:23" x14ac:dyDescent="0.3">
      <c r="D468" s="3"/>
      <c r="Q468">
        <v>7.8029999999999999</v>
      </c>
      <c r="R468">
        <v>47.042000000000002</v>
      </c>
      <c r="S468">
        <f t="shared" si="35"/>
        <v>46.767000000000003</v>
      </c>
      <c r="T468" s="3">
        <v>0.37361502347417841</v>
      </c>
      <c r="V468">
        <f t="shared" si="33"/>
        <v>3.8451778259986535</v>
      </c>
      <c r="W468">
        <f t="shared" si="34"/>
        <v>1.0535943661971832</v>
      </c>
    </row>
    <row r="469" spans="4:23" x14ac:dyDescent="0.3">
      <c r="D469" s="3"/>
      <c r="Q469">
        <v>7.8197000000000001</v>
      </c>
      <c r="R469">
        <v>46.542000000000002</v>
      </c>
      <c r="S469">
        <f t="shared" si="35"/>
        <v>46.600200000000001</v>
      </c>
      <c r="T469" s="3">
        <v>0.37145539906103275</v>
      </c>
      <c r="V469">
        <f t="shared" si="33"/>
        <v>3.8416048329678838</v>
      </c>
      <c r="W469">
        <f t="shared" si="34"/>
        <v>1.0475042253521123</v>
      </c>
    </row>
    <row r="470" spans="4:23" x14ac:dyDescent="0.3">
      <c r="D470" s="3"/>
      <c r="Q470">
        <v>7.8364000000000003</v>
      </c>
      <c r="R470">
        <v>46.167000000000002</v>
      </c>
      <c r="S470">
        <f t="shared" si="35"/>
        <v>46.208399999999997</v>
      </c>
      <c r="T470" s="3">
        <v>0.36929577464788732</v>
      </c>
      <c r="V470">
        <f t="shared" si="33"/>
        <v>3.833161599742589</v>
      </c>
      <c r="W470">
        <f t="shared" si="34"/>
        <v>1.0414140845070421</v>
      </c>
    </row>
    <row r="471" spans="4:23" x14ac:dyDescent="0.3">
      <c r="D471" s="3"/>
      <c r="Q471">
        <v>7.8532000000000002</v>
      </c>
      <c r="R471">
        <v>45.957999999999998</v>
      </c>
      <c r="S471">
        <f t="shared" si="35"/>
        <v>45.8</v>
      </c>
      <c r="T471" s="3">
        <v>0.36713615023474166</v>
      </c>
      <c r="V471">
        <f t="shared" si="33"/>
        <v>3.824284091120139</v>
      </c>
      <c r="W471">
        <f t="shared" si="34"/>
        <v>1.0353239436619714</v>
      </c>
    </row>
    <row r="472" spans="4:23" x14ac:dyDescent="0.3">
      <c r="D472" s="3"/>
      <c r="Q472">
        <v>7.8699000000000003</v>
      </c>
      <c r="R472">
        <v>45.332999999999998</v>
      </c>
      <c r="S472">
        <f t="shared" si="35"/>
        <v>45.433199999999999</v>
      </c>
      <c r="T472" s="3">
        <v>0.36497652582159623</v>
      </c>
      <c r="V472">
        <f t="shared" si="33"/>
        <v>3.8162431153272096</v>
      </c>
      <c r="W472">
        <f t="shared" si="34"/>
        <v>1.0292338028169012</v>
      </c>
    </row>
    <row r="473" spans="4:23" x14ac:dyDescent="0.3">
      <c r="D473" s="3"/>
      <c r="Q473">
        <v>7.8867000000000003</v>
      </c>
      <c r="R473">
        <v>45</v>
      </c>
      <c r="S473">
        <f t="shared" si="35"/>
        <v>45.108199999999997</v>
      </c>
      <c r="T473" s="3">
        <v>0.36281690140845058</v>
      </c>
      <c r="V473">
        <f t="shared" si="33"/>
        <v>3.8090640481635285</v>
      </c>
      <c r="W473">
        <f t="shared" si="34"/>
        <v>1.0231436619718306</v>
      </c>
    </row>
    <row r="474" spans="4:23" x14ac:dyDescent="0.3">
      <c r="D474" s="3"/>
      <c r="Q474">
        <v>7.9034000000000004</v>
      </c>
      <c r="R474">
        <v>44.707999999999998</v>
      </c>
      <c r="S474">
        <f t="shared" si="35"/>
        <v>44.8</v>
      </c>
      <c r="T474" s="3">
        <v>0.36065727699530514</v>
      </c>
      <c r="V474">
        <f t="shared" si="33"/>
        <v>3.8022081394209395</v>
      </c>
      <c r="W474">
        <f t="shared" si="34"/>
        <v>1.0170535211267604</v>
      </c>
    </row>
    <row r="475" spans="4:23" x14ac:dyDescent="0.3">
      <c r="D475" s="3"/>
      <c r="Q475">
        <v>7.9202000000000004</v>
      </c>
      <c r="R475">
        <v>44.542000000000002</v>
      </c>
      <c r="S475">
        <f t="shared" si="35"/>
        <v>44.566800000000001</v>
      </c>
      <c r="T475" s="3">
        <v>0.35849765258215949</v>
      </c>
      <c r="V475">
        <f t="shared" si="33"/>
        <v>3.7969891872079375</v>
      </c>
      <c r="W475">
        <f t="shared" si="34"/>
        <v>1.0109633802816897</v>
      </c>
    </row>
    <row r="476" spans="4:23" x14ac:dyDescent="0.3">
      <c r="D476" s="3"/>
      <c r="Q476">
        <v>7.9368999999999996</v>
      </c>
      <c r="R476">
        <v>44.417000000000002</v>
      </c>
      <c r="S476">
        <f t="shared" si="35"/>
        <v>44.2834</v>
      </c>
      <c r="T476" s="3">
        <v>0.35633802816901405</v>
      </c>
      <c r="V476">
        <f t="shared" si="33"/>
        <v>3.7906098889938624</v>
      </c>
      <c r="W476">
        <f t="shared" si="34"/>
        <v>1.0048732394366195</v>
      </c>
    </row>
    <row r="477" spans="4:23" x14ac:dyDescent="0.3">
      <c r="D477" s="3"/>
      <c r="Q477">
        <v>7.9537000000000004</v>
      </c>
      <c r="R477">
        <v>44.167000000000002</v>
      </c>
      <c r="S477">
        <f t="shared" si="35"/>
        <v>44.041800000000002</v>
      </c>
      <c r="T477" s="3">
        <v>0.3541784037558684</v>
      </c>
      <c r="V477">
        <f t="shared" si="33"/>
        <v>3.7851391829538494</v>
      </c>
      <c r="W477">
        <f t="shared" si="34"/>
        <v>0.99878309859154879</v>
      </c>
    </row>
    <row r="478" spans="4:23" x14ac:dyDescent="0.3">
      <c r="D478" s="3"/>
      <c r="Q478">
        <v>7.9703999999999997</v>
      </c>
      <c r="R478">
        <v>43.582999999999998</v>
      </c>
      <c r="S478">
        <f t="shared" si="35"/>
        <v>43.758400000000002</v>
      </c>
      <c r="T478" s="3">
        <v>0.35201877934272296</v>
      </c>
      <c r="V478">
        <f t="shared" si="33"/>
        <v>3.7786835943739825</v>
      </c>
      <c r="W478">
        <f t="shared" si="34"/>
        <v>0.9926929577464787</v>
      </c>
    </row>
    <row r="479" spans="4:23" x14ac:dyDescent="0.3">
      <c r="D479" s="3"/>
      <c r="Q479">
        <v>7.9870999999999999</v>
      </c>
      <c r="R479">
        <v>43.5</v>
      </c>
      <c r="S479">
        <f t="shared" si="35"/>
        <v>43.458399999999997</v>
      </c>
      <c r="T479" s="3">
        <v>0.34985915492957731</v>
      </c>
      <c r="V479">
        <f t="shared" si="33"/>
        <v>3.7718041586880835</v>
      </c>
      <c r="W479">
        <f t="shared" si="34"/>
        <v>0.98660281690140794</v>
      </c>
    </row>
    <row r="480" spans="4:23" x14ac:dyDescent="0.3">
      <c r="D480" s="3"/>
      <c r="Q480">
        <v>8.0038999999999998</v>
      </c>
      <c r="R480">
        <v>43.125</v>
      </c>
      <c r="S480">
        <f t="shared" si="35"/>
        <v>43.15</v>
      </c>
      <c r="T480" s="3">
        <v>0.34769953051643188</v>
      </c>
      <c r="V480">
        <f t="shared" si="33"/>
        <v>3.7646824175294369</v>
      </c>
      <c r="W480">
        <f t="shared" si="34"/>
        <v>0.98051267605633785</v>
      </c>
    </row>
    <row r="481" spans="4:23" x14ac:dyDescent="0.3">
      <c r="D481" s="3"/>
      <c r="Q481">
        <v>8.0206</v>
      </c>
      <c r="R481">
        <v>42.917000000000002</v>
      </c>
      <c r="S481">
        <f t="shared" si="35"/>
        <v>42.791800000000002</v>
      </c>
      <c r="T481" s="3">
        <v>0.34553990610328622</v>
      </c>
      <c r="V481">
        <f t="shared" si="33"/>
        <v>3.7563464954472288</v>
      </c>
      <c r="W481">
        <f t="shared" si="34"/>
        <v>0.97442253521126709</v>
      </c>
    </row>
    <row r="482" spans="4:23" x14ac:dyDescent="0.3">
      <c r="D482" s="3"/>
      <c r="Q482">
        <v>8.0373999999999999</v>
      </c>
      <c r="R482">
        <v>42.625</v>
      </c>
      <c r="S482">
        <f t="shared" si="35"/>
        <v>42.341799999999999</v>
      </c>
      <c r="T482" s="3">
        <v>0.34338028169014079</v>
      </c>
      <c r="V482">
        <f t="shared" si="33"/>
        <v>3.745774777793148</v>
      </c>
      <c r="W482">
        <f t="shared" si="34"/>
        <v>0.968332394366197</v>
      </c>
    </row>
    <row r="483" spans="4:23" x14ac:dyDescent="0.3">
      <c r="D483" s="3"/>
      <c r="Q483">
        <v>8.0541</v>
      </c>
      <c r="R483">
        <v>41.792000000000002</v>
      </c>
      <c r="S483">
        <f t="shared" si="35"/>
        <v>41.883400000000002</v>
      </c>
      <c r="T483" s="3">
        <v>0.34122065727699513</v>
      </c>
      <c r="V483">
        <f t="shared" si="33"/>
        <v>3.7348895670432651</v>
      </c>
      <c r="W483">
        <f t="shared" si="34"/>
        <v>0.96224225352112625</v>
      </c>
    </row>
    <row r="484" spans="4:23" x14ac:dyDescent="0.3">
      <c r="D484" s="3"/>
      <c r="Q484">
        <v>8.0709</v>
      </c>
      <c r="R484">
        <v>41.25</v>
      </c>
      <c r="S484">
        <f t="shared" si="35"/>
        <v>41.308399999999999</v>
      </c>
      <c r="T484" s="3">
        <v>0.3390610328638497</v>
      </c>
      <c r="V484">
        <f t="shared" si="33"/>
        <v>3.7210658691165879</v>
      </c>
      <c r="W484">
        <f t="shared" si="34"/>
        <v>0.95615211267605604</v>
      </c>
    </row>
    <row r="485" spans="4:23" x14ac:dyDescent="0.3">
      <c r="D485" s="3"/>
      <c r="Q485">
        <v>8.0876000000000001</v>
      </c>
      <c r="R485">
        <v>40.832999999999998</v>
      </c>
      <c r="S485">
        <f t="shared" si="35"/>
        <v>40.65</v>
      </c>
      <c r="T485" s="3">
        <v>0.33690140845070404</v>
      </c>
      <c r="V485">
        <f t="shared" si="33"/>
        <v>3.7049988359938197</v>
      </c>
      <c r="W485">
        <f t="shared" si="34"/>
        <v>0.9500619718309854</v>
      </c>
    </row>
    <row r="486" spans="4:23" x14ac:dyDescent="0.3">
      <c r="D486" s="3"/>
      <c r="Q486">
        <v>8.1044</v>
      </c>
      <c r="R486">
        <v>40.042000000000002</v>
      </c>
      <c r="S486">
        <f t="shared" si="35"/>
        <v>40</v>
      </c>
      <c r="T486" s="3">
        <v>0.33474178403755861</v>
      </c>
      <c r="V486">
        <f t="shared" si="33"/>
        <v>3.6888794541139363</v>
      </c>
      <c r="W486">
        <f t="shared" si="34"/>
        <v>0.94397183098591519</v>
      </c>
    </row>
    <row r="487" spans="4:23" x14ac:dyDescent="0.3">
      <c r="D487" s="3"/>
      <c r="Q487">
        <v>8.1211000000000002</v>
      </c>
      <c r="R487">
        <v>39.332999999999998</v>
      </c>
      <c r="S487">
        <f t="shared" si="35"/>
        <v>39.441600000000001</v>
      </c>
      <c r="T487" s="3">
        <v>0.33258215962441295</v>
      </c>
      <c r="V487">
        <f t="shared" si="33"/>
        <v>3.674821096862896</v>
      </c>
      <c r="W487">
        <f t="shared" si="34"/>
        <v>0.93788169014084444</v>
      </c>
    </row>
    <row r="488" spans="4:23" x14ac:dyDescent="0.3">
      <c r="D488" s="3"/>
      <c r="Q488">
        <v>8.1378000000000004</v>
      </c>
      <c r="R488">
        <v>38.542000000000002</v>
      </c>
      <c r="S488">
        <f t="shared" si="35"/>
        <v>38.933399999999999</v>
      </c>
      <c r="T488" s="3">
        <v>0.33042253521126752</v>
      </c>
      <c r="V488">
        <f t="shared" si="33"/>
        <v>3.6618524940533179</v>
      </c>
      <c r="W488">
        <f t="shared" si="34"/>
        <v>0.93179154929577435</v>
      </c>
    </row>
    <row r="489" spans="4:23" x14ac:dyDescent="0.3">
      <c r="D489" s="3"/>
      <c r="Q489">
        <v>8.1546000000000003</v>
      </c>
      <c r="R489">
        <v>38.457999999999998</v>
      </c>
      <c r="S489">
        <f t="shared" si="35"/>
        <v>38.508400000000002</v>
      </c>
      <c r="T489" s="3">
        <v>0.32826291079812187</v>
      </c>
      <c r="V489">
        <f t="shared" si="33"/>
        <v>3.650876399313729</v>
      </c>
      <c r="W489">
        <f t="shared" si="34"/>
        <v>0.92570140845070359</v>
      </c>
    </row>
    <row r="490" spans="4:23" x14ac:dyDescent="0.3">
      <c r="D490" s="3"/>
      <c r="Q490">
        <v>8.1713000000000005</v>
      </c>
      <c r="R490">
        <v>38.292000000000002</v>
      </c>
      <c r="S490">
        <f t="shared" si="35"/>
        <v>38.208399999999997</v>
      </c>
      <c r="T490" s="3">
        <v>0.32610328638497643</v>
      </c>
      <c r="V490">
        <f t="shared" si="33"/>
        <v>3.6430553867270623</v>
      </c>
      <c r="W490">
        <f t="shared" si="34"/>
        <v>0.9196112676056335</v>
      </c>
    </row>
    <row r="491" spans="4:23" x14ac:dyDescent="0.3">
      <c r="D491" s="3"/>
      <c r="Q491">
        <v>8.1881000000000004</v>
      </c>
      <c r="R491">
        <v>37.917000000000002</v>
      </c>
      <c r="S491">
        <f t="shared" si="35"/>
        <v>37.916600000000003</v>
      </c>
      <c r="T491" s="3">
        <v>0.323943661971831</v>
      </c>
      <c r="V491">
        <f t="shared" si="33"/>
        <v>3.6353890109196461</v>
      </c>
      <c r="W491">
        <f t="shared" si="34"/>
        <v>0.91352112676056341</v>
      </c>
    </row>
    <row r="492" spans="4:23" x14ac:dyDescent="0.3">
      <c r="D492" s="3"/>
      <c r="Q492">
        <v>8.2048000000000005</v>
      </c>
      <c r="R492">
        <v>37.832999999999998</v>
      </c>
      <c r="S492">
        <f t="shared" si="35"/>
        <v>37.558399999999999</v>
      </c>
      <c r="T492" s="3">
        <v>0.32178403755868534</v>
      </c>
      <c r="V492">
        <f t="shared" si="33"/>
        <v>3.6258970549236675</v>
      </c>
      <c r="W492">
        <f t="shared" si="34"/>
        <v>0.90743098591549265</v>
      </c>
    </row>
    <row r="493" spans="4:23" x14ac:dyDescent="0.3">
      <c r="D493" s="3"/>
      <c r="Q493">
        <v>8.2216000000000005</v>
      </c>
      <c r="R493">
        <v>37.082999999999998</v>
      </c>
      <c r="S493">
        <f t="shared" si="35"/>
        <v>37.133400000000002</v>
      </c>
      <c r="T493" s="3">
        <v>0.31962441314553991</v>
      </c>
      <c r="V493">
        <f t="shared" si="33"/>
        <v>3.6145168341555989</v>
      </c>
      <c r="W493">
        <f t="shared" si="34"/>
        <v>0.90134084507042245</v>
      </c>
    </row>
    <row r="494" spans="4:23" x14ac:dyDescent="0.3">
      <c r="D494" s="3"/>
      <c r="Q494">
        <v>8.2383000000000006</v>
      </c>
      <c r="R494">
        <v>36.667000000000002</v>
      </c>
      <c r="S494">
        <f t="shared" si="35"/>
        <v>36.6584</v>
      </c>
      <c r="T494" s="3">
        <v>0.31746478873239425</v>
      </c>
      <c r="V494">
        <f t="shared" si="33"/>
        <v>3.6016425971601556</v>
      </c>
      <c r="W494">
        <f t="shared" si="34"/>
        <v>0.8952507042253518</v>
      </c>
    </row>
    <row r="495" spans="4:23" x14ac:dyDescent="0.3">
      <c r="D495" s="3"/>
      <c r="Q495">
        <v>8.2551000000000005</v>
      </c>
      <c r="R495">
        <v>36.167000000000002</v>
      </c>
      <c r="S495">
        <f t="shared" si="35"/>
        <v>36.1252</v>
      </c>
      <c r="T495" s="3">
        <v>0.31530516431924882</v>
      </c>
      <c r="V495">
        <f t="shared" si="33"/>
        <v>3.5869906827494509</v>
      </c>
      <c r="W495">
        <f t="shared" si="34"/>
        <v>0.8891605633802816</v>
      </c>
    </row>
    <row r="496" spans="4:23" x14ac:dyDescent="0.3">
      <c r="D496" s="3"/>
      <c r="Q496">
        <v>8.2718000000000007</v>
      </c>
      <c r="R496">
        <v>35.542000000000002</v>
      </c>
      <c r="S496">
        <f t="shared" si="35"/>
        <v>35.667000000000002</v>
      </c>
      <c r="T496" s="3">
        <v>0.31314553990610317</v>
      </c>
      <c r="V496">
        <f t="shared" si="33"/>
        <v>3.5742258915445175</v>
      </c>
      <c r="W496">
        <f t="shared" si="34"/>
        <v>0.88307042253521084</v>
      </c>
    </row>
    <row r="497" spans="4:23" x14ac:dyDescent="0.3">
      <c r="D497" s="3"/>
      <c r="Q497">
        <v>8.2885000000000009</v>
      </c>
      <c r="R497">
        <v>35.167000000000002</v>
      </c>
      <c r="S497">
        <f t="shared" si="35"/>
        <v>35.208600000000004</v>
      </c>
      <c r="T497" s="3">
        <v>0.31098591549295773</v>
      </c>
      <c r="V497">
        <f t="shared" si="33"/>
        <v>3.5612903709450432</v>
      </c>
      <c r="W497">
        <f t="shared" si="34"/>
        <v>0.87698028169014075</v>
      </c>
    </row>
    <row r="498" spans="4:23" x14ac:dyDescent="0.3">
      <c r="D498" s="3"/>
      <c r="Q498">
        <v>8.3053000000000008</v>
      </c>
      <c r="R498">
        <v>34.792000000000002</v>
      </c>
      <c r="S498">
        <f t="shared" si="35"/>
        <v>34.825200000000002</v>
      </c>
      <c r="T498" s="3">
        <v>0.30882629107981208</v>
      </c>
      <c r="V498">
        <f t="shared" si="33"/>
        <v>3.5503412626500963</v>
      </c>
      <c r="W498">
        <f t="shared" si="34"/>
        <v>0.87089014084506999</v>
      </c>
    </row>
    <row r="499" spans="4:23" x14ac:dyDescent="0.3">
      <c r="D499" s="3"/>
      <c r="Q499">
        <v>8.3219999999999992</v>
      </c>
      <c r="R499">
        <v>34.375</v>
      </c>
      <c r="S499">
        <f t="shared" si="35"/>
        <v>34.5002</v>
      </c>
      <c r="T499" s="3">
        <v>0.30666666666666664</v>
      </c>
      <c r="V499">
        <f t="shared" si="33"/>
        <v>3.5409651211219604</v>
      </c>
      <c r="W499">
        <f t="shared" si="34"/>
        <v>0.8647999999999999</v>
      </c>
    </row>
    <row r="500" spans="4:23" x14ac:dyDescent="0.3">
      <c r="D500" s="3"/>
      <c r="Q500">
        <v>8.3388000000000009</v>
      </c>
      <c r="R500">
        <v>34.25</v>
      </c>
      <c r="S500">
        <f t="shared" si="35"/>
        <v>34.166800000000002</v>
      </c>
      <c r="T500" s="3">
        <v>0.30450704225352099</v>
      </c>
      <c r="V500">
        <f t="shared" si="33"/>
        <v>3.5312544123417631</v>
      </c>
      <c r="W500">
        <f t="shared" si="34"/>
        <v>0.85870985915492914</v>
      </c>
    </row>
    <row r="501" spans="4:23" x14ac:dyDescent="0.3">
      <c r="D501" s="3"/>
      <c r="Q501">
        <v>8.3554999999999993</v>
      </c>
      <c r="R501">
        <v>33.917000000000002</v>
      </c>
      <c r="S501">
        <f t="shared" si="35"/>
        <v>33.85</v>
      </c>
      <c r="T501" s="3">
        <v>0.30234741784037555</v>
      </c>
      <c r="V501">
        <f t="shared" si="33"/>
        <v>3.5219389993582841</v>
      </c>
      <c r="W501">
        <f t="shared" si="34"/>
        <v>0.85261971830985905</v>
      </c>
    </row>
    <row r="502" spans="4:23" x14ac:dyDescent="0.3">
      <c r="D502" s="3"/>
      <c r="Q502">
        <v>8.3722999999999992</v>
      </c>
      <c r="R502">
        <v>33.5</v>
      </c>
      <c r="S502">
        <f t="shared" si="35"/>
        <v>33.524999999999999</v>
      </c>
      <c r="T502" s="3">
        <v>0.3001877934272299</v>
      </c>
      <c r="V502">
        <f t="shared" si="33"/>
        <v>3.5122914291677421</v>
      </c>
      <c r="W502">
        <f t="shared" si="34"/>
        <v>0.8465295774647883</v>
      </c>
    </row>
    <row r="503" spans="4:23" x14ac:dyDescent="0.3">
      <c r="D503" s="3"/>
      <c r="Q503">
        <v>8.3889999999999993</v>
      </c>
      <c r="R503">
        <v>33.207999999999998</v>
      </c>
      <c r="S503">
        <f t="shared" si="35"/>
        <v>33.25</v>
      </c>
      <c r="T503" s="3">
        <v>0.29802816901408447</v>
      </c>
      <c r="V503">
        <f t="shared" si="33"/>
        <v>3.5040547671018634</v>
      </c>
      <c r="W503">
        <f t="shared" si="34"/>
        <v>0.84043943661971809</v>
      </c>
    </row>
    <row r="504" spans="4:23" x14ac:dyDescent="0.3">
      <c r="D504" s="3"/>
      <c r="Q504">
        <v>8.4057999999999993</v>
      </c>
      <c r="R504">
        <v>32.75</v>
      </c>
      <c r="S504">
        <f t="shared" si="35"/>
        <v>33.008200000000002</v>
      </c>
      <c r="T504" s="3">
        <v>0.29586854460093881</v>
      </c>
      <c r="V504">
        <f t="shared" si="33"/>
        <v>3.4967560154477186</v>
      </c>
      <c r="W504">
        <f t="shared" si="34"/>
        <v>0.83434929577464745</v>
      </c>
    </row>
    <row r="505" spans="4:23" x14ac:dyDescent="0.3">
      <c r="D505" s="3"/>
      <c r="Q505">
        <v>8.4224999999999994</v>
      </c>
      <c r="R505">
        <v>32.875</v>
      </c>
      <c r="S505">
        <f t="shared" si="35"/>
        <v>32.741599999999998</v>
      </c>
      <c r="T505" s="3">
        <v>0.29370892018779338</v>
      </c>
      <c r="V505">
        <f t="shared" si="33"/>
        <v>3.488646440632829</v>
      </c>
      <c r="W505">
        <f t="shared" si="34"/>
        <v>0.82825915492957725</v>
      </c>
    </row>
    <row r="506" spans="4:23" x14ac:dyDescent="0.3">
      <c r="D506" s="3"/>
      <c r="Q506">
        <v>8.4391999999999996</v>
      </c>
      <c r="R506">
        <v>32.707999999999998</v>
      </c>
      <c r="S506">
        <f t="shared" si="35"/>
        <v>32.5334</v>
      </c>
      <c r="T506" s="3">
        <v>0.29154929577464772</v>
      </c>
      <c r="V506">
        <f t="shared" si="33"/>
        <v>3.4822672539291655</v>
      </c>
      <c r="W506">
        <f t="shared" si="34"/>
        <v>0.82216901408450649</v>
      </c>
    </row>
    <row r="507" spans="4:23" x14ac:dyDescent="0.3">
      <c r="D507" s="3"/>
      <c r="Q507">
        <v>8.4559999999999995</v>
      </c>
      <c r="R507">
        <v>32.167000000000002</v>
      </c>
      <c r="S507">
        <f t="shared" si="35"/>
        <v>32.375</v>
      </c>
      <c r="T507" s="3">
        <v>0.28938967136150229</v>
      </c>
      <c r="V507">
        <f t="shared" si="33"/>
        <v>3.4773865200197016</v>
      </c>
      <c r="W507">
        <f t="shared" si="34"/>
        <v>0.8160788732394364</v>
      </c>
    </row>
    <row r="508" spans="4:23" x14ac:dyDescent="0.3">
      <c r="D508" s="3"/>
      <c r="Q508">
        <v>8.4726999999999997</v>
      </c>
      <c r="R508">
        <v>32.167000000000002</v>
      </c>
      <c r="S508">
        <f t="shared" si="35"/>
        <v>32.058399999999999</v>
      </c>
      <c r="T508" s="3">
        <v>0.28723004694835663</v>
      </c>
      <c r="V508">
        <f t="shared" si="33"/>
        <v>3.4675592395105874</v>
      </c>
      <c r="W508">
        <f t="shared" si="34"/>
        <v>0.80998873239436564</v>
      </c>
    </row>
    <row r="509" spans="4:23" x14ac:dyDescent="0.3">
      <c r="D509" s="3"/>
      <c r="Q509">
        <v>8.4894999999999996</v>
      </c>
      <c r="R509">
        <v>31.957999999999998</v>
      </c>
      <c r="S509">
        <f t="shared" si="35"/>
        <v>31.7334</v>
      </c>
      <c r="T509" s="3">
        <v>0.2850704225352112</v>
      </c>
      <c r="V509">
        <f t="shared" si="33"/>
        <v>3.4573697539673391</v>
      </c>
      <c r="W509">
        <f t="shared" si="34"/>
        <v>0.80389859154929555</v>
      </c>
    </row>
    <row r="510" spans="4:23" x14ac:dyDescent="0.3">
      <c r="D510" s="3"/>
      <c r="Q510">
        <v>8.5061999999999998</v>
      </c>
      <c r="R510">
        <v>31.292000000000002</v>
      </c>
      <c r="S510">
        <f t="shared" si="35"/>
        <v>31.416599999999999</v>
      </c>
      <c r="T510" s="3">
        <v>0.28291079812206554</v>
      </c>
      <c r="V510">
        <f t="shared" si="33"/>
        <v>3.447336415641844</v>
      </c>
      <c r="W510">
        <f t="shared" si="34"/>
        <v>0.79780845070422479</v>
      </c>
    </row>
    <row r="511" spans="4:23" x14ac:dyDescent="0.3">
      <c r="D511" s="3"/>
      <c r="Q511">
        <v>8.5229999999999997</v>
      </c>
      <c r="R511">
        <v>31.082999999999998</v>
      </c>
      <c r="S511">
        <f t="shared" si="35"/>
        <v>31.066600000000001</v>
      </c>
      <c r="T511" s="3">
        <v>0.28075117370892011</v>
      </c>
      <c r="V511">
        <f t="shared" si="33"/>
        <v>3.4361332870983867</v>
      </c>
      <c r="W511">
        <f t="shared" si="34"/>
        <v>0.7917183098591547</v>
      </c>
    </row>
    <row r="512" spans="4:23" x14ac:dyDescent="0.3">
      <c r="D512" s="3"/>
      <c r="Q512">
        <v>8.5396999999999998</v>
      </c>
      <c r="R512">
        <v>30.582999999999998</v>
      </c>
      <c r="S512">
        <f t="shared" si="35"/>
        <v>30.708400000000001</v>
      </c>
      <c r="T512" s="3">
        <v>0.27859154929577445</v>
      </c>
      <c r="V512">
        <f t="shared" si="33"/>
        <v>3.4245362328023994</v>
      </c>
      <c r="W512">
        <f t="shared" si="34"/>
        <v>0.78562816901408394</v>
      </c>
    </row>
    <row r="513" spans="4:23" x14ac:dyDescent="0.3">
      <c r="D513" s="3"/>
      <c r="Q513">
        <v>8.5564999999999998</v>
      </c>
      <c r="R513">
        <v>30.417000000000002</v>
      </c>
      <c r="S513">
        <f t="shared" si="35"/>
        <v>30.333400000000001</v>
      </c>
      <c r="T513" s="3">
        <v>0.27643192488262902</v>
      </c>
      <c r="V513">
        <f t="shared" si="33"/>
        <v>3.4122494156485232</v>
      </c>
      <c r="W513">
        <f t="shared" si="34"/>
        <v>0.77953802816901374</v>
      </c>
    </row>
    <row r="514" spans="4:23" x14ac:dyDescent="0.3">
      <c r="D514" s="3"/>
      <c r="Q514">
        <v>8.5731999999999999</v>
      </c>
      <c r="R514">
        <v>30.167000000000002</v>
      </c>
      <c r="S514">
        <f t="shared" si="35"/>
        <v>30.0002</v>
      </c>
      <c r="T514" s="3">
        <v>0.27427230046948359</v>
      </c>
      <c r="V514">
        <f t="shared" si="33"/>
        <v>3.4012040483065999</v>
      </c>
      <c r="W514">
        <f t="shared" si="34"/>
        <v>0.77344788732394365</v>
      </c>
    </row>
    <row r="515" spans="4:23" x14ac:dyDescent="0.3">
      <c r="D515" s="3"/>
      <c r="Q515">
        <v>8.5899000000000001</v>
      </c>
      <c r="R515">
        <v>29.417000000000002</v>
      </c>
      <c r="S515">
        <f t="shared" si="35"/>
        <v>29.725200000000001</v>
      </c>
      <c r="T515" s="3">
        <v>0.27211267605633793</v>
      </c>
      <c r="V515">
        <f t="shared" ref="V515:V578" si="36">LN(S515)</f>
        <v>3.3919951708973559</v>
      </c>
      <c r="W515">
        <f t="shared" ref="W515:W578" si="37">T515*U$2</f>
        <v>0.76735774647887289</v>
      </c>
    </row>
    <row r="516" spans="4:23" x14ac:dyDescent="0.3">
      <c r="D516" s="3"/>
      <c r="Q516">
        <v>8.6067</v>
      </c>
      <c r="R516">
        <v>29.417000000000002</v>
      </c>
      <c r="S516">
        <f t="shared" si="35"/>
        <v>29.366800000000001</v>
      </c>
      <c r="T516" s="3">
        <v>0.2699530516431925</v>
      </c>
      <c r="V516">
        <f t="shared" si="36"/>
        <v>3.3798647845588361</v>
      </c>
      <c r="W516">
        <f t="shared" si="37"/>
        <v>0.7612676056338028</v>
      </c>
    </row>
    <row r="517" spans="4:23" x14ac:dyDescent="0.3">
      <c r="D517" s="3"/>
      <c r="Q517">
        <v>8.6234000000000002</v>
      </c>
      <c r="R517">
        <v>29.207999999999998</v>
      </c>
      <c r="S517">
        <f t="shared" ref="S517:S580" si="38">AVERAGE(R515:R519)</f>
        <v>29.0168</v>
      </c>
      <c r="T517" s="3">
        <v>0.26779342723004684</v>
      </c>
      <c r="V517">
        <f t="shared" si="36"/>
        <v>3.3678749725958412</v>
      </c>
      <c r="W517">
        <f t="shared" si="37"/>
        <v>0.75517746478873204</v>
      </c>
    </row>
    <row r="518" spans="4:23" x14ac:dyDescent="0.3">
      <c r="D518" s="3"/>
      <c r="Q518">
        <v>8.6402000000000001</v>
      </c>
      <c r="R518">
        <v>28.625</v>
      </c>
      <c r="S518">
        <f t="shared" si="38"/>
        <v>28.7</v>
      </c>
      <c r="T518" s="3">
        <v>0.26563380281690141</v>
      </c>
      <c r="V518">
        <f t="shared" si="36"/>
        <v>3.3568971227655755</v>
      </c>
      <c r="W518">
        <f t="shared" si="37"/>
        <v>0.74908732394366195</v>
      </c>
    </row>
    <row r="519" spans="4:23" x14ac:dyDescent="0.3">
      <c r="D519" s="3"/>
      <c r="Q519">
        <v>8.6569000000000003</v>
      </c>
      <c r="R519">
        <v>28.417000000000002</v>
      </c>
      <c r="S519">
        <f t="shared" si="38"/>
        <v>28.366599999999998</v>
      </c>
      <c r="T519" s="3">
        <v>0.26347417840375575</v>
      </c>
      <c r="V519">
        <f t="shared" si="36"/>
        <v>3.3452123967321938</v>
      </c>
      <c r="W519">
        <f t="shared" si="37"/>
        <v>0.7429971830985912</v>
      </c>
    </row>
    <row r="520" spans="4:23" x14ac:dyDescent="0.3">
      <c r="D520" s="3"/>
      <c r="Q520">
        <v>8.6737000000000002</v>
      </c>
      <c r="R520">
        <v>27.832999999999998</v>
      </c>
      <c r="S520">
        <f t="shared" si="38"/>
        <v>28.0916</v>
      </c>
      <c r="T520" s="3">
        <v>0.26131455399061032</v>
      </c>
      <c r="V520">
        <f t="shared" si="36"/>
        <v>3.3354705992661668</v>
      </c>
      <c r="W520">
        <f t="shared" si="37"/>
        <v>0.73690704225352111</v>
      </c>
    </row>
    <row r="521" spans="4:23" x14ac:dyDescent="0.3">
      <c r="D521" s="3"/>
      <c r="Q521">
        <v>8.6904000000000003</v>
      </c>
      <c r="R521">
        <v>27.75</v>
      </c>
      <c r="S521">
        <f t="shared" si="38"/>
        <v>27.908200000000001</v>
      </c>
      <c r="T521" s="3">
        <v>0.25915492957746467</v>
      </c>
      <c r="V521">
        <f t="shared" si="36"/>
        <v>3.3289205524552101</v>
      </c>
      <c r="W521">
        <f t="shared" si="37"/>
        <v>0.73081690140845035</v>
      </c>
    </row>
    <row r="522" spans="4:23" x14ac:dyDescent="0.3">
      <c r="D522" s="3"/>
      <c r="Q522">
        <v>8.7072000000000003</v>
      </c>
      <c r="R522">
        <v>27.832999999999998</v>
      </c>
      <c r="S522">
        <f t="shared" si="38"/>
        <v>27.816399999999998</v>
      </c>
      <c r="T522" s="3">
        <v>0.25699530516431923</v>
      </c>
      <c r="V522">
        <f t="shared" si="36"/>
        <v>3.3256257748149931</v>
      </c>
      <c r="W522">
        <f t="shared" si="37"/>
        <v>0.72472676056338015</v>
      </c>
    </row>
    <row r="523" spans="4:23" x14ac:dyDescent="0.3">
      <c r="D523" s="3"/>
      <c r="Q523">
        <v>8.7239000000000004</v>
      </c>
      <c r="R523">
        <v>27.707999999999998</v>
      </c>
      <c r="S523">
        <f t="shared" si="38"/>
        <v>27.7498</v>
      </c>
      <c r="T523" s="3">
        <v>0.25483568075117358</v>
      </c>
      <c r="V523">
        <f t="shared" si="36"/>
        <v>3.3232286329592644</v>
      </c>
      <c r="W523">
        <f t="shared" si="37"/>
        <v>0.7186366197183095</v>
      </c>
    </row>
    <row r="524" spans="4:23" x14ac:dyDescent="0.3">
      <c r="D524" s="3"/>
      <c r="Q524">
        <v>8.7406000000000006</v>
      </c>
      <c r="R524">
        <v>27.957999999999998</v>
      </c>
      <c r="S524">
        <f t="shared" si="38"/>
        <v>27.649799999999999</v>
      </c>
      <c r="T524" s="3">
        <v>0.25267605633802814</v>
      </c>
      <c r="V524">
        <f t="shared" si="36"/>
        <v>3.3196184946691276</v>
      </c>
      <c r="W524">
        <f t="shared" si="37"/>
        <v>0.7125464788732393</v>
      </c>
    </row>
    <row r="525" spans="4:23" x14ac:dyDescent="0.3">
      <c r="D525" s="3"/>
      <c r="Q525">
        <v>8.7574000000000005</v>
      </c>
      <c r="R525">
        <v>27.5</v>
      </c>
      <c r="S525">
        <f t="shared" si="38"/>
        <v>27.441600000000001</v>
      </c>
      <c r="T525" s="3">
        <v>0.25051643192488249</v>
      </c>
      <c r="V525">
        <f t="shared" si="36"/>
        <v>3.3120601101956795</v>
      </c>
      <c r="W525">
        <f t="shared" si="37"/>
        <v>0.70645633802816854</v>
      </c>
    </row>
    <row r="526" spans="4:23" x14ac:dyDescent="0.3">
      <c r="D526" s="3"/>
      <c r="Q526">
        <v>8.7741000000000007</v>
      </c>
      <c r="R526">
        <v>27.25</v>
      </c>
      <c r="S526">
        <f t="shared" si="38"/>
        <v>27.15</v>
      </c>
      <c r="T526" s="3">
        <v>0.24835680751173705</v>
      </c>
      <c r="V526">
        <f t="shared" si="36"/>
        <v>3.3013770463799443</v>
      </c>
      <c r="W526">
        <f t="shared" si="37"/>
        <v>0.70036619718309845</v>
      </c>
    </row>
    <row r="527" spans="4:23" x14ac:dyDescent="0.3">
      <c r="D527" s="3"/>
      <c r="Q527">
        <v>8.7909000000000006</v>
      </c>
      <c r="R527">
        <v>26.792000000000002</v>
      </c>
      <c r="S527">
        <f t="shared" si="38"/>
        <v>26.808399999999999</v>
      </c>
      <c r="T527" s="3">
        <v>0.2461971830985914</v>
      </c>
      <c r="V527">
        <f t="shared" si="36"/>
        <v>3.2887152712428223</v>
      </c>
      <c r="W527">
        <f t="shared" si="37"/>
        <v>0.69427605633802769</v>
      </c>
    </row>
    <row r="528" spans="4:23" x14ac:dyDescent="0.3">
      <c r="D528" s="3"/>
      <c r="Q528">
        <v>8.8076000000000008</v>
      </c>
      <c r="R528">
        <v>26.25</v>
      </c>
      <c r="S528">
        <f t="shared" si="38"/>
        <v>26.566800000000001</v>
      </c>
      <c r="T528" s="3">
        <v>0.24403755868544597</v>
      </c>
      <c r="V528">
        <f t="shared" si="36"/>
        <v>3.2796623159360427</v>
      </c>
      <c r="W528">
        <f t="shared" si="37"/>
        <v>0.6881859154929576</v>
      </c>
    </row>
    <row r="529" spans="4:23" x14ac:dyDescent="0.3">
      <c r="D529" s="3"/>
      <c r="Q529">
        <v>8.8244000000000007</v>
      </c>
      <c r="R529">
        <v>26.25</v>
      </c>
      <c r="S529">
        <f t="shared" si="38"/>
        <v>26.3752</v>
      </c>
      <c r="T529" s="3">
        <v>0.24187793427230031</v>
      </c>
      <c r="V529">
        <f t="shared" si="36"/>
        <v>3.2724241747058689</v>
      </c>
      <c r="W529">
        <f t="shared" si="37"/>
        <v>0.68209577464788684</v>
      </c>
    </row>
    <row r="530" spans="4:23" x14ac:dyDescent="0.3">
      <c r="D530" s="3"/>
      <c r="Q530">
        <v>8.8411000000000008</v>
      </c>
      <c r="R530">
        <v>26.292000000000002</v>
      </c>
      <c r="S530">
        <f t="shared" si="38"/>
        <v>26.241800000000001</v>
      </c>
      <c r="T530" s="3">
        <v>0.23971830985915488</v>
      </c>
      <c r="V530">
        <f t="shared" si="36"/>
        <v>3.2673535592841589</v>
      </c>
      <c r="W530">
        <f t="shared" si="37"/>
        <v>0.67600563380281675</v>
      </c>
    </row>
    <row r="531" spans="4:23" x14ac:dyDescent="0.3">
      <c r="D531" s="3"/>
      <c r="Q531">
        <v>8.8579000000000008</v>
      </c>
      <c r="R531">
        <v>26.292000000000002</v>
      </c>
      <c r="S531">
        <f t="shared" si="38"/>
        <v>26.1418</v>
      </c>
      <c r="T531" s="3">
        <v>0.23755868544600922</v>
      </c>
      <c r="V531">
        <f t="shared" si="36"/>
        <v>3.2635355658100336</v>
      </c>
      <c r="W531">
        <f t="shared" si="37"/>
        <v>0.66991549295774599</v>
      </c>
    </row>
    <row r="532" spans="4:23" x14ac:dyDescent="0.3">
      <c r="D532" s="3"/>
      <c r="Q532">
        <v>8.8745999999999992</v>
      </c>
      <c r="R532">
        <v>26.125</v>
      </c>
      <c r="S532">
        <f t="shared" si="38"/>
        <v>25.8584</v>
      </c>
      <c r="T532" s="3">
        <v>0.23539906103286379</v>
      </c>
      <c r="V532">
        <f t="shared" si="36"/>
        <v>3.2526354998131879</v>
      </c>
      <c r="W532">
        <f t="shared" si="37"/>
        <v>0.66382535211267579</v>
      </c>
    </row>
    <row r="533" spans="4:23" x14ac:dyDescent="0.3">
      <c r="D533" s="3"/>
      <c r="Q533">
        <v>8.8914000000000009</v>
      </c>
      <c r="R533">
        <v>25.75</v>
      </c>
      <c r="S533">
        <f t="shared" si="38"/>
        <v>25.491599999999998</v>
      </c>
      <c r="T533" s="3">
        <v>0.23323943661971813</v>
      </c>
      <c r="V533">
        <f t="shared" si="36"/>
        <v>3.238348986131701</v>
      </c>
      <c r="W533">
        <f t="shared" si="37"/>
        <v>0.65773521126760515</v>
      </c>
    </row>
    <row r="534" spans="4:23" x14ac:dyDescent="0.3">
      <c r="D534" s="3"/>
      <c r="Q534">
        <v>8.9080999999999992</v>
      </c>
      <c r="R534">
        <v>24.832999999999998</v>
      </c>
      <c r="S534">
        <f t="shared" si="38"/>
        <v>25.116599999999998</v>
      </c>
      <c r="T534" s="3">
        <v>0.2310798122065727</v>
      </c>
      <c r="V534">
        <f t="shared" si="36"/>
        <v>3.2235289821208455</v>
      </c>
      <c r="W534">
        <f t="shared" si="37"/>
        <v>0.65164507042253494</v>
      </c>
    </row>
    <row r="535" spans="4:23" x14ac:dyDescent="0.3">
      <c r="D535" s="3"/>
      <c r="Q535">
        <v>8.9247999999999994</v>
      </c>
      <c r="R535">
        <v>24.457999999999998</v>
      </c>
      <c r="S535">
        <f t="shared" si="38"/>
        <v>24.774999999999999</v>
      </c>
      <c r="T535" s="3">
        <v>0.22892018779342704</v>
      </c>
      <c r="V535">
        <f t="shared" si="36"/>
        <v>3.2098350802160516</v>
      </c>
      <c r="W535">
        <f t="shared" si="37"/>
        <v>0.64555492957746419</v>
      </c>
    </row>
    <row r="536" spans="4:23" x14ac:dyDescent="0.3">
      <c r="D536" s="3"/>
      <c r="Q536">
        <v>8.9415999999999993</v>
      </c>
      <c r="R536">
        <v>24.417000000000002</v>
      </c>
      <c r="S536">
        <f t="shared" si="38"/>
        <v>24.508400000000002</v>
      </c>
      <c r="T536" s="3">
        <v>0.22676056338028161</v>
      </c>
      <c r="V536">
        <f t="shared" si="36"/>
        <v>3.1990159159314593</v>
      </c>
      <c r="W536">
        <f t="shared" si="37"/>
        <v>0.6394647887323941</v>
      </c>
    </row>
    <row r="537" spans="4:23" x14ac:dyDescent="0.3">
      <c r="D537" s="3"/>
      <c r="Q537">
        <v>8.9582999999999995</v>
      </c>
      <c r="R537">
        <v>24.417000000000002</v>
      </c>
      <c r="S537">
        <f t="shared" si="38"/>
        <v>24.2834</v>
      </c>
      <c r="T537" s="3">
        <v>0.22460093896713618</v>
      </c>
      <c r="V537">
        <f t="shared" si="36"/>
        <v>3.1897929893365284</v>
      </c>
      <c r="W537">
        <f t="shared" si="37"/>
        <v>0.633374647887324</v>
      </c>
    </row>
    <row r="538" spans="4:23" x14ac:dyDescent="0.3">
      <c r="D538" s="3"/>
      <c r="Q538">
        <v>8.9750999999999994</v>
      </c>
      <c r="R538">
        <v>24.417000000000002</v>
      </c>
      <c r="S538">
        <f t="shared" si="38"/>
        <v>24.116800000000001</v>
      </c>
      <c r="T538" s="3">
        <v>0.22244131455399052</v>
      </c>
      <c r="V538">
        <f t="shared" si="36"/>
        <v>3.1829086930741277</v>
      </c>
      <c r="W538">
        <f t="shared" si="37"/>
        <v>0.62728450704225325</v>
      </c>
    </row>
    <row r="539" spans="4:23" x14ac:dyDescent="0.3">
      <c r="D539" s="3"/>
      <c r="Q539">
        <v>8.9917999999999996</v>
      </c>
      <c r="R539">
        <v>23.707999999999998</v>
      </c>
      <c r="S539">
        <f t="shared" si="38"/>
        <v>23.925000000000001</v>
      </c>
      <c r="T539" s="3">
        <v>0.22028169014084509</v>
      </c>
      <c r="V539">
        <f t="shared" si="36"/>
        <v>3.1749239373390181</v>
      </c>
      <c r="W539">
        <f t="shared" si="37"/>
        <v>0.62119436619718316</v>
      </c>
    </row>
    <row r="540" spans="4:23" x14ac:dyDescent="0.3">
      <c r="D540" s="3"/>
      <c r="Q540">
        <v>9.0085999999999995</v>
      </c>
      <c r="R540">
        <v>23.625</v>
      </c>
      <c r="S540">
        <f t="shared" si="38"/>
        <v>23.633199999999999</v>
      </c>
      <c r="T540" s="3">
        <v>0.21812206572769943</v>
      </c>
      <c r="V540">
        <f t="shared" si="36"/>
        <v>3.1626525031051154</v>
      </c>
      <c r="W540">
        <f t="shared" si="37"/>
        <v>0.6151042253521124</v>
      </c>
    </row>
    <row r="541" spans="4:23" x14ac:dyDescent="0.3">
      <c r="D541" s="3"/>
      <c r="Q541">
        <v>9.0252999999999997</v>
      </c>
      <c r="R541">
        <v>23.457999999999998</v>
      </c>
      <c r="S541">
        <f t="shared" si="38"/>
        <v>23.316399999999998</v>
      </c>
      <c r="T541" s="3">
        <v>0.215962441314554</v>
      </c>
      <c r="V541">
        <f t="shared" si="36"/>
        <v>3.1491569756374513</v>
      </c>
      <c r="W541">
        <f t="shared" si="37"/>
        <v>0.6090140845070422</v>
      </c>
    </row>
    <row r="542" spans="4:23" x14ac:dyDescent="0.3">
      <c r="D542" s="3"/>
      <c r="Q542">
        <v>9.0420999999999996</v>
      </c>
      <c r="R542">
        <v>22.957999999999998</v>
      </c>
      <c r="S542">
        <f t="shared" si="38"/>
        <v>23.058199999999999</v>
      </c>
      <c r="T542" s="3">
        <v>0.21380281690140834</v>
      </c>
      <c r="V542">
        <f t="shared" si="36"/>
        <v>3.1380214545523106</v>
      </c>
      <c r="W542">
        <f t="shared" si="37"/>
        <v>0.60292394366197144</v>
      </c>
    </row>
    <row r="543" spans="4:23" x14ac:dyDescent="0.3">
      <c r="D543" s="3"/>
      <c r="Q543">
        <v>9.0587999999999997</v>
      </c>
      <c r="R543">
        <v>22.832999999999998</v>
      </c>
      <c r="S543">
        <f t="shared" si="38"/>
        <v>22.791599999999999</v>
      </c>
      <c r="T543" s="3">
        <v>0.21164319248826291</v>
      </c>
      <c r="V543">
        <f t="shared" si="36"/>
        <v>3.1263920470240536</v>
      </c>
      <c r="W543">
        <f t="shared" si="37"/>
        <v>0.59683380281690135</v>
      </c>
    </row>
    <row r="544" spans="4:23" x14ac:dyDescent="0.3">
      <c r="D544" s="3"/>
      <c r="Q544">
        <v>9.0754999999999999</v>
      </c>
      <c r="R544">
        <v>22.417000000000002</v>
      </c>
      <c r="S544">
        <f t="shared" si="38"/>
        <v>22.524999999999999</v>
      </c>
      <c r="T544" s="3">
        <v>0.20948356807511725</v>
      </c>
      <c r="V544">
        <f t="shared" si="36"/>
        <v>3.1146258034944014</v>
      </c>
      <c r="W544">
        <f t="shared" si="37"/>
        <v>0.59074366197183059</v>
      </c>
    </row>
    <row r="545" spans="4:23" x14ac:dyDescent="0.3">
      <c r="D545" s="3"/>
      <c r="Q545">
        <v>9.0922999999999998</v>
      </c>
      <c r="R545">
        <v>22.292000000000002</v>
      </c>
      <c r="S545">
        <f t="shared" si="38"/>
        <v>22.191800000000001</v>
      </c>
      <c r="T545" s="3">
        <v>0.20732394366197182</v>
      </c>
      <c r="V545">
        <f t="shared" si="36"/>
        <v>3.099722851275196</v>
      </c>
      <c r="W545">
        <f t="shared" si="37"/>
        <v>0.5846535211267605</v>
      </c>
    </row>
    <row r="546" spans="4:23" x14ac:dyDescent="0.3">
      <c r="D546" s="3"/>
      <c r="Q546">
        <v>9.109</v>
      </c>
      <c r="R546">
        <v>22.125</v>
      </c>
      <c r="S546">
        <f t="shared" si="38"/>
        <v>21.866800000000001</v>
      </c>
      <c r="T546" s="3">
        <v>0.20516431924882617</v>
      </c>
      <c r="V546">
        <f t="shared" si="36"/>
        <v>3.0849695048243193</v>
      </c>
      <c r="W546">
        <f t="shared" si="37"/>
        <v>0.57856338028168974</v>
      </c>
    </row>
    <row r="547" spans="4:23" x14ac:dyDescent="0.3">
      <c r="D547" s="3"/>
      <c r="Q547">
        <v>9.1257999999999999</v>
      </c>
      <c r="R547">
        <v>21.292000000000002</v>
      </c>
      <c r="S547">
        <f t="shared" si="38"/>
        <v>21.591799999999999</v>
      </c>
      <c r="T547" s="3">
        <v>0.20300469483568073</v>
      </c>
      <c r="V547">
        <f t="shared" si="36"/>
        <v>3.0723136129829194</v>
      </c>
      <c r="W547">
        <f t="shared" si="37"/>
        <v>0.57247323943661965</v>
      </c>
    </row>
    <row r="548" spans="4:23" x14ac:dyDescent="0.3">
      <c r="D548" s="3"/>
      <c r="Q548">
        <v>9.1425000000000001</v>
      </c>
      <c r="R548">
        <v>21.207999999999998</v>
      </c>
      <c r="S548">
        <f t="shared" si="38"/>
        <v>21.25</v>
      </c>
      <c r="T548" s="3">
        <v>0.20084507042253508</v>
      </c>
      <c r="V548">
        <f t="shared" si="36"/>
        <v>3.0563568953704259</v>
      </c>
      <c r="W548">
        <f t="shared" si="37"/>
        <v>0.56638309859154889</v>
      </c>
    </row>
    <row r="549" spans="4:23" x14ac:dyDescent="0.3">
      <c r="D549" s="3"/>
      <c r="Q549">
        <v>9.1593</v>
      </c>
      <c r="R549">
        <v>21.042000000000002</v>
      </c>
      <c r="S549">
        <f t="shared" si="38"/>
        <v>20.916599999999999</v>
      </c>
      <c r="T549" s="3">
        <v>0.19868544600938964</v>
      </c>
      <c r="V549">
        <f t="shared" si="36"/>
        <v>3.0405431020877081</v>
      </c>
      <c r="W549">
        <f t="shared" si="37"/>
        <v>0.5602929577464788</v>
      </c>
    </row>
    <row r="550" spans="4:23" x14ac:dyDescent="0.3">
      <c r="D550" s="3"/>
      <c r="Q550">
        <v>9.1760000000000002</v>
      </c>
      <c r="R550">
        <v>20.582999999999998</v>
      </c>
      <c r="S550">
        <f t="shared" si="38"/>
        <v>20.599799999999998</v>
      </c>
      <c r="T550" s="3">
        <v>0.19652582159624399</v>
      </c>
      <c r="V550">
        <f t="shared" si="36"/>
        <v>3.0252813670105412</v>
      </c>
      <c r="W550">
        <f t="shared" si="37"/>
        <v>0.55420281690140805</v>
      </c>
    </row>
    <row r="551" spans="4:23" x14ac:dyDescent="0.3">
      <c r="D551" s="3"/>
      <c r="Q551">
        <v>9.1928000000000001</v>
      </c>
      <c r="R551">
        <v>20.457999999999998</v>
      </c>
      <c r="S551">
        <f t="shared" si="38"/>
        <v>20.308199999999999</v>
      </c>
      <c r="T551" s="3">
        <v>0.19436619718309855</v>
      </c>
      <c r="V551">
        <f t="shared" si="36"/>
        <v>3.0110247453722847</v>
      </c>
      <c r="W551">
        <f t="shared" si="37"/>
        <v>0.54811267605633784</v>
      </c>
    </row>
    <row r="552" spans="4:23" x14ac:dyDescent="0.3">
      <c r="D552" s="3"/>
      <c r="Q552">
        <v>9.2095000000000002</v>
      </c>
      <c r="R552">
        <v>19.707999999999998</v>
      </c>
      <c r="S552">
        <f t="shared" si="38"/>
        <v>20.0748</v>
      </c>
      <c r="T552" s="3">
        <v>0.1922065727699529</v>
      </c>
      <c r="V552">
        <f t="shared" si="36"/>
        <v>2.9994652971430984</v>
      </c>
      <c r="W552">
        <f t="shared" si="37"/>
        <v>0.5420225352112672</v>
      </c>
    </row>
    <row r="553" spans="4:23" x14ac:dyDescent="0.3">
      <c r="D553" s="3"/>
      <c r="Q553">
        <v>9.2262000000000004</v>
      </c>
      <c r="R553">
        <v>19.75</v>
      </c>
      <c r="S553">
        <f t="shared" si="38"/>
        <v>19.833199999999998</v>
      </c>
      <c r="T553" s="3">
        <v>0.19004694835680747</v>
      </c>
      <c r="V553">
        <f t="shared" si="36"/>
        <v>2.9873573011718011</v>
      </c>
      <c r="W553">
        <f t="shared" si="37"/>
        <v>0.535932394366197</v>
      </c>
    </row>
    <row r="554" spans="4:23" x14ac:dyDescent="0.3">
      <c r="D554" s="3"/>
      <c r="Q554">
        <v>9.2430000000000003</v>
      </c>
      <c r="R554">
        <v>19.875</v>
      </c>
      <c r="S554">
        <f t="shared" si="38"/>
        <v>19.583199999999998</v>
      </c>
      <c r="T554" s="3">
        <v>0.18788732394366181</v>
      </c>
      <c r="V554">
        <f t="shared" si="36"/>
        <v>2.9746720558223423</v>
      </c>
      <c r="W554">
        <f t="shared" si="37"/>
        <v>0.52984225352112624</v>
      </c>
    </row>
    <row r="555" spans="4:23" x14ac:dyDescent="0.3">
      <c r="D555" s="3"/>
      <c r="Q555">
        <v>9.2597000000000005</v>
      </c>
      <c r="R555">
        <v>19.375</v>
      </c>
      <c r="S555">
        <f t="shared" si="38"/>
        <v>19.441600000000001</v>
      </c>
      <c r="T555" s="3">
        <v>0.18572769953051638</v>
      </c>
      <c r="V555">
        <f t="shared" si="36"/>
        <v>2.9674151001722104</v>
      </c>
      <c r="W555">
        <f t="shared" si="37"/>
        <v>0.52375211267605615</v>
      </c>
    </row>
    <row r="556" spans="4:23" x14ac:dyDescent="0.3">
      <c r="D556" s="3"/>
      <c r="Q556">
        <v>9.2765000000000004</v>
      </c>
      <c r="R556">
        <v>19.207999999999998</v>
      </c>
      <c r="S556">
        <f t="shared" si="38"/>
        <v>19.2332</v>
      </c>
      <c r="T556" s="3">
        <v>0.18356807511737072</v>
      </c>
      <c r="V556">
        <f t="shared" si="36"/>
        <v>2.9566379524129029</v>
      </c>
      <c r="W556">
        <f t="shared" si="37"/>
        <v>0.51766197183098539</v>
      </c>
    </row>
    <row r="557" spans="4:23" x14ac:dyDescent="0.3">
      <c r="D557" s="3"/>
      <c r="Q557">
        <v>9.2932000000000006</v>
      </c>
      <c r="R557">
        <v>19</v>
      </c>
      <c r="S557">
        <f t="shared" si="38"/>
        <v>18.958199999999998</v>
      </c>
      <c r="T557" s="3">
        <v>0.18140845070422529</v>
      </c>
      <c r="V557">
        <f t="shared" si="36"/>
        <v>2.9422365556112404</v>
      </c>
      <c r="W557">
        <f t="shared" si="37"/>
        <v>0.5115718309859153</v>
      </c>
    </row>
    <row r="558" spans="4:23" x14ac:dyDescent="0.3">
      <c r="D558" s="3"/>
      <c r="Q558">
        <v>9.31</v>
      </c>
      <c r="R558">
        <v>18.707999999999998</v>
      </c>
      <c r="S558">
        <f t="shared" si="38"/>
        <v>18.691600000000001</v>
      </c>
      <c r="T558" s="3">
        <v>0.17924882629107963</v>
      </c>
      <c r="V558">
        <f t="shared" si="36"/>
        <v>2.928074225079996</v>
      </c>
      <c r="W558">
        <f t="shared" si="37"/>
        <v>0.50548169014084454</v>
      </c>
    </row>
    <row r="559" spans="4:23" x14ac:dyDescent="0.3">
      <c r="D559" s="3"/>
      <c r="Q559">
        <v>9.3267000000000007</v>
      </c>
      <c r="R559">
        <v>18.5</v>
      </c>
      <c r="S559">
        <f t="shared" si="38"/>
        <v>18.3916</v>
      </c>
      <c r="T559" s="3">
        <v>0.1770892018779342</v>
      </c>
      <c r="V559">
        <f t="shared" si="36"/>
        <v>2.9118940386380348</v>
      </c>
      <c r="W559">
        <f t="shared" si="37"/>
        <v>0.4993915492957744</v>
      </c>
    </row>
    <row r="560" spans="4:23" x14ac:dyDescent="0.3">
      <c r="D560" s="3"/>
      <c r="Q560">
        <v>9.3435000000000006</v>
      </c>
      <c r="R560">
        <v>18.042000000000002</v>
      </c>
      <c r="S560">
        <f t="shared" si="38"/>
        <v>18.125</v>
      </c>
      <c r="T560" s="3">
        <v>0.17492957746478877</v>
      </c>
      <c r="V560">
        <f t="shared" si="36"/>
        <v>2.8972922007407385</v>
      </c>
      <c r="W560">
        <f t="shared" si="37"/>
        <v>0.4933014084507043</v>
      </c>
    </row>
    <row r="561" spans="4:23" x14ac:dyDescent="0.3">
      <c r="D561" s="3"/>
      <c r="Q561">
        <v>9.3602000000000007</v>
      </c>
      <c r="R561">
        <v>17.707999999999998</v>
      </c>
      <c r="S561">
        <f t="shared" si="38"/>
        <v>17.899999999999999</v>
      </c>
      <c r="T561" s="3">
        <v>0.17276995305164311</v>
      </c>
      <c r="V561">
        <f t="shared" si="36"/>
        <v>2.884800712846709</v>
      </c>
      <c r="W561">
        <f t="shared" si="37"/>
        <v>0.48721126760563355</v>
      </c>
    </row>
    <row r="562" spans="4:23" x14ac:dyDescent="0.3">
      <c r="D562" s="3"/>
      <c r="Q562">
        <v>9.3768999999999991</v>
      </c>
      <c r="R562">
        <v>17.667000000000002</v>
      </c>
      <c r="S562">
        <f t="shared" si="38"/>
        <v>17.7334</v>
      </c>
      <c r="T562" s="3">
        <v>0.17061032863849768</v>
      </c>
      <c r="V562">
        <f t="shared" si="36"/>
        <v>2.8754498670709188</v>
      </c>
      <c r="W562">
        <f t="shared" si="37"/>
        <v>0.4811211267605634</v>
      </c>
    </row>
    <row r="563" spans="4:23" x14ac:dyDescent="0.3">
      <c r="D563" s="3"/>
      <c r="Q563">
        <v>9.3937000000000008</v>
      </c>
      <c r="R563">
        <v>17.582999999999998</v>
      </c>
      <c r="S563">
        <f t="shared" si="38"/>
        <v>17.625</v>
      </c>
      <c r="T563" s="3">
        <v>0.16845070422535202</v>
      </c>
      <c r="V563">
        <f t="shared" si="36"/>
        <v>2.8693183486983322</v>
      </c>
      <c r="W563">
        <f t="shared" si="37"/>
        <v>0.4750309859154927</v>
      </c>
    </row>
    <row r="564" spans="4:23" x14ac:dyDescent="0.3">
      <c r="D564" s="3"/>
      <c r="Q564">
        <v>9.4103999999999992</v>
      </c>
      <c r="R564">
        <v>17.667000000000002</v>
      </c>
      <c r="S564">
        <f t="shared" si="38"/>
        <v>17.45</v>
      </c>
      <c r="T564" s="3">
        <v>0.16629107981220659</v>
      </c>
      <c r="V564">
        <f t="shared" si="36"/>
        <v>2.8593396486484361</v>
      </c>
      <c r="W564">
        <f t="shared" si="37"/>
        <v>0.46894084507042255</v>
      </c>
    </row>
    <row r="565" spans="4:23" x14ac:dyDescent="0.3">
      <c r="D565" s="3"/>
      <c r="Q565">
        <v>9.4271999999999991</v>
      </c>
      <c r="R565">
        <v>17.5</v>
      </c>
      <c r="S565">
        <f t="shared" si="38"/>
        <v>17.241599999999998</v>
      </c>
      <c r="T565" s="3">
        <v>0.16413145539906093</v>
      </c>
      <c r="V565">
        <f t="shared" si="36"/>
        <v>2.8473250683537983</v>
      </c>
      <c r="W565">
        <f t="shared" si="37"/>
        <v>0.46285070422535179</v>
      </c>
    </row>
    <row r="566" spans="4:23" x14ac:dyDescent="0.3">
      <c r="D566" s="3"/>
      <c r="Q566">
        <v>9.4438999999999993</v>
      </c>
      <c r="R566">
        <v>16.832999999999998</v>
      </c>
      <c r="S566">
        <f t="shared" si="38"/>
        <v>16.991599999999998</v>
      </c>
      <c r="T566" s="3">
        <v>0.1619718309859155</v>
      </c>
      <c r="V566">
        <f t="shared" si="36"/>
        <v>2.8327191042928042</v>
      </c>
      <c r="W566">
        <f t="shared" si="37"/>
        <v>0.4567605633802817</v>
      </c>
    </row>
    <row r="567" spans="4:23" x14ac:dyDescent="0.3">
      <c r="D567" s="3"/>
      <c r="Q567">
        <v>9.4606999999999992</v>
      </c>
      <c r="R567">
        <v>16.625</v>
      </c>
      <c r="S567">
        <f t="shared" si="38"/>
        <v>16.683199999999999</v>
      </c>
      <c r="T567" s="3">
        <v>0.15981220657276984</v>
      </c>
      <c r="V567">
        <f t="shared" si="36"/>
        <v>2.8144022250531915</v>
      </c>
      <c r="W567">
        <f t="shared" si="37"/>
        <v>0.45067042253521095</v>
      </c>
    </row>
    <row r="568" spans="4:23" x14ac:dyDescent="0.3">
      <c r="D568" s="3"/>
      <c r="Q568">
        <v>9.4773999999999994</v>
      </c>
      <c r="R568">
        <v>16.332999999999998</v>
      </c>
      <c r="S568">
        <f t="shared" si="38"/>
        <v>16.408200000000001</v>
      </c>
      <c r="T568" s="3">
        <v>0.15765258215962441</v>
      </c>
      <c r="V568">
        <f t="shared" si="36"/>
        <v>2.797781209871804</v>
      </c>
      <c r="W568">
        <f t="shared" si="37"/>
        <v>0.4445802816901408</v>
      </c>
    </row>
    <row r="569" spans="4:23" x14ac:dyDescent="0.3">
      <c r="D569" s="3"/>
      <c r="Q569">
        <v>9.4941999999999993</v>
      </c>
      <c r="R569">
        <v>16.125</v>
      </c>
      <c r="S569">
        <f t="shared" si="38"/>
        <v>16.175000000000001</v>
      </c>
      <c r="T569" s="3">
        <v>0.15549295774647875</v>
      </c>
      <c r="V569">
        <f t="shared" si="36"/>
        <v>2.7834668403869642</v>
      </c>
      <c r="W569">
        <f t="shared" si="37"/>
        <v>0.43849014084507004</v>
      </c>
    </row>
    <row r="570" spans="4:23" x14ac:dyDescent="0.3">
      <c r="D570" s="3"/>
      <c r="Q570">
        <v>9.5108999999999995</v>
      </c>
      <c r="R570">
        <v>16.125</v>
      </c>
      <c r="S570">
        <f t="shared" si="38"/>
        <v>15.975</v>
      </c>
      <c r="T570" s="3">
        <v>0.15333333333333332</v>
      </c>
      <c r="V570">
        <f t="shared" si="36"/>
        <v>2.7710250002635983</v>
      </c>
      <c r="W570">
        <f t="shared" si="37"/>
        <v>0.43239999999999995</v>
      </c>
    </row>
    <row r="571" spans="4:23" x14ac:dyDescent="0.3">
      <c r="D571" s="3"/>
      <c r="Q571">
        <v>9.5275999999999996</v>
      </c>
      <c r="R571">
        <v>15.667</v>
      </c>
      <c r="S571">
        <f t="shared" si="38"/>
        <v>15.833400000000001</v>
      </c>
      <c r="T571" s="3">
        <v>0.15117370892018767</v>
      </c>
      <c r="V571">
        <f t="shared" si="36"/>
        <v>2.7621216328899374</v>
      </c>
      <c r="W571">
        <f t="shared" si="37"/>
        <v>0.42630985915492919</v>
      </c>
    </row>
    <row r="572" spans="4:23" x14ac:dyDescent="0.3">
      <c r="D572" s="3"/>
      <c r="Q572">
        <v>9.5443999999999996</v>
      </c>
      <c r="R572">
        <v>15.625</v>
      </c>
      <c r="S572">
        <f t="shared" si="38"/>
        <v>15.6418</v>
      </c>
      <c r="T572" s="3">
        <v>0.14901408450704223</v>
      </c>
      <c r="V572">
        <f t="shared" si="36"/>
        <v>2.7499468180089415</v>
      </c>
      <c r="W572">
        <f t="shared" si="37"/>
        <v>0.42021971830985905</v>
      </c>
    </row>
    <row r="573" spans="4:23" x14ac:dyDescent="0.3">
      <c r="D573" s="3"/>
      <c r="Q573">
        <v>9.5610999999999997</v>
      </c>
      <c r="R573">
        <v>15.625</v>
      </c>
      <c r="S573">
        <f t="shared" si="38"/>
        <v>15.441800000000001</v>
      </c>
      <c r="T573" s="3">
        <v>0.14685446009389658</v>
      </c>
      <c r="V573">
        <f t="shared" si="36"/>
        <v>2.7370781181125547</v>
      </c>
      <c r="W573">
        <f t="shared" si="37"/>
        <v>0.41412957746478835</v>
      </c>
    </row>
    <row r="574" spans="4:23" x14ac:dyDescent="0.3">
      <c r="D574" s="3"/>
      <c r="Q574">
        <v>9.5778999999999996</v>
      </c>
      <c r="R574">
        <v>15.167</v>
      </c>
      <c r="S574">
        <f t="shared" si="38"/>
        <v>15.2668</v>
      </c>
      <c r="T574" s="3">
        <v>0.14469483568075114</v>
      </c>
      <c r="V574">
        <f t="shared" si="36"/>
        <v>2.7256805360383458</v>
      </c>
      <c r="W574">
        <f t="shared" si="37"/>
        <v>0.4080394366197182</v>
      </c>
    </row>
    <row r="575" spans="4:23" x14ac:dyDescent="0.3">
      <c r="D575" s="3"/>
      <c r="Q575">
        <v>9.5945999999999998</v>
      </c>
      <c r="R575">
        <v>15.125</v>
      </c>
      <c r="S575">
        <f t="shared" si="38"/>
        <v>15.066800000000001</v>
      </c>
      <c r="T575" s="3">
        <v>0.14253521126760549</v>
      </c>
      <c r="V575">
        <f t="shared" si="36"/>
        <v>2.7124936476884409</v>
      </c>
      <c r="W575">
        <f t="shared" si="37"/>
        <v>0.40194929577464744</v>
      </c>
    </row>
    <row r="576" spans="4:23" x14ac:dyDescent="0.3">
      <c r="D576" s="3"/>
      <c r="Q576">
        <v>9.6113999999999997</v>
      </c>
      <c r="R576">
        <v>14.792</v>
      </c>
      <c r="S576">
        <f t="shared" si="38"/>
        <v>14.866800000000001</v>
      </c>
      <c r="T576" s="3">
        <v>0.14037558685446005</v>
      </c>
      <c r="V576">
        <f t="shared" si="36"/>
        <v>2.6991305389275566</v>
      </c>
      <c r="W576">
        <f t="shared" si="37"/>
        <v>0.39585915492957735</v>
      </c>
    </row>
    <row r="577" spans="4:23" x14ac:dyDescent="0.3">
      <c r="D577" s="3"/>
      <c r="Q577">
        <v>9.6280999999999999</v>
      </c>
      <c r="R577">
        <v>14.625</v>
      </c>
      <c r="S577">
        <f t="shared" si="38"/>
        <v>14.716800000000001</v>
      </c>
      <c r="T577" s="3">
        <v>0.1382159624413144</v>
      </c>
      <c r="V577">
        <f t="shared" si="36"/>
        <v>2.6889896983634678</v>
      </c>
      <c r="W577">
        <f t="shared" si="37"/>
        <v>0.38976901408450659</v>
      </c>
    </row>
    <row r="578" spans="4:23" x14ac:dyDescent="0.3">
      <c r="D578" s="3"/>
      <c r="Q578">
        <v>9.6448999999999998</v>
      </c>
      <c r="R578">
        <v>14.625</v>
      </c>
      <c r="S578">
        <f t="shared" si="38"/>
        <v>14.5168</v>
      </c>
      <c r="T578" s="3">
        <v>0.13605633802816897</v>
      </c>
      <c r="V578">
        <f t="shared" si="36"/>
        <v>2.6753065994332275</v>
      </c>
      <c r="W578">
        <f t="shared" si="37"/>
        <v>0.38367887323943645</v>
      </c>
    </row>
    <row r="579" spans="4:23" x14ac:dyDescent="0.3">
      <c r="D579" s="3"/>
      <c r="Q579">
        <v>9.6616</v>
      </c>
      <c r="R579">
        <v>14.417</v>
      </c>
      <c r="S579">
        <f t="shared" si="38"/>
        <v>14.366800000000001</v>
      </c>
      <c r="T579" s="3">
        <v>0.13389671361502331</v>
      </c>
      <c r="V579">
        <f t="shared" ref="V579:V641" si="39">LN(S579)</f>
        <v>2.6649199891409863</v>
      </c>
      <c r="W579">
        <f t="shared" ref="W579:W641" si="40">T579*U$2</f>
        <v>0.37758873239436569</v>
      </c>
    </row>
    <row r="580" spans="4:23" x14ac:dyDescent="0.3">
      <c r="D580" s="3"/>
      <c r="Q580">
        <v>9.6783000000000001</v>
      </c>
      <c r="R580">
        <v>14.125</v>
      </c>
      <c r="S580">
        <f t="shared" si="38"/>
        <v>14.191800000000001</v>
      </c>
      <c r="T580" s="3">
        <v>0.13173708920187788</v>
      </c>
      <c r="V580">
        <f t="shared" si="39"/>
        <v>2.6526643330214754</v>
      </c>
      <c r="W580">
        <f t="shared" si="40"/>
        <v>0.3714985915492956</v>
      </c>
    </row>
    <row r="581" spans="4:23" x14ac:dyDescent="0.3">
      <c r="D581" s="3"/>
      <c r="Q581">
        <v>9.6951000000000001</v>
      </c>
      <c r="R581">
        <v>14.042</v>
      </c>
      <c r="S581">
        <f t="shared" ref="S581:S641" si="41">AVERAGE(R579:R583)</f>
        <v>13.991800000000001</v>
      </c>
      <c r="T581" s="3">
        <v>0.12957746478873222</v>
      </c>
      <c r="V581">
        <f t="shared" si="39"/>
        <v>2.6384714437319241</v>
      </c>
      <c r="W581">
        <f t="shared" si="40"/>
        <v>0.36540845070422484</v>
      </c>
    </row>
    <row r="582" spans="4:23" x14ac:dyDescent="0.3">
      <c r="D582" s="3"/>
      <c r="Q582">
        <v>9.7118000000000002</v>
      </c>
      <c r="R582">
        <v>13.75</v>
      </c>
      <c r="S582">
        <f t="shared" si="41"/>
        <v>13.716800000000001</v>
      </c>
      <c r="T582" s="3">
        <v>0.12741784037558679</v>
      </c>
      <c r="V582">
        <f t="shared" si="39"/>
        <v>2.6186213589423546</v>
      </c>
      <c r="W582">
        <f t="shared" si="40"/>
        <v>0.35931830985915475</v>
      </c>
    </row>
    <row r="583" spans="4:23" x14ac:dyDescent="0.3">
      <c r="D583" s="3"/>
      <c r="Q583">
        <v>9.7286000000000001</v>
      </c>
      <c r="R583">
        <v>13.625</v>
      </c>
      <c r="S583">
        <f t="shared" si="41"/>
        <v>13.500200000000001</v>
      </c>
      <c r="T583" s="3">
        <v>0.12525821596244135</v>
      </c>
      <c r="V583">
        <f t="shared" si="39"/>
        <v>2.6027045001494602</v>
      </c>
      <c r="W583">
        <f t="shared" si="40"/>
        <v>0.3532281690140846</v>
      </c>
    </row>
    <row r="584" spans="4:23" x14ac:dyDescent="0.3">
      <c r="D584" s="3"/>
      <c r="Q584">
        <v>9.7453000000000003</v>
      </c>
      <c r="R584">
        <v>13.042</v>
      </c>
      <c r="S584">
        <f t="shared" si="41"/>
        <v>13.2918</v>
      </c>
      <c r="T584" s="3">
        <v>0.1230985915492957</v>
      </c>
      <c r="V584">
        <f t="shared" si="39"/>
        <v>2.5871473037345476</v>
      </c>
      <c r="W584">
        <f t="shared" si="40"/>
        <v>0.34713802816901385</v>
      </c>
    </row>
    <row r="585" spans="4:23" x14ac:dyDescent="0.3">
      <c r="D585" s="3"/>
      <c r="Q585">
        <v>9.7621000000000002</v>
      </c>
      <c r="R585">
        <v>13.042</v>
      </c>
      <c r="S585">
        <f t="shared" si="41"/>
        <v>13.1418</v>
      </c>
      <c r="T585" s="3">
        <v>0.12093896713615027</v>
      </c>
      <c r="V585">
        <f t="shared" si="39"/>
        <v>2.5757979899760679</v>
      </c>
      <c r="W585">
        <f t="shared" si="40"/>
        <v>0.34104788732394375</v>
      </c>
    </row>
    <row r="586" spans="4:23" x14ac:dyDescent="0.3">
      <c r="D586" s="3"/>
      <c r="Q586">
        <v>9.7788000000000004</v>
      </c>
      <c r="R586">
        <v>13</v>
      </c>
      <c r="S586">
        <f t="shared" si="41"/>
        <v>13.025200000000002</v>
      </c>
      <c r="T586" s="3">
        <v>0.11877934272300461</v>
      </c>
      <c r="V586">
        <f t="shared" si="39"/>
        <v>2.5668859426079149</v>
      </c>
      <c r="W586">
        <f t="shared" si="40"/>
        <v>0.334957746478873</v>
      </c>
    </row>
    <row r="587" spans="4:23" x14ac:dyDescent="0.3">
      <c r="D587" s="3"/>
      <c r="Q587">
        <v>9.7956000000000003</v>
      </c>
      <c r="R587">
        <v>13</v>
      </c>
      <c r="S587">
        <f t="shared" si="41"/>
        <v>13.0168</v>
      </c>
      <c r="T587" s="3">
        <v>0.11661971830985918</v>
      </c>
      <c r="V587">
        <f t="shared" si="39"/>
        <v>2.5662408308429723</v>
      </c>
      <c r="W587">
        <f t="shared" si="40"/>
        <v>0.32886760563380285</v>
      </c>
    </row>
    <row r="588" spans="4:23" x14ac:dyDescent="0.3">
      <c r="D588" s="3"/>
      <c r="Q588">
        <v>9.8123000000000005</v>
      </c>
      <c r="R588">
        <v>13.042</v>
      </c>
      <c r="S588">
        <f t="shared" si="41"/>
        <v>12.966800000000001</v>
      </c>
      <c r="T588" s="3">
        <v>0.11446009389671352</v>
      </c>
      <c r="V588">
        <f t="shared" si="39"/>
        <v>2.5623922446797733</v>
      </c>
      <c r="W588">
        <f t="shared" si="40"/>
        <v>0.32277746478873209</v>
      </c>
    </row>
    <row r="589" spans="4:23" x14ac:dyDescent="0.3">
      <c r="D589" s="3"/>
      <c r="Q589">
        <v>9.8290000000000006</v>
      </c>
      <c r="R589">
        <v>13</v>
      </c>
      <c r="S589">
        <f t="shared" si="41"/>
        <v>12.933400000000001</v>
      </c>
      <c r="T589" s="3">
        <v>0.11230046948356809</v>
      </c>
      <c r="V589">
        <f t="shared" si="39"/>
        <v>2.5598131125870083</v>
      </c>
      <c r="W589">
        <f t="shared" si="40"/>
        <v>0.316687323943662</v>
      </c>
    </row>
    <row r="590" spans="4:23" x14ac:dyDescent="0.3">
      <c r="D590" s="3"/>
      <c r="Q590">
        <v>9.8458000000000006</v>
      </c>
      <c r="R590">
        <v>12.792</v>
      </c>
      <c r="S590">
        <f t="shared" si="41"/>
        <v>12.866800000000001</v>
      </c>
      <c r="T590" s="3">
        <v>0.11014084507042243</v>
      </c>
      <c r="V590">
        <f t="shared" si="39"/>
        <v>2.5546503504432838</v>
      </c>
      <c r="W590">
        <f t="shared" si="40"/>
        <v>0.31059718309859125</v>
      </c>
    </row>
    <row r="591" spans="4:23" x14ac:dyDescent="0.3">
      <c r="D591" s="3"/>
      <c r="Q591">
        <v>9.8625000000000007</v>
      </c>
      <c r="R591">
        <v>12.833</v>
      </c>
      <c r="S591">
        <f t="shared" si="41"/>
        <v>12.7834</v>
      </c>
      <c r="T591" s="3">
        <v>0.107981220657277</v>
      </c>
      <c r="V591">
        <f t="shared" si="39"/>
        <v>2.5481474542554161</v>
      </c>
      <c r="W591">
        <f t="shared" si="40"/>
        <v>0.3045070422535211</v>
      </c>
    </row>
    <row r="592" spans="4:23" x14ac:dyDescent="0.3">
      <c r="D592" s="3"/>
      <c r="Q592">
        <v>9.8793000000000006</v>
      </c>
      <c r="R592">
        <v>12.667</v>
      </c>
      <c r="S592">
        <f t="shared" si="41"/>
        <v>12.716800000000001</v>
      </c>
      <c r="T592" s="3">
        <v>0.10582159624413134</v>
      </c>
      <c r="V592">
        <f t="shared" si="39"/>
        <v>2.5429239539353059</v>
      </c>
      <c r="W592">
        <f t="shared" si="40"/>
        <v>0.2984169014084504</v>
      </c>
    </row>
    <row r="593" spans="4:23" x14ac:dyDescent="0.3">
      <c r="D593" s="3"/>
      <c r="Q593">
        <v>9.8960000000000008</v>
      </c>
      <c r="R593">
        <v>12.625</v>
      </c>
      <c r="S593">
        <f t="shared" si="41"/>
        <v>12.6668</v>
      </c>
      <c r="T593" s="3">
        <v>0.10366197183098591</v>
      </c>
      <c r="V593">
        <f t="shared" si="39"/>
        <v>2.5389843973186643</v>
      </c>
      <c r="W593">
        <f t="shared" si="40"/>
        <v>0.29232676056338025</v>
      </c>
    </row>
    <row r="594" spans="4:23" x14ac:dyDescent="0.3">
      <c r="D594" s="3"/>
      <c r="Q594">
        <v>9.9128000000000007</v>
      </c>
      <c r="R594">
        <v>12.667</v>
      </c>
      <c r="S594">
        <f t="shared" si="41"/>
        <v>12.608600000000001</v>
      </c>
      <c r="T594" s="3">
        <v>0.10150234741784026</v>
      </c>
      <c r="V594">
        <f t="shared" si="39"/>
        <v>2.5343791208156983</v>
      </c>
      <c r="W594">
        <f t="shared" si="40"/>
        <v>0.28623661971830949</v>
      </c>
    </row>
    <row r="595" spans="4:23" x14ac:dyDescent="0.3">
      <c r="D595" s="3"/>
      <c r="Q595">
        <v>9.9295000000000009</v>
      </c>
      <c r="R595">
        <v>12.542</v>
      </c>
      <c r="S595">
        <f t="shared" si="41"/>
        <v>12.508600000000001</v>
      </c>
      <c r="T595" s="3">
        <v>9.9342723004694822E-2</v>
      </c>
      <c r="V595">
        <f t="shared" si="39"/>
        <v>2.5264164077447533</v>
      </c>
      <c r="W595">
        <f t="shared" si="40"/>
        <v>0.2801464788732394</v>
      </c>
    </row>
    <row r="596" spans="4:23" x14ac:dyDescent="0.3">
      <c r="D596" s="3"/>
      <c r="Q596">
        <v>9.9463000000000008</v>
      </c>
      <c r="R596">
        <v>12.542</v>
      </c>
      <c r="S596">
        <f t="shared" si="41"/>
        <v>12.358599999999999</v>
      </c>
      <c r="T596" s="3">
        <v>9.7183098591549166E-2</v>
      </c>
      <c r="V596">
        <f t="shared" si="39"/>
        <v>2.5143521770057573</v>
      </c>
      <c r="W596">
        <f t="shared" si="40"/>
        <v>0.27405633802816864</v>
      </c>
    </row>
    <row r="597" spans="4:23" x14ac:dyDescent="0.3">
      <c r="D597" s="3"/>
      <c r="Q597">
        <v>9.9629999999999992</v>
      </c>
      <c r="R597">
        <v>12.167</v>
      </c>
      <c r="S597">
        <f t="shared" si="41"/>
        <v>12.1752</v>
      </c>
      <c r="T597" s="3">
        <v>9.5023474178403733E-2</v>
      </c>
      <c r="V597">
        <f t="shared" si="39"/>
        <v>2.4994010959384529</v>
      </c>
      <c r="W597">
        <f t="shared" si="40"/>
        <v>0.2679661971830985</v>
      </c>
    </row>
    <row r="598" spans="4:23" x14ac:dyDescent="0.3">
      <c r="D598" s="3"/>
      <c r="Q598">
        <v>9.9796999999999993</v>
      </c>
      <c r="R598">
        <v>11.875</v>
      </c>
      <c r="S598">
        <f t="shared" si="41"/>
        <v>11.958400000000001</v>
      </c>
      <c r="T598" s="3">
        <v>9.2863849765258077E-2</v>
      </c>
      <c r="V598">
        <f t="shared" si="39"/>
        <v>2.4814339603090279</v>
      </c>
      <c r="W598">
        <f t="shared" si="40"/>
        <v>0.26187605633802774</v>
      </c>
    </row>
    <row r="599" spans="4:23" x14ac:dyDescent="0.3">
      <c r="D599" s="3"/>
      <c r="Q599">
        <v>9.9964999999999993</v>
      </c>
      <c r="R599">
        <v>11.75</v>
      </c>
      <c r="S599">
        <f t="shared" si="41"/>
        <v>11.708400000000001</v>
      </c>
      <c r="T599" s="3">
        <v>9.0704225352112644E-2</v>
      </c>
      <c r="V599">
        <f t="shared" si="39"/>
        <v>2.4603065329197675</v>
      </c>
      <c r="W599">
        <f t="shared" si="40"/>
        <v>0.25578591549295765</v>
      </c>
    </row>
    <row r="600" spans="4:23" x14ac:dyDescent="0.3">
      <c r="D600" s="3"/>
      <c r="Q600">
        <v>10.013199999999999</v>
      </c>
      <c r="R600">
        <v>11.458</v>
      </c>
      <c r="S600">
        <f t="shared" si="41"/>
        <v>11.5334</v>
      </c>
      <c r="T600" s="3">
        <v>8.8544600938966989E-2</v>
      </c>
      <c r="V600">
        <f t="shared" si="39"/>
        <v>2.4452471737256838</v>
      </c>
      <c r="W600">
        <f t="shared" si="40"/>
        <v>0.24969577464788689</v>
      </c>
    </row>
    <row r="601" spans="4:23" x14ac:dyDescent="0.3">
      <c r="D601" s="3"/>
      <c r="Q601">
        <v>10.029999999999999</v>
      </c>
      <c r="R601">
        <v>11.292</v>
      </c>
      <c r="S601">
        <f t="shared" si="41"/>
        <v>11.333400000000001</v>
      </c>
      <c r="T601" s="3">
        <v>8.6384976525821555E-2</v>
      </c>
      <c r="V601">
        <f t="shared" si="39"/>
        <v>2.4277541182836919</v>
      </c>
      <c r="W601">
        <f t="shared" si="40"/>
        <v>0.24360563380281677</v>
      </c>
    </row>
    <row r="602" spans="4:23" x14ac:dyDescent="0.3">
      <c r="D602" s="3"/>
      <c r="Q602">
        <v>10.0467</v>
      </c>
      <c r="R602">
        <v>11.292</v>
      </c>
      <c r="S602">
        <f t="shared" si="41"/>
        <v>11.1668</v>
      </c>
      <c r="T602" s="3">
        <v>8.42253521126759E-2</v>
      </c>
      <c r="V602">
        <f t="shared" si="39"/>
        <v>2.4129450903901337</v>
      </c>
      <c r="W602">
        <f t="shared" si="40"/>
        <v>0.23751549295774602</v>
      </c>
    </row>
    <row r="603" spans="4:23" x14ac:dyDescent="0.3">
      <c r="D603" s="3"/>
      <c r="Q603">
        <v>10.063499999999999</v>
      </c>
      <c r="R603">
        <v>10.875</v>
      </c>
      <c r="S603">
        <f t="shared" si="41"/>
        <v>11.075200000000001</v>
      </c>
      <c r="T603" s="3">
        <v>8.2065727699530466E-2</v>
      </c>
      <c r="V603">
        <f t="shared" si="39"/>
        <v>2.4047083744588882</v>
      </c>
      <c r="W603">
        <f t="shared" si="40"/>
        <v>0.2314253521126759</v>
      </c>
    </row>
    <row r="604" spans="4:23" x14ac:dyDescent="0.3">
      <c r="D604" s="3"/>
      <c r="Q604">
        <v>10.0802</v>
      </c>
      <c r="R604">
        <v>10.917</v>
      </c>
      <c r="S604">
        <f t="shared" si="41"/>
        <v>11.000200000000001</v>
      </c>
      <c r="T604" s="3">
        <v>7.9906103286384811E-2</v>
      </c>
      <c r="V604">
        <f t="shared" si="39"/>
        <v>2.397913454451265</v>
      </c>
      <c r="W604">
        <f t="shared" si="40"/>
        <v>0.22533521126760514</v>
      </c>
    </row>
    <row r="605" spans="4:23" x14ac:dyDescent="0.3">
      <c r="D605" s="3"/>
      <c r="Q605">
        <v>10.097</v>
      </c>
      <c r="R605">
        <v>11</v>
      </c>
      <c r="S605">
        <f t="shared" si="41"/>
        <v>10.8834</v>
      </c>
      <c r="T605" s="3">
        <v>7.7746478873239377E-2</v>
      </c>
      <c r="V605">
        <f t="shared" si="39"/>
        <v>2.3872386926098419</v>
      </c>
      <c r="W605">
        <f t="shared" si="40"/>
        <v>0.21924507042253502</v>
      </c>
    </row>
    <row r="606" spans="4:23" x14ac:dyDescent="0.3">
      <c r="D606" s="3"/>
      <c r="Q606">
        <v>10.1137</v>
      </c>
      <c r="R606">
        <v>10.917</v>
      </c>
      <c r="S606">
        <f t="shared" si="41"/>
        <v>10.808400000000001</v>
      </c>
      <c r="T606" s="3">
        <v>7.5586854460093722E-2</v>
      </c>
      <c r="V606">
        <f t="shared" si="39"/>
        <v>2.3803236095955604</v>
      </c>
      <c r="W606">
        <f t="shared" si="40"/>
        <v>0.21315492957746429</v>
      </c>
    </row>
    <row r="607" spans="4:23" x14ac:dyDescent="0.3">
      <c r="D607" s="3"/>
      <c r="Q607">
        <v>10.1304</v>
      </c>
      <c r="R607">
        <v>10.708</v>
      </c>
      <c r="S607">
        <f t="shared" si="41"/>
        <v>10.7416</v>
      </c>
      <c r="T607" s="3">
        <v>7.3427230046948289E-2</v>
      </c>
      <c r="V607">
        <f t="shared" si="39"/>
        <v>2.3741240537763613</v>
      </c>
      <c r="W607">
        <f t="shared" si="40"/>
        <v>0.20706478873239417</v>
      </c>
    </row>
    <row r="608" spans="4:23" x14ac:dyDescent="0.3">
      <c r="D608" s="3"/>
      <c r="Q608">
        <v>10.1472</v>
      </c>
      <c r="R608">
        <v>10.5</v>
      </c>
      <c r="S608">
        <f t="shared" si="41"/>
        <v>10.6416</v>
      </c>
      <c r="T608" s="3">
        <v>7.1267605633802855E-2</v>
      </c>
      <c r="V608">
        <f t="shared" si="39"/>
        <v>2.3647708485480199</v>
      </c>
      <c r="W608">
        <f t="shared" si="40"/>
        <v>0.20097464788732405</v>
      </c>
    </row>
    <row r="609" spans="4:23" x14ac:dyDescent="0.3">
      <c r="D609" s="3"/>
      <c r="Q609">
        <v>10.1639</v>
      </c>
      <c r="R609">
        <v>10.583</v>
      </c>
      <c r="S609">
        <f t="shared" si="41"/>
        <v>10.499799999999999</v>
      </c>
      <c r="T609" s="3">
        <v>6.91079812206572E-2</v>
      </c>
      <c r="V609">
        <f t="shared" si="39"/>
        <v>2.3513562093630216</v>
      </c>
      <c r="W609">
        <f t="shared" si="40"/>
        <v>0.1948845070422533</v>
      </c>
    </row>
    <row r="610" spans="4:23" x14ac:dyDescent="0.3">
      <c r="D610" s="3"/>
      <c r="Q610">
        <v>10.1807</v>
      </c>
      <c r="R610">
        <v>10.5</v>
      </c>
      <c r="S610">
        <f t="shared" si="41"/>
        <v>10.408199999999999</v>
      </c>
      <c r="T610" s="3">
        <v>6.6948356807511766E-2</v>
      </c>
      <c r="V610">
        <f t="shared" si="39"/>
        <v>2.342593957013281</v>
      </c>
      <c r="W610">
        <f t="shared" si="40"/>
        <v>0.18879436619718318</v>
      </c>
    </row>
    <row r="611" spans="4:23" x14ac:dyDescent="0.3">
      <c r="D611" s="3"/>
      <c r="Q611">
        <v>10.1974</v>
      </c>
      <c r="R611">
        <v>10.208</v>
      </c>
      <c r="S611">
        <f t="shared" si="41"/>
        <v>10.3666</v>
      </c>
      <c r="T611" s="3">
        <v>6.4788732394366111E-2</v>
      </c>
      <c r="V611">
        <f t="shared" si="39"/>
        <v>2.3385890996282335</v>
      </c>
      <c r="W611">
        <f t="shared" si="40"/>
        <v>0.18270422535211242</v>
      </c>
    </row>
    <row r="612" spans="4:23" x14ac:dyDescent="0.3">
      <c r="D612" s="3"/>
      <c r="Q612">
        <v>10.2142</v>
      </c>
      <c r="R612">
        <v>10.25</v>
      </c>
      <c r="S612">
        <f t="shared" si="41"/>
        <v>10.166599999999999</v>
      </c>
      <c r="T612" s="3">
        <v>6.2629107981220677E-2</v>
      </c>
      <c r="V612">
        <f t="shared" si="39"/>
        <v>2.3191078375467074</v>
      </c>
      <c r="W612">
        <f t="shared" si="40"/>
        <v>0.1766140845070423</v>
      </c>
    </row>
    <row r="613" spans="4:23" x14ac:dyDescent="0.3">
      <c r="D613" s="3"/>
      <c r="Q613">
        <v>10.2309</v>
      </c>
      <c r="R613">
        <v>10.292</v>
      </c>
      <c r="S613">
        <f t="shared" si="41"/>
        <v>10.033199999999999</v>
      </c>
      <c r="T613" s="3">
        <v>6.0469483568075022E-2</v>
      </c>
      <c r="V613">
        <f t="shared" si="39"/>
        <v>2.3058995939618754</v>
      </c>
      <c r="W613">
        <f t="shared" si="40"/>
        <v>0.17052394366197154</v>
      </c>
    </row>
    <row r="614" spans="4:23" x14ac:dyDescent="0.3">
      <c r="D614" s="3"/>
      <c r="Q614">
        <v>10.2477</v>
      </c>
      <c r="R614">
        <v>9.5830000000000002</v>
      </c>
      <c r="S614">
        <f t="shared" si="41"/>
        <v>9.8582000000000001</v>
      </c>
      <c r="T614" s="3">
        <v>5.8309859154929589E-2</v>
      </c>
      <c r="V614">
        <f t="shared" si="39"/>
        <v>2.2883035961682761</v>
      </c>
      <c r="W614">
        <f t="shared" si="40"/>
        <v>0.16443380281690143</v>
      </c>
    </row>
    <row r="615" spans="4:23" x14ac:dyDescent="0.3">
      <c r="D615" s="3"/>
      <c r="Q615">
        <v>10.2644</v>
      </c>
      <c r="R615">
        <v>9.8330000000000002</v>
      </c>
      <c r="S615">
        <f t="shared" si="41"/>
        <v>9.6915999999999993</v>
      </c>
      <c r="T615" s="3">
        <v>5.6150234741783933E-2</v>
      </c>
      <c r="V615">
        <f t="shared" si="39"/>
        <v>2.2712595309511365</v>
      </c>
      <c r="W615">
        <f t="shared" si="40"/>
        <v>0.1583436619718307</v>
      </c>
    </row>
    <row r="616" spans="4:23" x14ac:dyDescent="0.3">
      <c r="D616" s="3"/>
      <c r="Q616">
        <v>10.2811</v>
      </c>
      <c r="R616">
        <v>9.3330000000000002</v>
      </c>
      <c r="S616">
        <f t="shared" si="41"/>
        <v>9.4748000000000001</v>
      </c>
      <c r="T616" s="3">
        <v>5.39906103286385E-2</v>
      </c>
      <c r="V616">
        <f t="shared" si="39"/>
        <v>2.2486356425662897</v>
      </c>
      <c r="W616">
        <f t="shared" si="40"/>
        <v>0.15225352112676055</v>
      </c>
    </row>
    <row r="617" spans="4:23" x14ac:dyDescent="0.3">
      <c r="D617" s="3"/>
      <c r="Q617">
        <v>10.2979</v>
      </c>
      <c r="R617">
        <v>9.4169999999999998</v>
      </c>
      <c r="S617">
        <f t="shared" si="41"/>
        <v>9.3916000000000004</v>
      </c>
      <c r="T617" s="3">
        <v>5.1830985915492844E-2</v>
      </c>
      <c r="V617">
        <f t="shared" si="39"/>
        <v>2.2398156727409653</v>
      </c>
      <c r="W617">
        <f t="shared" si="40"/>
        <v>0.14616338028168982</v>
      </c>
    </row>
    <row r="618" spans="4:23" x14ac:dyDescent="0.3">
      <c r="D618" s="3"/>
      <c r="Q618">
        <v>10.3146</v>
      </c>
      <c r="R618">
        <v>9.2080000000000002</v>
      </c>
      <c r="S618">
        <f t="shared" si="41"/>
        <v>9.25</v>
      </c>
      <c r="T618" s="3">
        <v>4.9671361502347411E-2</v>
      </c>
      <c r="V618">
        <f t="shared" si="39"/>
        <v>2.224623551524334</v>
      </c>
      <c r="W618">
        <f t="shared" si="40"/>
        <v>0.1400732394366197</v>
      </c>
    </row>
    <row r="619" spans="4:23" x14ac:dyDescent="0.3">
      <c r="D619" s="3"/>
      <c r="Q619">
        <v>10.3314</v>
      </c>
      <c r="R619">
        <v>9.1669999999999998</v>
      </c>
      <c r="S619">
        <f t="shared" si="41"/>
        <v>9.1918000000000006</v>
      </c>
      <c r="T619" s="3">
        <v>4.7511737089201755E-2</v>
      </c>
      <c r="V619">
        <f t="shared" si="39"/>
        <v>2.2183117822592662</v>
      </c>
      <c r="W619">
        <f t="shared" si="40"/>
        <v>0.13398309859154894</v>
      </c>
    </row>
    <row r="620" spans="4:23" x14ac:dyDescent="0.3">
      <c r="D620" s="3"/>
      <c r="Q620">
        <v>10.348100000000001</v>
      </c>
      <c r="R620">
        <v>9.125</v>
      </c>
      <c r="S620">
        <f t="shared" si="41"/>
        <v>9.0334000000000003</v>
      </c>
      <c r="T620" s="3">
        <v>4.5352112676056322E-2</v>
      </c>
      <c r="V620">
        <f t="shared" si="39"/>
        <v>2.2009288192641137</v>
      </c>
      <c r="W620">
        <f t="shared" si="40"/>
        <v>0.12789295774647882</v>
      </c>
    </row>
    <row r="621" spans="4:23" x14ac:dyDescent="0.3">
      <c r="D621" s="3"/>
      <c r="Q621">
        <v>10.3649</v>
      </c>
      <c r="R621">
        <v>9.0419999999999998</v>
      </c>
      <c r="S621">
        <f t="shared" si="41"/>
        <v>8.9334000000000007</v>
      </c>
      <c r="T621" s="3">
        <v>4.3192488262910667E-2</v>
      </c>
      <c r="V621">
        <f t="shared" si="39"/>
        <v>2.1897970615074227</v>
      </c>
      <c r="W621">
        <f t="shared" si="40"/>
        <v>0.12180281690140807</v>
      </c>
    </row>
    <row r="622" spans="4:23" x14ac:dyDescent="0.3">
      <c r="D622" s="3"/>
      <c r="Q622">
        <v>10.381600000000001</v>
      </c>
      <c r="R622">
        <v>8.625</v>
      </c>
      <c r="S622">
        <f t="shared" si="41"/>
        <v>8.7416</v>
      </c>
      <c r="T622" s="3">
        <v>4.1032863849765233E-2</v>
      </c>
      <c r="V622">
        <f t="shared" si="39"/>
        <v>2.1680932392743988</v>
      </c>
      <c r="W622">
        <f t="shared" si="40"/>
        <v>0.11571267605633795</v>
      </c>
    </row>
    <row r="623" spans="4:23" x14ac:dyDescent="0.3">
      <c r="D623" s="3"/>
      <c r="Q623">
        <v>10.398400000000001</v>
      </c>
      <c r="R623">
        <v>8.7080000000000002</v>
      </c>
      <c r="S623">
        <f t="shared" si="41"/>
        <v>8.533199999999999</v>
      </c>
      <c r="T623" s="3">
        <v>3.8873239436619578E-2</v>
      </c>
      <c r="V623">
        <f t="shared" si="39"/>
        <v>2.1439644376953355</v>
      </c>
      <c r="W623">
        <f t="shared" si="40"/>
        <v>0.10962253521126721</v>
      </c>
    </row>
    <row r="624" spans="4:23" x14ac:dyDescent="0.3">
      <c r="D624" s="3"/>
      <c r="Q624">
        <v>10.415100000000001</v>
      </c>
      <c r="R624">
        <v>8.2080000000000002</v>
      </c>
      <c r="S624">
        <f t="shared" si="41"/>
        <v>8.3247999999999998</v>
      </c>
      <c r="T624" s="3">
        <v>3.6713615023474144E-2</v>
      </c>
      <c r="V624">
        <f t="shared" si="39"/>
        <v>2.1192390115539022</v>
      </c>
      <c r="W624">
        <f t="shared" si="40"/>
        <v>0.10353239436619709</v>
      </c>
    </row>
    <row r="625" spans="4:23" x14ac:dyDescent="0.3">
      <c r="D625" s="3"/>
      <c r="Q625">
        <v>10.431800000000001</v>
      </c>
      <c r="R625">
        <v>8.0830000000000002</v>
      </c>
      <c r="S625">
        <f t="shared" si="41"/>
        <v>8.1414000000000009</v>
      </c>
      <c r="T625" s="3">
        <v>3.4553990610328489E-2</v>
      </c>
      <c r="V625">
        <f t="shared" si="39"/>
        <v>2.0969621553978253</v>
      </c>
      <c r="W625">
        <f t="shared" si="40"/>
        <v>9.7442253521126329E-2</v>
      </c>
    </row>
    <row r="626" spans="4:23" x14ac:dyDescent="0.3">
      <c r="D626" s="3"/>
      <c r="Q626">
        <v>10.448600000000001</v>
      </c>
      <c r="R626">
        <v>8</v>
      </c>
      <c r="S626">
        <f t="shared" si="41"/>
        <v>7.9498000000000006</v>
      </c>
      <c r="T626" s="3">
        <v>3.2394366197183055E-2</v>
      </c>
      <c r="V626">
        <f t="shared" si="39"/>
        <v>2.0731467711170879</v>
      </c>
      <c r="W626">
        <f t="shared" si="40"/>
        <v>9.135211267605621E-2</v>
      </c>
    </row>
    <row r="627" spans="4:23" x14ac:dyDescent="0.3">
      <c r="D627" s="3"/>
      <c r="Q627">
        <v>10.465299999999999</v>
      </c>
      <c r="R627">
        <v>7.7080000000000002</v>
      </c>
      <c r="S627">
        <f t="shared" si="41"/>
        <v>7.8247999999999989</v>
      </c>
      <c r="T627" s="3">
        <v>3.02347417840374E-2</v>
      </c>
      <c r="V627">
        <f t="shared" si="39"/>
        <v>2.0572981769941459</v>
      </c>
      <c r="W627">
        <f t="shared" si="40"/>
        <v>8.5261971830985467E-2</v>
      </c>
    </row>
    <row r="628" spans="4:23" x14ac:dyDescent="0.3">
      <c r="D628" s="3"/>
      <c r="Q628">
        <v>10.482100000000001</v>
      </c>
      <c r="R628">
        <v>7.75</v>
      </c>
      <c r="S628">
        <f t="shared" si="41"/>
        <v>7.6665999999999999</v>
      </c>
      <c r="T628" s="3">
        <v>2.8075117370891967E-2</v>
      </c>
      <c r="V628">
        <f t="shared" si="39"/>
        <v>2.0368732315710587</v>
      </c>
      <c r="W628">
        <f t="shared" si="40"/>
        <v>7.9171830985915348E-2</v>
      </c>
    </row>
    <row r="629" spans="4:23" x14ac:dyDescent="0.3">
      <c r="D629" s="3"/>
      <c r="Q629">
        <v>10.498799999999999</v>
      </c>
      <c r="R629">
        <v>7.5830000000000002</v>
      </c>
      <c r="S629">
        <f t="shared" si="41"/>
        <v>7.4831999999999992</v>
      </c>
      <c r="T629" s="3">
        <v>2.5915492957746311E-2</v>
      </c>
      <c r="V629">
        <f t="shared" si="39"/>
        <v>2.0126605079894846</v>
      </c>
      <c r="W629">
        <f t="shared" si="40"/>
        <v>7.3081690140844591E-2</v>
      </c>
    </row>
    <row r="630" spans="4:23" x14ac:dyDescent="0.3">
      <c r="D630" s="3"/>
      <c r="Q630">
        <v>10.515599999999999</v>
      </c>
      <c r="R630">
        <v>7.2919999999999998</v>
      </c>
      <c r="S630">
        <f t="shared" si="41"/>
        <v>7.2665999999999995</v>
      </c>
      <c r="T630" s="3">
        <v>2.3755868544600878E-2</v>
      </c>
      <c r="V630">
        <f t="shared" si="39"/>
        <v>1.9832885067729227</v>
      </c>
      <c r="W630">
        <f t="shared" si="40"/>
        <v>6.6991549295774472E-2</v>
      </c>
    </row>
    <row r="631" spans="4:23" x14ac:dyDescent="0.3">
      <c r="D631" s="3"/>
      <c r="Q631">
        <v>10.532299999999999</v>
      </c>
      <c r="R631">
        <v>7.0830000000000002</v>
      </c>
      <c r="S631">
        <f t="shared" si="41"/>
        <v>7.05</v>
      </c>
      <c r="T631" s="3">
        <v>2.1596244131455444E-2</v>
      </c>
      <c r="V631">
        <f t="shared" si="39"/>
        <v>1.9530276168241774</v>
      </c>
      <c r="W631">
        <f t="shared" si="40"/>
        <v>6.0901408450704353E-2</v>
      </c>
    </row>
    <row r="632" spans="4:23" x14ac:dyDescent="0.3">
      <c r="D632" s="3"/>
      <c r="Q632">
        <v>10.549099999999999</v>
      </c>
      <c r="R632">
        <v>6.625</v>
      </c>
      <c r="S632">
        <f t="shared" si="41"/>
        <v>6.8834</v>
      </c>
      <c r="T632" s="3">
        <v>1.9436619718309789E-2</v>
      </c>
      <c r="V632">
        <f t="shared" si="39"/>
        <v>1.9291127159220547</v>
      </c>
      <c r="W632">
        <f t="shared" si="40"/>
        <v>5.4811267605633603E-2</v>
      </c>
    </row>
    <row r="633" spans="4:23" x14ac:dyDescent="0.3">
      <c r="D633" s="3"/>
      <c r="Q633">
        <v>10.565799999999999</v>
      </c>
      <c r="R633">
        <v>6.6669999999999998</v>
      </c>
      <c r="S633">
        <f t="shared" si="41"/>
        <v>6.8084000000000007</v>
      </c>
      <c r="T633" s="3">
        <v>1.7276995305164355E-2</v>
      </c>
      <c r="V633">
        <f t="shared" si="39"/>
        <v>1.9181571439516811</v>
      </c>
      <c r="W633">
        <f t="shared" si="40"/>
        <v>4.8721126760563477E-2</v>
      </c>
    </row>
    <row r="634" spans="4:23" x14ac:dyDescent="0.3">
      <c r="D634" s="3"/>
      <c r="Q634">
        <v>10.5825</v>
      </c>
      <c r="R634">
        <v>6.75</v>
      </c>
      <c r="S634">
        <f t="shared" si="41"/>
        <v>6.6668000000000003</v>
      </c>
      <c r="T634" s="3">
        <v>1.51173708920187E-2</v>
      </c>
      <c r="V634">
        <f t="shared" si="39"/>
        <v>1.8971399846858841</v>
      </c>
      <c r="W634">
        <f t="shared" si="40"/>
        <v>4.2630985915492733E-2</v>
      </c>
    </row>
    <row r="635" spans="4:23" x14ac:dyDescent="0.3">
      <c r="D635" s="3"/>
      <c r="Q635">
        <v>10.599299999999999</v>
      </c>
      <c r="R635">
        <v>6.9169999999999998</v>
      </c>
      <c r="S635">
        <f t="shared" si="41"/>
        <v>6.5334000000000003</v>
      </c>
      <c r="T635" s="3">
        <v>1.2957746478873267E-2</v>
      </c>
      <c r="V635">
        <f t="shared" si="39"/>
        <v>1.8769274815979333</v>
      </c>
      <c r="W635">
        <f t="shared" si="40"/>
        <v>3.6540845070422608E-2</v>
      </c>
    </row>
    <row r="636" spans="4:23" x14ac:dyDescent="0.3">
      <c r="D636" s="3"/>
      <c r="Q636">
        <v>10.616</v>
      </c>
      <c r="R636">
        <v>6.375</v>
      </c>
      <c r="S636">
        <f t="shared" si="41"/>
        <v>6.4584000000000001</v>
      </c>
      <c r="T636" s="3">
        <v>1.0798122065727611E-2</v>
      </c>
      <c r="V636">
        <f t="shared" si="39"/>
        <v>1.8653816090986688</v>
      </c>
      <c r="W636">
        <f t="shared" si="40"/>
        <v>3.0450704225351861E-2</v>
      </c>
    </row>
    <row r="637" spans="4:23" x14ac:dyDescent="0.3">
      <c r="D637" s="3"/>
      <c r="Q637">
        <v>10.6328</v>
      </c>
      <c r="R637">
        <v>5.9580000000000002</v>
      </c>
      <c r="S637">
        <f t="shared" si="41"/>
        <v>6.3668000000000005</v>
      </c>
      <c r="T637" s="3">
        <v>8.6384976525821777E-3</v>
      </c>
      <c r="V637">
        <f t="shared" si="39"/>
        <v>1.8510969885735624</v>
      </c>
      <c r="W637">
        <f t="shared" si="40"/>
        <v>2.4360563380281738E-2</v>
      </c>
    </row>
    <row r="638" spans="4:23" x14ac:dyDescent="0.3">
      <c r="D638" s="3"/>
      <c r="Q638">
        <v>10.6495</v>
      </c>
      <c r="R638">
        <v>6.2919999999999998</v>
      </c>
      <c r="S638">
        <f t="shared" si="41"/>
        <v>6.1918000000000006</v>
      </c>
      <c r="T638" s="3">
        <v>6.4788732394365223E-3</v>
      </c>
      <c r="V638">
        <f t="shared" si="39"/>
        <v>1.8232258360241762</v>
      </c>
      <c r="W638">
        <f t="shared" si="40"/>
        <v>1.8270422535210992E-2</v>
      </c>
    </row>
    <row r="639" spans="4:23" x14ac:dyDescent="0.3">
      <c r="D639" s="3"/>
      <c r="Q639">
        <v>10.6663</v>
      </c>
      <c r="R639">
        <v>6.2919999999999998</v>
      </c>
      <c r="S639">
        <f t="shared" si="41"/>
        <v>5.850200000000001</v>
      </c>
      <c r="T639" s="3">
        <v>4.3192488262910889E-3</v>
      </c>
      <c r="V639">
        <f t="shared" si="39"/>
        <v>1.7664758486935559</v>
      </c>
      <c r="W639">
        <f t="shared" si="40"/>
        <v>1.2180281690140869E-2</v>
      </c>
    </row>
    <row r="640" spans="4:23" x14ac:dyDescent="0.3">
      <c r="D640" s="3"/>
      <c r="Q640">
        <v>10.683</v>
      </c>
      <c r="R640">
        <v>6.0419999999999998</v>
      </c>
      <c r="S640">
        <f t="shared" si="41"/>
        <v>5.8232499999999998</v>
      </c>
      <c r="T640" s="3">
        <v>2.1596244131454334E-3</v>
      </c>
      <c r="V640">
        <f t="shared" si="39"/>
        <v>1.7618585251293266</v>
      </c>
      <c r="W640">
        <f t="shared" si="40"/>
        <v>6.0901408450701215E-3</v>
      </c>
    </row>
    <row r="641" spans="4:23" x14ac:dyDescent="0.3">
      <c r="D641" s="3"/>
      <c r="Q641">
        <v>10.6998</v>
      </c>
      <c r="R641">
        <v>4.6669999999999998</v>
      </c>
      <c r="S641">
        <f t="shared" si="41"/>
        <v>5.6669999999999989</v>
      </c>
      <c r="T641" s="3">
        <v>0</v>
      </c>
      <c r="V641">
        <f t="shared" si="39"/>
        <v>1.7346598771874819</v>
      </c>
      <c r="W641">
        <f t="shared" si="40"/>
        <v>0</v>
      </c>
    </row>
    <row r="642" spans="4:23" x14ac:dyDescent="0.3">
      <c r="D642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251"/>
  <sheetViews>
    <sheetView tabSelected="1" zoomScale="70" zoomScaleNormal="70" workbookViewId="0">
      <selection activeCell="G19" sqref="G19"/>
    </sheetView>
  </sheetViews>
  <sheetFormatPr baseColWidth="10" defaultColWidth="11.44140625" defaultRowHeight="14.4" x14ac:dyDescent="0.3"/>
  <cols>
    <col min="3" max="3" width="13.33203125" customWidth="1"/>
    <col min="6" max="6" width="18.5546875" customWidth="1"/>
    <col min="9" max="9" width="14.88671875" bestFit="1" customWidth="1"/>
    <col min="11" max="11" width="11.88671875" bestFit="1" customWidth="1"/>
    <col min="12" max="12" width="11.44140625" customWidth="1"/>
    <col min="13" max="13" width="12.6640625" customWidth="1"/>
    <col min="14" max="14" width="12.33203125" style="30" customWidth="1"/>
  </cols>
  <sheetData>
    <row r="1" spans="1:16" ht="41.4" x14ac:dyDescent="0.3">
      <c r="A1" s="1" t="s">
        <v>0</v>
      </c>
      <c r="B1" s="2" t="s">
        <v>1</v>
      </c>
      <c r="C1" s="2" t="s">
        <v>2</v>
      </c>
      <c r="D1" s="5" t="s">
        <v>9</v>
      </c>
      <c r="E1" s="2" t="s">
        <v>4</v>
      </c>
      <c r="F1" s="2" t="s">
        <v>10</v>
      </c>
      <c r="G1" s="6"/>
      <c r="H1" s="6"/>
      <c r="I1" s="6" t="s">
        <v>35</v>
      </c>
      <c r="J1" s="2"/>
    </row>
    <row r="2" spans="1:16" ht="16.2" x14ac:dyDescent="0.3">
      <c r="A2">
        <v>0</v>
      </c>
      <c r="B2">
        <v>7.6899999999999996E-2</v>
      </c>
      <c r="C2">
        <f>AVERAGE(B2:B4)</f>
        <v>2.3846333333333334</v>
      </c>
      <c r="D2" s="8">
        <v>0.753</v>
      </c>
      <c r="E2">
        <f>LN(B2)</f>
        <v>-2.5652494024705388</v>
      </c>
      <c r="F2" t="s">
        <v>37</v>
      </c>
      <c r="I2" s="24">
        <f>(0.0026*(EXP(1.3248*E2)))/D2</f>
        <v>1.1541269616680458E-4</v>
      </c>
      <c r="J2" t="s">
        <v>11</v>
      </c>
      <c r="O2">
        <v>1.633</v>
      </c>
      <c r="P2">
        <v>1.6619999999999999</v>
      </c>
    </row>
    <row r="3" spans="1:16" x14ac:dyDescent="0.3">
      <c r="A3">
        <v>1.52E-2</v>
      </c>
      <c r="B3">
        <v>1.8462000000000001</v>
      </c>
      <c r="C3">
        <f>AVERAGE(B2:B5)</f>
        <v>4.5769250000000001</v>
      </c>
      <c r="D3">
        <v>0.75254545454545463</v>
      </c>
      <c r="E3">
        <f t="shared" ref="E3:E66" si="0">LN(C3)</f>
        <v>1.5210273752580263</v>
      </c>
      <c r="I3" s="24">
        <f t="shared" ref="I3:I66" si="1">(0.0026*(EXP(1.3248*E3)))/D3</f>
        <v>2.5916048013409691E-2</v>
      </c>
    </row>
    <row r="4" spans="1:16" x14ac:dyDescent="0.3">
      <c r="A4">
        <v>3.0499999999999999E-2</v>
      </c>
      <c r="B4">
        <v>5.2308000000000003</v>
      </c>
      <c r="C4">
        <f>AVERAGE(B2:B6)</f>
        <v>7.0076999999999998</v>
      </c>
      <c r="D4">
        <v>0.75209090909090914</v>
      </c>
      <c r="E4">
        <f t="shared" si="0"/>
        <v>1.9470095444986142</v>
      </c>
      <c r="I4" s="24">
        <f t="shared" si="1"/>
        <v>4.5595442309387113E-2</v>
      </c>
    </row>
    <row r="5" spans="1:16" x14ac:dyDescent="0.3">
      <c r="A5">
        <v>4.5699999999999998E-2</v>
      </c>
      <c r="B5">
        <v>11.1538</v>
      </c>
      <c r="C5">
        <f>AVERAGE(B3:B7)</f>
        <v>11.261559999999999</v>
      </c>
      <c r="D5">
        <v>0.75163636363636366</v>
      </c>
      <c r="E5">
        <f t="shared" si="0"/>
        <v>2.4213951566321517</v>
      </c>
      <c r="I5" s="24">
        <f t="shared" si="1"/>
        <v>8.5530956908139319E-2</v>
      </c>
    </row>
    <row r="6" spans="1:16" x14ac:dyDescent="0.3">
      <c r="A6">
        <v>6.0900000000000003E-2</v>
      </c>
      <c r="B6">
        <v>16.730799999999999</v>
      </c>
      <c r="C6">
        <f>AVERAGE(B4:B8)</f>
        <v>15.984619999999998</v>
      </c>
      <c r="D6">
        <v>0.75118181818181828</v>
      </c>
      <c r="E6">
        <f t="shared" si="0"/>
        <v>2.7716270099427209</v>
      </c>
      <c r="I6" s="24">
        <f t="shared" si="1"/>
        <v>0.1361109637350163</v>
      </c>
    </row>
    <row r="7" spans="1:16" x14ac:dyDescent="0.3">
      <c r="A7">
        <v>7.6200000000000004E-2</v>
      </c>
      <c r="B7">
        <v>21.3462</v>
      </c>
      <c r="C7">
        <f t="shared" ref="C7:C68" si="2">AVERAGE(B5:B9)</f>
        <v>20.846160000000001</v>
      </c>
      <c r="D7">
        <v>0.7507272727272728</v>
      </c>
      <c r="E7">
        <f t="shared" si="0"/>
        <v>3.0371697586210726</v>
      </c>
      <c r="I7" s="24">
        <f t="shared" si="1"/>
        <v>0.19361405814337271</v>
      </c>
    </row>
    <row r="8" spans="1:16" x14ac:dyDescent="0.3">
      <c r="A8">
        <v>9.1399999999999995E-2</v>
      </c>
      <c r="B8">
        <v>25.461500000000001</v>
      </c>
      <c r="C8">
        <f>AVERAGE(B6:B10)</f>
        <v>25.0077</v>
      </c>
      <c r="D8">
        <v>0.75027272727272731</v>
      </c>
      <c r="E8">
        <f t="shared" si="0"/>
        <v>3.219183777445938</v>
      </c>
      <c r="F8" t="s">
        <v>69</v>
      </c>
      <c r="I8" s="24">
        <f t="shared" si="1"/>
        <v>0.24655981360165544</v>
      </c>
    </row>
    <row r="9" spans="1:16" x14ac:dyDescent="0.3">
      <c r="A9">
        <v>0.1066</v>
      </c>
      <c r="B9">
        <v>29.538499999999999</v>
      </c>
      <c r="C9">
        <f t="shared" si="2"/>
        <v>28.738459999999996</v>
      </c>
      <c r="D9">
        <v>0.74981818181818194</v>
      </c>
      <c r="E9">
        <f t="shared" si="0"/>
        <v>3.3582362953599585</v>
      </c>
      <c r="I9" s="24">
        <f t="shared" si="1"/>
        <v>0.29661274977338187</v>
      </c>
    </row>
    <row r="10" spans="1:16" x14ac:dyDescent="0.3">
      <c r="A10">
        <v>0.12189999999999999</v>
      </c>
      <c r="B10">
        <v>31.961500000000001</v>
      </c>
      <c r="C10">
        <f t="shared" si="2"/>
        <v>31.77692</v>
      </c>
      <c r="D10">
        <v>0.74936363636363645</v>
      </c>
      <c r="E10">
        <f t="shared" si="0"/>
        <v>3.4587402401123226</v>
      </c>
      <c r="I10" s="24">
        <f t="shared" si="1"/>
        <v>0.33906147482120819</v>
      </c>
    </row>
    <row r="11" spans="1:16" x14ac:dyDescent="0.3">
      <c r="A11">
        <v>0.1371</v>
      </c>
      <c r="B11">
        <v>35.384599999999999</v>
      </c>
      <c r="C11">
        <f t="shared" si="2"/>
        <v>34.192320000000002</v>
      </c>
      <c r="D11">
        <v>0.74890909090909097</v>
      </c>
      <c r="E11">
        <f t="shared" si="0"/>
        <v>3.5320010574473635</v>
      </c>
      <c r="I11" s="24">
        <f t="shared" si="1"/>
        <v>0.3738460653512401</v>
      </c>
    </row>
    <row r="12" spans="1:16" x14ac:dyDescent="0.3">
      <c r="A12">
        <v>0.15229999999999999</v>
      </c>
      <c r="B12">
        <v>36.538499999999999</v>
      </c>
      <c r="C12">
        <f t="shared" si="2"/>
        <v>35.915379999999999</v>
      </c>
      <c r="D12">
        <v>0.74845454545454548</v>
      </c>
      <c r="E12">
        <f t="shared" si="0"/>
        <v>3.5811656160081715</v>
      </c>
      <c r="I12" s="24">
        <f t="shared" si="1"/>
        <v>0.39924867070014514</v>
      </c>
    </row>
    <row r="13" spans="1:16" x14ac:dyDescent="0.3">
      <c r="A13">
        <v>0.1676</v>
      </c>
      <c r="B13">
        <v>37.538499999999999</v>
      </c>
      <c r="C13">
        <f t="shared" si="2"/>
        <v>37.192320000000002</v>
      </c>
      <c r="D13">
        <v>0.748</v>
      </c>
      <c r="E13">
        <f t="shared" si="0"/>
        <v>3.6161022883521299</v>
      </c>
      <c r="I13" s="24">
        <f t="shared" si="1"/>
        <v>0.41841596012774701</v>
      </c>
    </row>
    <row r="14" spans="1:16" x14ac:dyDescent="0.3">
      <c r="A14">
        <v>0.18279999999999999</v>
      </c>
      <c r="B14">
        <v>38.153799999999997</v>
      </c>
      <c r="C14">
        <f t="shared" si="2"/>
        <v>37.861559999999997</v>
      </c>
      <c r="D14">
        <v>0.74754545454545462</v>
      </c>
      <c r="E14">
        <f t="shared" si="0"/>
        <v>3.6339363493696983</v>
      </c>
      <c r="I14" s="24">
        <f t="shared" si="1"/>
        <v>0.42867990039073872</v>
      </c>
    </row>
    <row r="15" spans="1:16" x14ac:dyDescent="0.3">
      <c r="A15">
        <v>0.19800000000000001</v>
      </c>
      <c r="B15">
        <v>38.346200000000003</v>
      </c>
      <c r="C15">
        <f t="shared" si="2"/>
        <v>38.423099999999998</v>
      </c>
      <c r="D15">
        <v>0.74709090909090914</v>
      </c>
      <c r="E15">
        <f t="shared" si="0"/>
        <v>3.6486588412274918</v>
      </c>
      <c r="I15" s="24">
        <f t="shared" si="1"/>
        <v>0.43738905288108959</v>
      </c>
    </row>
    <row r="16" spans="1:16" x14ac:dyDescent="0.3">
      <c r="A16">
        <v>0.21329999999999999</v>
      </c>
      <c r="B16">
        <v>38.730800000000002</v>
      </c>
      <c r="C16">
        <f t="shared" si="2"/>
        <v>38.923099999999998</v>
      </c>
      <c r="D16">
        <v>0.74663636363636365</v>
      </c>
      <c r="E16">
        <f t="shared" si="0"/>
        <v>3.6615879047111286</v>
      </c>
      <c r="I16" s="24">
        <f t="shared" si="1"/>
        <v>0.44521624556767347</v>
      </c>
    </row>
    <row r="17" spans="1:9" x14ac:dyDescent="0.3">
      <c r="A17">
        <v>0.22850000000000001</v>
      </c>
      <c r="B17">
        <v>39.346200000000003</v>
      </c>
      <c r="C17">
        <f t="shared" si="2"/>
        <v>39.623100000000001</v>
      </c>
      <c r="D17">
        <v>0.74618181818181828</v>
      </c>
      <c r="E17">
        <f t="shared" si="0"/>
        <v>3.6794122815210155</v>
      </c>
      <c r="I17" s="24">
        <f t="shared" si="1"/>
        <v>0.45613226393960871</v>
      </c>
    </row>
    <row r="18" spans="1:9" x14ac:dyDescent="0.3">
      <c r="A18">
        <v>0.2437</v>
      </c>
      <c r="B18">
        <v>40.038499999999999</v>
      </c>
      <c r="C18">
        <f t="shared" si="2"/>
        <v>40.353859999999997</v>
      </c>
      <c r="D18">
        <v>0.74572727272727279</v>
      </c>
      <c r="E18">
        <f t="shared" si="0"/>
        <v>3.6976870530897443</v>
      </c>
      <c r="I18" s="24">
        <f t="shared" si="1"/>
        <v>0.46759502249022494</v>
      </c>
    </row>
    <row r="19" spans="1:9" x14ac:dyDescent="0.3">
      <c r="A19">
        <v>0.25900000000000001</v>
      </c>
      <c r="B19">
        <v>41.653799999999997</v>
      </c>
      <c r="C19">
        <f t="shared" si="2"/>
        <v>40.992319999999999</v>
      </c>
      <c r="D19">
        <v>0.74527272727272731</v>
      </c>
      <c r="E19">
        <f t="shared" si="0"/>
        <v>3.7133847320851028</v>
      </c>
      <c r="I19" s="24">
        <f t="shared" si="1"/>
        <v>0.47771226195878214</v>
      </c>
    </row>
    <row r="20" spans="1:9" x14ac:dyDescent="0.3">
      <c r="A20">
        <v>0.2742</v>
      </c>
      <c r="B20">
        <v>42</v>
      </c>
      <c r="C20">
        <f t="shared" si="2"/>
        <v>41.323079999999997</v>
      </c>
      <c r="D20">
        <v>0.74481818181818193</v>
      </c>
      <c r="E20">
        <f t="shared" si="0"/>
        <v>3.721421181647707</v>
      </c>
      <c r="I20" s="24">
        <f t="shared" si="1"/>
        <v>0.48312014402455045</v>
      </c>
    </row>
    <row r="21" spans="1:9" x14ac:dyDescent="0.3">
      <c r="A21">
        <v>0.28949999999999998</v>
      </c>
      <c r="B21">
        <v>41.923099999999998</v>
      </c>
      <c r="C21">
        <f t="shared" si="2"/>
        <v>41.307679999999998</v>
      </c>
      <c r="D21">
        <v>0.74436363636363645</v>
      </c>
      <c r="E21">
        <f t="shared" si="0"/>
        <v>3.7210484390957008</v>
      </c>
      <c r="I21" s="24">
        <f t="shared" si="1"/>
        <v>0.4831765052225484</v>
      </c>
    </row>
    <row r="22" spans="1:9" x14ac:dyDescent="0.3">
      <c r="A22">
        <v>0.30470000000000003</v>
      </c>
      <c r="B22">
        <v>41</v>
      </c>
      <c r="C22">
        <f t="shared" si="2"/>
        <v>40.869219999999999</v>
      </c>
      <c r="D22">
        <v>0.74390909090909096</v>
      </c>
      <c r="E22">
        <f t="shared" si="0"/>
        <v>3.7103772124907146</v>
      </c>
      <c r="I22" s="24">
        <f t="shared" si="1"/>
        <v>0.47668486748329592</v>
      </c>
    </row>
    <row r="23" spans="1:9" x14ac:dyDescent="0.3">
      <c r="A23">
        <v>0.31990000000000002</v>
      </c>
      <c r="B23">
        <v>39.961500000000001</v>
      </c>
      <c r="C23">
        <f t="shared" si="2"/>
        <v>40.44614</v>
      </c>
      <c r="D23">
        <v>0.74345454545454559</v>
      </c>
      <c r="E23">
        <f t="shared" si="0"/>
        <v>3.6999712124986965</v>
      </c>
      <c r="I23" s="24">
        <f t="shared" si="1"/>
        <v>0.47044589522350611</v>
      </c>
    </row>
    <row r="24" spans="1:9" x14ac:dyDescent="0.3">
      <c r="A24">
        <v>0.3352</v>
      </c>
      <c r="B24">
        <v>39.461500000000001</v>
      </c>
      <c r="C24">
        <f t="shared" si="2"/>
        <v>40.161520000000003</v>
      </c>
      <c r="D24">
        <v>0.7430000000000001</v>
      </c>
      <c r="E24">
        <f t="shared" si="0"/>
        <v>3.692909323272811</v>
      </c>
      <c r="I24" s="24">
        <f t="shared" si="1"/>
        <v>0.46635024510931616</v>
      </c>
    </row>
    <row r="25" spans="1:9" x14ac:dyDescent="0.3">
      <c r="A25">
        <v>0.35039999999999999</v>
      </c>
      <c r="B25">
        <v>39.884599999999999</v>
      </c>
      <c r="C25">
        <f t="shared" si="2"/>
        <v>40.161520000000003</v>
      </c>
      <c r="D25">
        <v>0.74254545454545462</v>
      </c>
      <c r="E25">
        <f t="shared" si="0"/>
        <v>3.692909323272811</v>
      </c>
      <c r="I25" s="24">
        <f t="shared" si="1"/>
        <v>0.46663571905955448</v>
      </c>
    </row>
    <row r="26" spans="1:9" x14ac:dyDescent="0.3">
      <c r="A26">
        <v>0.36559999999999998</v>
      </c>
      <c r="B26">
        <v>40.5</v>
      </c>
      <c r="C26">
        <f t="shared" si="2"/>
        <v>40.46152</v>
      </c>
      <c r="D26">
        <v>0.74209090909090913</v>
      </c>
      <c r="E26">
        <f t="shared" si="0"/>
        <v>3.7003513990023049</v>
      </c>
      <c r="I26" s="24">
        <f t="shared" si="1"/>
        <v>0.47154781284533315</v>
      </c>
    </row>
    <row r="27" spans="1:9" x14ac:dyDescent="0.3">
      <c r="A27">
        <v>0.38090000000000002</v>
      </c>
      <c r="B27">
        <v>41</v>
      </c>
      <c r="C27">
        <f t="shared" si="2"/>
        <v>40.96922</v>
      </c>
      <c r="D27">
        <v>0.74163636363636365</v>
      </c>
      <c r="E27">
        <f t="shared" si="0"/>
        <v>3.712821053056826</v>
      </c>
      <c r="I27" s="24">
        <f t="shared" si="1"/>
        <v>0.47969621015092767</v>
      </c>
    </row>
    <row r="28" spans="1:9" x14ac:dyDescent="0.3">
      <c r="A28">
        <v>0.39610000000000001</v>
      </c>
      <c r="B28">
        <v>41.461500000000001</v>
      </c>
      <c r="C28">
        <f t="shared" si="2"/>
        <v>41.430759999999999</v>
      </c>
      <c r="D28">
        <v>0.74118181818181816</v>
      </c>
      <c r="E28">
        <f t="shared" si="0"/>
        <v>3.7240236001160856</v>
      </c>
      <c r="I28" s="24">
        <f t="shared" si="1"/>
        <v>0.48716711958359943</v>
      </c>
    </row>
    <row r="29" spans="1:9" x14ac:dyDescent="0.3">
      <c r="A29">
        <v>0.4113</v>
      </c>
      <c r="B29">
        <v>42</v>
      </c>
      <c r="C29">
        <f t="shared" si="2"/>
        <v>41.761519999999997</v>
      </c>
      <c r="D29">
        <v>0.74072727272727279</v>
      </c>
      <c r="E29">
        <f t="shared" si="0"/>
        <v>3.7319753413794081</v>
      </c>
      <c r="I29" s="24">
        <f t="shared" si="1"/>
        <v>0.49262840710752631</v>
      </c>
    </row>
    <row r="30" spans="1:9" x14ac:dyDescent="0.3">
      <c r="A30">
        <v>0.42659999999999998</v>
      </c>
      <c r="B30">
        <v>42.192300000000003</v>
      </c>
      <c r="C30">
        <f t="shared" si="2"/>
        <v>41.93844</v>
      </c>
      <c r="D30">
        <v>0.7402727272727273</v>
      </c>
      <c r="E30">
        <f t="shared" si="0"/>
        <v>3.7362028287877083</v>
      </c>
      <c r="I30" s="24">
        <f t="shared" si="1"/>
        <v>0.49569933471763</v>
      </c>
    </row>
    <row r="31" spans="1:9" x14ac:dyDescent="0.3">
      <c r="A31">
        <v>0.44180000000000003</v>
      </c>
      <c r="B31">
        <v>42.153799999999997</v>
      </c>
      <c r="C31">
        <f t="shared" si="2"/>
        <v>41.96922</v>
      </c>
      <c r="D31">
        <v>0.73981818181818182</v>
      </c>
      <c r="E31">
        <f t="shared" si="0"/>
        <v>3.7369364924694422</v>
      </c>
      <c r="I31" s="24">
        <f>(0.0026*(EXP(1.3248*E31)))/D31</f>
        <v>0.49648622230851941</v>
      </c>
    </row>
    <row r="32" spans="1:9" x14ac:dyDescent="0.3">
      <c r="A32">
        <v>0.45700000000000002</v>
      </c>
      <c r="B32">
        <v>41.884599999999999</v>
      </c>
      <c r="C32">
        <f t="shared" si="2"/>
        <v>41.846140000000005</v>
      </c>
      <c r="D32">
        <v>0.73936363636363645</v>
      </c>
      <c r="E32">
        <f t="shared" si="0"/>
        <v>3.7339995585119983</v>
      </c>
      <c r="I32" s="24">
        <f t="shared" si="1"/>
        <v>0.49486226620441681</v>
      </c>
    </row>
    <row r="33" spans="1:12" x14ac:dyDescent="0.3">
      <c r="A33">
        <v>0.4723</v>
      </c>
      <c r="B33">
        <v>41.615400000000001</v>
      </c>
      <c r="C33">
        <f t="shared" si="2"/>
        <v>41.815379999999998</v>
      </c>
      <c r="D33">
        <v>0.73890909090909096</v>
      </c>
      <c r="E33">
        <f t="shared" si="0"/>
        <v>3.7332642144401698</v>
      </c>
      <c r="I33" s="24">
        <f t="shared" si="1"/>
        <v>0.49468453594263556</v>
      </c>
    </row>
    <row r="34" spans="1:12" x14ac:dyDescent="0.3">
      <c r="A34">
        <v>0.48749999999999999</v>
      </c>
      <c r="B34">
        <v>41.384599999999999</v>
      </c>
      <c r="C34">
        <f t="shared" si="2"/>
        <v>41.846159999999998</v>
      </c>
      <c r="D34">
        <v>0.73845454545454547</v>
      </c>
      <c r="E34">
        <f t="shared" si="0"/>
        <v>3.7340000364532187</v>
      </c>
      <c r="I34" s="24">
        <f t="shared" si="1"/>
        <v>0.49547179113582224</v>
      </c>
      <c r="K34" s="4">
        <v>1986</v>
      </c>
      <c r="L34" s="4" t="s">
        <v>24</v>
      </c>
    </row>
    <row r="35" spans="1:12" x14ac:dyDescent="0.3">
      <c r="A35">
        <v>0.50270000000000004</v>
      </c>
      <c r="B35">
        <v>42.038499999999999</v>
      </c>
      <c r="C35">
        <f t="shared" si="2"/>
        <v>42.084620000000001</v>
      </c>
      <c r="D35">
        <v>0.7380000000000001</v>
      </c>
      <c r="E35">
        <f t="shared" si="0"/>
        <v>3.7396823532774022</v>
      </c>
      <c r="I35" s="24">
        <f t="shared" si="1"/>
        <v>0.49952321876936034</v>
      </c>
      <c r="K35" s="7" t="s">
        <v>13</v>
      </c>
      <c r="L35">
        <v>25.03</v>
      </c>
    </row>
    <row r="36" spans="1:12" x14ac:dyDescent="0.3">
      <c r="A36">
        <v>0.51800000000000002</v>
      </c>
      <c r="B36">
        <v>42.307699999999997</v>
      </c>
      <c r="C36">
        <f t="shared" si="2"/>
        <v>42.623080000000002</v>
      </c>
      <c r="D36">
        <v>0.73754545454545462</v>
      </c>
      <c r="E36">
        <f t="shared" si="0"/>
        <v>3.7523958906009001</v>
      </c>
      <c r="I36" s="24">
        <f t="shared" si="1"/>
        <v>0.50832097077000049</v>
      </c>
      <c r="K36" s="7" t="s">
        <v>14</v>
      </c>
      <c r="L36">
        <v>23.97</v>
      </c>
    </row>
    <row r="37" spans="1:12" x14ac:dyDescent="0.3">
      <c r="A37">
        <v>0.53320000000000001</v>
      </c>
      <c r="B37">
        <v>43.076900000000002</v>
      </c>
      <c r="C37">
        <f t="shared" si="2"/>
        <v>43.5077</v>
      </c>
      <c r="D37">
        <v>0.73709090909090913</v>
      </c>
      <c r="E37">
        <f t="shared" si="0"/>
        <v>3.7729379339242053</v>
      </c>
      <c r="I37" s="24">
        <f t="shared" si="1"/>
        <v>0.52266653697039722</v>
      </c>
      <c r="K37" s="7" t="s">
        <v>15</v>
      </c>
      <c r="L37">
        <v>24.49</v>
      </c>
    </row>
    <row r="38" spans="1:12" x14ac:dyDescent="0.3">
      <c r="A38">
        <v>0.5484</v>
      </c>
      <c r="B38">
        <v>44.307699999999997</v>
      </c>
      <c r="C38">
        <f t="shared" si="2"/>
        <v>44.530760000000001</v>
      </c>
      <c r="D38">
        <v>0.73663636363636376</v>
      </c>
      <c r="E38">
        <f t="shared" si="0"/>
        <v>3.7961801863337135</v>
      </c>
      <c r="I38" s="24">
        <f t="shared" si="1"/>
        <v>0.53934307175972063</v>
      </c>
      <c r="K38" s="7" t="s">
        <v>16</v>
      </c>
      <c r="L38">
        <v>24.99</v>
      </c>
    </row>
    <row r="39" spans="1:12" x14ac:dyDescent="0.3">
      <c r="A39">
        <v>0.56369999999999998</v>
      </c>
      <c r="B39">
        <v>45.807699999999997</v>
      </c>
      <c r="C39">
        <f t="shared" si="2"/>
        <v>45.707679999999996</v>
      </c>
      <c r="D39">
        <v>0.73618181818181827</v>
      </c>
      <c r="E39">
        <f t="shared" si="0"/>
        <v>3.8222663362973281</v>
      </c>
      <c r="I39" s="24">
        <f t="shared" si="1"/>
        <v>0.5586527282014172</v>
      </c>
      <c r="K39" s="7" t="s">
        <v>17</v>
      </c>
      <c r="L39">
        <v>26.55</v>
      </c>
    </row>
    <row r="40" spans="1:12" x14ac:dyDescent="0.3">
      <c r="A40">
        <v>0.57889999999999997</v>
      </c>
      <c r="B40">
        <v>47.153799999999997</v>
      </c>
      <c r="C40">
        <f t="shared" si="2"/>
        <v>46.807679999999998</v>
      </c>
      <c r="D40">
        <v>0.73572727272727279</v>
      </c>
      <c r="E40">
        <f t="shared" si="0"/>
        <v>3.8460472920243505</v>
      </c>
      <c r="I40" s="24">
        <f t="shared" si="1"/>
        <v>0.5768894650502594</v>
      </c>
      <c r="K40" s="7" t="s">
        <v>18</v>
      </c>
      <c r="L40">
        <v>28.32</v>
      </c>
    </row>
    <row r="41" spans="1:12" x14ac:dyDescent="0.3">
      <c r="A41">
        <v>0.59409999999999996</v>
      </c>
      <c r="B41">
        <v>48.192300000000003</v>
      </c>
      <c r="C41">
        <f t="shared" si="2"/>
        <v>47.676899999999996</v>
      </c>
      <c r="D41">
        <v>0.7352727272727273</v>
      </c>
      <c r="E41">
        <f t="shared" si="0"/>
        <v>3.8644470038648886</v>
      </c>
      <c r="I41" s="24">
        <f t="shared" si="1"/>
        <v>0.59148991111270077</v>
      </c>
      <c r="K41" s="7" t="s">
        <v>19</v>
      </c>
      <c r="L41">
        <v>28.99</v>
      </c>
    </row>
    <row r="42" spans="1:12" x14ac:dyDescent="0.3">
      <c r="A42">
        <v>0.60940000000000005</v>
      </c>
      <c r="B42">
        <v>48.576900000000002</v>
      </c>
      <c r="C42">
        <f t="shared" si="2"/>
        <v>48.223059999999997</v>
      </c>
      <c r="D42">
        <v>0.73481818181818181</v>
      </c>
      <c r="E42">
        <f t="shared" si="0"/>
        <v>3.8758373298851612</v>
      </c>
      <c r="I42" s="24">
        <f t="shared" si="1"/>
        <v>0.60085456788855085</v>
      </c>
      <c r="K42" s="7" t="s">
        <v>12</v>
      </c>
      <c r="L42">
        <v>29.1</v>
      </c>
    </row>
    <row r="43" spans="1:12" x14ac:dyDescent="0.3">
      <c r="A43">
        <v>0.62460000000000004</v>
      </c>
      <c r="B43">
        <v>48.653799999999997</v>
      </c>
      <c r="C43">
        <f t="shared" si="2"/>
        <v>48.47692</v>
      </c>
      <c r="D43">
        <v>0.73436363636363644</v>
      </c>
      <c r="E43">
        <f t="shared" si="0"/>
        <v>3.8810878083897218</v>
      </c>
      <c r="I43" s="24">
        <f t="shared" si="1"/>
        <v>0.60542308594748284</v>
      </c>
      <c r="K43" s="7" t="s">
        <v>20</v>
      </c>
      <c r="L43">
        <v>28.9</v>
      </c>
    </row>
    <row r="44" spans="1:12" x14ac:dyDescent="0.3">
      <c r="A44">
        <v>0.63980000000000004</v>
      </c>
      <c r="B44">
        <v>48.538499999999999</v>
      </c>
      <c r="C44">
        <f t="shared" si="2"/>
        <v>48.607700000000008</v>
      </c>
      <c r="D44">
        <v>0.73390909090909096</v>
      </c>
      <c r="E44">
        <f t="shared" si="0"/>
        <v>3.8837819545707486</v>
      </c>
      <c r="I44" s="24">
        <f t="shared" si="1"/>
        <v>0.60796413444603536</v>
      </c>
      <c r="K44" s="7" t="s">
        <v>21</v>
      </c>
      <c r="L44">
        <v>28.47</v>
      </c>
    </row>
    <row r="45" spans="1:12" x14ac:dyDescent="0.3">
      <c r="A45">
        <v>0.65510000000000002</v>
      </c>
      <c r="B45">
        <v>48.423099999999998</v>
      </c>
      <c r="C45">
        <f t="shared" si="2"/>
        <v>48.807699999999997</v>
      </c>
      <c r="D45">
        <v>0.73345454545454547</v>
      </c>
      <c r="E45">
        <f t="shared" si="0"/>
        <v>3.8878880872973061</v>
      </c>
      <c r="I45" s="24">
        <f t="shared" si="1"/>
        <v>0.61165918233756245</v>
      </c>
      <c r="K45" s="7" t="s">
        <v>22</v>
      </c>
      <c r="L45">
        <v>27.46</v>
      </c>
    </row>
    <row r="46" spans="1:12" x14ac:dyDescent="0.3">
      <c r="A46">
        <v>0.67030000000000001</v>
      </c>
      <c r="B46">
        <v>48.846200000000003</v>
      </c>
      <c r="C46">
        <f t="shared" si="2"/>
        <v>49.115400000000001</v>
      </c>
      <c r="D46">
        <v>0.7330000000000001</v>
      </c>
      <c r="E46">
        <f t="shared" si="0"/>
        <v>3.8941726312451506</v>
      </c>
      <c r="I46" s="24">
        <f t="shared" si="1"/>
        <v>0.61715544193331107</v>
      </c>
      <c r="K46" s="7" t="s">
        <v>23</v>
      </c>
      <c r="L46">
        <v>26.54</v>
      </c>
    </row>
    <row r="47" spans="1:12" x14ac:dyDescent="0.3">
      <c r="A47">
        <v>0.6855</v>
      </c>
      <c r="B47">
        <v>49.576900000000002</v>
      </c>
      <c r="C47">
        <f t="shared" si="2"/>
        <v>49.52308</v>
      </c>
      <c r="D47">
        <v>0.73254545454545461</v>
      </c>
      <c r="E47">
        <f t="shared" si="0"/>
        <v>3.9024388235342657</v>
      </c>
      <c r="I47" s="24">
        <f t="shared" si="1"/>
        <v>0.62433824729233112</v>
      </c>
    </row>
    <row r="48" spans="1:12" x14ac:dyDescent="0.3">
      <c r="A48">
        <v>0.70079999999999998</v>
      </c>
      <c r="B48">
        <v>50.192300000000003</v>
      </c>
      <c r="C48">
        <f t="shared" si="2"/>
        <v>49.961539999999999</v>
      </c>
      <c r="D48">
        <v>0.73209090909090913</v>
      </c>
      <c r="E48">
        <f t="shared" si="0"/>
        <v>3.9112535094420346</v>
      </c>
      <c r="I48" s="24">
        <f t="shared" si="1"/>
        <v>0.63206401231172293</v>
      </c>
    </row>
    <row r="49" spans="1:15" x14ac:dyDescent="0.3">
      <c r="A49">
        <v>0.71599999999999997</v>
      </c>
      <c r="B49">
        <v>50.576900000000002</v>
      </c>
      <c r="C49">
        <f t="shared" si="2"/>
        <v>50.153840000000002</v>
      </c>
      <c r="D49">
        <v>0.73163636363636375</v>
      </c>
      <c r="E49">
        <f t="shared" si="0"/>
        <v>3.9150950817657222</v>
      </c>
      <c r="I49" s="24">
        <f t="shared" si="1"/>
        <v>0.6356836721593857</v>
      </c>
    </row>
    <row r="50" spans="1:15" x14ac:dyDescent="0.3">
      <c r="A50">
        <v>0.73119999999999996</v>
      </c>
      <c r="B50">
        <v>50.615400000000001</v>
      </c>
      <c r="C50">
        <f t="shared" si="2"/>
        <v>50.146159999999995</v>
      </c>
      <c r="D50">
        <v>0.73118181818181827</v>
      </c>
      <c r="E50">
        <f t="shared" si="0"/>
        <v>3.9149419411871578</v>
      </c>
      <c r="I50" s="24">
        <f t="shared" si="1"/>
        <v>0.63594981537809947</v>
      </c>
      <c r="N50" s="30">
        <v>42674</v>
      </c>
      <c r="O50">
        <v>2016</v>
      </c>
    </row>
    <row r="51" spans="1:15" x14ac:dyDescent="0.3">
      <c r="A51">
        <v>0.74650000000000005</v>
      </c>
      <c r="B51">
        <v>49.807699999999997</v>
      </c>
      <c r="C51">
        <f t="shared" si="2"/>
        <v>49.938459999999999</v>
      </c>
      <c r="D51">
        <v>0.73072727272727278</v>
      </c>
      <c r="E51">
        <f t="shared" si="0"/>
        <v>3.9107914473717518</v>
      </c>
      <c r="I51" s="24">
        <f t="shared" si="1"/>
        <v>0.63285601465930641</v>
      </c>
    </row>
    <row r="52" spans="1:15" x14ac:dyDescent="0.3">
      <c r="A52">
        <v>0.76170000000000004</v>
      </c>
      <c r="B52">
        <v>49.538499999999999</v>
      </c>
      <c r="C52">
        <f t="shared" si="2"/>
        <v>49.5077</v>
      </c>
      <c r="D52">
        <v>0.73027272727272741</v>
      </c>
      <c r="E52">
        <f t="shared" si="0"/>
        <v>3.9021282130326891</v>
      </c>
      <c r="I52" s="24">
        <f t="shared" si="1"/>
        <v>0.62602362954195623</v>
      </c>
    </row>
    <row r="53" spans="1:15" x14ac:dyDescent="0.3">
      <c r="A53">
        <v>0.77700000000000002</v>
      </c>
      <c r="B53">
        <v>49.153799999999997</v>
      </c>
      <c r="C53">
        <f t="shared" si="2"/>
        <v>48.861540000000005</v>
      </c>
      <c r="D53">
        <v>0.72981818181818192</v>
      </c>
      <c r="E53">
        <f t="shared" si="0"/>
        <v>3.8889905839575349</v>
      </c>
      <c r="I53" s="24">
        <f t="shared" si="1"/>
        <v>0.61560530067982189</v>
      </c>
    </row>
    <row r="54" spans="1:15" x14ac:dyDescent="0.3">
      <c r="A54">
        <v>0.79220000000000002</v>
      </c>
      <c r="B54">
        <v>48.423099999999998</v>
      </c>
      <c r="C54">
        <f t="shared" si="2"/>
        <v>48.246159999999996</v>
      </c>
      <c r="D54">
        <v>0.72936363636363644</v>
      </c>
      <c r="E54">
        <f t="shared" si="0"/>
        <v>3.8763162391256736</v>
      </c>
      <c r="I54" s="24">
        <f t="shared" si="1"/>
        <v>0.60573224872687936</v>
      </c>
    </row>
    <row r="55" spans="1:15" x14ac:dyDescent="0.3">
      <c r="A55">
        <v>0.80740000000000001</v>
      </c>
      <c r="B55">
        <v>47.384599999999999</v>
      </c>
      <c r="C55">
        <f t="shared" si="2"/>
        <v>47.607700000000001</v>
      </c>
      <c r="D55">
        <v>0.72890909090909095</v>
      </c>
      <c r="E55">
        <f t="shared" si="0"/>
        <v>3.8629945128607575</v>
      </c>
      <c r="I55" s="24">
        <f t="shared" si="1"/>
        <v>0.59550681580332931</v>
      </c>
    </row>
    <row r="56" spans="1:15" x14ac:dyDescent="0.3">
      <c r="A56">
        <v>0.82269999999999999</v>
      </c>
      <c r="B56">
        <v>46.730800000000002</v>
      </c>
      <c r="C56">
        <f t="shared" si="2"/>
        <v>47.038480000000007</v>
      </c>
      <c r="D56">
        <v>0.72845454545454547</v>
      </c>
      <c r="E56">
        <f t="shared" si="0"/>
        <v>3.8509659901431279</v>
      </c>
      <c r="I56" s="24">
        <f t="shared" si="1"/>
        <v>0.58645810819879196</v>
      </c>
    </row>
    <row r="57" spans="1:15" x14ac:dyDescent="0.3">
      <c r="A57">
        <v>0.83789999999999998</v>
      </c>
      <c r="B57">
        <v>46.346200000000003</v>
      </c>
      <c r="C57">
        <f t="shared" si="2"/>
        <v>46.753859999999996</v>
      </c>
      <c r="D57">
        <v>0.72799999999999998</v>
      </c>
      <c r="E57">
        <f t="shared" si="0"/>
        <v>3.8448968191711614</v>
      </c>
      <c r="I57" s="24">
        <f t="shared" si="1"/>
        <v>0.5821248722516934</v>
      </c>
    </row>
    <row r="58" spans="1:15" x14ac:dyDescent="0.3">
      <c r="A58">
        <v>0.85309999999999997</v>
      </c>
      <c r="B58">
        <v>46.307699999999997</v>
      </c>
      <c r="C58">
        <f t="shared" si="2"/>
        <v>46.723100000000002</v>
      </c>
      <c r="D58">
        <v>0.72754545454545461</v>
      </c>
      <c r="E58">
        <f t="shared" si="0"/>
        <v>3.8442386890584519</v>
      </c>
      <c r="I58" s="24">
        <f t="shared" si="1"/>
        <v>0.58198091884572356</v>
      </c>
    </row>
    <row r="59" spans="1:15" x14ac:dyDescent="0.3">
      <c r="A59">
        <v>0.86839999999999995</v>
      </c>
      <c r="B59">
        <v>47</v>
      </c>
      <c r="C59">
        <f t="shared" si="2"/>
        <v>46.869240000000005</v>
      </c>
      <c r="D59">
        <v>0.72709090909090912</v>
      </c>
      <c r="E59">
        <f t="shared" si="0"/>
        <v>3.8473615967402091</v>
      </c>
      <c r="I59" s="24">
        <f t="shared" si="1"/>
        <v>0.58475903170794163</v>
      </c>
    </row>
    <row r="60" spans="1:15" x14ac:dyDescent="0.3">
      <c r="A60">
        <v>0.88360000000000005</v>
      </c>
      <c r="B60">
        <v>47.230800000000002</v>
      </c>
      <c r="C60">
        <f t="shared" si="2"/>
        <v>47.107700000000001</v>
      </c>
      <c r="D60">
        <v>0.72663636363636364</v>
      </c>
      <c r="E60">
        <f t="shared" si="0"/>
        <v>3.8524364696139446</v>
      </c>
      <c r="I60" s="24">
        <f t="shared" si="1"/>
        <v>0.58907198636836566</v>
      </c>
    </row>
    <row r="61" spans="1:15" x14ac:dyDescent="0.3">
      <c r="A61">
        <v>0.89880000000000004</v>
      </c>
      <c r="B61">
        <v>47.461500000000001</v>
      </c>
      <c r="C61">
        <f t="shared" si="2"/>
        <v>47.338459999999998</v>
      </c>
      <c r="D61">
        <v>0.72618181818181826</v>
      </c>
      <c r="E61">
        <f t="shared" si="0"/>
        <v>3.8573230729272168</v>
      </c>
      <c r="I61" s="24">
        <f t="shared" si="1"/>
        <v>0.59326899259191768</v>
      </c>
    </row>
    <row r="62" spans="1:15" x14ac:dyDescent="0.3">
      <c r="A62">
        <v>0.91410000000000002</v>
      </c>
      <c r="B62">
        <v>47.538499999999999</v>
      </c>
      <c r="C62">
        <f t="shared" si="2"/>
        <v>47.438459999999999</v>
      </c>
      <c r="D62">
        <v>0.72572727272727278</v>
      </c>
      <c r="E62">
        <f t="shared" si="0"/>
        <v>3.8594332921052303</v>
      </c>
      <c r="I62" s="24">
        <f t="shared" si="1"/>
        <v>0.59530248977828837</v>
      </c>
    </row>
    <row r="63" spans="1:15" x14ac:dyDescent="0.3">
      <c r="A63">
        <v>0.92930000000000001</v>
      </c>
      <c r="B63">
        <v>47.461500000000001</v>
      </c>
      <c r="C63">
        <f t="shared" si="2"/>
        <v>47.507680000000001</v>
      </c>
      <c r="D63">
        <v>0.7252727272727274</v>
      </c>
      <c r="E63">
        <f t="shared" si="0"/>
        <v>3.8608913821816384</v>
      </c>
      <c r="I63" s="24">
        <f t="shared" si="1"/>
        <v>0.59682734514740299</v>
      </c>
    </row>
    <row r="64" spans="1:15" x14ac:dyDescent="0.3">
      <c r="A64">
        <v>0.94450000000000001</v>
      </c>
      <c r="B64">
        <v>47.5</v>
      </c>
      <c r="C64">
        <f t="shared" si="2"/>
        <v>47.607680000000002</v>
      </c>
      <c r="D64">
        <v>0.72481818181818192</v>
      </c>
      <c r="E64">
        <f t="shared" si="0"/>
        <v>3.8629940927605593</v>
      </c>
      <c r="I64" s="24">
        <f t="shared" si="1"/>
        <v>0.59886755195253538</v>
      </c>
    </row>
    <row r="65" spans="1:9" x14ac:dyDescent="0.3">
      <c r="A65">
        <v>0.95979999999999999</v>
      </c>
      <c r="B65">
        <v>47.576900000000002</v>
      </c>
      <c r="C65">
        <f t="shared" si="2"/>
        <v>47.784599999999998</v>
      </c>
      <c r="D65">
        <v>0.72436363636363643</v>
      </c>
      <c r="E65">
        <f t="shared" si="0"/>
        <v>3.866703411855442</v>
      </c>
      <c r="I65" s="24">
        <f t="shared" si="1"/>
        <v>0.6021953399065586</v>
      </c>
    </row>
    <row r="66" spans="1:9" x14ac:dyDescent="0.3">
      <c r="A66">
        <v>0.97499999999999998</v>
      </c>
      <c r="B66">
        <v>47.961500000000001</v>
      </c>
      <c r="C66">
        <f t="shared" si="2"/>
        <v>47.95384</v>
      </c>
      <c r="D66">
        <v>0.72390909090909106</v>
      </c>
      <c r="E66">
        <f t="shared" si="0"/>
        <v>3.8702388815431705</v>
      </c>
      <c r="I66" s="24">
        <f t="shared" si="1"/>
        <v>0.60540240842600301</v>
      </c>
    </row>
    <row r="67" spans="1:9" x14ac:dyDescent="0.3">
      <c r="A67">
        <v>0.99019999999999997</v>
      </c>
      <c r="B67">
        <v>48.423099999999998</v>
      </c>
      <c r="C67">
        <f t="shared" si="2"/>
        <v>47.96922</v>
      </c>
      <c r="D67">
        <v>0.72345454545454557</v>
      </c>
      <c r="E67">
        <f t="shared" ref="E67:E121" si="3">LN(C67)</f>
        <v>3.8705595552191729</v>
      </c>
      <c r="I67" s="24">
        <f t="shared" ref="I67:I121" si="4">(0.0026*(EXP(1.3248*E67)))/D67</f>
        <v>0.60604019034737333</v>
      </c>
    </row>
    <row r="68" spans="1:9" x14ac:dyDescent="0.3">
      <c r="A68">
        <v>1.0055000000000001</v>
      </c>
      <c r="B68">
        <v>48.307699999999997</v>
      </c>
      <c r="C68">
        <f t="shared" si="2"/>
        <v>47.684599999999996</v>
      </c>
      <c r="D68" s="8">
        <v>0.72300000000000009</v>
      </c>
      <c r="E68">
        <f t="shared" si="3"/>
        <v>3.8646084946136021</v>
      </c>
      <c r="I68" s="24">
        <f t="shared" si="4"/>
        <v>0.60165899752085994</v>
      </c>
    </row>
    <row r="69" spans="1:9" x14ac:dyDescent="0.3">
      <c r="A69">
        <v>1.0206999999999999</v>
      </c>
      <c r="B69">
        <v>47.576900000000002</v>
      </c>
      <c r="C69">
        <f t="shared" ref="C69:C121" si="5">AVERAGE(B67:B71)</f>
        <v>46.953839999999992</v>
      </c>
      <c r="D69">
        <v>0.72266666666666668</v>
      </c>
      <c r="E69">
        <f t="shared" si="3"/>
        <v>3.8491649914471027</v>
      </c>
      <c r="I69" s="24">
        <f t="shared" si="4"/>
        <v>0.58974629195822725</v>
      </c>
    </row>
    <row r="70" spans="1:9" x14ac:dyDescent="0.3">
      <c r="A70">
        <v>1.0359</v>
      </c>
      <c r="B70">
        <v>46.153799999999997</v>
      </c>
      <c r="C70">
        <f t="shared" si="5"/>
        <v>45.769219999999997</v>
      </c>
      <c r="D70">
        <v>0.72233333333333338</v>
      </c>
      <c r="E70">
        <f t="shared" si="3"/>
        <v>3.8236118127899474</v>
      </c>
      <c r="I70" s="24">
        <f t="shared" si="4"/>
        <v>0.57037893644402904</v>
      </c>
    </row>
    <row r="71" spans="1:9" x14ac:dyDescent="0.3">
      <c r="A71">
        <v>1.0511999999999999</v>
      </c>
      <c r="B71">
        <v>44.307699999999997</v>
      </c>
      <c r="C71">
        <f t="shared" si="5"/>
        <v>44.338439999999999</v>
      </c>
      <c r="D71">
        <v>0.72199999999999998</v>
      </c>
      <c r="E71">
        <f t="shared" si="3"/>
        <v>3.791852020889944</v>
      </c>
      <c r="I71" s="24">
        <f t="shared" si="4"/>
        <v>0.54713038750111997</v>
      </c>
    </row>
    <row r="72" spans="1:9" x14ac:dyDescent="0.3">
      <c r="A72">
        <v>1.0664</v>
      </c>
      <c r="B72">
        <v>42.5</v>
      </c>
      <c r="C72">
        <f t="shared" si="5"/>
        <v>42.907679999999999</v>
      </c>
      <c r="D72">
        <v>0.72166666666666668</v>
      </c>
      <c r="E72">
        <f t="shared" si="3"/>
        <v>3.759050830890649</v>
      </c>
      <c r="I72" s="24">
        <f t="shared" si="4"/>
        <v>0.52410597854599639</v>
      </c>
    </row>
    <row r="73" spans="1:9" x14ac:dyDescent="0.3">
      <c r="A73">
        <v>1.0815999999999999</v>
      </c>
      <c r="B73">
        <v>41.153799999999997</v>
      </c>
      <c r="C73">
        <f t="shared" si="5"/>
        <v>41.430759999999999</v>
      </c>
      <c r="D73">
        <v>0.72133333333333327</v>
      </c>
      <c r="E73">
        <f t="shared" si="3"/>
        <v>3.7240236001160856</v>
      </c>
      <c r="I73" s="24">
        <f t="shared" si="4"/>
        <v>0.50057219702130984</v>
      </c>
    </row>
    <row r="74" spans="1:9" x14ac:dyDescent="0.3">
      <c r="A74">
        <v>1.0969</v>
      </c>
      <c r="B74">
        <v>40.423099999999998</v>
      </c>
      <c r="C74">
        <f t="shared" si="5"/>
        <v>40.184599999999996</v>
      </c>
      <c r="D74">
        <v>0.72099999999999997</v>
      </c>
      <c r="E74">
        <f t="shared" si="3"/>
        <v>3.6934838376522192</v>
      </c>
      <c r="I74" s="24">
        <f t="shared" si="4"/>
        <v>0.48094598901283719</v>
      </c>
    </row>
    <row r="75" spans="1:9" x14ac:dyDescent="0.3">
      <c r="A75">
        <v>1.1121000000000001</v>
      </c>
      <c r="B75">
        <v>38.769199999999998</v>
      </c>
      <c r="C75">
        <f t="shared" si="5"/>
        <v>39.138440000000003</v>
      </c>
      <c r="D75">
        <v>0.72066666666666668</v>
      </c>
      <c r="E75">
        <f t="shared" si="3"/>
        <v>3.6671051042497589</v>
      </c>
      <c r="I75" s="24">
        <f t="shared" si="4"/>
        <v>0.46464369129706967</v>
      </c>
    </row>
    <row r="76" spans="1:9" x14ac:dyDescent="0.3">
      <c r="A76">
        <v>1.1273</v>
      </c>
      <c r="B76">
        <v>38.076900000000002</v>
      </c>
      <c r="C76">
        <f t="shared" si="5"/>
        <v>38.169219999999996</v>
      </c>
      <c r="D76">
        <v>0.72033333333333327</v>
      </c>
      <c r="E76">
        <f t="shared" si="3"/>
        <v>3.6420294316518271</v>
      </c>
      <c r="I76" s="24">
        <f t="shared" si="4"/>
        <v>0.44966967030770827</v>
      </c>
    </row>
    <row r="77" spans="1:9" x14ac:dyDescent="0.3">
      <c r="A77">
        <v>1.1426000000000001</v>
      </c>
      <c r="B77">
        <v>37.269199999999998</v>
      </c>
      <c r="C77">
        <f t="shared" si="5"/>
        <v>37.130759999999995</v>
      </c>
      <c r="D77">
        <v>0.72</v>
      </c>
      <c r="E77">
        <f t="shared" si="3"/>
        <v>3.6144457366032636</v>
      </c>
      <c r="I77" s="24">
        <f t="shared" si="4"/>
        <v>0.43373477242839109</v>
      </c>
    </row>
    <row r="78" spans="1:9" x14ac:dyDescent="0.3">
      <c r="A78">
        <v>1.1577999999999999</v>
      </c>
      <c r="B78">
        <v>36.307699999999997</v>
      </c>
      <c r="C78">
        <f t="shared" si="5"/>
        <v>36.315380000000005</v>
      </c>
      <c r="D78">
        <v>0.71966666666666668</v>
      </c>
      <c r="E78">
        <f t="shared" si="3"/>
        <v>3.5922413429989786</v>
      </c>
      <c r="I78" s="24">
        <f t="shared" si="4"/>
        <v>0.42135677163328106</v>
      </c>
    </row>
    <row r="79" spans="1:9" x14ac:dyDescent="0.3">
      <c r="A79">
        <v>1.173</v>
      </c>
      <c r="B79">
        <v>35.230800000000002</v>
      </c>
      <c r="C79">
        <f t="shared" si="5"/>
        <v>35.54616</v>
      </c>
      <c r="D79">
        <v>0.71933333333333338</v>
      </c>
      <c r="E79">
        <f t="shared" si="3"/>
        <v>3.5708321335373698</v>
      </c>
      <c r="I79" s="24">
        <f t="shared" si="4"/>
        <v>0.40976354645483176</v>
      </c>
    </row>
    <row r="80" spans="1:9" x14ac:dyDescent="0.3">
      <c r="A80">
        <v>1.1882999999999999</v>
      </c>
      <c r="B80">
        <v>34.692300000000003</v>
      </c>
      <c r="C80">
        <f t="shared" si="5"/>
        <v>34.892319999999998</v>
      </c>
      <c r="D80">
        <v>0.71899999999999997</v>
      </c>
      <c r="E80">
        <f t="shared" si="3"/>
        <v>3.5522667476856293</v>
      </c>
      <c r="I80" s="24">
        <f t="shared" si="4"/>
        <v>0.39999352265823196</v>
      </c>
    </row>
    <row r="81" spans="1:18" x14ac:dyDescent="0.3">
      <c r="A81">
        <v>1.2035</v>
      </c>
      <c r="B81">
        <v>34.230800000000002</v>
      </c>
      <c r="C81">
        <f t="shared" si="5"/>
        <v>34.346160000000005</v>
      </c>
      <c r="D81">
        <v>0.71866666666666668</v>
      </c>
      <c r="E81">
        <f t="shared" si="3"/>
        <v>3.5364902220263335</v>
      </c>
      <c r="I81" s="24">
        <f t="shared" si="4"/>
        <v>0.39190181120283585</v>
      </c>
    </row>
    <row r="82" spans="1:18" x14ac:dyDescent="0.3">
      <c r="A82">
        <v>1.2186999999999999</v>
      </c>
      <c r="B82">
        <v>34</v>
      </c>
      <c r="C82">
        <f t="shared" si="5"/>
        <v>33.97692</v>
      </c>
      <c r="D82">
        <v>0.71833333333333338</v>
      </c>
      <c r="E82">
        <f t="shared" si="3"/>
        <v>3.5256814705817368</v>
      </c>
      <c r="I82" s="24">
        <f t="shared" si="4"/>
        <v>0.38650925846292966</v>
      </c>
    </row>
    <row r="83" spans="1:18" x14ac:dyDescent="0.3">
      <c r="A83">
        <v>1.234</v>
      </c>
      <c r="B83">
        <v>33.576900000000002</v>
      </c>
      <c r="C83">
        <f t="shared" si="5"/>
        <v>33.653840000000002</v>
      </c>
      <c r="D83">
        <v>0.71799999999999997</v>
      </c>
      <c r="E83">
        <f t="shared" si="3"/>
        <v>3.5161271654789727</v>
      </c>
      <c r="I83" s="24">
        <f t="shared" si="4"/>
        <v>0.38182501349040537</v>
      </c>
    </row>
    <row r="84" spans="1:18" x14ac:dyDescent="0.3">
      <c r="A84">
        <v>1.2492000000000001</v>
      </c>
      <c r="B84">
        <v>33.384599999999999</v>
      </c>
      <c r="C84">
        <f t="shared" si="5"/>
        <v>33.361519999999999</v>
      </c>
      <c r="D84">
        <v>0.71766666666666667</v>
      </c>
      <c r="E84">
        <f t="shared" si="3"/>
        <v>3.5074031400017196</v>
      </c>
      <c r="I84" s="24">
        <f t="shared" si="4"/>
        <v>0.37761274833717351</v>
      </c>
    </row>
    <row r="85" spans="1:18" x14ac:dyDescent="0.3">
      <c r="A85">
        <v>1.2644</v>
      </c>
      <c r="B85">
        <v>33.076900000000002</v>
      </c>
      <c r="C85">
        <f t="shared" si="5"/>
        <v>33.207679999999996</v>
      </c>
      <c r="D85">
        <v>0.71733333333333327</v>
      </c>
      <c r="E85">
        <f t="shared" si="3"/>
        <v>3.5027811744720756</v>
      </c>
      <c r="I85" s="25">
        <f t="shared" si="4"/>
        <v>0.3754820215401321</v>
      </c>
      <c r="N85" s="30">
        <v>42428</v>
      </c>
    </row>
    <row r="86" spans="1:18" x14ac:dyDescent="0.3">
      <c r="A86">
        <v>1.2797000000000001</v>
      </c>
      <c r="B86">
        <v>32.769199999999998</v>
      </c>
      <c r="C86">
        <f t="shared" si="5"/>
        <v>33.307679999999998</v>
      </c>
      <c r="D86">
        <v>0.71699999999999997</v>
      </c>
      <c r="E86">
        <f t="shared" si="3"/>
        <v>3.5057880010258731</v>
      </c>
      <c r="I86" s="24">
        <f t="shared" si="4"/>
        <v>0.37715597443121041</v>
      </c>
      <c r="N86" s="30">
        <v>42421.432432432433</v>
      </c>
    </row>
    <row r="87" spans="1:18" x14ac:dyDescent="0.3">
      <c r="A87">
        <v>1.2948999999999999</v>
      </c>
      <c r="B87">
        <v>33.230800000000002</v>
      </c>
      <c r="C87">
        <f t="shared" si="5"/>
        <v>33.738460000000003</v>
      </c>
      <c r="D87">
        <v>0.71666666666666667</v>
      </c>
      <c r="E87">
        <f t="shared" si="3"/>
        <v>3.5186384329226148</v>
      </c>
      <c r="I87" s="24">
        <f t="shared" si="4"/>
        <v>0.38381017233862902</v>
      </c>
      <c r="N87" s="30">
        <v>42414.864864864867</v>
      </c>
    </row>
    <row r="88" spans="1:18" x14ac:dyDescent="0.3">
      <c r="A88">
        <v>1.3102</v>
      </c>
      <c r="B88">
        <v>34.076900000000002</v>
      </c>
      <c r="C88">
        <f t="shared" si="5"/>
        <v>34.4</v>
      </c>
      <c r="D88">
        <v>0.71633333333333327</v>
      </c>
      <c r="E88">
        <f t="shared" si="3"/>
        <v>3.5380565643793527</v>
      </c>
      <c r="I88" s="24">
        <f t="shared" si="4"/>
        <v>0.39399509206200856</v>
      </c>
      <c r="N88" s="30">
        <v>42408.297297297293</v>
      </c>
    </row>
    <row r="89" spans="1:18" x14ac:dyDescent="0.3">
      <c r="A89">
        <v>1.3253999999999999</v>
      </c>
      <c r="B89">
        <v>35.538499999999999</v>
      </c>
      <c r="C89">
        <f t="shared" si="5"/>
        <v>35.807699999999997</v>
      </c>
      <c r="D89">
        <v>0.71599999999999997</v>
      </c>
      <c r="E89">
        <f t="shared" si="3"/>
        <v>3.5781629540783331</v>
      </c>
      <c r="I89" s="24">
        <f t="shared" si="4"/>
        <v>0.41568877307287888</v>
      </c>
      <c r="N89" s="30">
        <v>42401.729729729726</v>
      </c>
    </row>
    <row r="90" spans="1:18" x14ac:dyDescent="0.3">
      <c r="A90">
        <v>1.3406</v>
      </c>
      <c r="B90">
        <v>36.384599999999999</v>
      </c>
      <c r="C90">
        <f t="shared" si="5"/>
        <v>37.4</v>
      </c>
      <c r="D90">
        <v>0.71566666666666667</v>
      </c>
      <c r="E90">
        <f t="shared" si="3"/>
        <v>3.6216707044204863</v>
      </c>
      <c r="I90" s="24">
        <f t="shared" si="4"/>
        <v>0.44055776154717297</v>
      </c>
      <c r="N90" s="30">
        <v>42395.16216216216</v>
      </c>
    </row>
    <row r="91" spans="1:18" x14ac:dyDescent="0.3">
      <c r="A91">
        <v>1.3559000000000001</v>
      </c>
      <c r="B91">
        <v>39.807699999999997</v>
      </c>
      <c r="C91">
        <f t="shared" si="5"/>
        <v>39.276920000000004</v>
      </c>
      <c r="D91">
        <v>0.71533333333333338</v>
      </c>
      <c r="E91">
        <f t="shared" si="3"/>
        <v>3.6706370690066348</v>
      </c>
      <c r="I91" s="24">
        <f t="shared" si="4"/>
        <v>0.47030342829069466</v>
      </c>
      <c r="N91" s="30">
        <v>42388.594594594593</v>
      </c>
    </row>
    <row r="92" spans="1:18" x14ac:dyDescent="0.3">
      <c r="A92">
        <v>1.3711</v>
      </c>
      <c r="B92">
        <v>41.192300000000003</v>
      </c>
      <c r="C92">
        <f t="shared" si="5"/>
        <v>41.42306</v>
      </c>
      <c r="D92">
        <v>0.71499999999999997</v>
      </c>
      <c r="E92">
        <f t="shared" si="3"/>
        <v>3.7238377305925763</v>
      </c>
      <c r="I92" s="24">
        <f t="shared" si="4"/>
        <v>0.50488183247973828</v>
      </c>
      <c r="N92" s="30">
        <v>42382.027027027027</v>
      </c>
      <c r="O92" s="29" t="s">
        <v>80</v>
      </c>
      <c r="P92" s="29"/>
      <c r="Q92" s="29"/>
      <c r="R92" s="29"/>
    </row>
    <row r="93" spans="1:18" x14ac:dyDescent="0.3">
      <c r="A93">
        <v>1.3863000000000001</v>
      </c>
      <c r="B93">
        <v>43.461500000000001</v>
      </c>
      <c r="C93">
        <f t="shared" si="5"/>
        <v>44.038440000000001</v>
      </c>
      <c r="D93">
        <v>0.71466666666666667</v>
      </c>
      <c r="E93">
        <f t="shared" si="3"/>
        <v>3.7850628888837692</v>
      </c>
      <c r="I93" s="24">
        <f t="shared" si="4"/>
        <v>0.54779537048026627</v>
      </c>
      <c r="N93" s="30">
        <v>42375.45945945946</v>
      </c>
      <c r="P93" t="s">
        <v>30</v>
      </c>
      <c r="Q93" t="s">
        <v>66</v>
      </c>
      <c r="R93" t="s">
        <v>67</v>
      </c>
    </row>
    <row r="94" spans="1:18" x14ac:dyDescent="0.3">
      <c r="A94">
        <v>1.4016</v>
      </c>
      <c r="B94">
        <v>46.269199999999998</v>
      </c>
      <c r="C94">
        <f t="shared" si="5"/>
        <v>46.646140000000003</v>
      </c>
      <c r="D94">
        <v>0.71433333333333338</v>
      </c>
      <c r="E94">
        <f t="shared" si="3"/>
        <v>3.8425901800328082</v>
      </c>
      <c r="I94" s="24">
        <f t="shared" si="4"/>
        <v>0.59145197468913657</v>
      </c>
      <c r="N94" s="30">
        <v>42368.891891891893</v>
      </c>
      <c r="O94">
        <v>2015</v>
      </c>
      <c r="P94" s="24">
        <f>AVERAGE(I94:I189)</f>
        <v>0.68516075480084349</v>
      </c>
      <c r="Q94">
        <f>A189-A94</f>
        <v>1.4472000000000003</v>
      </c>
      <c r="R94">
        <f>P94*Q94</f>
        <v>0.99156464434778091</v>
      </c>
    </row>
    <row r="95" spans="1:18" x14ac:dyDescent="0.3">
      <c r="A95">
        <v>1.4168000000000001</v>
      </c>
      <c r="B95">
        <v>49.461500000000001</v>
      </c>
      <c r="C95">
        <f t="shared" si="5"/>
        <v>49.615380000000002</v>
      </c>
      <c r="D95">
        <v>0.71399999999999997</v>
      </c>
      <c r="E95">
        <f t="shared" si="3"/>
        <v>3.9043008663109755</v>
      </c>
      <c r="I95" s="24">
        <f t="shared" si="4"/>
        <v>0.64213691831747499</v>
      </c>
      <c r="N95" s="30">
        <v>42362.324324324327</v>
      </c>
    </row>
    <row r="96" spans="1:18" x14ac:dyDescent="0.3">
      <c r="A96">
        <v>1.4319999999999999</v>
      </c>
      <c r="B96">
        <v>52.846200000000003</v>
      </c>
      <c r="C96">
        <f t="shared" si="5"/>
        <v>52.492319999999992</v>
      </c>
      <c r="D96">
        <v>0.71366666666666667</v>
      </c>
      <c r="E96">
        <f t="shared" si="3"/>
        <v>3.9606668731824937</v>
      </c>
      <c r="I96" s="24">
        <f t="shared" si="4"/>
        <v>0.69224656342277224</v>
      </c>
      <c r="N96" s="30">
        <v>42355.756756756753</v>
      </c>
    </row>
    <row r="97" spans="1:14" x14ac:dyDescent="0.3">
      <c r="A97">
        <v>1.4473</v>
      </c>
      <c r="B97">
        <v>56.038499999999999</v>
      </c>
      <c r="C97">
        <f t="shared" si="5"/>
        <v>55.469239999999999</v>
      </c>
      <c r="D97">
        <v>0.71333333333333326</v>
      </c>
      <c r="E97">
        <f t="shared" si="3"/>
        <v>4.015828632873589</v>
      </c>
      <c r="I97" s="24">
        <f t="shared" si="4"/>
        <v>0.74507708102660064</v>
      </c>
      <c r="N97" s="30">
        <v>42349.189189189186</v>
      </c>
    </row>
    <row r="98" spans="1:14" x14ac:dyDescent="0.3">
      <c r="A98">
        <v>1.4624999999999999</v>
      </c>
      <c r="B98">
        <v>57.846200000000003</v>
      </c>
      <c r="C98">
        <f t="shared" si="5"/>
        <v>57.946180000000005</v>
      </c>
      <c r="D98">
        <v>0.71299999999999997</v>
      </c>
      <c r="E98">
        <f t="shared" si="3"/>
        <v>4.059514648717415</v>
      </c>
      <c r="I98" s="24">
        <f t="shared" si="4"/>
        <v>0.78983993437449906</v>
      </c>
      <c r="N98" s="30">
        <v>42342.62162162162</v>
      </c>
    </row>
    <row r="99" spans="1:14" x14ac:dyDescent="0.3">
      <c r="A99">
        <v>1.4777</v>
      </c>
      <c r="B99">
        <v>61.153799999999997</v>
      </c>
      <c r="C99">
        <f t="shared" si="5"/>
        <v>59.900020000000005</v>
      </c>
      <c r="D99">
        <v>0.71266666666666656</v>
      </c>
      <c r="E99">
        <f t="shared" si="3"/>
        <v>4.0926768390111645</v>
      </c>
      <c r="I99" s="24">
        <f t="shared" si="4"/>
        <v>0.82569974072305719</v>
      </c>
      <c r="N99" s="30">
        <v>42336.054054054053</v>
      </c>
    </row>
    <row r="100" spans="1:14" x14ac:dyDescent="0.3">
      <c r="A100">
        <v>1.4930000000000001</v>
      </c>
      <c r="B100">
        <v>61.846200000000003</v>
      </c>
      <c r="C100">
        <f t="shared" si="5"/>
        <v>61.315399999999997</v>
      </c>
      <c r="D100">
        <v>0.71233333333333326</v>
      </c>
      <c r="E100">
        <f t="shared" si="3"/>
        <v>4.1160310348818561</v>
      </c>
      <c r="I100" s="24">
        <f t="shared" si="4"/>
        <v>0.85204442915905976</v>
      </c>
      <c r="N100" s="30">
        <v>42329.486486486487</v>
      </c>
    </row>
    <row r="101" spans="1:14" x14ac:dyDescent="0.3">
      <c r="A101">
        <v>1.5082</v>
      </c>
      <c r="B101">
        <v>62.615400000000001</v>
      </c>
      <c r="C101">
        <f t="shared" si="5"/>
        <v>62.3</v>
      </c>
      <c r="D101">
        <v>0.71199999999999997</v>
      </c>
      <c r="E101">
        <f t="shared" si="3"/>
        <v>4.1319614257934072</v>
      </c>
      <c r="I101" s="24">
        <f t="shared" si="4"/>
        <v>0.87062496948862811</v>
      </c>
      <c r="N101" s="30">
        <v>42322.91891891892</v>
      </c>
    </row>
    <row r="102" spans="1:14" x14ac:dyDescent="0.3">
      <c r="A102">
        <v>1.5234000000000001</v>
      </c>
      <c r="B102">
        <v>63.115400000000001</v>
      </c>
      <c r="C102">
        <f t="shared" si="5"/>
        <v>62.492320000000007</v>
      </c>
      <c r="D102">
        <v>0.71166666666666667</v>
      </c>
      <c r="E102">
        <f t="shared" si="3"/>
        <v>4.1350436691919903</v>
      </c>
      <c r="I102" s="24">
        <f t="shared" si="4"/>
        <v>0.87459676484456694</v>
      </c>
      <c r="N102" s="30">
        <v>42316.351351351354</v>
      </c>
    </row>
    <row r="103" spans="1:14" x14ac:dyDescent="0.3">
      <c r="A103">
        <v>1.5387</v>
      </c>
      <c r="B103">
        <v>62.769199999999998</v>
      </c>
      <c r="C103">
        <f t="shared" si="5"/>
        <v>62.346159999999998</v>
      </c>
      <c r="D103">
        <v>0.71133333333333337</v>
      </c>
      <c r="E103">
        <f t="shared" si="3"/>
        <v>4.1327020824186924</v>
      </c>
      <c r="I103" s="24">
        <f t="shared" si="4"/>
        <v>0.87229642197675039</v>
      </c>
      <c r="N103" s="30">
        <v>42309.78378378378</v>
      </c>
    </row>
    <row r="104" spans="1:14" x14ac:dyDescent="0.3">
      <c r="A104">
        <v>1.5539000000000001</v>
      </c>
      <c r="B104">
        <v>62.115400000000001</v>
      </c>
      <c r="C104">
        <f t="shared" si="5"/>
        <v>61.930780000000006</v>
      </c>
      <c r="D104">
        <v>0.71099999999999997</v>
      </c>
      <c r="E104">
        <f t="shared" si="3"/>
        <v>4.1260173097358255</v>
      </c>
      <c r="I104" s="24">
        <f t="shared" si="4"/>
        <v>0.86501082918657701</v>
      </c>
      <c r="N104" s="30">
        <v>42303.216216216213</v>
      </c>
    </row>
    <row r="105" spans="1:14" x14ac:dyDescent="0.3">
      <c r="A105">
        <v>1.5690999999999999</v>
      </c>
      <c r="B105">
        <v>61.115400000000001</v>
      </c>
      <c r="C105">
        <f t="shared" si="5"/>
        <v>61.6</v>
      </c>
      <c r="D105">
        <v>0.71066666666666667</v>
      </c>
      <c r="E105">
        <f t="shared" si="3"/>
        <v>4.1206618705394744</v>
      </c>
      <c r="I105" s="24">
        <f t="shared" si="4"/>
        <v>0.85929825490393874</v>
      </c>
      <c r="N105" s="30">
        <v>42296.648648648646</v>
      </c>
    </row>
    <row r="106" spans="1:14" x14ac:dyDescent="0.3">
      <c r="A106">
        <v>1.5844</v>
      </c>
      <c r="B106">
        <v>60.538499999999999</v>
      </c>
      <c r="C106">
        <f t="shared" si="5"/>
        <v>61.423079999999992</v>
      </c>
      <c r="D106">
        <v>0.71033333333333326</v>
      </c>
      <c r="E106">
        <f t="shared" si="3"/>
        <v>4.1177856602874554</v>
      </c>
      <c r="I106" s="24">
        <f t="shared" si="4"/>
        <v>0.856431915721516</v>
      </c>
      <c r="N106" s="30">
        <v>42290.08108108108</v>
      </c>
    </row>
    <row r="107" spans="1:14" x14ac:dyDescent="0.3">
      <c r="A107">
        <v>1.5995999999999999</v>
      </c>
      <c r="B107">
        <v>61.461500000000001</v>
      </c>
      <c r="C107">
        <f t="shared" si="5"/>
        <v>61.4923</v>
      </c>
      <c r="D107">
        <v>0.71</v>
      </c>
      <c r="E107">
        <f t="shared" si="3"/>
        <v>4.1189119637218585</v>
      </c>
      <c r="I107" s="24">
        <f t="shared" si="4"/>
        <v>0.85811345571404318</v>
      </c>
      <c r="N107" s="30">
        <v>42283.513513513513</v>
      </c>
    </row>
    <row r="108" spans="1:14" x14ac:dyDescent="0.3">
      <c r="A108">
        <v>1.6148</v>
      </c>
      <c r="B108">
        <v>61.884599999999999</v>
      </c>
      <c r="C108">
        <f t="shared" si="5"/>
        <v>61.792299999999997</v>
      </c>
      <c r="D108">
        <v>0.70966666666666667</v>
      </c>
      <c r="E108">
        <f t="shared" si="3"/>
        <v>4.1237787612317289</v>
      </c>
      <c r="I108" s="24">
        <f t="shared" si="4"/>
        <v>0.86406971193919668</v>
      </c>
      <c r="N108" s="30">
        <v>42276.945945945947</v>
      </c>
    </row>
    <row r="109" spans="1:14" x14ac:dyDescent="0.3">
      <c r="A109">
        <v>1.6301000000000001</v>
      </c>
      <c r="B109">
        <v>62.461500000000001</v>
      </c>
      <c r="C109">
        <f t="shared" si="5"/>
        <v>62.184600000000003</v>
      </c>
      <c r="D109">
        <v>0.70933333333333326</v>
      </c>
      <c r="E109">
        <f t="shared" si="3"/>
        <v>4.1301073806656223</v>
      </c>
      <c r="I109" s="24">
        <f t="shared" si="4"/>
        <v>0.87175412736785862</v>
      </c>
      <c r="N109" s="30">
        <v>42270.37837837838</v>
      </c>
    </row>
    <row r="110" spans="1:14" x14ac:dyDescent="0.3">
      <c r="A110">
        <v>1.6453</v>
      </c>
      <c r="B110">
        <v>62.615400000000001</v>
      </c>
      <c r="C110">
        <f t="shared" si="5"/>
        <v>62.353840000000005</v>
      </c>
      <c r="D110">
        <v>0.70899999999999996</v>
      </c>
      <c r="E110">
        <f t="shared" si="3"/>
        <v>4.1328252580403397</v>
      </c>
      <c r="I110" s="24">
        <f t="shared" si="4"/>
        <v>0.87530999124843367</v>
      </c>
      <c r="N110" s="30">
        <v>42263.810810810806</v>
      </c>
    </row>
    <row r="111" spans="1:14" x14ac:dyDescent="0.3">
      <c r="A111">
        <v>1.6605000000000001</v>
      </c>
      <c r="B111">
        <v>62.5</v>
      </c>
      <c r="C111">
        <f t="shared" si="5"/>
        <v>62.407679999999992</v>
      </c>
      <c r="D111">
        <v>0.70866666666666656</v>
      </c>
      <c r="E111">
        <f t="shared" si="3"/>
        <v>4.1336883447251154</v>
      </c>
      <c r="I111" s="24">
        <f t="shared" si="4"/>
        <v>0.87672359606074568</v>
      </c>
      <c r="N111" s="30">
        <v>42257.24324324324</v>
      </c>
    </row>
    <row r="112" spans="1:14" x14ac:dyDescent="0.3">
      <c r="A112">
        <v>1.6758</v>
      </c>
      <c r="B112">
        <v>62.307699999999997</v>
      </c>
      <c r="C112">
        <f t="shared" si="5"/>
        <v>62.361539999999991</v>
      </c>
      <c r="D112">
        <v>0.70833333333333326</v>
      </c>
      <c r="E112">
        <f t="shared" si="3"/>
        <v>4.1329487392021624</v>
      </c>
      <c r="I112" s="24">
        <f t="shared" si="4"/>
        <v>0.8762771489811203</v>
      </c>
      <c r="N112" s="30">
        <v>42250.675675675673</v>
      </c>
    </row>
    <row r="113" spans="1:14" x14ac:dyDescent="0.3">
      <c r="A113">
        <v>1.6910000000000001</v>
      </c>
      <c r="B113">
        <v>62.153799999999997</v>
      </c>
      <c r="C113">
        <f t="shared" si="5"/>
        <v>62.538460000000001</v>
      </c>
      <c r="D113">
        <v>0.70799999999999996</v>
      </c>
      <c r="E113">
        <f t="shared" si="3"/>
        <v>4.1357817274860276</v>
      </c>
      <c r="I113" s="24">
        <f t="shared" si="4"/>
        <v>0.87998623287473032</v>
      </c>
      <c r="N113" s="30">
        <v>42244.108108108107</v>
      </c>
    </row>
    <row r="114" spans="1:14" x14ac:dyDescent="0.3">
      <c r="A114">
        <v>1.7061999999999999</v>
      </c>
      <c r="B114">
        <v>62.230800000000002</v>
      </c>
      <c r="C114">
        <f t="shared" si="5"/>
        <v>62.807699999999997</v>
      </c>
      <c r="D114">
        <v>0.70766666666666667</v>
      </c>
      <c r="E114">
        <f t="shared" si="3"/>
        <v>4.1400776774229495</v>
      </c>
      <c r="I114" s="24">
        <f t="shared" si="4"/>
        <v>0.88542562183359197</v>
      </c>
      <c r="N114" s="30">
        <v>42237.54054054054</v>
      </c>
    </row>
    <row r="115" spans="1:14" x14ac:dyDescent="0.3">
      <c r="A115">
        <v>1.7215</v>
      </c>
      <c r="B115">
        <v>63.5</v>
      </c>
      <c r="C115">
        <f t="shared" si="5"/>
        <v>63.130780000000001</v>
      </c>
      <c r="D115">
        <v>0.70733333333333337</v>
      </c>
      <c r="E115">
        <f t="shared" si="3"/>
        <v>4.1452084477601998</v>
      </c>
      <c r="I115" s="24">
        <f t="shared" si="4"/>
        <v>0.89188468301936175</v>
      </c>
      <c r="N115" s="30">
        <v>42230.972972972973</v>
      </c>
    </row>
    <row r="116" spans="1:14" x14ac:dyDescent="0.3">
      <c r="A116">
        <v>1.7366999999999999</v>
      </c>
      <c r="B116">
        <v>63.846200000000003</v>
      </c>
      <c r="C116">
        <f t="shared" si="5"/>
        <v>63.507719999999992</v>
      </c>
      <c r="D116">
        <v>0.70699999999999996</v>
      </c>
      <c r="E116">
        <f t="shared" si="3"/>
        <v>4.151161473312178</v>
      </c>
      <c r="I116" s="24">
        <f t="shared" si="4"/>
        <v>0.8993702336087408</v>
      </c>
      <c r="N116" s="30">
        <v>42224.405405405407</v>
      </c>
    </row>
    <row r="117" spans="1:14" x14ac:dyDescent="0.3">
      <c r="A117">
        <v>1.7519</v>
      </c>
      <c r="B117">
        <v>63.923099999999998</v>
      </c>
      <c r="C117">
        <f t="shared" si="5"/>
        <v>64.092320000000001</v>
      </c>
      <c r="D117">
        <v>0.70666666666666667</v>
      </c>
      <c r="E117">
        <f t="shared" si="3"/>
        <v>4.1603245439559871</v>
      </c>
      <c r="I117" s="24">
        <f t="shared" si="4"/>
        <v>0.91078384861252115</v>
      </c>
      <c r="N117" s="30">
        <v>42217.83783783784</v>
      </c>
    </row>
    <row r="118" spans="1:14" x14ac:dyDescent="0.3">
      <c r="A118">
        <v>1.7672000000000001</v>
      </c>
      <c r="B118">
        <v>64.038499999999999</v>
      </c>
      <c r="C118">
        <f t="shared" si="5"/>
        <v>64.707700000000003</v>
      </c>
      <c r="D118">
        <v>0.70633333333333326</v>
      </c>
      <c r="E118">
        <f t="shared" si="3"/>
        <v>4.1698802052447945</v>
      </c>
      <c r="I118" s="24">
        <f t="shared" si="4"/>
        <v>0.92282235419464576</v>
      </c>
      <c r="N118" s="30">
        <v>42211.270270270266</v>
      </c>
    </row>
    <row r="119" spans="1:14" x14ac:dyDescent="0.3">
      <c r="A119">
        <v>1.7824</v>
      </c>
      <c r="B119">
        <v>65.153800000000004</v>
      </c>
      <c r="C119">
        <f t="shared" si="5"/>
        <v>65.461540000000014</v>
      </c>
      <c r="D119">
        <v>0.70599999999999996</v>
      </c>
      <c r="E119">
        <f t="shared" si="3"/>
        <v>4.1814627946135996</v>
      </c>
      <c r="I119" s="24">
        <f t="shared" si="4"/>
        <v>0.93753434966913496</v>
      </c>
      <c r="N119" s="30">
        <v>42204.7027027027</v>
      </c>
    </row>
    <row r="120" spans="1:14" x14ac:dyDescent="0.3">
      <c r="A120">
        <v>1.7976000000000001</v>
      </c>
      <c r="B120">
        <v>66.576899999999995</v>
      </c>
      <c r="C120">
        <f t="shared" si="5"/>
        <v>66.246160000000003</v>
      </c>
      <c r="D120">
        <v>0.70566666666666666</v>
      </c>
      <c r="E120">
        <f t="shared" si="3"/>
        <v>4.1933775009223035</v>
      </c>
      <c r="I120" s="24">
        <f t="shared" si="4"/>
        <v>0.95290027482644646</v>
      </c>
      <c r="N120" s="30">
        <v>42198.135135135133</v>
      </c>
    </row>
    <row r="121" spans="1:14" x14ac:dyDescent="0.3">
      <c r="A121">
        <v>1.8129</v>
      </c>
      <c r="B121">
        <v>67.615399999999994</v>
      </c>
      <c r="C121">
        <f t="shared" si="5"/>
        <v>66.946159999999992</v>
      </c>
      <c r="D121">
        <v>0.70533333333333326</v>
      </c>
      <c r="E121">
        <f t="shared" si="3"/>
        <v>4.2038887142562524</v>
      </c>
      <c r="I121" s="24">
        <f t="shared" si="4"/>
        <v>0.96671912042814823</v>
      </c>
      <c r="J121" s="4" t="s">
        <v>28</v>
      </c>
      <c r="K121" s="4" t="s">
        <v>30</v>
      </c>
      <c r="L121" s="4" t="s">
        <v>29</v>
      </c>
      <c r="M121" s="4" t="s">
        <v>31</v>
      </c>
      <c r="N121" s="30">
        <v>42191.567567567567</v>
      </c>
    </row>
    <row r="122" spans="1:14" x14ac:dyDescent="0.3">
      <c r="A122">
        <v>1.8281000000000001</v>
      </c>
      <c r="B122">
        <v>67.846199999999996</v>
      </c>
      <c r="C122">
        <f t="shared" ref="C122:C185" si="6">AVERAGE(B120:B124)</f>
        <v>67.276939999999996</v>
      </c>
      <c r="D122">
        <v>0.70499999999999996</v>
      </c>
      <c r="E122">
        <f t="shared" ref="E122:E185" si="7">LN(C122)</f>
        <v>4.2088175330608149</v>
      </c>
      <c r="I122" s="24">
        <f t="shared" ref="I122:I185" si="8">(0.0026*(EXP(1.3248*E122)))/D122</f>
        <v>0.9735122313099791</v>
      </c>
      <c r="J122">
        <v>2015</v>
      </c>
      <c r="K122" s="24">
        <f>AVERAGE(I122:I227)</f>
        <v>0.64979044857552282</v>
      </c>
      <c r="L122">
        <f>A227-A122</f>
        <v>1.5996000000000001</v>
      </c>
      <c r="M122">
        <f>K122*L122</f>
        <v>1.0394048015414064</v>
      </c>
      <c r="N122" s="30">
        <v>42185</v>
      </c>
    </row>
    <row r="123" spans="1:14" x14ac:dyDescent="0.3">
      <c r="A123">
        <v>1.8433999999999999</v>
      </c>
      <c r="B123">
        <v>67.538499999999999</v>
      </c>
      <c r="C123">
        <f t="shared" si="6"/>
        <v>67.030799999999999</v>
      </c>
      <c r="D123">
        <v>0.70466666666666655</v>
      </c>
      <c r="E123">
        <f t="shared" si="7"/>
        <v>4.2051522152531433</v>
      </c>
      <c r="I123" s="24">
        <f t="shared" si="8"/>
        <v>0.96925477304831564</v>
      </c>
      <c r="N123" s="30">
        <v>42182.821428571428</v>
      </c>
    </row>
    <row r="124" spans="1:14" x14ac:dyDescent="0.3">
      <c r="A124">
        <v>1.8586</v>
      </c>
      <c r="B124">
        <v>66.807699999999997</v>
      </c>
      <c r="C124">
        <f t="shared" si="6"/>
        <v>66.192340000000002</v>
      </c>
      <c r="D124">
        <v>0.70433333333333326</v>
      </c>
      <c r="E124">
        <f t="shared" si="7"/>
        <v>4.1925647462782587</v>
      </c>
      <c r="I124" s="24">
        <f t="shared" si="8"/>
        <v>0.95367674368552924</v>
      </c>
      <c r="N124" s="30">
        <v>42180.642857142855</v>
      </c>
    </row>
    <row r="125" spans="1:14" x14ac:dyDescent="0.3">
      <c r="A125">
        <v>1.8737999999999999</v>
      </c>
      <c r="B125">
        <v>65.346199999999996</v>
      </c>
      <c r="C125">
        <f t="shared" si="6"/>
        <v>64.900019999999998</v>
      </c>
      <c r="D125">
        <v>0.70399999999999996</v>
      </c>
      <c r="E125">
        <f t="shared" si="7"/>
        <v>4.1728479318764062</v>
      </c>
      <c r="I125" s="24">
        <f t="shared" si="8"/>
        <v>0.92952835096304454</v>
      </c>
      <c r="N125" s="30">
        <v>42178.46428571429</v>
      </c>
    </row>
    <row r="126" spans="1:14" x14ac:dyDescent="0.3">
      <c r="A126">
        <v>1.8891</v>
      </c>
      <c r="B126">
        <v>63.423099999999998</v>
      </c>
      <c r="C126">
        <f t="shared" si="6"/>
        <v>63.284619999999997</v>
      </c>
      <c r="D126">
        <v>0.70366666666666666</v>
      </c>
      <c r="E126">
        <f t="shared" si="7"/>
        <v>4.14764232964394</v>
      </c>
      <c r="I126" s="24">
        <f t="shared" si="8"/>
        <v>0.8994275659576888</v>
      </c>
      <c r="N126" s="30">
        <v>42176.285714285717</v>
      </c>
    </row>
    <row r="127" spans="1:14" x14ac:dyDescent="0.3">
      <c r="A127">
        <v>1.9043000000000001</v>
      </c>
      <c r="B127">
        <v>61.384599999999999</v>
      </c>
      <c r="C127">
        <f t="shared" si="6"/>
        <v>61.584619999999994</v>
      </c>
      <c r="D127">
        <v>0.70333333333333337</v>
      </c>
      <c r="E127">
        <f t="shared" si="7"/>
        <v>4.1204121640407259</v>
      </c>
      <c r="I127" s="24">
        <f t="shared" si="8"/>
        <v>0.8679705809131103</v>
      </c>
      <c r="N127" s="30">
        <v>42174.107142857145</v>
      </c>
    </row>
    <row r="128" spans="1:14" x14ac:dyDescent="0.3">
      <c r="A128">
        <v>1.9195</v>
      </c>
      <c r="B128">
        <v>59.461500000000001</v>
      </c>
      <c r="C128">
        <f t="shared" si="6"/>
        <v>60.046140000000001</v>
      </c>
      <c r="D128">
        <v>0.70299999999999996</v>
      </c>
      <c r="E128">
        <f t="shared" si="7"/>
        <v>4.0951132666930992</v>
      </c>
      <c r="I128" s="24">
        <f t="shared" si="8"/>
        <v>0.83975979105630372</v>
      </c>
      <c r="N128" s="30">
        <v>42171.928571428572</v>
      </c>
    </row>
    <row r="129" spans="1:14" x14ac:dyDescent="0.3">
      <c r="A129">
        <v>1.9348000000000001</v>
      </c>
      <c r="B129">
        <v>58.307699999999997</v>
      </c>
      <c r="C129">
        <f t="shared" si="6"/>
        <v>58.784599999999998</v>
      </c>
      <c r="D129">
        <v>0.70266666666666666</v>
      </c>
      <c r="E129">
        <f t="shared" si="7"/>
        <v>4.073879915839635</v>
      </c>
      <c r="I129" s="24">
        <f t="shared" si="8"/>
        <v>0.81685386865018283</v>
      </c>
      <c r="N129" s="30">
        <v>42169.75</v>
      </c>
    </row>
    <row r="130" spans="1:14" x14ac:dyDescent="0.3">
      <c r="A130">
        <v>1.95</v>
      </c>
      <c r="B130">
        <v>57.653799999999997</v>
      </c>
      <c r="C130">
        <f t="shared" si="6"/>
        <v>57.730759999999997</v>
      </c>
      <c r="D130">
        <v>0.70233333333333325</v>
      </c>
      <c r="E130">
        <f t="shared" si="7"/>
        <v>4.0557901337185625</v>
      </c>
      <c r="I130" s="24">
        <f t="shared" si="8"/>
        <v>0.79788890265227053</v>
      </c>
      <c r="N130" s="30">
        <v>42167.571428571428</v>
      </c>
    </row>
    <row r="131" spans="1:14" x14ac:dyDescent="0.3">
      <c r="A131">
        <v>1.9652000000000001</v>
      </c>
      <c r="B131">
        <v>57.115400000000001</v>
      </c>
      <c r="C131">
        <f t="shared" si="6"/>
        <v>56.792299999999997</v>
      </c>
      <c r="D131">
        <v>0.70199999999999996</v>
      </c>
      <c r="E131">
        <f t="shared" si="7"/>
        <v>4.0394007531572784</v>
      </c>
      <c r="I131" s="24">
        <f t="shared" si="8"/>
        <v>0.78112207040967852</v>
      </c>
      <c r="N131" s="30">
        <v>42165.392857142855</v>
      </c>
    </row>
    <row r="132" spans="1:14" x14ac:dyDescent="0.3">
      <c r="A132">
        <v>1.9804999999999999</v>
      </c>
      <c r="B132">
        <v>56.115400000000001</v>
      </c>
      <c r="C132">
        <f t="shared" si="6"/>
        <v>55.969219999999993</v>
      </c>
      <c r="D132">
        <v>0.70166666666666655</v>
      </c>
      <c r="E132">
        <f t="shared" si="7"/>
        <v>4.0248018967689978</v>
      </c>
      <c r="I132" s="24">
        <f t="shared" si="8"/>
        <v>0.76652385468583284</v>
      </c>
      <c r="N132" s="30">
        <v>42163.21428571429</v>
      </c>
    </row>
    <row r="133" spans="1:14" x14ac:dyDescent="0.3">
      <c r="A133">
        <v>1.9957</v>
      </c>
      <c r="B133">
        <v>54.769199999999998</v>
      </c>
      <c r="C133">
        <f t="shared" si="6"/>
        <v>55.292299999999997</v>
      </c>
      <c r="D133">
        <v>0.70133333333333325</v>
      </c>
      <c r="E133">
        <f t="shared" si="7"/>
        <v>4.0126336583271005</v>
      </c>
      <c r="I133" s="24">
        <f t="shared" si="8"/>
        <v>0.75462467721317605</v>
      </c>
      <c r="N133" s="30">
        <v>42161.035714285717</v>
      </c>
    </row>
    <row r="134" spans="1:14" x14ac:dyDescent="0.3">
      <c r="A134">
        <v>2.0108999999999999</v>
      </c>
      <c r="B134">
        <v>54.192300000000003</v>
      </c>
      <c r="C134">
        <f t="shared" si="6"/>
        <v>54.69230000000001</v>
      </c>
      <c r="D134" s="8">
        <v>0.70099999999999996</v>
      </c>
      <c r="E134">
        <f t="shared" si="7"/>
        <v>4.0017229316947187</v>
      </c>
      <c r="I134" s="24">
        <f t="shared" si="8"/>
        <v>0.74414906941792303</v>
      </c>
      <c r="N134" s="30">
        <v>42158.857142857145</v>
      </c>
    </row>
    <row r="135" spans="1:14" x14ac:dyDescent="0.3">
      <c r="A135">
        <v>2.0261999999999998</v>
      </c>
      <c r="B135">
        <v>54.269199999999998</v>
      </c>
      <c r="C135">
        <f t="shared" si="6"/>
        <v>54.138459999999995</v>
      </c>
      <c r="D135">
        <v>0.70123076923076921</v>
      </c>
      <c r="E135">
        <f t="shared" si="7"/>
        <v>3.9915448390087835</v>
      </c>
      <c r="I135" s="24">
        <f t="shared" si="8"/>
        <v>0.73394074305611523</v>
      </c>
      <c r="N135" s="30">
        <v>42156.678571428572</v>
      </c>
    </row>
    <row r="136" spans="1:14" x14ac:dyDescent="0.3">
      <c r="A136">
        <v>2.0413999999999999</v>
      </c>
      <c r="B136">
        <v>54.115400000000001</v>
      </c>
      <c r="C136">
        <f t="shared" si="6"/>
        <v>53.707700000000003</v>
      </c>
      <c r="D136">
        <v>0.70146153846153847</v>
      </c>
      <c r="E136">
        <f t="shared" si="7"/>
        <v>3.9835563804348255</v>
      </c>
      <c r="I136" s="24">
        <f t="shared" si="8"/>
        <v>0.72597541189460757</v>
      </c>
      <c r="N136" s="30">
        <v>42154.5</v>
      </c>
    </row>
    <row r="137" spans="1:14" x14ac:dyDescent="0.3">
      <c r="A137">
        <v>2.0566</v>
      </c>
      <c r="B137">
        <v>53.346200000000003</v>
      </c>
      <c r="C137">
        <f t="shared" si="6"/>
        <v>53.061540000000001</v>
      </c>
      <c r="D137">
        <v>0.70169230769230773</v>
      </c>
      <c r="E137">
        <f t="shared" si="7"/>
        <v>3.9714523720351145</v>
      </c>
      <c r="I137" s="24">
        <f t="shared" si="8"/>
        <v>0.7141919949421871</v>
      </c>
      <c r="N137" s="30">
        <v>42152.321428571428</v>
      </c>
    </row>
    <row r="138" spans="1:14" x14ac:dyDescent="0.3">
      <c r="A138">
        <v>2.0718999999999999</v>
      </c>
      <c r="B138">
        <v>52.615400000000001</v>
      </c>
      <c r="C138">
        <f t="shared" si="6"/>
        <v>52.246159999999996</v>
      </c>
      <c r="D138">
        <v>0.70192307692307687</v>
      </c>
      <c r="E138">
        <f t="shared" si="7"/>
        <v>3.9559663953212238</v>
      </c>
      <c r="I138" s="24">
        <f t="shared" si="8"/>
        <v>0.69945900311222642</v>
      </c>
      <c r="N138" s="30">
        <v>42150.142857142855</v>
      </c>
    </row>
    <row r="139" spans="1:14" x14ac:dyDescent="0.3">
      <c r="A139">
        <v>2.0871</v>
      </c>
      <c r="B139">
        <v>50.961500000000001</v>
      </c>
      <c r="C139">
        <f t="shared" si="6"/>
        <v>51.276920000000004</v>
      </c>
      <c r="D139">
        <v>0.70215384615384613</v>
      </c>
      <c r="E139">
        <f t="shared" si="7"/>
        <v>3.9372407484061003</v>
      </c>
      <c r="I139" s="24">
        <f t="shared" si="8"/>
        <v>0.68209622032857176</v>
      </c>
      <c r="N139" s="30">
        <v>42147.96428571429</v>
      </c>
    </row>
    <row r="140" spans="1:14" x14ac:dyDescent="0.3">
      <c r="A140">
        <v>2.1023000000000001</v>
      </c>
      <c r="B140">
        <v>50.192300000000003</v>
      </c>
      <c r="C140">
        <f t="shared" si="6"/>
        <v>50.346140000000005</v>
      </c>
      <c r="D140">
        <v>0.70238461538461539</v>
      </c>
      <c r="E140">
        <f t="shared" si="7"/>
        <v>3.9189219528692818</v>
      </c>
      <c r="I140" s="24">
        <f t="shared" si="8"/>
        <v>0.66552312664716629</v>
      </c>
      <c r="N140" s="30">
        <v>42145.785714285717</v>
      </c>
    </row>
    <row r="141" spans="1:14" x14ac:dyDescent="0.3">
      <c r="A141">
        <v>2.1175999999999999</v>
      </c>
      <c r="B141">
        <v>49.269199999999998</v>
      </c>
      <c r="C141">
        <f t="shared" si="6"/>
        <v>49.461519999999993</v>
      </c>
      <c r="D141">
        <v>0.70261538461538464</v>
      </c>
      <c r="E141">
        <f t="shared" si="7"/>
        <v>3.9011949935256243</v>
      </c>
      <c r="I141" s="24">
        <f t="shared" si="8"/>
        <v>0.64986211859463083</v>
      </c>
      <c r="N141" s="30">
        <v>42143.607142857145</v>
      </c>
    </row>
    <row r="142" spans="1:14" x14ac:dyDescent="0.3">
      <c r="A142">
        <v>2.1328</v>
      </c>
      <c r="B142">
        <v>48.692300000000003</v>
      </c>
      <c r="C142">
        <f t="shared" si="6"/>
        <v>48.730759999999997</v>
      </c>
      <c r="D142">
        <v>0.7028461538461539</v>
      </c>
      <c r="E142">
        <f t="shared" si="7"/>
        <v>3.886310452875803</v>
      </c>
      <c r="I142" s="24">
        <f t="shared" si="8"/>
        <v>0.63696377539435167</v>
      </c>
      <c r="N142" s="30">
        <v>42141.428571428572</v>
      </c>
    </row>
    <row r="143" spans="1:14" x14ac:dyDescent="0.3">
      <c r="A143">
        <v>2.1480000000000001</v>
      </c>
      <c r="B143">
        <v>48.192300000000003</v>
      </c>
      <c r="C143">
        <f t="shared" si="6"/>
        <v>48.046140000000001</v>
      </c>
      <c r="D143">
        <v>0.70307692307692304</v>
      </c>
      <c r="E143">
        <f t="shared" si="7"/>
        <v>3.8721617992029618</v>
      </c>
      <c r="I143" s="24">
        <f t="shared" si="8"/>
        <v>0.62493045316382012</v>
      </c>
      <c r="N143" s="30">
        <v>42139.25</v>
      </c>
    </row>
    <row r="144" spans="1:14" x14ac:dyDescent="0.3">
      <c r="A144">
        <v>2.1633</v>
      </c>
      <c r="B144">
        <v>47.307699999999997</v>
      </c>
      <c r="C144">
        <f t="shared" si="6"/>
        <v>47.538460000000001</v>
      </c>
      <c r="D144">
        <v>0.7033076923076923</v>
      </c>
      <c r="E144">
        <f t="shared" si="7"/>
        <v>3.8615390676336938</v>
      </c>
      <c r="I144" s="24">
        <f t="shared" si="8"/>
        <v>0.61599521774832044</v>
      </c>
      <c r="N144" s="30">
        <v>42137.071428571428</v>
      </c>
    </row>
    <row r="145" spans="1:14" x14ac:dyDescent="0.3">
      <c r="A145">
        <v>2.1785000000000001</v>
      </c>
      <c r="B145">
        <v>46.769199999999998</v>
      </c>
      <c r="C145">
        <f t="shared" si="6"/>
        <v>46.9923</v>
      </c>
      <c r="D145">
        <v>0.70353846153846156</v>
      </c>
      <c r="E145">
        <f t="shared" si="7"/>
        <v>3.8499837585012591</v>
      </c>
      <c r="I145" s="24">
        <f t="shared" si="8"/>
        <v>0.60643809899684376</v>
      </c>
      <c r="N145" s="30">
        <v>42134.892857142855</v>
      </c>
    </row>
    <row r="146" spans="1:14" x14ac:dyDescent="0.3">
      <c r="A146">
        <v>2.1937000000000002</v>
      </c>
      <c r="B146">
        <v>46.730800000000002</v>
      </c>
      <c r="C146">
        <f t="shared" si="6"/>
        <v>46.4846</v>
      </c>
      <c r="D146">
        <v>0.70376923076923081</v>
      </c>
      <c r="E146">
        <f t="shared" si="7"/>
        <v>3.8391210749444782</v>
      </c>
      <c r="I146" s="24">
        <f t="shared" si="8"/>
        <v>0.59757740221877398</v>
      </c>
      <c r="N146" s="30">
        <v>42132.71428571429</v>
      </c>
    </row>
    <row r="147" spans="1:14" x14ac:dyDescent="0.3">
      <c r="A147">
        <v>2.2090000000000001</v>
      </c>
      <c r="B147">
        <v>45.961500000000001</v>
      </c>
      <c r="C147">
        <f t="shared" si="6"/>
        <v>46.038439999999994</v>
      </c>
      <c r="D147">
        <v>0.70399999999999996</v>
      </c>
      <c r="E147">
        <f t="shared" si="7"/>
        <v>3.8294766997001242</v>
      </c>
      <c r="I147" s="24">
        <f t="shared" si="8"/>
        <v>0.58979740679257109</v>
      </c>
      <c r="N147" s="30">
        <v>42130.535714285717</v>
      </c>
    </row>
    <row r="148" spans="1:14" x14ac:dyDescent="0.3">
      <c r="A148">
        <v>2.2242000000000002</v>
      </c>
      <c r="B148">
        <v>45.653799999999997</v>
      </c>
      <c r="C148">
        <f t="shared" si="6"/>
        <v>45.561520000000002</v>
      </c>
      <c r="D148">
        <v>0.70423076923076922</v>
      </c>
      <c r="E148">
        <f t="shared" si="7"/>
        <v>3.8190635006212332</v>
      </c>
      <c r="I148" s="24">
        <f t="shared" si="8"/>
        <v>0.58152615531078089</v>
      </c>
      <c r="N148" s="30">
        <v>42128.357142857145</v>
      </c>
    </row>
    <row r="149" spans="1:14" x14ac:dyDescent="0.3">
      <c r="A149">
        <v>2.2393999999999998</v>
      </c>
      <c r="B149">
        <v>45.076900000000002</v>
      </c>
      <c r="C149">
        <f t="shared" si="6"/>
        <v>45.007660000000001</v>
      </c>
      <c r="D149">
        <v>0.70446153846153847</v>
      </c>
      <c r="E149">
        <f t="shared" si="7"/>
        <v>3.8068326975063833</v>
      </c>
      <c r="I149" s="24">
        <f t="shared" si="8"/>
        <v>0.57199196604799674</v>
      </c>
      <c r="N149" s="30">
        <v>42126.178571428572</v>
      </c>
    </row>
    <row r="150" spans="1:14" x14ac:dyDescent="0.3">
      <c r="A150">
        <v>2.2547000000000001</v>
      </c>
      <c r="B150">
        <v>44.384599999999999</v>
      </c>
      <c r="C150">
        <f t="shared" si="6"/>
        <v>44.607659999999996</v>
      </c>
      <c r="D150">
        <v>0.70469230769230773</v>
      </c>
      <c r="E150">
        <f t="shared" si="7"/>
        <v>3.7979055931577919</v>
      </c>
      <c r="I150" s="24">
        <f t="shared" si="8"/>
        <v>0.56508196378518283</v>
      </c>
      <c r="N150" s="30">
        <v>42124</v>
      </c>
    </row>
    <row r="151" spans="1:14" x14ac:dyDescent="0.3">
      <c r="A151">
        <v>2.2698999999999998</v>
      </c>
      <c r="B151">
        <v>43.961500000000001</v>
      </c>
      <c r="C151">
        <f t="shared" si="6"/>
        <v>44.330740000000006</v>
      </c>
      <c r="D151">
        <v>0.70492307692307699</v>
      </c>
      <c r="E151">
        <f t="shared" si="7"/>
        <v>3.7916783416020707</v>
      </c>
      <c r="I151" s="24">
        <f t="shared" si="8"/>
        <v>0.56025582224411752</v>
      </c>
      <c r="N151" s="30">
        <v>42121.821428571428</v>
      </c>
    </row>
    <row r="152" spans="1:14" x14ac:dyDescent="0.3">
      <c r="A152">
        <v>2.2850999999999999</v>
      </c>
      <c r="B152">
        <v>43.961500000000001</v>
      </c>
      <c r="C152">
        <f t="shared" si="6"/>
        <v>44.253819999999997</v>
      </c>
      <c r="D152">
        <v>0.70515384615384613</v>
      </c>
      <c r="E152">
        <f t="shared" si="7"/>
        <v>3.7899416954115344</v>
      </c>
      <c r="I152" s="24">
        <f t="shared" si="8"/>
        <v>0.55878538992227555</v>
      </c>
      <c r="N152" s="30">
        <v>42119.642857142855</v>
      </c>
    </row>
    <row r="153" spans="1:14" x14ac:dyDescent="0.3">
      <c r="A153">
        <v>2.3003999999999998</v>
      </c>
      <c r="B153">
        <v>44.269199999999998</v>
      </c>
      <c r="C153">
        <f t="shared" si="6"/>
        <v>44.44614</v>
      </c>
      <c r="D153">
        <v>0.70538461538461539</v>
      </c>
      <c r="E153">
        <f t="shared" si="7"/>
        <v>3.79427811904407</v>
      </c>
      <c r="I153" s="24">
        <f t="shared" si="8"/>
        <v>0.56182092949605822</v>
      </c>
      <c r="N153" s="30">
        <v>42117.46428571429</v>
      </c>
    </row>
    <row r="154" spans="1:14" x14ac:dyDescent="0.3">
      <c r="A154">
        <v>2.3155999999999999</v>
      </c>
      <c r="B154">
        <v>44.692300000000003</v>
      </c>
      <c r="C154">
        <f t="shared" si="6"/>
        <v>44.707680000000003</v>
      </c>
      <c r="D154">
        <v>0.70561538461538464</v>
      </c>
      <c r="E154">
        <f t="shared" si="7"/>
        <v>3.8001452989420552</v>
      </c>
      <c r="I154" s="24">
        <f t="shared" si="8"/>
        <v>0.56601971400825124</v>
      </c>
      <c r="N154" s="30">
        <v>42115.285714285717</v>
      </c>
    </row>
    <row r="155" spans="1:14" x14ac:dyDescent="0.3">
      <c r="A155">
        <v>2.3309000000000002</v>
      </c>
      <c r="B155">
        <v>45.346200000000003</v>
      </c>
      <c r="C155">
        <f t="shared" si="6"/>
        <v>44.938460000000006</v>
      </c>
      <c r="D155">
        <v>0.7058461538461539</v>
      </c>
      <c r="E155">
        <f t="shared" si="7"/>
        <v>3.8052939982572522</v>
      </c>
      <c r="I155" s="24">
        <f t="shared" si="8"/>
        <v>0.56970740903471129</v>
      </c>
      <c r="N155" s="30">
        <v>42113.107142857145</v>
      </c>
    </row>
    <row r="156" spans="1:14" x14ac:dyDescent="0.3">
      <c r="A156">
        <v>2.3460999999999999</v>
      </c>
      <c r="B156">
        <v>45.269199999999998</v>
      </c>
      <c r="C156">
        <f t="shared" si="6"/>
        <v>45.01538</v>
      </c>
      <c r="D156">
        <v>0.70607692307692305</v>
      </c>
      <c r="E156">
        <f t="shared" si="7"/>
        <v>3.8070042091553775</v>
      </c>
      <c r="I156" s="24">
        <f t="shared" si="8"/>
        <v>0.57081302976514237</v>
      </c>
      <c r="N156" s="30">
        <v>42110.928571428572</v>
      </c>
    </row>
    <row r="157" spans="1:14" x14ac:dyDescent="0.3">
      <c r="A157">
        <v>2.3613</v>
      </c>
      <c r="B157">
        <v>45.115400000000001</v>
      </c>
      <c r="C157">
        <f t="shared" si="6"/>
        <v>44.984619999999993</v>
      </c>
      <c r="D157">
        <v>0.7063076923076923</v>
      </c>
      <c r="E157">
        <f t="shared" si="7"/>
        <v>3.8063206535732057</v>
      </c>
      <c r="I157" s="24">
        <f t="shared" si="8"/>
        <v>0.5701100192980576</v>
      </c>
      <c r="N157" s="30">
        <v>42108.75</v>
      </c>
    </row>
    <row r="158" spans="1:14" x14ac:dyDescent="0.3">
      <c r="A158">
        <v>2.3765999999999998</v>
      </c>
      <c r="B158">
        <v>44.653799999999997</v>
      </c>
      <c r="C158">
        <f t="shared" si="6"/>
        <v>44.876919999999998</v>
      </c>
      <c r="D158">
        <v>0.70653846153846156</v>
      </c>
      <c r="E158">
        <f t="shared" si="7"/>
        <v>3.8039236314084892</v>
      </c>
      <c r="I158" s="24">
        <f t="shared" si="8"/>
        <v>0.56811684506735238</v>
      </c>
      <c r="N158" s="30">
        <v>42106.571428571428</v>
      </c>
    </row>
    <row r="159" spans="1:14" x14ac:dyDescent="0.3">
      <c r="A159">
        <v>2.3917999999999999</v>
      </c>
      <c r="B159">
        <v>44.538499999999999</v>
      </c>
      <c r="C159">
        <f t="shared" si="6"/>
        <v>44.900000000000006</v>
      </c>
      <c r="D159">
        <v>0.70676923076923082</v>
      </c>
      <c r="E159">
        <f t="shared" si="7"/>
        <v>3.8044377947482086</v>
      </c>
      <c r="I159" s="24">
        <f t="shared" si="8"/>
        <v>0.56831833356362615</v>
      </c>
      <c r="N159" s="30">
        <v>42104.392857142855</v>
      </c>
    </row>
    <row r="160" spans="1:14" x14ac:dyDescent="0.3">
      <c r="A160">
        <v>2.407</v>
      </c>
      <c r="B160">
        <v>44.807699999999997</v>
      </c>
      <c r="C160">
        <f t="shared" si="6"/>
        <v>45.061540000000001</v>
      </c>
      <c r="D160">
        <v>0.70700000000000007</v>
      </c>
      <c r="E160">
        <f t="shared" si="7"/>
        <v>3.808029111073441</v>
      </c>
      <c r="I160" s="24">
        <f t="shared" si="8"/>
        <v>0.57084232003028412</v>
      </c>
      <c r="N160" s="30">
        <v>42102.21428571429</v>
      </c>
    </row>
    <row r="161" spans="1:14" x14ac:dyDescent="0.3">
      <c r="A161">
        <v>2.4222999999999999</v>
      </c>
      <c r="B161">
        <v>45.384599999999999</v>
      </c>
      <c r="C161">
        <f t="shared" si="6"/>
        <v>45.423079999999999</v>
      </c>
      <c r="D161">
        <v>0.70723076923076922</v>
      </c>
      <c r="E161">
        <f t="shared" si="7"/>
        <v>3.8160203459150819</v>
      </c>
      <c r="I161" s="24">
        <f t="shared" si="8"/>
        <v>0.57672956167984468</v>
      </c>
      <c r="N161" s="30">
        <v>42100.035714285717</v>
      </c>
    </row>
    <row r="162" spans="1:14" x14ac:dyDescent="0.3">
      <c r="A162">
        <v>2.4375</v>
      </c>
      <c r="B162">
        <v>45.923099999999998</v>
      </c>
      <c r="C162">
        <f t="shared" si="6"/>
        <v>45.692300000000003</v>
      </c>
      <c r="D162">
        <v>0.70746153846153847</v>
      </c>
      <c r="E162">
        <f t="shared" si="7"/>
        <v>3.8219297935509258</v>
      </c>
      <c r="I162" s="24">
        <f t="shared" si="8"/>
        <v>0.58107279933611788</v>
      </c>
      <c r="N162" s="30">
        <v>42097.857142857145</v>
      </c>
    </row>
    <row r="163" spans="1:14" x14ac:dyDescent="0.3">
      <c r="A163">
        <v>2.4527000000000001</v>
      </c>
      <c r="B163">
        <v>46.461500000000001</v>
      </c>
      <c r="C163">
        <f t="shared" si="6"/>
        <v>45.746140000000004</v>
      </c>
      <c r="D163">
        <v>0.70769230769230762</v>
      </c>
      <c r="E163">
        <f t="shared" si="7"/>
        <v>3.8231074165773484</v>
      </c>
      <c r="I163" s="24">
        <f t="shared" si="8"/>
        <v>0.58179027113712034</v>
      </c>
      <c r="N163" s="30">
        <v>42095.678571428572</v>
      </c>
    </row>
    <row r="164" spans="1:14" x14ac:dyDescent="0.3">
      <c r="A164">
        <v>2.468</v>
      </c>
      <c r="B164">
        <v>45.884599999999999</v>
      </c>
      <c r="C164">
        <f t="shared" si="6"/>
        <v>45.523060000000001</v>
      </c>
      <c r="D164">
        <v>0.70792307692307699</v>
      </c>
      <c r="E164">
        <f t="shared" si="7"/>
        <v>3.8182190107572915</v>
      </c>
      <c r="I164" s="24">
        <f t="shared" si="8"/>
        <v>0.57784625014824009</v>
      </c>
      <c r="N164" s="30">
        <v>42093.5</v>
      </c>
    </row>
    <row r="165" spans="1:14" x14ac:dyDescent="0.3">
      <c r="A165">
        <v>2.4832000000000001</v>
      </c>
      <c r="B165">
        <v>45.076900000000002</v>
      </c>
      <c r="C165">
        <f t="shared" si="6"/>
        <v>45.123060000000002</v>
      </c>
      <c r="D165">
        <v>0.70815384615384613</v>
      </c>
      <c r="E165">
        <f t="shared" si="7"/>
        <v>3.8093934240391252</v>
      </c>
      <c r="I165" s="24">
        <f t="shared" si="8"/>
        <v>0.57094322007369358</v>
      </c>
      <c r="N165" s="30">
        <v>42091.321428571428</v>
      </c>
    </row>
    <row r="166" spans="1:14" x14ac:dyDescent="0.3">
      <c r="A166">
        <v>2.4984000000000002</v>
      </c>
      <c r="B166">
        <v>44.269199999999998</v>
      </c>
      <c r="C166">
        <f t="shared" si="6"/>
        <v>44.607680000000002</v>
      </c>
      <c r="D166">
        <v>0.70838461538461539</v>
      </c>
      <c r="E166">
        <f t="shared" si="7"/>
        <v>3.7979060415111805</v>
      </c>
      <c r="I166" s="24">
        <f t="shared" si="8"/>
        <v>0.56213692530082104</v>
      </c>
      <c r="N166" s="30">
        <v>42089.142857142855</v>
      </c>
    </row>
    <row r="167" spans="1:14" x14ac:dyDescent="0.3">
      <c r="A167">
        <v>2.5137</v>
      </c>
      <c r="B167">
        <v>43.923099999999998</v>
      </c>
      <c r="C167">
        <f t="shared" si="6"/>
        <v>44.246140000000004</v>
      </c>
      <c r="D167">
        <v>0.70861538461538465</v>
      </c>
      <c r="E167">
        <f t="shared" si="7"/>
        <v>3.7897681360106197</v>
      </c>
      <c r="I167" s="24">
        <f t="shared" si="8"/>
        <v>0.55592792086647969</v>
      </c>
      <c r="N167" s="30">
        <v>42086.96428571429</v>
      </c>
    </row>
    <row r="168" spans="1:14" x14ac:dyDescent="0.3">
      <c r="A168">
        <v>2.5289000000000001</v>
      </c>
      <c r="B168">
        <v>43.884599999999999</v>
      </c>
      <c r="C168">
        <f t="shared" si="6"/>
        <v>44.076919999999994</v>
      </c>
      <c r="D168">
        <v>0.7088461538461539</v>
      </c>
      <c r="E168">
        <f t="shared" si="7"/>
        <v>3.7859362894451722</v>
      </c>
      <c r="I168" s="24">
        <f t="shared" si="8"/>
        <v>0.55293287324877571</v>
      </c>
      <c r="N168" s="30">
        <v>42084.785714285717</v>
      </c>
    </row>
    <row r="169" spans="1:14" x14ac:dyDescent="0.3">
      <c r="A169">
        <v>2.5440999999999998</v>
      </c>
      <c r="B169">
        <v>44.076900000000002</v>
      </c>
      <c r="C169">
        <f t="shared" si="6"/>
        <v>43.876920000000005</v>
      </c>
      <c r="D169">
        <v>0.70907692307692316</v>
      </c>
      <c r="E169">
        <f t="shared" si="7"/>
        <v>3.7813884415123198</v>
      </c>
      <c r="I169" s="24">
        <f t="shared" si="8"/>
        <v>0.54943260337700783</v>
      </c>
      <c r="N169" s="30">
        <v>42082.607142857145</v>
      </c>
    </row>
    <row r="170" spans="1:14" x14ac:dyDescent="0.3">
      <c r="A170">
        <v>2.5594000000000001</v>
      </c>
      <c r="B170">
        <v>44.230800000000002</v>
      </c>
      <c r="C170">
        <f t="shared" si="6"/>
        <v>43.576920000000001</v>
      </c>
      <c r="D170">
        <v>0.70930769230769231</v>
      </c>
      <c r="E170">
        <f t="shared" si="7"/>
        <v>3.7745276523975191</v>
      </c>
      <c r="I170" s="24">
        <f t="shared" si="8"/>
        <v>0.5442842043101157</v>
      </c>
      <c r="N170" s="30">
        <v>42080.428571428572</v>
      </c>
    </row>
    <row r="171" spans="1:14" x14ac:dyDescent="0.3">
      <c r="A171">
        <v>2.5746000000000002</v>
      </c>
      <c r="B171">
        <v>43.269199999999998</v>
      </c>
      <c r="C171">
        <f t="shared" si="6"/>
        <v>43.046160000000008</v>
      </c>
      <c r="D171">
        <v>0.70953846153846156</v>
      </c>
      <c r="E171">
        <f t="shared" si="7"/>
        <v>3.762273028289036</v>
      </c>
      <c r="I171" s="24">
        <f t="shared" si="8"/>
        <v>0.53534496173524548</v>
      </c>
      <c r="N171" s="30">
        <v>42078.25</v>
      </c>
    </row>
    <row r="172" spans="1:14" x14ac:dyDescent="0.3">
      <c r="A172">
        <v>2.5897999999999999</v>
      </c>
      <c r="B172">
        <v>42.423099999999998</v>
      </c>
      <c r="C172">
        <f t="shared" si="6"/>
        <v>42.238480000000003</v>
      </c>
      <c r="D172">
        <v>0.70976923076923071</v>
      </c>
      <c r="E172">
        <f t="shared" si="7"/>
        <v>3.7433316539020511</v>
      </c>
      <c r="I172" s="24">
        <f t="shared" si="8"/>
        <v>0.52190866900459398</v>
      </c>
      <c r="N172" s="30">
        <v>42076.071428571428</v>
      </c>
    </row>
    <row r="173" spans="1:14" x14ac:dyDescent="0.3">
      <c r="A173">
        <v>2.6051000000000002</v>
      </c>
      <c r="B173">
        <v>41.230800000000002</v>
      </c>
      <c r="C173">
        <f t="shared" si="6"/>
        <v>41.215399999999995</v>
      </c>
      <c r="D173">
        <v>0.71000000000000008</v>
      </c>
      <c r="E173">
        <f t="shared" si="7"/>
        <v>3.7188119729225115</v>
      </c>
      <c r="I173" s="24">
        <f t="shared" si="8"/>
        <v>0.50506334431787336</v>
      </c>
      <c r="N173" s="30">
        <v>42073.892857142855</v>
      </c>
    </row>
    <row r="174" spans="1:14" x14ac:dyDescent="0.3">
      <c r="A174">
        <v>2.6202999999999999</v>
      </c>
      <c r="B174">
        <v>40.038499999999999</v>
      </c>
      <c r="C174">
        <f t="shared" si="6"/>
        <v>40.261559999999996</v>
      </c>
      <c r="D174">
        <v>0.71023076923076922</v>
      </c>
      <c r="E174">
        <f t="shared" si="7"/>
        <v>3.6953971675980646</v>
      </c>
      <c r="I174" s="24">
        <f t="shared" si="8"/>
        <v>0.48947772109162951</v>
      </c>
      <c r="N174" s="30">
        <v>42071.71428571429</v>
      </c>
    </row>
    <row r="175" spans="1:14" x14ac:dyDescent="0.3">
      <c r="A175">
        <v>2.6355</v>
      </c>
      <c r="B175">
        <v>39.115400000000001</v>
      </c>
      <c r="C175">
        <f t="shared" si="6"/>
        <v>39.400019999999998</v>
      </c>
      <c r="D175">
        <v>0.71046153846153848</v>
      </c>
      <c r="E175">
        <f t="shared" si="7"/>
        <v>3.6737663239179725</v>
      </c>
      <c r="I175" s="24">
        <f t="shared" si="8"/>
        <v>0.4754955564436909</v>
      </c>
      <c r="N175" s="30">
        <v>42069.535714285717</v>
      </c>
    </row>
    <row r="176" spans="1:14" x14ac:dyDescent="0.3">
      <c r="A176">
        <v>2.6507999999999998</v>
      </c>
      <c r="B176">
        <v>38.5</v>
      </c>
      <c r="C176">
        <f t="shared" si="6"/>
        <v>38.723100000000002</v>
      </c>
      <c r="D176">
        <v>0.71069230769230773</v>
      </c>
      <c r="E176">
        <f t="shared" si="7"/>
        <v>3.6564363211870576</v>
      </c>
      <c r="I176" s="24">
        <f t="shared" si="8"/>
        <v>0.4645522256744426</v>
      </c>
      <c r="N176" s="30">
        <v>42067.357142857145</v>
      </c>
    </row>
    <row r="177" spans="1:18" x14ac:dyDescent="0.3">
      <c r="A177">
        <v>2.6659999999999999</v>
      </c>
      <c r="B177">
        <v>38.115400000000001</v>
      </c>
      <c r="C177">
        <f t="shared" si="6"/>
        <v>38.284640000000003</v>
      </c>
      <c r="D177">
        <v>0.71092307692307688</v>
      </c>
      <c r="E177">
        <f t="shared" si="7"/>
        <v>3.6450487713603703</v>
      </c>
      <c r="I177" s="24">
        <f t="shared" si="8"/>
        <v>0.45744794752415346</v>
      </c>
      <c r="N177" s="30">
        <v>42065.178571428572</v>
      </c>
    </row>
    <row r="178" spans="1:18" x14ac:dyDescent="0.3">
      <c r="A178">
        <v>2.6812</v>
      </c>
      <c r="B178">
        <v>37.846200000000003</v>
      </c>
      <c r="C178">
        <f t="shared" si="6"/>
        <v>38.115400000000001</v>
      </c>
      <c r="D178">
        <v>0.71115384615384625</v>
      </c>
      <c r="E178">
        <f t="shared" si="7"/>
        <v>3.6406183999411188</v>
      </c>
      <c r="I178" s="25">
        <f t="shared" si="8"/>
        <v>0.45462331361020886</v>
      </c>
      <c r="N178" s="30">
        <v>42063</v>
      </c>
    </row>
    <row r="179" spans="1:18" x14ac:dyDescent="0.3">
      <c r="A179">
        <v>2.6964999999999999</v>
      </c>
      <c r="B179">
        <v>37.846200000000003</v>
      </c>
      <c r="C179">
        <f t="shared" si="6"/>
        <v>38.130780000000001</v>
      </c>
      <c r="D179">
        <v>0.71138461538461539</v>
      </c>
      <c r="E179">
        <f t="shared" si="7"/>
        <v>3.6410218299938402</v>
      </c>
      <c r="I179" s="24">
        <f t="shared" si="8"/>
        <v>0.45471880228094519</v>
      </c>
      <c r="N179" s="30">
        <v>42058.040816326531</v>
      </c>
    </row>
    <row r="180" spans="1:18" x14ac:dyDescent="0.3">
      <c r="A180">
        <v>2.7117</v>
      </c>
      <c r="B180">
        <v>38.269199999999998</v>
      </c>
      <c r="C180">
        <f t="shared" si="6"/>
        <v>38.246159999999996</v>
      </c>
      <c r="D180">
        <v>0.71161538461538465</v>
      </c>
      <c r="E180">
        <f t="shared" si="7"/>
        <v>3.6440431630760521</v>
      </c>
      <c r="I180" s="24">
        <f t="shared" si="8"/>
        <v>0.45639448359729107</v>
      </c>
      <c r="N180" s="30">
        <v>42053.081632653062</v>
      </c>
    </row>
    <row r="181" spans="1:18" x14ac:dyDescent="0.3">
      <c r="A181">
        <v>2.7269000000000001</v>
      </c>
      <c r="B181">
        <v>38.576900000000002</v>
      </c>
      <c r="C181">
        <f t="shared" si="6"/>
        <v>38.430759999999999</v>
      </c>
      <c r="D181">
        <v>0.7118461538461538</v>
      </c>
      <c r="E181">
        <f t="shared" si="7"/>
        <v>3.6488581805977032</v>
      </c>
      <c r="I181" s="24">
        <f t="shared" si="8"/>
        <v>0.45916619707763556</v>
      </c>
      <c r="N181" s="30">
        <v>42048.122448979593</v>
      </c>
    </row>
    <row r="182" spans="1:18" x14ac:dyDescent="0.3">
      <c r="A182">
        <v>2.7422</v>
      </c>
      <c r="B182">
        <v>38.692300000000003</v>
      </c>
      <c r="C182">
        <f t="shared" si="6"/>
        <v>38.730760000000004</v>
      </c>
      <c r="D182">
        <v>0.71207692307692316</v>
      </c>
      <c r="E182">
        <f t="shared" si="7"/>
        <v>3.6566341163653737</v>
      </c>
      <c r="I182" s="24">
        <f t="shared" si="8"/>
        <v>0.46377042578204958</v>
      </c>
      <c r="N182" s="30">
        <v>42043.163265306124</v>
      </c>
    </row>
    <row r="183" spans="1:18" x14ac:dyDescent="0.3">
      <c r="A183">
        <v>2.7574000000000001</v>
      </c>
      <c r="B183">
        <v>38.769199999999998</v>
      </c>
      <c r="C183">
        <f t="shared" si="6"/>
        <v>39.184620000000002</v>
      </c>
      <c r="D183">
        <v>0.71230769230769231</v>
      </c>
      <c r="E183">
        <f t="shared" si="7"/>
        <v>3.6682843228694431</v>
      </c>
      <c r="I183" s="24">
        <f t="shared" si="8"/>
        <v>0.47083128540857699</v>
      </c>
      <c r="N183" s="30">
        <v>42038.204081632655</v>
      </c>
    </row>
    <row r="184" spans="1:18" x14ac:dyDescent="0.3">
      <c r="A184">
        <v>2.7726000000000002</v>
      </c>
      <c r="B184">
        <v>39.346200000000003</v>
      </c>
      <c r="C184">
        <f t="shared" si="6"/>
        <v>39.784620000000004</v>
      </c>
      <c r="D184">
        <v>0.71253846153846156</v>
      </c>
      <c r="E184">
        <f t="shared" si="7"/>
        <v>3.6834804054454398</v>
      </c>
      <c r="I184" s="24">
        <f t="shared" si="8"/>
        <v>0.48025041863532508</v>
      </c>
      <c r="N184" s="30">
        <v>42033.244897959186</v>
      </c>
    </row>
    <row r="185" spans="1:18" x14ac:dyDescent="0.3">
      <c r="A185">
        <v>2.7879</v>
      </c>
      <c r="B185">
        <v>40.538499999999999</v>
      </c>
      <c r="C185">
        <f t="shared" si="6"/>
        <v>40.769239999999996</v>
      </c>
      <c r="D185">
        <v>0.71276923076923082</v>
      </c>
      <c r="E185">
        <f t="shared" si="7"/>
        <v>3.7079278754996996</v>
      </c>
      <c r="I185" s="24">
        <f t="shared" si="8"/>
        <v>0.49589879568918566</v>
      </c>
      <c r="N185" s="30">
        <v>42028.285714285717</v>
      </c>
    </row>
    <row r="186" spans="1:18" x14ac:dyDescent="0.3">
      <c r="A186">
        <v>2.8031000000000001</v>
      </c>
      <c r="B186">
        <v>41.576900000000002</v>
      </c>
      <c r="C186">
        <f t="shared" ref="C186:C249" si="9">AVERAGE(B184:B188)</f>
        <v>41.738479999999996</v>
      </c>
      <c r="D186">
        <v>0.71299999999999997</v>
      </c>
      <c r="E186">
        <f t="shared" ref="E186:E249" si="10">LN(C186)</f>
        <v>3.7314234850779773</v>
      </c>
      <c r="I186" s="24">
        <f t="shared" ref="I186:I249" si="11">(0.0026*(EXP(1.3248*E186)))/D186</f>
        <v>0.51141180006185538</v>
      </c>
      <c r="N186" s="30">
        <v>42023.326530612241</v>
      </c>
    </row>
    <row r="187" spans="1:18" x14ac:dyDescent="0.3">
      <c r="A187">
        <v>2.8182999999999998</v>
      </c>
      <c r="B187">
        <v>43.615400000000001</v>
      </c>
      <c r="C187">
        <f t="shared" si="9"/>
        <v>42.592319999999994</v>
      </c>
      <c r="D187">
        <v>0.71323076923076933</v>
      </c>
      <c r="E187">
        <f t="shared" si="10"/>
        <v>3.7516739553324863</v>
      </c>
      <c r="I187" s="24">
        <f t="shared" si="11"/>
        <v>0.52514759293176561</v>
      </c>
      <c r="N187" s="30">
        <v>42018.367346938772</v>
      </c>
    </row>
    <row r="188" spans="1:18" x14ac:dyDescent="0.3">
      <c r="A188">
        <v>2.8336000000000001</v>
      </c>
      <c r="B188">
        <v>43.615400000000001</v>
      </c>
      <c r="C188">
        <f t="shared" si="9"/>
        <v>43.161540000000002</v>
      </c>
      <c r="D188">
        <v>0.71346153846153848</v>
      </c>
      <c r="E188">
        <f t="shared" si="10"/>
        <v>3.764949820939659</v>
      </c>
      <c r="I188" s="24">
        <f t="shared" si="11"/>
        <v>0.53429264691387435</v>
      </c>
      <c r="N188" s="30">
        <v>42013.408163265303</v>
      </c>
    </row>
    <row r="189" spans="1:18" x14ac:dyDescent="0.3">
      <c r="A189">
        <v>2.8488000000000002</v>
      </c>
      <c r="B189">
        <v>43.615400000000001</v>
      </c>
      <c r="C189">
        <f t="shared" si="9"/>
        <v>43.5</v>
      </c>
      <c r="D189">
        <v>0.71369230769230774</v>
      </c>
      <c r="E189">
        <f t="shared" si="10"/>
        <v>3.7727609380946383</v>
      </c>
      <c r="I189" s="24">
        <f t="shared" si="11"/>
        <v>0.53967574498205428</v>
      </c>
      <c r="N189" s="30">
        <v>42008.448979591834</v>
      </c>
    </row>
    <row r="190" spans="1:18" x14ac:dyDescent="0.3">
      <c r="A190">
        <v>2.8641000000000001</v>
      </c>
      <c r="B190">
        <v>43.384599999999999</v>
      </c>
      <c r="C190">
        <f t="shared" si="9"/>
        <v>43.399999999999991</v>
      </c>
      <c r="D190">
        <v>0.71392307692307688</v>
      </c>
      <c r="E190">
        <f t="shared" si="10"/>
        <v>3.7704594411063588</v>
      </c>
      <c r="I190" s="24">
        <f t="shared" si="11"/>
        <v>0.5378588528554894</v>
      </c>
      <c r="N190" s="30">
        <v>42003.489795918365</v>
      </c>
      <c r="O190">
        <v>2014</v>
      </c>
      <c r="P190" s="24">
        <f>AVERAGE(I190:I297)</f>
        <v>0.64420237085499898</v>
      </c>
      <c r="Q190">
        <f>A297-A190</f>
        <v>1.6300000000000003</v>
      </c>
      <c r="R190">
        <f>P190*Q190</f>
        <v>1.0500498644936485</v>
      </c>
    </row>
    <row r="191" spans="1:18" x14ac:dyDescent="0.3">
      <c r="A191">
        <v>2.8793000000000002</v>
      </c>
      <c r="B191">
        <v>43.269199999999998</v>
      </c>
      <c r="C191">
        <f t="shared" si="9"/>
        <v>43.346160000000005</v>
      </c>
      <c r="D191">
        <v>0.71415384615384614</v>
      </c>
      <c r="E191">
        <f t="shared" si="10"/>
        <v>3.7692181179881157</v>
      </c>
      <c r="I191" s="24">
        <f t="shared" si="11"/>
        <v>0.53680155196080903</v>
      </c>
      <c r="N191" s="30">
        <v>41998.530612244896</v>
      </c>
    </row>
    <row r="192" spans="1:18" x14ac:dyDescent="0.3">
      <c r="A192">
        <v>2.8944999999999999</v>
      </c>
      <c r="B192">
        <v>43.115400000000001</v>
      </c>
      <c r="C192">
        <f t="shared" si="9"/>
        <v>43.307699999999997</v>
      </c>
      <c r="D192">
        <v>0.7143846153846154</v>
      </c>
      <c r="E192">
        <f t="shared" si="10"/>
        <v>3.7683304482980313</v>
      </c>
      <c r="I192" s="24">
        <f t="shared" si="11"/>
        <v>0.53599745214588446</v>
      </c>
      <c r="N192" s="30">
        <v>41993.571428571428</v>
      </c>
    </row>
    <row r="193" spans="1:14" x14ac:dyDescent="0.3">
      <c r="A193">
        <v>2.9098000000000002</v>
      </c>
      <c r="B193">
        <v>43.346200000000003</v>
      </c>
      <c r="C193">
        <f t="shared" si="9"/>
        <v>43.392320000000005</v>
      </c>
      <c r="D193">
        <v>0.71461538461538465</v>
      </c>
      <c r="E193">
        <f t="shared" si="10"/>
        <v>3.7702824669220063</v>
      </c>
      <c r="I193" s="24">
        <f t="shared" si="11"/>
        <v>0.53721181702173659</v>
      </c>
      <c r="N193" s="30">
        <v>41988.612244897959</v>
      </c>
    </row>
    <row r="194" spans="1:14" x14ac:dyDescent="0.3">
      <c r="A194">
        <v>2.9249999999999998</v>
      </c>
      <c r="B194">
        <v>43.423099999999998</v>
      </c>
      <c r="C194">
        <f t="shared" si="9"/>
        <v>43.607720000000008</v>
      </c>
      <c r="D194">
        <v>0.71484615384615391</v>
      </c>
      <c r="E194">
        <f t="shared" si="10"/>
        <v>3.7752341989011535</v>
      </c>
      <c r="I194" s="24">
        <f t="shared" si="11"/>
        <v>0.54057297433848361</v>
      </c>
      <c r="N194" s="30">
        <v>41983.65306122449</v>
      </c>
    </row>
    <row r="195" spans="1:14" x14ac:dyDescent="0.3">
      <c r="A195">
        <v>2.9401999999999999</v>
      </c>
      <c r="B195">
        <v>43.807699999999997</v>
      </c>
      <c r="C195">
        <f t="shared" si="9"/>
        <v>44.023099999999999</v>
      </c>
      <c r="D195">
        <v>0.71507692307692305</v>
      </c>
      <c r="E195">
        <f t="shared" si="10"/>
        <v>3.7847144961539767</v>
      </c>
      <c r="I195" s="24">
        <f t="shared" si="11"/>
        <v>0.54722845545495691</v>
      </c>
      <c r="N195" s="30">
        <v>41978.693877551021</v>
      </c>
    </row>
    <row r="196" spans="1:14" x14ac:dyDescent="0.3">
      <c r="A196">
        <v>2.9554999999999998</v>
      </c>
      <c r="B196">
        <v>44.346200000000003</v>
      </c>
      <c r="C196">
        <f t="shared" si="9"/>
        <v>44.615400000000001</v>
      </c>
      <c r="D196">
        <v>0.71530769230769242</v>
      </c>
      <c r="E196">
        <f t="shared" si="10"/>
        <v>3.7980790909064552</v>
      </c>
      <c r="I196" s="24">
        <f t="shared" si="11"/>
        <v>0.55682394603608731</v>
      </c>
      <c r="N196" s="30">
        <v>41973.734693877552</v>
      </c>
    </row>
    <row r="197" spans="1:14" x14ac:dyDescent="0.3">
      <c r="A197">
        <v>2.9706999999999999</v>
      </c>
      <c r="B197">
        <v>45.192300000000003</v>
      </c>
      <c r="C197">
        <f t="shared" si="9"/>
        <v>45.438480000000006</v>
      </c>
      <c r="D197">
        <v>0.71553846153846157</v>
      </c>
      <c r="E197">
        <f t="shared" si="10"/>
        <v>3.8163593231491832</v>
      </c>
      <c r="I197" s="24">
        <f t="shared" si="11"/>
        <v>0.57028954354989947</v>
      </c>
      <c r="N197" s="30">
        <v>41968.775510204083</v>
      </c>
    </row>
    <row r="198" spans="1:14" x14ac:dyDescent="0.3">
      <c r="A198">
        <v>2.9859</v>
      </c>
      <c r="B198">
        <v>46.307699999999997</v>
      </c>
      <c r="C198">
        <f t="shared" si="9"/>
        <v>46.384640000000005</v>
      </c>
      <c r="D198">
        <v>0.71576923076923082</v>
      </c>
      <c r="E198">
        <f t="shared" si="10"/>
        <v>3.8369683699454415</v>
      </c>
      <c r="I198" s="24">
        <f t="shared" si="11"/>
        <v>0.58588563528363413</v>
      </c>
      <c r="N198" s="30">
        <v>41963.816326530614</v>
      </c>
    </row>
    <row r="199" spans="1:14" x14ac:dyDescent="0.3">
      <c r="A199">
        <v>3.0011999999999999</v>
      </c>
      <c r="B199">
        <v>47.538499999999999</v>
      </c>
      <c r="C199">
        <f t="shared" si="9"/>
        <v>47.423099999999998</v>
      </c>
      <c r="D199" s="8">
        <v>0.71599999999999997</v>
      </c>
      <c r="E199">
        <f t="shared" si="10"/>
        <v>3.8591094517607485</v>
      </c>
      <c r="I199" s="24">
        <f t="shared" si="11"/>
        <v>0.60313120416667632</v>
      </c>
      <c r="N199" s="30">
        <v>41958.857142857145</v>
      </c>
    </row>
    <row r="200" spans="1:14" x14ac:dyDescent="0.3">
      <c r="A200">
        <v>3.0164</v>
      </c>
      <c r="B200">
        <v>48.538499999999999</v>
      </c>
      <c r="C200">
        <f t="shared" si="9"/>
        <v>48.423099999999998</v>
      </c>
      <c r="D200">
        <v>0.7157575757575757</v>
      </c>
      <c r="E200">
        <f t="shared" si="10"/>
        <v>3.8799769725914568</v>
      </c>
      <c r="I200" s="24">
        <f t="shared" si="11"/>
        <v>0.62024756021541894</v>
      </c>
      <c r="N200" s="30">
        <v>41953.897959183676</v>
      </c>
    </row>
    <row r="201" spans="1:14" x14ac:dyDescent="0.3">
      <c r="A201">
        <v>3.0316000000000001</v>
      </c>
      <c r="B201">
        <v>49.538499999999999</v>
      </c>
      <c r="C201">
        <f t="shared" si="9"/>
        <v>49.576939999999993</v>
      </c>
      <c r="D201">
        <v>0.71551515151515155</v>
      </c>
      <c r="E201">
        <f t="shared" si="10"/>
        <v>3.9035258062675307</v>
      </c>
      <c r="I201" s="24">
        <f t="shared" si="11"/>
        <v>0.64011953814136602</v>
      </c>
      <c r="N201" s="30">
        <v>41948.938775510207</v>
      </c>
    </row>
    <row r="202" spans="1:14" x14ac:dyDescent="0.3">
      <c r="A202">
        <v>3.0468999999999999</v>
      </c>
      <c r="B202">
        <v>50.192300000000003</v>
      </c>
      <c r="C202">
        <f t="shared" si="9"/>
        <v>50.53848</v>
      </c>
      <c r="D202">
        <v>0.71527272727272728</v>
      </c>
      <c r="E202">
        <f t="shared" si="10"/>
        <v>3.9227350263198106</v>
      </c>
      <c r="I202" s="24">
        <f t="shared" si="11"/>
        <v>0.65684113143667222</v>
      </c>
      <c r="N202" s="30">
        <v>41943.979591836731</v>
      </c>
    </row>
    <row r="203" spans="1:14" x14ac:dyDescent="0.3">
      <c r="A203">
        <v>3.0621</v>
      </c>
      <c r="B203">
        <v>52.076900000000002</v>
      </c>
      <c r="C203">
        <f t="shared" si="9"/>
        <v>51.353860000000012</v>
      </c>
      <c r="D203">
        <v>0.71503030303030302</v>
      </c>
      <c r="E203">
        <f t="shared" si="10"/>
        <v>3.9387401039486356</v>
      </c>
      <c r="I203" s="24">
        <f t="shared" si="11"/>
        <v>0.6711446517146088</v>
      </c>
      <c r="N203" s="30">
        <v>41939.020408163262</v>
      </c>
    </row>
    <row r="204" spans="1:14" x14ac:dyDescent="0.3">
      <c r="A204">
        <v>3.0773000000000001</v>
      </c>
      <c r="B204">
        <v>52.346200000000003</v>
      </c>
      <c r="C204">
        <f t="shared" si="9"/>
        <v>52.046160000000008</v>
      </c>
      <c r="D204">
        <v>0.71478787878787875</v>
      </c>
      <c r="E204">
        <f t="shared" si="10"/>
        <v>3.9521310171233144</v>
      </c>
      <c r="I204" s="24">
        <f t="shared" si="11"/>
        <v>0.68338888128140773</v>
      </c>
      <c r="N204" s="30">
        <v>41934.061224489793</v>
      </c>
    </row>
    <row r="205" spans="1:14" x14ac:dyDescent="0.3">
      <c r="A205">
        <v>3.0926</v>
      </c>
      <c r="B205">
        <v>52.615400000000001</v>
      </c>
      <c r="C205">
        <f t="shared" si="9"/>
        <v>52.638459999999995</v>
      </c>
      <c r="D205">
        <v>0.71454545454545459</v>
      </c>
      <c r="E205">
        <f t="shared" si="10"/>
        <v>3.9634470312699674</v>
      </c>
      <c r="I205" s="24">
        <f t="shared" si="11"/>
        <v>0.69394640993480716</v>
      </c>
      <c r="N205" s="30">
        <v>41929.102040816324</v>
      </c>
    </row>
    <row r="206" spans="1:14" x14ac:dyDescent="0.3">
      <c r="A206">
        <v>3.1078000000000001</v>
      </c>
      <c r="B206">
        <v>53</v>
      </c>
      <c r="C206">
        <f t="shared" si="9"/>
        <v>52.9</v>
      </c>
      <c r="D206">
        <v>0.71430303030303022</v>
      </c>
      <c r="E206">
        <f t="shared" si="10"/>
        <v>3.9684033388642534</v>
      </c>
      <c r="I206" s="24">
        <f t="shared" si="11"/>
        <v>0.69875500193334483</v>
      </c>
      <c r="N206" s="30">
        <v>41924.142857142855</v>
      </c>
    </row>
    <row r="207" spans="1:14" x14ac:dyDescent="0.3">
      <c r="A207">
        <v>3.1230000000000002</v>
      </c>
      <c r="B207">
        <v>53.153799999999997</v>
      </c>
      <c r="C207">
        <f t="shared" si="9"/>
        <v>53.138459999999995</v>
      </c>
      <c r="D207">
        <v>0.71406060606060606</v>
      </c>
      <c r="E207">
        <f t="shared" si="10"/>
        <v>3.9729009598590466</v>
      </c>
      <c r="I207" s="24">
        <f t="shared" si="11"/>
        <v>0.70316957184755935</v>
      </c>
      <c r="N207" s="30">
        <v>41919.183673469386</v>
      </c>
    </row>
    <row r="208" spans="1:14" x14ac:dyDescent="0.3">
      <c r="A208">
        <v>3.1383000000000001</v>
      </c>
      <c r="B208">
        <v>53.384599999999999</v>
      </c>
      <c r="C208">
        <f t="shared" si="9"/>
        <v>53.369219999999999</v>
      </c>
      <c r="D208">
        <v>0.7138181818181818</v>
      </c>
      <c r="E208">
        <f t="shared" si="10"/>
        <v>3.9772341752868337</v>
      </c>
      <c r="I208" s="24">
        <f t="shared" si="11"/>
        <v>0.70745800922093949</v>
      </c>
      <c r="N208" s="30">
        <v>41914.224489795917</v>
      </c>
    </row>
    <row r="209" spans="1:14" x14ac:dyDescent="0.3">
      <c r="A209">
        <v>3.1535000000000002</v>
      </c>
      <c r="B209">
        <v>53.538499999999999</v>
      </c>
      <c r="C209">
        <f t="shared" si="9"/>
        <v>53.507679999999993</v>
      </c>
      <c r="D209">
        <v>0.71357575757575753</v>
      </c>
      <c r="E209">
        <f t="shared" si="10"/>
        <v>3.9798251950013133</v>
      </c>
      <c r="I209" s="24">
        <f t="shared" si="11"/>
        <v>0.71013176240227605</v>
      </c>
      <c r="N209" s="30">
        <v>41909.265306122448</v>
      </c>
    </row>
    <row r="210" spans="1:14" x14ac:dyDescent="0.3">
      <c r="A210">
        <v>3.1686999999999999</v>
      </c>
      <c r="B210">
        <v>53.769199999999998</v>
      </c>
      <c r="C210">
        <f t="shared" si="9"/>
        <v>53.561539999999994</v>
      </c>
      <c r="D210">
        <v>0.71333333333333326</v>
      </c>
      <c r="E210">
        <f t="shared" si="10"/>
        <v>3.9808312732102151</v>
      </c>
      <c r="I210" s="24">
        <f t="shared" si="11"/>
        <v>0.71132055236524649</v>
      </c>
      <c r="N210" s="30">
        <v>41904.306122448979</v>
      </c>
    </row>
    <row r="211" spans="1:14" x14ac:dyDescent="0.3">
      <c r="A211">
        <v>3.1840000000000002</v>
      </c>
      <c r="B211">
        <v>53.692300000000003</v>
      </c>
      <c r="C211">
        <f t="shared" si="9"/>
        <v>53.607700000000001</v>
      </c>
      <c r="D211">
        <v>0.71309090909090911</v>
      </c>
      <c r="E211">
        <f t="shared" si="10"/>
        <v>3.9816927144755363</v>
      </c>
      <c r="I211" s="24">
        <f t="shared" si="11"/>
        <v>0.71237489989260783</v>
      </c>
      <c r="N211" s="30">
        <v>41899.34693877551</v>
      </c>
    </row>
    <row r="212" spans="1:14" x14ac:dyDescent="0.3">
      <c r="A212">
        <v>3.1991999999999998</v>
      </c>
      <c r="B212">
        <v>53.423099999999998</v>
      </c>
      <c r="C212">
        <f t="shared" si="9"/>
        <v>53.815380000000005</v>
      </c>
      <c r="D212">
        <v>0.71284848484848484</v>
      </c>
      <c r="E212">
        <f t="shared" si="10"/>
        <v>3.9855592999196134</v>
      </c>
      <c r="I212" s="24">
        <f t="shared" si="11"/>
        <v>0.71627687592376665</v>
      </c>
      <c r="N212" s="30">
        <v>41894.387755102041</v>
      </c>
    </row>
    <row r="213" spans="1:14" x14ac:dyDescent="0.3">
      <c r="A213">
        <v>3.2143999999999999</v>
      </c>
      <c r="B213">
        <v>53.615400000000001</v>
      </c>
      <c r="C213">
        <f t="shared" si="9"/>
        <v>54.192300000000003</v>
      </c>
      <c r="D213">
        <v>0.71260606060606058</v>
      </c>
      <c r="E213">
        <f t="shared" si="10"/>
        <v>3.9925388319325466</v>
      </c>
      <c r="I213" s="24">
        <f t="shared" si="11"/>
        <v>0.72317656972662903</v>
      </c>
      <c r="N213" s="30">
        <v>41889.428571428572</v>
      </c>
    </row>
    <row r="214" spans="1:14" x14ac:dyDescent="0.3">
      <c r="A214">
        <v>3.2296999999999998</v>
      </c>
      <c r="B214">
        <v>54.576900000000002</v>
      </c>
      <c r="C214">
        <f t="shared" si="9"/>
        <v>54.75383999999999</v>
      </c>
      <c r="D214">
        <v>0.71236363636363631</v>
      </c>
      <c r="E214">
        <f t="shared" si="10"/>
        <v>4.0028475032234283</v>
      </c>
      <c r="I214" s="24">
        <f t="shared" si="11"/>
        <v>0.73337017643826174</v>
      </c>
      <c r="N214" s="30">
        <v>41884.469387755104</v>
      </c>
    </row>
    <row r="215" spans="1:14" x14ac:dyDescent="0.3">
      <c r="A215">
        <v>3.2448999999999999</v>
      </c>
      <c r="B215">
        <v>55.653799999999997</v>
      </c>
      <c r="C215">
        <f t="shared" si="9"/>
        <v>55.569219999999994</v>
      </c>
      <c r="D215">
        <v>0.71212121212121215</v>
      </c>
      <c r="E215">
        <f t="shared" si="10"/>
        <v>4.0176294508427706</v>
      </c>
      <c r="I215" s="24">
        <f t="shared" si="11"/>
        <v>0.74812799662672469</v>
      </c>
      <c r="N215" s="30">
        <v>41879.510204081635</v>
      </c>
    </row>
    <row r="216" spans="1:14" x14ac:dyDescent="0.3">
      <c r="A216">
        <v>3.2601</v>
      </c>
      <c r="B216">
        <v>56.5</v>
      </c>
      <c r="C216">
        <f t="shared" si="9"/>
        <v>56.515380000000007</v>
      </c>
      <c r="D216">
        <v>0.71187878787878778</v>
      </c>
      <c r="E216">
        <f t="shared" si="10"/>
        <v>4.0345128134987061</v>
      </c>
      <c r="I216" s="24">
        <f t="shared" si="11"/>
        <v>0.76531050790199384</v>
      </c>
      <c r="N216" s="30">
        <v>41874.551020408166</v>
      </c>
    </row>
    <row r="217" spans="1:14" x14ac:dyDescent="0.3">
      <c r="A217">
        <v>3.2753999999999999</v>
      </c>
      <c r="B217">
        <v>57.5</v>
      </c>
      <c r="C217">
        <f t="shared" si="9"/>
        <v>57.54616</v>
      </c>
      <c r="D217">
        <v>0.71163636363636362</v>
      </c>
      <c r="E217">
        <f t="shared" si="10"/>
        <v>4.052587408354392</v>
      </c>
      <c r="I217" s="24">
        <f t="shared" si="11"/>
        <v>0.7841242319209013</v>
      </c>
      <c r="N217" s="30">
        <v>41869.591836734697</v>
      </c>
    </row>
    <row r="218" spans="1:14" x14ac:dyDescent="0.3">
      <c r="A218">
        <v>3.2906</v>
      </c>
      <c r="B218">
        <v>58.346200000000003</v>
      </c>
      <c r="C218">
        <f t="shared" si="9"/>
        <v>58.292319999999997</v>
      </c>
      <c r="D218">
        <v>0.71139393939393936</v>
      </c>
      <c r="E218">
        <f t="shared" si="10"/>
        <v>4.0654703522604443</v>
      </c>
      <c r="I218" s="24">
        <f t="shared" si="11"/>
        <v>0.79789380046733638</v>
      </c>
      <c r="N218" s="30">
        <v>41864.63265306122</v>
      </c>
    </row>
    <row r="219" spans="1:14" x14ac:dyDescent="0.3">
      <c r="A219">
        <v>3.3058000000000001</v>
      </c>
      <c r="B219">
        <v>59.730800000000002</v>
      </c>
      <c r="C219">
        <f t="shared" si="9"/>
        <v>58.930780000000006</v>
      </c>
      <c r="D219">
        <v>0.71115151515151509</v>
      </c>
      <c r="E219">
        <f t="shared" si="10"/>
        <v>4.0763635348049894</v>
      </c>
      <c r="I219" s="24">
        <f t="shared" si="11"/>
        <v>0.80976786999380346</v>
      </c>
      <c r="N219" s="30">
        <v>41859.673469387752</v>
      </c>
    </row>
    <row r="220" spans="1:14" x14ac:dyDescent="0.3">
      <c r="A220">
        <v>3.3210999999999999</v>
      </c>
      <c r="B220">
        <v>59.384599999999999</v>
      </c>
      <c r="C220">
        <f t="shared" si="9"/>
        <v>59.661540000000002</v>
      </c>
      <c r="D220">
        <v>0.71090909090909082</v>
      </c>
      <c r="E220">
        <f t="shared" si="10"/>
        <v>4.0886875916934473</v>
      </c>
      <c r="I220" s="24">
        <f t="shared" si="11"/>
        <v>0.82337807760300141</v>
      </c>
      <c r="N220" s="30">
        <v>41854.714285714283</v>
      </c>
    </row>
    <row r="221" spans="1:14" x14ac:dyDescent="0.3">
      <c r="A221">
        <v>3.3363</v>
      </c>
      <c r="B221">
        <v>59.692300000000003</v>
      </c>
      <c r="C221">
        <f t="shared" si="9"/>
        <v>60.569219999999994</v>
      </c>
      <c r="D221">
        <v>0.71066666666666667</v>
      </c>
      <c r="E221">
        <f t="shared" si="10"/>
        <v>4.1037868432477289</v>
      </c>
      <c r="I221" s="24">
        <f t="shared" si="11"/>
        <v>0.84030089608998326</v>
      </c>
      <c r="N221" s="30">
        <v>41849.755102040814</v>
      </c>
    </row>
    <row r="222" spans="1:14" x14ac:dyDescent="0.3">
      <c r="A222">
        <v>3.3515000000000001</v>
      </c>
      <c r="B222">
        <v>61.153799999999997</v>
      </c>
      <c r="C222">
        <f t="shared" si="9"/>
        <v>61.469219999999993</v>
      </c>
      <c r="D222">
        <v>0.7104242424242424</v>
      </c>
      <c r="E222">
        <f t="shared" si="10"/>
        <v>4.1185365617217684</v>
      </c>
      <c r="I222" s="24">
        <f t="shared" si="11"/>
        <v>0.85717461118290361</v>
      </c>
      <c r="N222" s="30">
        <v>41844.795918367345</v>
      </c>
    </row>
    <row r="223" spans="1:14" x14ac:dyDescent="0.3">
      <c r="A223">
        <v>3.3668</v>
      </c>
      <c r="B223">
        <v>62.884599999999999</v>
      </c>
      <c r="C223">
        <f t="shared" si="9"/>
        <v>62.569219999999994</v>
      </c>
      <c r="D223">
        <v>0.71018181818181814</v>
      </c>
      <c r="E223">
        <f t="shared" si="10"/>
        <v>4.1362734638945327</v>
      </c>
      <c r="I223" s="24">
        <f t="shared" si="11"/>
        <v>0.87785443628204496</v>
      </c>
      <c r="N223" s="30">
        <v>41839.836734693876</v>
      </c>
    </row>
    <row r="224" spans="1:14" x14ac:dyDescent="0.3">
      <c r="A224">
        <v>3.3820000000000001</v>
      </c>
      <c r="B224">
        <v>64.230800000000002</v>
      </c>
      <c r="C224">
        <f t="shared" si="9"/>
        <v>63.66152000000001</v>
      </c>
      <c r="D224">
        <v>0.70993939393939387</v>
      </c>
      <c r="E224">
        <f t="shared" si="10"/>
        <v>4.1535802984146422</v>
      </c>
      <c r="I224" s="24">
        <f t="shared" si="11"/>
        <v>0.89852119710719669</v>
      </c>
      <c r="N224" s="30">
        <v>41834.877551020407</v>
      </c>
    </row>
    <row r="225" spans="1:14" x14ac:dyDescent="0.3">
      <c r="A225">
        <v>3.3973</v>
      </c>
      <c r="B225">
        <v>64.884600000000006</v>
      </c>
      <c r="C225">
        <f t="shared" si="9"/>
        <v>64.615380000000002</v>
      </c>
      <c r="D225">
        <v>0.70969696969696972</v>
      </c>
      <c r="E225">
        <f t="shared" si="10"/>
        <v>4.1684524629472488</v>
      </c>
      <c r="I225" s="24">
        <f t="shared" si="11"/>
        <v>0.91671302297941526</v>
      </c>
      <c r="N225" s="30">
        <v>41829.918367346938</v>
      </c>
    </row>
    <row r="226" spans="1:14" x14ac:dyDescent="0.3">
      <c r="A226">
        <v>3.4125000000000001</v>
      </c>
      <c r="B226">
        <v>65.153800000000004</v>
      </c>
      <c r="C226">
        <f t="shared" si="9"/>
        <v>65.130760000000009</v>
      </c>
      <c r="D226">
        <v>0.70945454545454534</v>
      </c>
      <c r="E226">
        <f t="shared" si="10"/>
        <v>4.1763969414599815</v>
      </c>
      <c r="I226" s="24">
        <f t="shared" si="11"/>
        <v>0.92672879720370294</v>
      </c>
      <c r="N226" s="30">
        <v>41824.959183673469</v>
      </c>
    </row>
    <row r="227" spans="1:14" x14ac:dyDescent="0.3">
      <c r="A227">
        <v>3.4277000000000002</v>
      </c>
      <c r="B227">
        <v>65.923100000000005</v>
      </c>
      <c r="C227">
        <f t="shared" si="9"/>
        <v>65.253839999999997</v>
      </c>
      <c r="D227">
        <v>0.70921212121212118</v>
      </c>
      <c r="E227">
        <f t="shared" si="10"/>
        <v>4.1782848950458886</v>
      </c>
      <c r="I227" s="24">
        <f t="shared" si="11"/>
        <v>0.92936716569015576</v>
      </c>
      <c r="J227">
        <v>2014</v>
      </c>
      <c r="K227">
        <f>AVERAGE(I227:I330)</f>
        <v>0.62513630804321074</v>
      </c>
      <c r="L227">
        <f>A330-A227</f>
        <v>1.5691999999999999</v>
      </c>
      <c r="M227">
        <f>K227*L227</f>
        <v>0.9809638945814062</v>
      </c>
      <c r="N227" s="30">
        <v>41820</v>
      </c>
    </row>
    <row r="228" spans="1:14" x14ac:dyDescent="0.3">
      <c r="A228">
        <v>3.4430000000000001</v>
      </c>
      <c r="B228">
        <v>65.461500000000001</v>
      </c>
      <c r="C228">
        <f t="shared" si="9"/>
        <v>65.2</v>
      </c>
      <c r="D228">
        <v>0.70896969696969692</v>
      </c>
      <c r="E228">
        <f t="shared" si="10"/>
        <v>4.1774594689326072</v>
      </c>
      <c r="I228" s="24">
        <f t="shared" si="11"/>
        <v>0.92866887474462179</v>
      </c>
      <c r="N228" s="30">
        <v>41817.966666666667</v>
      </c>
    </row>
    <row r="229" spans="1:14" x14ac:dyDescent="0.3">
      <c r="A229">
        <v>3.4582000000000002</v>
      </c>
      <c r="B229">
        <v>64.846199999999996</v>
      </c>
      <c r="C229">
        <f t="shared" si="9"/>
        <v>64.999999999999986</v>
      </c>
      <c r="D229">
        <v>0.70872727272727265</v>
      </c>
      <c r="E229">
        <f t="shared" si="10"/>
        <v>4.1743872698956368</v>
      </c>
      <c r="I229" s="24">
        <f t="shared" si="11"/>
        <v>0.92521319435365501</v>
      </c>
      <c r="N229" s="30">
        <v>41815.933333333334</v>
      </c>
    </row>
    <row r="230" spans="1:14" x14ac:dyDescent="0.3">
      <c r="A230">
        <v>3.4733999999999998</v>
      </c>
      <c r="B230">
        <v>64.615399999999994</v>
      </c>
      <c r="C230">
        <f t="shared" si="9"/>
        <v>64.599999999999994</v>
      </c>
      <c r="D230">
        <v>0.70848484848484838</v>
      </c>
      <c r="E230">
        <f t="shared" si="10"/>
        <v>4.1682144107885559</v>
      </c>
      <c r="I230" s="24">
        <f t="shared" si="11"/>
        <v>0.9179918401565893</v>
      </c>
      <c r="N230" s="30">
        <v>41813.9</v>
      </c>
    </row>
    <row r="231" spans="1:14" x14ac:dyDescent="0.3">
      <c r="A231">
        <v>3.4887000000000001</v>
      </c>
      <c r="B231">
        <v>64.153800000000004</v>
      </c>
      <c r="C231">
        <f t="shared" si="9"/>
        <v>64.15385999999998</v>
      </c>
      <c r="D231">
        <v>0.70824242424242423</v>
      </c>
      <c r="E231">
        <f t="shared" si="10"/>
        <v>4.1612842607245248</v>
      </c>
      <c r="I231" s="24">
        <f t="shared" si="11"/>
        <v>0.90991361861791753</v>
      </c>
      <c r="N231" s="30">
        <v>41811.866666666669</v>
      </c>
    </row>
    <row r="232" spans="1:14" x14ac:dyDescent="0.3">
      <c r="A232">
        <v>3.5038999999999998</v>
      </c>
      <c r="B232">
        <v>63.923099999999998</v>
      </c>
      <c r="C232">
        <f t="shared" si="9"/>
        <v>63.769240000000003</v>
      </c>
      <c r="D232">
        <v>0.70799999999999996</v>
      </c>
      <c r="E232">
        <f t="shared" si="10"/>
        <v>4.155270942426462</v>
      </c>
      <c r="I232" s="24">
        <f t="shared" si="11"/>
        <v>0.90300272835129825</v>
      </c>
      <c r="N232" s="30">
        <v>41809.833333333336</v>
      </c>
    </row>
    <row r="233" spans="1:14" x14ac:dyDescent="0.3">
      <c r="A233">
        <v>3.5190999999999999</v>
      </c>
      <c r="B233">
        <v>63.230800000000002</v>
      </c>
      <c r="C233">
        <f t="shared" si="9"/>
        <v>63.053860000000007</v>
      </c>
      <c r="D233">
        <v>0.7077575757575757</v>
      </c>
      <c r="E233">
        <f t="shared" si="10"/>
        <v>4.143989281789958</v>
      </c>
      <c r="I233" s="24">
        <f t="shared" si="11"/>
        <v>0.88991156853060083</v>
      </c>
      <c r="N233" s="30">
        <v>41807.800000000003</v>
      </c>
    </row>
    <row r="234" spans="1:14" x14ac:dyDescent="0.3">
      <c r="A234">
        <v>3.5344000000000002</v>
      </c>
      <c r="B234">
        <v>62.923099999999998</v>
      </c>
      <c r="C234">
        <f t="shared" si="9"/>
        <v>62.223100000000002</v>
      </c>
      <c r="D234">
        <v>0.70751515151515154</v>
      </c>
      <c r="E234">
        <f t="shared" si="10"/>
        <v>4.1307263134363277</v>
      </c>
      <c r="I234" s="24">
        <f t="shared" si="11"/>
        <v>0.87471130886560766</v>
      </c>
      <c r="N234" s="30">
        <v>41805.766666666663</v>
      </c>
    </row>
    <row r="235" spans="1:14" x14ac:dyDescent="0.3">
      <c r="A235">
        <v>3.5495999999999999</v>
      </c>
      <c r="B235">
        <v>61.038499999999999</v>
      </c>
      <c r="C235">
        <f t="shared" si="9"/>
        <v>61.153859999999995</v>
      </c>
      <c r="D235">
        <v>0.70727272727272728</v>
      </c>
      <c r="E235">
        <f t="shared" si="10"/>
        <v>4.1133929836078638</v>
      </c>
      <c r="I235" s="24">
        <f t="shared" si="11"/>
        <v>0.85514701739037347</v>
      </c>
      <c r="N235" s="30">
        <v>41803.73333333333</v>
      </c>
    </row>
    <row r="236" spans="1:14" x14ac:dyDescent="0.3">
      <c r="A236">
        <v>3.5648</v>
      </c>
      <c r="B236">
        <v>60</v>
      </c>
      <c r="C236">
        <f t="shared" si="9"/>
        <v>60.05386</v>
      </c>
      <c r="D236">
        <v>0.70703030303030301</v>
      </c>
      <c r="E236">
        <f t="shared" si="10"/>
        <v>4.0952418262269976</v>
      </c>
      <c r="I236" s="24">
        <f t="shared" si="11"/>
        <v>0.83511510778784381</v>
      </c>
      <c r="N236" s="30">
        <v>41801.699999999997</v>
      </c>
    </row>
    <row r="237" spans="1:14" x14ac:dyDescent="0.3">
      <c r="A237">
        <v>3.5800999999999998</v>
      </c>
      <c r="B237">
        <v>58.576900000000002</v>
      </c>
      <c r="C237">
        <f t="shared" si="9"/>
        <v>58.846159999999998</v>
      </c>
      <c r="D237">
        <v>0.70678787878787874</v>
      </c>
      <c r="E237">
        <f t="shared" si="10"/>
        <v>4.0749265809401569</v>
      </c>
      <c r="I237" s="24">
        <f t="shared" si="11"/>
        <v>0.81321771641313412</v>
      </c>
      <c r="N237" s="30">
        <v>41799.666666666664</v>
      </c>
    </row>
    <row r="238" spans="1:14" x14ac:dyDescent="0.3">
      <c r="A238">
        <v>3.5952999999999999</v>
      </c>
      <c r="B238">
        <v>57.730800000000002</v>
      </c>
      <c r="C238">
        <f t="shared" si="9"/>
        <v>57.869220000000006</v>
      </c>
      <c r="D238">
        <v>0.70654545454545459</v>
      </c>
      <c r="E238">
        <f t="shared" si="10"/>
        <v>4.0581856370086493</v>
      </c>
      <c r="I238" s="24">
        <f t="shared" si="11"/>
        <v>0.79565328410265956</v>
      </c>
      <c r="N238" s="30">
        <v>41797.633333333331</v>
      </c>
    </row>
    <row r="239" spans="1:14" x14ac:dyDescent="0.3">
      <c r="A239">
        <v>3.6105</v>
      </c>
      <c r="B239">
        <v>56.884599999999999</v>
      </c>
      <c r="C239">
        <f t="shared" si="9"/>
        <v>56.92306</v>
      </c>
      <c r="D239">
        <v>0.70630303030303021</v>
      </c>
      <c r="E239">
        <f t="shared" si="10"/>
        <v>4.0417005314393375</v>
      </c>
      <c r="I239" s="24">
        <f t="shared" si="11"/>
        <v>0.7787322066708896</v>
      </c>
      <c r="N239" s="30">
        <v>41795.599999999999</v>
      </c>
    </row>
    <row r="240" spans="1:14" x14ac:dyDescent="0.3">
      <c r="A240">
        <v>3.6257999999999999</v>
      </c>
      <c r="B240">
        <v>56.153799999999997</v>
      </c>
      <c r="C240">
        <f t="shared" si="9"/>
        <v>56.138439999999989</v>
      </c>
      <c r="D240">
        <v>0.70606060606060606</v>
      </c>
      <c r="E240">
        <f t="shared" si="10"/>
        <v>4.0278207828739792</v>
      </c>
      <c r="I240" s="24">
        <f t="shared" si="11"/>
        <v>0.76480631523704212</v>
      </c>
      <c r="N240" s="30">
        <v>41793.566666666666</v>
      </c>
    </row>
    <row r="241" spans="1:14" x14ac:dyDescent="0.3">
      <c r="A241">
        <v>3.641</v>
      </c>
      <c r="B241">
        <v>55.269199999999998</v>
      </c>
      <c r="C241">
        <f t="shared" si="9"/>
        <v>55.215359999999997</v>
      </c>
      <c r="D241">
        <v>0.70581818181818179</v>
      </c>
      <c r="E241">
        <f t="shared" si="10"/>
        <v>4.0112411754452397</v>
      </c>
      <c r="I241" s="24">
        <f t="shared" si="11"/>
        <v>0.74844772500559575</v>
      </c>
      <c r="N241" s="30">
        <v>41791.533333333333</v>
      </c>
    </row>
    <row r="242" spans="1:14" x14ac:dyDescent="0.3">
      <c r="A242">
        <v>3.6562000000000001</v>
      </c>
      <c r="B242">
        <v>54.653799999999997</v>
      </c>
      <c r="C242">
        <f t="shared" si="9"/>
        <v>54.4846</v>
      </c>
      <c r="D242">
        <v>0.70557575757575752</v>
      </c>
      <c r="E242">
        <f t="shared" si="10"/>
        <v>3.9979180929317715</v>
      </c>
      <c r="I242" s="24">
        <f t="shared" si="11"/>
        <v>0.73560586560235808</v>
      </c>
      <c r="N242" s="30">
        <v>41789.5</v>
      </c>
    </row>
    <row r="243" spans="1:14" x14ac:dyDescent="0.3">
      <c r="A243">
        <v>3.6715</v>
      </c>
      <c r="B243">
        <v>53.115400000000001</v>
      </c>
      <c r="C243">
        <f t="shared" si="9"/>
        <v>53.876920000000005</v>
      </c>
      <c r="D243">
        <v>0.70533333333333326</v>
      </c>
      <c r="E243">
        <f t="shared" si="10"/>
        <v>3.9867021858399356</v>
      </c>
      <c r="I243" s="24">
        <f t="shared" si="11"/>
        <v>0.72500552498908666</v>
      </c>
      <c r="N243" s="30">
        <v>41787.466666666667</v>
      </c>
    </row>
    <row r="244" spans="1:14" x14ac:dyDescent="0.3">
      <c r="A244">
        <v>3.6867000000000001</v>
      </c>
      <c r="B244">
        <v>53.230800000000002</v>
      </c>
      <c r="C244">
        <f t="shared" si="9"/>
        <v>53.438459999999999</v>
      </c>
      <c r="D244">
        <v>0.7050909090909091</v>
      </c>
      <c r="E244">
        <f t="shared" si="10"/>
        <v>3.9785307114478927</v>
      </c>
      <c r="I244" s="24">
        <f t="shared" si="11"/>
        <v>0.71744584466873285</v>
      </c>
      <c r="N244" s="30">
        <v>41785.433333333334</v>
      </c>
    </row>
    <row r="245" spans="1:14" x14ac:dyDescent="0.3">
      <c r="A245">
        <v>3.7019000000000002</v>
      </c>
      <c r="B245">
        <v>53.115400000000001</v>
      </c>
      <c r="C245">
        <f t="shared" si="9"/>
        <v>53.092319999999994</v>
      </c>
      <c r="D245">
        <v>0.70484848484848484</v>
      </c>
      <c r="E245">
        <f t="shared" si="10"/>
        <v>3.9720322850192038</v>
      </c>
      <c r="I245" s="24">
        <f t="shared" si="11"/>
        <v>0.71154042364540704</v>
      </c>
      <c r="N245" s="30">
        <v>41783.4</v>
      </c>
    </row>
    <row r="246" spans="1:14" x14ac:dyDescent="0.3">
      <c r="A246">
        <v>3.7172000000000001</v>
      </c>
      <c r="B246">
        <v>53.076900000000002</v>
      </c>
      <c r="C246">
        <f t="shared" si="9"/>
        <v>53.0077</v>
      </c>
      <c r="D246">
        <v>0.70460606060606057</v>
      </c>
      <c r="E246">
        <f t="shared" si="10"/>
        <v>3.970437186018434</v>
      </c>
      <c r="I246" s="24">
        <f t="shared" si="11"/>
        <v>0.71028268642709058</v>
      </c>
      <c r="N246" s="30">
        <v>41781.366666666669</v>
      </c>
    </row>
    <row r="247" spans="1:14" x14ac:dyDescent="0.3">
      <c r="A247">
        <v>3.7324000000000002</v>
      </c>
      <c r="B247">
        <v>52.923099999999998</v>
      </c>
      <c r="C247">
        <f t="shared" si="9"/>
        <v>52.876920000000005</v>
      </c>
      <c r="D247">
        <v>0.7043636363636363</v>
      </c>
      <c r="E247">
        <f t="shared" si="10"/>
        <v>3.9679669487639129</v>
      </c>
      <c r="I247" s="24">
        <f t="shared" si="11"/>
        <v>0.70820569843077608</v>
      </c>
      <c r="N247" s="30">
        <v>41779.333333333336</v>
      </c>
    </row>
    <row r="248" spans="1:14" x14ac:dyDescent="0.3">
      <c r="A248">
        <v>3.7475999999999998</v>
      </c>
      <c r="B248">
        <v>52.692300000000003</v>
      </c>
      <c r="C248">
        <f t="shared" si="9"/>
        <v>52.723079999999996</v>
      </c>
      <c r="D248">
        <v>0.70412121212121215</v>
      </c>
      <c r="E248">
        <f t="shared" si="10"/>
        <v>3.9650533103390515</v>
      </c>
      <c r="I248" s="24">
        <f t="shared" si="11"/>
        <v>0.70572019311391143</v>
      </c>
      <c r="N248" s="30">
        <v>41777.300000000003</v>
      </c>
    </row>
    <row r="249" spans="1:14" x14ac:dyDescent="0.3">
      <c r="A249">
        <v>3.7629000000000001</v>
      </c>
      <c r="B249">
        <v>52.576900000000002</v>
      </c>
      <c r="C249">
        <f t="shared" si="9"/>
        <v>52.761540000000004</v>
      </c>
      <c r="D249">
        <v>0.70387878787878777</v>
      </c>
      <c r="E249">
        <f t="shared" si="10"/>
        <v>3.9657825162025082</v>
      </c>
      <c r="I249" s="24">
        <f t="shared" si="11"/>
        <v>0.70664557824688279</v>
      </c>
      <c r="N249" s="30">
        <v>41775.266666666663</v>
      </c>
    </row>
    <row r="250" spans="1:14" x14ac:dyDescent="0.3">
      <c r="A250">
        <v>3.7780999999999998</v>
      </c>
      <c r="B250">
        <v>52.346200000000003</v>
      </c>
      <c r="C250">
        <f t="shared" ref="C250:C313" si="12">AVERAGE(B248:B252)</f>
        <v>52.823080000000004</v>
      </c>
      <c r="D250">
        <v>0.70363636363636362</v>
      </c>
      <c r="E250">
        <f t="shared" ref="E250:E313" si="13">LN(C250)</f>
        <v>3.9669482164146919</v>
      </c>
      <c r="I250" s="24">
        <f t="shared" ref="I250:I313" si="14">(0.0026*(EXP(1.3248*E250)))/D250</f>
        <v>0.70798154525526291</v>
      </c>
      <c r="N250" s="30">
        <v>41773.23333333333</v>
      </c>
    </row>
    <row r="251" spans="1:14" x14ac:dyDescent="0.3">
      <c r="A251">
        <v>3.7932999999999999</v>
      </c>
      <c r="B251">
        <v>53.269199999999998</v>
      </c>
      <c r="C251">
        <f t="shared" si="12"/>
        <v>52.976919999999993</v>
      </c>
      <c r="D251">
        <v>0.70339393939393935</v>
      </c>
      <c r="E251">
        <f t="shared" si="13"/>
        <v>3.9698563470086725</v>
      </c>
      <c r="I251" s="24">
        <f t="shared" si="14"/>
        <v>0.71095938804316727</v>
      </c>
      <c r="N251" s="30">
        <v>41771.199999999997</v>
      </c>
    </row>
    <row r="252" spans="1:14" x14ac:dyDescent="0.3">
      <c r="A252">
        <v>3.8086000000000002</v>
      </c>
      <c r="B252">
        <v>53.230800000000002</v>
      </c>
      <c r="C252">
        <f t="shared" si="12"/>
        <v>53.223080000000003</v>
      </c>
      <c r="D252">
        <v>0.70315151515151508</v>
      </c>
      <c r="E252">
        <f t="shared" si="13"/>
        <v>3.9744921368550497</v>
      </c>
      <c r="I252" s="24">
        <f t="shared" si="14"/>
        <v>0.71558580275212214</v>
      </c>
      <c r="N252" s="30">
        <v>41769.166666666664</v>
      </c>
    </row>
    <row r="253" spans="1:14" x14ac:dyDescent="0.3">
      <c r="A253">
        <v>3.8237999999999999</v>
      </c>
      <c r="B253">
        <v>53.461500000000001</v>
      </c>
      <c r="C253">
        <f t="shared" si="12"/>
        <v>53.592300000000002</v>
      </c>
      <c r="D253">
        <v>0.70290909090909082</v>
      </c>
      <c r="E253">
        <f t="shared" si="13"/>
        <v>3.9814054010407238</v>
      </c>
      <c r="I253" s="24">
        <f t="shared" si="14"/>
        <v>0.72241880408245507</v>
      </c>
      <c r="N253" s="30">
        <v>41767.133333333331</v>
      </c>
    </row>
    <row r="254" spans="1:14" x14ac:dyDescent="0.3">
      <c r="A254">
        <v>3.839</v>
      </c>
      <c r="B254">
        <v>53.807699999999997</v>
      </c>
      <c r="C254">
        <f t="shared" si="12"/>
        <v>53.746159999999996</v>
      </c>
      <c r="D254">
        <v>0.70266666666666666</v>
      </c>
      <c r="E254">
        <f t="shared" si="13"/>
        <v>3.9842722225952159</v>
      </c>
      <c r="I254" s="24">
        <f t="shared" si="14"/>
        <v>0.72541792968802776</v>
      </c>
      <c r="N254" s="30">
        <v>41765.1</v>
      </c>
    </row>
    <row r="255" spans="1:14" x14ac:dyDescent="0.3">
      <c r="A255">
        <v>3.8542999999999998</v>
      </c>
      <c r="B255">
        <v>54.192300000000003</v>
      </c>
      <c r="C255">
        <f t="shared" si="12"/>
        <v>53.738459999999996</v>
      </c>
      <c r="D255">
        <v>0.7024242424242424</v>
      </c>
      <c r="E255">
        <f t="shared" si="13"/>
        <v>3.9841289462825085</v>
      </c>
      <c r="I255" s="24">
        <f t="shared" si="14"/>
        <v>0.72553056181836306</v>
      </c>
      <c r="N255" s="30">
        <v>41763.066666666666</v>
      </c>
    </row>
    <row r="256" spans="1:14" x14ac:dyDescent="0.3">
      <c r="A256">
        <v>3.8694999999999999</v>
      </c>
      <c r="B256">
        <v>54.038499999999999</v>
      </c>
      <c r="C256">
        <f t="shared" si="12"/>
        <v>53.55386</v>
      </c>
      <c r="D256">
        <v>0.70218181818181813</v>
      </c>
      <c r="E256">
        <f t="shared" si="13"/>
        <v>3.9806878764621629</v>
      </c>
      <c r="I256" s="24">
        <f t="shared" si="14"/>
        <v>0.72247993790578668</v>
      </c>
      <c r="N256" s="30">
        <v>41761.033333333333</v>
      </c>
    </row>
    <row r="257" spans="1:14" x14ac:dyDescent="0.3">
      <c r="A257">
        <v>3.8847999999999998</v>
      </c>
      <c r="B257">
        <v>53.192300000000003</v>
      </c>
      <c r="C257">
        <f t="shared" si="12"/>
        <v>53.084619999999994</v>
      </c>
      <c r="D257">
        <v>0.70193939393939386</v>
      </c>
      <c r="E257">
        <f t="shared" si="13"/>
        <v>3.9718872441089368</v>
      </c>
      <c r="I257" s="24">
        <f t="shared" si="14"/>
        <v>0.71435202862452951</v>
      </c>
      <c r="N257" s="30">
        <v>41759</v>
      </c>
    </row>
    <row r="258" spans="1:14" x14ac:dyDescent="0.3">
      <c r="A258">
        <v>3.9</v>
      </c>
      <c r="B258">
        <v>52.538499999999999</v>
      </c>
      <c r="C258">
        <f t="shared" si="12"/>
        <v>52.446159999999999</v>
      </c>
      <c r="D258">
        <v>0.70169696969696971</v>
      </c>
      <c r="E258">
        <f t="shared" si="13"/>
        <v>3.9597871195787215</v>
      </c>
      <c r="I258" s="24">
        <f t="shared" si="14"/>
        <v>0.70323495688745885</v>
      </c>
      <c r="N258" s="30">
        <v>41756.966666666667</v>
      </c>
    </row>
    <row r="259" spans="1:14" x14ac:dyDescent="0.3">
      <c r="A259">
        <v>3.9152</v>
      </c>
      <c r="B259">
        <v>51.461500000000001</v>
      </c>
      <c r="C259">
        <f t="shared" si="12"/>
        <v>51.723079999999996</v>
      </c>
      <c r="D259">
        <v>0.70145454545454533</v>
      </c>
      <c r="E259">
        <f t="shared" si="13"/>
        <v>3.9459041035613218</v>
      </c>
      <c r="I259" s="24">
        <f t="shared" si="14"/>
        <v>0.69065773258444152</v>
      </c>
      <c r="N259" s="30">
        <v>41754.933333333334</v>
      </c>
    </row>
    <row r="260" spans="1:14" x14ac:dyDescent="0.3">
      <c r="A260">
        <v>3.9304999999999999</v>
      </c>
      <c r="B260">
        <v>51</v>
      </c>
      <c r="C260">
        <f t="shared" si="12"/>
        <v>51.107700000000001</v>
      </c>
      <c r="D260">
        <v>0.70121212121212118</v>
      </c>
      <c r="E260">
        <f t="shared" si="13"/>
        <v>3.9339351707893315</v>
      </c>
      <c r="I260" s="24">
        <f t="shared" si="14"/>
        <v>0.68002774512356723</v>
      </c>
      <c r="N260" s="30">
        <v>41752.9</v>
      </c>
    </row>
    <row r="261" spans="1:14" x14ac:dyDescent="0.3">
      <c r="A261">
        <v>3.9457</v>
      </c>
      <c r="B261">
        <v>50.423099999999998</v>
      </c>
      <c r="C261">
        <f t="shared" si="12"/>
        <v>50.52308</v>
      </c>
      <c r="D261">
        <v>0.70096969696969691</v>
      </c>
      <c r="E261">
        <f t="shared" si="13"/>
        <v>3.9224302615780196</v>
      </c>
      <c r="I261" s="24">
        <f t="shared" si="14"/>
        <v>0.66997317665244915</v>
      </c>
      <c r="N261" s="30">
        <v>41750.866666666669</v>
      </c>
    </row>
    <row r="262" spans="1:14" x14ac:dyDescent="0.3">
      <c r="A262">
        <v>3.9609000000000001</v>
      </c>
      <c r="B262">
        <v>50.115400000000001</v>
      </c>
      <c r="C262">
        <f t="shared" si="12"/>
        <v>50.03848</v>
      </c>
      <c r="D262">
        <v>0.70072727272727264</v>
      </c>
      <c r="E262">
        <f t="shared" si="13"/>
        <v>3.9127923094379189</v>
      </c>
      <c r="I262" s="24">
        <f t="shared" si="14"/>
        <v>0.66170194394447235</v>
      </c>
      <c r="N262" s="30">
        <v>41748.833333333336</v>
      </c>
    </row>
    <row r="263" spans="1:14" x14ac:dyDescent="0.3">
      <c r="A263">
        <v>3.9762</v>
      </c>
      <c r="B263">
        <v>49.615400000000001</v>
      </c>
      <c r="C263">
        <f t="shared" si="12"/>
        <v>49.500019999999992</v>
      </c>
      <c r="D263">
        <v>0.70048484848484838</v>
      </c>
      <c r="E263">
        <f t="shared" si="13"/>
        <v>3.9019730736149669</v>
      </c>
      <c r="I263" s="24">
        <f t="shared" si="14"/>
        <v>0.65251094693206269</v>
      </c>
      <c r="N263" s="30">
        <v>41746.800000000003</v>
      </c>
    </row>
    <row r="264" spans="1:14" x14ac:dyDescent="0.3">
      <c r="A264">
        <v>3.9914000000000001</v>
      </c>
      <c r="B264">
        <v>49.038499999999999</v>
      </c>
      <c r="C264">
        <f t="shared" si="12"/>
        <v>49.000019999999999</v>
      </c>
      <c r="D264">
        <v>0.70024242424242422</v>
      </c>
      <c r="E264">
        <f t="shared" si="13"/>
        <v>3.8918207062738084</v>
      </c>
      <c r="I264" s="24">
        <f t="shared" si="14"/>
        <v>0.64401640555646056</v>
      </c>
      <c r="N264" s="30">
        <v>41744.766666666663</v>
      </c>
    </row>
    <row r="265" spans="1:14" x14ac:dyDescent="0.3">
      <c r="A265">
        <v>4.0065999999999997</v>
      </c>
      <c r="B265">
        <v>48.307699999999997</v>
      </c>
      <c r="C265">
        <f t="shared" si="12"/>
        <v>48.123100000000001</v>
      </c>
      <c r="D265" s="8">
        <v>0.7</v>
      </c>
      <c r="E265">
        <f t="shared" si="13"/>
        <v>3.8737623113090915</v>
      </c>
      <c r="I265" s="24">
        <f t="shared" si="14"/>
        <v>0.62900971327415744</v>
      </c>
      <c r="N265" s="30">
        <v>41742.73333333333</v>
      </c>
    </row>
    <row r="266" spans="1:14" x14ac:dyDescent="0.3">
      <c r="A266">
        <v>4.0218999999999996</v>
      </c>
      <c r="B266">
        <v>47.923099999999998</v>
      </c>
      <c r="C266">
        <f t="shared" si="12"/>
        <v>47.246179999999995</v>
      </c>
      <c r="D266">
        <v>0.70012121212121214</v>
      </c>
      <c r="E266">
        <f t="shared" si="13"/>
        <v>3.855371804110646</v>
      </c>
      <c r="I266" s="24">
        <f t="shared" si="14"/>
        <v>0.61376358290458954</v>
      </c>
      <c r="N266" s="30">
        <v>41740.699999999997</v>
      </c>
    </row>
    <row r="267" spans="1:14" x14ac:dyDescent="0.3">
      <c r="A267">
        <v>4.0370999999999997</v>
      </c>
      <c r="B267">
        <v>45.730800000000002</v>
      </c>
      <c r="C267">
        <f t="shared" si="12"/>
        <v>46.292319999999997</v>
      </c>
      <c r="D267">
        <v>0.70024242424242433</v>
      </c>
      <c r="E267">
        <f t="shared" si="13"/>
        <v>3.8349760726034323</v>
      </c>
      <c r="I267" s="24">
        <f t="shared" si="14"/>
        <v>0.59729816618529485</v>
      </c>
      <c r="N267" s="30">
        <v>41738.666666666664</v>
      </c>
    </row>
    <row r="268" spans="1:14" x14ac:dyDescent="0.3">
      <c r="A268">
        <v>4.0522999999999998</v>
      </c>
      <c r="B268">
        <v>45.230800000000002</v>
      </c>
      <c r="C268">
        <f t="shared" si="12"/>
        <v>45.307700000000004</v>
      </c>
      <c r="D268">
        <v>0.70036363636363641</v>
      </c>
      <c r="E268">
        <f t="shared" si="13"/>
        <v>3.8134769959693227</v>
      </c>
      <c r="I268" s="24">
        <f t="shared" si="14"/>
        <v>0.58042544911301885</v>
      </c>
      <c r="N268" s="30">
        <v>41736.633333333331</v>
      </c>
    </row>
    <row r="269" spans="1:14" x14ac:dyDescent="0.3">
      <c r="A269">
        <v>4.0675999999999997</v>
      </c>
      <c r="B269">
        <v>44.269199999999998</v>
      </c>
      <c r="C269">
        <f t="shared" si="12"/>
        <v>44.176919999999996</v>
      </c>
      <c r="D269">
        <v>0.70048484848484849</v>
      </c>
      <c r="E269">
        <f t="shared" si="13"/>
        <v>3.7882024807587027</v>
      </c>
      <c r="I269" s="24">
        <f t="shared" si="14"/>
        <v>0.56121531329126062</v>
      </c>
      <c r="N269" s="30">
        <v>41734.6</v>
      </c>
    </row>
    <row r="270" spans="1:14" x14ac:dyDescent="0.3">
      <c r="A270">
        <v>4.0827999999999998</v>
      </c>
      <c r="B270">
        <v>43.384599999999999</v>
      </c>
      <c r="C270">
        <f t="shared" si="12"/>
        <v>43.192300000000003</v>
      </c>
      <c r="D270">
        <v>0.70060606060606057</v>
      </c>
      <c r="E270">
        <f t="shared" si="13"/>
        <v>3.7656622386225553</v>
      </c>
      <c r="I270" s="24">
        <f t="shared" si="14"/>
        <v>0.54461019292551172</v>
      </c>
      <c r="N270" s="30">
        <v>41732.566666666666</v>
      </c>
    </row>
    <row r="271" spans="1:14" x14ac:dyDescent="0.3">
      <c r="A271">
        <v>4.0979999999999999</v>
      </c>
      <c r="B271">
        <v>42.269199999999998</v>
      </c>
      <c r="C271">
        <f t="shared" si="12"/>
        <v>41.96152</v>
      </c>
      <c r="D271">
        <v>0.70072727272727275</v>
      </c>
      <c r="E271">
        <f t="shared" si="13"/>
        <v>3.7367530078481557</v>
      </c>
      <c r="I271" s="24">
        <f t="shared" si="14"/>
        <v>0.5240558968820821</v>
      </c>
      <c r="N271" s="30">
        <v>41730.533333333333</v>
      </c>
    </row>
    <row r="272" spans="1:14" x14ac:dyDescent="0.3">
      <c r="A272">
        <v>4.1132999999999997</v>
      </c>
      <c r="B272">
        <v>40.807699999999997</v>
      </c>
      <c r="C272">
        <f t="shared" si="12"/>
        <v>40.707679999999996</v>
      </c>
      <c r="D272">
        <v>0.70084848484848483</v>
      </c>
      <c r="E272">
        <f t="shared" si="13"/>
        <v>3.7064167724360586</v>
      </c>
      <c r="I272" s="24">
        <f t="shared" si="14"/>
        <v>0.50332492812053908</v>
      </c>
      <c r="N272" s="30">
        <v>41728.5</v>
      </c>
    </row>
    <row r="273" spans="1:16" x14ac:dyDescent="0.3">
      <c r="A273">
        <v>4.1284999999999998</v>
      </c>
      <c r="B273">
        <v>39.076900000000002</v>
      </c>
      <c r="C273">
        <f t="shared" si="12"/>
        <v>39.161519999999996</v>
      </c>
      <c r="D273">
        <v>0.70096969696969702</v>
      </c>
      <c r="E273">
        <f t="shared" si="13"/>
        <v>3.6676946320264889</v>
      </c>
      <c r="I273" s="24">
        <f t="shared" si="14"/>
        <v>0.47807322670722802</v>
      </c>
      <c r="N273" s="30">
        <v>41726.466666666667</v>
      </c>
    </row>
    <row r="274" spans="1:16" x14ac:dyDescent="0.3">
      <c r="A274">
        <v>4.1436999999999999</v>
      </c>
      <c r="B274">
        <v>38</v>
      </c>
      <c r="C274">
        <f t="shared" si="12"/>
        <v>37.769219999999997</v>
      </c>
      <c r="D274">
        <v>0.7010909090909091</v>
      </c>
      <c r="E274">
        <f t="shared" si="13"/>
        <v>3.6314944852005602</v>
      </c>
      <c r="I274" s="24">
        <f t="shared" si="14"/>
        <v>0.45560812020302344</v>
      </c>
      <c r="N274" s="30">
        <v>41724.433333333334</v>
      </c>
    </row>
    <row r="275" spans="1:16" x14ac:dyDescent="0.3">
      <c r="A275">
        <v>4.1589999999999998</v>
      </c>
      <c r="B275">
        <v>35.653799999999997</v>
      </c>
      <c r="C275">
        <f t="shared" si="12"/>
        <v>36.569219999999994</v>
      </c>
      <c r="D275">
        <v>0.70121212121212129</v>
      </c>
      <c r="E275">
        <f t="shared" si="13"/>
        <v>3.5992069029756619</v>
      </c>
      <c r="I275" s="24">
        <f t="shared" si="14"/>
        <v>0.43645513643970263</v>
      </c>
      <c r="N275" s="30">
        <v>41722.400000000001</v>
      </c>
    </row>
    <row r="276" spans="1:16" x14ac:dyDescent="0.3">
      <c r="A276">
        <v>4.1741999999999999</v>
      </c>
      <c r="B276">
        <v>35.307699999999997</v>
      </c>
      <c r="C276">
        <f t="shared" si="12"/>
        <v>35.653839999999995</v>
      </c>
      <c r="D276">
        <v>0.70133333333333336</v>
      </c>
      <c r="E276">
        <f t="shared" si="13"/>
        <v>3.5738568549445739</v>
      </c>
      <c r="I276" s="24">
        <f t="shared" si="14"/>
        <v>0.42196779681136837</v>
      </c>
      <c r="N276" s="30">
        <v>41720.366666666669</v>
      </c>
    </row>
    <row r="277" spans="1:16" x14ac:dyDescent="0.3">
      <c r="A277">
        <v>4.1894</v>
      </c>
      <c r="B277">
        <v>34.807699999999997</v>
      </c>
      <c r="C277">
        <f t="shared" si="12"/>
        <v>34.938460000000006</v>
      </c>
      <c r="D277">
        <v>0.70145454545454544</v>
      </c>
      <c r="E277">
        <f t="shared" si="13"/>
        <v>3.553588228176455</v>
      </c>
      <c r="I277" s="24">
        <f t="shared" si="14"/>
        <v>0.41071695671886621</v>
      </c>
      <c r="N277" s="30">
        <v>41718.333333333336</v>
      </c>
    </row>
    <row r="278" spans="1:16" x14ac:dyDescent="0.3">
      <c r="A278">
        <v>4.2046999999999999</v>
      </c>
      <c r="B278">
        <v>34.5</v>
      </c>
      <c r="C278">
        <f t="shared" si="12"/>
        <v>34.692320000000002</v>
      </c>
      <c r="D278">
        <v>0.70157575757575752</v>
      </c>
      <c r="E278">
        <f t="shared" si="13"/>
        <v>3.5465183368082629</v>
      </c>
      <c r="I278" s="24">
        <f t="shared" si="14"/>
        <v>0.40681776332363456</v>
      </c>
      <c r="N278" s="30">
        <v>41716.300000000003</v>
      </c>
    </row>
    <row r="279" spans="1:16" x14ac:dyDescent="0.3">
      <c r="A279">
        <v>4.2199</v>
      </c>
      <c r="B279">
        <v>34.423099999999998</v>
      </c>
      <c r="C279">
        <f t="shared" si="12"/>
        <v>34.453859999999999</v>
      </c>
      <c r="D279">
        <v>0.70169696969696971</v>
      </c>
      <c r="E279">
        <f t="shared" si="13"/>
        <v>3.5396210376270556</v>
      </c>
      <c r="I279" s="24">
        <f t="shared" si="14"/>
        <v>0.40304774582659963</v>
      </c>
      <c r="N279" s="30">
        <v>41714.266666666663</v>
      </c>
    </row>
    <row r="280" spans="1:16" x14ac:dyDescent="0.3">
      <c r="A280">
        <v>4.2351000000000001</v>
      </c>
      <c r="B280">
        <v>34.423099999999998</v>
      </c>
      <c r="C280">
        <f t="shared" si="12"/>
        <v>34.292320000000004</v>
      </c>
      <c r="D280">
        <v>0.7018181818181819</v>
      </c>
      <c r="E280">
        <f t="shared" si="13"/>
        <v>3.5349214223955063</v>
      </c>
      <c r="I280" s="24">
        <f t="shared" si="14"/>
        <v>0.40047696697429302</v>
      </c>
      <c r="N280" s="30">
        <v>41712.23333333333</v>
      </c>
    </row>
    <row r="281" spans="1:16" x14ac:dyDescent="0.3">
      <c r="A281">
        <v>4.2504</v>
      </c>
      <c r="B281">
        <v>34.115400000000001</v>
      </c>
      <c r="C281">
        <f t="shared" si="12"/>
        <v>34.107700000000001</v>
      </c>
      <c r="D281">
        <v>0.70193939393939397</v>
      </c>
      <c r="E281">
        <f t="shared" si="13"/>
        <v>3.5295231652506445</v>
      </c>
      <c r="I281" s="24">
        <f t="shared" si="14"/>
        <v>0.39755446614429835</v>
      </c>
      <c r="N281" s="30">
        <v>41710.199999999997</v>
      </c>
    </row>
    <row r="282" spans="1:16" x14ac:dyDescent="0.3">
      <c r="A282">
        <v>4.2656000000000001</v>
      </c>
      <c r="B282">
        <v>34</v>
      </c>
      <c r="C282">
        <f t="shared" si="12"/>
        <v>33.830779999999997</v>
      </c>
      <c r="D282">
        <v>0.70206060606060605</v>
      </c>
      <c r="E282">
        <f t="shared" si="13"/>
        <v>3.5213710389855852</v>
      </c>
      <c r="I282" s="24">
        <f t="shared" si="14"/>
        <v>0.39321610362566967</v>
      </c>
      <c r="N282" s="30">
        <v>41708.166666666664</v>
      </c>
    </row>
    <row r="283" spans="1:16" x14ac:dyDescent="0.3">
      <c r="A283">
        <v>4.2808000000000002</v>
      </c>
      <c r="B283">
        <v>33.576900000000002</v>
      </c>
      <c r="C283">
        <f t="shared" si="12"/>
        <v>33.415399999999998</v>
      </c>
      <c r="D283">
        <v>0.70218181818181824</v>
      </c>
      <c r="E283">
        <f t="shared" si="13"/>
        <v>3.5090168715632393</v>
      </c>
      <c r="I283" s="24">
        <f t="shared" si="14"/>
        <v>0.38676601768091623</v>
      </c>
      <c r="N283" s="30">
        <v>41706.133333333331</v>
      </c>
    </row>
    <row r="284" spans="1:16" x14ac:dyDescent="0.3">
      <c r="A284">
        <v>4.2961</v>
      </c>
      <c r="B284">
        <v>33.038499999999999</v>
      </c>
      <c r="C284">
        <f t="shared" si="12"/>
        <v>32.884619999999998</v>
      </c>
      <c r="D284">
        <v>0.70230303030303032</v>
      </c>
      <c r="E284">
        <f t="shared" si="13"/>
        <v>3.4930050712661456</v>
      </c>
      <c r="I284" s="24">
        <f t="shared" si="14"/>
        <v>0.3785828216665128</v>
      </c>
      <c r="N284" s="30">
        <v>41704.1</v>
      </c>
    </row>
    <row r="285" spans="1:16" x14ac:dyDescent="0.3">
      <c r="A285">
        <v>4.3113000000000001</v>
      </c>
      <c r="B285">
        <v>32.346200000000003</v>
      </c>
      <c r="C285">
        <f t="shared" si="12"/>
        <v>32.361540000000005</v>
      </c>
      <c r="D285">
        <v>0.7024242424242424</v>
      </c>
      <c r="E285">
        <f t="shared" si="13"/>
        <v>3.4769706806747522</v>
      </c>
      <c r="I285" s="24">
        <f t="shared" si="14"/>
        <v>0.37056168656900912</v>
      </c>
      <c r="N285" s="30">
        <v>41702.066666666666</v>
      </c>
    </row>
    <row r="286" spans="1:16" x14ac:dyDescent="0.3">
      <c r="A286">
        <v>4.3265000000000002</v>
      </c>
      <c r="B286">
        <v>31.461500000000001</v>
      </c>
      <c r="C286">
        <f t="shared" si="12"/>
        <v>31.97692</v>
      </c>
      <c r="D286">
        <v>0.70254545454545458</v>
      </c>
      <c r="E286">
        <f t="shared" si="13"/>
        <v>3.4650143925738126</v>
      </c>
      <c r="I286" s="24">
        <f t="shared" si="14"/>
        <v>0.3646754165411763</v>
      </c>
      <c r="N286" s="30">
        <v>41700.033333333333</v>
      </c>
    </row>
    <row r="287" spans="1:16" x14ac:dyDescent="0.3">
      <c r="A287">
        <v>4.3418000000000001</v>
      </c>
      <c r="B287">
        <v>31.384599999999999</v>
      </c>
      <c r="C287">
        <f t="shared" si="12"/>
        <v>31.830759999999998</v>
      </c>
      <c r="D287">
        <v>0.70266666666666677</v>
      </c>
      <c r="E287">
        <f t="shared" si="13"/>
        <v>3.4604331178546972</v>
      </c>
      <c r="I287" s="25">
        <f t="shared" si="14"/>
        <v>0.36240627804783715</v>
      </c>
      <c r="N287" s="30">
        <v>41698</v>
      </c>
    </row>
    <row r="288" spans="1:16" x14ac:dyDescent="0.3">
      <c r="A288">
        <v>4.3570000000000002</v>
      </c>
      <c r="B288">
        <v>31.6538</v>
      </c>
      <c r="C288">
        <f t="shared" si="12"/>
        <v>31.930759999999999</v>
      </c>
      <c r="D288">
        <v>0.70278787878787885</v>
      </c>
      <c r="E288">
        <f t="shared" si="13"/>
        <v>3.4635698085104476</v>
      </c>
      <c r="I288" s="24">
        <f t="shared" si="14"/>
        <v>0.36385262060126089</v>
      </c>
      <c r="N288" s="30">
        <v>41692.348837209298</v>
      </c>
      <c r="P288" s="24"/>
    </row>
    <row r="289" spans="1:18" x14ac:dyDescent="0.3">
      <c r="A289">
        <v>4.3722000000000003</v>
      </c>
      <c r="B289">
        <v>32.307699999999997</v>
      </c>
      <c r="C289">
        <f t="shared" si="12"/>
        <v>32.246159999999996</v>
      </c>
      <c r="D289">
        <v>0.70290909090909093</v>
      </c>
      <c r="E289">
        <f t="shared" si="13"/>
        <v>3.473398966384972</v>
      </c>
      <c r="I289" s="24">
        <f t="shared" si="14"/>
        <v>0.36855800481279583</v>
      </c>
      <c r="N289" s="30">
        <v>41686.697674418603</v>
      </c>
      <c r="P289" s="24"/>
    </row>
    <row r="290" spans="1:18" x14ac:dyDescent="0.3">
      <c r="A290">
        <v>4.3875000000000002</v>
      </c>
      <c r="B290">
        <v>32.846200000000003</v>
      </c>
      <c r="C290">
        <f t="shared" si="12"/>
        <v>32.569240000000001</v>
      </c>
      <c r="D290">
        <v>0.70303030303030301</v>
      </c>
      <c r="E290">
        <f t="shared" si="13"/>
        <v>3.4833682846591216</v>
      </c>
      <c r="I290" s="24">
        <f t="shared" si="14"/>
        <v>0.37339357766127573</v>
      </c>
      <c r="N290" s="30">
        <v>41681.046511627901</v>
      </c>
      <c r="P290" s="24"/>
    </row>
    <row r="291" spans="1:18" x14ac:dyDescent="0.3">
      <c r="A291">
        <v>4.4027000000000003</v>
      </c>
      <c r="B291">
        <v>33.038499999999999</v>
      </c>
      <c r="C291">
        <f t="shared" si="12"/>
        <v>32.846179999999997</v>
      </c>
      <c r="D291">
        <v>0.70315151515151519</v>
      </c>
      <c r="E291">
        <f t="shared" si="13"/>
        <v>3.4918354520196981</v>
      </c>
      <c r="I291" s="24">
        <f t="shared" si="14"/>
        <v>0.37754053323228759</v>
      </c>
      <c r="N291" s="30">
        <v>41675.395348837206</v>
      </c>
      <c r="P291" s="24"/>
    </row>
    <row r="292" spans="1:18" x14ac:dyDescent="0.3">
      <c r="A292">
        <v>4.4180000000000001</v>
      </c>
      <c r="B292">
        <v>33</v>
      </c>
      <c r="C292">
        <f t="shared" si="12"/>
        <v>33.10772</v>
      </c>
      <c r="D292">
        <v>0.70327272727272727</v>
      </c>
      <c r="E292">
        <f t="shared" si="13"/>
        <v>3.499766487816915</v>
      </c>
      <c r="I292" s="24">
        <f t="shared" si="14"/>
        <v>0.38146252023305866</v>
      </c>
      <c r="N292" s="30">
        <v>41669.744186046511</v>
      </c>
      <c r="P292" s="24"/>
    </row>
    <row r="293" spans="1:18" x14ac:dyDescent="0.3">
      <c r="A293">
        <v>4.4332000000000003</v>
      </c>
      <c r="B293">
        <v>33.038499999999999</v>
      </c>
      <c r="C293">
        <f t="shared" si="12"/>
        <v>33.446179999999998</v>
      </c>
      <c r="D293">
        <v>0.70339393939393946</v>
      </c>
      <c r="E293">
        <f t="shared" si="13"/>
        <v>3.5099375797539332</v>
      </c>
      <c r="I293" s="24">
        <f t="shared" si="14"/>
        <v>0.38657075831442128</v>
      </c>
      <c r="N293" s="30">
        <v>41664.093023255809</v>
      </c>
      <c r="P293" s="24"/>
    </row>
    <row r="294" spans="1:18" x14ac:dyDescent="0.3">
      <c r="A294">
        <v>4.4484000000000004</v>
      </c>
      <c r="B294">
        <v>33.615400000000001</v>
      </c>
      <c r="C294">
        <f t="shared" si="12"/>
        <v>34.06156</v>
      </c>
      <c r="D294">
        <v>0.70351515151515154</v>
      </c>
      <c r="E294">
        <f t="shared" si="13"/>
        <v>3.528169475712402</v>
      </c>
      <c r="I294" s="24">
        <f t="shared" si="14"/>
        <v>0.39595328288235671</v>
      </c>
      <c r="N294" s="30">
        <v>41658.441860465115</v>
      </c>
      <c r="P294" s="24"/>
    </row>
    <row r="295" spans="1:18" x14ac:dyDescent="0.3">
      <c r="A295">
        <v>4.4637000000000002</v>
      </c>
      <c r="B295">
        <v>34.538499999999999</v>
      </c>
      <c r="C295">
        <f t="shared" si="12"/>
        <v>34.969259999999998</v>
      </c>
      <c r="D295">
        <v>0.70363636363636373</v>
      </c>
      <c r="E295">
        <f t="shared" si="13"/>
        <v>3.5544693898562487</v>
      </c>
      <c r="I295" s="24">
        <f t="shared" si="14"/>
        <v>0.40992166394955903</v>
      </c>
      <c r="N295" s="30">
        <v>41652.790697674413</v>
      </c>
      <c r="P295" s="24"/>
    </row>
    <row r="296" spans="1:18" x14ac:dyDescent="0.3">
      <c r="A296">
        <v>4.4789000000000003</v>
      </c>
      <c r="B296">
        <v>36.115400000000001</v>
      </c>
      <c r="C296">
        <f t="shared" si="12"/>
        <v>36.06156</v>
      </c>
      <c r="D296">
        <v>0.7037575757575758</v>
      </c>
      <c r="E296">
        <f t="shared" si="13"/>
        <v>3.5852274780707125</v>
      </c>
      <c r="I296" s="24">
        <f t="shared" si="14"/>
        <v>0.42689673378170512</v>
      </c>
      <c r="N296" s="30">
        <v>41647.139534883718</v>
      </c>
      <c r="P296" s="24"/>
    </row>
    <row r="297" spans="1:18" x14ac:dyDescent="0.3">
      <c r="A297">
        <v>4.4941000000000004</v>
      </c>
      <c r="B297">
        <v>37.538499999999999</v>
      </c>
      <c r="C297">
        <f t="shared" si="12"/>
        <v>37.684640000000002</v>
      </c>
      <c r="D297">
        <v>0.70387878787878788</v>
      </c>
      <c r="E297">
        <f t="shared" si="13"/>
        <v>3.6292525843773085</v>
      </c>
      <c r="I297" s="24">
        <f t="shared" si="14"/>
        <v>0.45245774735411809</v>
      </c>
      <c r="N297" s="30">
        <v>41641.488372093023</v>
      </c>
      <c r="P297" s="24"/>
    </row>
    <row r="298" spans="1:18" x14ac:dyDescent="0.3">
      <c r="A298">
        <v>4.5094000000000003</v>
      </c>
      <c r="B298">
        <v>38.5</v>
      </c>
      <c r="C298">
        <f t="shared" si="12"/>
        <v>39.300020000000004</v>
      </c>
      <c r="D298">
        <v>0.70399999999999996</v>
      </c>
      <c r="E298">
        <f t="shared" si="13"/>
        <v>3.6712250277809386</v>
      </c>
      <c r="I298" s="24">
        <f t="shared" si="14"/>
        <v>0.47824697571694624</v>
      </c>
      <c r="N298" s="30">
        <v>41635.837209302321</v>
      </c>
      <c r="O298">
        <v>2013</v>
      </c>
      <c r="P298" s="24">
        <f>AVERAGE(I298:I405)</f>
        <v>0.61752516082970488</v>
      </c>
      <c r="Q298">
        <f>A405-A298</f>
        <v>1.63</v>
      </c>
      <c r="R298">
        <f>P298*Q298</f>
        <v>1.0065660121524189</v>
      </c>
    </row>
    <row r="299" spans="1:18" x14ac:dyDescent="0.3">
      <c r="A299">
        <v>4.5246000000000004</v>
      </c>
      <c r="B299">
        <v>41.730800000000002</v>
      </c>
      <c r="C299">
        <f t="shared" si="12"/>
        <v>40.792320000000004</v>
      </c>
      <c r="D299">
        <v>0.70412121212121215</v>
      </c>
      <c r="E299">
        <f t="shared" si="13"/>
        <v>3.7084938283975117</v>
      </c>
      <c r="I299" s="24">
        <f t="shared" si="14"/>
        <v>0.50236594600568896</v>
      </c>
      <c r="N299" s="30">
        <v>41630.186046511626</v>
      </c>
      <c r="P299" s="24"/>
    </row>
    <row r="300" spans="1:18" x14ac:dyDescent="0.3">
      <c r="A300">
        <v>4.5397999999999996</v>
      </c>
      <c r="B300">
        <v>42.615400000000001</v>
      </c>
      <c r="C300">
        <f t="shared" si="12"/>
        <v>42.084620000000001</v>
      </c>
      <c r="D300">
        <v>0.70424242424242434</v>
      </c>
      <c r="E300">
        <f t="shared" si="13"/>
        <v>3.7396823532774022</v>
      </c>
      <c r="I300" s="24">
        <f t="shared" si="14"/>
        <v>0.52346766221639418</v>
      </c>
      <c r="N300" s="30">
        <v>41624.534883720924</v>
      </c>
      <c r="P300" s="24"/>
    </row>
    <row r="301" spans="1:18" x14ac:dyDescent="0.3">
      <c r="A301">
        <v>4.5551000000000004</v>
      </c>
      <c r="B301">
        <v>43.576900000000002</v>
      </c>
      <c r="C301">
        <f t="shared" si="12"/>
        <v>43.176920000000003</v>
      </c>
      <c r="D301">
        <v>0.70436363636363641</v>
      </c>
      <c r="E301">
        <f t="shared" si="13"/>
        <v>3.7653060932234754</v>
      </c>
      <c r="I301" s="24">
        <f t="shared" si="14"/>
        <v>0.54144932779518518</v>
      </c>
      <c r="N301" s="30">
        <v>41618.883720930229</v>
      </c>
      <c r="P301" s="24"/>
    </row>
    <row r="302" spans="1:18" x14ac:dyDescent="0.3">
      <c r="A302">
        <v>4.5702999999999996</v>
      </c>
      <c r="B302">
        <v>44</v>
      </c>
      <c r="C302">
        <f t="shared" si="12"/>
        <v>43.638459999999995</v>
      </c>
      <c r="D302">
        <v>0.70448484848484849</v>
      </c>
      <c r="E302">
        <f t="shared" si="13"/>
        <v>3.7759388716162685</v>
      </c>
      <c r="I302" s="24">
        <f t="shared" si="14"/>
        <v>0.54903583729488836</v>
      </c>
      <c r="N302" s="30">
        <v>41613.232558139534</v>
      </c>
      <c r="P302" s="24"/>
    </row>
    <row r="303" spans="1:18" x14ac:dyDescent="0.3">
      <c r="A303">
        <v>4.5854999999999997</v>
      </c>
      <c r="B303">
        <v>43.961500000000001</v>
      </c>
      <c r="C303">
        <f t="shared" si="12"/>
        <v>44.046139999999994</v>
      </c>
      <c r="D303">
        <v>0.70460606060606057</v>
      </c>
      <c r="E303">
        <f t="shared" si="13"/>
        <v>3.7852377208468573</v>
      </c>
      <c r="I303" s="24">
        <f t="shared" si="14"/>
        <v>0.55574568538961466</v>
      </c>
      <c r="N303" s="30">
        <v>41607.581395348832</v>
      </c>
      <c r="P303" s="24"/>
    </row>
    <row r="304" spans="1:18" x14ac:dyDescent="0.3">
      <c r="A304">
        <v>4.6007999999999996</v>
      </c>
      <c r="B304">
        <v>44.038499999999999</v>
      </c>
      <c r="C304">
        <f t="shared" si="12"/>
        <v>44.346139999999998</v>
      </c>
      <c r="D304">
        <v>0.70472727272727276</v>
      </c>
      <c r="E304">
        <f t="shared" si="13"/>
        <v>3.7920256700185604</v>
      </c>
      <c r="I304" s="24">
        <f t="shared" si="14"/>
        <v>0.56066941338676546</v>
      </c>
      <c r="N304" s="30">
        <v>41601.930232558138</v>
      </c>
      <c r="P304" s="24"/>
    </row>
    <row r="305" spans="1:16" x14ac:dyDescent="0.3">
      <c r="A305">
        <v>4.6159999999999997</v>
      </c>
      <c r="B305">
        <v>44.653799999999997</v>
      </c>
      <c r="C305">
        <f t="shared" si="12"/>
        <v>44.853839999999998</v>
      </c>
      <c r="D305">
        <v>0.70484848484848484</v>
      </c>
      <c r="E305">
        <f t="shared" si="13"/>
        <v>3.8034092035688278</v>
      </c>
      <c r="I305" s="24">
        <f t="shared" si="14"/>
        <v>0.56909101209387325</v>
      </c>
      <c r="N305" s="30">
        <v>41596.279069767435</v>
      </c>
      <c r="P305" s="24"/>
    </row>
    <row r="306" spans="1:16" x14ac:dyDescent="0.3">
      <c r="A306">
        <v>4.6311999999999998</v>
      </c>
      <c r="B306">
        <v>45.076900000000002</v>
      </c>
      <c r="C306">
        <f t="shared" si="12"/>
        <v>45.392299999999992</v>
      </c>
      <c r="D306">
        <v>0.70496969696969702</v>
      </c>
      <c r="E306">
        <f t="shared" si="13"/>
        <v>3.8153424871387687</v>
      </c>
      <c r="I306" s="24">
        <f t="shared" si="14"/>
        <v>0.5780599783753485</v>
      </c>
      <c r="N306" s="30">
        <v>41590.627906976741</v>
      </c>
      <c r="P306" s="24"/>
    </row>
    <row r="307" spans="1:16" x14ac:dyDescent="0.3">
      <c r="A307">
        <v>4.6464999999999996</v>
      </c>
      <c r="B307">
        <v>46.538499999999999</v>
      </c>
      <c r="C307">
        <f t="shared" si="12"/>
        <v>45.9846</v>
      </c>
      <c r="D307">
        <v>0.7050909090909091</v>
      </c>
      <c r="E307">
        <f t="shared" si="13"/>
        <v>3.8283065578281912</v>
      </c>
      <c r="I307" s="24">
        <f t="shared" si="14"/>
        <v>0.58797269412428876</v>
      </c>
      <c r="N307" s="30">
        <v>41584.976744186046</v>
      </c>
      <c r="P307" s="24"/>
    </row>
    <row r="308" spans="1:16" x14ac:dyDescent="0.3">
      <c r="A308">
        <v>4.6616999999999997</v>
      </c>
      <c r="B308">
        <v>46.653799999999997</v>
      </c>
      <c r="C308">
        <f t="shared" si="12"/>
        <v>46.6</v>
      </c>
      <c r="D308">
        <v>0.70521212121212129</v>
      </c>
      <c r="E308">
        <f t="shared" si="13"/>
        <v>3.8416005411316001</v>
      </c>
      <c r="I308" s="24">
        <f t="shared" si="14"/>
        <v>0.59831686140624196</v>
      </c>
      <c r="N308" s="30">
        <v>41579.325581395344</v>
      </c>
    </row>
    <row r="309" spans="1:16" x14ac:dyDescent="0.3">
      <c r="A309">
        <v>4.6768999999999998</v>
      </c>
      <c r="B309">
        <v>47</v>
      </c>
      <c r="C309">
        <f t="shared" si="12"/>
        <v>47.361539999999998</v>
      </c>
      <c r="D309">
        <v>0.70533333333333337</v>
      </c>
      <c r="E309">
        <f t="shared" si="13"/>
        <v>3.8578105069389794</v>
      </c>
      <c r="I309" s="24">
        <f t="shared" si="14"/>
        <v>0.61119959748822505</v>
      </c>
      <c r="N309" s="30">
        <v>41573.674418604649</v>
      </c>
      <c r="P309" s="24"/>
    </row>
    <row r="310" spans="1:16" x14ac:dyDescent="0.3">
      <c r="A310">
        <v>4.6921999999999997</v>
      </c>
      <c r="B310">
        <v>47.730800000000002</v>
      </c>
      <c r="C310">
        <f t="shared" si="12"/>
        <v>48.038460000000001</v>
      </c>
      <c r="D310">
        <v>0.70545454545454545</v>
      </c>
      <c r="E310">
        <f t="shared" si="13"/>
        <v>3.8720019400784746</v>
      </c>
      <c r="I310" s="24">
        <f t="shared" si="14"/>
        <v>0.62269233583578654</v>
      </c>
      <c r="N310" s="30">
        <v>41568.023255813954</v>
      </c>
      <c r="P310" s="24"/>
    </row>
    <row r="311" spans="1:16" x14ac:dyDescent="0.3">
      <c r="A311">
        <v>4.7073999999999998</v>
      </c>
      <c r="B311">
        <v>48.884599999999999</v>
      </c>
      <c r="C311">
        <f t="shared" si="12"/>
        <v>48.830779999999997</v>
      </c>
      <c r="D311">
        <v>0.70557575757575752</v>
      </c>
      <c r="E311">
        <f t="shared" si="13"/>
        <v>3.888360851732596</v>
      </c>
      <c r="I311" s="24">
        <f t="shared" si="14"/>
        <v>0.6362254829572207</v>
      </c>
      <c r="N311" s="30">
        <v>41562.372093023252</v>
      </c>
      <c r="P311" s="24"/>
    </row>
    <row r="312" spans="1:16" x14ac:dyDescent="0.3">
      <c r="A312">
        <v>4.7225999999999999</v>
      </c>
      <c r="B312">
        <v>49.923099999999998</v>
      </c>
      <c r="C312">
        <f t="shared" si="12"/>
        <v>49.607700000000001</v>
      </c>
      <c r="D312">
        <v>0.70569696969696971</v>
      </c>
      <c r="E312">
        <f t="shared" si="13"/>
        <v>3.9041460636175835</v>
      </c>
      <c r="I312" s="24">
        <f t="shared" si="14"/>
        <v>0.64955889219863283</v>
      </c>
      <c r="N312" s="30">
        <v>41556.720930232557</v>
      </c>
      <c r="P312" s="24"/>
    </row>
    <row r="313" spans="1:16" x14ac:dyDescent="0.3">
      <c r="A313">
        <v>4.7378999999999998</v>
      </c>
      <c r="B313">
        <v>50.615400000000001</v>
      </c>
      <c r="C313">
        <f t="shared" si="12"/>
        <v>50.47692</v>
      </c>
      <c r="D313">
        <v>0.7058181818181819</v>
      </c>
      <c r="E313">
        <f t="shared" si="13"/>
        <v>3.9215162021084375</v>
      </c>
      <c r="I313" s="24">
        <f t="shared" si="14"/>
        <v>0.66456568170757724</v>
      </c>
      <c r="N313" s="30">
        <v>41551.069767441855</v>
      </c>
      <c r="P313" s="24"/>
    </row>
    <row r="314" spans="1:16" x14ac:dyDescent="0.3">
      <c r="A314">
        <v>4.7530999999999999</v>
      </c>
      <c r="B314">
        <v>50.884599999999999</v>
      </c>
      <c r="C314">
        <f t="shared" ref="C314:C377" si="15">AVERAGE(B312:B316)</f>
        <v>51.069240000000001</v>
      </c>
      <c r="D314">
        <v>0.70593939393939398</v>
      </c>
      <c r="E314">
        <f t="shared" ref="E314:E377" si="16">LN(C314)</f>
        <v>3.9331823590136734</v>
      </c>
      <c r="I314" s="24">
        <f t="shared" ref="I314:I377" si="17">(0.0026*(EXP(1.3248*E314)))/D314</f>
        <v>0.67480065660038469</v>
      </c>
      <c r="N314" s="30">
        <v>41545.41860465116</v>
      </c>
      <c r="P314" s="24"/>
    </row>
    <row r="315" spans="1:16" x14ac:dyDescent="0.3">
      <c r="A315">
        <v>4.7683</v>
      </c>
      <c r="B315">
        <v>52.076900000000002</v>
      </c>
      <c r="C315">
        <f t="shared" si="15"/>
        <v>51.376919999999998</v>
      </c>
      <c r="D315">
        <v>0.70606060606060606</v>
      </c>
      <c r="E315">
        <f t="shared" si="16"/>
        <v>3.9391890443808468</v>
      </c>
      <c r="I315" s="24">
        <f t="shared" si="17"/>
        <v>0.68007513989970969</v>
      </c>
      <c r="N315" s="30">
        <v>41539.767441860466</v>
      </c>
      <c r="P315" s="24"/>
    </row>
    <row r="316" spans="1:16" x14ac:dyDescent="0.3">
      <c r="A316">
        <v>4.7835999999999999</v>
      </c>
      <c r="B316">
        <v>51.846200000000003</v>
      </c>
      <c r="C316">
        <f t="shared" si="15"/>
        <v>51.4846</v>
      </c>
      <c r="D316">
        <v>0.70618181818181824</v>
      </c>
      <c r="E316">
        <f t="shared" si="16"/>
        <v>3.9412827338253527</v>
      </c>
      <c r="I316" s="24">
        <f t="shared" si="17"/>
        <v>0.68184704098522597</v>
      </c>
      <c r="N316" s="30">
        <v>41534.116279069764</v>
      </c>
      <c r="P316" s="24"/>
    </row>
    <row r="317" spans="1:16" x14ac:dyDescent="0.3">
      <c r="A317">
        <v>4.7988</v>
      </c>
      <c r="B317">
        <v>51.461500000000001</v>
      </c>
      <c r="C317">
        <f t="shared" si="15"/>
        <v>51.4846</v>
      </c>
      <c r="D317">
        <v>0.70630303030303032</v>
      </c>
      <c r="E317">
        <f t="shared" si="16"/>
        <v>3.9412827338253527</v>
      </c>
      <c r="I317" s="24">
        <f t="shared" si="17"/>
        <v>0.68173002587608145</v>
      </c>
      <c r="N317" s="30">
        <v>41528.465116279069</v>
      </c>
      <c r="P317" s="24"/>
    </row>
    <row r="318" spans="1:16" x14ac:dyDescent="0.3">
      <c r="A318">
        <v>4.8140000000000001</v>
      </c>
      <c r="B318">
        <v>51.153799999999997</v>
      </c>
      <c r="C318">
        <f t="shared" si="15"/>
        <v>51.299980000000005</v>
      </c>
      <c r="D318">
        <v>0.7064242424242424</v>
      </c>
      <c r="E318">
        <f t="shared" si="16"/>
        <v>3.9376903623131003</v>
      </c>
      <c r="I318" s="24">
        <f t="shared" si="17"/>
        <v>0.67837684290987488</v>
      </c>
      <c r="N318" s="30">
        <v>41522.813953488367</v>
      </c>
      <c r="P318" s="24"/>
    </row>
    <row r="319" spans="1:16" x14ac:dyDescent="0.3">
      <c r="A319">
        <v>4.8292999999999999</v>
      </c>
      <c r="B319">
        <v>50.884599999999999</v>
      </c>
      <c r="C319">
        <f t="shared" si="15"/>
        <v>51.246119999999998</v>
      </c>
      <c r="D319">
        <v>0.70654545454545459</v>
      </c>
      <c r="E319">
        <f t="shared" si="16"/>
        <v>3.9366399078355006</v>
      </c>
      <c r="I319" s="24">
        <f t="shared" si="17"/>
        <v>0.6773172239513815</v>
      </c>
      <c r="N319" s="30">
        <v>41517.162790697672</v>
      </c>
    </row>
    <row r="320" spans="1:16" x14ac:dyDescent="0.3">
      <c r="A320">
        <v>4.8445</v>
      </c>
      <c r="B320">
        <v>51.153799999999997</v>
      </c>
      <c r="C320">
        <f t="shared" si="15"/>
        <v>51.338439999999991</v>
      </c>
      <c r="D320">
        <v>0.70666666666666678</v>
      </c>
      <c r="E320">
        <f t="shared" si="16"/>
        <v>3.9384397893171412</v>
      </c>
      <c r="I320" s="24">
        <f t="shared" si="17"/>
        <v>0.67881774714500143</v>
      </c>
      <c r="N320" s="30">
        <v>41511.511627906977</v>
      </c>
    </row>
    <row r="321" spans="1:14" x14ac:dyDescent="0.3">
      <c r="A321">
        <v>4.8597000000000001</v>
      </c>
      <c r="B321">
        <v>51.576900000000002</v>
      </c>
      <c r="C321">
        <f t="shared" si="15"/>
        <v>51.861519999999999</v>
      </c>
      <c r="D321">
        <v>0.70678787878787885</v>
      </c>
      <c r="E321">
        <f t="shared" si="16"/>
        <v>3.9485770893609056</v>
      </c>
      <c r="I321" s="24">
        <f t="shared" si="17"/>
        <v>0.68787770042329821</v>
      </c>
      <c r="N321" s="30">
        <v>41505.860465116275</v>
      </c>
    </row>
    <row r="322" spans="1:14" x14ac:dyDescent="0.3">
      <c r="A322">
        <v>4.875</v>
      </c>
      <c r="B322">
        <v>51.923099999999998</v>
      </c>
      <c r="C322">
        <f t="shared" si="15"/>
        <v>52.530760000000001</v>
      </c>
      <c r="D322">
        <v>0.70690909090909093</v>
      </c>
      <c r="E322">
        <f t="shared" si="16"/>
        <v>3.9613989027843024</v>
      </c>
      <c r="I322" s="24">
        <f t="shared" si="17"/>
        <v>0.69954205728234986</v>
      </c>
      <c r="N322" s="30">
        <v>41500.20930232558</v>
      </c>
    </row>
    <row r="323" spans="1:14" x14ac:dyDescent="0.3">
      <c r="A323">
        <v>4.8902000000000001</v>
      </c>
      <c r="B323">
        <v>53.769199999999998</v>
      </c>
      <c r="C323">
        <f t="shared" si="15"/>
        <v>53.292299999999997</v>
      </c>
      <c r="D323">
        <v>0.70703030303030301</v>
      </c>
      <c r="E323">
        <f t="shared" si="16"/>
        <v>3.9757918554448768</v>
      </c>
      <c r="I323" s="24">
        <f t="shared" si="17"/>
        <v>0.71288651888357091</v>
      </c>
      <c r="N323" s="30">
        <v>41494.558139534878</v>
      </c>
    </row>
    <row r="324" spans="1:14" x14ac:dyDescent="0.3">
      <c r="A324">
        <v>4.9055</v>
      </c>
      <c r="B324">
        <v>54.230800000000002</v>
      </c>
      <c r="C324">
        <f t="shared" si="15"/>
        <v>54.107679999999995</v>
      </c>
      <c r="D324">
        <v>0.7071515151515152</v>
      </c>
      <c r="E324">
        <f t="shared" si="16"/>
        <v>3.9909761351117283</v>
      </c>
      <c r="I324" s="24">
        <f t="shared" si="17"/>
        <v>0.72724757124301365</v>
      </c>
      <c r="N324" s="30">
        <v>41488.906976744183</v>
      </c>
    </row>
    <row r="325" spans="1:14" x14ac:dyDescent="0.3">
      <c r="A325">
        <v>4.9207000000000001</v>
      </c>
      <c r="B325">
        <v>54.961500000000001</v>
      </c>
      <c r="C325">
        <f t="shared" si="15"/>
        <v>55.007679999999993</v>
      </c>
      <c r="D325">
        <v>0.70727272727272728</v>
      </c>
      <c r="E325">
        <f t="shared" si="16"/>
        <v>4.0074728118478573</v>
      </c>
      <c r="I325" s="24">
        <f t="shared" si="17"/>
        <v>0.74318898085737961</v>
      </c>
      <c r="N325" s="30">
        <v>41483.255813953489</v>
      </c>
    </row>
    <row r="326" spans="1:14" x14ac:dyDescent="0.3">
      <c r="A326">
        <v>4.9359000000000002</v>
      </c>
      <c r="B326">
        <v>55.653799999999997</v>
      </c>
      <c r="C326">
        <f t="shared" si="15"/>
        <v>55.661540000000002</v>
      </c>
      <c r="D326">
        <v>0.70739393939393946</v>
      </c>
      <c r="E326">
        <f t="shared" si="16"/>
        <v>4.019289423699183</v>
      </c>
      <c r="I326" s="24">
        <f t="shared" si="17"/>
        <v>0.75478553042325158</v>
      </c>
      <c r="N326" s="30">
        <v>41477.604651162786</v>
      </c>
    </row>
    <row r="327" spans="1:14" x14ac:dyDescent="0.3">
      <c r="A327">
        <v>4.9512</v>
      </c>
      <c r="B327">
        <v>56.423099999999998</v>
      </c>
      <c r="C327">
        <f t="shared" si="15"/>
        <v>56.330759999999998</v>
      </c>
      <c r="D327">
        <v>0.70751515151515154</v>
      </c>
      <c r="E327">
        <f t="shared" si="16"/>
        <v>4.0312407447382066</v>
      </c>
      <c r="I327" s="24">
        <f t="shared" si="17"/>
        <v>0.76669986752705455</v>
      </c>
      <c r="N327" s="30">
        <v>41471.953488372092</v>
      </c>
    </row>
    <row r="328" spans="1:14" x14ac:dyDescent="0.3">
      <c r="A328">
        <v>4.9664000000000001</v>
      </c>
      <c r="B328">
        <v>57.038499999999999</v>
      </c>
      <c r="C328">
        <f t="shared" si="15"/>
        <v>56.9</v>
      </c>
      <c r="D328">
        <v>0.70763636363636373</v>
      </c>
      <c r="E328">
        <f t="shared" si="16"/>
        <v>4.0412953411322849</v>
      </c>
      <c r="I328" s="24">
        <f t="shared" si="17"/>
        <v>0.77684779323341735</v>
      </c>
      <c r="N328" s="30">
        <v>41466.30232558139</v>
      </c>
    </row>
    <row r="329" spans="1:14" x14ac:dyDescent="0.3">
      <c r="A329">
        <v>4.9816000000000003</v>
      </c>
      <c r="B329">
        <v>57.576900000000002</v>
      </c>
      <c r="C329">
        <f t="shared" si="15"/>
        <v>57.269240000000003</v>
      </c>
      <c r="D329">
        <v>0.70775757575757581</v>
      </c>
      <c r="E329">
        <f t="shared" si="16"/>
        <v>4.0477636558445154</v>
      </c>
      <c r="I329" s="24">
        <f t="shared" si="17"/>
        <v>0.78339919004606384</v>
      </c>
      <c r="N329" s="30">
        <v>41460.651162790695</v>
      </c>
    </row>
    <row r="330" spans="1:14" x14ac:dyDescent="0.3">
      <c r="A330">
        <v>4.9969000000000001</v>
      </c>
      <c r="B330">
        <v>57.807699999999997</v>
      </c>
      <c r="C330">
        <f t="shared" si="15"/>
        <v>57.4</v>
      </c>
      <c r="D330">
        <v>0.70787878787878789</v>
      </c>
      <c r="E330">
        <f t="shared" si="16"/>
        <v>4.0500443033255209</v>
      </c>
      <c r="I330" s="24">
        <f t="shared" si="17"/>
        <v>0.78563518352189454</v>
      </c>
      <c r="J330">
        <v>2013</v>
      </c>
      <c r="K330">
        <f>AVERAGE(I330:I457)</f>
        <v>0.61275541932470423</v>
      </c>
      <c r="L330">
        <f>A457-A330</f>
        <v>1.9347000000000003</v>
      </c>
      <c r="M330">
        <f>K330*L330</f>
        <v>1.1854979097675056</v>
      </c>
      <c r="N330" s="30">
        <v>41455</v>
      </c>
    </row>
    <row r="331" spans="1:14" x14ac:dyDescent="0.3">
      <c r="A331">
        <v>5.0121000000000002</v>
      </c>
      <c r="B331">
        <v>57.5</v>
      </c>
      <c r="C331">
        <f t="shared" si="15"/>
        <v>57.269219999999997</v>
      </c>
      <c r="D331" s="8">
        <v>0.70799999999999996</v>
      </c>
      <c r="E331">
        <f t="shared" si="16"/>
        <v>4.047763306616841</v>
      </c>
      <c r="I331" s="24">
        <f t="shared" si="17"/>
        <v>0.78313058626317689</v>
      </c>
      <c r="N331" s="30">
        <v>41452.966666666667</v>
      </c>
    </row>
    <row r="332" spans="1:14" x14ac:dyDescent="0.3">
      <c r="A332">
        <v>5.0273000000000003</v>
      </c>
      <c r="B332">
        <v>57.076900000000002</v>
      </c>
      <c r="C332">
        <f t="shared" si="15"/>
        <v>56.884599999999999</v>
      </c>
      <c r="D332">
        <v>0.70803076923076924</v>
      </c>
      <c r="E332">
        <f t="shared" si="16"/>
        <v>4.0410246542362724</v>
      </c>
      <c r="I332" s="24">
        <f t="shared" si="17"/>
        <v>0.77613667622242077</v>
      </c>
      <c r="N332" s="30">
        <v>41450.933333333334</v>
      </c>
    </row>
    <row r="333" spans="1:14" x14ac:dyDescent="0.3">
      <c r="A333">
        <v>5.0426000000000002</v>
      </c>
      <c r="B333">
        <v>56.384599999999999</v>
      </c>
      <c r="C333">
        <f t="shared" si="15"/>
        <v>56.330759999999998</v>
      </c>
      <c r="D333">
        <v>0.70806153846153852</v>
      </c>
      <c r="E333">
        <f t="shared" si="16"/>
        <v>4.0312407447382066</v>
      </c>
      <c r="I333" s="24">
        <f t="shared" si="17"/>
        <v>0.76610823138152462</v>
      </c>
      <c r="N333" s="30">
        <v>41448.9</v>
      </c>
    </row>
    <row r="334" spans="1:14" x14ac:dyDescent="0.3">
      <c r="A334">
        <v>5.0578000000000003</v>
      </c>
      <c r="B334">
        <v>55.653799999999997</v>
      </c>
      <c r="C334">
        <f t="shared" si="15"/>
        <v>55.692300000000003</v>
      </c>
      <c r="D334">
        <v>0.70809230769230769</v>
      </c>
      <c r="E334">
        <f t="shared" si="16"/>
        <v>4.0198418968026228</v>
      </c>
      <c r="I334" s="24">
        <f t="shared" si="17"/>
        <v>0.75459320717552714</v>
      </c>
      <c r="N334" s="30">
        <v>41446.866666666669</v>
      </c>
    </row>
    <row r="335" spans="1:14" x14ac:dyDescent="0.3">
      <c r="A335">
        <v>5.0730000000000004</v>
      </c>
      <c r="B335">
        <v>55.038499999999999</v>
      </c>
      <c r="C335">
        <f t="shared" si="15"/>
        <v>55.007679999999993</v>
      </c>
      <c r="D335">
        <v>0.70812307692307697</v>
      </c>
      <c r="E335">
        <f t="shared" si="16"/>
        <v>4.0074728118478573</v>
      </c>
      <c r="I335" s="24">
        <f t="shared" si="17"/>
        <v>0.74229652231364485</v>
      </c>
      <c r="N335" s="30">
        <v>41444.833333333336</v>
      </c>
    </row>
    <row r="336" spans="1:14" x14ac:dyDescent="0.3">
      <c r="A336">
        <v>5.0883000000000003</v>
      </c>
      <c r="B336">
        <v>54.307699999999997</v>
      </c>
      <c r="C336">
        <f t="shared" si="15"/>
        <v>54.369219999999999</v>
      </c>
      <c r="D336">
        <v>0.70815384615384613</v>
      </c>
      <c r="E336">
        <f t="shared" si="16"/>
        <v>3.9957981849081503</v>
      </c>
      <c r="I336" s="24">
        <f t="shared" si="17"/>
        <v>0.7308723293616145</v>
      </c>
      <c r="N336" s="30">
        <v>41442.800000000003</v>
      </c>
    </row>
    <row r="337" spans="1:14" x14ac:dyDescent="0.3">
      <c r="A337">
        <v>5.1035000000000004</v>
      </c>
      <c r="B337">
        <v>53.653799999999997</v>
      </c>
      <c r="C337">
        <f t="shared" si="15"/>
        <v>53.54616</v>
      </c>
      <c r="D337">
        <v>0.70818461538461541</v>
      </c>
      <c r="E337">
        <f t="shared" si="16"/>
        <v>3.9805440856390937</v>
      </c>
      <c r="I337" s="24">
        <f t="shared" si="17"/>
        <v>0.71621952044327808</v>
      </c>
      <c r="N337" s="30">
        <v>41440.766666666663</v>
      </c>
    </row>
    <row r="338" spans="1:14" x14ac:dyDescent="0.3">
      <c r="A338">
        <v>5.1186999999999996</v>
      </c>
      <c r="B338">
        <v>53.192300000000003</v>
      </c>
      <c r="C338">
        <f t="shared" si="15"/>
        <v>52.82307999999999</v>
      </c>
      <c r="D338">
        <v>0.70821538461538469</v>
      </c>
      <c r="E338">
        <f t="shared" si="16"/>
        <v>3.9669482164146914</v>
      </c>
      <c r="I338" s="24">
        <f t="shared" si="17"/>
        <v>0.70340403618258929</v>
      </c>
      <c r="N338" s="30">
        <v>41438.73333333333</v>
      </c>
    </row>
    <row r="339" spans="1:14" x14ac:dyDescent="0.3">
      <c r="A339">
        <v>5.1340000000000003</v>
      </c>
      <c r="B339">
        <v>51.538499999999999</v>
      </c>
      <c r="C339">
        <f t="shared" si="15"/>
        <v>52.230780000000003</v>
      </c>
      <c r="D339">
        <v>0.70824615384615386</v>
      </c>
      <c r="E339">
        <f t="shared" si="16"/>
        <v>3.9556719762827051</v>
      </c>
      <c r="I339" s="24">
        <f t="shared" si="17"/>
        <v>0.69294404306800228</v>
      </c>
      <c r="N339" s="30">
        <v>41436.699999999997</v>
      </c>
    </row>
    <row r="340" spans="1:14" x14ac:dyDescent="0.3">
      <c r="A340">
        <v>5.1492000000000004</v>
      </c>
      <c r="B340">
        <v>51.423099999999998</v>
      </c>
      <c r="C340">
        <f t="shared" si="15"/>
        <v>51.815399999999997</v>
      </c>
      <c r="D340">
        <v>0.70827692307692314</v>
      </c>
      <c r="E340">
        <f t="shared" si="16"/>
        <v>3.9476874023786501</v>
      </c>
      <c r="I340" s="24">
        <f t="shared" si="17"/>
        <v>0.68562295145239205</v>
      </c>
      <c r="N340" s="30">
        <v>41434.666666666664</v>
      </c>
    </row>
    <row r="341" spans="1:14" x14ac:dyDescent="0.3">
      <c r="A341">
        <v>5.1643999999999997</v>
      </c>
      <c r="B341">
        <v>51.346200000000003</v>
      </c>
      <c r="C341">
        <f t="shared" si="15"/>
        <v>51.523099999999999</v>
      </c>
      <c r="D341">
        <v>0.7083076923076923</v>
      </c>
      <c r="E341">
        <f t="shared" si="16"/>
        <v>3.9420302507933611</v>
      </c>
      <c r="I341" s="24">
        <f t="shared" si="17"/>
        <v>0.68047413143997393</v>
      </c>
      <c r="N341" s="30">
        <v>41432.633333333331</v>
      </c>
    </row>
    <row r="342" spans="1:14" x14ac:dyDescent="0.3">
      <c r="A342">
        <v>5.1797000000000004</v>
      </c>
      <c r="B342">
        <v>51.576900000000002</v>
      </c>
      <c r="C342">
        <f t="shared" si="15"/>
        <v>51.484639999999999</v>
      </c>
      <c r="D342">
        <v>0.70833846153846147</v>
      </c>
      <c r="E342">
        <f t="shared" si="16"/>
        <v>3.941283510756405</v>
      </c>
      <c r="I342" s="24">
        <f t="shared" si="17"/>
        <v>0.67977175443077054</v>
      </c>
      <c r="N342" s="30">
        <v>41430.6</v>
      </c>
    </row>
    <row r="343" spans="1:14" x14ac:dyDescent="0.3">
      <c r="A343">
        <v>5.1948999999999996</v>
      </c>
      <c r="B343">
        <v>51.730800000000002</v>
      </c>
      <c r="C343">
        <f t="shared" si="15"/>
        <v>51.338480000000004</v>
      </c>
      <c r="D343">
        <v>0.70836923076923075</v>
      </c>
      <c r="E343">
        <f t="shared" si="16"/>
        <v>3.9384405684601074</v>
      </c>
      <c r="I343" s="24">
        <f t="shared" si="17"/>
        <v>0.67718690897506828</v>
      </c>
      <c r="N343" s="30">
        <v>41428.566666666666</v>
      </c>
    </row>
    <row r="344" spans="1:14" x14ac:dyDescent="0.3">
      <c r="A344">
        <v>5.2100999999999997</v>
      </c>
      <c r="B344">
        <v>51.346200000000003</v>
      </c>
      <c r="C344">
        <f t="shared" si="15"/>
        <v>51.061540000000001</v>
      </c>
      <c r="D344">
        <v>0.70839999999999992</v>
      </c>
      <c r="E344">
        <f t="shared" si="16"/>
        <v>3.9330315719538942</v>
      </c>
      <c r="I344" s="24">
        <f t="shared" si="17"/>
        <v>0.67232243848807105</v>
      </c>
      <c r="N344" s="30">
        <v>41426.533333333333</v>
      </c>
    </row>
    <row r="345" spans="1:14" x14ac:dyDescent="0.3">
      <c r="A345">
        <v>5.2253999999999996</v>
      </c>
      <c r="B345">
        <v>50.692300000000003</v>
      </c>
      <c r="C345">
        <f t="shared" si="15"/>
        <v>50.961539999999999</v>
      </c>
      <c r="D345">
        <v>0.7084307692307692</v>
      </c>
      <c r="E345">
        <f t="shared" si="16"/>
        <v>3.9310712305875195</v>
      </c>
      <c r="I345" s="24">
        <f t="shared" si="17"/>
        <v>0.67054951676396668</v>
      </c>
      <c r="N345" s="30">
        <v>41424.5</v>
      </c>
    </row>
    <row r="346" spans="1:14" x14ac:dyDescent="0.3">
      <c r="A346">
        <v>5.2405999999999997</v>
      </c>
      <c r="B346">
        <v>49.961500000000001</v>
      </c>
      <c r="C346">
        <f t="shared" si="15"/>
        <v>50.838459999999998</v>
      </c>
      <c r="D346">
        <v>0.70846153846153848</v>
      </c>
      <c r="E346">
        <f t="shared" si="16"/>
        <v>3.9286531547531056</v>
      </c>
      <c r="I346" s="24">
        <f t="shared" si="17"/>
        <v>0.66837584106342829</v>
      </c>
      <c r="N346" s="30">
        <v>41422.466666666667</v>
      </c>
    </row>
    <row r="347" spans="1:14" x14ac:dyDescent="0.3">
      <c r="A347">
        <v>5.2557999999999998</v>
      </c>
      <c r="B347">
        <v>51.076900000000002</v>
      </c>
      <c r="C347">
        <f t="shared" si="15"/>
        <v>50.807680000000005</v>
      </c>
      <c r="D347">
        <v>0.70849230769230764</v>
      </c>
      <c r="E347">
        <f t="shared" si="16"/>
        <v>3.9280475242600872</v>
      </c>
      <c r="I347" s="24">
        <f t="shared" si="17"/>
        <v>0.66781078822375772</v>
      </c>
      <c r="N347" s="30">
        <v>41420.433333333334</v>
      </c>
    </row>
    <row r="348" spans="1:14" x14ac:dyDescent="0.3">
      <c r="A348">
        <v>5.2710999999999997</v>
      </c>
      <c r="B348">
        <v>51.115400000000001</v>
      </c>
      <c r="C348">
        <f t="shared" si="15"/>
        <v>50.930759999999999</v>
      </c>
      <c r="D348">
        <v>0.70852307692307692</v>
      </c>
      <c r="E348">
        <f t="shared" si="16"/>
        <v>3.9304670632277428</v>
      </c>
      <c r="I348" s="24">
        <f t="shared" si="17"/>
        <v>0.66992573251718823</v>
      </c>
      <c r="N348" s="30">
        <v>41418.400000000001</v>
      </c>
    </row>
    <row r="349" spans="1:14" x14ac:dyDescent="0.3">
      <c r="A349">
        <v>5.2862999999999998</v>
      </c>
      <c r="B349">
        <v>51.192300000000003</v>
      </c>
      <c r="C349">
        <f t="shared" si="15"/>
        <v>51.161539999999995</v>
      </c>
      <c r="D349">
        <v>0.70855384615384609</v>
      </c>
      <c r="E349">
        <f t="shared" si="16"/>
        <v>3.9349880778995043</v>
      </c>
      <c r="I349" s="24">
        <f t="shared" si="17"/>
        <v>0.67392098638054387</v>
      </c>
      <c r="N349" s="30">
        <v>41416.366666666669</v>
      </c>
    </row>
    <row r="350" spans="1:14" x14ac:dyDescent="0.3">
      <c r="A350">
        <v>5.3014999999999999</v>
      </c>
      <c r="B350">
        <v>51.307699999999997</v>
      </c>
      <c r="C350">
        <f t="shared" si="15"/>
        <v>51.138460000000002</v>
      </c>
      <c r="D350">
        <v>0.70858461538461537</v>
      </c>
      <c r="E350">
        <f t="shared" si="16"/>
        <v>3.9345368559954652</v>
      </c>
      <c r="I350" s="24">
        <f t="shared" si="17"/>
        <v>0.67348900457564653</v>
      </c>
      <c r="N350" s="30">
        <v>41414.333333333336</v>
      </c>
    </row>
    <row r="351" spans="1:14" x14ac:dyDescent="0.3">
      <c r="A351">
        <v>5.3167999999999997</v>
      </c>
      <c r="B351">
        <v>51.115400000000001</v>
      </c>
      <c r="C351">
        <f t="shared" si="15"/>
        <v>51.053840000000001</v>
      </c>
      <c r="D351">
        <v>0.70861538461538465</v>
      </c>
      <c r="E351">
        <f t="shared" si="16"/>
        <v>3.9328807621539483</v>
      </c>
      <c r="I351" s="24">
        <f t="shared" si="17"/>
        <v>0.67198381420733289</v>
      </c>
      <c r="N351" s="30">
        <v>41412.300000000003</v>
      </c>
    </row>
    <row r="352" spans="1:14" x14ac:dyDescent="0.3">
      <c r="A352">
        <v>5.3319999999999999</v>
      </c>
      <c r="B352">
        <v>50.961500000000001</v>
      </c>
      <c r="C352">
        <f t="shared" si="15"/>
        <v>50.95384</v>
      </c>
      <c r="D352">
        <v>0.70864615384615381</v>
      </c>
      <c r="E352">
        <f t="shared" si="16"/>
        <v>3.9309201248365588</v>
      </c>
      <c r="I352" s="24">
        <f t="shared" si="17"/>
        <v>0.67021153151316937</v>
      </c>
      <c r="N352" s="30">
        <v>41410.266666666663</v>
      </c>
    </row>
    <row r="353" spans="1:14" x14ac:dyDescent="0.3">
      <c r="A353">
        <v>5.3472</v>
      </c>
      <c r="B353">
        <v>50.692300000000003</v>
      </c>
      <c r="C353">
        <f t="shared" si="15"/>
        <v>50.753840000000004</v>
      </c>
      <c r="D353">
        <v>0.70867692307692309</v>
      </c>
      <c r="E353">
        <f t="shared" si="16"/>
        <v>3.9269872800840737</v>
      </c>
      <c r="I353" s="24">
        <f t="shared" si="17"/>
        <v>0.66669970670848033</v>
      </c>
      <c r="N353" s="30">
        <v>41408.23333333333</v>
      </c>
    </row>
    <row r="354" spans="1:14" x14ac:dyDescent="0.3">
      <c r="A354">
        <v>5.3624999999999998</v>
      </c>
      <c r="B354">
        <v>50.692300000000003</v>
      </c>
      <c r="C354">
        <f t="shared" si="15"/>
        <v>50.615380000000002</v>
      </c>
      <c r="D354">
        <v>0.70870769230769226</v>
      </c>
      <c r="E354">
        <f t="shared" si="16"/>
        <v>3.9242554826783662</v>
      </c>
      <c r="I354" s="24">
        <f t="shared" si="17"/>
        <v>0.66426238369811741</v>
      </c>
      <c r="N354" s="30">
        <v>41406.199999999997</v>
      </c>
    </row>
    <row r="355" spans="1:14" x14ac:dyDescent="0.3">
      <c r="A355">
        <v>5.3776999999999999</v>
      </c>
      <c r="B355">
        <v>50.307699999999997</v>
      </c>
      <c r="C355">
        <f t="shared" si="15"/>
        <v>50.469239999999999</v>
      </c>
      <c r="D355">
        <v>0.70873846153846154</v>
      </c>
      <c r="E355">
        <f t="shared" si="16"/>
        <v>3.9213640417882267</v>
      </c>
      <c r="I355" s="24">
        <f t="shared" si="17"/>
        <v>0.66169401207844558</v>
      </c>
      <c r="N355" s="30">
        <v>41404.166666666664</v>
      </c>
    </row>
    <row r="356" spans="1:14" x14ac:dyDescent="0.3">
      <c r="A356">
        <v>5.3929</v>
      </c>
      <c r="B356">
        <v>50.423099999999998</v>
      </c>
      <c r="C356">
        <f t="shared" si="15"/>
        <v>50.407700000000006</v>
      </c>
      <c r="D356">
        <v>0.70876923076923082</v>
      </c>
      <c r="E356">
        <f t="shared" si="16"/>
        <v>3.9201439411857648</v>
      </c>
      <c r="I356" s="24">
        <f t="shared" si="17"/>
        <v>0.66059664171728028</v>
      </c>
      <c r="N356" s="30">
        <v>41402.133333333331</v>
      </c>
    </row>
    <row r="357" spans="1:14" x14ac:dyDescent="0.3">
      <c r="A357">
        <v>5.4081999999999999</v>
      </c>
      <c r="B357">
        <v>50.230800000000002</v>
      </c>
      <c r="C357">
        <f t="shared" si="15"/>
        <v>50.361539999999998</v>
      </c>
      <c r="D357">
        <v>0.70879999999999999</v>
      </c>
      <c r="E357">
        <f t="shared" si="16"/>
        <v>3.9192277885338513</v>
      </c>
      <c r="I357" s="24">
        <f t="shared" si="17"/>
        <v>0.65976670744669275</v>
      </c>
      <c r="N357" s="30">
        <v>41400.1</v>
      </c>
    </row>
    <row r="358" spans="1:14" x14ac:dyDescent="0.3">
      <c r="A358">
        <v>5.4234</v>
      </c>
      <c r="B358">
        <v>50.384599999999999</v>
      </c>
      <c r="C358">
        <f t="shared" si="15"/>
        <v>50.438459999999999</v>
      </c>
      <c r="D358">
        <v>0.70883076923076926</v>
      </c>
      <c r="E358">
        <f t="shared" si="16"/>
        <v>3.9207539793062827</v>
      </c>
      <c r="I358" s="24">
        <f t="shared" si="17"/>
        <v>0.66107334022038011</v>
      </c>
      <c r="N358" s="30">
        <v>41398.066666666666</v>
      </c>
    </row>
    <row r="359" spans="1:14" x14ac:dyDescent="0.3">
      <c r="A359">
        <v>5.4386999999999999</v>
      </c>
      <c r="B359">
        <v>50.461500000000001</v>
      </c>
      <c r="C359">
        <f t="shared" si="15"/>
        <v>50.507680000000008</v>
      </c>
      <c r="D359">
        <v>0.70886153846153843</v>
      </c>
      <c r="E359">
        <f t="shared" si="16"/>
        <v>3.9221254039263647</v>
      </c>
      <c r="I359" s="24">
        <f t="shared" si="17"/>
        <v>0.6622467648029321</v>
      </c>
      <c r="N359" s="30">
        <v>41396.033333333333</v>
      </c>
    </row>
    <row r="360" spans="1:14" x14ac:dyDescent="0.3">
      <c r="A360">
        <v>5.4539</v>
      </c>
      <c r="B360">
        <v>50.692300000000003</v>
      </c>
      <c r="C360">
        <f t="shared" si="15"/>
        <v>50.66152000000001</v>
      </c>
      <c r="D360">
        <v>0.70889230769230771</v>
      </c>
      <c r="E360">
        <f t="shared" si="16"/>
        <v>3.9251666480713077</v>
      </c>
      <c r="I360" s="24">
        <f t="shared" si="17"/>
        <v>0.6648915054325566</v>
      </c>
      <c r="N360" s="30">
        <v>41394</v>
      </c>
    </row>
    <row r="361" spans="1:14" x14ac:dyDescent="0.3">
      <c r="A361">
        <v>5.4691000000000001</v>
      </c>
      <c r="B361">
        <v>50.769199999999998</v>
      </c>
      <c r="C361">
        <f t="shared" si="15"/>
        <v>50.676900000000003</v>
      </c>
      <c r="D361">
        <v>0.70892307692307699</v>
      </c>
      <c r="E361">
        <f t="shared" si="16"/>
        <v>3.9254701854684386</v>
      </c>
      <c r="I361" s="24">
        <f t="shared" si="17"/>
        <v>0.66513005984294404</v>
      </c>
      <c r="N361" s="30">
        <v>41391.966666666667</v>
      </c>
    </row>
    <row r="362" spans="1:14" x14ac:dyDescent="0.3">
      <c r="A362">
        <v>5.4843999999999999</v>
      </c>
      <c r="B362">
        <v>51</v>
      </c>
      <c r="C362">
        <f t="shared" si="15"/>
        <v>50.638440000000003</v>
      </c>
      <c r="D362">
        <v>0.70895384615384616</v>
      </c>
      <c r="E362">
        <f t="shared" si="16"/>
        <v>3.9247109716742119</v>
      </c>
      <c r="I362" s="24">
        <f t="shared" si="17"/>
        <v>0.66443256585541677</v>
      </c>
      <c r="N362" s="30">
        <v>41389.933333333334</v>
      </c>
    </row>
    <row r="363" spans="1:14" x14ac:dyDescent="0.3">
      <c r="A363">
        <v>5.4996</v>
      </c>
      <c r="B363">
        <v>50.461500000000001</v>
      </c>
      <c r="C363">
        <f t="shared" si="15"/>
        <v>50.423060000000007</v>
      </c>
      <c r="D363">
        <v>0.70898461538461532</v>
      </c>
      <c r="E363">
        <f t="shared" si="16"/>
        <v>3.9204486101204989</v>
      </c>
      <c r="I363" s="24">
        <f t="shared" si="17"/>
        <v>0.66066256341951701</v>
      </c>
      <c r="N363" s="30">
        <v>41387.9</v>
      </c>
    </row>
    <row r="364" spans="1:14" x14ac:dyDescent="0.3">
      <c r="A364">
        <v>5.5148000000000001</v>
      </c>
      <c r="B364">
        <v>50.269199999999998</v>
      </c>
      <c r="C364">
        <f t="shared" si="15"/>
        <v>50.015380000000007</v>
      </c>
      <c r="D364">
        <v>0.7090153846153846</v>
      </c>
      <c r="E364">
        <f t="shared" si="16"/>
        <v>3.9123305581289656</v>
      </c>
      <c r="I364" s="24">
        <f t="shared" si="17"/>
        <v>0.65356698000912394</v>
      </c>
      <c r="N364" s="30">
        <v>41385.866666666669</v>
      </c>
    </row>
    <row r="365" spans="1:14" x14ac:dyDescent="0.3">
      <c r="A365">
        <v>5.5301</v>
      </c>
      <c r="B365">
        <v>49.615400000000001</v>
      </c>
      <c r="C365">
        <f t="shared" si="15"/>
        <v>49.292300000000004</v>
      </c>
      <c r="D365">
        <v>0.70904615384615377</v>
      </c>
      <c r="E365">
        <f t="shared" si="16"/>
        <v>3.8977678822376691</v>
      </c>
      <c r="I365" s="24">
        <f t="shared" si="17"/>
        <v>0.64105098457839005</v>
      </c>
      <c r="N365" s="30">
        <v>41383.833333333336</v>
      </c>
    </row>
    <row r="366" spans="1:14" x14ac:dyDescent="0.3">
      <c r="A366">
        <v>5.5453000000000001</v>
      </c>
      <c r="B366">
        <v>48.730800000000002</v>
      </c>
      <c r="C366">
        <f t="shared" si="15"/>
        <v>48.400000000000006</v>
      </c>
      <c r="D366">
        <v>0.70907692307692305</v>
      </c>
      <c r="E366">
        <f t="shared" si="16"/>
        <v>3.8794998137225862</v>
      </c>
      <c r="I366" s="24">
        <f t="shared" si="17"/>
        <v>0.62569564414580925</v>
      </c>
      <c r="N366" s="30">
        <v>41381.800000000003</v>
      </c>
    </row>
    <row r="367" spans="1:14" x14ac:dyDescent="0.3">
      <c r="A367">
        <v>5.5605000000000002</v>
      </c>
      <c r="B367">
        <v>47.384599999999999</v>
      </c>
      <c r="C367">
        <f t="shared" si="15"/>
        <v>47.292320000000004</v>
      </c>
      <c r="D367">
        <v>0.70910769230769222</v>
      </c>
      <c r="E367">
        <f t="shared" si="16"/>
        <v>3.8563479144501049</v>
      </c>
      <c r="I367" s="24">
        <f t="shared" si="17"/>
        <v>0.60676953052172056</v>
      </c>
      <c r="N367" s="30">
        <v>41379.766666666663</v>
      </c>
    </row>
    <row r="368" spans="1:14" x14ac:dyDescent="0.3">
      <c r="A368">
        <v>5.5758000000000001</v>
      </c>
      <c r="B368">
        <v>46</v>
      </c>
      <c r="C368">
        <f t="shared" si="15"/>
        <v>46.184620000000002</v>
      </c>
      <c r="D368">
        <v>0.7091384615384615</v>
      </c>
      <c r="E368">
        <f t="shared" si="16"/>
        <v>3.832646842231143</v>
      </c>
      <c r="I368" s="24">
        <f t="shared" si="17"/>
        <v>0.58798795431067663</v>
      </c>
      <c r="N368" s="30">
        <v>41377.73333333333</v>
      </c>
    </row>
    <row r="369" spans="1:14" x14ac:dyDescent="0.3">
      <c r="A369">
        <v>5.5910000000000002</v>
      </c>
      <c r="B369">
        <v>44.730800000000002</v>
      </c>
      <c r="C369">
        <f t="shared" si="15"/>
        <v>44.984620000000007</v>
      </c>
      <c r="D369">
        <v>0.70916923076923077</v>
      </c>
      <c r="E369">
        <f t="shared" si="16"/>
        <v>3.8063206535732061</v>
      </c>
      <c r="I369" s="24">
        <f t="shared" si="17"/>
        <v>0.56780959271897402</v>
      </c>
      <c r="N369" s="30">
        <v>41375.699999999997</v>
      </c>
    </row>
    <row r="370" spans="1:14" x14ac:dyDescent="0.3">
      <c r="A370">
        <v>5.6062000000000003</v>
      </c>
      <c r="B370">
        <v>44.076900000000002</v>
      </c>
      <c r="C370">
        <f t="shared" si="15"/>
        <v>44.03078</v>
      </c>
      <c r="D370">
        <v>0.70919999999999994</v>
      </c>
      <c r="E370">
        <f t="shared" si="16"/>
        <v>3.7848889348049362</v>
      </c>
      <c r="I370" s="24">
        <f t="shared" si="17"/>
        <v>0.55189069515131139</v>
      </c>
      <c r="N370" s="30">
        <v>41373.666666666664</v>
      </c>
    </row>
    <row r="371" spans="1:14" x14ac:dyDescent="0.3">
      <c r="A371">
        <v>5.6215000000000002</v>
      </c>
      <c r="B371">
        <v>42.730800000000002</v>
      </c>
      <c r="C371">
        <f t="shared" si="15"/>
        <v>43.238479999999996</v>
      </c>
      <c r="D371">
        <v>0.70923076923076922</v>
      </c>
      <c r="E371">
        <f t="shared" si="16"/>
        <v>3.7667308395166912</v>
      </c>
      <c r="I371" s="24">
        <f t="shared" si="17"/>
        <v>0.5387495365104632</v>
      </c>
      <c r="N371" s="30">
        <v>41371.633333333331</v>
      </c>
    </row>
    <row r="372" spans="1:14" x14ac:dyDescent="0.3">
      <c r="A372">
        <v>5.6367000000000003</v>
      </c>
      <c r="B372">
        <v>42.615400000000001</v>
      </c>
      <c r="C372">
        <f t="shared" si="15"/>
        <v>42.638480000000001</v>
      </c>
      <c r="D372">
        <v>0.70926153846153839</v>
      </c>
      <c r="E372">
        <f t="shared" si="16"/>
        <v>3.7527571319426603</v>
      </c>
      <c r="I372" s="24">
        <f t="shared" si="17"/>
        <v>0.52884481334871236</v>
      </c>
      <c r="N372" s="30">
        <v>41369.599999999999</v>
      </c>
    </row>
    <row r="373" spans="1:14" x14ac:dyDescent="0.3">
      <c r="A373">
        <v>5.6519000000000004</v>
      </c>
      <c r="B373">
        <v>42.038499999999999</v>
      </c>
      <c r="C373">
        <f t="shared" si="15"/>
        <v>42.08464</v>
      </c>
      <c r="D373">
        <v>0.70929230769230767</v>
      </c>
      <c r="E373">
        <f t="shared" si="16"/>
        <v>3.7396828285102841</v>
      </c>
      <c r="I373" s="24">
        <f t="shared" si="17"/>
        <v>0.51974110469053048</v>
      </c>
      <c r="N373" s="30">
        <v>41367.566666666666</v>
      </c>
    </row>
    <row r="374" spans="1:14" x14ac:dyDescent="0.3">
      <c r="A374">
        <v>5.6672000000000002</v>
      </c>
      <c r="B374">
        <v>41.730800000000002</v>
      </c>
      <c r="C374">
        <f t="shared" si="15"/>
        <v>41.700019999999995</v>
      </c>
      <c r="D374">
        <v>0.70932307692307695</v>
      </c>
      <c r="E374">
        <f t="shared" si="16"/>
        <v>3.7305016084209477</v>
      </c>
      <c r="I374" s="24">
        <f t="shared" si="17"/>
        <v>0.51343536623527841</v>
      </c>
      <c r="N374" s="30">
        <v>41365.533333333333</v>
      </c>
    </row>
    <row r="375" spans="1:14" x14ac:dyDescent="0.3">
      <c r="A375">
        <v>5.6824000000000003</v>
      </c>
      <c r="B375">
        <v>41.307699999999997</v>
      </c>
      <c r="C375">
        <f t="shared" si="15"/>
        <v>41.238480000000003</v>
      </c>
      <c r="D375">
        <v>0.70935384615384611</v>
      </c>
      <c r="E375">
        <f t="shared" si="16"/>
        <v>3.7193718010495274</v>
      </c>
      <c r="I375" s="24">
        <f t="shared" si="17"/>
        <v>0.50589847467172422</v>
      </c>
      <c r="N375" s="30">
        <v>41363.5</v>
      </c>
    </row>
    <row r="376" spans="1:14" x14ac:dyDescent="0.3">
      <c r="A376">
        <v>5.6976000000000004</v>
      </c>
      <c r="B376">
        <v>40.807699999999997</v>
      </c>
      <c r="C376">
        <f t="shared" si="15"/>
        <v>40.823079999999997</v>
      </c>
      <c r="D376">
        <v>0.70938461538461539</v>
      </c>
      <c r="E376">
        <f t="shared" si="16"/>
        <v>3.7092476077444596</v>
      </c>
      <c r="I376" s="24">
        <f t="shared" si="17"/>
        <v>0.49913674657638513</v>
      </c>
      <c r="N376" s="30">
        <v>41361.466666666667</v>
      </c>
    </row>
    <row r="377" spans="1:14" x14ac:dyDescent="0.3">
      <c r="A377">
        <v>5.7129000000000003</v>
      </c>
      <c r="B377">
        <v>40.307699999999997</v>
      </c>
      <c r="C377">
        <f t="shared" si="15"/>
        <v>40.376919999999998</v>
      </c>
      <c r="D377">
        <v>0.70941538461538456</v>
      </c>
      <c r="E377">
        <f t="shared" si="16"/>
        <v>3.6982583345917228</v>
      </c>
      <c r="I377" s="24">
        <f t="shared" si="17"/>
        <v>0.49190132467460318</v>
      </c>
      <c r="N377" s="30">
        <v>41359.433333333334</v>
      </c>
    </row>
    <row r="378" spans="1:14" x14ac:dyDescent="0.3">
      <c r="A378">
        <v>5.7281000000000004</v>
      </c>
      <c r="B378">
        <v>39.961500000000001</v>
      </c>
      <c r="C378">
        <f t="shared" ref="C378:C441" si="18">AVERAGE(B376:B380)</f>
        <v>40.115380000000002</v>
      </c>
      <c r="D378">
        <v>0.70944615384615384</v>
      </c>
      <c r="E378">
        <f t="shared" ref="E378:E441" si="19">LN(C378)</f>
        <v>3.6917598019265512</v>
      </c>
      <c r="I378" s="24">
        <f t="shared" ref="I378:I441" si="20">(0.0026*(EXP(1.3248*E378)))/D378</f>
        <v>0.4876634464333417</v>
      </c>
      <c r="N378" s="30">
        <v>41357.4</v>
      </c>
    </row>
    <row r="379" spans="1:14" x14ac:dyDescent="0.3">
      <c r="A379">
        <v>5.7432999999999996</v>
      </c>
      <c r="B379">
        <v>39.5</v>
      </c>
      <c r="C379">
        <f t="shared" si="18"/>
        <v>40.061540000000001</v>
      </c>
      <c r="D379">
        <v>0.70947692307692312</v>
      </c>
      <c r="E379">
        <f t="shared" si="19"/>
        <v>3.6904167718352796</v>
      </c>
      <c r="I379" s="24">
        <f t="shared" si="20"/>
        <v>0.48677543268380985</v>
      </c>
      <c r="N379" s="30">
        <v>41355.366666666669</v>
      </c>
    </row>
    <row r="380" spans="1:14" x14ac:dyDescent="0.3">
      <c r="A380">
        <v>5.7586000000000004</v>
      </c>
      <c r="B380">
        <v>40</v>
      </c>
      <c r="C380">
        <f t="shared" si="18"/>
        <v>40.192300000000003</v>
      </c>
      <c r="D380">
        <v>0.70950769230769228</v>
      </c>
      <c r="E380">
        <f t="shared" si="19"/>
        <v>3.6936754349898511</v>
      </c>
      <c r="I380" s="24">
        <f t="shared" si="20"/>
        <v>0.488860220943451</v>
      </c>
      <c r="N380" s="30">
        <v>41353.333333333336</v>
      </c>
    </row>
    <row r="381" spans="1:14" x14ac:dyDescent="0.3">
      <c r="A381">
        <v>5.7737999999999996</v>
      </c>
      <c r="B381">
        <v>40.538499999999999</v>
      </c>
      <c r="C381">
        <f t="shared" si="18"/>
        <v>40.376919999999998</v>
      </c>
      <c r="D381">
        <v>0.70953846153846156</v>
      </c>
      <c r="E381">
        <f t="shared" si="19"/>
        <v>3.6982583345917228</v>
      </c>
      <c r="I381" s="24">
        <f t="shared" si="20"/>
        <v>0.49181599920631613</v>
      </c>
      <c r="N381" s="30">
        <v>41351.300000000003</v>
      </c>
    </row>
    <row r="382" spans="1:14" x14ac:dyDescent="0.3">
      <c r="A382">
        <v>5.7889999999999997</v>
      </c>
      <c r="B382">
        <v>40.961500000000001</v>
      </c>
      <c r="C382">
        <f t="shared" si="18"/>
        <v>40.630759999999995</v>
      </c>
      <c r="D382">
        <v>0.70956923076923073</v>
      </c>
      <c r="E382">
        <f t="shared" si="19"/>
        <v>3.7045254152147975</v>
      </c>
      <c r="I382" s="24">
        <f t="shared" si="20"/>
        <v>0.49589485849057441</v>
      </c>
      <c r="N382" s="30">
        <v>41349.266666666663</v>
      </c>
    </row>
    <row r="383" spans="1:14" x14ac:dyDescent="0.3">
      <c r="A383">
        <v>5.8042999999999996</v>
      </c>
      <c r="B383">
        <v>40.884599999999999</v>
      </c>
      <c r="C383">
        <f t="shared" si="18"/>
        <v>40.807679999999998</v>
      </c>
      <c r="D383">
        <v>0.70960000000000001</v>
      </c>
      <c r="E383">
        <f t="shared" si="19"/>
        <v>3.7088702989901936</v>
      </c>
      <c r="I383" s="24">
        <f t="shared" si="20"/>
        <v>0.49873588403479258</v>
      </c>
      <c r="N383" s="30">
        <v>41347.23333333333</v>
      </c>
    </row>
    <row r="384" spans="1:14" x14ac:dyDescent="0.3">
      <c r="A384">
        <v>5.8194999999999997</v>
      </c>
      <c r="B384">
        <v>40.769199999999998</v>
      </c>
      <c r="C384">
        <f t="shared" si="18"/>
        <v>40.93074</v>
      </c>
      <c r="D384">
        <v>0.70963076923076929</v>
      </c>
      <c r="E384">
        <f t="shared" si="19"/>
        <v>3.7118813699890567</v>
      </c>
      <c r="I384" s="24">
        <f t="shared" si="20"/>
        <v>0.50070763683788133</v>
      </c>
      <c r="N384" s="30">
        <v>41345.199999999997</v>
      </c>
    </row>
    <row r="385" spans="1:14" x14ac:dyDescent="0.3">
      <c r="A385">
        <v>5.8346999999999998</v>
      </c>
      <c r="B385">
        <v>40.884599999999999</v>
      </c>
      <c r="C385">
        <f t="shared" si="18"/>
        <v>40.746139999999997</v>
      </c>
      <c r="D385">
        <v>0.70966153846153834</v>
      </c>
      <c r="E385">
        <f t="shared" si="19"/>
        <v>3.7073611112738969</v>
      </c>
      <c r="I385" s="24">
        <f t="shared" si="20"/>
        <v>0.49769656009770663</v>
      </c>
      <c r="N385" s="30">
        <v>41343.166666666664</v>
      </c>
    </row>
    <row r="386" spans="1:14" x14ac:dyDescent="0.3">
      <c r="A386">
        <v>5.85</v>
      </c>
      <c r="B386">
        <v>41.153799999999997</v>
      </c>
      <c r="C386">
        <f t="shared" si="18"/>
        <v>40.499979999999994</v>
      </c>
      <c r="D386">
        <v>0.70969230769230762</v>
      </c>
      <c r="E386">
        <f t="shared" si="19"/>
        <v>3.7013014802852107</v>
      </c>
      <c r="I386" s="24">
        <f t="shared" si="20"/>
        <v>0.49369574095258473</v>
      </c>
      <c r="N386" s="30">
        <v>41341.133333333331</v>
      </c>
    </row>
    <row r="387" spans="1:14" x14ac:dyDescent="0.3">
      <c r="A387">
        <v>5.8651999999999997</v>
      </c>
      <c r="B387">
        <v>40.038499999999999</v>
      </c>
      <c r="C387">
        <f t="shared" si="18"/>
        <v>40.238439999999997</v>
      </c>
      <c r="D387">
        <v>0.7097230769230769</v>
      </c>
      <c r="E387">
        <f t="shared" si="19"/>
        <v>3.6948227576443826</v>
      </c>
      <c r="I387" s="24">
        <f t="shared" si="20"/>
        <v>0.4894552568089488</v>
      </c>
      <c r="N387" s="30">
        <v>41339.1</v>
      </c>
    </row>
    <row r="388" spans="1:14" x14ac:dyDescent="0.3">
      <c r="A388">
        <v>5.8803999999999998</v>
      </c>
      <c r="B388">
        <v>39.653799999999997</v>
      </c>
      <c r="C388">
        <f t="shared" si="18"/>
        <v>39.976899999999993</v>
      </c>
      <c r="D388">
        <v>0.70975384615384607</v>
      </c>
      <c r="E388">
        <f t="shared" si="19"/>
        <v>3.6883017872965835</v>
      </c>
      <c r="I388" s="24">
        <f t="shared" si="20"/>
        <v>0.48522403759050087</v>
      </c>
      <c r="N388" s="30">
        <v>41337.066666666666</v>
      </c>
    </row>
    <row r="389" spans="1:14" x14ac:dyDescent="0.3">
      <c r="A389">
        <v>5.8956999999999997</v>
      </c>
      <c r="B389">
        <v>39.461500000000001</v>
      </c>
      <c r="C389">
        <f t="shared" si="18"/>
        <v>39.699979999999996</v>
      </c>
      <c r="D389">
        <v>0.70978461538461535</v>
      </c>
      <c r="E389">
        <f t="shared" si="19"/>
        <v>3.6813506839146801</v>
      </c>
      <c r="I389" s="24">
        <f t="shared" si="20"/>
        <v>0.48075536529187773</v>
      </c>
      <c r="N389" s="30">
        <v>41335.033333333333</v>
      </c>
    </row>
    <row r="390" spans="1:14" x14ac:dyDescent="0.3">
      <c r="A390">
        <v>5.9108999999999998</v>
      </c>
      <c r="B390">
        <v>39.576900000000002</v>
      </c>
      <c r="C390">
        <f t="shared" si="18"/>
        <v>39.653819999999996</v>
      </c>
      <c r="D390">
        <v>0.70981538461538451</v>
      </c>
      <c r="E390">
        <f t="shared" si="19"/>
        <v>3.6801872864414289</v>
      </c>
      <c r="I390" s="25">
        <f t="shared" si="20"/>
        <v>0.47999415489791636</v>
      </c>
      <c r="N390" s="30">
        <v>41333</v>
      </c>
    </row>
    <row r="391" spans="1:14" x14ac:dyDescent="0.3">
      <c r="A391">
        <v>5.9260999999999999</v>
      </c>
      <c r="B391">
        <v>39.769199999999998</v>
      </c>
      <c r="C391">
        <f t="shared" si="18"/>
        <v>39.830759999999998</v>
      </c>
      <c r="D391">
        <v>0.70984615384615379</v>
      </c>
      <c r="E391">
        <f t="shared" si="19"/>
        <v>3.6846394781061633</v>
      </c>
      <c r="I391" s="24">
        <f t="shared" si="20"/>
        <v>0.48281272366117817</v>
      </c>
      <c r="N391" s="30">
        <v>41329.373134328358</v>
      </c>
    </row>
    <row r="392" spans="1:14" x14ac:dyDescent="0.3">
      <c r="A392">
        <v>5.9413999999999998</v>
      </c>
      <c r="B392">
        <v>39.807699999999997</v>
      </c>
      <c r="C392">
        <f t="shared" si="18"/>
        <v>40.200000000000003</v>
      </c>
      <c r="D392">
        <v>0.70987692307692307</v>
      </c>
      <c r="E392">
        <f t="shared" si="19"/>
        <v>3.6938669956249757</v>
      </c>
      <c r="I392" s="24">
        <f t="shared" si="20"/>
        <v>0.48872996228834192</v>
      </c>
      <c r="N392" s="30">
        <v>41325.746268656716</v>
      </c>
    </row>
    <row r="393" spans="1:14" x14ac:dyDescent="0.3">
      <c r="A393">
        <v>5.9565999999999999</v>
      </c>
      <c r="B393">
        <v>40.538499999999999</v>
      </c>
      <c r="C393">
        <f t="shared" si="18"/>
        <v>41.061539999999994</v>
      </c>
      <c r="D393">
        <v>0.70990769230769224</v>
      </c>
      <c r="E393">
        <f t="shared" si="19"/>
        <v>3.7150719169761022</v>
      </c>
      <c r="I393" s="24">
        <f t="shared" si="20"/>
        <v>0.50263238042532077</v>
      </c>
      <c r="N393" s="30">
        <v>41322.119402985074</v>
      </c>
    </row>
    <row r="394" spans="1:14" x14ac:dyDescent="0.3">
      <c r="A394">
        <v>5.9718999999999998</v>
      </c>
      <c r="B394">
        <v>41.307699999999997</v>
      </c>
      <c r="C394">
        <f t="shared" si="18"/>
        <v>41.961539999999999</v>
      </c>
      <c r="D394">
        <v>0.70993846153846152</v>
      </c>
      <c r="E394">
        <f t="shared" si="19"/>
        <v>3.7367534844751993</v>
      </c>
      <c r="I394" s="24">
        <f t="shared" si="20"/>
        <v>0.51725679217186049</v>
      </c>
      <c r="N394" s="30">
        <v>41318.492537313432</v>
      </c>
    </row>
    <row r="395" spans="1:14" x14ac:dyDescent="0.3">
      <c r="A395">
        <v>5.9870999999999999</v>
      </c>
      <c r="B395">
        <v>43.884599999999999</v>
      </c>
      <c r="C395">
        <f t="shared" si="18"/>
        <v>42.969239999999999</v>
      </c>
      <c r="D395">
        <v>0.70996923076923069</v>
      </c>
      <c r="E395">
        <f t="shared" si="19"/>
        <v>3.760484510872288</v>
      </c>
      <c r="I395" s="24">
        <f t="shared" si="20"/>
        <v>0.53375395367105394</v>
      </c>
      <c r="N395" s="30">
        <v>41314.86567164179</v>
      </c>
    </row>
    <row r="396" spans="1:14" x14ac:dyDescent="0.3">
      <c r="A396">
        <v>6.0023</v>
      </c>
      <c r="B396">
        <v>44.269199999999998</v>
      </c>
      <c r="C396">
        <f t="shared" si="18"/>
        <v>44.038460000000001</v>
      </c>
      <c r="D396" s="8">
        <v>0.71</v>
      </c>
      <c r="E396">
        <f t="shared" si="19"/>
        <v>3.7850633430323595</v>
      </c>
      <c r="I396" s="24">
        <f t="shared" si="20"/>
        <v>0.55139623518256209</v>
      </c>
      <c r="N396" s="30">
        <v>41311.238805970148</v>
      </c>
    </row>
    <row r="397" spans="1:14" x14ac:dyDescent="0.3">
      <c r="A397">
        <v>6.0175999999999998</v>
      </c>
      <c r="B397">
        <v>44.846200000000003</v>
      </c>
      <c r="C397">
        <f t="shared" si="18"/>
        <v>45.153840000000002</v>
      </c>
      <c r="D397">
        <v>0.71009090909090911</v>
      </c>
      <c r="E397">
        <f t="shared" si="19"/>
        <v>3.8100753260803493</v>
      </c>
      <c r="I397" s="24">
        <f t="shared" si="20"/>
        <v>0.56990034555779556</v>
      </c>
      <c r="N397" s="30">
        <v>41307.611940298506</v>
      </c>
    </row>
    <row r="398" spans="1:14" x14ac:dyDescent="0.3">
      <c r="A398">
        <v>6.0327999999999999</v>
      </c>
      <c r="B398">
        <v>45.884599999999999</v>
      </c>
      <c r="C398">
        <f t="shared" si="18"/>
        <v>45.869219999999999</v>
      </c>
      <c r="D398">
        <v>0.71018181818181814</v>
      </c>
      <c r="E398">
        <f t="shared" si="19"/>
        <v>3.8257943038863456</v>
      </c>
      <c r="I398" s="24">
        <f t="shared" si="20"/>
        <v>0.5818181830112652</v>
      </c>
      <c r="N398" s="30">
        <v>41303.985074626864</v>
      </c>
    </row>
    <row r="399" spans="1:14" x14ac:dyDescent="0.3">
      <c r="A399">
        <v>6.048</v>
      </c>
      <c r="B399">
        <v>46.884599999999999</v>
      </c>
      <c r="C399">
        <f t="shared" si="18"/>
        <v>46.469219999999993</v>
      </c>
      <c r="D399">
        <v>0.71027272727272728</v>
      </c>
      <c r="E399">
        <f t="shared" si="19"/>
        <v>3.8387901579334214</v>
      </c>
      <c r="I399" s="24">
        <f t="shared" si="20"/>
        <v>0.59184626049133204</v>
      </c>
      <c r="N399" s="30">
        <v>41300.358208955222</v>
      </c>
    </row>
    <row r="400" spans="1:14" x14ac:dyDescent="0.3">
      <c r="A400">
        <v>6.0632999999999999</v>
      </c>
      <c r="B400">
        <v>47.461500000000001</v>
      </c>
      <c r="C400">
        <f t="shared" si="18"/>
        <v>46.915360000000007</v>
      </c>
      <c r="D400">
        <v>0.71036363636363631</v>
      </c>
      <c r="E400">
        <f t="shared" si="19"/>
        <v>3.8483451271645599</v>
      </c>
      <c r="I400" s="24">
        <f t="shared" si="20"/>
        <v>0.59930901245886647</v>
      </c>
      <c r="N400" s="30">
        <v>41296.73134328358</v>
      </c>
    </row>
    <row r="401" spans="1:18" x14ac:dyDescent="0.3">
      <c r="A401">
        <v>6.0785</v>
      </c>
      <c r="B401">
        <v>47.269199999999998</v>
      </c>
      <c r="C401">
        <f t="shared" si="18"/>
        <v>46.91536</v>
      </c>
      <c r="D401">
        <v>0.71045454545454545</v>
      </c>
      <c r="E401">
        <f t="shared" si="19"/>
        <v>3.8483451271645599</v>
      </c>
      <c r="I401" s="24">
        <f t="shared" si="20"/>
        <v>0.59923232544511618</v>
      </c>
      <c r="N401" s="30">
        <v>41293.104477611938</v>
      </c>
    </row>
    <row r="402" spans="1:18" x14ac:dyDescent="0.3">
      <c r="A402">
        <v>6.0937000000000001</v>
      </c>
      <c r="B402">
        <v>47.076900000000002</v>
      </c>
      <c r="C402">
        <f t="shared" si="18"/>
        <v>46.646140000000003</v>
      </c>
      <c r="D402">
        <v>0.71054545454545459</v>
      </c>
      <c r="E402">
        <f t="shared" si="19"/>
        <v>3.8425901800328082</v>
      </c>
      <c r="I402" s="24">
        <f t="shared" si="20"/>
        <v>0.59460497267771306</v>
      </c>
      <c r="N402" s="30">
        <v>41289.477611940296</v>
      </c>
    </row>
    <row r="403" spans="1:18" x14ac:dyDescent="0.3">
      <c r="A403">
        <v>6.109</v>
      </c>
      <c r="B403">
        <v>45.884599999999999</v>
      </c>
      <c r="C403">
        <f t="shared" si="18"/>
        <v>46.176920000000003</v>
      </c>
      <c r="D403">
        <v>0.71063636363636362</v>
      </c>
      <c r="E403">
        <f t="shared" si="19"/>
        <v>3.8324801061629086</v>
      </c>
      <c r="I403" s="24">
        <f t="shared" si="20"/>
        <v>0.5866189807407749</v>
      </c>
      <c r="N403" s="30">
        <v>41285.850746268654</v>
      </c>
    </row>
    <row r="404" spans="1:18" x14ac:dyDescent="0.3">
      <c r="A404">
        <v>6.1242000000000001</v>
      </c>
      <c r="B404">
        <v>45.538499999999999</v>
      </c>
      <c r="C404">
        <f t="shared" si="18"/>
        <v>45.646159999999995</v>
      </c>
      <c r="D404">
        <v>0.71072727272727265</v>
      </c>
      <c r="E404">
        <f t="shared" si="19"/>
        <v>3.8209194852114883</v>
      </c>
      <c r="I404" s="24">
        <f t="shared" si="20"/>
        <v>0.57762916773698281</v>
      </c>
      <c r="N404" s="30">
        <v>41282.223880597012</v>
      </c>
    </row>
    <row r="405" spans="1:18" x14ac:dyDescent="0.3">
      <c r="A405">
        <v>6.1394000000000002</v>
      </c>
      <c r="B405">
        <v>45.115400000000001</v>
      </c>
      <c r="C405">
        <f t="shared" si="18"/>
        <v>45.0077</v>
      </c>
      <c r="D405">
        <v>0.71081818181818179</v>
      </c>
      <c r="E405">
        <f t="shared" si="19"/>
        <v>3.8068335862435942</v>
      </c>
      <c r="I405" s="24">
        <f t="shared" si="20"/>
        <v>0.56687747320706716</v>
      </c>
      <c r="N405" s="30">
        <v>41278.59701492537</v>
      </c>
    </row>
    <row r="406" spans="1:18" x14ac:dyDescent="0.3">
      <c r="A406">
        <v>6.1547000000000001</v>
      </c>
      <c r="B406">
        <v>44.615400000000001</v>
      </c>
      <c r="C406">
        <f t="shared" si="18"/>
        <v>44.476939999999999</v>
      </c>
      <c r="D406">
        <v>0.71090909090909082</v>
      </c>
      <c r="E406">
        <f t="shared" si="19"/>
        <v>3.794970852611816</v>
      </c>
      <c r="I406" s="24">
        <f t="shared" si="20"/>
        <v>0.5579668482113378</v>
      </c>
      <c r="N406" s="30">
        <v>41274.970149253735</v>
      </c>
      <c r="O406">
        <v>2012</v>
      </c>
      <c r="P406" s="24">
        <f>AVERAGE(I406:I534)</f>
        <v>0.61419012154780461</v>
      </c>
      <c r="Q406">
        <f>A534-A406</f>
        <v>1.9499999999999993</v>
      </c>
      <c r="R406">
        <f>P406*Q406</f>
        <v>1.1976707370182185</v>
      </c>
    </row>
    <row r="407" spans="1:18" x14ac:dyDescent="0.3">
      <c r="A407">
        <v>6.1699000000000002</v>
      </c>
      <c r="B407">
        <v>43.884599999999999</v>
      </c>
      <c r="C407">
        <f t="shared" si="18"/>
        <v>43.907699999999998</v>
      </c>
      <c r="D407">
        <v>0.71099999999999997</v>
      </c>
      <c r="E407">
        <f t="shared" si="19"/>
        <v>3.7820897033338414</v>
      </c>
      <c r="I407" s="24">
        <f t="shared" si="20"/>
        <v>0.54845582200626075</v>
      </c>
      <c r="N407" s="30">
        <v>41271.343283582093</v>
      </c>
    </row>
    <row r="408" spans="1:18" x14ac:dyDescent="0.3">
      <c r="A408">
        <v>6.1851000000000003</v>
      </c>
      <c r="B408">
        <v>43.230800000000002</v>
      </c>
      <c r="C408">
        <f t="shared" si="18"/>
        <v>43.346159999999998</v>
      </c>
      <c r="D408">
        <v>0.711090909090909</v>
      </c>
      <c r="E408">
        <f t="shared" si="19"/>
        <v>3.7692181179881157</v>
      </c>
      <c r="I408" s="24">
        <f t="shared" si="20"/>
        <v>0.5391137589485836</v>
      </c>
      <c r="N408" s="30">
        <v>41267.716417910451</v>
      </c>
    </row>
    <row r="409" spans="1:18" x14ac:dyDescent="0.3">
      <c r="A409">
        <v>6.2004000000000001</v>
      </c>
      <c r="B409">
        <v>42.692300000000003</v>
      </c>
      <c r="C409">
        <f t="shared" si="18"/>
        <v>42.67692000000001</v>
      </c>
      <c r="D409">
        <v>0.71118181818181814</v>
      </c>
      <c r="E409">
        <f t="shared" si="19"/>
        <v>3.7536582588810843</v>
      </c>
      <c r="I409" s="24">
        <f t="shared" si="20"/>
        <v>0.5280468793900448</v>
      </c>
      <c r="N409" s="30">
        <v>41264.089552238809</v>
      </c>
    </row>
    <row r="410" spans="1:18" x14ac:dyDescent="0.3">
      <c r="A410">
        <v>6.2156000000000002</v>
      </c>
      <c r="B410">
        <v>42.307699999999997</v>
      </c>
      <c r="C410">
        <f t="shared" si="18"/>
        <v>42.176920000000003</v>
      </c>
      <c r="D410">
        <v>0.71127272727272728</v>
      </c>
      <c r="E410">
        <f t="shared" si="19"/>
        <v>3.7418731519957005</v>
      </c>
      <c r="I410" s="24">
        <f t="shared" si="20"/>
        <v>0.51980011157498063</v>
      </c>
      <c r="N410" s="30">
        <v>41260.462686567167</v>
      </c>
    </row>
    <row r="411" spans="1:18" x14ac:dyDescent="0.3">
      <c r="A411">
        <v>6.2308000000000003</v>
      </c>
      <c r="B411">
        <v>41.269199999999998</v>
      </c>
      <c r="C411">
        <f t="shared" si="18"/>
        <v>41.869219999999999</v>
      </c>
      <c r="D411">
        <v>0.71136363636363631</v>
      </c>
      <c r="E411">
        <f t="shared" si="19"/>
        <v>3.7345509507674879</v>
      </c>
      <c r="I411" s="24">
        <f t="shared" si="20"/>
        <v>0.51471640597275736</v>
      </c>
      <c r="N411" s="30">
        <v>41256.835820895525</v>
      </c>
    </row>
    <row r="412" spans="1:18" x14ac:dyDescent="0.3">
      <c r="A412">
        <v>6.2461000000000002</v>
      </c>
      <c r="B412">
        <v>41.384599999999999</v>
      </c>
      <c r="C412">
        <f t="shared" si="18"/>
        <v>41.753839999999997</v>
      </c>
      <c r="D412">
        <v>0.71145454545454545</v>
      </c>
      <c r="E412">
        <f t="shared" si="19"/>
        <v>3.7317914231152312</v>
      </c>
      <c r="I412" s="24">
        <f t="shared" si="20"/>
        <v>0.51277259966106614</v>
      </c>
      <c r="N412" s="30">
        <v>41253.208955223883</v>
      </c>
    </row>
    <row r="413" spans="1:18" x14ac:dyDescent="0.3">
      <c r="A413">
        <v>6.2613000000000003</v>
      </c>
      <c r="B413">
        <v>41.692300000000003</v>
      </c>
      <c r="C413">
        <f t="shared" si="18"/>
        <v>41.815379999999998</v>
      </c>
      <c r="D413">
        <v>0.71154545454545448</v>
      </c>
      <c r="E413">
        <f t="shared" si="19"/>
        <v>3.7332642144401698</v>
      </c>
      <c r="I413" s="24">
        <f t="shared" si="20"/>
        <v>0.51370843338977157</v>
      </c>
      <c r="N413" s="30">
        <v>41249.582089552241</v>
      </c>
    </row>
    <row r="414" spans="1:18" x14ac:dyDescent="0.3">
      <c r="A414">
        <v>6.2765000000000004</v>
      </c>
      <c r="B414">
        <v>42.115400000000001</v>
      </c>
      <c r="C414">
        <f t="shared" si="18"/>
        <v>42.261539999999997</v>
      </c>
      <c r="D414">
        <v>0.71163636363636362</v>
      </c>
      <c r="E414">
        <f t="shared" si="19"/>
        <v>3.7438774526029852</v>
      </c>
      <c r="I414" s="24">
        <f t="shared" si="20"/>
        <v>0.52091585266031126</v>
      </c>
      <c r="N414" s="30">
        <v>41245.955223880599</v>
      </c>
    </row>
    <row r="415" spans="1:18" x14ac:dyDescent="0.3">
      <c r="A415">
        <v>6.2918000000000003</v>
      </c>
      <c r="B415">
        <v>42.615400000000001</v>
      </c>
      <c r="C415">
        <f t="shared" si="18"/>
        <v>42.869240000000005</v>
      </c>
      <c r="D415">
        <v>0.71172727272727276</v>
      </c>
      <c r="E415">
        <f t="shared" si="19"/>
        <v>3.7581545524378139</v>
      </c>
      <c r="I415" s="24">
        <f t="shared" si="20"/>
        <v>0.53079457446168199</v>
      </c>
      <c r="N415" s="30">
        <v>41242.328358208957</v>
      </c>
    </row>
    <row r="416" spans="1:18" x14ac:dyDescent="0.3">
      <c r="A416">
        <v>6.3070000000000004</v>
      </c>
      <c r="B416">
        <v>43.5</v>
      </c>
      <c r="C416">
        <f t="shared" si="18"/>
        <v>43.52308</v>
      </c>
      <c r="D416">
        <v>0.71181818181818179</v>
      </c>
      <c r="E416">
        <f t="shared" si="19"/>
        <v>3.7732913721022867</v>
      </c>
      <c r="I416" s="24">
        <f t="shared" si="20"/>
        <v>0.54147701443187979</v>
      </c>
      <c r="N416" s="30">
        <v>41238.701492537315</v>
      </c>
    </row>
    <row r="417" spans="1:14" x14ac:dyDescent="0.3">
      <c r="A417">
        <v>6.3221999999999996</v>
      </c>
      <c r="B417">
        <v>44.423099999999998</v>
      </c>
      <c r="C417">
        <f t="shared" si="18"/>
        <v>44.361540000000005</v>
      </c>
      <c r="D417">
        <v>0.71190909090909094</v>
      </c>
      <c r="E417">
        <f t="shared" si="19"/>
        <v>3.792372877839906</v>
      </c>
      <c r="I417" s="24">
        <f t="shared" si="20"/>
        <v>0.55526867217476317</v>
      </c>
      <c r="N417" s="30">
        <v>41235.074626865673</v>
      </c>
    </row>
    <row r="418" spans="1:14" x14ac:dyDescent="0.3">
      <c r="A418">
        <v>6.3375000000000004</v>
      </c>
      <c r="B418">
        <v>44.961500000000001</v>
      </c>
      <c r="C418">
        <f t="shared" si="18"/>
        <v>45.061539999999994</v>
      </c>
      <c r="D418">
        <v>0.71199999999999997</v>
      </c>
      <c r="E418">
        <f t="shared" si="19"/>
        <v>3.808029111073441</v>
      </c>
      <c r="I418" s="24">
        <f t="shared" si="20"/>
        <v>0.56683359587276816</v>
      </c>
      <c r="N418" s="30">
        <v>41231.447761194031</v>
      </c>
    </row>
    <row r="419" spans="1:14" x14ac:dyDescent="0.3">
      <c r="A419">
        <v>6.3526999999999996</v>
      </c>
      <c r="B419">
        <v>46.307699999999997</v>
      </c>
      <c r="C419">
        <f t="shared" si="18"/>
        <v>45.523079999999993</v>
      </c>
      <c r="D419">
        <v>0.71209090909090911</v>
      </c>
      <c r="E419">
        <f t="shared" si="19"/>
        <v>3.8182194500949724</v>
      </c>
      <c r="I419" s="24">
        <f t="shared" si="20"/>
        <v>0.57446447955499913</v>
      </c>
      <c r="N419" s="30">
        <v>41227.820895522389</v>
      </c>
    </row>
    <row r="420" spans="1:14" x14ac:dyDescent="0.3">
      <c r="A420">
        <v>6.3678999999999997</v>
      </c>
      <c r="B420">
        <v>46.115400000000001</v>
      </c>
      <c r="C420">
        <f t="shared" si="18"/>
        <v>45.715379999999996</v>
      </c>
      <c r="D420">
        <v>0.71218181818181814</v>
      </c>
      <c r="E420">
        <f t="shared" si="19"/>
        <v>3.8224347839519615</v>
      </c>
      <c r="I420" s="24">
        <f t="shared" si="20"/>
        <v>0.57760779579453292</v>
      </c>
      <c r="N420" s="30">
        <v>41224.194029850747</v>
      </c>
    </row>
    <row r="421" spans="1:14" x14ac:dyDescent="0.3">
      <c r="A421">
        <v>6.3832000000000004</v>
      </c>
      <c r="B421">
        <v>45.807699999999997</v>
      </c>
      <c r="C421">
        <f t="shared" si="18"/>
        <v>45.792320000000004</v>
      </c>
      <c r="D421">
        <v>0.71227272727272717</v>
      </c>
      <c r="E421">
        <f t="shared" si="19"/>
        <v>3.8241163914698193</v>
      </c>
      <c r="I421" s="24">
        <f t="shared" si="20"/>
        <v>0.5788221352862698</v>
      </c>
      <c r="N421" s="30">
        <v>41220.567164179105</v>
      </c>
    </row>
    <row r="422" spans="1:14" x14ac:dyDescent="0.3">
      <c r="A422">
        <v>6.3983999999999996</v>
      </c>
      <c r="B422">
        <v>45.384599999999999</v>
      </c>
      <c r="C422">
        <f t="shared" si="18"/>
        <v>45.584620000000008</v>
      </c>
      <c r="D422">
        <v>0.71236363636363631</v>
      </c>
      <c r="E422">
        <f t="shared" si="19"/>
        <v>3.8195703789266577</v>
      </c>
      <c r="I422" s="24">
        <f t="shared" si="20"/>
        <v>0.57527319847675729</v>
      </c>
      <c r="N422" s="30">
        <v>41216.940298507463</v>
      </c>
    </row>
    <row r="423" spans="1:14" x14ac:dyDescent="0.3">
      <c r="A423">
        <v>6.4135999999999997</v>
      </c>
      <c r="B423">
        <v>45.346200000000003</v>
      </c>
      <c r="C423">
        <f t="shared" si="18"/>
        <v>45.423080000000006</v>
      </c>
      <c r="D423">
        <v>0.71245454545454545</v>
      </c>
      <c r="E423">
        <f t="shared" si="19"/>
        <v>3.8160203459150823</v>
      </c>
      <c r="I423" s="24">
        <f t="shared" si="20"/>
        <v>0.57250093237138833</v>
      </c>
      <c r="N423" s="30">
        <v>41213.313432835821</v>
      </c>
    </row>
    <row r="424" spans="1:14" x14ac:dyDescent="0.3">
      <c r="A424">
        <v>6.4288999999999996</v>
      </c>
      <c r="B424">
        <v>45.269199999999998</v>
      </c>
      <c r="C424">
        <f t="shared" si="18"/>
        <v>45.330780000000004</v>
      </c>
      <c r="D424">
        <v>0.71254545454545448</v>
      </c>
      <c r="E424">
        <f t="shared" si="19"/>
        <v>3.813986271952301</v>
      </c>
      <c r="I424" s="24">
        <f t="shared" si="20"/>
        <v>0.57088742216142196</v>
      </c>
      <c r="N424" s="30">
        <v>41209.686567164179</v>
      </c>
    </row>
    <row r="425" spans="1:14" x14ac:dyDescent="0.3">
      <c r="A425">
        <v>6.4440999999999997</v>
      </c>
      <c r="B425">
        <v>45.307699999999997</v>
      </c>
      <c r="C425">
        <f t="shared" si="18"/>
        <v>45.261559999999996</v>
      </c>
      <c r="D425">
        <v>0.71263636363636362</v>
      </c>
      <c r="E425">
        <f t="shared" si="19"/>
        <v>3.8124581071323895</v>
      </c>
      <c r="I425" s="24">
        <f t="shared" si="20"/>
        <v>0.56966014316660141</v>
      </c>
      <c r="N425" s="30">
        <v>41206.059701492537</v>
      </c>
    </row>
    <row r="426" spans="1:14" x14ac:dyDescent="0.3">
      <c r="A426">
        <v>6.4593999999999996</v>
      </c>
      <c r="B426">
        <v>45.346200000000003</v>
      </c>
      <c r="C426">
        <f t="shared" si="18"/>
        <v>45.292320000000004</v>
      </c>
      <c r="D426">
        <v>0.71272727272727265</v>
      </c>
      <c r="E426">
        <f t="shared" si="19"/>
        <v>3.8131374816922232</v>
      </c>
      <c r="I426" s="24">
        <f t="shared" si="20"/>
        <v>0.57010036211156456</v>
      </c>
      <c r="N426" s="30">
        <v>41202.432835820895</v>
      </c>
    </row>
    <row r="427" spans="1:14" x14ac:dyDescent="0.3">
      <c r="A427">
        <v>6.4745999999999997</v>
      </c>
      <c r="B427">
        <v>45.038499999999999</v>
      </c>
      <c r="C427">
        <f t="shared" si="18"/>
        <v>45.376940000000005</v>
      </c>
      <c r="D427">
        <v>0.7128181818181818</v>
      </c>
      <c r="E427">
        <f t="shared" si="19"/>
        <v>3.8150040464919903</v>
      </c>
      <c r="I427" s="24">
        <f t="shared" si="20"/>
        <v>0.57143897742211713</v>
      </c>
      <c r="N427" s="30">
        <v>41198.805970149253</v>
      </c>
    </row>
    <row r="428" spans="1:14" x14ac:dyDescent="0.3">
      <c r="A428">
        <v>6.4897999999999998</v>
      </c>
      <c r="B428">
        <v>45.5</v>
      </c>
      <c r="C428">
        <f t="shared" si="18"/>
        <v>45.5077</v>
      </c>
      <c r="D428">
        <v>0.71290909090909094</v>
      </c>
      <c r="E428">
        <f t="shared" si="19"/>
        <v>3.8178815424082244</v>
      </c>
      <c r="I428" s="24">
        <f t="shared" si="20"/>
        <v>0.57354837376483347</v>
      </c>
      <c r="N428" s="30">
        <v>41195.179104477611</v>
      </c>
    </row>
    <row r="429" spans="1:14" x14ac:dyDescent="0.3">
      <c r="A429">
        <v>6.5050999999999997</v>
      </c>
      <c r="B429">
        <v>45.692300000000003</v>
      </c>
      <c r="C429">
        <f t="shared" si="18"/>
        <v>45.823079999999997</v>
      </c>
      <c r="D429">
        <v>0.71299999999999997</v>
      </c>
      <c r="E429">
        <f t="shared" si="19"/>
        <v>3.8247878943209961</v>
      </c>
      <c r="I429" s="24">
        <f t="shared" si="20"/>
        <v>0.57874635422869158</v>
      </c>
      <c r="N429" s="30">
        <v>41191.552238805969</v>
      </c>
    </row>
    <row r="430" spans="1:14" x14ac:dyDescent="0.3">
      <c r="A430">
        <v>6.5202999999999998</v>
      </c>
      <c r="B430">
        <v>45.961500000000001</v>
      </c>
      <c r="C430">
        <f t="shared" si="18"/>
        <v>46.4923</v>
      </c>
      <c r="D430">
        <v>0.71309090909090911</v>
      </c>
      <c r="E430">
        <f t="shared" si="19"/>
        <v>3.8392867074836921</v>
      </c>
      <c r="I430" s="24">
        <f t="shared" si="20"/>
        <v>0.5898951678876081</v>
      </c>
      <c r="N430" s="30">
        <v>41187.925373134327</v>
      </c>
    </row>
    <row r="431" spans="1:14" x14ac:dyDescent="0.3">
      <c r="A431">
        <v>6.5354999999999999</v>
      </c>
      <c r="B431">
        <v>46.923099999999998</v>
      </c>
      <c r="C431">
        <f t="shared" si="18"/>
        <v>47.3</v>
      </c>
      <c r="D431">
        <v>0.71318181818181814</v>
      </c>
      <c r="E431">
        <f t="shared" si="19"/>
        <v>3.8565102954978872</v>
      </c>
      <c r="I431" s="24">
        <f t="shared" si="20"/>
        <v>0.60343309401330358</v>
      </c>
      <c r="N431" s="30">
        <v>41184.298507462685</v>
      </c>
    </row>
    <row r="432" spans="1:14" x14ac:dyDescent="0.3">
      <c r="A432">
        <v>6.5507999999999997</v>
      </c>
      <c r="B432">
        <v>48.384599999999999</v>
      </c>
      <c r="C432">
        <f t="shared" si="18"/>
        <v>48.138460000000002</v>
      </c>
      <c r="D432">
        <v>0.71327272727272728</v>
      </c>
      <c r="E432">
        <f t="shared" si="19"/>
        <v>3.8740814418141523</v>
      </c>
      <c r="I432" s="24">
        <f t="shared" si="20"/>
        <v>0.61756601159303981</v>
      </c>
      <c r="N432" s="30">
        <v>41180.671641791043</v>
      </c>
    </row>
    <row r="433" spans="1:14" x14ac:dyDescent="0.3">
      <c r="A433">
        <v>6.5659999999999998</v>
      </c>
      <c r="B433">
        <v>49.538499999999999</v>
      </c>
      <c r="C433">
        <f t="shared" si="18"/>
        <v>49.038460000000001</v>
      </c>
      <c r="D433">
        <v>0.71336363636363642</v>
      </c>
      <c r="E433">
        <f t="shared" si="19"/>
        <v>3.8926048881984951</v>
      </c>
      <c r="I433" s="24">
        <f t="shared" si="20"/>
        <v>0.63282782110188263</v>
      </c>
      <c r="N433" s="30">
        <v>41177.044776119401</v>
      </c>
    </row>
    <row r="434" spans="1:14" x14ac:dyDescent="0.3">
      <c r="A434">
        <v>6.5811999999999999</v>
      </c>
      <c r="B434">
        <v>49.884599999999999</v>
      </c>
      <c r="C434">
        <f t="shared" si="18"/>
        <v>49.730760000000004</v>
      </c>
      <c r="D434">
        <v>0.71345454545454545</v>
      </c>
      <c r="E434">
        <f t="shared" si="19"/>
        <v>3.9066236551355091</v>
      </c>
      <c r="I434" s="24">
        <f t="shared" si="20"/>
        <v>0.64460840854271995</v>
      </c>
      <c r="N434" s="30">
        <v>41173.417910447759</v>
      </c>
    </row>
    <row r="435" spans="1:14" x14ac:dyDescent="0.3">
      <c r="A435">
        <v>6.5964999999999998</v>
      </c>
      <c r="B435">
        <v>50.461500000000001</v>
      </c>
      <c r="C435">
        <f t="shared" si="18"/>
        <v>50.192300000000003</v>
      </c>
      <c r="D435">
        <v>0.71354545454545459</v>
      </c>
      <c r="E435">
        <f t="shared" si="19"/>
        <v>3.915861628478595</v>
      </c>
      <c r="I435" s="24">
        <f t="shared" si="20"/>
        <v>0.65246276216511512</v>
      </c>
      <c r="N435" s="30">
        <v>41169.791044776117</v>
      </c>
    </row>
    <row r="436" spans="1:14" x14ac:dyDescent="0.3">
      <c r="A436">
        <v>6.6116999999999999</v>
      </c>
      <c r="B436">
        <v>50.384599999999999</v>
      </c>
      <c r="C436">
        <f t="shared" si="18"/>
        <v>50.44614</v>
      </c>
      <c r="D436">
        <v>0.71363636363636362</v>
      </c>
      <c r="E436">
        <f t="shared" si="19"/>
        <v>3.9209062324750485</v>
      </c>
      <c r="I436" s="24">
        <f t="shared" si="20"/>
        <v>0.6567541600310649</v>
      </c>
      <c r="N436" s="30">
        <v>41166.164179104475</v>
      </c>
    </row>
    <row r="437" spans="1:14" x14ac:dyDescent="0.3">
      <c r="A437">
        <v>6.6269</v>
      </c>
      <c r="B437">
        <v>50.692300000000003</v>
      </c>
      <c r="C437">
        <f t="shared" si="18"/>
        <v>50.684600000000003</v>
      </c>
      <c r="D437">
        <v>0.71372727272727265</v>
      </c>
      <c r="E437">
        <f t="shared" si="19"/>
        <v>3.9256221169219949</v>
      </c>
      <c r="I437" s="24">
        <f t="shared" si="20"/>
        <v>0.66078596733489914</v>
      </c>
      <c r="N437" s="30">
        <v>41162.537313432833</v>
      </c>
    </row>
    <row r="438" spans="1:14" x14ac:dyDescent="0.3">
      <c r="A438">
        <v>6.6421999999999999</v>
      </c>
      <c r="B438">
        <v>50.807699999999997</v>
      </c>
      <c r="C438">
        <f t="shared" si="18"/>
        <v>50.8</v>
      </c>
      <c r="D438">
        <v>0.7138181818181818</v>
      </c>
      <c r="E438">
        <f t="shared" si="19"/>
        <v>3.9278963545844361</v>
      </c>
      <c r="I438" s="24">
        <f t="shared" si="20"/>
        <v>0.66269544916915224</v>
      </c>
      <c r="N438" s="30">
        <v>41158.910447761191</v>
      </c>
    </row>
    <row r="439" spans="1:14" x14ac:dyDescent="0.3">
      <c r="A439">
        <v>6.6574</v>
      </c>
      <c r="B439">
        <v>51.076900000000002</v>
      </c>
      <c r="C439">
        <f t="shared" si="18"/>
        <v>50.915379999999999</v>
      </c>
      <c r="D439">
        <v>0.71390909090909083</v>
      </c>
      <c r="E439">
        <f t="shared" si="19"/>
        <v>3.9301650390152019</v>
      </c>
      <c r="I439" s="24">
        <f t="shared" si="20"/>
        <v>0.66460557016880595</v>
      </c>
      <c r="N439" s="30">
        <v>41155.283582089549</v>
      </c>
    </row>
    <row r="440" spans="1:14" x14ac:dyDescent="0.3">
      <c r="A440">
        <v>6.6726000000000001</v>
      </c>
      <c r="B440">
        <v>51.038499999999999</v>
      </c>
      <c r="C440">
        <f t="shared" si="18"/>
        <v>50.915380000000006</v>
      </c>
      <c r="D440">
        <v>0.71399999999999997</v>
      </c>
      <c r="E440">
        <f t="shared" si="19"/>
        <v>3.9301650390152023</v>
      </c>
      <c r="I440" s="24">
        <f t="shared" si="20"/>
        <v>0.66452095015732526</v>
      </c>
      <c r="N440" s="30">
        <v>41151.656716417914</v>
      </c>
    </row>
    <row r="441" spans="1:14" x14ac:dyDescent="0.3">
      <c r="A441">
        <v>6.6879</v>
      </c>
      <c r="B441">
        <v>50.961500000000001</v>
      </c>
      <c r="C441">
        <f t="shared" si="18"/>
        <v>50.95384</v>
      </c>
      <c r="D441">
        <v>0.71409090909090911</v>
      </c>
      <c r="E441">
        <f t="shared" si="19"/>
        <v>3.9309201248365588</v>
      </c>
      <c r="I441" s="24">
        <f t="shared" si="20"/>
        <v>0.665101344974109</v>
      </c>
      <c r="N441" s="30">
        <v>41148.029850746272</v>
      </c>
    </row>
    <row r="442" spans="1:14" x14ac:dyDescent="0.3">
      <c r="A442">
        <v>6.7031000000000001</v>
      </c>
      <c r="B442">
        <v>50.692300000000003</v>
      </c>
      <c r="C442">
        <f t="shared" ref="C442:C505" si="21">AVERAGE(B440:B444)</f>
        <v>50.969219999999993</v>
      </c>
      <c r="D442">
        <v>0.71418181818181814</v>
      </c>
      <c r="E442">
        <f t="shared" ref="E442:E505" si="22">LN(C442)</f>
        <v>3.9312219211153741</v>
      </c>
      <c r="I442" s="24">
        <f t="shared" ref="I442:I505" si="23">(0.0026*(EXP(1.3248*E442)))/D442</f>
        <v>0.6652826233356991</v>
      </c>
      <c r="N442" s="30">
        <v>41144.40298507463</v>
      </c>
    </row>
    <row r="443" spans="1:14" x14ac:dyDescent="0.3">
      <c r="A443">
        <v>6.7183000000000002</v>
      </c>
      <c r="B443">
        <v>51</v>
      </c>
      <c r="C443">
        <f t="shared" si="21"/>
        <v>51.030760000000001</v>
      </c>
      <c r="D443">
        <v>0.71427272727272728</v>
      </c>
      <c r="E443">
        <f t="shared" si="22"/>
        <v>3.932428588165056</v>
      </c>
      <c r="I443" s="24">
        <f t="shared" si="23"/>
        <v>0.66626218032936424</v>
      </c>
      <c r="N443" s="30">
        <v>41140.776119402988</v>
      </c>
    </row>
    <row r="444" spans="1:14" x14ac:dyDescent="0.3">
      <c r="A444">
        <v>6.7336</v>
      </c>
      <c r="B444">
        <v>51.153799999999997</v>
      </c>
      <c r="C444">
        <f t="shared" si="21"/>
        <v>51.253840000000004</v>
      </c>
      <c r="D444">
        <v>0.71436363636363631</v>
      </c>
      <c r="E444">
        <f t="shared" si="22"/>
        <v>3.9367905420409111</v>
      </c>
      <c r="I444" s="24">
        <f t="shared" si="23"/>
        <v>0.67003818733644005</v>
      </c>
      <c r="N444" s="30">
        <v>41137.149253731346</v>
      </c>
    </row>
    <row r="445" spans="1:14" x14ac:dyDescent="0.3">
      <c r="A445">
        <v>6.7488000000000001</v>
      </c>
      <c r="B445">
        <v>51.346200000000003</v>
      </c>
      <c r="C445">
        <f t="shared" si="21"/>
        <v>51.715380000000003</v>
      </c>
      <c r="D445">
        <v>0.71445454545454545</v>
      </c>
      <c r="E445">
        <f t="shared" si="22"/>
        <v>3.9457552227675778</v>
      </c>
      <c r="I445" s="24">
        <f t="shared" si="23"/>
        <v>0.67795700065356324</v>
      </c>
      <c r="N445" s="30">
        <v>41133.522388059704</v>
      </c>
    </row>
    <row r="446" spans="1:14" x14ac:dyDescent="0.3">
      <c r="A446">
        <v>6.7640000000000002</v>
      </c>
      <c r="B446">
        <v>52.076900000000002</v>
      </c>
      <c r="C446">
        <f t="shared" si="21"/>
        <v>52.238459999999996</v>
      </c>
      <c r="D446">
        <v>0.71454545454545459</v>
      </c>
      <c r="E446">
        <f t="shared" si="22"/>
        <v>3.9558190052074647</v>
      </c>
      <c r="I446" s="24">
        <f t="shared" si="23"/>
        <v>0.68696897389905565</v>
      </c>
      <c r="N446" s="30">
        <v>41129.895522388062</v>
      </c>
    </row>
    <row r="447" spans="1:14" x14ac:dyDescent="0.3">
      <c r="A447">
        <v>6.7793000000000001</v>
      </c>
      <c r="B447">
        <v>53</v>
      </c>
      <c r="C447">
        <f t="shared" si="21"/>
        <v>52.738459999999996</v>
      </c>
      <c r="D447">
        <v>0.71463636363636363</v>
      </c>
      <c r="E447">
        <f t="shared" si="22"/>
        <v>3.9653449806505043</v>
      </c>
      <c r="I447" s="24">
        <f t="shared" si="23"/>
        <v>0.69560496722766896</v>
      </c>
      <c r="N447" s="30">
        <v>41126.26865671642</v>
      </c>
    </row>
    <row r="448" spans="1:14" x14ac:dyDescent="0.3">
      <c r="A448">
        <v>6.7945000000000002</v>
      </c>
      <c r="B448">
        <v>53.615400000000001</v>
      </c>
      <c r="C448">
        <f t="shared" si="21"/>
        <v>53.184600000000003</v>
      </c>
      <c r="D448">
        <v>0.71472727272727277</v>
      </c>
      <c r="E448">
        <f t="shared" si="22"/>
        <v>3.973768880757794</v>
      </c>
      <c r="I448" s="24">
        <f t="shared" si="23"/>
        <v>0.70332191568995872</v>
      </c>
      <c r="N448" s="30">
        <v>41122.641791044778</v>
      </c>
    </row>
    <row r="449" spans="1:14" x14ac:dyDescent="0.3">
      <c r="A449">
        <v>6.8097000000000003</v>
      </c>
      <c r="B449">
        <v>53.653799999999997</v>
      </c>
      <c r="C449">
        <f t="shared" si="21"/>
        <v>53.738459999999996</v>
      </c>
      <c r="D449">
        <v>0.7148181818181818</v>
      </c>
      <c r="E449">
        <f t="shared" si="22"/>
        <v>3.9841289462825085</v>
      </c>
      <c r="I449" s="24">
        <f t="shared" si="23"/>
        <v>0.71295088485945379</v>
      </c>
      <c r="N449" s="30">
        <v>41119.014925373136</v>
      </c>
    </row>
    <row r="450" spans="1:14" x14ac:dyDescent="0.3">
      <c r="A450">
        <v>6.8250000000000002</v>
      </c>
      <c r="B450">
        <v>53.576900000000002</v>
      </c>
      <c r="C450">
        <f t="shared" si="21"/>
        <v>54.084620000000008</v>
      </c>
      <c r="D450">
        <v>0.71490909090909094</v>
      </c>
      <c r="E450">
        <f t="shared" si="22"/>
        <v>3.9905498570799431</v>
      </c>
      <c r="I450" s="24">
        <f t="shared" si="23"/>
        <v>0.71894997941408911</v>
      </c>
      <c r="N450" s="30">
        <v>41115.388059701494</v>
      </c>
    </row>
    <row r="451" spans="1:14" x14ac:dyDescent="0.3">
      <c r="A451">
        <v>6.8402000000000003</v>
      </c>
      <c r="B451">
        <v>54.846200000000003</v>
      </c>
      <c r="C451">
        <f t="shared" si="21"/>
        <v>54.330780000000004</v>
      </c>
      <c r="D451">
        <v>0.71500000000000008</v>
      </c>
      <c r="E451">
        <f t="shared" si="22"/>
        <v>3.9950909171693758</v>
      </c>
      <c r="I451" s="24">
        <f t="shared" si="23"/>
        <v>0.72319625333005999</v>
      </c>
      <c r="N451" s="30">
        <v>41111.761194029852</v>
      </c>
    </row>
    <row r="452" spans="1:14" x14ac:dyDescent="0.3">
      <c r="A452">
        <v>6.8554000000000004</v>
      </c>
      <c r="B452">
        <v>54.730800000000002</v>
      </c>
      <c r="C452">
        <f t="shared" si="21"/>
        <v>54.661560000000009</v>
      </c>
      <c r="D452">
        <v>0.71509090909090911</v>
      </c>
      <c r="E452">
        <f t="shared" si="22"/>
        <v>4.0011607201585235</v>
      </c>
      <c r="I452" s="24">
        <f t="shared" si="23"/>
        <v>0.7289424359666471</v>
      </c>
      <c r="N452" s="30">
        <v>41108.13432835821</v>
      </c>
    </row>
    <row r="453" spans="1:14" x14ac:dyDescent="0.3">
      <c r="A453">
        <v>6.8707000000000003</v>
      </c>
      <c r="B453">
        <v>54.846200000000003</v>
      </c>
      <c r="C453">
        <f t="shared" si="21"/>
        <v>55.138480000000001</v>
      </c>
      <c r="D453">
        <v>0.71518181818181825</v>
      </c>
      <c r="E453">
        <f t="shared" si="22"/>
        <v>4.0098478390205567</v>
      </c>
      <c r="I453" s="24">
        <f t="shared" si="23"/>
        <v>0.73728634136202109</v>
      </c>
      <c r="N453" s="30">
        <v>41104.507462686568</v>
      </c>
    </row>
    <row r="454" spans="1:14" x14ac:dyDescent="0.3">
      <c r="A454">
        <v>6.8859000000000004</v>
      </c>
      <c r="B454">
        <v>55.307699999999997</v>
      </c>
      <c r="C454">
        <f t="shared" si="21"/>
        <v>55.453859999999999</v>
      </c>
      <c r="D454">
        <v>0.71527272727272728</v>
      </c>
      <c r="E454">
        <f t="shared" si="22"/>
        <v>4.0155513236368554</v>
      </c>
      <c r="I454" s="24">
        <f t="shared" si="23"/>
        <v>0.74278394185859342</v>
      </c>
      <c r="N454" s="30">
        <v>41100.880597014926</v>
      </c>
    </row>
    <row r="455" spans="1:14" x14ac:dyDescent="0.3">
      <c r="A455">
        <v>6.9010999999999996</v>
      </c>
      <c r="B455">
        <v>55.961500000000001</v>
      </c>
      <c r="C455">
        <f t="shared" si="21"/>
        <v>55.861540000000005</v>
      </c>
      <c r="D455">
        <v>0.71536363636363631</v>
      </c>
      <c r="E455">
        <f t="shared" si="22"/>
        <v>4.0228761290593207</v>
      </c>
      <c r="I455" s="24">
        <f t="shared" si="23"/>
        <v>0.7499316162580415</v>
      </c>
      <c r="N455" s="30">
        <v>41097.253731343284</v>
      </c>
    </row>
    <row r="456" spans="1:14" x14ac:dyDescent="0.3">
      <c r="A456">
        <v>6.9164000000000003</v>
      </c>
      <c r="B456">
        <v>56.423099999999998</v>
      </c>
      <c r="C456">
        <f t="shared" si="21"/>
        <v>56.246140000000004</v>
      </c>
      <c r="D456">
        <v>0.71545454545454545</v>
      </c>
      <c r="E456">
        <f t="shared" si="22"/>
        <v>4.0297374165076949</v>
      </c>
      <c r="I456" s="24">
        <f t="shared" si="23"/>
        <v>0.75668328550293551</v>
      </c>
      <c r="N456" s="30">
        <v>41093.626865671642</v>
      </c>
    </row>
    <row r="457" spans="1:14" x14ac:dyDescent="0.3">
      <c r="A457">
        <v>6.9316000000000004</v>
      </c>
      <c r="B457">
        <v>56.769199999999998</v>
      </c>
      <c r="C457">
        <f t="shared" si="21"/>
        <v>56.42306</v>
      </c>
      <c r="D457">
        <v>0.71554545454545448</v>
      </c>
      <c r="E457">
        <f t="shared" si="22"/>
        <v>4.0328779401896213</v>
      </c>
      <c r="I457" s="24">
        <f t="shared" si="23"/>
        <v>0.75974153797578614</v>
      </c>
      <c r="J457">
        <v>2012</v>
      </c>
      <c r="K457">
        <f>AVERAGE(I457:I558)</f>
        <v>0.59563138733725873</v>
      </c>
      <c r="L457">
        <f>A558-A457</f>
        <v>1.5386999999999995</v>
      </c>
      <c r="M457">
        <f>K457*L457</f>
        <v>0.91649801569583977</v>
      </c>
      <c r="N457" s="30">
        <v>41090</v>
      </c>
    </row>
    <row r="458" spans="1:14" x14ac:dyDescent="0.3">
      <c r="A458">
        <v>6.9467999999999996</v>
      </c>
      <c r="B458">
        <v>56.769199999999998</v>
      </c>
      <c r="C458">
        <f t="shared" si="21"/>
        <v>56.338459999999998</v>
      </c>
      <c r="D458">
        <v>0.71563636363636363</v>
      </c>
      <c r="E458">
        <f t="shared" si="22"/>
        <v>4.0313774280313366</v>
      </c>
      <c r="I458" s="24">
        <f t="shared" si="23"/>
        <v>0.75813644400861102</v>
      </c>
      <c r="N458" s="30">
        <v>41088.257142857139</v>
      </c>
    </row>
    <row r="459" spans="1:14" x14ac:dyDescent="0.3">
      <c r="A459">
        <v>6.9621000000000004</v>
      </c>
      <c r="B459">
        <v>56.192300000000003</v>
      </c>
      <c r="C459">
        <f t="shared" si="21"/>
        <v>55.923080000000006</v>
      </c>
      <c r="D459">
        <v>0.71572727272727277</v>
      </c>
      <c r="E459">
        <f t="shared" si="22"/>
        <v>4.0239771750926137</v>
      </c>
      <c r="I459" s="24">
        <f t="shared" si="23"/>
        <v>0.75064474346256072</v>
      </c>
      <c r="N459" s="30">
        <v>41086.514285714286</v>
      </c>
    </row>
    <row r="460" spans="1:14" x14ac:dyDescent="0.3">
      <c r="A460">
        <v>6.9772999999999996</v>
      </c>
      <c r="B460">
        <v>55.538499999999999</v>
      </c>
      <c r="C460">
        <f t="shared" si="21"/>
        <v>55.146159999999995</v>
      </c>
      <c r="D460">
        <v>0.7158181818181818</v>
      </c>
      <c r="E460">
        <f t="shared" si="22"/>
        <v>4.0099871149888582</v>
      </c>
      <c r="I460" s="24">
        <f t="shared" si="23"/>
        <v>0.73676682286432094</v>
      </c>
      <c r="N460" s="30">
        <v>41084.771428571425</v>
      </c>
    </row>
    <row r="461" spans="1:14" x14ac:dyDescent="0.3">
      <c r="A461">
        <v>6.9926000000000004</v>
      </c>
      <c r="B461">
        <v>54.346200000000003</v>
      </c>
      <c r="C461">
        <f t="shared" si="21"/>
        <v>54.176940000000002</v>
      </c>
      <c r="D461">
        <v>0.71590909090909094</v>
      </c>
      <c r="E461">
        <f t="shared" si="22"/>
        <v>3.9922553566566683</v>
      </c>
      <c r="I461" s="24">
        <f t="shared" si="23"/>
        <v>0.71956972529212593</v>
      </c>
      <c r="N461" s="30">
        <v>41083.028571428571</v>
      </c>
    </row>
    <row r="462" spans="1:14" x14ac:dyDescent="0.3">
      <c r="A462">
        <v>7.0077999999999996</v>
      </c>
      <c r="B462">
        <v>52.884599999999999</v>
      </c>
      <c r="C462">
        <f t="shared" si="21"/>
        <v>53.153860000000009</v>
      </c>
      <c r="D462" s="8">
        <v>0.71600000000000008</v>
      </c>
      <c r="E462">
        <f t="shared" si="22"/>
        <v>3.9731907267981401</v>
      </c>
      <c r="I462" s="24">
        <f t="shared" si="23"/>
        <v>0.70153418658955469</v>
      </c>
      <c r="N462" s="30">
        <v>41081.28571428571</v>
      </c>
    </row>
    <row r="463" spans="1:14" x14ac:dyDescent="0.3">
      <c r="A463">
        <v>7.0229999999999997</v>
      </c>
      <c r="B463">
        <v>51.923099999999998</v>
      </c>
      <c r="C463">
        <f t="shared" si="21"/>
        <v>52.169240000000002</v>
      </c>
      <c r="D463">
        <v>0.71569696969696983</v>
      </c>
      <c r="E463">
        <f t="shared" si="22"/>
        <v>3.9544930491689421</v>
      </c>
      <c r="I463" s="24">
        <f t="shared" si="23"/>
        <v>0.68465993165669292</v>
      </c>
      <c r="N463" s="30">
        <v>41079.542857142857</v>
      </c>
    </row>
    <row r="464" spans="1:14" x14ac:dyDescent="0.3">
      <c r="A464">
        <v>7.0382999999999996</v>
      </c>
      <c r="B464">
        <v>51.076900000000002</v>
      </c>
      <c r="C464">
        <f t="shared" si="21"/>
        <v>51.415380000000006</v>
      </c>
      <c r="D464">
        <v>0.71539393939393947</v>
      </c>
      <c r="E464">
        <f t="shared" si="22"/>
        <v>3.9399373494930914</v>
      </c>
      <c r="I464" s="24">
        <f t="shared" si="23"/>
        <v>0.67186832034984512</v>
      </c>
      <c r="N464" s="30">
        <v>41077.799999999996</v>
      </c>
    </row>
    <row r="465" spans="1:16" x14ac:dyDescent="0.3">
      <c r="A465">
        <v>7.0534999999999997</v>
      </c>
      <c r="B465">
        <v>50.615400000000001</v>
      </c>
      <c r="C465">
        <f t="shared" si="21"/>
        <v>51.269219999999997</v>
      </c>
      <c r="D465">
        <v>0.71509090909090922</v>
      </c>
      <c r="E465">
        <f t="shared" si="22"/>
        <v>3.9370905721046916</v>
      </c>
      <c r="I465" s="24">
        <f t="shared" si="23"/>
        <v>0.66962284350251611</v>
      </c>
      <c r="N465" s="30">
        <v>41076.057142857142</v>
      </c>
    </row>
    <row r="466" spans="1:16" x14ac:dyDescent="0.3">
      <c r="A466">
        <v>7.0686999999999998</v>
      </c>
      <c r="B466">
        <v>50.576900000000002</v>
      </c>
      <c r="C466">
        <f t="shared" si="21"/>
        <v>51.41536</v>
      </c>
      <c r="D466">
        <v>0.71478787878787886</v>
      </c>
      <c r="E466">
        <f t="shared" si="22"/>
        <v>3.939936960504351</v>
      </c>
      <c r="I466" s="24">
        <f t="shared" si="23"/>
        <v>0.67243764341593537</v>
      </c>
      <c r="N466" s="30">
        <v>41074.314285714281</v>
      </c>
    </row>
    <row r="467" spans="1:16" x14ac:dyDescent="0.3">
      <c r="A467">
        <v>7.0839999999999996</v>
      </c>
      <c r="B467">
        <v>52.153799999999997</v>
      </c>
      <c r="C467">
        <f t="shared" si="21"/>
        <v>51.907680000000006</v>
      </c>
      <c r="D467">
        <v>0.7144848484848485</v>
      </c>
      <c r="E467">
        <f t="shared" si="22"/>
        <v>3.9494667561029573</v>
      </c>
      <c r="I467" s="24">
        <f t="shared" si="23"/>
        <v>0.68126985541033025</v>
      </c>
      <c r="N467" s="30">
        <v>41072.571428571428</v>
      </c>
      <c r="P467" s="24"/>
    </row>
    <row r="468" spans="1:16" x14ac:dyDescent="0.3">
      <c r="A468">
        <v>7.0991999999999997</v>
      </c>
      <c r="B468">
        <v>52.653799999999997</v>
      </c>
      <c r="C468">
        <f t="shared" si="21"/>
        <v>52.607680000000002</v>
      </c>
      <c r="D468">
        <v>0.71418181818181825</v>
      </c>
      <c r="E468">
        <f t="shared" si="22"/>
        <v>3.9628621166901539</v>
      </c>
      <c r="I468" s="24">
        <f t="shared" si="23"/>
        <v>0.69376194224876475</v>
      </c>
      <c r="N468" s="30">
        <v>41070.828571428567</v>
      </c>
      <c r="P468" s="24"/>
    </row>
    <row r="469" spans="1:16" x14ac:dyDescent="0.3">
      <c r="A469">
        <v>7.1143999999999998</v>
      </c>
      <c r="B469">
        <v>53.538499999999999</v>
      </c>
      <c r="C469">
        <f t="shared" si="21"/>
        <v>53.392299999999999</v>
      </c>
      <c r="D469">
        <v>0.713878787878788</v>
      </c>
      <c r="E469">
        <f t="shared" si="22"/>
        <v>3.9776665408125313</v>
      </c>
      <c r="I469" s="24">
        <f t="shared" si="23"/>
        <v>0.70780326035684304</v>
      </c>
      <c r="N469" s="30">
        <v>41069.085714285713</v>
      </c>
      <c r="P469" s="24"/>
    </row>
    <row r="470" spans="1:16" x14ac:dyDescent="0.3">
      <c r="A470">
        <v>7.1296999999999997</v>
      </c>
      <c r="B470">
        <v>54.115400000000001</v>
      </c>
      <c r="C470">
        <f t="shared" si="21"/>
        <v>53.923079999999992</v>
      </c>
      <c r="D470">
        <v>0.71357575757575764</v>
      </c>
      <c r="E470">
        <f t="shared" si="22"/>
        <v>3.9875585866343926</v>
      </c>
      <c r="I470" s="24">
        <f t="shared" si="23"/>
        <v>0.71744459913330128</v>
      </c>
      <c r="N470" s="30">
        <v>41067.342857142852</v>
      </c>
      <c r="P470" s="24"/>
    </row>
    <row r="471" spans="1:16" x14ac:dyDescent="0.3">
      <c r="A471">
        <v>7.1448999999999998</v>
      </c>
      <c r="B471">
        <v>54.5</v>
      </c>
      <c r="C471">
        <f t="shared" si="21"/>
        <v>54.423079999999992</v>
      </c>
      <c r="D471">
        <v>0.71327272727272739</v>
      </c>
      <c r="E471">
        <f t="shared" si="22"/>
        <v>3.9967883285929569</v>
      </c>
      <c r="I471" s="24">
        <f t="shared" si="23"/>
        <v>0.72657960315023373</v>
      </c>
      <c r="N471" s="30">
        <v>41065.599999999999</v>
      </c>
      <c r="P471" s="24"/>
    </row>
    <row r="472" spans="1:16" x14ac:dyDescent="0.3">
      <c r="A472">
        <v>7.1600999999999999</v>
      </c>
      <c r="B472">
        <v>54.807699999999997</v>
      </c>
      <c r="C472">
        <f t="shared" si="21"/>
        <v>54.761539999999989</v>
      </c>
      <c r="D472">
        <v>0.71296969696969703</v>
      </c>
      <c r="E472">
        <f t="shared" si="22"/>
        <v>4.0029881227421233</v>
      </c>
      <c r="I472" s="24">
        <f t="shared" si="23"/>
        <v>0.73288329250306794</v>
      </c>
      <c r="N472" s="30">
        <v>41063.857142857138</v>
      </c>
      <c r="P472" s="24"/>
    </row>
    <row r="473" spans="1:16" x14ac:dyDescent="0.3">
      <c r="A473">
        <v>7.1753999999999998</v>
      </c>
      <c r="B473">
        <v>55.153799999999997</v>
      </c>
      <c r="C473">
        <f t="shared" si="21"/>
        <v>54.976919999999993</v>
      </c>
      <c r="D473">
        <v>0.71266666666666678</v>
      </c>
      <c r="E473">
        <f t="shared" si="22"/>
        <v>4.0069134607968557</v>
      </c>
      <c r="I473" s="24">
        <f t="shared" si="23"/>
        <v>0.73701767477423641</v>
      </c>
      <c r="N473" s="30">
        <v>41062.114285714284</v>
      </c>
      <c r="P473" s="24"/>
    </row>
    <row r="474" spans="1:16" x14ac:dyDescent="0.3">
      <c r="A474">
        <v>7.1905999999999999</v>
      </c>
      <c r="B474">
        <v>55.230800000000002</v>
      </c>
      <c r="C474">
        <f t="shared" si="21"/>
        <v>55.007679999999993</v>
      </c>
      <c r="D474">
        <v>0.71236363636363653</v>
      </c>
      <c r="E474">
        <f t="shared" si="22"/>
        <v>4.0074728118478573</v>
      </c>
      <c r="I474" s="24">
        <f t="shared" si="23"/>
        <v>0.73787777833976675</v>
      </c>
      <c r="N474" s="30">
        <v>41060.371428571423</v>
      </c>
      <c r="P474" s="24"/>
    </row>
    <row r="475" spans="1:16" x14ac:dyDescent="0.3">
      <c r="A475">
        <v>7.2058</v>
      </c>
      <c r="B475">
        <v>55.192300000000003</v>
      </c>
      <c r="C475">
        <f t="shared" si="21"/>
        <v>54.853840000000005</v>
      </c>
      <c r="D475">
        <v>0.71206060606060617</v>
      </c>
      <c r="E475">
        <f t="shared" si="22"/>
        <v>4.0046721933864857</v>
      </c>
      <c r="I475" s="24">
        <f t="shared" si="23"/>
        <v>0.73545798731102041</v>
      </c>
      <c r="N475" s="30">
        <v>41058.62857142857</v>
      </c>
      <c r="P475" s="24"/>
    </row>
    <row r="476" spans="1:16" x14ac:dyDescent="0.3">
      <c r="A476">
        <v>7.2210999999999999</v>
      </c>
      <c r="B476">
        <v>54.653799999999997</v>
      </c>
      <c r="C476">
        <f t="shared" si="21"/>
        <v>54.538460000000001</v>
      </c>
      <c r="D476">
        <v>0.71175757575757581</v>
      </c>
      <c r="E476">
        <f t="shared" si="22"/>
        <v>3.9989061408618456</v>
      </c>
      <c r="I476" s="24">
        <f t="shared" si="23"/>
        <v>0.7301720632679356</v>
      </c>
      <c r="N476" s="30">
        <v>41056.885714285709</v>
      </c>
      <c r="P476" s="24"/>
    </row>
    <row r="477" spans="1:16" x14ac:dyDescent="0.3">
      <c r="A477">
        <v>7.2363</v>
      </c>
      <c r="B477">
        <v>54.038499999999999</v>
      </c>
      <c r="C477">
        <f t="shared" si="21"/>
        <v>54.169219999999996</v>
      </c>
      <c r="D477">
        <v>0.71145454545454556</v>
      </c>
      <c r="E477">
        <f t="shared" si="22"/>
        <v>3.9921128504522385</v>
      </c>
      <c r="I477" s="24">
        <f t="shared" si="23"/>
        <v>0.72393839451520825</v>
      </c>
      <c r="N477" s="30">
        <v>41055.142857142855</v>
      </c>
      <c r="P477" s="24"/>
    </row>
    <row r="478" spans="1:16" x14ac:dyDescent="0.3">
      <c r="A478">
        <v>7.2515000000000001</v>
      </c>
      <c r="B478">
        <v>53.576900000000002</v>
      </c>
      <c r="C478">
        <f t="shared" si="21"/>
        <v>53.81537999999999</v>
      </c>
      <c r="D478">
        <v>0.7111515151515152</v>
      </c>
      <c r="E478">
        <f t="shared" si="22"/>
        <v>3.985559299919613</v>
      </c>
      <c r="I478" s="24">
        <f t="shared" si="23"/>
        <v>0.7179860759004042</v>
      </c>
      <c r="N478" s="30">
        <v>41053.399999999994</v>
      </c>
      <c r="P478" s="24"/>
    </row>
    <row r="479" spans="1:16" x14ac:dyDescent="0.3">
      <c r="A479">
        <v>7.2667999999999999</v>
      </c>
      <c r="B479">
        <v>53.384599999999999</v>
      </c>
      <c r="C479">
        <f t="shared" si="21"/>
        <v>53.676919999999996</v>
      </c>
      <c r="D479">
        <v>0.71084848484848495</v>
      </c>
      <c r="E479">
        <f t="shared" si="22"/>
        <v>3.9829831139681202</v>
      </c>
      <c r="I479" s="24">
        <f t="shared" si="23"/>
        <v>0.71584484587939312</v>
      </c>
      <c r="N479" s="30">
        <v>41051.657142857141</v>
      </c>
      <c r="P479" s="24"/>
    </row>
    <row r="480" spans="1:16" x14ac:dyDescent="0.3">
      <c r="A480">
        <v>7.282</v>
      </c>
      <c r="B480">
        <v>53.423099999999998</v>
      </c>
      <c r="C480">
        <f t="shared" si="21"/>
        <v>53.715380000000003</v>
      </c>
      <c r="D480">
        <v>0.71054545454545459</v>
      </c>
      <c r="E480">
        <f t="shared" si="22"/>
        <v>3.9836993664674933</v>
      </c>
      <c r="I480" s="24">
        <f t="shared" si="23"/>
        <v>0.7168300073962286</v>
      </c>
      <c r="N480" s="30">
        <v>41049.91428571428</v>
      </c>
      <c r="P480" s="24"/>
    </row>
    <row r="481" spans="1:16" x14ac:dyDescent="0.3">
      <c r="A481">
        <v>7.2972000000000001</v>
      </c>
      <c r="B481">
        <v>53.961500000000001</v>
      </c>
      <c r="C481">
        <f t="shared" si="21"/>
        <v>54.076919999999994</v>
      </c>
      <c r="D481">
        <v>0.71024242424242434</v>
      </c>
      <c r="E481">
        <f t="shared" si="22"/>
        <v>3.9904074774501224</v>
      </c>
      <c r="I481" s="24">
        <f t="shared" si="23"/>
        <v>0.72353736953160641</v>
      </c>
      <c r="N481" s="30">
        <v>41048.171428571426</v>
      </c>
      <c r="P481" s="24"/>
    </row>
    <row r="482" spans="1:16" x14ac:dyDescent="0.3">
      <c r="A482">
        <v>7.3125</v>
      </c>
      <c r="B482">
        <v>54.230800000000002</v>
      </c>
      <c r="C482">
        <f t="shared" si="21"/>
        <v>54.476920000000007</v>
      </c>
      <c r="D482">
        <v>0.70993939393939409</v>
      </c>
      <c r="E482">
        <f t="shared" si="22"/>
        <v>3.9977771257350452</v>
      </c>
      <c r="I482" s="24">
        <f t="shared" si="23"/>
        <v>0.73094795077178787</v>
      </c>
      <c r="N482" s="30">
        <v>41046.428571428565</v>
      </c>
      <c r="P482" s="24"/>
    </row>
    <row r="483" spans="1:16" x14ac:dyDescent="0.3">
      <c r="A483">
        <v>7.3277000000000001</v>
      </c>
      <c r="B483">
        <v>55.384599999999999</v>
      </c>
      <c r="C483">
        <f t="shared" si="21"/>
        <v>54.823059999999998</v>
      </c>
      <c r="D483">
        <v>0.70963636363636373</v>
      </c>
      <c r="E483">
        <f t="shared" si="22"/>
        <v>4.0041109083609596</v>
      </c>
      <c r="I483" s="24">
        <f t="shared" si="23"/>
        <v>0.73742189717030127</v>
      </c>
      <c r="N483" s="30">
        <v>41044.685714285712</v>
      </c>
      <c r="P483" s="24"/>
    </row>
    <row r="484" spans="1:16" x14ac:dyDescent="0.3">
      <c r="A484">
        <v>7.3429000000000002</v>
      </c>
      <c r="B484">
        <v>55.384599999999999</v>
      </c>
      <c r="C484">
        <f t="shared" si="21"/>
        <v>54.861519999999999</v>
      </c>
      <c r="D484">
        <v>0.70933333333333348</v>
      </c>
      <c r="E484">
        <f t="shared" si="22"/>
        <v>4.0048121920158941</v>
      </c>
      <c r="I484" s="24">
        <f t="shared" si="23"/>
        <v>0.73842264782121758</v>
      </c>
      <c r="N484" s="30">
        <v>41042.942857142851</v>
      </c>
      <c r="P484" s="24"/>
    </row>
    <row r="485" spans="1:16" x14ac:dyDescent="0.3">
      <c r="A485">
        <v>7.3582000000000001</v>
      </c>
      <c r="B485">
        <v>55.153799999999997</v>
      </c>
      <c r="C485">
        <f t="shared" si="21"/>
        <v>54.499979999999994</v>
      </c>
      <c r="D485">
        <v>0.70903030303030312</v>
      </c>
      <c r="E485">
        <f t="shared" si="22"/>
        <v>3.9982003346966537</v>
      </c>
      <c r="I485" s="24">
        <f t="shared" si="23"/>
        <v>0.73229560270373495</v>
      </c>
      <c r="N485" s="30">
        <v>41041.199999999997</v>
      </c>
      <c r="P485" s="24"/>
    </row>
    <row r="486" spans="1:16" x14ac:dyDescent="0.3">
      <c r="A486">
        <v>7.3734000000000002</v>
      </c>
      <c r="B486">
        <v>54.153799999999997</v>
      </c>
      <c r="C486">
        <f t="shared" si="21"/>
        <v>53.607679999999995</v>
      </c>
      <c r="D486">
        <v>0.70872727272727276</v>
      </c>
      <c r="E486">
        <f t="shared" si="22"/>
        <v>3.9816923413947336</v>
      </c>
      <c r="I486" s="24">
        <f t="shared" si="23"/>
        <v>0.71676064044542975</v>
      </c>
      <c r="N486" s="30">
        <v>41039.457142857136</v>
      </c>
      <c r="P486" s="24"/>
    </row>
    <row r="487" spans="1:16" x14ac:dyDescent="0.3">
      <c r="A487">
        <v>7.3886000000000003</v>
      </c>
      <c r="B487">
        <v>52.423099999999998</v>
      </c>
      <c r="C487">
        <f t="shared" si="21"/>
        <v>52.476919999999993</v>
      </c>
      <c r="D487">
        <v>0.70842424242424251</v>
      </c>
      <c r="E487">
        <f t="shared" si="22"/>
        <v>3.9603734538891748</v>
      </c>
      <c r="I487" s="24">
        <f t="shared" si="23"/>
        <v>0.69709824089014161</v>
      </c>
      <c r="N487" s="30">
        <v>41037.714285714283</v>
      </c>
      <c r="P487" s="24"/>
    </row>
    <row r="488" spans="1:16" x14ac:dyDescent="0.3">
      <c r="A488">
        <v>7.4039000000000001</v>
      </c>
      <c r="B488">
        <v>50.923099999999998</v>
      </c>
      <c r="C488">
        <f t="shared" si="21"/>
        <v>51.307699999999997</v>
      </c>
      <c r="D488">
        <v>0.70812121212121215</v>
      </c>
      <c r="E488">
        <f t="shared" si="22"/>
        <v>3.9378408383791133</v>
      </c>
      <c r="I488" s="24">
        <f t="shared" si="23"/>
        <v>0.67688607805559975</v>
      </c>
      <c r="N488" s="30">
        <v>41035.971428571422</v>
      </c>
      <c r="P488" s="24"/>
    </row>
    <row r="489" spans="1:16" x14ac:dyDescent="0.3">
      <c r="A489">
        <v>7.4191000000000003</v>
      </c>
      <c r="B489">
        <v>49.730800000000002</v>
      </c>
      <c r="C489">
        <f t="shared" si="21"/>
        <v>49.892319999999998</v>
      </c>
      <c r="D489">
        <v>0.7078181818181819</v>
      </c>
      <c r="E489">
        <f t="shared" si="22"/>
        <v>3.9098670830968185</v>
      </c>
      <c r="I489" s="24">
        <f t="shared" si="23"/>
        <v>0.65253930851958508</v>
      </c>
      <c r="N489" s="30">
        <v>41034.228571428568</v>
      </c>
      <c r="P489" s="24"/>
    </row>
    <row r="490" spans="1:16" x14ac:dyDescent="0.3">
      <c r="A490">
        <v>7.4343000000000004</v>
      </c>
      <c r="B490">
        <v>49.307699999999997</v>
      </c>
      <c r="C490">
        <f t="shared" si="21"/>
        <v>48.723079999999996</v>
      </c>
      <c r="D490">
        <v>0.70751515151515165</v>
      </c>
      <c r="E490">
        <f t="shared" si="22"/>
        <v>3.886152839794248</v>
      </c>
      <c r="I490" s="24">
        <f t="shared" si="23"/>
        <v>0.63262824649910254</v>
      </c>
      <c r="N490" s="30">
        <v>41032.485714285707</v>
      </c>
      <c r="P490" s="24"/>
    </row>
    <row r="491" spans="1:16" x14ac:dyDescent="0.3">
      <c r="A491">
        <v>7.4496000000000002</v>
      </c>
      <c r="B491">
        <v>47.076900000000002</v>
      </c>
      <c r="C491">
        <f t="shared" si="21"/>
        <v>47.684619999999995</v>
      </c>
      <c r="D491">
        <v>0.70721212121212129</v>
      </c>
      <c r="E491">
        <f t="shared" si="22"/>
        <v>3.864608914036137</v>
      </c>
      <c r="I491" s="24">
        <f t="shared" si="23"/>
        <v>0.61509083889845562</v>
      </c>
      <c r="N491" s="30">
        <v>41030.742857142854</v>
      </c>
      <c r="P491" s="24"/>
    </row>
    <row r="492" spans="1:16" x14ac:dyDescent="0.3">
      <c r="A492">
        <v>7.4648000000000003</v>
      </c>
      <c r="B492">
        <v>46.576900000000002</v>
      </c>
      <c r="C492">
        <f t="shared" si="21"/>
        <v>46.746159999999996</v>
      </c>
      <c r="D492">
        <v>0.70690909090909104</v>
      </c>
      <c r="E492">
        <f t="shared" si="22"/>
        <v>3.8447321133236674</v>
      </c>
      <c r="I492" s="24">
        <f t="shared" si="23"/>
        <v>0.59936199895472531</v>
      </c>
      <c r="N492" s="30">
        <v>41029</v>
      </c>
      <c r="P492" s="24"/>
    </row>
    <row r="493" spans="1:16" x14ac:dyDescent="0.3">
      <c r="A493">
        <v>7.4801000000000002</v>
      </c>
      <c r="B493">
        <v>45.730800000000002</v>
      </c>
      <c r="C493">
        <f t="shared" si="21"/>
        <v>45.792320000000004</v>
      </c>
      <c r="D493">
        <v>0.70660606060606068</v>
      </c>
      <c r="E493">
        <f t="shared" si="22"/>
        <v>3.8241163914698193</v>
      </c>
      <c r="I493" s="24">
        <f t="shared" si="23"/>
        <v>0.58346403164524263</v>
      </c>
      <c r="N493" s="30">
        <v>41027.257142857139</v>
      </c>
      <c r="P493" s="24"/>
    </row>
    <row r="494" spans="1:16" x14ac:dyDescent="0.3">
      <c r="A494">
        <v>7.4953000000000003</v>
      </c>
      <c r="B494">
        <v>45.038499999999999</v>
      </c>
      <c r="C494">
        <f t="shared" si="21"/>
        <v>45.207700000000003</v>
      </c>
      <c r="D494">
        <v>0.70630303030303043</v>
      </c>
      <c r="E494">
        <f t="shared" si="22"/>
        <v>3.8112674263118946</v>
      </c>
      <c r="I494" s="24">
        <f t="shared" si="23"/>
        <v>0.57386228365721947</v>
      </c>
      <c r="N494" s="30">
        <v>41025.514285714286</v>
      </c>
      <c r="P494" s="24"/>
    </row>
    <row r="495" spans="1:16" x14ac:dyDescent="0.3">
      <c r="A495">
        <v>7.5105000000000004</v>
      </c>
      <c r="B495">
        <v>44.538499999999999</v>
      </c>
      <c r="C495">
        <f t="shared" si="21"/>
        <v>44.669239999999995</v>
      </c>
      <c r="D495">
        <v>0.70600000000000007</v>
      </c>
      <c r="E495">
        <f t="shared" si="22"/>
        <v>3.7992851215635959</v>
      </c>
      <c r="I495" s="24">
        <f t="shared" si="23"/>
        <v>0.56506706067524803</v>
      </c>
      <c r="N495" s="30">
        <v>41023.771428571425</v>
      </c>
      <c r="P495" s="24"/>
    </row>
    <row r="496" spans="1:16" x14ac:dyDescent="0.3">
      <c r="A496">
        <v>7.5258000000000003</v>
      </c>
      <c r="B496">
        <v>44.153799999999997</v>
      </c>
      <c r="C496">
        <f t="shared" si="21"/>
        <v>44.223079999999996</v>
      </c>
      <c r="D496">
        <v>0.70569696969696971</v>
      </c>
      <c r="E496">
        <f t="shared" si="22"/>
        <v>3.7892468247450237</v>
      </c>
      <c r="I496" s="24">
        <f t="shared" si="23"/>
        <v>0.55784156784501981</v>
      </c>
      <c r="N496" s="30">
        <v>41022.028571428571</v>
      </c>
      <c r="P496" s="24"/>
    </row>
    <row r="497" spans="1:16" x14ac:dyDescent="0.3">
      <c r="A497">
        <v>7.5410000000000004</v>
      </c>
      <c r="B497">
        <v>43.884599999999999</v>
      </c>
      <c r="C497">
        <f t="shared" si="21"/>
        <v>43.615380000000002</v>
      </c>
      <c r="D497">
        <v>0.70539393939393946</v>
      </c>
      <c r="E497">
        <f t="shared" si="22"/>
        <v>3.7754098404461041</v>
      </c>
      <c r="I497" s="24">
        <f t="shared" si="23"/>
        <v>0.54794408912412229</v>
      </c>
      <c r="N497" s="30">
        <v>41020.28571428571</v>
      </c>
      <c r="P497" s="24"/>
    </row>
    <row r="498" spans="1:16" x14ac:dyDescent="0.3">
      <c r="A498">
        <v>7.5561999999999996</v>
      </c>
      <c r="B498">
        <v>43.5</v>
      </c>
      <c r="C498">
        <f t="shared" si="21"/>
        <v>42.95384</v>
      </c>
      <c r="D498">
        <v>0.70509090909090921</v>
      </c>
      <c r="E498">
        <f t="shared" si="22"/>
        <v>3.7601260507201402</v>
      </c>
      <c r="I498" s="24">
        <f t="shared" si="23"/>
        <v>0.53719167764944753</v>
      </c>
      <c r="N498" s="30">
        <v>41018.542857142857</v>
      </c>
      <c r="P498" s="24"/>
    </row>
    <row r="499" spans="1:16" x14ac:dyDescent="0.3">
      <c r="A499">
        <v>7.5715000000000003</v>
      </c>
      <c r="B499">
        <v>42</v>
      </c>
      <c r="C499">
        <f t="shared" si="21"/>
        <v>42.207700000000003</v>
      </c>
      <c r="D499">
        <v>0.70478787878787885</v>
      </c>
      <c r="E499">
        <f t="shared" si="22"/>
        <v>3.7426026688523284</v>
      </c>
      <c r="I499" s="24">
        <f t="shared" si="23"/>
        <v>0.52509009811190777</v>
      </c>
      <c r="N499" s="30">
        <v>41016.799999999996</v>
      </c>
    </row>
    <row r="500" spans="1:16" x14ac:dyDescent="0.3">
      <c r="A500">
        <v>7.5867000000000004</v>
      </c>
      <c r="B500">
        <v>41.230800000000002</v>
      </c>
      <c r="C500">
        <f t="shared" si="21"/>
        <v>41.476939999999999</v>
      </c>
      <c r="D500">
        <v>0.7044848484848486</v>
      </c>
      <c r="E500">
        <f t="shared" si="22"/>
        <v>3.7251376101483467</v>
      </c>
      <c r="I500" s="24">
        <f t="shared" si="23"/>
        <v>0.51330089110202681</v>
      </c>
      <c r="N500" s="30">
        <v>41015.057142857142</v>
      </c>
      <c r="P500" s="24"/>
    </row>
    <row r="501" spans="1:16" x14ac:dyDescent="0.3">
      <c r="A501">
        <v>7.6018999999999997</v>
      </c>
      <c r="B501">
        <v>40.423099999999998</v>
      </c>
      <c r="C501">
        <f t="shared" si="21"/>
        <v>40.830780000000004</v>
      </c>
      <c r="D501">
        <v>0.70418181818181824</v>
      </c>
      <c r="E501">
        <f t="shared" si="22"/>
        <v>3.7094362087493069</v>
      </c>
      <c r="I501" s="24">
        <f t="shared" si="23"/>
        <v>0.50295023362233149</v>
      </c>
      <c r="N501" s="30">
        <v>41013.314285714281</v>
      </c>
      <c r="P501" s="24"/>
    </row>
    <row r="502" spans="1:16" x14ac:dyDescent="0.3">
      <c r="A502">
        <v>7.6172000000000004</v>
      </c>
      <c r="B502">
        <v>40.230800000000002</v>
      </c>
      <c r="C502">
        <f t="shared" si="21"/>
        <v>40.500019999999999</v>
      </c>
      <c r="D502">
        <v>0.70387878787878799</v>
      </c>
      <c r="E502">
        <f t="shared" si="22"/>
        <v>3.7013024679395321</v>
      </c>
      <c r="I502" s="24">
        <f t="shared" si="23"/>
        <v>0.49777395507694716</v>
      </c>
      <c r="N502" s="30">
        <v>41011.571428571428</v>
      </c>
      <c r="P502" s="24"/>
    </row>
    <row r="503" spans="1:16" x14ac:dyDescent="0.3">
      <c r="A503">
        <v>7.6323999999999996</v>
      </c>
      <c r="B503">
        <v>40.269199999999998</v>
      </c>
      <c r="C503">
        <f t="shared" si="21"/>
        <v>40.261559999999996</v>
      </c>
      <c r="D503">
        <v>0.70357575757575774</v>
      </c>
      <c r="E503">
        <f t="shared" si="22"/>
        <v>3.6953971675980646</v>
      </c>
      <c r="I503" s="24">
        <f t="shared" si="23"/>
        <v>0.49410761332947073</v>
      </c>
      <c r="N503" s="30">
        <v>41009.828571428567</v>
      </c>
      <c r="P503" s="24"/>
    </row>
    <row r="504" spans="1:16" x14ac:dyDescent="0.3">
      <c r="A504">
        <v>7.6475999999999997</v>
      </c>
      <c r="B504">
        <v>40.346200000000003</v>
      </c>
      <c r="C504">
        <f t="shared" si="21"/>
        <v>40.107700000000001</v>
      </c>
      <c r="D504">
        <v>0.70327272727272727</v>
      </c>
      <c r="E504">
        <f t="shared" si="22"/>
        <v>3.6915683358291771</v>
      </c>
      <c r="I504" s="24">
        <f t="shared" si="23"/>
        <v>0.49181945658263443</v>
      </c>
      <c r="N504" s="30">
        <v>41008.085714285713</v>
      </c>
      <c r="P504" s="24"/>
    </row>
    <row r="505" spans="1:16" x14ac:dyDescent="0.3">
      <c r="A505">
        <v>7.6628999999999996</v>
      </c>
      <c r="B505">
        <v>40.038499999999999</v>
      </c>
      <c r="C505">
        <f t="shared" si="21"/>
        <v>40.215379999999996</v>
      </c>
      <c r="D505">
        <v>0.70296969696969702</v>
      </c>
      <c r="E505">
        <f t="shared" si="22"/>
        <v>3.6942495095218821</v>
      </c>
      <c r="I505" s="24">
        <f t="shared" si="23"/>
        <v>0.49378227869409247</v>
      </c>
      <c r="N505" s="30">
        <v>41006.342857142852</v>
      </c>
      <c r="P505" s="24"/>
    </row>
    <row r="506" spans="1:16" x14ac:dyDescent="0.3">
      <c r="A506">
        <v>7.6780999999999997</v>
      </c>
      <c r="B506">
        <v>39.653799999999997</v>
      </c>
      <c r="C506">
        <f t="shared" ref="C506:C569" si="24">AVERAGE(B504:B508)</f>
        <v>40.392299999999999</v>
      </c>
      <c r="D506">
        <v>0.70266666666666677</v>
      </c>
      <c r="E506">
        <f t="shared" ref="E506:E569" si="25">LN(C506)</f>
        <v>3.6986391727423427</v>
      </c>
      <c r="I506" s="24">
        <f t="shared" ref="I506:I569" si="26">(0.0026*(EXP(1.3248*E506)))/D506</f>
        <v>0.4968763881002059</v>
      </c>
      <c r="N506" s="30">
        <v>41004.6</v>
      </c>
      <c r="P506" s="24"/>
    </row>
    <row r="507" spans="1:16" x14ac:dyDescent="0.3">
      <c r="A507">
        <v>7.6932999999999998</v>
      </c>
      <c r="B507">
        <v>40.769199999999998</v>
      </c>
      <c r="C507">
        <f t="shared" si="24"/>
        <v>40.646139999999995</v>
      </c>
      <c r="D507">
        <v>0.70236363636363641</v>
      </c>
      <c r="E507">
        <f t="shared" si="25"/>
        <v>3.7049038745355536</v>
      </c>
      <c r="I507" s="24">
        <f t="shared" si="26"/>
        <v>0.50123352315356728</v>
      </c>
      <c r="N507" s="30">
        <v>41002.857142857138</v>
      </c>
      <c r="P507" s="24"/>
    </row>
    <row r="508" spans="1:16" x14ac:dyDescent="0.3">
      <c r="A508">
        <v>7.7085999999999997</v>
      </c>
      <c r="B508">
        <v>41.153799999999997</v>
      </c>
      <c r="C508">
        <f t="shared" si="24"/>
        <v>41.038439999999994</v>
      </c>
      <c r="D508">
        <v>0.70206060606060616</v>
      </c>
      <c r="E508">
        <f t="shared" si="25"/>
        <v>3.7145091884441448</v>
      </c>
      <c r="I508" s="24">
        <f t="shared" si="26"/>
        <v>0.50787165252235733</v>
      </c>
      <c r="N508" s="30">
        <v>41001.114285714284</v>
      </c>
      <c r="P508" s="24"/>
    </row>
    <row r="509" spans="1:16" x14ac:dyDescent="0.3">
      <c r="A509">
        <v>7.7237999999999998</v>
      </c>
      <c r="B509">
        <v>41.615400000000001</v>
      </c>
      <c r="C509">
        <f t="shared" si="24"/>
        <v>41.599980000000002</v>
      </c>
      <c r="D509">
        <v>0.7017575757575758</v>
      </c>
      <c r="E509">
        <f t="shared" si="25"/>
        <v>3.7280996864978713</v>
      </c>
      <c r="I509" s="24">
        <f t="shared" si="26"/>
        <v>0.51732183102073925</v>
      </c>
      <c r="N509" s="30">
        <v>40999.371428571423</v>
      </c>
      <c r="P509" s="24"/>
    </row>
    <row r="510" spans="1:16" x14ac:dyDescent="0.3">
      <c r="A510">
        <v>7.7389999999999999</v>
      </c>
      <c r="B510">
        <v>42</v>
      </c>
      <c r="C510">
        <f t="shared" si="24"/>
        <v>42.099980000000002</v>
      </c>
      <c r="D510">
        <v>0.70145454545454555</v>
      </c>
      <c r="E510">
        <f t="shared" si="25"/>
        <v>3.7400472656288404</v>
      </c>
      <c r="I510" s="24">
        <f t="shared" si="26"/>
        <v>0.52580227566292403</v>
      </c>
      <c r="N510" s="30">
        <v>40997.62857142857</v>
      </c>
      <c r="P510" s="24"/>
    </row>
    <row r="511" spans="1:16" x14ac:dyDescent="0.3">
      <c r="A511">
        <v>7.7542999999999997</v>
      </c>
      <c r="B511">
        <v>42.461500000000001</v>
      </c>
      <c r="C511">
        <f t="shared" si="24"/>
        <v>42.769219999999997</v>
      </c>
      <c r="D511">
        <v>0.7011515151515153</v>
      </c>
      <c r="E511">
        <f t="shared" si="25"/>
        <v>3.7558186849904529</v>
      </c>
      <c r="I511" s="24">
        <f t="shared" si="26"/>
        <v>0.53713599541977486</v>
      </c>
      <c r="N511" s="30">
        <v>40995.885714285709</v>
      </c>
      <c r="P511" s="24"/>
    </row>
    <row r="512" spans="1:16" x14ac:dyDescent="0.3">
      <c r="A512">
        <v>7.7694999999999999</v>
      </c>
      <c r="B512">
        <v>43.269199999999998</v>
      </c>
      <c r="C512">
        <f t="shared" si="24"/>
        <v>43.515380000000007</v>
      </c>
      <c r="D512">
        <v>0.70084848484848494</v>
      </c>
      <c r="E512">
        <f t="shared" si="25"/>
        <v>3.7731144388242832</v>
      </c>
      <c r="I512" s="24">
        <f t="shared" si="26"/>
        <v>0.54982333103982284</v>
      </c>
      <c r="N512" s="30">
        <v>40994.142857142855</v>
      </c>
      <c r="P512" s="24"/>
    </row>
    <row r="513" spans="1:16" x14ac:dyDescent="0.3">
      <c r="A513">
        <v>7.7847</v>
      </c>
      <c r="B513">
        <v>44.5</v>
      </c>
      <c r="C513">
        <f t="shared" si="24"/>
        <v>44.269220000000004</v>
      </c>
      <c r="D513">
        <v>0.70054545454545458</v>
      </c>
      <c r="E513">
        <f t="shared" si="25"/>
        <v>3.7902896274336464</v>
      </c>
      <c r="I513" s="24">
        <f t="shared" si="26"/>
        <v>0.56272056346322064</v>
      </c>
      <c r="N513" s="30">
        <v>40992.399999999994</v>
      </c>
      <c r="P513" s="24"/>
    </row>
    <row r="514" spans="1:16" x14ac:dyDescent="0.3">
      <c r="A514">
        <v>7.8</v>
      </c>
      <c r="B514">
        <v>45.346200000000003</v>
      </c>
      <c r="C514">
        <f t="shared" si="24"/>
        <v>44.82307999999999</v>
      </c>
      <c r="D514">
        <v>0.70024242424242433</v>
      </c>
      <c r="E514">
        <f t="shared" si="25"/>
        <v>3.8027231853334476</v>
      </c>
      <c r="I514" s="24">
        <f t="shared" si="26"/>
        <v>0.57231400726518744</v>
      </c>
      <c r="N514" s="30">
        <v>40990.657142857141</v>
      </c>
      <c r="P514" s="24"/>
    </row>
    <row r="515" spans="1:16" x14ac:dyDescent="0.3">
      <c r="A515">
        <v>7.8151999999999999</v>
      </c>
      <c r="B515">
        <v>45.769199999999998</v>
      </c>
      <c r="C515">
        <f t="shared" si="24"/>
        <v>45.069240000000001</v>
      </c>
      <c r="D515">
        <v>0.69993939393939397</v>
      </c>
      <c r="E515">
        <f t="shared" si="25"/>
        <v>3.8081999739022931</v>
      </c>
      <c r="I515" s="24">
        <f t="shared" si="26"/>
        <v>0.57673119893292701</v>
      </c>
      <c r="N515" s="30">
        <v>40988.91428571428</v>
      </c>
      <c r="P515" s="24"/>
    </row>
    <row r="516" spans="1:16" x14ac:dyDescent="0.3">
      <c r="A516">
        <v>7.8304</v>
      </c>
      <c r="B516">
        <v>45.230800000000002</v>
      </c>
      <c r="C516">
        <f t="shared" si="24"/>
        <v>44.9</v>
      </c>
      <c r="D516">
        <v>0.69963636363636372</v>
      </c>
      <c r="E516">
        <f t="shared" si="25"/>
        <v>3.8044377947482086</v>
      </c>
      <c r="I516" s="24">
        <f t="shared" si="26"/>
        <v>0.57411239941436676</v>
      </c>
      <c r="N516" s="30">
        <v>40987.171428571426</v>
      </c>
      <c r="P516" s="24"/>
    </row>
    <row r="517" spans="1:16" x14ac:dyDescent="0.3">
      <c r="A517">
        <v>7.8456999999999999</v>
      </c>
      <c r="B517">
        <v>44.5</v>
      </c>
      <c r="C517">
        <f t="shared" si="24"/>
        <v>44.4</v>
      </c>
      <c r="D517">
        <v>0.69933333333333336</v>
      </c>
      <c r="E517">
        <f t="shared" si="25"/>
        <v>3.7932394694381792</v>
      </c>
      <c r="I517" s="24">
        <f t="shared" si="26"/>
        <v>0.56590310605517413</v>
      </c>
      <c r="N517" s="30">
        <v>40985.428571428565</v>
      </c>
      <c r="P517" s="24"/>
    </row>
    <row r="518" spans="1:16" x14ac:dyDescent="0.3">
      <c r="A518">
        <v>7.8609</v>
      </c>
      <c r="B518">
        <v>43.653799999999997</v>
      </c>
      <c r="C518">
        <f t="shared" si="24"/>
        <v>43.692320000000009</v>
      </c>
      <c r="D518">
        <v>0.69903030303030311</v>
      </c>
      <c r="E518">
        <f t="shared" si="25"/>
        <v>3.7771723429497159</v>
      </c>
      <c r="I518" s="24">
        <f t="shared" si="26"/>
        <v>0.55422489425416688</v>
      </c>
      <c r="N518" s="30">
        <v>40983.685714285712</v>
      </c>
      <c r="P518" s="24"/>
    </row>
    <row r="519" spans="1:16" x14ac:dyDescent="0.3">
      <c r="A519">
        <v>7.8761000000000001</v>
      </c>
      <c r="B519">
        <v>42.846200000000003</v>
      </c>
      <c r="C519">
        <f t="shared" si="24"/>
        <v>43.038460000000001</v>
      </c>
      <c r="D519">
        <v>0.69872727272727286</v>
      </c>
      <c r="E519">
        <f t="shared" si="25"/>
        <v>3.7620941345442405</v>
      </c>
      <c r="I519" s="24">
        <f t="shared" si="26"/>
        <v>0.54349936332604809</v>
      </c>
      <c r="N519" s="30">
        <v>40981.942857142851</v>
      </c>
      <c r="P519" s="24"/>
    </row>
    <row r="520" spans="1:16" x14ac:dyDescent="0.3">
      <c r="A520">
        <v>7.8914</v>
      </c>
      <c r="B520">
        <v>42.230800000000002</v>
      </c>
      <c r="C520">
        <f t="shared" si="24"/>
        <v>42.469219999999993</v>
      </c>
      <c r="D520">
        <v>0.6984242424242425</v>
      </c>
      <c r="E520">
        <f t="shared" si="25"/>
        <v>3.7487795782511792</v>
      </c>
      <c r="I520" s="24">
        <f t="shared" si="26"/>
        <v>0.53422825634973681</v>
      </c>
      <c r="N520" s="30">
        <v>40980.199999999997</v>
      </c>
      <c r="P520" s="24"/>
    </row>
    <row r="521" spans="1:16" x14ac:dyDescent="0.3">
      <c r="A521">
        <v>7.9066000000000001</v>
      </c>
      <c r="B521">
        <v>41.961500000000001</v>
      </c>
      <c r="C521">
        <f t="shared" si="24"/>
        <v>41.830759999999998</v>
      </c>
      <c r="D521">
        <v>0.69812121212121225</v>
      </c>
      <c r="E521">
        <f t="shared" si="25"/>
        <v>3.7336319540674454</v>
      </c>
      <c r="I521" s="24">
        <f t="shared" si="26"/>
        <v>0.5238417279181018</v>
      </c>
      <c r="N521" s="30">
        <v>40978.457142857136</v>
      </c>
      <c r="P521" s="24"/>
    </row>
    <row r="522" spans="1:16" x14ac:dyDescent="0.3">
      <c r="A522">
        <v>7.9218000000000002</v>
      </c>
      <c r="B522">
        <v>41.653799999999997</v>
      </c>
      <c r="C522">
        <f t="shared" si="24"/>
        <v>41.253820000000005</v>
      </c>
      <c r="D522">
        <v>0.69781818181818189</v>
      </c>
      <c r="E522">
        <f t="shared" si="25"/>
        <v>3.7197437145536196</v>
      </c>
      <c r="I522" s="24">
        <f t="shared" si="26"/>
        <v>0.51451495027362915</v>
      </c>
      <c r="N522" s="30">
        <v>40976.714285714283</v>
      </c>
      <c r="P522" s="24"/>
    </row>
    <row r="523" spans="1:16" x14ac:dyDescent="0.3">
      <c r="A523">
        <v>7.9371</v>
      </c>
      <c r="B523">
        <v>40.461500000000001</v>
      </c>
      <c r="C523">
        <f t="shared" si="24"/>
        <v>40.646119999999996</v>
      </c>
      <c r="D523">
        <v>0.69751515151515153</v>
      </c>
      <c r="E523">
        <f t="shared" si="25"/>
        <v>3.7049033824837885</v>
      </c>
      <c r="I523" s="24">
        <f t="shared" si="26"/>
        <v>0.50471730934464321</v>
      </c>
      <c r="N523" s="30">
        <v>40974.971428571422</v>
      </c>
      <c r="P523" s="24"/>
    </row>
    <row r="524" spans="1:16" x14ac:dyDescent="0.3">
      <c r="A524">
        <v>7.9523000000000001</v>
      </c>
      <c r="B524">
        <v>39.961500000000001</v>
      </c>
      <c r="C524">
        <f t="shared" si="24"/>
        <v>39.93844</v>
      </c>
      <c r="D524">
        <v>0.69721212121212128</v>
      </c>
      <c r="E524">
        <f t="shared" si="25"/>
        <v>3.6873392686369808</v>
      </c>
      <c r="I524" s="24">
        <f t="shared" si="26"/>
        <v>0.49332297835339017</v>
      </c>
      <c r="N524" s="30">
        <v>40973.228571428568</v>
      </c>
      <c r="P524" s="24"/>
    </row>
    <row r="525" spans="1:16" x14ac:dyDescent="0.3">
      <c r="A525">
        <v>7.9675000000000002</v>
      </c>
      <c r="B525">
        <v>39.192300000000003</v>
      </c>
      <c r="C525">
        <f t="shared" si="24"/>
        <v>39.246140000000004</v>
      </c>
      <c r="D525">
        <v>0.69690909090909092</v>
      </c>
      <c r="E525">
        <f t="shared" si="25"/>
        <v>3.6698530954432895</v>
      </c>
      <c r="I525" s="24">
        <f t="shared" si="26"/>
        <v>0.48223576415389346</v>
      </c>
      <c r="N525" s="30">
        <v>40971.485714285707</v>
      </c>
      <c r="P525" s="24"/>
    </row>
    <row r="526" spans="1:16" x14ac:dyDescent="0.3">
      <c r="A526">
        <v>7.9828000000000001</v>
      </c>
      <c r="B526">
        <v>38.423099999999998</v>
      </c>
      <c r="C526">
        <f t="shared" si="24"/>
        <v>38.838460000000005</v>
      </c>
      <c r="D526">
        <v>0.69660606060606067</v>
      </c>
      <c r="E526">
        <f t="shared" si="25"/>
        <v>3.6594109927915284</v>
      </c>
      <c r="I526" s="24">
        <f t="shared" si="26"/>
        <v>0.47581748655645412</v>
      </c>
      <c r="N526" s="30">
        <v>40969.742857142854</v>
      </c>
      <c r="P526" s="24"/>
    </row>
    <row r="527" spans="1:16" x14ac:dyDescent="0.3">
      <c r="A527">
        <v>7.9980000000000002</v>
      </c>
      <c r="B527">
        <v>38.192300000000003</v>
      </c>
      <c r="C527">
        <f t="shared" si="24"/>
        <v>38.661539999999995</v>
      </c>
      <c r="D527">
        <v>0.69630303030303042</v>
      </c>
      <c r="E527">
        <f t="shared" si="25"/>
        <v>3.6548453074410303</v>
      </c>
      <c r="I527" s="25">
        <f t="shared" si="26"/>
        <v>0.47315396047435343</v>
      </c>
      <c r="N527" s="30">
        <v>40968</v>
      </c>
      <c r="P527" s="24"/>
    </row>
    <row r="528" spans="1:16" x14ac:dyDescent="0.3">
      <c r="A528">
        <v>8.0132999999999992</v>
      </c>
      <c r="B528">
        <v>38.423099999999998</v>
      </c>
      <c r="C528">
        <f t="shared" si="24"/>
        <v>38.730779999999996</v>
      </c>
      <c r="D528" s="8">
        <v>0.69600000000000006</v>
      </c>
      <c r="E528">
        <f t="shared" si="25"/>
        <v>3.656634632750666</v>
      </c>
      <c r="I528" s="24">
        <f t="shared" si="26"/>
        <v>0.47448339615625895</v>
      </c>
      <c r="N528" s="30">
        <v>40960.129032258061</v>
      </c>
      <c r="P528" s="24"/>
    </row>
    <row r="529" spans="1:18" x14ac:dyDescent="0.3">
      <c r="A529">
        <v>8.0284999999999993</v>
      </c>
      <c r="B529">
        <v>39.076900000000002</v>
      </c>
      <c r="C529">
        <f t="shared" si="24"/>
        <v>39.692319999999995</v>
      </c>
      <c r="D529">
        <v>0.69643076923076941</v>
      </c>
      <c r="E529">
        <f t="shared" si="25"/>
        <v>3.6811577180974973</v>
      </c>
      <c r="I529" s="24">
        <f t="shared" si="26"/>
        <v>0.48984846038637764</v>
      </c>
      <c r="N529" s="30">
        <v>40952.258064516129</v>
      </c>
      <c r="P529" s="24"/>
    </row>
    <row r="530" spans="1:18" x14ac:dyDescent="0.3">
      <c r="A530">
        <v>8.0436999999999994</v>
      </c>
      <c r="B530">
        <v>39.538499999999999</v>
      </c>
      <c r="C530">
        <f t="shared" si="24"/>
        <v>40.830779999999997</v>
      </c>
      <c r="D530">
        <v>0.69686153846153853</v>
      </c>
      <c r="E530">
        <f t="shared" si="25"/>
        <v>3.7094362087493069</v>
      </c>
      <c r="I530" s="24">
        <f t="shared" si="26"/>
        <v>0.50823354485747829</v>
      </c>
      <c r="N530" s="30">
        <v>40944.38709677419</v>
      </c>
      <c r="P530" s="24"/>
    </row>
    <row r="531" spans="1:18" x14ac:dyDescent="0.3">
      <c r="A531">
        <v>8.0589999999999993</v>
      </c>
      <c r="B531">
        <v>43.230800000000002</v>
      </c>
      <c r="C531">
        <f t="shared" si="24"/>
        <v>42.092319999999994</v>
      </c>
      <c r="D531">
        <v>0.69729230769230788</v>
      </c>
      <c r="E531">
        <f t="shared" si="25"/>
        <v>3.7398653012444218</v>
      </c>
      <c r="I531" s="24">
        <f t="shared" si="26"/>
        <v>0.5288133703248995</v>
      </c>
      <c r="N531" s="30">
        <v>40936.516129032258</v>
      </c>
      <c r="P531" s="24"/>
    </row>
    <row r="532" spans="1:18" x14ac:dyDescent="0.3">
      <c r="A532">
        <v>8.0741999999999994</v>
      </c>
      <c r="B532">
        <v>43.884599999999999</v>
      </c>
      <c r="C532">
        <f t="shared" si="24"/>
        <v>43.307699999999997</v>
      </c>
      <c r="D532">
        <v>0.697723076923077</v>
      </c>
      <c r="E532">
        <f t="shared" si="25"/>
        <v>3.7683304482980313</v>
      </c>
      <c r="I532" s="24">
        <f t="shared" si="26"/>
        <v>0.54879700322795344</v>
      </c>
      <c r="N532" s="30">
        <v>40928.645161290318</v>
      </c>
      <c r="P532" s="24"/>
    </row>
    <row r="533" spans="1:18" x14ac:dyDescent="0.3">
      <c r="A533">
        <v>8.0893999999999995</v>
      </c>
      <c r="B533">
        <v>44.730800000000002</v>
      </c>
      <c r="C533">
        <f t="shared" si="24"/>
        <v>44.430759999999999</v>
      </c>
      <c r="D533">
        <v>0.69815384615384635</v>
      </c>
      <c r="E533">
        <f t="shared" si="25"/>
        <v>3.7939320223608255</v>
      </c>
      <c r="I533" s="24">
        <f t="shared" si="26"/>
        <v>0.56737949250345832</v>
      </c>
      <c r="N533" s="30">
        <v>40920.774193548386</v>
      </c>
      <c r="P533" s="24"/>
    </row>
    <row r="534" spans="1:18" x14ac:dyDescent="0.3">
      <c r="A534">
        <v>8.1046999999999993</v>
      </c>
      <c r="B534">
        <v>45.153799999999997</v>
      </c>
      <c r="C534">
        <f t="shared" si="24"/>
        <v>44.853839999999998</v>
      </c>
      <c r="D534">
        <v>0.69858461538461547</v>
      </c>
      <c r="E534">
        <f t="shared" si="25"/>
        <v>3.8034092035688278</v>
      </c>
      <c r="I534" s="24">
        <f t="shared" si="26"/>
        <v>0.57419377521563864</v>
      </c>
      <c r="N534" s="30">
        <v>40912.903225806447</v>
      </c>
      <c r="P534" s="24"/>
    </row>
    <row r="535" spans="1:18" x14ac:dyDescent="0.3">
      <c r="A535">
        <v>8.1198999999999995</v>
      </c>
      <c r="B535">
        <v>45.153799999999997</v>
      </c>
      <c r="C535">
        <f t="shared" si="24"/>
        <v>45.246160000000003</v>
      </c>
      <c r="D535">
        <v>0.69901538461538482</v>
      </c>
      <c r="E535">
        <f t="shared" si="25"/>
        <v>3.8121178046665092</v>
      </c>
      <c r="I535" s="24">
        <f t="shared" si="26"/>
        <v>0.58049874556299741</v>
      </c>
      <c r="N535" s="30">
        <v>40905.032258064515</v>
      </c>
      <c r="O535">
        <v>2011</v>
      </c>
      <c r="P535" s="24">
        <f>AVERAGE(I535:I625)</f>
        <v>0.4988369422880844</v>
      </c>
      <c r="Q535">
        <f>A625-A535</f>
        <v>1.3711000000000002</v>
      </c>
      <c r="R535">
        <f>P535*Q535</f>
        <v>0.68395533157119259</v>
      </c>
    </row>
    <row r="536" spans="1:18" x14ac:dyDescent="0.3">
      <c r="A536">
        <v>8.1350999999999996</v>
      </c>
      <c r="B536">
        <v>45.346200000000003</v>
      </c>
      <c r="C536">
        <f t="shared" si="24"/>
        <v>45.553840000000001</v>
      </c>
      <c r="D536">
        <v>0.69944615384615394</v>
      </c>
      <c r="E536">
        <f t="shared" si="25"/>
        <v>3.8188949231164484</v>
      </c>
      <c r="I536" s="24">
        <f t="shared" si="26"/>
        <v>0.58537338294431418</v>
      </c>
      <c r="N536" s="30">
        <v>40897.161290322576</v>
      </c>
      <c r="P536" s="24"/>
    </row>
    <row r="537" spans="1:18" x14ac:dyDescent="0.3">
      <c r="A537">
        <v>8.1503999999999994</v>
      </c>
      <c r="B537">
        <v>45.846200000000003</v>
      </c>
      <c r="C537">
        <f t="shared" si="24"/>
        <v>46.023080000000007</v>
      </c>
      <c r="D537">
        <v>0.69987692307692317</v>
      </c>
      <c r="E537">
        <f t="shared" si="25"/>
        <v>3.8291430097905397</v>
      </c>
      <c r="I537" s="24">
        <f t="shared" si="26"/>
        <v>0.59300977804199329</v>
      </c>
      <c r="N537" s="30">
        <v>40889.290322580644</v>
      </c>
      <c r="P537" s="24"/>
    </row>
    <row r="538" spans="1:18" x14ac:dyDescent="0.3">
      <c r="A538">
        <v>8.1655999999999995</v>
      </c>
      <c r="B538">
        <v>46.269199999999998</v>
      </c>
      <c r="C538">
        <f t="shared" si="24"/>
        <v>46.55386</v>
      </c>
      <c r="D538">
        <v>0.70030769230769241</v>
      </c>
      <c r="E538">
        <f t="shared" si="25"/>
        <v>3.8406099218749596</v>
      </c>
      <c r="I538" s="24">
        <f t="shared" si="26"/>
        <v>0.60171682820704586</v>
      </c>
      <c r="N538" s="30">
        <v>40881.419354838705</v>
      </c>
      <c r="P538" s="24"/>
    </row>
    <row r="539" spans="1:18" x14ac:dyDescent="0.3">
      <c r="A539">
        <v>8.1807999999999996</v>
      </c>
      <c r="B539">
        <v>47.5</v>
      </c>
      <c r="C539">
        <f t="shared" si="24"/>
        <v>47.023079999999993</v>
      </c>
      <c r="D539">
        <v>0.70073846153846164</v>
      </c>
      <c r="E539">
        <f t="shared" si="25"/>
        <v>3.8506385450074609</v>
      </c>
      <c r="I539" s="24">
        <f t="shared" si="26"/>
        <v>0.60938968772842783</v>
      </c>
      <c r="N539" s="30">
        <v>40873.548387096773</v>
      </c>
      <c r="P539" s="24"/>
    </row>
    <row r="540" spans="1:18" x14ac:dyDescent="0.3">
      <c r="A540">
        <v>8.1960999999999995</v>
      </c>
      <c r="B540">
        <v>47.807699999999997</v>
      </c>
      <c r="C540">
        <f t="shared" si="24"/>
        <v>47.246140000000004</v>
      </c>
      <c r="D540">
        <v>0.70116923076923088</v>
      </c>
      <c r="E540">
        <f t="shared" si="25"/>
        <v>3.8553709574809938</v>
      </c>
      <c r="I540" s="24">
        <f t="shared" si="26"/>
        <v>0.61284551973270984</v>
      </c>
      <c r="N540" s="30">
        <v>40865.677419354834</v>
      </c>
      <c r="P540" s="24"/>
    </row>
    <row r="541" spans="1:18" x14ac:dyDescent="0.3">
      <c r="A541">
        <v>8.2112999999999996</v>
      </c>
      <c r="B541">
        <v>47.692300000000003</v>
      </c>
      <c r="C541">
        <f t="shared" si="24"/>
        <v>47.023060000000001</v>
      </c>
      <c r="D541">
        <v>0.70160000000000011</v>
      </c>
      <c r="E541">
        <f t="shared" si="25"/>
        <v>3.8506381196843167</v>
      </c>
      <c r="I541" s="24">
        <f t="shared" si="26"/>
        <v>0.60864103711882511</v>
      </c>
      <c r="N541" s="30">
        <v>40857.806451612902</v>
      </c>
      <c r="P541" s="24"/>
    </row>
    <row r="542" spans="1:18" x14ac:dyDescent="0.3">
      <c r="A542">
        <v>8.2264999999999997</v>
      </c>
      <c r="B542">
        <v>46.961500000000001</v>
      </c>
      <c r="C542">
        <f t="shared" si="24"/>
        <v>46.184600000000003</v>
      </c>
      <c r="D542">
        <v>0.70203076923076935</v>
      </c>
      <c r="E542">
        <f t="shared" si="25"/>
        <v>3.8326464091864554</v>
      </c>
      <c r="I542" s="24">
        <f t="shared" si="26"/>
        <v>0.59394068235530284</v>
      </c>
      <c r="N542" s="30">
        <v>40849.935483870962</v>
      </c>
    </row>
    <row r="543" spans="1:18" x14ac:dyDescent="0.3">
      <c r="A543">
        <v>8.2417999999999996</v>
      </c>
      <c r="B543">
        <v>45.153799999999997</v>
      </c>
      <c r="C543">
        <f t="shared" si="24"/>
        <v>44.94614</v>
      </c>
      <c r="D543">
        <v>0.70246153846153858</v>
      </c>
      <c r="E543">
        <f t="shared" si="25"/>
        <v>3.8054648840378795</v>
      </c>
      <c r="I543" s="24">
        <f t="shared" si="26"/>
        <v>0.57258199747033689</v>
      </c>
      <c r="N543" s="30">
        <v>40842.06451612903</v>
      </c>
      <c r="P543" s="24"/>
    </row>
    <row r="544" spans="1:18" x14ac:dyDescent="0.3">
      <c r="A544">
        <v>8.2569999999999997</v>
      </c>
      <c r="B544">
        <v>43.307699999999997</v>
      </c>
      <c r="C544">
        <f t="shared" si="24"/>
        <v>43.530760000000001</v>
      </c>
      <c r="D544">
        <v>0.70289230769230782</v>
      </c>
      <c r="E544">
        <f t="shared" si="25"/>
        <v>3.7734678146353198</v>
      </c>
      <c r="I544" s="24">
        <f t="shared" si="26"/>
        <v>0.54848130451736554</v>
      </c>
      <c r="N544" s="30">
        <v>40834.193548387091</v>
      </c>
    </row>
    <row r="545" spans="1:14" x14ac:dyDescent="0.3">
      <c r="A545">
        <v>8.2721999999999998</v>
      </c>
      <c r="B545">
        <v>41.615400000000001</v>
      </c>
      <c r="C545">
        <f t="shared" si="24"/>
        <v>42.138459999999995</v>
      </c>
      <c r="D545">
        <v>0.70332307692307705</v>
      </c>
      <c r="E545">
        <f t="shared" si="25"/>
        <v>3.7409608628577651</v>
      </c>
      <c r="I545" s="24">
        <f t="shared" si="26"/>
        <v>0.52504045669900856</v>
      </c>
      <c r="N545" s="30">
        <v>40826.322580645159</v>
      </c>
    </row>
    <row r="546" spans="1:14" x14ac:dyDescent="0.3">
      <c r="A546">
        <v>8.2874999999999996</v>
      </c>
      <c r="B546">
        <v>40.615400000000001</v>
      </c>
      <c r="C546">
        <f t="shared" si="24"/>
        <v>41.130780000000001</v>
      </c>
      <c r="D546">
        <v>0.70375384615384617</v>
      </c>
      <c r="E546">
        <f t="shared" si="25"/>
        <v>3.716756746322178</v>
      </c>
      <c r="I546" s="24">
        <f t="shared" si="26"/>
        <v>0.50816053776163206</v>
      </c>
      <c r="N546" s="30">
        <v>40818.45161290322</v>
      </c>
    </row>
    <row r="547" spans="1:14" x14ac:dyDescent="0.3">
      <c r="A547">
        <v>8.3026999999999997</v>
      </c>
      <c r="B547">
        <v>40</v>
      </c>
      <c r="C547">
        <f t="shared" si="24"/>
        <v>40.523080000000007</v>
      </c>
      <c r="D547">
        <v>0.70418461538461552</v>
      </c>
      <c r="E547">
        <f t="shared" si="25"/>
        <v>3.7018716883377309</v>
      </c>
      <c r="I547" s="24">
        <f t="shared" si="26"/>
        <v>0.49793312316695804</v>
      </c>
      <c r="N547" s="30">
        <v>40810.580645161288</v>
      </c>
    </row>
    <row r="548" spans="1:14" x14ac:dyDescent="0.3">
      <c r="A548">
        <v>8.3178999999999998</v>
      </c>
      <c r="B548">
        <v>40.115400000000001</v>
      </c>
      <c r="C548">
        <f t="shared" si="24"/>
        <v>40.284620000000004</v>
      </c>
      <c r="D548">
        <v>0.70461538461538464</v>
      </c>
      <c r="E548">
        <f t="shared" si="25"/>
        <v>3.6959697583933089</v>
      </c>
      <c r="I548" s="24">
        <f t="shared" si="26"/>
        <v>0.49375298399062661</v>
      </c>
      <c r="N548" s="30">
        <v>40802.709677419349</v>
      </c>
    </row>
    <row r="549" spans="1:14" x14ac:dyDescent="0.3">
      <c r="A549">
        <v>8.3331999999999997</v>
      </c>
      <c r="B549">
        <v>40.269199999999998</v>
      </c>
      <c r="C549">
        <f t="shared" si="24"/>
        <v>40.32307999999999</v>
      </c>
      <c r="D549">
        <v>0.70504615384615399</v>
      </c>
      <c r="E549">
        <f t="shared" si="25"/>
        <v>3.6969240097345191</v>
      </c>
      <c r="I549" s="24">
        <f t="shared" si="26"/>
        <v>0.49407552246556002</v>
      </c>
      <c r="N549" s="30">
        <v>40794.838709677417</v>
      </c>
    </row>
    <row r="550" spans="1:14" x14ac:dyDescent="0.3">
      <c r="A550">
        <v>8.3483999999999998</v>
      </c>
      <c r="B550">
        <v>40.423099999999998</v>
      </c>
      <c r="C550">
        <f t="shared" si="24"/>
        <v>40.484620000000007</v>
      </c>
      <c r="D550">
        <v>0.70547692307692311</v>
      </c>
      <c r="E550">
        <f t="shared" si="25"/>
        <v>3.7009221489016104</v>
      </c>
      <c r="I550" s="24">
        <f t="shared" si="26"/>
        <v>0.49639616423855426</v>
      </c>
      <c r="N550" s="30">
        <v>40786.967741935478</v>
      </c>
    </row>
    <row r="551" spans="1:14" x14ac:dyDescent="0.3">
      <c r="A551">
        <v>8.3635999999999999</v>
      </c>
      <c r="B551">
        <v>40.807699999999997</v>
      </c>
      <c r="C551">
        <f t="shared" si="24"/>
        <v>40.684619999999995</v>
      </c>
      <c r="D551">
        <v>0.70590769230769246</v>
      </c>
      <c r="E551">
        <f t="shared" si="25"/>
        <v>3.705850134053386</v>
      </c>
      <c r="I551" s="24">
        <f t="shared" si="26"/>
        <v>0.4993426333479401</v>
      </c>
      <c r="N551" s="30">
        <v>40779.096774193546</v>
      </c>
    </row>
    <row r="552" spans="1:14" x14ac:dyDescent="0.3">
      <c r="A552">
        <v>8.3788999999999998</v>
      </c>
      <c r="B552">
        <v>40.807699999999997</v>
      </c>
      <c r="C552">
        <f t="shared" si="24"/>
        <v>40.876940000000005</v>
      </c>
      <c r="D552">
        <v>0.70633846153846158</v>
      </c>
      <c r="E552">
        <f t="shared" si="25"/>
        <v>3.7105660898648436</v>
      </c>
      <c r="I552" s="24">
        <f t="shared" si="26"/>
        <v>0.50216570254159387</v>
      </c>
      <c r="N552" s="30">
        <v>40771.225806451606</v>
      </c>
    </row>
    <row r="553" spans="1:14" x14ac:dyDescent="0.3">
      <c r="A553">
        <v>8.3940999999999999</v>
      </c>
      <c r="B553">
        <v>41.115400000000001</v>
      </c>
      <c r="C553">
        <f t="shared" si="24"/>
        <v>41.400019999999998</v>
      </c>
      <c r="D553">
        <v>0.70676923076923093</v>
      </c>
      <c r="E553">
        <f t="shared" si="25"/>
        <v>3.7232813639229394</v>
      </c>
      <c r="I553" s="24">
        <f t="shared" si="26"/>
        <v>0.51038516623407582</v>
      </c>
      <c r="N553" s="30">
        <v>40763.354838709674</v>
      </c>
    </row>
    <row r="554" spans="1:14" x14ac:dyDescent="0.3">
      <c r="A554">
        <v>8.4093</v>
      </c>
      <c r="B554">
        <v>41.230800000000002</v>
      </c>
      <c r="C554">
        <f t="shared" si="24"/>
        <v>41.961560000000006</v>
      </c>
      <c r="D554">
        <v>0.70720000000000005</v>
      </c>
      <c r="E554">
        <f t="shared" si="25"/>
        <v>3.7367539611020164</v>
      </c>
      <c r="I554" s="24">
        <f t="shared" si="26"/>
        <v>0.51926007230038262</v>
      </c>
      <c r="N554" s="30">
        <v>40755.483870967735</v>
      </c>
    </row>
    <row r="555" spans="1:14" x14ac:dyDescent="0.3">
      <c r="A555">
        <v>8.4245999999999999</v>
      </c>
      <c r="B555">
        <v>43.038499999999999</v>
      </c>
      <c r="C555">
        <f t="shared" si="24"/>
        <v>42.707720000000002</v>
      </c>
      <c r="D555">
        <v>0.7076307692307694</v>
      </c>
      <c r="E555">
        <f t="shared" si="25"/>
        <v>3.7543797001458334</v>
      </c>
      <c r="I555" s="24">
        <f t="shared" si="26"/>
        <v>0.53120420038904448</v>
      </c>
      <c r="N555" s="30">
        <v>40747.612903225803</v>
      </c>
    </row>
    <row r="556" spans="1:14" x14ac:dyDescent="0.3">
      <c r="A556">
        <v>8.4398</v>
      </c>
      <c r="B556">
        <v>43.615400000000001</v>
      </c>
      <c r="C556">
        <f t="shared" si="24"/>
        <v>43.469260000000006</v>
      </c>
      <c r="D556">
        <v>0.70806153846153852</v>
      </c>
      <c r="E556">
        <f t="shared" si="25"/>
        <v>3.7720540216213894</v>
      </c>
      <c r="I556" s="24">
        <f t="shared" si="26"/>
        <v>0.5434582481102479</v>
      </c>
      <c r="N556" s="30">
        <v>40739.741935483864</v>
      </c>
    </row>
    <row r="557" spans="1:14" x14ac:dyDescent="0.3">
      <c r="A557">
        <v>8.4550000000000001</v>
      </c>
      <c r="B557">
        <v>44.538499999999999</v>
      </c>
      <c r="C557">
        <f t="shared" si="24"/>
        <v>44.146180000000001</v>
      </c>
      <c r="D557">
        <v>0.70849230769230775</v>
      </c>
      <c r="E557">
        <f t="shared" si="25"/>
        <v>3.7875064000903116</v>
      </c>
      <c r="I557" s="24">
        <f t="shared" si="26"/>
        <v>0.55436094560076365</v>
      </c>
      <c r="N557" s="30">
        <v>40731.870967741932</v>
      </c>
    </row>
    <row r="558" spans="1:14" x14ac:dyDescent="0.3">
      <c r="A558">
        <v>8.4702999999999999</v>
      </c>
      <c r="B558">
        <v>44.923099999999998</v>
      </c>
      <c r="C558">
        <f t="shared" si="24"/>
        <v>44.276940000000003</v>
      </c>
      <c r="D558">
        <v>0.70892307692307699</v>
      </c>
      <c r="E558">
        <f t="shared" si="25"/>
        <v>3.7904639997614709</v>
      </c>
      <c r="I558" s="24">
        <f t="shared" si="26"/>
        <v>0.55619914546586124</v>
      </c>
      <c r="J558">
        <v>2011</v>
      </c>
      <c r="K558">
        <f>AVERAGE(I558:I657)</f>
        <v>0.5290843887016391</v>
      </c>
      <c r="L558">
        <f>A657-A558</f>
        <v>1.5082000000000004</v>
      </c>
      <c r="M558">
        <f>K558*L558</f>
        <v>0.79796507503981229</v>
      </c>
      <c r="N558" s="30">
        <v>40724</v>
      </c>
    </row>
    <row r="559" spans="1:14" x14ac:dyDescent="0.3">
      <c r="A559">
        <v>8.4855</v>
      </c>
      <c r="B559">
        <v>44.615400000000001</v>
      </c>
      <c r="C559">
        <f t="shared" si="24"/>
        <v>44.138480000000001</v>
      </c>
      <c r="D559">
        <v>0.70935384615384622</v>
      </c>
      <c r="E559">
        <f t="shared" si="25"/>
        <v>3.787331964349844</v>
      </c>
      <c r="I559" s="24">
        <f t="shared" si="26"/>
        <v>0.55355971391874426</v>
      </c>
      <c r="N559" s="30">
        <v>40721.859649122802</v>
      </c>
    </row>
    <row r="560" spans="1:14" x14ac:dyDescent="0.3">
      <c r="A560">
        <v>8.5007000000000001</v>
      </c>
      <c r="B560">
        <v>43.692300000000003</v>
      </c>
      <c r="C560">
        <f t="shared" si="24"/>
        <v>43.700020000000002</v>
      </c>
      <c r="D560">
        <v>0.70978461538461546</v>
      </c>
      <c r="E560">
        <f t="shared" si="25"/>
        <v>3.7773485597673435</v>
      </c>
      <c r="I560" s="24">
        <f t="shared" si="26"/>
        <v>0.54595498680086463</v>
      </c>
      <c r="N560" s="30">
        <v>40719.719298245611</v>
      </c>
    </row>
    <row r="561" spans="1:14" x14ac:dyDescent="0.3">
      <c r="A561">
        <v>8.516</v>
      </c>
      <c r="B561">
        <v>42.923099999999998</v>
      </c>
      <c r="C561">
        <f t="shared" si="24"/>
        <v>43.069240000000001</v>
      </c>
      <c r="D561">
        <v>0.71021538461538469</v>
      </c>
      <c r="E561">
        <f t="shared" si="25"/>
        <v>3.7628090532172744</v>
      </c>
      <c r="I561" s="24">
        <f t="shared" si="26"/>
        <v>0.53521464661909202</v>
      </c>
      <c r="N561" s="30">
        <v>40717.57894736842</v>
      </c>
    </row>
    <row r="562" spans="1:14" x14ac:dyDescent="0.3">
      <c r="A562">
        <v>8.5312000000000001</v>
      </c>
      <c r="B562">
        <v>42.346200000000003</v>
      </c>
      <c r="C562">
        <f t="shared" si="24"/>
        <v>42.484619999999993</v>
      </c>
      <c r="D562">
        <v>0.71064615384615393</v>
      </c>
      <c r="E562">
        <f t="shared" si="25"/>
        <v>3.7491421280822097</v>
      </c>
      <c r="I562" s="24">
        <f t="shared" si="26"/>
        <v>0.52529267491376264</v>
      </c>
      <c r="N562" s="30">
        <v>40715.438596491229</v>
      </c>
    </row>
    <row r="563" spans="1:14" x14ac:dyDescent="0.3">
      <c r="A563">
        <v>8.5465</v>
      </c>
      <c r="B563">
        <v>41.769199999999998</v>
      </c>
      <c r="C563">
        <f t="shared" si="24"/>
        <v>42.092319999999994</v>
      </c>
      <c r="D563">
        <v>0.71107692307692316</v>
      </c>
      <c r="E563">
        <f t="shared" si="25"/>
        <v>3.7398653012444218</v>
      </c>
      <c r="I563" s="24">
        <f t="shared" si="26"/>
        <v>0.51856203367818587</v>
      </c>
      <c r="N563" s="30">
        <v>40713.298245614031</v>
      </c>
    </row>
    <row r="564" spans="1:14" x14ac:dyDescent="0.3">
      <c r="A564">
        <v>8.5617000000000001</v>
      </c>
      <c r="B564">
        <v>41.692300000000003</v>
      </c>
      <c r="C564">
        <f t="shared" si="24"/>
        <v>41.9</v>
      </c>
      <c r="D564">
        <v>0.7115076923076924</v>
      </c>
      <c r="E564">
        <f t="shared" si="25"/>
        <v>3.735285826928092</v>
      </c>
      <c r="I564" s="24">
        <f t="shared" si="26"/>
        <v>0.51511344535981651</v>
      </c>
      <c r="N564" s="30">
        <v>40711.15789473684</v>
      </c>
    </row>
    <row r="565" spans="1:14" x14ac:dyDescent="0.3">
      <c r="A565">
        <v>8.5769000000000002</v>
      </c>
      <c r="B565">
        <v>41.730800000000002</v>
      </c>
      <c r="C565">
        <f t="shared" si="24"/>
        <v>41.869219999999999</v>
      </c>
      <c r="D565">
        <v>0.71193846153846163</v>
      </c>
      <c r="E565">
        <f t="shared" si="25"/>
        <v>3.7345509507674879</v>
      </c>
      <c r="I565" s="24">
        <f t="shared" si="26"/>
        <v>0.5143008195646156</v>
      </c>
      <c r="N565" s="30">
        <v>40709.017543859649</v>
      </c>
    </row>
    <row r="566" spans="1:14" x14ac:dyDescent="0.3">
      <c r="A566">
        <v>8.5922000000000001</v>
      </c>
      <c r="B566">
        <v>41.961500000000001</v>
      </c>
      <c r="C566">
        <f t="shared" si="24"/>
        <v>41.884620000000005</v>
      </c>
      <c r="D566">
        <v>0.71236923076923087</v>
      </c>
      <c r="E566">
        <f t="shared" si="25"/>
        <v>3.7349186951043101</v>
      </c>
      <c r="I566" s="24">
        <f t="shared" si="26"/>
        <v>0.5142402927049986</v>
      </c>
      <c r="N566" s="30">
        <v>40706.877192982451</v>
      </c>
    </row>
    <row r="567" spans="1:14" x14ac:dyDescent="0.3">
      <c r="A567">
        <v>8.6074000000000002</v>
      </c>
      <c r="B567">
        <v>42.192300000000003</v>
      </c>
      <c r="C567">
        <f t="shared" si="24"/>
        <v>41.792320000000004</v>
      </c>
      <c r="D567">
        <v>0.7128000000000001</v>
      </c>
      <c r="E567">
        <f t="shared" si="25"/>
        <v>3.7327125905924921</v>
      </c>
      <c r="I567" s="24">
        <f t="shared" si="26"/>
        <v>0.51242967796440442</v>
      </c>
      <c r="N567" s="30">
        <v>40704.73684210526</v>
      </c>
    </row>
    <row r="568" spans="1:14" x14ac:dyDescent="0.3">
      <c r="A568">
        <v>8.6226000000000003</v>
      </c>
      <c r="B568">
        <v>41.846200000000003</v>
      </c>
      <c r="C568">
        <f t="shared" si="24"/>
        <v>41.54616</v>
      </c>
      <c r="D568">
        <v>0.71323076923076933</v>
      </c>
      <c r="E568">
        <f t="shared" si="25"/>
        <v>3.7268050982580161</v>
      </c>
      <c r="I568" s="24">
        <f t="shared" si="26"/>
        <v>0.50812785075269362</v>
      </c>
      <c r="N568" s="30">
        <v>40702.596491228069</v>
      </c>
    </row>
    <row r="569" spans="1:14" x14ac:dyDescent="0.3">
      <c r="A569">
        <v>8.6379000000000001</v>
      </c>
      <c r="B569">
        <v>41.230800000000002</v>
      </c>
      <c r="C569">
        <f t="shared" si="24"/>
        <v>41.023099999999999</v>
      </c>
      <c r="D569">
        <v>0.71366153846153857</v>
      </c>
      <c r="E569">
        <f t="shared" si="25"/>
        <v>3.7141353226800202</v>
      </c>
      <c r="I569" s="24">
        <f t="shared" si="26"/>
        <v>0.49936854252103891</v>
      </c>
      <c r="N569" s="30">
        <v>40700.456140350878</v>
      </c>
    </row>
    <row r="570" spans="1:14" x14ac:dyDescent="0.3">
      <c r="A570">
        <v>8.6531000000000002</v>
      </c>
      <c r="B570">
        <v>40.5</v>
      </c>
      <c r="C570">
        <f t="shared" ref="C570:C633" si="27">AVERAGE(B568:B572)</f>
        <v>40.484639999999999</v>
      </c>
      <c r="D570">
        <v>0.7140923076923078</v>
      </c>
      <c r="E570">
        <f t="shared" ref="E570:E633" si="28">LN(C570)</f>
        <v>3.7009226429162521</v>
      </c>
      <c r="I570" s="24">
        <f t="shared" ref="I570:I633" si="29">(0.0026*(EXP(1.3248*E570)))/D570</f>
        <v>0.49040756215257053</v>
      </c>
      <c r="N570" s="30">
        <v>40698.31578947368</v>
      </c>
    </row>
    <row r="571" spans="1:14" x14ac:dyDescent="0.3">
      <c r="A571">
        <v>8.6683000000000003</v>
      </c>
      <c r="B571">
        <v>39.346200000000003</v>
      </c>
      <c r="C571">
        <f t="shared" si="27"/>
        <v>40.069240000000001</v>
      </c>
      <c r="D571">
        <v>0.71452307692307704</v>
      </c>
      <c r="E571">
        <f t="shared" si="28"/>
        <v>3.6906089576600953</v>
      </c>
      <c r="I571" s="24">
        <f t="shared" si="29"/>
        <v>0.48346077106538621</v>
      </c>
      <c r="N571" s="30">
        <v>40696.175438596489</v>
      </c>
    </row>
    <row r="572" spans="1:14" x14ac:dyDescent="0.3">
      <c r="A572">
        <v>8.6836000000000002</v>
      </c>
      <c r="B572">
        <v>39.5</v>
      </c>
      <c r="C572">
        <f t="shared" si="27"/>
        <v>39.884620000000005</v>
      </c>
      <c r="D572">
        <v>0.71495384615384627</v>
      </c>
      <c r="E572">
        <f t="shared" si="28"/>
        <v>3.6859907859264571</v>
      </c>
      <c r="I572" s="24">
        <f t="shared" si="29"/>
        <v>0.48022239879881351</v>
      </c>
      <c r="N572" s="30">
        <v>40694.035087719298</v>
      </c>
    </row>
    <row r="573" spans="1:14" x14ac:dyDescent="0.3">
      <c r="A573">
        <v>8.6988000000000003</v>
      </c>
      <c r="B573">
        <v>39.769199999999998</v>
      </c>
      <c r="C573">
        <f t="shared" si="27"/>
        <v>39.9</v>
      </c>
      <c r="D573">
        <v>0.71538461538461551</v>
      </c>
      <c r="E573">
        <f t="shared" si="28"/>
        <v>3.6863763238958178</v>
      </c>
      <c r="I573" s="24">
        <f t="shared" si="29"/>
        <v>0.48017842627021773</v>
      </c>
      <c r="N573" s="30">
        <v>40691.894736842107</v>
      </c>
    </row>
    <row r="574" spans="1:14" x14ac:dyDescent="0.3">
      <c r="A574">
        <v>8.7140000000000004</v>
      </c>
      <c r="B574">
        <v>40.307699999999997</v>
      </c>
      <c r="C574">
        <f t="shared" si="27"/>
        <v>40.230759999999997</v>
      </c>
      <c r="D574">
        <v>0.71581538461538474</v>
      </c>
      <c r="E574">
        <f t="shared" si="28"/>
        <v>3.6946318771578532</v>
      </c>
      <c r="I574" s="24">
        <f t="shared" si="29"/>
        <v>0.48516679734786611</v>
      </c>
      <c r="N574" s="30">
        <v>40689.754385964909</v>
      </c>
    </row>
    <row r="575" spans="1:14" x14ac:dyDescent="0.3">
      <c r="A575">
        <v>8.7293000000000003</v>
      </c>
      <c r="B575">
        <v>40.576900000000002</v>
      </c>
      <c r="C575">
        <f t="shared" si="27"/>
        <v>40.623059999999995</v>
      </c>
      <c r="D575">
        <v>0.71624615384615387</v>
      </c>
      <c r="E575">
        <f t="shared" si="28"/>
        <v>3.7043358856634963</v>
      </c>
      <c r="I575" s="24">
        <f t="shared" si="29"/>
        <v>0.49114873629697037</v>
      </c>
      <c r="N575" s="30">
        <v>40687.614035087718</v>
      </c>
    </row>
    <row r="576" spans="1:14" x14ac:dyDescent="0.3">
      <c r="A576">
        <v>8.7445000000000004</v>
      </c>
      <c r="B576">
        <v>41</v>
      </c>
      <c r="C576">
        <f t="shared" si="27"/>
        <v>41.030760000000001</v>
      </c>
      <c r="D576">
        <v>0.71667692307692321</v>
      </c>
      <c r="E576">
        <f t="shared" si="28"/>
        <v>3.7143220293144732</v>
      </c>
      <c r="I576" s="24">
        <f t="shared" si="29"/>
        <v>0.49739048654737977</v>
      </c>
      <c r="N576" s="30">
        <v>40685.473684210527</v>
      </c>
    </row>
    <row r="577" spans="1:14" x14ac:dyDescent="0.3">
      <c r="A577">
        <v>8.7597000000000005</v>
      </c>
      <c r="B577">
        <v>41.461500000000001</v>
      </c>
      <c r="C577">
        <f t="shared" si="27"/>
        <v>41.415379999999992</v>
      </c>
      <c r="D577">
        <v>0.71710769230769233</v>
      </c>
      <c r="E577">
        <f t="shared" si="28"/>
        <v>3.7236523094276675</v>
      </c>
      <c r="I577" s="24">
        <f t="shared" si="29"/>
        <v>0.50327426288230304</v>
      </c>
      <c r="N577" s="30">
        <v>40683.333333333328</v>
      </c>
    </row>
    <row r="578" spans="1:14" x14ac:dyDescent="0.3">
      <c r="A578">
        <v>8.7750000000000004</v>
      </c>
      <c r="B578">
        <v>41.807699999999997</v>
      </c>
      <c r="C578">
        <f t="shared" si="27"/>
        <v>41.784620000000004</v>
      </c>
      <c r="D578">
        <v>0.71753846153846168</v>
      </c>
      <c r="E578">
        <f t="shared" si="28"/>
        <v>3.7325283292394973</v>
      </c>
      <c r="I578" s="24">
        <f t="shared" si="29"/>
        <v>0.50892146069553834</v>
      </c>
      <c r="N578" s="30">
        <v>40681.192982456138</v>
      </c>
    </row>
    <row r="579" spans="1:14" x14ac:dyDescent="0.3">
      <c r="A579">
        <v>8.7902000000000005</v>
      </c>
      <c r="B579">
        <v>42.230800000000002</v>
      </c>
      <c r="C579">
        <f t="shared" si="27"/>
        <v>42.130780000000001</v>
      </c>
      <c r="D579">
        <v>0.7179692307692308</v>
      </c>
      <c r="E579">
        <f t="shared" si="28"/>
        <v>3.7407785899424937</v>
      </c>
      <c r="I579" s="24">
        <f t="shared" si="29"/>
        <v>0.51420575448835792</v>
      </c>
      <c r="N579" s="30">
        <v>40679.052631578947</v>
      </c>
    </row>
    <row r="580" spans="1:14" x14ac:dyDescent="0.3">
      <c r="A580">
        <v>8.8054000000000006</v>
      </c>
      <c r="B580">
        <v>42.423099999999998</v>
      </c>
      <c r="C580">
        <f t="shared" si="27"/>
        <v>42.346180000000004</v>
      </c>
      <c r="D580">
        <v>0.71840000000000015</v>
      </c>
      <c r="E580">
        <f t="shared" si="28"/>
        <v>3.7458782163213522</v>
      </c>
      <c r="I580" s="24">
        <f t="shared" si="29"/>
        <v>0.51738106260225192</v>
      </c>
      <c r="N580" s="30">
        <v>40676.912280701756</v>
      </c>
    </row>
    <row r="581" spans="1:14" x14ac:dyDescent="0.3">
      <c r="A581">
        <v>8.8207000000000004</v>
      </c>
      <c r="B581">
        <v>42.730800000000002</v>
      </c>
      <c r="C581">
        <f t="shared" si="27"/>
        <v>42.492339999999999</v>
      </c>
      <c r="D581">
        <v>0.71883076923076927</v>
      </c>
      <c r="E581">
        <f t="shared" si="28"/>
        <v>3.7493238243919209</v>
      </c>
      <c r="I581" s="24">
        <f t="shared" si="29"/>
        <v>0.51943670571355605</v>
      </c>
      <c r="N581" s="30">
        <v>40674.771929824557</v>
      </c>
    </row>
    <row r="582" spans="1:14" x14ac:dyDescent="0.3">
      <c r="A582">
        <v>8.8359000000000005</v>
      </c>
      <c r="B582">
        <v>42.538499999999999</v>
      </c>
      <c r="C582">
        <f t="shared" si="27"/>
        <v>42.59234</v>
      </c>
      <c r="D582">
        <v>0.71926153846153862</v>
      </c>
      <c r="E582">
        <f t="shared" si="28"/>
        <v>3.7516744249005991</v>
      </c>
      <c r="I582" s="24">
        <f t="shared" si="29"/>
        <v>0.52074472864211996</v>
      </c>
      <c r="N582" s="30">
        <v>40672.631578947367</v>
      </c>
    </row>
    <row r="583" spans="1:14" x14ac:dyDescent="0.3">
      <c r="A583">
        <v>8.8511000000000006</v>
      </c>
      <c r="B583">
        <v>42.538499999999999</v>
      </c>
      <c r="C583">
        <f t="shared" si="27"/>
        <v>42.761559999999996</v>
      </c>
      <c r="D583">
        <v>0.71969230769230774</v>
      </c>
      <c r="E583">
        <f t="shared" si="28"/>
        <v>3.7556395681854737</v>
      </c>
      <c r="I583" s="24">
        <f t="shared" si="29"/>
        <v>0.52317407794276471</v>
      </c>
      <c r="N583" s="30">
        <v>40670.491228070176</v>
      </c>
    </row>
    <row r="584" spans="1:14" x14ac:dyDescent="0.3">
      <c r="A584">
        <v>8.8664000000000005</v>
      </c>
      <c r="B584">
        <v>42.730800000000002</v>
      </c>
      <c r="C584">
        <f t="shared" si="27"/>
        <v>42.946159999999999</v>
      </c>
      <c r="D584">
        <v>0.72012307692307698</v>
      </c>
      <c r="E584">
        <f t="shared" si="28"/>
        <v>3.7599472381469048</v>
      </c>
      <c r="I584" s="24">
        <f t="shared" si="29"/>
        <v>0.52585351614360165</v>
      </c>
      <c r="N584" s="30">
        <v>40668.350877192977</v>
      </c>
    </row>
    <row r="585" spans="1:14" x14ac:dyDescent="0.3">
      <c r="A585">
        <v>8.8816000000000006</v>
      </c>
      <c r="B585">
        <v>43.269199999999998</v>
      </c>
      <c r="C585">
        <f t="shared" si="27"/>
        <v>43.292299999999997</v>
      </c>
      <c r="D585">
        <v>0.72055384615384621</v>
      </c>
      <c r="E585">
        <f t="shared" si="28"/>
        <v>3.7679747900956677</v>
      </c>
      <c r="I585" s="24">
        <f t="shared" si="29"/>
        <v>0.53115802660255695</v>
      </c>
      <c r="N585" s="30">
        <v>40666.210526315786</v>
      </c>
    </row>
    <row r="586" spans="1:14" x14ac:dyDescent="0.3">
      <c r="A586">
        <v>8.8968000000000007</v>
      </c>
      <c r="B586">
        <v>43.653799999999997</v>
      </c>
      <c r="C586">
        <f t="shared" si="27"/>
        <v>43.561520000000002</v>
      </c>
      <c r="D586">
        <v>0.72098461538461545</v>
      </c>
      <c r="E586">
        <f t="shared" si="28"/>
        <v>3.7741741918544953</v>
      </c>
      <c r="I586" s="24">
        <f t="shared" si="29"/>
        <v>0.53521840337847437</v>
      </c>
      <c r="N586" s="30">
        <v>40664.070175438595</v>
      </c>
    </row>
    <row r="587" spans="1:14" x14ac:dyDescent="0.3">
      <c r="A587">
        <v>8.9121000000000006</v>
      </c>
      <c r="B587">
        <v>44.269199999999998</v>
      </c>
      <c r="C587">
        <f t="shared" si="27"/>
        <v>43.699980000000004</v>
      </c>
      <c r="D587">
        <v>0.72141538461538468</v>
      </c>
      <c r="E587">
        <f t="shared" si="28"/>
        <v>3.7773476444355358</v>
      </c>
      <c r="I587" s="24">
        <f t="shared" si="29"/>
        <v>0.53715236558648827</v>
      </c>
      <c r="N587" s="30">
        <v>40661.929824561405</v>
      </c>
    </row>
    <row r="588" spans="1:14" x14ac:dyDescent="0.3">
      <c r="A588">
        <v>8.9273000000000007</v>
      </c>
      <c r="B588">
        <v>43.884599999999999</v>
      </c>
      <c r="C588">
        <f t="shared" si="27"/>
        <v>43.592300000000002</v>
      </c>
      <c r="D588">
        <v>0.72184615384615392</v>
      </c>
      <c r="E588">
        <f t="shared" si="28"/>
        <v>3.7748805292538132</v>
      </c>
      <c r="I588" s="24">
        <f t="shared" si="29"/>
        <v>0.53508007912007249</v>
      </c>
      <c r="N588" s="30">
        <v>40659.789473684206</v>
      </c>
    </row>
    <row r="589" spans="1:14" x14ac:dyDescent="0.3">
      <c r="A589">
        <v>8.9425000000000008</v>
      </c>
      <c r="B589">
        <v>43.423099999999998</v>
      </c>
      <c r="C589">
        <f t="shared" si="27"/>
        <v>43.253840000000004</v>
      </c>
      <c r="D589">
        <v>0.72227692307692315</v>
      </c>
      <c r="E589">
        <f t="shared" si="28"/>
        <v>3.7670860155638013</v>
      </c>
      <c r="I589" s="24">
        <f t="shared" si="29"/>
        <v>0.52926733432704642</v>
      </c>
      <c r="N589" s="30">
        <v>40657.649122807015</v>
      </c>
    </row>
    <row r="590" spans="1:14" x14ac:dyDescent="0.3">
      <c r="A590">
        <v>8.9578000000000007</v>
      </c>
      <c r="B590">
        <v>42.730800000000002</v>
      </c>
      <c r="C590">
        <f t="shared" si="27"/>
        <v>42.692300000000003</v>
      </c>
      <c r="D590">
        <v>0.72270769230769238</v>
      </c>
      <c r="E590">
        <f t="shared" si="28"/>
        <v>3.7540185761047016</v>
      </c>
      <c r="I590" s="24">
        <f t="shared" si="29"/>
        <v>0.51987359295577462</v>
      </c>
      <c r="N590" s="30">
        <v>40655.508771929824</v>
      </c>
    </row>
    <row r="591" spans="1:14" x14ac:dyDescent="0.3">
      <c r="A591">
        <v>8.9730000000000008</v>
      </c>
      <c r="B591">
        <v>41.961500000000001</v>
      </c>
      <c r="C591">
        <f t="shared" si="27"/>
        <v>42.138459999999995</v>
      </c>
      <c r="D591">
        <v>0.72313846153846162</v>
      </c>
      <c r="E591">
        <f t="shared" si="28"/>
        <v>3.7409608628577651</v>
      </c>
      <c r="I591" s="24">
        <f t="shared" si="29"/>
        <v>0.51065333840634575</v>
      </c>
      <c r="N591" s="30">
        <v>40653.368421052626</v>
      </c>
    </row>
    <row r="592" spans="1:14" x14ac:dyDescent="0.3">
      <c r="A592">
        <v>8.9882000000000009</v>
      </c>
      <c r="B592">
        <v>41.461500000000001</v>
      </c>
      <c r="C592">
        <f t="shared" si="27"/>
        <v>41.630760000000002</v>
      </c>
      <c r="D592">
        <v>0.72356923076923085</v>
      </c>
      <c r="E592">
        <f t="shared" si="28"/>
        <v>3.7288393171055816</v>
      </c>
      <c r="I592" s="24">
        <f t="shared" si="29"/>
        <v>0.50221927199401017</v>
      </c>
      <c r="N592" s="30">
        <v>40651.228070175435</v>
      </c>
    </row>
    <row r="593" spans="1:14" x14ac:dyDescent="0.3">
      <c r="A593">
        <v>9.0035000000000007</v>
      </c>
      <c r="B593">
        <v>41.115400000000001</v>
      </c>
      <c r="C593">
        <f t="shared" si="27"/>
        <v>41.169220000000003</v>
      </c>
      <c r="D593" s="8">
        <v>0.72399999999999998</v>
      </c>
      <c r="E593">
        <f t="shared" si="28"/>
        <v>3.7176908897679932</v>
      </c>
      <c r="I593" s="24">
        <f t="shared" si="29"/>
        <v>0.49456185163842509</v>
      </c>
      <c r="N593" s="30">
        <v>40649.087719298244</v>
      </c>
    </row>
    <row r="594" spans="1:14" x14ac:dyDescent="0.3">
      <c r="A594">
        <v>9.0187000000000008</v>
      </c>
      <c r="B594">
        <v>40.884599999999999</v>
      </c>
      <c r="C594">
        <f t="shared" si="27"/>
        <v>40.923080000000006</v>
      </c>
      <c r="D594">
        <v>0.72363636363636374</v>
      </c>
      <c r="E594">
        <f t="shared" si="28"/>
        <v>3.7116942070680747</v>
      </c>
      <c r="I594" s="24">
        <f t="shared" si="29"/>
        <v>0.49089497440226509</v>
      </c>
      <c r="N594" s="30">
        <v>40646.947368421053</v>
      </c>
    </row>
    <row r="595" spans="1:14" x14ac:dyDescent="0.3">
      <c r="A595">
        <v>9.0340000000000007</v>
      </c>
      <c r="B595">
        <v>40.423099999999998</v>
      </c>
      <c r="C595">
        <f t="shared" si="27"/>
        <v>40.776940000000003</v>
      </c>
      <c r="D595">
        <v>0.72327272727272729</v>
      </c>
      <c r="E595">
        <f t="shared" si="28"/>
        <v>3.7081167255481722</v>
      </c>
      <c r="I595" s="24">
        <f t="shared" si="29"/>
        <v>0.48881954602803895</v>
      </c>
      <c r="N595" s="30">
        <v>40644.807017543855</v>
      </c>
    </row>
    <row r="596" spans="1:14" x14ac:dyDescent="0.3">
      <c r="A596">
        <v>9.0492000000000008</v>
      </c>
      <c r="B596">
        <v>40.730800000000002</v>
      </c>
      <c r="C596">
        <f t="shared" si="27"/>
        <v>40.600019999999994</v>
      </c>
      <c r="D596">
        <v>0.72290909090909095</v>
      </c>
      <c r="E596">
        <f t="shared" si="28"/>
        <v>3.7037685592184029</v>
      </c>
      <c r="I596" s="24">
        <f t="shared" si="29"/>
        <v>0.48625629250054175</v>
      </c>
      <c r="N596" s="30">
        <v>40642.666666666664</v>
      </c>
    </row>
    <row r="597" spans="1:14" x14ac:dyDescent="0.3">
      <c r="A597">
        <v>9.0643999999999991</v>
      </c>
      <c r="B597">
        <v>40.730800000000002</v>
      </c>
      <c r="C597">
        <f t="shared" si="27"/>
        <v>40.307720000000003</v>
      </c>
      <c r="D597">
        <v>0.7225454545454546</v>
      </c>
      <c r="E597">
        <f t="shared" si="28"/>
        <v>3.6965430138821702</v>
      </c>
      <c r="I597" s="24">
        <f t="shared" si="29"/>
        <v>0.48186624615020751</v>
      </c>
      <c r="N597" s="30">
        <v>40640.526315789473</v>
      </c>
    </row>
    <row r="598" spans="1:14" x14ac:dyDescent="0.3">
      <c r="A598">
        <v>9.0797000000000008</v>
      </c>
      <c r="B598">
        <v>40.230800000000002</v>
      </c>
      <c r="C598">
        <f t="shared" si="27"/>
        <v>39.976939999999999</v>
      </c>
      <c r="D598">
        <v>0.72218181818181826</v>
      </c>
      <c r="E598">
        <f t="shared" si="28"/>
        <v>3.6883027878739165</v>
      </c>
      <c r="I598" s="24">
        <f t="shared" si="29"/>
        <v>0.47687448612911343</v>
      </c>
      <c r="N598" s="30">
        <v>40638.385964912275</v>
      </c>
    </row>
    <row r="599" spans="1:14" x14ac:dyDescent="0.3">
      <c r="A599">
        <v>9.0949000000000009</v>
      </c>
      <c r="B599">
        <v>39.423099999999998</v>
      </c>
      <c r="C599">
        <f t="shared" si="27"/>
        <v>39.523080000000007</v>
      </c>
      <c r="D599">
        <v>0.72181818181818191</v>
      </c>
      <c r="E599">
        <f t="shared" si="28"/>
        <v>3.6768848050655478</v>
      </c>
      <c r="I599" s="24">
        <f t="shared" si="29"/>
        <v>0.46995193913579419</v>
      </c>
      <c r="N599" s="30">
        <v>40636.245614035084</v>
      </c>
    </row>
    <row r="600" spans="1:14" x14ac:dyDescent="0.3">
      <c r="A600">
        <v>9.1100999999999992</v>
      </c>
      <c r="B600">
        <v>38.769199999999998</v>
      </c>
      <c r="C600">
        <f t="shared" si="27"/>
        <v>39.061539999999994</v>
      </c>
      <c r="D600">
        <v>0.72145454545454546</v>
      </c>
      <c r="E600">
        <f t="shared" si="28"/>
        <v>3.6651383511946252</v>
      </c>
      <c r="I600" s="24">
        <f t="shared" si="29"/>
        <v>0.46292850971714961</v>
      </c>
      <c r="N600" s="30">
        <v>40634.105263157893</v>
      </c>
    </row>
    <row r="601" spans="1:14" x14ac:dyDescent="0.3">
      <c r="A601">
        <v>9.1254000000000008</v>
      </c>
      <c r="B601">
        <v>38.461500000000001</v>
      </c>
      <c r="C601">
        <f t="shared" si="27"/>
        <v>38.469219999999993</v>
      </c>
      <c r="D601">
        <v>0.72109090909090912</v>
      </c>
      <c r="E601">
        <f t="shared" si="28"/>
        <v>3.6498584410192709</v>
      </c>
      <c r="I601" s="24">
        <f t="shared" si="29"/>
        <v>0.45388051011955827</v>
      </c>
      <c r="N601" s="30">
        <v>40631.964912280702</v>
      </c>
    </row>
    <row r="602" spans="1:14" x14ac:dyDescent="0.3">
      <c r="A602">
        <v>9.1405999999999992</v>
      </c>
      <c r="B602">
        <v>38.423099999999998</v>
      </c>
      <c r="C602">
        <f t="shared" si="27"/>
        <v>38.053840000000001</v>
      </c>
      <c r="D602">
        <v>0.72072727272727277</v>
      </c>
      <c r="E602">
        <f t="shared" si="28"/>
        <v>3.639001999057943</v>
      </c>
      <c r="I602" s="24">
        <f t="shared" si="29"/>
        <v>0.4476249735146946</v>
      </c>
      <c r="N602" s="30">
        <v>40629.824561403504</v>
      </c>
    </row>
    <row r="603" spans="1:14" x14ac:dyDescent="0.3">
      <c r="A603">
        <v>9.1557999999999993</v>
      </c>
      <c r="B603">
        <v>37.269199999999998</v>
      </c>
      <c r="C603">
        <f t="shared" si="27"/>
        <v>37.769240000000003</v>
      </c>
      <c r="D603">
        <v>0.72036363636363643</v>
      </c>
      <c r="E603">
        <f t="shared" si="28"/>
        <v>3.6314950147321392</v>
      </c>
      <c r="I603" s="24">
        <f t="shared" si="29"/>
        <v>0.44341901664743566</v>
      </c>
      <c r="N603" s="30">
        <v>40627.684210526313</v>
      </c>
    </row>
    <row r="604" spans="1:14" x14ac:dyDescent="0.3">
      <c r="A604">
        <v>9.1710999999999991</v>
      </c>
      <c r="B604">
        <v>37.346200000000003</v>
      </c>
      <c r="C604">
        <f t="shared" si="27"/>
        <v>37.530780000000007</v>
      </c>
      <c r="D604">
        <v>0.72</v>
      </c>
      <c r="E604">
        <f t="shared" si="28"/>
        <v>3.6251613963042595</v>
      </c>
      <c r="I604" s="24">
        <f t="shared" si="29"/>
        <v>0.4399360299315051</v>
      </c>
      <c r="N604" s="30">
        <v>40625.543859649122</v>
      </c>
    </row>
    <row r="605" spans="1:14" x14ac:dyDescent="0.3">
      <c r="A605">
        <v>9.1862999999999992</v>
      </c>
      <c r="B605">
        <v>37.346200000000003</v>
      </c>
      <c r="C605">
        <f t="shared" si="27"/>
        <v>37.299999999999997</v>
      </c>
      <c r="D605">
        <v>0.71963636363636374</v>
      </c>
      <c r="E605">
        <f t="shared" si="28"/>
        <v>3.6189933266497696</v>
      </c>
      <c r="I605" s="24">
        <f t="shared" si="29"/>
        <v>0.43657625183921694</v>
      </c>
      <c r="N605" s="30">
        <v>40623.403508771931</v>
      </c>
    </row>
    <row r="606" spans="1:14" x14ac:dyDescent="0.3">
      <c r="A606">
        <v>9.2014999999999993</v>
      </c>
      <c r="B606">
        <v>37.269199999999998</v>
      </c>
      <c r="C606">
        <f t="shared" si="27"/>
        <v>37.253859999999996</v>
      </c>
      <c r="D606">
        <v>0.71927272727272729</v>
      </c>
      <c r="E606">
        <f t="shared" si="28"/>
        <v>3.6177555636180299</v>
      </c>
      <c r="I606" s="24">
        <f t="shared" si="29"/>
        <v>0.43608130014416618</v>
      </c>
      <c r="N606" s="30">
        <v>40621.263157894733</v>
      </c>
    </row>
    <row r="607" spans="1:14" x14ac:dyDescent="0.3">
      <c r="A607">
        <v>9.2167999999999992</v>
      </c>
      <c r="B607">
        <v>37.269199999999998</v>
      </c>
      <c r="C607">
        <f t="shared" si="27"/>
        <v>37.161539999999995</v>
      </c>
      <c r="D607">
        <v>0.71890909090909094</v>
      </c>
      <c r="E607">
        <f t="shared" si="28"/>
        <v>3.6152743554981193</v>
      </c>
      <c r="I607" s="24">
        <f t="shared" si="29"/>
        <v>0.4348700621134019</v>
      </c>
      <c r="N607" s="30">
        <v>40619.122807017542</v>
      </c>
    </row>
    <row r="608" spans="1:14" x14ac:dyDescent="0.3">
      <c r="A608">
        <v>9.2319999999999993</v>
      </c>
      <c r="B608">
        <v>37.038499999999999</v>
      </c>
      <c r="C608">
        <f t="shared" si="27"/>
        <v>37.038460000000001</v>
      </c>
      <c r="D608">
        <v>0.7185454545454546</v>
      </c>
      <c r="E608">
        <f t="shared" si="28"/>
        <v>3.6119568322397786</v>
      </c>
      <c r="I608" s="24">
        <f t="shared" si="29"/>
        <v>0.43318208911181805</v>
      </c>
      <c r="N608" s="30">
        <v>40616.982456140351</v>
      </c>
    </row>
    <row r="609" spans="1:14" x14ac:dyDescent="0.3">
      <c r="A609">
        <v>9.2471999999999994</v>
      </c>
      <c r="B609">
        <v>36.884599999999999</v>
      </c>
      <c r="C609">
        <f t="shared" si="27"/>
        <v>36.699999999999996</v>
      </c>
      <c r="D609">
        <v>0.71818181818181825</v>
      </c>
      <c r="E609">
        <f t="shared" si="28"/>
        <v>3.6027767550605243</v>
      </c>
      <c r="I609" s="24">
        <f t="shared" si="29"/>
        <v>0.42816241737986094</v>
      </c>
      <c r="N609" s="30">
        <v>40614.842105263153</v>
      </c>
    </row>
    <row r="610" spans="1:14" x14ac:dyDescent="0.3">
      <c r="A610">
        <v>9.2624999999999993</v>
      </c>
      <c r="B610">
        <v>36.730800000000002</v>
      </c>
      <c r="C610">
        <f t="shared" si="27"/>
        <v>36.292320000000004</v>
      </c>
      <c r="D610">
        <v>0.71781818181818191</v>
      </c>
      <c r="E610">
        <f t="shared" si="28"/>
        <v>3.591606148638729</v>
      </c>
      <c r="I610" s="24">
        <f t="shared" si="29"/>
        <v>0.42208648821393435</v>
      </c>
      <c r="N610" s="30">
        <v>40612.701754385962</v>
      </c>
    </row>
    <row r="611" spans="1:14" x14ac:dyDescent="0.3">
      <c r="A611">
        <v>9.2776999999999994</v>
      </c>
      <c r="B611">
        <v>35.576900000000002</v>
      </c>
      <c r="C611">
        <f t="shared" si="27"/>
        <v>35.799999999999997</v>
      </c>
      <c r="D611">
        <v>0.71745454545454546</v>
      </c>
      <c r="E611">
        <f t="shared" si="28"/>
        <v>3.5779478934066544</v>
      </c>
      <c r="I611" s="24">
        <f t="shared" si="29"/>
        <v>0.41472784040826427</v>
      </c>
      <c r="N611" s="30">
        <v>40610.561403508771</v>
      </c>
    </row>
    <row r="612" spans="1:14" x14ac:dyDescent="0.3">
      <c r="A612">
        <v>9.2928999999999995</v>
      </c>
      <c r="B612">
        <v>35.230800000000002</v>
      </c>
      <c r="C612">
        <f t="shared" si="27"/>
        <v>35.238460000000003</v>
      </c>
      <c r="D612">
        <v>0.71709090909090911</v>
      </c>
      <c r="E612">
        <f t="shared" si="28"/>
        <v>3.5621380997725689</v>
      </c>
      <c r="I612" s="24">
        <f t="shared" si="29"/>
        <v>0.40633772756400738</v>
      </c>
      <c r="N612" s="30">
        <v>40608.42105263158</v>
      </c>
    </row>
    <row r="613" spans="1:14" x14ac:dyDescent="0.3">
      <c r="A613">
        <v>9.3081999999999994</v>
      </c>
      <c r="B613">
        <v>34.576900000000002</v>
      </c>
      <c r="C613">
        <f t="shared" si="27"/>
        <v>34.661540000000002</v>
      </c>
      <c r="D613">
        <v>0.71672727272727277</v>
      </c>
      <c r="E613">
        <f t="shared" si="28"/>
        <v>3.5456307149218707</v>
      </c>
      <c r="I613" s="24">
        <f t="shared" si="29"/>
        <v>0.39774969470548627</v>
      </c>
      <c r="N613" s="30">
        <v>40606.280701754382</v>
      </c>
    </row>
    <row r="614" spans="1:14" x14ac:dyDescent="0.3">
      <c r="A614">
        <v>9.3233999999999995</v>
      </c>
      <c r="B614">
        <v>34.076900000000002</v>
      </c>
      <c r="C614">
        <f t="shared" si="27"/>
        <v>34.4</v>
      </c>
      <c r="D614">
        <v>0.71636363636363642</v>
      </c>
      <c r="E614">
        <f t="shared" si="28"/>
        <v>3.5380565643793527</v>
      </c>
      <c r="I614" s="24">
        <f t="shared" si="29"/>
        <v>0.39397842560295343</v>
      </c>
      <c r="N614" s="30">
        <v>40604.140350877191</v>
      </c>
    </row>
    <row r="615" spans="1:14" x14ac:dyDescent="0.3">
      <c r="A615">
        <v>9.3385999999999996</v>
      </c>
      <c r="B615">
        <v>33.846200000000003</v>
      </c>
      <c r="C615">
        <f t="shared" si="27"/>
        <v>34.330760000000005</v>
      </c>
      <c r="D615">
        <v>0.71599999999999997</v>
      </c>
      <c r="E615">
        <f t="shared" si="28"/>
        <v>3.536041745296215</v>
      </c>
      <c r="I615" s="25">
        <f t="shared" si="29"/>
        <v>0.39312776515766579</v>
      </c>
      <c r="N615" s="30">
        <v>40602</v>
      </c>
    </row>
    <row r="616" spans="1:14" x14ac:dyDescent="0.3">
      <c r="A616">
        <v>9.3538999999999994</v>
      </c>
      <c r="B616">
        <v>34.269199999999998</v>
      </c>
      <c r="C616">
        <f t="shared" si="27"/>
        <v>34.5</v>
      </c>
      <c r="D616">
        <v>0.71563636363636374</v>
      </c>
      <c r="E616">
        <f t="shared" si="28"/>
        <v>3.5409593240373143</v>
      </c>
      <c r="I616" s="24">
        <f t="shared" si="29"/>
        <v>0.39589834373538751</v>
      </c>
      <c r="N616" s="30">
        <v>40596.21428571429</v>
      </c>
    </row>
    <row r="617" spans="1:14" x14ac:dyDescent="0.3">
      <c r="A617">
        <v>9.3690999999999995</v>
      </c>
      <c r="B617">
        <v>34.884599999999999</v>
      </c>
      <c r="C617">
        <f t="shared" si="27"/>
        <v>35.05386</v>
      </c>
      <c r="D617">
        <v>0.71527272727272728</v>
      </c>
      <c r="E617">
        <f t="shared" si="28"/>
        <v>3.5568857358049306</v>
      </c>
      <c r="I617" s="24">
        <f t="shared" si="29"/>
        <v>0.40454583390062826</v>
      </c>
      <c r="N617" s="30">
        <v>40590.428571428572</v>
      </c>
    </row>
    <row r="618" spans="1:14" x14ac:dyDescent="0.3">
      <c r="A618">
        <v>9.3842999999999996</v>
      </c>
      <c r="B618">
        <v>35.423099999999998</v>
      </c>
      <c r="C618">
        <f t="shared" si="27"/>
        <v>35.715379999999996</v>
      </c>
      <c r="D618">
        <v>0.71490909090909094</v>
      </c>
      <c r="E618">
        <f t="shared" si="28"/>
        <v>3.5755814083375377</v>
      </c>
      <c r="I618" s="24">
        <f t="shared" si="29"/>
        <v>0.41490168342186545</v>
      </c>
      <c r="N618" s="30">
        <v>40584.642857142862</v>
      </c>
    </row>
    <row r="619" spans="1:14" x14ac:dyDescent="0.3">
      <c r="A619">
        <v>9.3995999999999995</v>
      </c>
      <c r="B619">
        <v>36.846200000000003</v>
      </c>
      <c r="C619">
        <f t="shared" si="27"/>
        <v>36.430779999999999</v>
      </c>
      <c r="D619">
        <v>0.71454545454545459</v>
      </c>
      <c r="E619">
        <f t="shared" si="28"/>
        <v>3.5954140217163237</v>
      </c>
      <c r="I619" s="24">
        <f t="shared" si="29"/>
        <v>0.42616415284107578</v>
      </c>
      <c r="N619" s="30">
        <v>40578.857142857145</v>
      </c>
    </row>
    <row r="620" spans="1:14" x14ac:dyDescent="0.3">
      <c r="A620">
        <v>9.4147999999999996</v>
      </c>
      <c r="B620">
        <v>37.153799999999997</v>
      </c>
      <c r="C620">
        <f t="shared" si="27"/>
        <v>37.246160000000003</v>
      </c>
      <c r="D620">
        <v>0.71418181818181825</v>
      </c>
      <c r="E620">
        <f t="shared" si="28"/>
        <v>3.6175488522633907</v>
      </c>
      <c r="I620" s="24">
        <f t="shared" si="29"/>
        <v>0.43906956645607503</v>
      </c>
      <c r="N620" s="30">
        <v>40573.071428571435</v>
      </c>
    </row>
    <row r="621" spans="1:14" x14ac:dyDescent="0.3">
      <c r="A621">
        <v>9.43</v>
      </c>
      <c r="B621">
        <v>37.846200000000003</v>
      </c>
      <c r="C621">
        <f t="shared" si="27"/>
        <v>38.246160000000003</v>
      </c>
      <c r="D621">
        <v>0.71381818181818191</v>
      </c>
      <c r="E621">
        <f t="shared" si="28"/>
        <v>3.6440431630760521</v>
      </c>
      <c r="I621" s="24">
        <f t="shared" si="29"/>
        <v>0.45498607944417824</v>
      </c>
      <c r="N621" s="30">
        <v>40567.285714285717</v>
      </c>
    </row>
    <row r="622" spans="1:14" x14ac:dyDescent="0.3">
      <c r="A622">
        <v>9.4452999999999996</v>
      </c>
      <c r="B622">
        <v>38.961500000000001</v>
      </c>
      <c r="C622">
        <f t="shared" si="27"/>
        <v>39.246160000000003</v>
      </c>
      <c r="D622">
        <v>0.71345454545454545</v>
      </c>
      <c r="E622">
        <f t="shared" si="28"/>
        <v>3.6698536050474164</v>
      </c>
      <c r="I622" s="24">
        <f t="shared" si="29"/>
        <v>0.47105273494067224</v>
      </c>
      <c r="N622" s="30">
        <v>40561.5</v>
      </c>
    </row>
    <row r="623" spans="1:14" x14ac:dyDescent="0.3">
      <c r="A623">
        <v>9.4604999999999997</v>
      </c>
      <c r="B623">
        <v>40.423099999999998</v>
      </c>
      <c r="C623">
        <f t="shared" si="27"/>
        <v>40.415400000000005</v>
      </c>
      <c r="D623">
        <v>0.71309090909090911</v>
      </c>
      <c r="E623">
        <f t="shared" si="28"/>
        <v>3.6992109004521829</v>
      </c>
      <c r="I623" s="24">
        <f t="shared" si="29"/>
        <v>0.48998383972647247</v>
      </c>
      <c r="N623" s="30">
        <v>40555.71428571429</v>
      </c>
    </row>
    <row r="624" spans="1:14" x14ac:dyDescent="0.3">
      <c r="A624">
        <v>9.4756999999999998</v>
      </c>
      <c r="B624">
        <v>41.846200000000003</v>
      </c>
      <c r="C624">
        <f t="shared" si="27"/>
        <v>41.607700000000001</v>
      </c>
      <c r="D624">
        <v>0.71272727272727276</v>
      </c>
      <c r="E624">
        <f t="shared" si="28"/>
        <v>3.7282852462928844</v>
      </c>
      <c r="I624" s="24">
        <f t="shared" si="29"/>
        <v>0.50948488085744337</v>
      </c>
      <c r="N624" s="30">
        <v>40549.928571428572</v>
      </c>
    </row>
    <row r="625" spans="1:18" x14ac:dyDescent="0.3">
      <c r="A625">
        <v>9.4909999999999997</v>
      </c>
      <c r="B625">
        <v>43</v>
      </c>
      <c r="C625">
        <f t="shared" si="27"/>
        <v>42.984639999999999</v>
      </c>
      <c r="D625">
        <v>0.71236363636363642</v>
      </c>
      <c r="E625">
        <f t="shared" si="28"/>
        <v>3.7608428425767966</v>
      </c>
      <c r="I625" s="24">
        <f t="shared" si="29"/>
        <v>0.53221248398612009</v>
      </c>
      <c r="N625" s="30">
        <v>40544.142857142862</v>
      </c>
    </row>
    <row r="626" spans="1:18" x14ac:dyDescent="0.3">
      <c r="A626">
        <v>9.5061999999999998</v>
      </c>
      <c r="B626">
        <v>43.807699999999997</v>
      </c>
      <c r="C626">
        <f t="shared" si="27"/>
        <v>44.092320000000008</v>
      </c>
      <c r="D626">
        <v>0.71199999999999997</v>
      </c>
      <c r="E626">
        <f t="shared" si="28"/>
        <v>3.7862856176271236</v>
      </c>
      <c r="I626" s="24">
        <f t="shared" si="29"/>
        <v>0.55073844161230545</v>
      </c>
      <c r="N626" s="30">
        <v>40538.357142857145</v>
      </c>
      <c r="O626">
        <v>2010</v>
      </c>
      <c r="P626" s="24">
        <f>AVERAGE(I626:I724)</f>
        <v>0.63175884013242101</v>
      </c>
      <c r="Q626">
        <f>A724-A626</f>
        <v>1.4930000000000003</v>
      </c>
      <c r="R626">
        <f>P626*Q626</f>
        <v>0.94321594831770472</v>
      </c>
    </row>
    <row r="627" spans="1:18" x14ac:dyDescent="0.3">
      <c r="A627">
        <v>9.5213999999999999</v>
      </c>
      <c r="B627">
        <v>45.846200000000003</v>
      </c>
      <c r="C627">
        <f t="shared" si="27"/>
        <v>44.923079999999999</v>
      </c>
      <c r="D627">
        <v>0.71163636363636373</v>
      </c>
      <c r="E627">
        <f t="shared" si="28"/>
        <v>3.8049516938598384</v>
      </c>
      <c r="I627" s="24">
        <f t="shared" si="29"/>
        <v>0.56481580679218601</v>
      </c>
      <c r="N627" s="30">
        <v>40532.571428571435</v>
      </c>
    </row>
    <row r="628" spans="1:18" x14ac:dyDescent="0.3">
      <c r="A628">
        <v>9.5366999999999997</v>
      </c>
      <c r="B628">
        <v>45.961500000000001</v>
      </c>
      <c r="C628">
        <f t="shared" si="27"/>
        <v>45.45384</v>
      </c>
      <c r="D628">
        <v>0.71127272727272728</v>
      </c>
      <c r="E628">
        <f t="shared" si="28"/>
        <v>3.8166973055033848</v>
      </c>
      <c r="I628" s="24">
        <f t="shared" si="29"/>
        <v>0.57396669697219038</v>
      </c>
      <c r="N628" s="30">
        <v>40526.785714285717</v>
      </c>
    </row>
    <row r="629" spans="1:18" x14ac:dyDescent="0.3">
      <c r="A629">
        <v>9.5518999999999998</v>
      </c>
      <c r="B629">
        <v>46</v>
      </c>
      <c r="C629">
        <f t="shared" si="27"/>
        <v>45.738459999999996</v>
      </c>
      <c r="D629">
        <v>0.71090909090909093</v>
      </c>
      <c r="E629">
        <f t="shared" si="28"/>
        <v>3.8229395194664022</v>
      </c>
      <c r="I629" s="24">
        <f t="shared" si="29"/>
        <v>0.57902892819066631</v>
      </c>
      <c r="N629" s="30">
        <v>40521</v>
      </c>
    </row>
    <row r="630" spans="1:18" x14ac:dyDescent="0.3">
      <c r="A630">
        <v>9.5671999999999997</v>
      </c>
      <c r="B630">
        <v>45.653799999999997</v>
      </c>
      <c r="C630">
        <f t="shared" si="27"/>
        <v>45.615379999999995</v>
      </c>
      <c r="D630">
        <v>0.71054545454545459</v>
      </c>
      <c r="E630">
        <f t="shared" si="28"/>
        <v>3.820244940355745</v>
      </c>
      <c r="I630" s="24">
        <f t="shared" si="29"/>
        <v>0.57726088232375883</v>
      </c>
      <c r="N630" s="30">
        <v>40515.21428571429</v>
      </c>
    </row>
    <row r="631" spans="1:18" x14ac:dyDescent="0.3">
      <c r="A631">
        <v>9.5823999999999998</v>
      </c>
      <c r="B631">
        <v>45.230800000000002</v>
      </c>
      <c r="C631">
        <f t="shared" si="27"/>
        <v>45.569239999999994</v>
      </c>
      <c r="D631">
        <v>0.71018181818181825</v>
      </c>
      <c r="E631">
        <f t="shared" si="28"/>
        <v>3.8192329274979202</v>
      </c>
      <c r="I631" s="24">
        <f t="shared" si="29"/>
        <v>0.57678263926759232</v>
      </c>
      <c r="N631" s="30">
        <v>40509.428571428572</v>
      </c>
    </row>
    <row r="632" spans="1:18" x14ac:dyDescent="0.3">
      <c r="A632">
        <v>9.5975999999999999</v>
      </c>
      <c r="B632">
        <v>45.230800000000002</v>
      </c>
      <c r="C632">
        <f t="shared" si="27"/>
        <v>45.630780000000001</v>
      </c>
      <c r="D632">
        <v>0.7098181818181819</v>
      </c>
      <c r="E632">
        <f t="shared" si="28"/>
        <v>3.8205824888103042</v>
      </c>
      <c r="I632" s="24">
        <f t="shared" si="29"/>
        <v>0.57811080236333612</v>
      </c>
      <c r="N632" s="30">
        <v>40503.642857142862</v>
      </c>
    </row>
    <row r="633" spans="1:18" x14ac:dyDescent="0.3">
      <c r="A633">
        <v>9.6128999999999998</v>
      </c>
      <c r="B633">
        <v>45.730800000000002</v>
      </c>
      <c r="C633">
        <f t="shared" si="27"/>
        <v>46.046180000000007</v>
      </c>
      <c r="D633">
        <v>0.70945454545454545</v>
      </c>
      <c r="E633">
        <f t="shared" si="28"/>
        <v>3.8296448059488819</v>
      </c>
      <c r="I633" s="24">
        <f t="shared" si="29"/>
        <v>0.58539318582456823</v>
      </c>
      <c r="N633" s="30">
        <v>40497.857142857145</v>
      </c>
    </row>
    <row r="634" spans="1:18" x14ac:dyDescent="0.3">
      <c r="A634">
        <v>9.6280999999999999</v>
      </c>
      <c r="B634">
        <v>46.307699999999997</v>
      </c>
      <c r="C634">
        <f t="shared" ref="C634:C697" si="30">AVERAGE(B632:B636)</f>
        <v>46.584639999999993</v>
      </c>
      <c r="D634">
        <v>0.70909090909090911</v>
      </c>
      <c r="E634">
        <f t="shared" ref="E634:E697" si="31">LN(C634)</f>
        <v>3.8412708730631477</v>
      </c>
      <c r="I634" s="24">
        <f t="shared" ref="I634:I697" si="32">(0.0026*(EXP(1.3248*E634)))/D634</f>
        <v>0.59478419172173969</v>
      </c>
      <c r="N634" s="30">
        <v>40492.071428571435</v>
      </c>
    </row>
    <row r="635" spans="1:18" x14ac:dyDescent="0.3">
      <c r="A635">
        <v>9.6433</v>
      </c>
      <c r="B635">
        <v>47.730800000000002</v>
      </c>
      <c r="C635">
        <f t="shared" si="30"/>
        <v>47.246179999999995</v>
      </c>
      <c r="D635">
        <v>0.70872727272727276</v>
      </c>
      <c r="E635">
        <f t="shared" si="31"/>
        <v>3.855371804110646</v>
      </c>
      <c r="I635" s="24">
        <f t="shared" si="32"/>
        <v>0.60631066441883175</v>
      </c>
      <c r="N635" s="30">
        <v>40486.285714285717</v>
      </c>
    </row>
    <row r="636" spans="1:18" x14ac:dyDescent="0.3">
      <c r="A636">
        <v>9.6585999999999999</v>
      </c>
      <c r="B636">
        <v>47.923099999999998</v>
      </c>
      <c r="C636">
        <f t="shared" si="30"/>
        <v>47.992319999999999</v>
      </c>
      <c r="D636">
        <v>0.70836363636363642</v>
      </c>
      <c r="E636">
        <f t="shared" si="31"/>
        <v>3.8710409981065252</v>
      </c>
      <c r="I636" s="24">
        <f t="shared" si="32"/>
        <v>0.61934611345276047</v>
      </c>
      <c r="N636" s="30">
        <v>40480.5</v>
      </c>
    </row>
    <row r="637" spans="1:18" x14ac:dyDescent="0.3">
      <c r="A637">
        <v>9.6738</v>
      </c>
      <c r="B637">
        <v>48.538499999999999</v>
      </c>
      <c r="C637">
        <f t="shared" si="30"/>
        <v>48.761539999999997</v>
      </c>
      <c r="D637">
        <v>0.70799999999999996</v>
      </c>
      <c r="E637">
        <f t="shared" si="31"/>
        <v>3.8869418873793014</v>
      </c>
      <c r="I637" s="24">
        <f t="shared" si="32"/>
        <v>0.6328562117554184</v>
      </c>
      <c r="N637" s="30">
        <v>40474.71428571429</v>
      </c>
    </row>
    <row r="638" spans="1:18" x14ac:dyDescent="0.3">
      <c r="A638">
        <v>9.6890000000000001</v>
      </c>
      <c r="B638">
        <v>49.461500000000001</v>
      </c>
      <c r="C638">
        <f t="shared" si="30"/>
        <v>49.369219999999999</v>
      </c>
      <c r="D638">
        <v>0.70763636363636373</v>
      </c>
      <c r="E638">
        <f t="shared" si="31"/>
        <v>3.8993271530777047</v>
      </c>
      <c r="I638" s="24">
        <f t="shared" si="32"/>
        <v>0.64365636266218496</v>
      </c>
      <c r="N638" s="30">
        <v>40468.928571428572</v>
      </c>
    </row>
    <row r="639" spans="1:18" x14ac:dyDescent="0.3">
      <c r="A639">
        <v>9.7042999999999999</v>
      </c>
      <c r="B639">
        <v>50.153799999999997</v>
      </c>
      <c r="C639">
        <f t="shared" si="30"/>
        <v>50.015360000000001</v>
      </c>
      <c r="D639">
        <v>0.70727272727272728</v>
      </c>
      <c r="E639">
        <f t="shared" si="31"/>
        <v>3.9123301582518875</v>
      </c>
      <c r="I639" s="24">
        <f t="shared" si="32"/>
        <v>0.65517696406354475</v>
      </c>
      <c r="N639" s="30">
        <v>40463.142857142862</v>
      </c>
    </row>
    <row r="640" spans="1:18" x14ac:dyDescent="0.3">
      <c r="A640">
        <v>9.7195</v>
      </c>
      <c r="B640">
        <v>50.769199999999998</v>
      </c>
      <c r="C640">
        <f t="shared" si="30"/>
        <v>50.576900000000002</v>
      </c>
      <c r="D640">
        <v>0.70690909090909093</v>
      </c>
      <c r="E640">
        <f t="shared" si="31"/>
        <v>3.9234949503165146</v>
      </c>
      <c r="I640" s="24">
        <f t="shared" si="32"/>
        <v>0.66528183363218696</v>
      </c>
      <c r="N640" s="30">
        <v>40457.357142857145</v>
      </c>
    </row>
    <row r="641" spans="1:14" x14ac:dyDescent="0.3">
      <c r="A641">
        <v>9.7347000000000001</v>
      </c>
      <c r="B641">
        <v>51.153799999999997</v>
      </c>
      <c r="C641">
        <f t="shared" si="30"/>
        <v>50.684600000000003</v>
      </c>
      <c r="D641">
        <v>0.70654545454545459</v>
      </c>
      <c r="E641">
        <f t="shared" si="31"/>
        <v>3.9256221169219949</v>
      </c>
      <c r="I641" s="24">
        <f t="shared" si="32"/>
        <v>0.66750265434203448</v>
      </c>
      <c r="N641" s="30">
        <v>40451.571428571435</v>
      </c>
    </row>
    <row r="642" spans="1:14" x14ac:dyDescent="0.3">
      <c r="A642">
        <v>9.75</v>
      </c>
      <c r="B642">
        <v>51.346200000000003</v>
      </c>
      <c r="C642">
        <f t="shared" si="30"/>
        <v>50.561540000000001</v>
      </c>
      <c r="D642">
        <v>0.70618181818181824</v>
      </c>
      <c r="E642">
        <f t="shared" si="31"/>
        <v>3.9231912082354996</v>
      </c>
      <c r="I642" s="24">
        <f t="shared" si="32"/>
        <v>0.66569905530614326</v>
      </c>
      <c r="N642" s="30">
        <v>40445.785714285717</v>
      </c>
    </row>
    <row r="643" spans="1:14" x14ac:dyDescent="0.3">
      <c r="A643">
        <v>9.7652000000000001</v>
      </c>
      <c r="B643">
        <v>50</v>
      </c>
      <c r="C643">
        <f t="shared" si="30"/>
        <v>50.184620000000002</v>
      </c>
      <c r="D643">
        <v>0.7058181818181819</v>
      </c>
      <c r="E643">
        <f t="shared" si="31"/>
        <v>3.9157086052534358</v>
      </c>
      <c r="I643" s="24">
        <f t="shared" si="32"/>
        <v>0.65947219646273425</v>
      </c>
      <c r="N643" s="30">
        <v>40440</v>
      </c>
    </row>
    <row r="644" spans="1:14" x14ac:dyDescent="0.3">
      <c r="A644">
        <v>9.7804000000000002</v>
      </c>
      <c r="B644">
        <v>49.538499999999999</v>
      </c>
      <c r="C644">
        <f t="shared" si="30"/>
        <v>49.684620000000002</v>
      </c>
      <c r="D644">
        <v>0.70545454545454545</v>
      </c>
      <c r="E644">
        <f t="shared" si="31"/>
        <v>3.9056954284705228</v>
      </c>
      <c r="I644" s="24">
        <f t="shared" si="32"/>
        <v>0.6511172198860824</v>
      </c>
      <c r="N644" s="30">
        <v>40434.21428571429</v>
      </c>
    </row>
    <row r="645" spans="1:14" x14ac:dyDescent="0.3">
      <c r="A645">
        <v>9.7957000000000001</v>
      </c>
      <c r="B645">
        <v>48.884599999999999</v>
      </c>
      <c r="C645">
        <f t="shared" si="30"/>
        <v>49.130759999999995</v>
      </c>
      <c r="D645">
        <v>0.7050909090909091</v>
      </c>
      <c r="E645">
        <f t="shared" si="31"/>
        <v>3.8944853152243546</v>
      </c>
      <c r="I645" s="24">
        <f t="shared" si="32"/>
        <v>0.64184967556011308</v>
      </c>
      <c r="N645" s="30">
        <v>40428.428571428572</v>
      </c>
    </row>
    <row r="646" spans="1:14" x14ac:dyDescent="0.3">
      <c r="A646">
        <v>9.8109000000000002</v>
      </c>
      <c r="B646">
        <v>48.653799999999997</v>
      </c>
      <c r="C646">
        <f t="shared" si="30"/>
        <v>48.753839999999997</v>
      </c>
      <c r="D646">
        <v>0.70472727272727276</v>
      </c>
      <c r="E646">
        <f t="shared" si="31"/>
        <v>3.8867839635724923</v>
      </c>
      <c r="I646" s="24">
        <f t="shared" si="32"/>
        <v>0.6356621669545508</v>
      </c>
      <c r="N646" s="30">
        <v>40422.642857142862</v>
      </c>
    </row>
    <row r="647" spans="1:14" x14ac:dyDescent="0.3">
      <c r="A647">
        <v>9.8261000000000003</v>
      </c>
      <c r="B647">
        <v>48.576900000000002</v>
      </c>
      <c r="C647">
        <f t="shared" si="30"/>
        <v>48.361519999999999</v>
      </c>
      <c r="D647">
        <v>0.70436363636363641</v>
      </c>
      <c r="E647">
        <f t="shared" si="31"/>
        <v>3.878704456187307</v>
      </c>
      <c r="I647" s="24">
        <f t="shared" si="32"/>
        <v>0.62921916865220229</v>
      </c>
      <c r="N647" s="30">
        <v>40416.857142857145</v>
      </c>
    </row>
    <row r="648" spans="1:14" x14ac:dyDescent="0.3">
      <c r="A648">
        <v>9.8414000000000001</v>
      </c>
      <c r="B648">
        <v>48.115400000000001</v>
      </c>
      <c r="C648">
        <f t="shared" si="30"/>
        <v>48.023060000000001</v>
      </c>
      <c r="D648">
        <v>0.70399999999999996</v>
      </c>
      <c r="E648">
        <f t="shared" si="31"/>
        <v>3.8716813122114178</v>
      </c>
      <c r="I648" s="24">
        <f t="shared" si="32"/>
        <v>0.62371390039285102</v>
      </c>
      <c r="N648" s="30">
        <v>40411.071428571435</v>
      </c>
    </row>
    <row r="649" spans="1:14" x14ac:dyDescent="0.3">
      <c r="A649">
        <v>9.8566000000000003</v>
      </c>
      <c r="B649">
        <v>47.576900000000002</v>
      </c>
      <c r="C649">
        <f t="shared" si="30"/>
        <v>48.046140000000001</v>
      </c>
      <c r="D649">
        <v>0.70363636363636373</v>
      </c>
      <c r="E649">
        <f t="shared" si="31"/>
        <v>3.8721617992029618</v>
      </c>
      <c r="I649" s="24">
        <f t="shared" si="32"/>
        <v>0.62443358935689186</v>
      </c>
      <c r="N649" s="30">
        <v>40405.285714285717</v>
      </c>
    </row>
    <row r="650" spans="1:14" x14ac:dyDescent="0.3">
      <c r="A650">
        <v>9.8718000000000004</v>
      </c>
      <c r="B650">
        <v>47.192300000000003</v>
      </c>
      <c r="C650">
        <f t="shared" si="30"/>
        <v>48.184600000000003</v>
      </c>
      <c r="D650">
        <v>0.70327272727272727</v>
      </c>
      <c r="E650">
        <f t="shared" si="31"/>
        <v>3.8750394679302036</v>
      </c>
      <c r="I650" s="24">
        <f t="shared" si="32"/>
        <v>0.6271427880159417</v>
      </c>
      <c r="N650" s="30">
        <v>40399.5</v>
      </c>
    </row>
    <row r="651" spans="1:14" x14ac:dyDescent="0.3">
      <c r="A651">
        <v>9.8871000000000002</v>
      </c>
      <c r="B651">
        <v>48.769199999999998</v>
      </c>
      <c r="C651">
        <f t="shared" si="30"/>
        <v>48.546140000000008</v>
      </c>
      <c r="D651">
        <v>0.70290909090909093</v>
      </c>
      <c r="E651">
        <f t="shared" si="31"/>
        <v>3.8825146859123274</v>
      </c>
      <c r="I651" s="24">
        <f t="shared" si="32"/>
        <v>0.63371201256077703</v>
      </c>
      <c r="N651" s="30">
        <v>40393.71428571429</v>
      </c>
    </row>
    <row r="652" spans="1:14" x14ac:dyDescent="0.3">
      <c r="A652">
        <v>9.9023000000000003</v>
      </c>
      <c r="B652">
        <v>49.269199999999998</v>
      </c>
      <c r="C652">
        <f t="shared" si="30"/>
        <v>49.161520000000003</v>
      </c>
      <c r="D652">
        <v>0.70254545454545458</v>
      </c>
      <c r="E652">
        <f t="shared" si="31"/>
        <v>3.8951112036665427</v>
      </c>
      <c r="I652" s="24">
        <f t="shared" si="32"/>
        <v>0.64470957465034329</v>
      </c>
      <c r="N652" s="30">
        <v>40387.928571428572</v>
      </c>
    </row>
    <row r="653" spans="1:14" x14ac:dyDescent="0.3">
      <c r="A653">
        <v>9.9175000000000004</v>
      </c>
      <c r="B653">
        <v>49.923099999999998</v>
      </c>
      <c r="C653">
        <f t="shared" si="30"/>
        <v>49.9923</v>
      </c>
      <c r="D653">
        <v>0.70218181818181824</v>
      </c>
      <c r="E653">
        <f t="shared" si="31"/>
        <v>3.9118689935689286</v>
      </c>
      <c r="I653" s="24">
        <f t="shared" si="32"/>
        <v>0.65952402192189974</v>
      </c>
      <c r="N653" s="30">
        <v>40382.142857142862</v>
      </c>
    </row>
    <row r="654" spans="1:14" x14ac:dyDescent="0.3">
      <c r="A654">
        <v>9.9328000000000003</v>
      </c>
      <c r="B654">
        <v>50.653799999999997</v>
      </c>
      <c r="C654">
        <f t="shared" si="30"/>
        <v>50.569219999999994</v>
      </c>
      <c r="D654">
        <v>0.7018181818181819</v>
      </c>
      <c r="E654">
        <f t="shared" si="31"/>
        <v>3.9233430908084133</v>
      </c>
      <c r="I654" s="24">
        <f t="shared" si="32"/>
        <v>0.66997291117938418</v>
      </c>
      <c r="N654" s="30">
        <v>40376.357142857145</v>
      </c>
    </row>
    <row r="655" spans="1:14" x14ac:dyDescent="0.3">
      <c r="A655">
        <v>9.9480000000000004</v>
      </c>
      <c r="B655">
        <v>51.346200000000003</v>
      </c>
      <c r="C655">
        <f t="shared" si="30"/>
        <v>51.123080000000002</v>
      </c>
      <c r="D655">
        <v>0.70145454545454544</v>
      </c>
      <c r="E655">
        <f t="shared" si="31"/>
        <v>3.9342360586455336</v>
      </c>
      <c r="I655" s="24">
        <f t="shared" si="32"/>
        <v>0.68006375646062689</v>
      </c>
      <c r="N655" s="30">
        <v>40370.571428571435</v>
      </c>
    </row>
    <row r="656" spans="1:14" x14ac:dyDescent="0.3">
      <c r="A656">
        <v>9.9632000000000005</v>
      </c>
      <c r="B656">
        <v>51.653799999999997</v>
      </c>
      <c r="C656">
        <f t="shared" si="30"/>
        <v>51.6</v>
      </c>
      <c r="D656">
        <v>0.7010909090909091</v>
      </c>
      <c r="E656">
        <f t="shared" si="31"/>
        <v>3.9435216724875173</v>
      </c>
      <c r="I656" s="24">
        <f t="shared" si="32"/>
        <v>0.68883838039601042</v>
      </c>
      <c r="N656" s="30">
        <v>40364.785714285717</v>
      </c>
    </row>
    <row r="657" spans="1:14" x14ac:dyDescent="0.3">
      <c r="A657">
        <v>9.9785000000000004</v>
      </c>
      <c r="B657">
        <v>52.038499999999999</v>
      </c>
      <c r="C657">
        <f t="shared" si="30"/>
        <v>51.653859999999995</v>
      </c>
      <c r="D657">
        <v>0.70072727272727275</v>
      </c>
      <c r="E657">
        <f t="shared" si="31"/>
        <v>3.9445649265583094</v>
      </c>
      <c r="I657" s="24">
        <f t="shared" si="32"/>
        <v>0.69014904532206456</v>
      </c>
      <c r="J657">
        <v>2010</v>
      </c>
      <c r="K657">
        <f>AVERAGE(I657:I743)</f>
        <v>0.6380863580050703</v>
      </c>
      <c r="L657">
        <f>A743-A657</f>
        <v>1.3101000000000003</v>
      </c>
      <c r="M657">
        <f>K657*L657</f>
        <v>0.83595693762244272</v>
      </c>
      <c r="N657" s="30">
        <v>40359</v>
      </c>
    </row>
    <row r="658" spans="1:14" x14ac:dyDescent="0.3">
      <c r="A658">
        <v>9.9937000000000005</v>
      </c>
      <c r="B658">
        <v>52.307699999999997</v>
      </c>
      <c r="C658">
        <f t="shared" si="30"/>
        <v>51.523080000000007</v>
      </c>
      <c r="D658">
        <v>0.70036363636363641</v>
      </c>
      <c r="E658">
        <f t="shared" si="31"/>
        <v>3.9420298626178849</v>
      </c>
      <c r="I658" s="24">
        <f t="shared" si="32"/>
        <v>0.68819223161662735</v>
      </c>
      <c r="N658" s="30">
        <v>40357.032258064515</v>
      </c>
    </row>
    <row r="659" spans="1:14" x14ac:dyDescent="0.3">
      <c r="A659">
        <v>10.008900000000001</v>
      </c>
      <c r="B659">
        <v>50.923099999999998</v>
      </c>
      <c r="C659">
        <f t="shared" si="30"/>
        <v>51.307699999999997</v>
      </c>
      <c r="D659" s="8">
        <v>0.7</v>
      </c>
      <c r="E659">
        <f t="shared" si="31"/>
        <v>3.9378408383791133</v>
      </c>
      <c r="I659" s="24">
        <f t="shared" si="32"/>
        <v>0.68473912865814968</v>
      </c>
      <c r="N659" s="30">
        <v>40355.06451612903</v>
      </c>
    </row>
    <row r="660" spans="1:14" x14ac:dyDescent="0.3">
      <c r="A660">
        <v>10.0242</v>
      </c>
      <c r="B660">
        <v>50.692300000000003</v>
      </c>
      <c r="C660">
        <f t="shared" si="30"/>
        <v>50.976919999999993</v>
      </c>
      <c r="D660">
        <v>0.7003636363636363</v>
      </c>
      <c r="E660">
        <f t="shared" si="31"/>
        <v>3.9313729812735057</v>
      </c>
      <c r="I660" s="24">
        <f t="shared" si="32"/>
        <v>0.67854443617998506</v>
      </c>
      <c r="N660" s="30">
        <v>40353.096774193553</v>
      </c>
    </row>
    <row r="661" spans="1:14" x14ac:dyDescent="0.3">
      <c r="A661">
        <v>10.039400000000001</v>
      </c>
      <c r="B661">
        <v>50.576900000000002</v>
      </c>
      <c r="C661">
        <f t="shared" si="30"/>
        <v>50.592300000000002</v>
      </c>
      <c r="D661">
        <v>0.70072727272727264</v>
      </c>
      <c r="E661">
        <f t="shared" si="31"/>
        <v>3.9237993908007516</v>
      </c>
      <c r="I661" s="24">
        <f t="shared" si="32"/>
        <v>0.67142169708509503</v>
      </c>
      <c r="N661" s="30">
        <v>40351.129032258068</v>
      </c>
    </row>
    <row r="662" spans="1:14" x14ac:dyDescent="0.3">
      <c r="A662">
        <v>10.054600000000001</v>
      </c>
      <c r="B662">
        <v>50.384599999999999</v>
      </c>
      <c r="C662">
        <f t="shared" si="30"/>
        <v>50.469220000000007</v>
      </c>
      <c r="D662">
        <v>0.7010909090909091</v>
      </c>
      <c r="E662">
        <f t="shared" si="31"/>
        <v>3.9213636455071663</v>
      </c>
      <c r="I662" s="24">
        <f t="shared" si="32"/>
        <v>0.66891146903169918</v>
      </c>
      <c r="N662" s="30">
        <v>40349.161290322583</v>
      </c>
    </row>
    <row r="663" spans="1:14" x14ac:dyDescent="0.3">
      <c r="A663">
        <v>10.069900000000001</v>
      </c>
      <c r="B663">
        <v>50.384599999999999</v>
      </c>
      <c r="C663">
        <f t="shared" si="30"/>
        <v>50.315379999999998</v>
      </c>
      <c r="D663">
        <v>0.70145454545454544</v>
      </c>
      <c r="E663">
        <f t="shared" si="31"/>
        <v>3.9183107957765326</v>
      </c>
      <c r="I663" s="24">
        <f t="shared" si="32"/>
        <v>0.66586621036811988</v>
      </c>
      <c r="N663" s="30">
        <v>40347.193548387098</v>
      </c>
    </row>
    <row r="664" spans="1:14" x14ac:dyDescent="0.3">
      <c r="A664">
        <v>10.085100000000001</v>
      </c>
      <c r="B664">
        <v>50.307699999999997</v>
      </c>
      <c r="C664">
        <f t="shared" si="30"/>
        <v>50.130759999999995</v>
      </c>
      <c r="D664">
        <v>0.70181818181818179</v>
      </c>
      <c r="E664">
        <f t="shared" si="31"/>
        <v>3.9146347917429769</v>
      </c>
      <c r="I664" s="24">
        <f t="shared" si="32"/>
        <v>0.66228801274292859</v>
      </c>
      <c r="N664" s="30">
        <v>40345.225806451614</v>
      </c>
    </row>
    <row r="665" spans="1:14" x14ac:dyDescent="0.3">
      <c r="A665">
        <v>10.1004</v>
      </c>
      <c r="B665">
        <v>49.923099999999998</v>
      </c>
      <c r="C665">
        <f t="shared" si="30"/>
        <v>50.161539999999995</v>
      </c>
      <c r="D665">
        <v>0.70218181818181813</v>
      </c>
      <c r="E665">
        <f t="shared" si="31"/>
        <v>3.915248597607762</v>
      </c>
      <c r="I665" s="24">
        <f t="shared" si="32"/>
        <v>0.66248352880508321</v>
      </c>
      <c r="N665" s="30">
        <v>40343.258064516129</v>
      </c>
    </row>
    <row r="666" spans="1:14" x14ac:dyDescent="0.3">
      <c r="A666">
        <v>10.115600000000001</v>
      </c>
      <c r="B666">
        <v>49.653799999999997</v>
      </c>
      <c r="C666">
        <f t="shared" si="30"/>
        <v>50.276919999999997</v>
      </c>
      <c r="D666">
        <v>0.70254545454545458</v>
      </c>
      <c r="E666">
        <f t="shared" si="31"/>
        <v>3.9175461248847441</v>
      </c>
      <c r="I666" s="24">
        <f t="shared" si="32"/>
        <v>0.66415909864129374</v>
      </c>
      <c r="N666" s="30">
        <v>40341.290322580644</v>
      </c>
    </row>
    <row r="667" spans="1:14" x14ac:dyDescent="0.3">
      <c r="A667">
        <v>10.130800000000001</v>
      </c>
      <c r="B667">
        <v>50.538499999999999</v>
      </c>
      <c r="C667">
        <f t="shared" si="30"/>
        <v>50.507680000000001</v>
      </c>
      <c r="D667">
        <v>0.70290909090909093</v>
      </c>
      <c r="E667">
        <f t="shared" si="31"/>
        <v>3.9221254039263647</v>
      </c>
      <c r="I667" s="24">
        <f t="shared" si="32"/>
        <v>0.66785487143471456</v>
      </c>
      <c r="N667" s="30">
        <v>40339.322580645159</v>
      </c>
    </row>
    <row r="668" spans="1:14" x14ac:dyDescent="0.3">
      <c r="A668">
        <v>10.146100000000001</v>
      </c>
      <c r="B668">
        <v>50.961500000000001</v>
      </c>
      <c r="C668">
        <f t="shared" si="30"/>
        <v>50.94614</v>
      </c>
      <c r="D668">
        <v>0.70327272727272727</v>
      </c>
      <c r="E668">
        <f t="shared" si="31"/>
        <v>3.9307689962492001</v>
      </c>
      <c r="I668" s="24">
        <f t="shared" si="32"/>
        <v>0.67519715243373357</v>
      </c>
      <c r="N668" s="30">
        <v>40337.354838709682</v>
      </c>
    </row>
    <row r="669" spans="1:14" x14ac:dyDescent="0.3">
      <c r="A669">
        <v>10.161300000000001</v>
      </c>
      <c r="B669">
        <v>51.461500000000001</v>
      </c>
      <c r="C669">
        <f t="shared" si="30"/>
        <v>51.530760000000001</v>
      </c>
      <c r="D669">
        <v>0.70363636363636362</v>
      </c>
      <c r="E669">
        <f t="shared" si="31"/>
        <v>3.9421789109214553</v>
      </c>
      <c r="I669" s="24">
        <f t="shared" si="32"/>
        <v>0.68512660870733899</v>
      </c>
      <c r="N669" s="30">
        <v>40335.387096774197</v>
      </c>
    </row>
    <row r="670" spans="1:14" x14ac:dyDescent="0.3">
      <c r="A670">
        <v>10.176500000000001</v>
      </c>
      <c r="B670">
        <v>52.115400000000001</v>
      </c>
      <c r="C670">
        <f t="shared" si="30"/>
        <v>51.953819999999993</v>
      </c>
      <c r="D670">
        <v>0.70399999999999996</v>
      </c>
      <c r="E670">
        <f t="shared" si="31"/>
        <v>3.9503552470844143</v>
      </c>
      <c r="I670" s="24">
        <f t="shared" si="32"/>
        <v>0.69223050453323121</v>
      </c>
      <c r="N670" s="30">
        <v>40333.419354838712</v>
      </c>
    </row>
    <row r="671" spans="1:14" x14ac:dyDescent="0.3">
      <c r="A671">
        <v>10.191800000000001</v>
      </c>
      <c r="B671">
        <v>52.576900000000002</v>
      </c>
      <c r="C671">
        <f t="shared" si="30"/>
        <v>52.24613999999999</v>
      </c>
      <c r="D671">
        <v>0.7043636363636363</v>
      </c>
      <c r="E671">
        <f t="shared" si="31"/>
        <v>3.9559660125178975</v>
      </c>
      <c r="I671" s="24">
        <f t="shared" si="32"/>
        <v>0.69703508431123384</v>
      </c>
      <c r="N671" s="30">
        <v>40331.451612903227</v>
      </c>
    </row>
    <row r="672" spans="1:14" x14ac:dyDescent="0.3">
      <c r="A672">
        <v>10.207000000000001</v>
      </c>
      <c r="B672">
        <v>52.653799999999997</v>
      </c>
      <c r="C672">
        <f t="shared" si="30"/>
        <v>52.376920000000005</v>
      </c>
      <c r="D672">
        <v>0.70472727272727265</v>
      </c>
      <c r="E672">
        <f t="shared" si="31"/>
        <v>3.9584660362816049</v>
      </c>
      <c r="I672" s="24">
        <f t="shared" si="32"/>
        <v>0.69898665333013377</v>
      </c>
      <c r="N672" s="30">
        <v>40329.483870967742</v>
      </c>
    </row>
    <row r="673" spans="1:14" x14ac:dyDescent="0.3">
      <c r="A673">
        <v>10.222200000000001</v>
      </c>
      <c r="B673">
        <v>52.423099999999998</v>
      </c>
      <c r="C673">
        <f t="shared" si="30"/>
        <v>52.076919999999994</v>
      </c>
      <c r="D673">
        <v>0.7050909090909091</v>
      </c>
      <c r="E673">
        <f t="shared" si="31"/>
        <v>3.9527218563665416</v>
      </c>
      <c r="I673" s="24">
        <f t="shared" si="32"/>
        <v>0.6933298748098552</v>
      </c>
      <c r="N673" s="30">
        <v>40327.516129032258</v>
      </c>
    </row>
    <row r="674" spans="1:14" x14ac:dyDescent="0.3">
      <c r="A674">
        <v>10.237500000000001</v>
      </c>
      <c r="B674">
        <v>52.115400000000001</v>
      </c>
      <c r="C674">
        <f t="shared" si="30"/>
        <v>51.646159999999995</v>
      </c>
      <c r="D674">
        <v>0.70545454545454545</v>
      </c>
      <c r="E674">
        <f t="shared" si="31"/>
        <v>3.9444158462383974</v>
      </c>
      <c r="I674" s="24">
        <f t="shared" si="32"/>
        <v>0.68538895643534392</v>
      </c>
      <c r="N674" s="30">
        <v>40325.548387096773</v>
      </c>
    </row>
    <row r="675" spans="1:14" x14ac:dyDescent="0.3">
      <c r="A675">
        <v>10.252700000000001</v>
      </c>
      <c r="B675">
        <v>50.615400000000001</v>
      </c>
      <c r="C675">
        <f t="shared" si="30"/>
        <v>51.169240000000002</v>
      </c>
      <c r="D675">
        <v>0.70581818181818179</v>
      </c>
      <c r="E675">
        <f t="shared" si="31"/>
        <v>3.9351385702540926</v>
      </c>
      <c r="I675" s="24">
        <f t="shared" si="32"/>
        <v>0.67666791648735447</v>
      </c>
      <c r="N675" s="30">
        <v>40323.580645161288</v>
      </c>
    </row>
    <row r="676" spans="1:14" x14ac:dyDescent="0.3">
      <c r="A676">
        <v>10.267899999999999</v>
      </c>
      <c r="B676">
        <v>50.423099999999998</v>
      </c>
      <c r="C676">
        <f t="shared" si="30"/>
        <v>50.715379999999996</v>
      </c>
      <c r="D676">
        <v>0.70618181818181813</v>
      </c>
      <c r="E676">
        <f t="shared" si="31"/>
        <v>3.926229217652101</v>
      </c>
      <c r="I676" s="24">
        <f t="shared" si="32"/>
        <v>0.66838372977867266</v>
      </c>
      <c r="N676" s="30">
        <v>40321.61290322581</v>
      </c>
    </row>
    <row r="677" spans="1:14" x14ac:dyDescent="0.3">
      <c r="A677">
        <v>10.283200000000001</v>
      </c>
      <c r="B677">
        <v>50.269199999999998</v>
      </c>
      <c r="C677">
        <f t="shared" si="30"/>
        <v>50.338459999999998</v>
      </c>
      <c r="D677">
        <v>0.70654545454545459</v>
      </c>
      <c r="E677">
        <f t="shared" si="31"/>
        <v>3.9187693972646529</v>
      </c>
      <c r="I677" s="24">
        <f t="shared" si="32"/>
        <v>0.66147016718930651</v>
      </c>
      <c r="N677" s="30">
        <v>40319.645161290326</v>
      </c>
    </row>
    <row r="678" spans="1:14" x14ac:dyDescent="0.3">
      <c r="A678">
        <v>10.298400000000001</v>
      </c>
      <c r="B678">
        <v>50.153799999999997</v>
      </c>
      <c r="C678">
        <f t="shared" si="30"/>
        <v>50.25383999999999</v>
      </c>
      <c r="D678">
        <v>0.70690909090909093</v>
      </c>
      <c r="E678">
        <f t="shared" si="31"/>
        <v>3.9170869619299329</v>
      </c>
      <c r="I678" s="24">
        <f t="shared" si="32"/>
        <v>0.65965795971650143</v>
      </c>
      <c r="N678" s="30">
        <v>40317.677419354841</v>
      </c>
    </row>
    <row r="679" spans="1:14" x14ac:dyDescent="0.3">
      <c r="A679">
        <v>10.313599999999999</v>
      </c>
      <c r="B679">
        <v>50.230800000000002</v>
      </c>
      <c r="C679">
        <f t="shared" si="30"/>
        <v>50.176919999999996</v>
      </c>
      <c r="D679">
        <v>0.70727272727272728</v>
      </c>
      <c r="E679">
        <f t="shared" si="31"/>
        <v>3.9155551600190339</v>
      </c>
      <c r="I679" s="24">
        <f t="shared" si="32"/>
        <v>0.65798218443282641</v>
      </c>
      <c r="N679" s="30">
        <v>40315.709677419356</v>
      </c>
    </row>
    <row r="680" spans="1:14" x14ac:dyDescent="0.3">
      <c r="A680">
        <v>10.328900000000001</v>
      </c>
      <c r="B680">
        <v>50.192300000000003</v>
      </c>
      <c r="C680">
        <f t="shared" si="30"/>
        <v>50.069240000000001</v>
      </c>
      <c r="D680">
        <v>0.70763636363636362</v>
      </c>
      <c r="E680">
        <f t="shared" si="31"/>
        <v>3.9134068474769048</v>
      </c>
      <c r="I680" s="24">
        <f t="shared" si="32"/>
        <v>0.65577501454119802</v>
      </c>
      <c r="N680" s="30">
        <v>40313.741935483871</v>
      </c>
    </row>
    <row r="681" spans="1:14" x14ac:dyDescent="0.3">
      <c r="A681">
        <v>10.344099999999999</v>
      </c>
      <c r="B681">
        <v>50.038499999999999</v>
      </c>
      <c r="C681">
        <f t="shared" si="30"/>
        <v>49.800020000000004</v>
      </c>
      <c r="D681">
        <v>0.70799999999999996</v>
      </c>
      <c r="E681">
        <f t="shared" si="31"/>
        <v>3.9080153856369524</v>
      </c>
      <c r="I681" s="24">
        <f t="shared" si="32"/>
        <v>0.65077334238709394</v>
      </c>
      <c r="N681" s="30">
        <v>40311.774193548386</v>
      </c>
    </row>
    <row r="682" spans="1:14" x14ac:dyDescent="0.3">
      <c r="A682">
        <v>10.359299999999999</v>
      </c>
      <c r="B682">
        <v>49.730800000000002</v>
      </c>
      <c r="C682">
        <f t="shared" si="30"/>
        <v>49.484619999999993</v>
      </c>
      <c r="D682">
        <v>0.70836363636363631</v>
      </c>
      <c r="E682">
        <f t="shared" si="31"/>
        <v>3.9016619142244946</v>
      </c>
      <c r="I682" s="24">
        <f t="shared" si="32"/>
        <v>0.64498744755423909</v>
      </c>
      <c r="N682" s="30">
        <v>40309.806451612902</v>
      </c>
    </row>
    <row r="683" spans="1:14" x14ac:dyDescent="0.3">
      <c r="A683">
        <v>10.374599999999999</v>
      </c>
      <c r="B683">
        <v>48.807699999999997</v>
      </c>
      <c r="C683">
        <f t="shared" si="30"/>
        <v>49.138459999999995</v>
      </c>
      <c r="D683">
        <v>0.70872727272727265</v>
      </c>
      <c r="E683">
        <f t="shared" si="31"/>
        <v>3.8946420275706162</v>
      </c>
      <c r="I683" s="24">
        <f t="shared" si="32"/>
        <v>0.6386890360028864</v>
      </c>
      <c r="N683" s="30">
        <v>40307.838709677417</v>
      </c>
    </row>
    <row r="684" spans="1:14" x14ac:dyDescent="0.3">
      <c r="A684">
        <v>10.389799999999999</v>
      </c>
      <c r="B684">
        <v>48.653799999999997</v>
      </c>
      <c r="C684">
        <f t="shared" si="30"/>
        <v>48.92306</v>
      </c>
      <c r="D684">
        <v>0.70909090909090911</v>
      </c>
      <c r="E684">
        <f t="shared" si="31"/>
        <v>3.8902488599665759</v>
      </c>
      <c r="I684" s="24">
        <f t="shared" si="32"/>
        <v>0.63465698625282851</v>
      </c>
      <c r="N684" s="30">
        <v>40305.870967741939</v>
      </c>
    </row>
    <row r="685" spans="1:14" x14ac:dyDescent="0.3">
      <c r="A685">
        <v>10.404999999999999</v>
      </c>
      <c r="B685">
        <v>48.461500000000001</v>
      </c>
      <c r="C685">
        <f t="shared" si="30"/>
        <v>48.94614</v>
      </c>
      <c r="D685">
        <v>0.70945454545454545</v>
      </c>
      <c r="E685">
        <f t="shared" si="31"/>
        <v>3.8907205098917381</v>
      </c>
      <c r="I685" s="24">
        <f t="shared" si="32"/>
        <v>0.63472816877424054</v>
      </c>
      <c r="N685" s="30">
        <v>40303.903225806454</v>
      </c>
    </row>
    <row r="686" spans="1:14" x14ac:dyDescent="0.3">
      <c r="A686">
        <v>10.420299999999999</v>
      </c>
      <c r="B686">
        <v>48.961500000000001</v>
      </c>
      <c r="C686">
        <f t="shared" si="30"/>
        <v>49.361519999999999</v>
      </c>
      <c r="D686">
        <v>0.70981818181818179</v>
      </c>
      <c r="E686">
        <f t="shared" si="31"/>
        <v>3.8991711732883179</v>
      </c>
      <c r="I686" s="24">
        <f t="shared" si="32"/>
        <v>0.64154532680409238</v>
      </c>
      <c r="N686" s="30">
        <v>40301.93548387097</v>
      </c>
    </row>
    <row r="687" spans="1:14" x14ac:dyDescent="0.3">
      <c r="A687">
        <v>10.435499999999999</v>
      </c>
      <c r="B687">
        <v>49.846200000000003</v>
      </c>
      <c r="C687">
        <f t="shared" si="30"/>
        <v>49.95384</v>
      </c>
      <c r="D687">
        <v>0.71018181818181814</v>
      </c>
      <c r="E687">
        <f t="shared" si="31"/>
        <v>3.9110993790165636</v>
      </c>
      <c r="I687" s="24">
        <f t="shared" si="32"/>
        <v>0.65143014051304127</v>
      </c>
      <c r="N687" s="30">
        <v>40299.967741935485</v>
      </c>
    </row>
    <row r="688" spans="1:14" x14ac:dyDescent="0.3">
      <c r="A688">
        <v>10.450699999999999</v>
      </c>
      <c r="B688">
        <v>50.884599999999999</v>
      </c>
      <c r="C688">
        <f t="shared" si="30"/>
        <v>50.7</v>
      </c>
      <c r="D688">
        <v>0.71054545454545459</v>
      </c>
      <c r="E688">
        <f t="shared" si="31"/>
        <v>3.9259259105971376</v>
      </c>
      <c r="I688" s="24">
        <f t="shared" si="32"/>
        <v>0.66401215128992197</v>
      </c>
      <c r="N688" s="30">
        <v>40298</v>
      </c>
    </row>
    <row r="689" spans="1:14" x14ac:dyDescent="0.3">
      <c r="A689">
        <v>10.465999999999999</v>
      </c>
      <c r="B689">
        <v>51.615400000000001</v>
      </c>
      <c r="C689">
        <f t="shared" si="30"/>
        <v>51.484619999999993</v>
      </c>
      <c r="D689">
        <v>0.71090909090909093</v>
      </c>
      <c r="E689">
        <f t="shared" si="31"/>
        <v>3.9412831222909541</v>
      </c>
      <c r="I689" s="24">
        <f t="shared" si="32"/>
        <v>0.6773133683127629</v>
      </c>
      <c r="N689" s="30">
        <v>40296.032258064515</v>
      </c>
    </row>
    <row r="690" spans="1:14" x14ac:dyDescent="0.3">
      <c r="A690">
        <v>10.481199999999999</v>
      </c>
      <c r="B690">
        <v>52.192300000000003</v>
      </c>
      <c r="C690">
        <f t="shared" si="30"/>
        <v>52.153840000000002</v>
      </c>
      <c r="D690">
        <v>0.71127272727272728</v>
      </c>
      <c r="E690">
        <f t="shared" si="31"/>
        <v>3.9541978124847517</v>
      </c>
      <c r="I690" s="24">
        <f t="shared" si="32"/>
        <v>0.68864923402174461</v>
      </c>
      <c r="N690" s="30">
        <v>40294.06451612903</v>
      </c>
    </row>
    <row r="691" spans="1:14" x14ac:dyDescent="0.3">
      <c r="A691">
        <v>10.4964</v>
      </c>
      <c r="B691">
        <v>52.884599999999999</v>
      </c>
      <c r="C691">
        <f t="shared" si="30"/>
        <v>52.66922000000001</v>
      </c>
      <c r="D691">
        <v>0.71163636363636362</v>
      </c>
      <c r="E691">
        <f t="shared" si="31"/>
        <v>3.9640312241963493</v>
      </c>
      <c r="I691" s="24">
        <f t="shared" si="32"/>
        <v>0.69732266253482056</v>
      </c>
      <c r="N691" s="30">
        <v>40292.096774193553</v>
      </c>
    </row>
    <row r="692" spans="1:14" x14ac:dyDescent="0.3">
      <c r="A692">
        <v>10.511699999999999</v>
      </c>
      <c r="B692">
        <v>53.192300000000003</v>
      </c>
      <c r="C692">
        <f t="shared" si="30"/>
        <v>53.069220000000008</v>
      </c>
      <c r="D692">
        <v>0.71199999999999997</v>
      </c>
      <c r="E692">
        <f t="shared" si="31"/>
        <v>3.9715970991625453</v>
      </c>
      <c r="I692" s="24">
        <f t="shared" si="32"/>
        <v>0.70398753467106667</v>
      </c>
      <c r="N692" s="30">
        <v>40290.129032258068</v>
      </c>
    </row>
    <row r="693" spans="1:14" x14ac:dyDescent="0.3">
      <c r="A693">
        <v>10.526899999999999</v>
      </c>
      <c r="B693">
        <v>53.461500000000001</v>
      </c>
      <c r="C693">
        <f t="shared" si="30"/>
        <v>53.269219999999997</v>
      </c>
      <c r="D693">
        <v>0.71236363636363631</v>
      </c>
      <c r="E693">
        <f t="shared" si="31"/>
        <v>3.9753586784338713</v>
      </c>
      <c r="I693" s="24">
        <f t="shared" si="32"/>
        <v>0.7071433439580459</v>
      </c>
      <c r="N693" s="30">
        <v>40288.161290322583</v>
      </c>
    </row>
    <row r="694" spans="1:14" x14ac:dyDescent="0.3">
      <c r="A694">
        <v>10.5421</v>
      </c>
      <c r="B694">
        <v>53.615400000000001</v>
      </c>
      <c r="C694">
        <f t="shared" si="30"/>
        <v>53.176919999999996</v>
      </c>
      <c r="D694">
        <v>0.71272727272727265</v>
      </c>
      <c r="E694">
        <f t="shared" si="31"/>
        <v>3.9736244676276815</v>
      </c>
      <c r="I694" s="24">
        <f t="shared" si="32"/>
        <v>0.70516059992154234</v>
      </c>
      <c r="N694" s="30">
        <v>40286.193548387098</v>
      </c>
    </row>
    <row r="695" spans="1:14" x14ac:dyDescent="0.3">
      <c r="A695">
        <v>10.557399999999999</v>
      </c>
      <c r="B695">
        <v>53.192300000000003</v>
      </c>
      <c r="C695">
        <f t="shared" si="30"/>
        <v>52.869220000000006</v>
      </c>
      <c r="D695">
        <v>0.71309090909090911</v>
      </c>
      <c r="E695">
        <f t="shared" si="31"/>
        <v>3.9678213169703818</v>
      </c>
      <c r="I695" s="24">
        <f t="shared" si="32"/>
        <v>0.69940326311761658</v>
      </c>
      <c r="N695" s="30">
        <v>40284.225806451614</v>
      </c>
    </row>
    <row r="696" spans="1:14" x14ac:dyDescent="0.3">
      <c r="A696">
        <v>10.5726</v>
      </c>
      <c r="B696">
        <v>52.423099999999998</v>
      </c>
      <c r="C696">
        <f t="shared" si="30"/>
        <v>52.4</v>
      </c>
      <c r="D696">
        <v>0.71345454545454545</v>
      </c>
      <c r="E696">
        <f t="shared" si="31"/>
        <v>3.9589065913269965</v>
      </c>
      <c r="I696" s="24">
        <f t="shared" si="32"/>
        <v>0.69083944682876552</v>
      </c>
      <c r="N696" s="30">
        <v>40282.258064516129</v>
      </c>
    </row>
    <row r="697" spans="1:14" x14ac:dyDescent="0.3">
      <c r="A697">
        <v>10.587899999999999</v>
      </c>
      <c r="B697">
        <v>51.653799999999997</v>
      </c>
      <c r="C697">
        <f t="shared" si="30"/>
        <v>51.82307999999999</v>
      </c>
      <c r="D697">
        <v>0.7138181818181818</v>
      </c>
      <c r="E697">
        <f t="shared" si="31"/>
        <v>3.947835609878684</v>
      </c>
      <c r="I697" s="24">
        <f t="shared" si="32"/>
        <v>0.68043415479884051</v>
      </c>
      <c r="N697" s="30">
        <v>40280.290322580644</v>
      </c>
    </row>
    <row r="698" spans="1:14" x14ac:dyDescent="0.3">
      <c r="A698">
        <v>10.6031</v>
      </c>
      <c r="B698">
        <v>51.115400000000001</v>
      </c>
      <c r="C698">
        <f t="shared" ref="C698:C761" si="33">AVERAGE(B696:B700)</f>
        <v>51.230779999999996</v>
      </c>
      <c r="D698">
        <v>0.71418181818181814</v>
      </c>
      <c r="E698">
        <f t="shared" ref="E698:E761" si="34">LN(C698)</f>
        <v>3.9363405232890405</v>
      </c>
      <c r="I698" s="24">
        <f t="shared" ref="I698:I761" si="35">(0.0026*(EXP(1.3248*E698)))/D698</f>
        <v>0.6698093180992768</v>
      </c>
      <c r="N698" s="30">
        <v>40278.322580645159</v>
      </c>
    </row>
    <row r="699" spans="1:14" x14ac:dyDescent="0.3">
      <c r="A699">
        <v>10.6183</v>
      </c>
      <c r="B699">
        <v>50.730800000000002</v>
      </c>
      <c r="C699">
        <f t="shared" si="33"/>
        <v>50.723079999999996</v>
      </c>
      <c r="D699">
        <v>0.71454545454545459</v>
      </c>
      <c r="E699">
        <f t="shared" si="34"/>
        <v>3.9263810338372993</v>
      </c>
      <c r="I699" s="24">
        <f t="shared" si="35"/>
        <v>0.66069327805687228</v>
      </c>
      <c r="N699" s="30">
        <v>40276.354838709682</v>
      </c>
    </row>
    <row r="700" spans="1:14" x14ac:dyDescent="0.3">
      <c r="A700">
        <v>10.633599999999999</v>
      </c>
      <c r="B700">
        <v>50.230800000000002</v>
      </c>
      <c r="C700">
        <f t="shared" si="33"/>
        <v>50.307699999999997</v>
      </c>
      <c r="D700">
        <v>0.71490909090909094</v>
      </c>
      <c r="E700">
        <f t="shared" si="34"/>
        <v>3.9181581469008488</v>
      </c>
      <c r="I700" s="24">
        <f t="shared" si="35"/>
        <v>0.65320253892727975</v>
      </c>
      <c r="N700" s="30">
        <v>40274.387096774197</v>
      </c>
    </row>
    <row r="701" spans="1:14" x14ac:dyDescent="0.3">
      <c r="A701">
        <v>10.6488</v>
      </c>
      <c r="B701">
        <v>49.884599999999999</v>
      </c>
      <c r="C701">
        <f t="shared" si="33"/>
        <v>49.9</v>
      </c>
      <c r="D701">
        <v>0.71527272727272728</v>
      </c>
      <c r="E701">
        <f t="shared" si="34"/>
        <v>3.9100210027574729</v>
      </c>
      <c r="I701" s="24">
        <f t="shared" si="35"/>
        <v>0.64587025615903415</v>
      </c>
      <c r="N701" s="30">
        <v>40272.419354838712</v>
      </c>
    </row>
    <row r="702" spans="1:14" x14ac:dyDescent="0.3">
      <c r="A702">
        <v>10.664</v>
      </c>
      <c r="B702">
        <v>49.576900000000002</v>
      </c>
      <c r="C702">
        <f t="shared" si="33"/>
        <v>49.5</v>
      </c>
      <c r="D702">
        <v>0.71563636363636363</v>
      </c>
      <c r="E702">
        <f t="shared" si="34"/>
        <v>3.9019726695746448</v>
      </c>
      <c r="I702" s="24">
        <f t="shared" si="35"/>
        <v>0.63869558670095072</v>
      </c>
      <c r="N702" s="30">
        <v>40270.451612903227</v>
      </c>
    </row>
    <row r="703" spans="1:14" x14ac:dyDescent="0.3">
      <c r="A703">
        <v>10.6793</v>
      </c>
      <c r="B703">
        <v>49.076900000000002</v>
      </c>
      <c r="C703">
        <f t="shared" si="33"/>
        <v>49.084600000000002</v>
      </c>
      <c r="D703">
        <v>0.71599999999999997</v>
      </c>
      <c r="E703">
        <f t="shared" si="34"/>
        <v>3.8935453399822184</v>
      </c>
      <c r="I703" s="24">
        <f t="shared" si="35"/>
        <v>0.6312837367117845</v>
      </c>
      <c r="N703" s="30">
        <v>40268.483870967742</v>
      </c>
    </row>
    <row r="704" spans="1:14" x14ac:dyDescent="0.3">
      <c r="A704">
        <v>10.6945</v>
      </c>
      <c r="B704">
        <v>48.730800000000002</v>
      </c>
      <c r="C704">
        <f t="shared" si="33"/>
        <v>48.630759999999995</v>
      </c>
      <c r="D704">
        <v>0.71636363636363631</v>
      </c>
      <c r="E704">
        <f t="shared" si="34"/>
        <v>3.8842562525066122</v>
      </c>
      <c r="I704" s="24">
        <f t="shared" si="35"/>
        <v>0.62324612020174319</v>
      </c>
      <c r="N704" s="30">
        <v>40266.516129032258</v>
      </c>
    </row>
    <row r="705" spans="1:14" x14ac:dyDescent="0.3">
      <c r="A705">
        <v>10.7097</v>
      </c>
      <c r="B705">
        <v>48.153799999999997</v>
      </c>
      <c r="C705">
        <f t="shared" si="33"/>
        <v>47.776919999999997</v>
      </c>
      <c r="D705">
        <v>0.71672727272727266</v>
      </c>
      <c r="E705">
        <f t="shared" si="34"/>
        <v>3.8665426777018506</v>
      </c>
      <c r="I705" s="24">
        <f t="shared" si="35"/>
        <v>0.60848183990926941</v>
      </c>
      <c r="N705" s="30">
        <v>40264.548387096773</v>
      </c>
    </row>
    <row r="706" spans="1:14" x14ac:dyDescent="0.3">
      <c r="A706">
        <v>10.725</v>
      </c>
      <c r="B706">
        <v>47.615400000000001</v>
      </c>
      <c r="C706">
        <f t="shared" si="33"/>
        <v>46.907699999999998</v>
      </c>
      <c r="D706">
        <v>0.71709090909090911</v>
      </c>
      <c r="E706">
        <f t="shared" si="34"/>
        <v>3.8481818410807969</v>
      </c>
      <c r="I706" s="24">
        <f t="shared" si="35"/>
        <v>0.5935582783528619</v>
      </c>
      <c r="N706" s="30">
        <v>40262.580645161288</v>
      </c>
    </row>
    <row r="707" spans="1:14" x14ac:dyDescent="0.3">
      <c r="A707">
        <v>10.7402</v>
      </c>
      <c r="B707">
        <v>45.307699999999997</v>
      </c>
      <c r="C707">
        <f t="shared" si="33"/>
        <v>45.98462</v>
      </c>
      <c r="D707">
        <v>0.71745454545454546</v>
      </c>
      <c r="E707">
        <f t="shared" si="34"/>
        <v>3.8283069927563118</v>
      </c>
      <c r="I707" s="24">
        <f t="shared" si="35"/>
        <v>0.57784070492270556</v>
      </c>
      <c r="N707" s="30">
        <v>40260.61290322581</v>
      </c>
    </row>
    <row r="708" spans="1:14" x14ac:dyDescent="0.3">
      <c r="A708">
        <v>10.7554</v>
      </c>
      <c r="B708">
        <v>44.730800000000002</v>
      </c>
      <c r="C708">
        <f t="shared" si="33"/>
        <v>45.100020000000008</v>
      </c>
      <c r="D708">
        <v>0.7178181818181818</v>
      </c>
      <c r="E708">
        <f t="shared" si="34"/>
        <v>3.8088826899675143</v>
      </c>
      <c r="I708" s="24">
        <f t="shared" si="35"/>
        <v>0.5628753516516809</v>
      </c>
      <c r="N708" s="30">
        <v>40258.645161290326</v>
      </c>
    </row>
    <row r="709" spans="1:14" x14ac:dyDescent="0.3">
      <c r="A709">
        <v>10.7707</v>
      </c>
      <c r="B709">
        <v>44.115400000000001</v>
      </c>
      <c r="C709">
        <f t="shared" si="33"/>
        <v>44.292320000000004</v>
      </c>
      <c r="D709">
        <v>0.71818181818181814</v>
      </c>
      <c r="E709">
        <f t="shared" si="34"/>
        <v>3.790811298590762</v>
      </c>
      <c r="I709" s="24">
        <f t="shared" si="35"/>
        <v>0.549281338606049</v>
      </c>
      <c r="N709" s="30">
        <v>40256.677419354841</v>
      </c>
    </row>
    <row r="710" spans="1:14" x14ac:dyDescent="0.3">
      <c r="A710">
        <v>10.7859</v>
      </c>
      <c r="B710">
        <v>43.730800000000002</v>
      </c>
      <c r="C710">
        <f t="shared" si="33"/>
        <v>44.0154</v>
      </c>
      <c r="D710">
        <v>0.7185454545454546</v>
      </c>
      <c r="E710">
        <f t="shared" si="34"/>
        <v>3.784539572682549</v>
      </c>
      <c r="I710" s="24">
        <f t="shared" si="35"/>
        <v>0.54446071078600644</v>
      </c>
      <c r="N710" s="30">
        <v>40254.709677419356</v>
      </c>
    </row>
    <row r="711" spans="1:14" x14ac:dyDescent="0.3">
      <c r="A711">
        <v>10.8011</v>
      </c>
      <c r="B711">
        <v>43.576900000000002</v>
      </c>
      <c r="C711">
        <f t="shared" si="33"/>
        <v>43.869240000000005</v>
      </c>
      <c r="D711">
        <v>0.71890909090909094</v>
      </c>
      <c r="E711">
        <f t="shared" si="34"/>
        <v>3.7812133911165051</v>
      </c>
      <c r="I711" s="24">
        <f t="shared" si="35"/>
        <v>0.54179262258587668</v>
      </c>
      <c r="N711" s="30">
        <v>40252.741935483871</v>
      </c>
    </row>
    <row r="712" spans="1:14" x14ac:dyDescent="0.3">
      <c r="A712">
        <v>10.8164</v>
      </c>
      <c r="B712">
        <v>43.923099999999998</v>
      </c>
      <c r="C712">
        <f t="shared" si="33"/>
        <v>43.838460000000005</v>
      </c>
      <c r="D712">
        <v>0.71927272727272729</v>
      </c>
      <c r="E712">
        <f t="shared" si="34"/>
        <v>3.7805115142855406</v>
      </c>
      <c r="I712" s="24">
        <f t="shared" si="35"/>
        <v>0.54101541806205644</v>
      </c>
      <c r="N712" s="30">
        <v>40250.774193548386</v>
      </c>
    </row>
    <row r="713" spans="1:14" x14ac:dyDescent="0.3">
      <c r="A713">
        <v>10.8316</v>
      </c>
      <c r="B713">
        <v>44</v>
      </c>
      <c r="C713">
        <f t="shared" si="33"/>
        <v>43.930759999999999</v>
      </c>
      <c r="D713">
        <v>0.71963636363636363</v>
      </c>
      <c r="E713">
        <f t="shared" si="34"/>
        <v>3.7826147580884388</v>
      </c>
      <c r="I713" s="24">
        <f t="shared" si="35"/>
        <v>0.54225085236022774</v>
      </c>
      <c r="N713" s="30">
        <v>40248.806451612902</v>
      </c>
    </row>
    <row r="714" spans="1:14" x14ac:dyDescent="0.3">
      <c r="A714">
        <v>10.8468</v>
      </c>
      <c r="B714">
        <v>43.961500000000001</v>
      </c>
      <c r="C714">
        <f t="shared" si="33"/>
        <v>44.023080000000007</v>
      </c>
      <c r="D714">
        <v>0.72</v>
      </c>
      <c r="E714">
        <f t="shared" si="34"/>
        <v>3.7847140418469301</v>
      </c>
      <c r="I714" s="24">
        <f t="shared" si="35"/>
        <v>0.54348639532013743</v>
      </c>
      <c r="N714" s="30">
        <v>40246.838709677417</v>
      </c>
    </row>
    <row r="715" spans="1:14" x14ac:dyDescent="0.3">
      <c r="A715">
        <v>10.8621</v>
      </c>
      <c r="B715">
        <v>44.192300000000003</v>
      </c>
      <c r="C715">
        <f t="shared" si="33"/>
        <v>43.930759999999999</v>
      </c>
      <c r="D715">
        <v>0.72036363636363632</v>
      </c>
      <c r="E715">
        <f t="shared" si="34"/>
        <v>3.7826147580884388</v>
      </c>
      <c r="I715" s="24">
        <f t="shared" si="35"/>
        <v>0.54170340071725942</v>
      </c>
      <c r="N715" s="30">
        <v>40244.870967741939</v>
      </c>
    </row>
    <row r="716" spans="1:14" x14ac:dyDescent="0.3">
      <c r="A716">
        <v>10.8773</v>
      </c>
      <c r="B716">
        <v>44.038499999999999</v>
      </c>
      <c r="C716">
        <f t="shared" si="33"/>
        <v>43.661519999999996</v>
      </c>
      <c r="D716">
        <v>0.72072727272727266</v>
      </c>
      <c r="E716">
        <f t="shared" si="34"/>
        <v>3.7764671649912804</v>
      </c>
      <c r="I716" s="24">
        <f t="shared" si="35"/>
        <v>0.53703841108791905</v>
      </c>
      <c r="N716" s="30">
        <v>40242.903225806454</v>
      </c>
    </row>
    <row r="717" spans="1:14" x14ac:dyDescent="0.3">
      <c r="A717">
        <v>10.8925</v>
      </c>
      <c r="B717">
        <v>43.461500000000001</v>
      </c>
      <c r="C717">
        <f t="shared" si="33"/>
        <v>43.230759999999997</v>
      </c>
      <c r="D717">
        <v>0.72109090909090912</v>
      </c>
      <c r="E717">
        <f t="shared" si="34"/>
        <v>3.7665522789089998</v>
      </c>
      <c r="I717" s="24">
        <f t="shared" si="35"/>
        <v>0.52976312160302541</v>
      </c>
      <c r="N717" s="30">
        <v>40240.93548387097</v>
      </c>
    </row>
    <row r="718" spans="1:14" x14ac:dyDescent="0.3">
      <c r="A718">
        <v>10.9078</v>
      </c>
      <c r="B718">
        <v>42.653799999999997</v>
      </c>
      <c r="C718">
        <f t="shared" si="33"/>
        <v>42.784599999999998</v>
      </c>
      <c r="D718">
        <v>0.72145454545454546</v>
      </c>
      <c r="E718">
        <f t="shared" si="34"/>
        <v>3.756178224755379</v>
      </c>
      <c r="I718" s="24">
        <f t="shared" si="35"/>
        <v>0.52226872799229507</v>
      </c>
      <c r="N718" s="30">
        <v>40238.967741935485</v>
      </c>
    </row>
    <row r="719" spans="1:14" x14ac:dyDescent="0.3">
      <c r="A719">
        <v>10.923</v>
      </c>
      <c r="B719">
        <v>41.807699999999997</v>
      </c>
      <c r="C719">
        <f t="shared" si="33"/>
        <v>42.592280000000002</v>
      </c>
      <c r="D719">
        <v>0.7218181818181818</v>
      </c>
      <c r="E719">
        <f t="shared" si="34"/>
        <v>3.7516730161956002</v>
      </c>
      <c r="I719" s="25">
        <f t="shared" si="35"/>
        <v>0.51889930885108637</v>
      </c>
      <c r="N719" s="30">
        <v>40237</v>
      </c>
    </row>
    <row r="720" spans="1:14" x14ac:dyDescent="0.3">
      <c r="A720">
        <v>10.9382</v>
      </c>
      <c r="B720">
        <v>41.961500000000001</v>
      </c>
      <c r="C720">
        <f t="shared" si="33"/>
        <v>42.692279999999997</v>
      </c>
      <c r="D720">
        <v>0.72218181818181815</v>
      </c>
      <c r="E720">
        <f t="shared" si="34"/>
        <v>3.7540181076360386</v>
      </c>
      <c r="I720" s="24">
        <f t="shared" si="35"/>
        <v>0.52025182858073094</v>
      </c>
      <c r="N720" s="30">
        <v>40226.875</v>
      </c>
    </row>
    <row r="721" spans="1:18" x14ac:dyDescent="0.3">
      <c r="A721">
        <v>10.9535</v>
      </c>
      <c r="B721">
        <v>43.076900000000002</v>
      </c>
      <c r="C721">
        <f t="shared" si="33"/>
        <v>43.361519999999999</v>
      </c>
      <c r="D721">
        <v>0.7225454545454546</v>
      </c>
      <c r="E721">
        <f t="shared" si="34"/>
        <v>3.7695724118675198</v>
      </c>
      <c r="I721" s="24">
        <f t="shared" si="35"/>
        <v>0.53081625436415003</v>
      </c>
      <c r="N721" s="30">
        <v>40216.75</v>
      </c>
    </row>
    <row r="722" spans="1:18" x14ac:dyDescent="0.3">
      <c r="A722">
        <v>10.9687</v>
      </c>
      <c r="B722">
        <v>43.961500000000001</v>
      </c>
      <c r="C722">
        <f t="shared" si="33"/>
        <v>44.292279999999998</v>
      </c>
      <c r="D722">
        <v>0.72290909090909095</v>
      </c>
      <c r="E722">
        <f t="shared" si="34"/>
        <v>3.7908103954992538</v>
      </c>
      <c r="I722" s="24">
        <f t="shared" si="35"/>
        <v>0.54568880575421785</v>
      </c>
      <c r="N722" s="30">
        <v>40206.625</v>
      </c>
    </row>
    <row r="723" spans="1:18" x14ac:dyDescent="0.3">
      <c r="A723">
        <v>10.9839</v>
      </c>
      <c r="B723">
        <v>46</v>
      </c>
      <c r="C723">
        <f t="shared" si="33"/>
        <v>45.323059999999998</v>
      </c>
      <c r="D723">
        <v>0.72327272727272729</v>
      </c>
      <c r="E723">
        <f t="shared" si="34"/>
        <v>3.8138159537392244</v>
      </c>
      <c r="I723" s="24">
        <f t="shared" si="35"/>
        <v>0.56229337448605188</v>
      </c>
      <c r="N723" s="30">
        <v>40196.5</v>
      </c>
    </row>
    <row r="724" spans="1:18" x14ac:dyDescent="0.3">
      <c r="A724">
        <v>10.9992</v>
      </c>
      <c r="B724">
        <v>46.461500000000001</v>
      </c>
      <c r="C724">
        <f t="shared" si="33"/>
        <v>46.323059999999998</v>
      </c>
      <c r="D724">
        <v>0.72363636363636363</v>
      </c>
      <c r="E724">
        <f t="shared" si="34"/>
        <v>3.8356398932588962</v>
      </c>
      <c r="I724" s="24">
        <f t="shared" si="35"/>
        <v>0.57849705077122826</v>
      </c>
      <c r="N724" s="30">
        <v>40186.375</v>
      </c>
    </row>
    <row r="725" spans="1:18" x14ac:dyDescent="0.3">
      <c r="A725">
        <v>11.0144</v>
      </c>
      <c r="B725">
        <v>47.115400000000001</v>
      </c>
      <c r="C725">
        <f t="shared" si="33"/>
        <v>47.361519999999999</v>
      </c>
      <c r="D725" s="8">
        <v>0.72399999999999998</v>
      </c>
      <c r="E725">
        <f t="shared" si="34"/>
        <v>3.8578100846553243</v>
      </c>
      <c r="I725" s="24">
        <f t="shared" si="35"/>
        <v>0.59544089537783917</v>
      </c>
      <c r="N725" s="30">
        <v>40176.25</v>
      </c>
      <c r="O725">
        <v>2009</v>
      </c>
      <c r="P725" s="24">
        <f>AVERAGE(I725:I797)</f>
        <v>0.56872467451258357</v>
      </c>
      <c r="Q725">
        <f>A797-A725</f>
        <v>1.0968999999999998</v>
      </c>
      <c r="R725">
        <f>P725*Q725</f>
        <v>0.62383409547285273</v>
      </c>
    </row>
    <row r="726" spans="1:18" x14ac:dyDescent="0.3">
      <c r="A726">
        <v>11.0296</v>
      </c>
      <c r="B726">
        <v>48.076900000000002</v>
      </c>
      <c r="C726">
        <f t="shared" si="33"/>
        <v>48.176899999999996</v>
      </c>
      <c r="D726">
        <v>0.72375384615384619</v>
      </c>
      <c r="E726">
        <f t="shared" si="34"/>
        <v>3.8748796530660434</v>
      </c>
      <c r="I726" s="24">
        <f t="shared" si="35"/>
        <v>0.60926660400126953</v>
      </c>
      <c r="N726" s="30">
        <v>40166.125</v>
      </c>
    </row>
    <row r="727" spans="1:18" x14ac:dyDescent="0.3">
      <c r="A727">
        <v>11.0449</v>
      </c>
      <c r="B727">
        <v>49.153799999999997</v>
      </c>
      <c r="C727">
        <f t="shared" si="33"/>
        <v>49.061520000000002</v>
      </c>
      <c r="D727">
        <v>0.72350769230769241</v>
      </c>
      <c r="E727">
        <f t="shared" si="34"/>
        <v>3.8930750208208407</v>
      </c>
      <c r="I727" s="24">
        <f t="shared" si="35"/>
        <v>0.62434389697103931</v>
      </c>
      <c r="N727" s="30">
        <v>40156</v>
      </c>
    </row>
    <row r="728" spans="1:18" x14ac:dyDescent="0.3">
      <c r="A728">
        <v>11.0601</v>
      </c>
      <c r="B728">
        <v>50.076900000000002</v>
      </c>
      <c r="C728">
        <f t="shared" si="33"/>
        <v>49.907680000000006</v>
      </c>
      <c r="D728">
        <v>0.72326153846153851</v>
      </c>
      <c r="E728">
        <f t="shared" si="34"/>
        <v>3.9101748987305118</v>
      </c>
      <c r="I728" s="24">
        <f t="shared" si="35"/>
        <v>0.63886651285895713</v>
      </c>
      <c r="N728" s="30">
        <v>40145.875</v>
      </c>
    </row>
    <row r="729" spans="1:18" x14ac:dyDescent="0.3">
      <c r="A729">
        <v>11.0753</v>
      </c>
      <c r="B729">
        <v>50.884599999999999</v>
      </c>
      <c r="C729">
        <f t="shared" si="33"/>
        <v>50.5</v>
      </c>
      <c r="D729">
        <v>0.72301538461538473</v>
      </c>
      <c r="E729">
        <f t="shared" si="34"/>
        <v>3.9219733362813143</v>
      </c>
      <c r="I729" s="24">
        <f t="shared" si="35"/>
        <v>0.6491517425266996</v>
      </c>
      <c r="N729" s="30">
        <v>40135.75</v>
      </c>
    </row>
    <row r="730" spans="1:18" x14ac:dyDescent="0.3">
      <c r="A730">
        <v>11.0906</v>
      </c>
      <c r="B730">
        <v>51.346200000000003</v>
      </c>
      <c r="C730">
        <f t="shared" si="33"/>
        <v>50.853860000000005</v>
      </c>
      <c r="D730">
        <v>0.72276923076923083</v>
      </c>
      <c r="E730">
        <f t="shared" si="34"/>
        <v>3.9289560291514425</v>
      </c>
      <c r="I730" s="24">
        <f t="shared" si="35"/>
        <v>0.65540783001057334</v>
      </c>
      <c r="N730" s="30">
        <v>40125.625</v>
      </c>
    </row>
    <row r="731" spans="1:18" x14ac:dyDescent="0.3">
      <c r="A731">
        <v>11.1058</v>
      </c>
      <c r="B731">
        <v>51.038499999999999</v>
      </c>
      <c r="C731">
        <f t="shared" si="33"/>
        <v>50.992319999999992</v>
      </c>
      <c r="D731">
        <v>0.72252307692307693</v>
      </c>
      <c r="E731">
        <f t="shared" si="34"/>
        <v>3.9316750331494847</v>
      </c>
      <c r="I731" s="24">
        <f t="shared" si="35"/>
        <v>0.65799705002563069</v>
      </c>
      <c r="N731" s="30">
        <v>40115.5</v>
      </c>
    </row>
    <row r="732" spans="1:18" x14ac:dyDescent="0.3">
      <c r="A732">
        <v>11.1211</v>
      </c>
      <c r="B732">
        <v>50.923099999999998</v>
      </c>
      <c r="C732">
        <f t="shared" si="33"/>
        <v>50.946159999999999</v>
      </c>
      <c r="D732">
        <v>0.72227692307692304</v>
      </c>
      <c r="E732">
        <f t="shared" si="34"/>
        <v>3.9307693888205719</v>
      </c>
      <c r="I732" s="24">
        <f t="shared" si="35"/>
        <v>0.65743203835749708</v>
      </c>
      <c r="N732" s="30">
        <v>40105.375</v>
      </c>
    </row>
    <row r="733" spans="1:18" x14ac:dyDescent="0.3">
      <c r="A733">
        <v>11.1363</v>
      </c>
      <c r="B733">
        <v>50.769199999999998</v>
      </c>
      <c r="C733">
        <f t="shared" si="33"/>
        <v>50.81537999999999</v>
      </c>
      <c r="D733">
        <v>0.72203076923076925</v>
      </c>
      <c r="E733">
        <f t="shared" si="34"/>
        <v>3.9281990646686267</v>
      </c>
      <c r="I733" s="24">
        <f t="shared" si="35"/>
        <v>0.65542054971407993</v>
      </c>
      <c r="N733" s="30">
        <v>40095.25</v>
      </c>
    </row>
    <row r="734" spans="1:18" x14ac:dyDescent="0.3">
      <c r="A734">
        <v>11.1515</v>
      </c>
      <c r="B734">
        <v>50.653799999999997</v>
      </c>
      <c r="C734">
        <f t="shared" si="33"/>
        <v>50.730759999999989</v>
      </c>
      <c r="D734">
        <v>0.72178461538461547</v>
      </c>
      <c r="E734">
        <f t="shared" si="34"/>
        <v>3.9265324327397884</v>
      </c>
      <c r="I734" s="24">
        <f t="shared" si="35"/>
        <v>0.65419803612935312</v>
      </c>
      <c r="N734" s="30">
        <v>40085.125</v>
      </c>
    </row>
    <row r="735" spans="1:18" x14ac:dyDescent="0.3">
      <c r="A735">
        <v>11.1668</v>
      </c>
      <c r="B735">
        <v>50.692300000000003</v>
      </c>
      <c r="C735">
        <f t="shared" si="33"/>
        <v>50.707679999999996</v>
      </c>
      <c r="D735">
        <v>0.72153846153846157</v>
      </c>
      <c r="E735">
        <f t="shared" si="34"/>
        <v>3.9260773784152492</v>
      </c>
      <c r="I735" s="24">
        <f t="shared" si="35"/>
        <v>0.65402681385522476</v>
      </c>
      <c r="N735" s="30">
        <v>40075</v>
      </c>
    </row>
    <row r="736" spans="1:18" x14ac:dyDescent="0.3">
      <c r="A736">
        <v>11.182</v>
      </c>
      <c r="B736">
        <v>50.615400000000001</v>
      </c>
      <c r="C736">
        <f t="shared" si="33"/>
        <v>50.746140000000004</v>
      </c>
      <c r="D736">
        <v>0.72129230769230779</v>
      </c>
      <c r="E736">
        <f t="shared" si="34"/>
        <v>3.9268355559159551</v>
      </c>
      <c r="I736" s="24">
        <f t="shared" si="35"/>
        <v>0.65490749296044348</v>
      </c>
      <c r="N736" s="30">
        <v>40064.875</v>
      </c>
    </row>
    <row r="737" spans="1:14" x14ac:dyDescent="0.3">
      <c r="A737">
        <v>11.1972</v>
      </c>
      <c r="B737">
        <v>50.807699999999997</v>
      </c>
      <c r="C737">
        <f t="shared" si="33"/>
        <v>50.915380000000006</v>
      </c>
      <c r="D737">
        <v>0.72104615384615389</v>
      </c>
      <c r="E737">
        <f t="shared" si="34"/>
        <v>3.9301650390152023</v>
      </c>
      <c r="I737" s="24">
        <f t="shared" si="35"/>
        <v>0.65802716772214431</v>
      </c>
      <c r="N737" s="30">
        <v>40054.75</v>
      </c>
    </row>
    <row r="738" spans="1:14" x14ac:dyDescent="0.3">
      <c r="A738">
        <v>11.2125</v>
      </c>
      <c r="B738">
        <v>50.961500000000001</v>
      </c>
      <c r="C738">
        <f t="shared" si="33"/>
        <v>51.069220000000001</v>
      </c>
      <c r="D738">
        <v>0.7208</v>
      </c>
      <c r="E738">
        <f t="shared" si="34"/>
        <v>3.933181967388423</v>
      </c>
      <c r="I738" s="24">
        <f t="shared" si="35"/>
        <v>0.66088806797803001</v>
      </c>
      <c r="N738" s="30">
        <v>40044.625</v>
      </c>
    </row>
    <row r="739" spans="1:14" x14ac:dyDescent="0.3">
      <c r="A739">
        <v>11.2277</v>
      </c>
      <c r="B739">
        <v>51.5</v>
      </c>
      <c r="C739">
        <f t="shared" si="33"/>
        <v>51.269220000000004</v>
      </c>
      <c r="D739">
        <v>0.72055384615384621</v>
      </c>
      <c r="E739">
        <f t="shared" si="34"/>
        <v>3.9370905721046916</v>
      </c>
      <c r="I739" s="24">
        <f t="shared" si="35"/>
        <v>0.66454604394133776</v>
      </c>
      <c r="N739" s="30">
        <v>40034.5</v>
      </c>
    </row>
    <row r="740" spans="1:14" x14ac:dyDescent="0.3">
      <c r="A740">
        <v>11.242900000000001</v>
      </c>
      <c r="B740">
        <v>51.461500000000001</v>
      </c>
      <c r="C740">
        <f t="shared" si="33"/>
        <v>51.469219999999993</v>
      </c>
      <c r="D740">
        <v>0.72030769230769232</v>
      </c>
      <c r="E740">
        <f t="shared" si="34"/>
        <v>3.940983959090925</v>
      </c>
      <c r="I740" s="24">
        <f t="shared" si="35"/>
        <v>0.66821087299964532</v>
      </c>
      <c r="N740" s="30">
        <v>40024.375</v>
      </c>
    </row>
    <row r="741" spans="1:14" x14ac:dyDescent="0.3">
      <c r="A741">
        <v>11.2582</v>
      </c>
      <c r="B741">
        <v>51.615400000000001</v>
      </c>
      <c r="C741">
        <f t="shared" si="33"/>
        <v>51.638459999999995</v>
      </c>
      <c r="D741">
        <v>0.72006153846153853</v>
      </c>
      <c r="E741">
        <f t="shared" si="34"/>
        <v>3.9442667436902297</v>
      </c>
      <c r="I741" s="24">
        <f t="shared" si="35"/>
        <v>0.67135269687775523</v>
      </c>
      <c r="N741" s="30">
        <v>40014.25</v>
      </c>
    </row>
    <row r="742" spans="1:14" x14ac:dyDescent="0.3">
      <c r="A742">
        <v>11.273400000000001</v>
      </c>
      <c r="B742">
        <v>51.807699999999997</v>
      </c>
      <c r="C742">
        <f t="shared" si="33"/>
        <v>51.7</v>
      </c>
      <c r="D742">
        <v>0.71981538461538475</v>
      </c>
      <c r="E742">
        <f t="shared" si="34"/>
        <v>3.9454577815143836</v>
      </c>
      <c r="I742" s="24">
        <f t="shared" si="35"/>
        <v>0.67264279538756211</v>
      </c>
      <c r="N742" s="30">
        <v>40004.125</v>
      </c>
    </row>
    <row r="743" spans="1:14" x14ac:dyDescent="0.3">
      <c r="A743">
        <v>11.288600000000001</v>
      </c>
      <c r="B743">
        <v>51.807699999999997</v>
      </c>
      <c r="C743">
        <f t="shared" si="33"/>
        <v>51.730780000000003</v>
      </c>
      <c r="D743">
        <v>0.71956923076923085</v>
      </c>
      <c r="E743">
        <f t="shared" si="34"/>
        <v>3.9460529621928746</v>
      </c>
      <c r="I743" s="24">
        <f t="shared" si="35"/>
        <v>0.67340366278821606</v>
      </c>
      <c r="J743">
        <v>2009</v>
      </c>
      <c r="K743">
        <f>AVERAGE(I743:I823)</f>
        <v>0.5773435024661312</v>
      </c>
      <c r="L743">
        <f>A823-A743</f>
        <v>1.2187999999999999</v>
      </c>
      <c r="M743">
        <f>K743*L743</f>
        <v>0.70366626080572059</v>
      </c>
      <c r="N743" s="30">
        <v>39994</v>
      </c>
    </row>
    <row r="744" spans="1:14" x14ac:dyDescent="0.3">
      <c r="A744">
        <v>11.303900000000001</v>
      </c>
      <c r="B744">
        <v>51.807699999999997</v>
      </c>
      <c r="C744">
        <f t="shared" si="33"/>
        <v>51.715400000000002</v>
      </c>
      <c r="D744">
        <v>0.71932307692307695</v>
      </c>
      <c r="E744">
        <f t="shared" si="34"/>
        <v>3.9457556094996513</v>
      </c>
      <c r="I744" s="24">
        <f t="shared" si="35"/>
        <v>0.67336878857657334</v>
      </c>
      <c r="N744" s="30">
        <v>39991.404255319154</v>
      </c>
    </row>
    <row r="745" spans="1:14" x14ac:dyDescent="0.3">
      <c r="A745">
        <v>11.319100000000001</v>
      </c>
      <c r="B745">
        <v>51.615400000000001</v>
      </c>
      <c r="C745">
        <f t="shared" si="33"/>
        <v>51.5077</v>
      </c>
      <c r="D745">
        <v>0.71907692307692306</v>
      </c>
      <c r="E745">
        <f t="shared" si="34"/>
        <v>3.9417313110566088</v>
      </c>
      <c r="I745" s="24">
        <f t="shared" si="35"/>
        <v>0.67001763082311783</v>
      </c>
      <c r="N745" s="30">
        <v>39988.808510638301</v>
      </c>
    </row>
    <row r="746" spans="1:14" x14ac:dyDescent="0.3">
      <c r="A746">
        <v>11.334300000000001</v>
      </c>
      <c r="B746">
        <v>51.538499999999999</v>
      </c>
      <c r="C746">
        <f t="shared" si="33"/>
        <v>51.153859999999995</v>
      </c>
      <c r="D746">
        <v>0.71883076923076927</v>
      </c>
      <c r="E746">
        <f t="shared" si="34"/>
        <v>3.9348379538709723</v>
      </c>
      <c r="I746" s="24">
        <f t="shared" si="35"/>
        <v>0.66415402299413029</v>
      </c>
      <c r="N746" s="30">
        <v>39986.212765957447</v>
      </c>
    </row>
    <row r="747" spans="1:14" x14ac:dyDescent="0.3">
      <c r="A747">
        <v>11.349600000000001</v>
      </c>
      <c r="B747">
        <v>50.769199999999998</v>
      </c>
      <c r="C747">
        <f t="shared" si="33"/>
        <v>50.515399999999993</v>
      </c>
      <c r="D747">
        <v>0.71858461538461538</v>
      </c>
      <c r="E747">
        <f t="shared" si="34"/>
        <v>3.9222782402884122</v>
      </c>
      <c r="I747" s="24">
        <f t="shared" si="35"/>
        <v>0.65341827734123958</v>
      </c>
      <c r="N747" s="30">
        <v>39983.617021276601</v>
      </c>
    </row>
    <row r="748" spans="1:14" x14ac:dyDescent="0.3">
      <c r="A748">
        <v>11.364800000000001</v>
      </c>
      <c r="B748">
        <v>50.038499999999999</v>
      </c>
      <c r="C748">
        <f t="shared" si="33"/>
        <v>49.669240000000002</v>
      </c>
      <c r="D748">
        <v>0.71833846153846159</v>
      </c>
      <c r="E748">
        <f t="shared" si="34"/>
        <v>3.905385828015687</v>
      </c>
      <c r="I748" s="24">
        <f t="shared" si="35"/>
        <v>0.63917674737253516</v>
      </c>
      <c r="N748" s="30">
        <v>39981.021276595748</v>
      </c>
    </row>
    <row r="749" spans="1:14" x14ac:dyDescent="0.3">
      <c r="A749">
        <v>11.38</v>
      </c>
      <c r="B749">
        <v>48.615400000000001</v>
      </c>
      <c r="C749">
        <f t="shared" si="33"/>
        <v>48.676920000000003</v>
      </c>
      <c r="D749">
        <v>0.71809230769230781</v>
      </c>
      <c r="E749">
        <f t="shared" si="34"/>
        <v>3.8852049957807804</v>
      </c>
      <c r="I749" s="24">
        <f t="shared" si="35"/>
        <v>0.62252773364685454</v>
      </c>
      <c r="N749" s="30">
        <v>39978.425531914894</v>
      </c>
    </row>
    <row r="750" spans="1:14" x14ac:dyDescent="0.3">
      <c r="A750">
        <v>11.395300000000001</v>
      </c>
      <c r="B750">
        <v>47.384599999999999</v>
      </c>
      <c r="C750">
        <f t="shared" si="33"/>
        <v>47.753839999999997</v>
      </c>
      <c r="D750">
        <v>0.71784615384615391</v>
      </c>
      <c r="E750">
        <f t="shared" si="34"/>
        <v>3.8660594825414845</v>
      </c>
      <c r="I750" s="24">
        <f t="shared" si="35"/>
        <v>0.60714464089330533</v>
      </c>
      <c r="N750" s="30">
        <v>39975.829787234048</v>
      </c>
    </row>
    <row r="751" spans="1:14" x14ac:dyDescent="0.3">
      <c r="A751">
        <v>11.410500000000001</v>
      </c>
      <c r="B751">
        <v>46.576900000000002</v>
      </c>
      <c r="C751">
        <f t="shared" si="33"/>
        <v>46.915379999999999</v>
      </c>
      <c r="D751">
        <v>0.71760000000000002</v>
      </c>
      <c r="E751">
        <f t="shared" si="34"/>
        <v>3.8483455534640858</v>
      </c>
      <c r="I751" s="24">
        <f t="shared" si="35"/>
        <v>0.59326584424512385</v>
      </c>
      <c r="N751" s="30">
        <v>39973.234042553195</v>
      </c>
    </row>
    <row r="752" spans="1:14" x14ac:dyDescent="0.3">
      <c r="A752">
        <v>11.425700000000001</v>
      </c>
      <c r="B752">
        <v>46.153799999999997</v>
      </c>
      <c r="C752">
        <f t="shared" si="33"/>
        <v>46.307679999999998</v>
      </c>
      <c r="D752">
        <v>0.71735384615384623</v>
      </c>
      <c r="E752">
        <f t="shared" si="34"/>
        <v>3.8353078220665182</v>
      </c>
      <c r="I752" s="24">
        <f t="shared" si="35"/>
        <v>0.5833068041056354</v>
      </c>
      <c r="N752" s="30">
        <v>39970.638297872341</v>
      </c>
    </row>
    <row r="753" spans="1:14" x14ac:dyDescent="0.3">
      <c r="A753">
        <v>11.441000000000001</v>
      </c>
      <c r="B753">
        <v>45.846200000000003</v>
      </c>
      <c r="C753">
        <f t="shared" si="33"/>
        <v>45.684600000000003</v>
      </c>
      <c r="D753">
        <v>0.71710769230769233</v>
      </c>
      <c r="E753">
        <f t="shared" si="34"/>
        <v>3.8217612608031915</v>
      </c>
      <c r="I753" s="24">
        <f t="shared" si="35"/>
        <v>0.57312853705952904</v>
      </c>
      <c r="N753" s="30">
        <v>39968.042553191495</v>
      </c>
    </row>
    <row r="754" spans="1:14" x14ac:dyDescent="0.3">
      <c r="A754">
        <v>11.456200000000001</v>
      </c>
      <c r="B754">
        <v>45.576900000000002</v>
      </c>
      <c r="C754">
        <f t="shared" si="33"/>
        <v>45.123059999999995</v>
      </c>
      <c r="D754">
        <v>0.71686153846153844</v>
      </c>
      <c r="E754">
        <f t="shared" si="34"/>
        <v>3.8093934240391252</v>
      </c>
      <c r="I754" s="24">
        <f t="shared" si="35"/>
        <v>0.56400799253137857</v>
      </c>
      <c r="N754" s="30">
        <v>39965.446808510642</v>
      </c>
    </row>
    <row r="755" spans="1:14" x14ac:dyDescent="0.3">
      <c r="A755">
        <v>11.471399999999999</v>
      </c>
      <c r="B755">
        <v>44.269199999999998</v>
      </c>
      <c r="C755">
        <f t="shared" si="33"/>
        <v>44.561540000000001</v>
      </c>
      <c r="D755">
        <v>0.71661538461538465</v>
      </c>
      <c r="E755">
        <f t="shared" si="34"/>
        <v>3.796871155165467</v>
      </c>
      <c r="I755" s="24">
        <f t="shared" si="35"/>
        <v>0.55491911080665102</v>
      </c>
      <c r="N755" s="30">
        <v>39962.851063829788</v>
      </c>
    </row>
    <row r="756" spans="1:14" x14ac:dyDescent="0.3">
      <c r="A756">
        <v>11.486700000000001</v>
      </c>
      <c r="B756">
        <v>43.769199999999998</v>
      </c>
      <c r="C756">
        <f t="shared" si="33"/>
        <v>44.030760000000001</v>
      </c>
      <c r="D756">
        <v>0.71636923076923087</v>
      </c>
      <c r="E756">
        <f t="shared" si="34"/>
        <v>3.7848884805771315</v>
      </c>
      <c r="I756" s="24">
        <f t="shared" si="35"/>
        <v>0.54636719258770294</v>
      </c>
      <c r="N756" s="30">
        <v>39960.255319148935</v>
      </c>
    </row>
    <row r="757" spans="1:14" x14ac:dyDescent="0.3">
      <c r="A757">
        <v>11.501899999999999</v>
      </c>
      <c r="B757">
        <v>43.346200000000003</v>
      </c>
      <c r="C757">
        <f t="shared" si="33"/>
        <v>43.607680000000002</v>
      </c>
      <c r="D757">
        <v>0.71612307692307697</v>
      </c>
      <c r="E757">
        <f t="shared" si="34"/>
        <v>3.7752332816319556</v>
      </c>
      <c r="I757" s="24">
        <f t="shared" si="35"/>
        <v>0.53960841990296593</v>
      </c>
      <c r="N757" s="30">
        <v>39957.659574468089</v>
      </c>
    </row>
    <row r="758" spans="1:14" x14ac:dyDescent="0.3">
      <c r="A758">
        <v>11.517099999999999</v>
      </c>
      <c r="B758">
        <v>43.192300000000003</v>
      </c>
      <c r="C758">
        <f t="shared" si="33"/>
        <v>43.461539999999999</v>
      </c>
      <c r="D758">
        <v>0.71587692307692308</v>
      </c>
      <c r="E758">
        <f t="shared" si="34"/>
        <v>3.7718764090831338</v>
      </c>
      <c r="I758" s="24">
        <f t="shared" si="35"/>
        <v>0.53739873041576347</v>
      </c>
      <c r="N758" s="30">
        <v>39955.063829787236</v>
      </c>
    </row>
    <row r="759" spans="1:14" x14ac:dyDescent="0.3">
      <c r="A759">
        <v>11.532400000000001</v>
      </c>
      <c r="B759">
        <v>43.461500000000001</v>
      </c>
      <c r="C759">
        <f t="shared" si="33"/>
        <v>43.338459999999998</v>
      </c>
      <c r="D759">
        <v>0.71563076923076929</v>
      </c>
      <c r="E759">
        <f t="shared" si="34"/>
        <v>3.7690404624819771</v>
      </c>
      <c r="I759" s="24">
        <f t="shared" si="35"/>
        <v>0.53556763272655838</v>
      </c>
      <c r="N759" s="30">
        <v>39952.468085106382</v>
      </c>
    </row>
    <row r="760" spans="1:14" x14ac:dyDescent="0.3">
      <c r="A760">
        <v>11.547599999999999</v>
      </c>
      <c r="B760">
        <v>43.538499999999999</v>
      </c>
      <c r="C760">
        <f t="shared" si="33"/>
        <v>43.215379999999996</v>
      </c>
      <c r="D760">
        <v>0.7153846153846154</v>
      </c>
      <c r="E760">
        <f t="shared" si="34"/>
        <v>3.7661964504090282</v>
      </c>
      <c r="I760" s="24">
        <f t="shared" si="35"/>
        <v>0.53373713426546476</v>
      </c>
      <c r="N760" s="30">
        <v>39949.872340425536</v>
      </c>
    </row>
    <row r="761" spans="1:14" x14ac:dyDescent="0.3">
      <c r="A761">
        <v>11.562799999999999</v>
      </c>
      <c r="B761">
        <v>43.153799999999997</v>
      </c>
      <c r="C761">
        <f t="shared" si="33"/>
        <v>43.04616</v>
      </c>
      <c r="D761">
        <v>0.7151384615384615</v>
      </c>
      <c r="E761">
        <f t="shared" si="34"/>
        <v>3.762273028289036</v>
      </c>
      <c r="I761" s="24">
        <f t="shared" si="35"/>
        <v>0.53115286195743749</v>
      </c>
      <c r="N761" s="30">
        <v>39947.276595744683</v>
      </c>
    </row>
    <row r="762" spans="1:14" x14ac:dyDescent="0.3">
      <c r="A762">
        <v>11.578099999999999</v>
      </c>
      <c r="B762">
        <v>42.730800000000002</v>
      </c>
      <c r="C762">
        <f t="shared" ref="C762:C825" si="36">AVERAGE(B760:B764)</f>
        <v>42.930779999999999</v>
      </c>
      <c r="D762">
        <v>0.71489230769230772</v>
      </c>
      <c r="E762">
        <f t="shared" ref="E762:E825" si="37">LN(C762)</f>
        <v>3.7595890511839216</v>
      </c>
      <c r="I762" s="24">
        <f t="shared" ref="I762:I825" si="38">(0.0026*(EXP(1.3248*E762)))/D762</f>
        <v>0.52944981702414529</v>
      </c>
      <c r="N762" s="30">
        <v>39944.680851063829</v>
      </c>
    </row>
    <row r="763" spans="1:14" x14ac:dyDescent="0.3">
      <c r="A763">
        <v>11.593299999999999</v>
      </c>
      <c r="B763">
        <v>42.346200000000003</v>
      </c>
      <c r="C763">
        <f t="shared" si="36"/>
        <v>42.976920000000007</v>
      </c>
      <c r="D763">
        <v>0.71464615384615393</v>
      </c>
      <c r="E763">
        <f t="shared" si="37"/>
        <v>3.7606632274087906</v>
      </c>
      <c r="I763" s="24">
        <f t="shared" si="38"/>
        <v>0.53038642105286771</v>
      </c>
      <c r="N763" s="30">
        <v>39942.085106382983</v>
      </c>
    </row>
    <row r="764" spans="1:14" x14ac:dyDescent="0.3">
      <c r="A764">
        <v>11.608599999999999</v>
      </c>
      <c r="B764">
        <v>42.884599999999999</v>
      </c>
      <c r="C764">
        <f t="shared" si="36"/>
        <v>43.192319999999995</v>
      </c>
      <c r="D764">
        <v>0.71440000000000003</v>
      </c>
      <c r="E764">
        <f t="shared" si="37"/>
        <v>3.7656627016679445</v>
      </c>
      <c r="I764" s="24">
        <f t="shared" si="38"/>
        <v>0.53409495506010207</v>
      </c>
      <c r="N764" s="30">
        <v>39939.48936170213</v>
      </c>
    </row>
    <row r="765" spans="1:14" x14ac:dyDescent="0.3">
      <c r="A765">
        <v>11.623799999999999</v>
      </c>
      <c r="B765">
        <v>43.769199999999998</v>
      </c>
      <c r="C765">
        <f t="shared" si="36"/>
        <v>43.5</v>
      </c>
      <c r="D765">
        <v>0.71415384615384625</v>
      </c>
      <c r="E765">
        <f t="shared" si="37"/>
        <v>3.7727609380946383</v>
      </c>
      <c r="I765" s="24">
        <f t="shared" si="38"/>
        <v>0.53932696703398308</v>
      </c>
      <c r="N765" s="30">
        <v>39936.893617021276</v>
      </c>
    </row>
    <row r="766" spans="1:14" x14ac:dyDescent="0.3">
      <c r="A766">
        <v>11.638999999999999</v>
      </c>
      <c r="B766">
        <v>44.230800000000002</v>
      </c>
      <c r="C766">
        <f t="shared" si="36"/>
        <v>43.9</v>
      </c>
      <c r="D766">
        <v>0.71390769230769235</v>
      </c>
      <c r="E766">
        <f t="shared" si="37"/>
        <v>3.7819143200811256</v>
      </c>
      <c r="I766" s="24">
        <f t="shared" si="38"/>
        <v>0.54609510401442962</v>
      </c>
      <c r="N766" s="30">
        <v>39934.29787234043</v>
      </c>
    </row>
    <row r="767" spans="1:14" x14ac:dyDescent="0.3">
      <c r="A767">
        <v>11.654299999999999</v>
      </c>
      <c r="B767">
        <v>44.269199999999998</v>
      </c>
      <c r="C767">
        <f t="shared" si="36"/>
        <v>44.238460000000003</v>
      </c>
      <c r="D767">
        <v>0.71366153846153846</v>
      </c>
      <c r="E767">
        <f t="shared" si="37"/>
        <v>3.7895945464816108</v>
      </c>
      <c r="I767" s="24">
        <f t="shared" si="38"/>
        <v>0.5518701400165682</v>
      </c>
      <c r="N767" s="30">
        <v>39931.702127659577</v>
      </c>
    </row>
    <row r="768" spans="1:14" x14ac:dyDescent="0.3">
      <c r="A768">
        <v>11.669499999999999</v>
      </c>
      <c r="B768">
        <v>44.346200000000003</v>
      </c>
      <c r="C768">
        <f t="shared" si="36"/>
        <v>44.430780000000006</v>
      </c>
      <c r="D768">
        <v>0.71341538461538467</v>
      </c>
      <c r="E768">
        <f t="shared" si="37"/>
        <v>3.7939324724993218</v>
      </c>
      <c r="I768" s="24">
        <f t="shared" si="38"/>
        <v>0.55524231700753501</v>
      </c>
      <c r="N768" s="30">
        <v>39929.106382978724</v>
      </c>
    </row>
    <row r="769" spans="1:14" x14ac:dyDescent="0.3">
      <c r="A769">
        <v>11.684699999999999</v>
      </c>
      <c r="B769">
        <v>44.576900000000002</v>
      </c>
      <c r="C769">
        <f t="shared" si="36"/>
        <v>44.653859999999995</v>
      </c>
      <c r="D769">
        <v>0.71316923076923078</v>
      </c>
      <c r="E769">
        <f t="shared" si="37"/>
        <v>3.7989407537538806</v>
      </c>
      <c r="I769" s="24">
        <f t="shared" si="38"/>
        <v>0.55913150281311996</v>
      </c>
      <c r="N769" s="30">
        <v>39926.510638297877</v>
      </c>
    </row>
    <row r="770" spans="1:14" x14ac:dyDescent="0.3">
      <c r="A770">
        <v>11.7</v>
      </c>
      <c r="B770">
        <v>44.730800000000002</v>
      </c>
      <c r="C770">
        <f t="shared" si="36"/>
        <v>44.892320000000005</v>
      </c>
      <c r="D770">
        <v>0.71292307692307699</v>
      </c>
      <c r="E770">
        <f t="shared" si="37"/>
        <v>3.8042667333474403</v>
      </c>
      <c r="I770" s="24">
        <f t="shared" si="38"/>
        <v>0.56328502675942904</v>
      </c>
      <c r="N770" s="30">
        <v>39923.914893617024</v>
      </c>
    </row>
    <row r="771" spans="1:14" x14ac:dyDescent="0.3">
      <c r="A771">
        <v>11.715199999999999</v>
      </c>
      <c r="B771">
        <v>45.346200000000003</v>
      </c>
      <c r="C771">
        <f t="shared" si="36"/>
        <v>45.107700000000008</v>
      </c>
      <c r="D771">
        <v>0.7126769230769231</v>
      </c>
      <c r="E771">
        <f t="shared" si="37"/>
        <v>3.8090529636429507</v>
      </c>
      <c r="I771" s="24">
        <f t="shared" si="38"/>
        <v>0.56706384331893878</v>
      </c>
      <c r="N771" s="30">
        <v>39921.319148936171</v>
      </c>
    </row>
    <row r="772" spans="1:14" x14ac:dyDescent="0.3">
      <c r="A772">
        <v>11.730399999999999</v>
      </c>
      <c r="B772">
        <v>45.461500000000001</v>
      </c>
      <c r="C772">
        <f t="shared" si="36"/>
        <v>45.230780000000003</v>
      </c>
      <c r="D772">
        <v>0.71243076923076931</v>
      </c>
      <c r="E772">
        <f t="shared" si="37"/>
        <v>3.8117778285322998</v>
      </c>
      <c r="I772" s="24">
        <f t="shared" si="38"/>
        <v>0.56931122321234551</v>
      </c>
      <c r="N772" s="30">
        <v>39918.723404255325</v>
      </c>
    </row>
    <row r="773" spans="1:14" x14ac:dyDescent="0.3">
      <c r="A773">
        <v>11.745699999999999</v>
      </c>
      <c r="B773">
        <v>45.423099999999998</v>
      </c>
      <c r="C773">
        <f t="shared" si="36"/>
        <v>45.315380000000005</v>
      </c>
      <c r="D773">
        <v>0.71218461538461542</v>
      </c>
      <c r="E773">
        <f t="shared" si="37"/>
        <v>3.8136464892158197</v>
      </c>
      <c r="I773" s="24">
        <f t="shared" si="38"/>
        <v>0.5709196169635018</v>
      </c>
      <c r="N773" s="30">
        <v>39916.127659574471</v>
      </c>
    </row>
    <row r="774" spans="1:14" x14ac:dyDescent="0.3">
      <c r="A774">
        <v>11.760899999999999</v>
      </c>
      <c r="B774">
        <v>45.192300000000003</v>
      </c>
      <c r="C774">
        <f t="shared" si="36"/>
        <v>45.238440000000004</v>
      </c>
      <c r="D774">
        <v>0.71193846153846152</v>
      </c>
      <c r="E774">
        <f t="shared" si="37"/>
        <v>3.811947167894755</v>
      </c>
      <c r="I774" s="24">
        <f t="shared" si="38"/>
        <v>0.56983272610339042</v>
      </c>
      <c r="N774" s="30">
        <v>39913.531914893618</v>
      </c>
    </row>
    <row r="775" spans="1:14" x14ac:dyDescent="0.3">
      <c r="A775">
        <v>11.7761</v>
      </c>
      <c r="B775">
        <v>45.153799999999997</v>
      </c>
      <c r="C775">
        <f t="shared" si="36"/>
        <v>45.107679999999995</v>
      </c>
      <c r="D775">
        <v>0.71169230769230774</v>
      </c>
      <c r="E775">
        <f t="shared" si="37"/>
        <v>3.8090525202595718</v>
      </c>
      <c r="I775" s="24">
        <f t="shared" si="38"/>
        <v>0.5678480338920594</v>
      </c>
      <c r="N775" s="30">
        <v>39910.936170212772</v>
      </c>
    </row>
    <row r="776" spans="1:14" x14ac:dyDescent="0.3">
      <c r="A776">
        <v>11.791399999999999</v>
      </c>
      <c r="B776">
        <v>44.961500000000001</v>
      </c>
      <c r="C776">
        <f t="shared" si="36"/>
        <v>44.969219999999993</v>
      </c>
      <c r="D776">
        <v>0.71144615384615384</v>
      </c>
      <c r="E776">
        <f t="shared" si="37"/>
        <v>3.8059782557355937</v>
      </c>
      <c r="I776" s="24">
        <f t="shared" si="38"/>
        <v>0.56573568545854092</v>
      </c>
      <c r="N776" s="30">
        <v>39908.340425531918</v>
      </c>
    </row>
    <row r="777" spans="1:14" x14ac:dyDescent="0.3">
      <c r="A777">
        <v>11.8066</v>
      </c>
      <c r="B777">
        <v>44.807699999999997</v>
      </c>
      <c r="C777">
        <f t="shared" si="36"/>
        <v>44.630759999999995</v>
      </c>
      <c r="D777">
        <v>0.71120000000000005</v>
      </c>
      <c r="E777">
        <f t="shared" si="37"/>
        <v>3.7984233074005127</v>
      </c>
      <c r="I777" s="24">
        <f t="shared" si="38"/>
        <v>0.56029545199771302</v>
      </c>
      <c r="N777" s="30">
        <v>39905.744680851065</v>
      </c>
    </row>
    <row r="778" spans="1:14" x14ac:dyDescent="0.3">
      <c r="A778">
        <v>11.8218</v>
      </c>
      <c r="B778">
        <v>44.730800000000002</v>
      </c>
      <c r="C778">
        <f t="shared" si="36"/>
        <v>44.207700000000003</v>
      </c>
      <c r="D778">
        <v>0.71095384615384627</v>
      </c>
      <c r="E778">
        <f t="shared" si="37"/>
        <v>3.7888989820559722</v>
      </c>
      <c r="I778" s="24">
        <f t="shared" si="38"/>
        <v>0.55346171549737622</v>
      </c>
      <c r="N778" s="30">
        <v>39903.148936170212</v>
      </c>
    </row>
    <row r="779" spans="1:14" x14ac:dyDescent="0.3">
      <c r="A779">
        <v>11.8371</v>
      </c>
      <c r="B779">
        <v>43.5</v>
      </c>
      <c r="C779">
        <f t="shared" si="36"/>
        <v>43.630780000000001</v>
      </c>
      <c r="D779">
        <v>0.71070769230769237</v>
      </c>
      <c r="E779">
        <f t="shared" si="37"/>
        <v>3.7757628645828669</v>
      </c>
      <c r="I779" s="24">
        <f t="shared" si="38"/>
        <v>0.54410168136830328</v>
      </c>
      <c r="N779" s="30">
        <v>39900.553191489365</v>
      </c>
    </row>
    <row r="780" spans="1:14" x14ac:dyDescent="0.3">
      <c r="A780">
        <v>11.8523</v>
      </c>
      <c r="B780">
        <v>43.038499999999999</v>
      </c>
      <c r="C780">
        <f t="shared" si="36"/>
        <v>42.907699999999998</v>
      </c>
      <c r="D780">
        <v>0.71046153846153848</v>
      </c>
      <c r="E780">
        <f t="shared" si="37"/>
        <v>3.759051297007562</v>
      </c>
      <c r="I780" s="24">
        <f t="shared" si="38"/>
        <v>0.53237230673710789</v>
      </c>
      <c r="N780" s="30">
        <v>39897.957446808512</v>
      </c>
    </row>
    <row r="781" spans="1:14" x14ac:dyDescent="0.3">
      <c r="A781">
        <v>11.8675</v>
      </c>
      <c r="B781">
        <v>42.076900000000002</v>
      </c>
      <c r="C781">
        <f t="shared" si="36"/>
        <v>41.97692</v>
      </c>
      <c r="D781">
        <v>0.71021538461538469</v>
      </c>
      <c r="E781">
        <f t="shared" si="37"/>
        <v>3.7371199434302986</v>
      </c>
      <c r="I781" s="24">
        <f t="shared" si="38"/>
        <v>0.51730618974460996</v>
      </c>
      <c r="N781" s="30">
        <v>39895.361702127659</v>
      </c>
    </row>
    <row r="782" spans="1:14" x14ac:dyDescent="0.3">
      <c r="A782">
        <v>11.8828</v>
      </c>
      <c r="B782">
        <v>41.192300000000003</v>
      </c>
      <c r="C782">
        <f t="shared" si="36"/>
        <v>41.123080000000002</v>
      </c>
      <c r="D782">
        <v>0.7099692307692308</v>
      </c>
      <c r="E782">
        <f t="shared" si="37"/>
        <v>3.7165695210655763</v>
      </c>
      <c r="I782" s="24">
        <f t="shared" si="38"/>
        <v>0.50358695249508412</v>
      </c>
      <c r="N782" s="30">
        <v>39892.765957446813</v>
      </c>
    </row>
    <row r="783" spans="1:14" x14ac:dyDescent="0.3">
      <c r="A783">
        <v>11.898</v>
      </c>
      <c r="B783">
        <v>40.076900000000002</v>
      </c>
      <c r="C783">
        <f t="shared" si="36"/>
        <v>40.223080000000003</v>
      </c>
      <c r="D783">
        <v>0.7097230769230769</v>
      </c>
      <c r="E783">
        <f t="shared" si="37"/>
        <v>3.6944409602290076</v>
      </c>
      <c r="I783" s="24">
        <f t="shared" si="38"/>
        <v>0.48920775038740683</v>
      </c>
      <c r="N783" s="30">
        <v>39890.170212765959</v>
      </c>
    </row>
    <row r="784" spans="1:14" x14ac:dyDescent="0.3">
      <c r="A784">
        <v>11.9132</v>
      </c>
      <c r="B784">
        <v>39.230800000000002</v>
      </c>
      <c r="C784">
        <f t="shared" si="36"/>
        <v>39.4</v>
      </c>
      <c r="D784">
        <v>0.70947692307692312</v>
      </c>
      <c r="E784">
        <f t="shared" si="37"/>
        <v>3.673765816303888</v>
      </c>
      <c r="I784" s="24">
        <f t="shared" si="38"/>
        <v>0.47615513118751074</v>
      </c>
      <c r="N784" s="30">
        <v>39887.574468085106</v>
      </c>
    </row>
    <row r="785" spans="1:18" x14ac:dyDescent="0.3">
      <c r="A785">
        <v>11.9285</v>
      </c>
      <c r="B785">
        <v>38.538499999999999</v>
      </c>
      <c r="C785">
        <f t="shared" si="36"/>
        <v>38.784620000000004</v>
      </c>
      <c r="D785">
        <v>0.70923076923076933</v>
      </c>
      <c r="E785">
        <f t="shared" si="37"/>
        <v>3.6580237762926724</v>
      </c>
      <c r="I785" s="24">
        <f t="shared" si="38"/>
        <v>0.46648957079328535</v>
      </c>
      <c r="N785" s="30">
        <v>39884.97872340426</v>
      </c>
    </row>
    <row r="786" spans="1:18" x14ac:dyDescent="0.3">
      <c r="A786">
        <v>11.9437</v>
      </c>
      <c r="B786">
        <v>37.961500000000001</v>
      </c>
      <c r="C786">
        <f t="shared" si="36"/>
        <v>38.346160000000005</v>
      </c>
      <c r="D786">
        <v>0.70898461538461544</v>
      </c>
      <c r="E786">
        <f t="shared" si="37"/>
        <v>3.6466543924217878</v>
      </c>
      <c r="I786" s="24">
        <f t="shared" si="38"/>
        <v>0.45967542188427557</v>
      </c>
      <c r="N786" s="30">
        <v>39882.382978723406</v>
      </c>
    </row>
    <row r="787" spans="1:18" x14ac:dyDescent="0.3">
      <c r="A787">
        <v>11.9589</v>
      </c>
      <c r="B787">
        <v>38.115400000000001</v>
      </c>
      <c r="C787">
        <f t="shared" si="36"/>
        <v>38.0077</v>
      </c>
      <c r="D787">
        <v>0.70873846153846154</v>
      </c>
      <c r="E787">
        <f t="shared" si="37"/>
        <v>3.6377887707783279</v>
      </c>
      <c r="I787" s="24">
        <f t="shared" si="38"/>
        <v>0.45446582244242933</v>
      </c>
      <c r="N787" s="30">
        <v>39879.787234042553</v>
      </c>
    </row>
    <row r="788" spans="1:18" x14ac:dyDescent="0.3">
      <c r="A788">
        <v>11.9742</v>
      </c>
      <c r="B788">
        <v>37.884599999999999</v>
      </c>
      <c r="C788">
        <f t="shared" si="36"/>
        <v>37.738459999999996</v>
      </c>
      <c r="D788">
        <v>0.70849230769230775</v>
      </c>
      <c r="E788">
        <f t="shared" si="37"/>
        <v>3.6306797335964429</v>
      </c>
      <c r="I788" s="24">
        <f t="shared" si="38"/>
        <v>0.45036214833279425</v>
      </c>
      <c r="N788" s="30">
        <v>39877.191489361707</v>
      </c>
    </row>
    <row r="789" spans="1:18" x14ac:dyDescent="0.3">
      <c r="A789">
        <v>11.9894</v>
      </c>
      <c r="B789">
        <v>37.538499999999999</v>
      </c>
      <c r="C789">
        <f t="shared" si="36"/>
        <v>37.576919999999994</v>
      </c>
      <c r="D789">
        <v>0.70824615384615386</v>
      </c>
      <c r="E789">
        <f t="shared" si="37"/>
        <v>3.6263900321379809</v>
      </c>
      <c r="I789" s="24">
        <f t="shared" si="38"/>
        <v>0.44796563881205481</v>
      </c>
      <c r="N789" s="30">
        <v>39874.595744680853</v>
      </c>
    </row>
    <row r="790" spans="1:18" x14ac:dyDescent="0.3">
      <c r="A790">
        <v>12.0046</v>
      </c>
      <c r="B790">
        <v>37.192300000000003</v>
      </c>
      <c r="C790">
        <f t="shared" si="36"/>
        <v>37.430760000000006</v>
      </c>
      <c r="D790" s="8">
        <v>0.70799999999999996</v>
      </c>
      <c r="E790">
        <f t="shared" si="37"/>
        <v>3.6224928262787306</v>
      </c>
      <c r="I790" s="25">
        <f t="shared" si="38"/>
        <v>0.44581368877473032</v>
      </c>
      <c r="N790" s="30">
        <v>39872</v>
      </c>
    </row>
    <row r="791" spans="1:18" x14ac:dyDescent="0.3">
      <c r="A791">
        <v>12.0199</v>
      </c>
      <c r="B791">
        <v>37.153799999999997</v>
      </c>
      <c r="C791">
        <f t="shared" si="36"/>
        <v>37.44614</v>
      </c>
      <c r="D791">
        <v>0.70806060606060606</v>
      </c>
      <c r="E791">
        <f t="shared" si="37"/>
        <v>3.6229036338900578</v>
      </c>
      <c r="I791" s="24">
        <f t="shared" si="38"/>
        <v>0.44601820357445515</v>
      </c>
      <c r="N791" s="30">
        <v>39864.636363636368</v>
      </c>
    </row>
    <row r="792" spans="1:18" x14ac:dyDescent="0.3">
      <c r="A792">
        <v>12.0351</v>
      </c>
      <c r="B792">
        <v>37.384599999999999</v>
      </c>
      <c r="C792">
        <f t="shared" si="36"/>
        <v>37.615360000000003</v>
      </c>
      <c r="D792">
        <v>0.70812121212121215</v>
      </c>
      <c r="E792">
        <f t="shared" si="37"/>
        <v>3.6274124776163932</v>
      </c>
      <c r="I792" s="24">
        <f t="shared" si="38"/>
        <v>0.44865198214483776</v>
      </c>
      <c r="N792" s="30">
        <v>39857.272727272728</v>
      </c>
    </row>
    <row r="793" spans="1:18" x14ac:dyDescent="0.3">
      <c r="A793">
        <v>12.0503</v>
      </c>
      <c r="B793">
        <v>37.961500000000001</v>
      </c>
      <c r="C793">
        <f t="shared" si="36"/>
        <v>38.107659999999996</v>
      </c>
      <c r="D793">
        <v>0.70818181818181813</v>
      </c>
      <c r="E793">
        <f t="shared" si="37"/>
        <v>3.6404153117936051</v>
      </c>
      <c r="I793" s="24">
        <f t="shared" si="38"/>
        <v>0.45640841838449131</v>
      </c>
      <c r="N793" s="30">
        <v>39849.909090909096</v>
      </c>
    </row>
    <row r="794" spans="1:18" x14ac:dyDescent="0.3">
      <c r="A794">
        <v>12.0656</v>
      </c>
      <c r="B794">
        <v>38.384599999999999</v>
      </c>
      <c r="C794">
        <f t="shared" si="36"/>
        <v>38.699979999999996</v>
      </c>
      <c r="D794">
        <v>0.70824242424242423</v>
      </c>
      <c r="E794">
        <f t="shared" si="37"/>
        <v>3.6558390832397367</v>
      </c>
      <c r="I794" s="24">
        <f t="shared" si="38"/>
        <v>0.46579047068072055</v>
      </c>
      <c r="N794" s="30">
        <v>39842.545454545456</v>
      </c>
    </row>
    <row r="795" spans="1:18" x14ac:dyDescent="0.3">
      <c r="A795">
        <v>12.0808</v>
      </c>
      <c r="B795">
        <v>39.653799999999997</v>
      </c>
      <c r="C795">
        <f t="shared" si="36"/>
        <v>39.469219999999993</v>
      </c>
      <c r="D795">
        <v>0.70830303030303032</v>
      </c>
      <c r="E795">
        <f t="shared" si="37"/>
        <v>3.675521127635049</v>
      </c>
      <c r="I795" s="24">
        <f t="shared" si="38"/>
        <v>0.47805467216917003</v>
      </c>
      <c r="N795" s="30">
        <v>39835.181818181823</v>
      </c>
    </row>
    <row r="796" spans="1:18" x14ac:dyDescent="0.3">
      <c r="A796">
        <v>12.096</v>
      </c>
      <c r="B796">
        <v>40.115400000000001</v>
      </c>
      <c r="C796">
        <f t="shared" si="36"/>
        <v>40.399999999999991</v>
      </c>
      <c r="D796">
        <v>0.70836363636363631</v>
      </c>
      <c r="E796">
        <f t="shared" si="37"/>
        <v>3.6988297849671041</v>
      </c>
      <c r="I796" s="24">
        <f t="shared" si="38"/>
        <v>0.4930047705707612</v>
      </c>
      <c r="N796" s="30">
        <v>39827.818181818184</v>
      </c>
    </row>
    <row r="797" spans="1:18" x14ac:dyDescent="0.3">
      <c r="A797">
        <v>12.1113</v>
      </c>
      <c r="B797">
        <v>41.230800000000002</v>
      </c>
      <c r="C797">
        <f t="shared" si="36"/>
        <v>41.469239999999999</v>
      </c>
      <c r="D797">
        <v>0.7084242424242424</v>
      </c>
      <c r="E797">
        <f t="shared" si="37"/>
        <v>3.7249519475892723</v>
      </c>
      <c r="I797" s="24">
        <f t="shared" si="38"/>
        <v>0.51032099897325311</v>
      </c>
      <c r="N797" s="30">
        <v>39820.454545454551</v>
      </c>
    </row>
    <row r="798" spans="1:18" x14ac:dyDescent="0.3">
      <c r="A798">
        <v>12.1265</v>
      </c>
      <c r="B798">
        <v>42.615400000000001</v>
      </c>
      <c r="C798">
        <f t="shared" si="36"/>
        <v>42.461560000000006</v>
      </c>
      <c r="D798">
        <v>0.7084848484848485</v>
      </c>
      <c r="E798">
        <f t="shared" si="37"/>
        <v>3.7485991960618068</v>
      </c>
      <c r="I798" s="24">
        <f t="shared" si="38"/>
        <v>0.52651628690742358</v>
      </c>
      <c r="N798" s="30">
        <v>39813.090909090912</v>
      </c>
      <c r="O798">
        <v>2008</v>
      </c>
      <c r="P798" s="24">
        <f>AVERAGE(I798:I879)</f>
        <v>0.66884488872990155</v>
      </c>
      <c r="Q798">
        <f>A879-A798</f>
        <v>1.234</v>
      </c>
      <c r="R798">
        <f>P798*Q798</f>
        <v>0.82535459269269851</v>
      </c>
    </row>
    <row r="799" spans="1:18" x14ac:dyDescent="0.3">
      <c r="A799">
        <v>12.1418</v>
      </c>
      <c r="B799">
        <v>43.730800000000002</v>
      </c>
      <c r="C799">
        <f t="shared" si="36"/>
        <v>43.469239999999999</v>
      </c>
      <c r="D799">
        <v>0.70854545454545448</v>
      </c>
      <c r="E799">
        <f t="shared" si="37"/>
        <v>3.7720535615260347</v>
      </c>
      <c r="I799" s="24">
        <f t="shared" si="38"/>
        <v>0.54308675079078328</v>
      </c>
      <c r="N799" s="30">
        <v>39805.727272727279</v>
      </c>
    </row>
    <row r="800" spans="1:18" x14ac:dyDescent="0.3">
      <c r="A800">
        <v>12.157</v>
      </c>
      <c r="B800">
        <v>44.615400000000001</v>
      </c>
      <c r="C800">
        <f t="shared" si="36"/>
        <v>44.307699999999997</v>
      </c>
      <c r="D800">
        <v>0.70860606060606057</v>
      </c>
      <c r="E800">
        <f t="shared" si="37"/>
        <v>3.7911584768454505</v>
      </c>
      <c r="I800" s="24">
        <f t="shared" si="38"/>
        <v>0.55696016973174567</v>
      </c>
      <c r="N800" s="30">
        <v>39798.36363636364</v>
      </c>
    </row>
    <row r="801" spans="1:14" x14ac:dyDescent="0.3">
      <c r="A801">
        <v>12.1722</v>
      </c>
      <c r="B801">
        <v>45.153799999999997</v>
      </c>
      <c r="C801">
        <f t="shared" si="36"/>
        <v>44.938459999999999</v>
      </c>
      <c r="D801">
        <v>0.70866666666666656</v>
      </c>
      <c r="E801">
        <f t="shared" si="37"/>
        <v>3.8052939982572522</v>
      </c>
      <c r="I801" s="24">
        <f t="shared" si="38"/>
        <v>0.5674399578807271</v>
      </c>
      <c r="N801" s="30">
        <v>39791</v>
      </c>
    </row>
    <row r="802" spans="1:14" x14ac:dyDescent="0.3">
      <c r="A802">
        <v>12.1875</v>
      </c>
      <c r="B802">
        <v>45.423099999999998</v>
      </c>
      <c r="C802">
        <f t="shared" si="36"/>
        <v>45.369219999999999</v>
      </c>
      <c r="D802">
        <v>0.70872727272727265</v>
      </c>
      <c r="E802">
        <f t="shared" si="37"/>
        <v>3.8148339015510113</v>
      </c>
      <c r="I802" s="24">
        <f t="shared" si="38"/>
        <v>0.57460789644309196</v>
      </c>
      <c r="N802" s="30">
        <v>39783.636363636368</v>
      </c>
    </row>
    <row r="803" spans="1:14" x14ac:dyDescent="0.3">
      <c r="A803">
        <v>12.2027</v>
      </c>
      <c r="B803">
        <v>45.769199999999998</v>
      </c>
      <c r="C803">
        <f t="shared" si="36"/>
        <v>45.692300000000003</v>
      </c>
      <c r="D803">
        <v>0.70878787878787874</v>
      </c>
      <c r="E803">
        <f t="shared" si="37"/>
        <v>3.8219297935509258</v>
      </c>
      <c r="I803" s="24">
        <f t="shared" si="38"/>
        <v>0.57998544963762011</v>
      </c>
      <c r="N803" s="30">
        <v>39776.272727272728</v>
      </c>
    </row>
    <row r="804" spans="1:14" x14ac:dyDescent="0.3">
      <c r="A804">
        <v>12.2179</v>
      </c>
      <c r="B804">
        <v>45.884599999999999</v>
      </c>
      <c r="C804">
        <f t="shared" si="36"/>
        <v>45.930780000000006</v>
      </c>
      <c r="D804">
        <v>0.70884848484848484</v>
      </c>
      <c r="E804">
        <f t="shared" si="37"/>
        <v>3.8271354805579714</v>
      </c>
      <c r="I804" s="24">
        <f t="shared" si="38"/>
        <v>0.5839492086578757</v>
      </c>
      <c r="N804" s="30">
        <v>39768.909090909096</v>
      </c>
    </row>
    <row r="805" spans="1:14" x14ac:dyDescent="0.3">
      <c r="A805">
        <v>12.2332</v>
      </c>
      <c r="B805">
        <v>46.230800000000002</v>
      </c>
      <c r="C805">
        <f t="shared" si="36"/>
        <v>46.184619999999995</v>
      </c>
      <c r="D805">
        <v>0.70890909090909093</v>
      </c>
      <c r="E805">
        <f t="shared" si="37"/>
        <v>3.8326468422311426</v>
      </c>
      <c r="I805" s="24">
        <f t="shared" si="38"/>
        <v>0.5881782003787156</v>
      </c>
      <c r="N805" s="30">
        <v>39761.545454545456</v>
      </c>
    </row>
    <row r="806" spans="1:14" x14ac:dyDescent="0.3">
      <c r="A806">
        <v>12.2484</v>
      </c>
      <c r="B806">
        <v>46.346200000000003</v>
      </c>
      <c r="C806">
        <f t="shared" si="36"/>
        <v>46.430780000000006</v>
      </c>
      <c r="D806">
        <v>0.70896969696969703</v>
      </c>
      <c r="E806">
        <f t="shared" si="37"/>
        <v>3.8379626013738135</v>
      </c>
      <c r="I806" s="24">
        <f t="shared" si="38"/>
        <v>0.59228432198518466</v>
      </c>
      <c r="N806" s="30">
        <v>39754.181818181823</v>
      </c>
    </row>
    <row r="807" spans="1:14" x14ac:dyDescent="0.3">
      <c r="A807">
        <v>12.2636</v>
      </c>
      <c r="B807">
        <v>46.692300000000003</v>
      </c>
      <c r="C807">
        <f t="shared" si="36"/>
        <v>46.753859999999996</v>
      </c>
      <c r="D807">
        <v>0.70903030303030301</v>
      </c>
      <c r="E807">
        <f t="shared" si="37"/>
        <v>3.8448968191711614</v>
      </c>
      <c r="I807" s="24">
        <f t="shared" si="38"/>
        <v>0.59769928758760071</v>
      </c>
      <c r="N807" s="30">
        <v>39746.818181818184</v>
      </c>
    </row>
    <row r="808" spans="1:14" x14ac:dyDescent="0.3">
      <c r="A808">
        <v>12.2789</v>
      </c>
      <c r="B808">
        <v>47</v>
      </c>
      <c r="C808">
        <f t="shared" si="36"/>
        <v>47.069240000000001</v>
      </c>
      <c r="D808">
        <v>0.70909090909090911</v>
      </c>
      <c r="E808">
        <f t="shared" si="37"/>
        <v>3.8516197091174145</v>
      </c>
      <c r="I808" s="24">
        <f t="shared" si="38"/>
        <v>0.60299492158060619</v>
      </c>
      <c r="N808" s="30">
        <v>39739.454545454551</v>
      </c>
    </row>
    <row r="809" spans="1:14" x14ac:dyDescent="0.3">
      <c r="A809">
        <v>12.2941</v>
      </c>
      <c r="B809">
        <v>47.5</v>
      </c>
      <c r="C809">
        <f t="shared" si="36"/>
        <v>47.961539999999999</v>
      </c>
      <c r="D809">
        <v>0.70915151515151509</v>
      </c>
      <c r="E809">
        <f t="shared" si="37"/>
        <v>3.8703994397355386</v>
      </c>
      <c r="I809" s="24">
        <f t="shared" si="38"/>
        <v>0.61813241326815083</v>
      </c>
      <c r="N809" s="30">
        <v>39732.090909090912</v>
      </c>
    </row>
    <row r="810" spans="1:14" x14ac:dyDescent="0.3">
      <c r="A810">
        <v>12.3093</v>
      </c>
      <c r="B810">
        <v>47.807699999999997</v>
      </c>
      <c r="C810">
        <f t="shared" si="36"/>
        <v>48.869240000000005</v>
      </c>
      <c r="D810">
        <v>0.70921212121212118</v>
      </c>
      <c r="E810">
        <f t="shared" si="37"/>
        <v>3.889148159698073</v>
      </c>
      <c r="I810" s="24">
        <f t="shared" si="38"/>
        <v>0.63362388719290197</v>
      </c>
      <c r="N810" s="30">
        <v>39724.727272727279</v>
      </c>
    </row>
    <row r="811" spans="1:14" x14ac:dyDescent="0.3">
      <c r="A811">
        <v>12.3246</v>
      </c>
      <c r="B811">
        <v>50.807699999999997</v>
      </c>
      <c r="C811">
        <f t="shared" si="36"/>
        <v>49.892319999999998</v>
      </c>
      <c r="D811">
        <v>0.70927272727272728</v>
      </c>
      <c r="E811">
        <f t="shared" si="37"/>
        <v>3.9098670830968185</v>
      </c>
      <c r="I811" s="24">
        <f t="shared" si="38"/>
        <v>0.65120110947622278</v>
      </c>
      <c r="N811" s="30">
        <v>39717.36363636364</v>
      </c>
    </row>
    <row r="812" spans="1:14" x14ac:dyDescent="0.3">
      <c r="A812">
        <v>12.3398</v>
      </c>
      <c r="B812">
        <v>51.230800000000002</v>
      </c>
      <c r="C812">
        <f t="shared" si="36"/>
        <v>50.923079999999999</v>
      </c>
      <c r="D812">
        <v>0.70933333333333326</v>
      </c>
      <c r="E812">
        <f t="shared" si="37"/>
        <v>3.9303162588984302</v>
      </c>
      <c r="I812" s="24">
        <f t="shared" si="38"/>
        <v>0.66902681531281882</v>
      </c>
      <c r="N812" s="30">
        <v>39710</v>
      </c>
    </row>
    <row r="813" spans="1:14" x14ac:dyDescent="0.3">
      <c r="A813">
        <v>12.355</v>
      </c>
      <c r="B813">
        <v>52.115400000000001</v>
      </c>
      <c r="C813">
        <f t="shared" si="36"/>
        <v>51.969239999999992</v>
      </c>
      <c r="D813">
        <v>0.70939393939393935</v>
      </c>
      <c r="E813">
        <f t="shared" si="37"/>
        <v>3.9506520050919858</v>
      </c>
      <c r="I813" s="24">
        <f t="shared" si="38"/>
        <v>0.68723719960111385</v>
      </c>
      <c r="N813" s="30">
        <v>39702.636363636368</v>
      </c>
    </row>
    <row r="814" spans="1:14" x14ac:dyDescent="0.3">
      <c r="A814">
        <v>12.3703</v>
      </c>
      <c r="B814">
        <v>52.653799999999997</v>
      </c>
      <c r="C814">
        <f t="shared" si="36"/>
        <v>52.5077</v>
      </c>
      <c r="D814">
        <v>0.70945454545454545</v>
      </c>
      <c r="E814">
        <f t="shared" si="37"/>
        <v>3.9609598255097409</v>
      </c>
      <c r="I814" s="24">
        <f t="shared" si="38"/>
        <v>0.69662682934699904</v>
      </c>
      <c r="N814" s="30">
        <v>39695.272727272728</v>
      </c>
    </row>
    <row r="815" spans="1:14" x14ac:dyDescent="0.3">
      <c r="A815">
        <v>12.3855</v>
      </c>
      <c r="B815">
        <v>53.038499999999999</v>
      </c>
      <c r="C815">
        <f t="shared" si="36"/>
        <v>53.107700000000001</v>
      </c>
      <c r="D815">
        <v>0.70951515151515143</v>
      </c>
      <c r="E815">
        <f t="shared" si="37"/>
        <v>3.9723219271512398</v>
      </c>
      <c r="I815" s="24">
        <f t="shared" si="38"/>
        <v>0.70713172327964136</v>
      </c>
      <c r="N815" s="30">
        <v>39687.909090909096</v>
      </c>
    </row>
    <row r="816" spans="1:14" x14ac:dyDescent="0.3">
      <c r="A816">
        <v>12.400700000000001</v>
      </c>
      <c r="B816">
        <v>53.5</v>
      </c>
      <c r="C816">
        <f t="shared" si="36"/>
        <v>53.630779999999994</v>
      </c>
      <c r="D816">
        <v>0.70957575757575753</v>
      </c>
      <c r="E816">
        <f t="shared" si="37"/>
        <v>3.9821231569875217</v>
      </c>
      <c r="I816" s="24">
        <f t="shared" si="38"/>
        <v>0.71631227882027126</v>
      </c>
      <c r="N816" s="30">
        <v>39680.545454545456</v>
      </c>
    </row>
    <row r="817" spans="1:14" x14ac:dyDescent="0.3">
      <c r="A817">
        <v>12.416</v>
      </c>
      <c r="B817">
        <v>54.230800000000002</v>
      </c>
      <c r="C817">
        <f t="shared" si="36"/>
        <v>54.076939999999993</v>
      </c>
      <c r="D817">
        <v>0.70963636363636362</v>
      </c>
      <c r="E817">
        <f t="shared" si="37"/>
        <v>3.9904078472936027</v>
      </c>
      <c r="I817" s="24">
        <f t="shared" si="38"/>
        <v>0.72415565702040352</v>
      </c>
      <c r="N817" s="30">
        <v>39673.181818181823</v>
      </c>
    </row>
    <row r="818" spans="1:14" x14ac:dyDescent="0.3">
      <c r="A818">
        <v>12.4312</v>
      </c>
      <c r="B818">
        <v>54.730800000000002</v>
      </c>
      <c r="C818">
        <f t="shared" si="36"/>
        <v>54.630780000000001</v>
      </c>
      <c r="D818">
        <v>0.70969696969696972</v>
      </c>
      <c r="E818">
        <f t="shared" si="37"/>
        <v>4.0005974601750012</v>
      </c>
      <c r="I818" s="24">
        <f t="shared" si="38"/>
        <v>0.73393477595117074</v>
      </c>
      <c r="N818" s="30">
        <v>39665.818181818184</v>
      </c>
    </row>
    <row r="819" spans="1:14" x14ac:dyDescent="0.3">
      <c r="A819">
        <v>12.446400000000001</v>
      </c>
      <c r="B819">
        <v>54.884599999999999</v>
      </c>
      <c r="C819">
        <f t="shared" si="36"/>
        <v>55.269240000000003</v>
      </c>
      <c r="D819">
        <v>0.70975757575757581</v>
      </c>
      <c r="E819">
        <f t="shared" si="37"/>
        <v>4.0122165150721427</v>
      </c>
      <c r="I819" s="24">
        <f t="shared" si="38"/>
        <v>0.74525593331909623</v>
      </c>
      <c r="N819" s="30">
        <v>39658.454545454551</v>
      </c>
    </row>
    <row r="820" spans="1:14" x14ac:dyDescent="0.3">
      <c r="A820">
        <v>12.4617</v>
      </c>
      <c r="B820">
        <v>55.807699999999997</v>
      </c>
      <c r="C820">
        <f t="shared" si="36"/>
        <v>55.838459999999998</v>
      </c>
      <c r="D820">
        <v>0.70981818181818179</v>
      </c>
      <c r="E820">
        <f t="shared" si="37"/>
        <v>4.0224628792772537</v>
      </c>
      <c r="I820" s="24">
        <f t="shared" si="38"/>
        <v>0.75537679515066847</v>
      </c>
      <c r="N820" s="30">
        <v>39651.090909090912</v>
      </c>
    </row>
    <row r="821" spans="1:14" x14ac:dyDescent="0.3">
      <c r="A821">
        <v>12.476900000000001</v>
      </c>
      <c r="B821">
        <v>56.692300000000003</v>
      </c>
      <c r="C821">
        <f t="shared" si="36"/>
        <v>56.24613999999999</v>
      </c>
      <c r="D821">
        <v>0.70987878787878789</v>
      </c>
      <c r="E821">
        <f t="shared" si="37"/>
        <v>4.0297374165076949</v>
      </c>
      <c r="I821" s="24">
        <f t="shared" si="38"/>
        <v>0.7626266699703026</v>
      </c>
      <c r="N821" s="30">
        <v>39643.727272727279</v>
      </c>
    </row>
    <row r="822" spans="1:14" x14ac:dyDescent="0.3">
      <c r="A822">
        <v>12.492100000000001</v>
      </c>
      <c r="B822">
        <v>57.076900000000002</v>
      </c>
      <c r="C822">
        <f t="shared" si="36"/>
        <v>56.523060000000001</v>
      </c>
      <c r="D822">
        <v>0.70993939393939398</v>
      </c>
      <c r="E822">
        <f t="shared" si="37"/>
        <v>4.0346486964781914</v>
      </c>
      <c r="I822" s="24">
        <f t="shared" si="38"/>
        <v>0.76753932148998916</v>
      </c>
      <c r="N822" s="30">
        <v>39636.36363636364</v>
      </c>
    </row>
    <row r="823" spans="1:14" x14ac:dyDescent="0.3">
      <c r="A823">
        <v>12.507400000000001</v>
      </c>
      <c r="B823">
        <v>56.769199999999998</v>
      </c>
      <c r="C823">
        <f t="shared" si="36"/>
        <v>56.561520000000009</v>
      </c>
      <c r="D823">
        <v>0.71</v>
      </c>
      <c r="E823">
        <f t="shared" si="37"/>
        <v>4.0353288953431976</v>
      </c>
      <c r="I823" s="24">
        <f t="shared" si="38"/>
        <v>0.76816570725200894</v>
      </c>
      <c r="J823">
        <v>2008</v>
      </c>
      <c r="K823">
        <f>AVERAGE(I823:I905)</f>
        <v>0.68185195176851487</v>
      </c>
      <c r="L823">
        <f>A905-A823</f>
        <v>1.2492000000000001</v>
      </c>
      <c r="M823">
        <f>K823*L823</f>
        <v>0.85176945814922889</v>
      </c>
      <c r="N823" s="30">
        <v>39629</v>
      </c>
    </row>
    <row r="824" spans="1:14" x14ac:dyDescent="0.3">
      <c r="A824">
        <v>12.522600000000001</v>
      </c>
      <c r="B824">
        <v>56.269199999999998</v>
      </c>
      <c r="C824">
        <f t="shared" si="36"/>
        <v>56.430759999999999</v>
      </c>
      <c r="D824">
        <v>0.71006060606060606</v>
      </c>
      <c r="E824">
        <f t="shared" si="37"/>
        <v>4.0330143999038235</v>
      </c>
      <c r="I824" s="24">
        <f t="shared" si="38"/>
        <v>0.76574856670738867</v>
      </c>
      <c r="N824" s="30">
        <v>39626.510204081627</v>
      </c>
    </row>
    <row r="825" spans="1:14" x14ac:dyDescent="0.3">
      <c r="A825">
        <v>12.537800000000001</v>
      </c>
      <c r="B825">
        <v>56</v>
      </c>
      <c r="C825">
        <f t="shared" si="36"/>
        <v>56.176919999999996</v>
      </c>
      <c r="D825">
        <v>0.71012121212121204</v>
      </c>
      <c r="E825">
        <f t="shared" si="37"/>
        <v>4.0285059963925143</v>
      </c>
      <c r="I825" s="24">
        <f t="shared" si="38"/>
        <v>0.76112362186266869</v>
      </c>
      <c r="N825" s="30">
        <v>39624.020408163262</v>
      </c>
    </row>
    <row r="826" spans="1:14" x14ac:dyDescent="0.3">
      <c r="A826">
        <v>12.553100000000001</v>
      </c>
      <c r="B826">
        <v>56.038499999999999</v>
      </c>
      <c r="C826">
        <f t="shared" ref="C826:C889" si="39">AVERAGE(B824:B828)</f>
        <v>55.892320000000005</v>
      </c>
      <c r="D826">
        <v>0.71018181818181814</v>
      </c>
      <c r="E826">
        <f t="shared" ref="E826:E889" si="40">LN(C826)</f>
        <v>4.0234269825292293</v>
      </c>
      <c r="I826" s="24">
        <f t="shared" ref="I826:I889" si="41">(0.0026*(EXP(1.3248*E826)))/D826</f>
        <v>0.75595494002835373</v>
      </c>
      <c r="N826" s="30">
        <v>39621.530612244896</v>
      </c>
    </row>
    <row r="827" spans="1:14" x14ac:dyDescent="0.3">
      <c r="A827">
        <v>12.568300000000001</v>
      </c>
      <c r="B827">
        <v>55.807699999999997</v>
      </c>
      <c r="C827">
        <f t="shared" si="39"/>
        <v>55.58464</v>
      </c>
      <c r="D827">
        <v>0.71024242424242423</v>
      </c>
      <c r="E827">
        <f t="shared" si="40"/>
        <v>4.0179069040971864</v>
      </c>
      <c r="I827" s="24">
        <f t="shared" si="41"/>
        <v>0.75038276989830299</v>
      </c>
      <c r="N827" s="30">
        <v>39619.040816326531</v>
      </c>
    </row>
    <row r="828" spans="1:14" x14ac:dyDescent="0.3">
      <c r="A828">
        <v>12.583500000000001</v>
      </c>
      <c r="B828">
        <v>55.346200000000003</v>
      </c>
      <c r="C828">
        <f t="shared" si="39"/>
        <v>55.223100000000002</v>
      </c>
      <c r="D828">
        <v>0.71030303030303021</v>
      </c>
      <c r="E828">
        <f t="shared" si="40"/>
        <v>4.0113813440063124</v>
      </c>
      <c r="I828" s="24">
        <f t="shared" si="41"/>
        <v>0.74386014969526892</v>
      </c>
      <c r="N828" s="30">
        <v>39616.551020408158</v>
      </c>
    </row>
    <row r="829" spans="1:14" x14ac:dyDescent="0.3">
      <c r="A829">
        <v>12.598800000000001</v>
      </c>
      <c r="B829">
        <v>54.730800000000002</v>
      </c>
      <c r="C829">
        <f t="shared" si="39"/>
        <v>54.830780000000004</v>
      </c>
      <c r="D829">
        <v>0.71036363636363631</v>
      </c>
      <c r="E829">
        <f t="shared" si="40"/>
        <v>4.0042517151035737</v>
      </c>
      <c r="I829" s="24">
        <f t="shared" si="41"/>
        <v>0.73680435333748717</v>
      </c>
      <c r="N829" s="30">
        <v>39614.061224489793</v>
      </c>
    </row>
    <row r="830" spans="1:14" x14ac:dyDescent="0.3">
      <c r="A830">
        <v>12.614000000000001</v>
      </c>
      <c r="B830">
        <v>54.192300000000003</v>
      </c>
      <c r="C830">
        <f t="shared" si="39"/>
        <v>54.561539999999994</v>
      </c>
      <c r="D830">
        <v>0.7104242424242424</v>
      </c>
      <c r="E830">
        <f t="shared" si="40"/>
        <v>3.9993292389433175</v>
      </c>
      <c r="I830" s="24">
        <f t="shared" si="41"/>
        <v>0.73195261893233976</v>
      </c>
      <c r="N830" s="30">
        <v>39611.571428571428</v>
      </c>
    </row>
    <row r="831" spans="1:14" x14ac:dyDescent="0.3">
      <c r="A831">
        <v>12.629200000000001</v>
      </c>
      <c r="B831">
        <v>54.076900000000002</v>
      </c>
      <c r="C831">
        <f t="shared" si="39"/>
        <v>54.461539999999999</v>
      </c>
      <c r="D831">
        <v>0.7104848484848485</v>
      </c>
      <c r="E831">
        <f t="shared" si="40"/>
        <v>3.9974947644807703</v>
      </c>
      <c r="I831" s="24">
        <f t="shared" si="41"/>
        <v>0.73011361997196078</v>
      </c>
      <c r="N831" s="30">
        <v>39609.081632653062</v>
      </c>
    </row>
    <row r="832" spans="1:14" x14ac:dyDescent="0.3">
      <c r="A832">
        <v>12.644500000000001</v>
      </c>
      <c r="B832">
        <v>54.461500000000001</v>
      </c>
      <c r="C832">
        <f t="shared" si="39"/>
        <v>54.561540000000001</v>
      </c>
      <c r="D832">
        <v>0.71054545454545459</v>
      </c>
      <c r="E832">
        <f t="shared" si="40"/>
        <v>3.9993292389433175</v>
      </c>
      <c r="I832" s="24">
        <f t="shared" si="41"/>
        <v>0.73182775495776919</v>
      </c>
      <c r="N832" s="30">
        <v>39606.591836734689</v>
      </c>
    </row>
    <row r="833" spans="1:14" x14ac:dyDescent="0.3">
      <c r="A833">
        <v>12.659700000000001</v>
      </c>
      <c r="B833">
        <v>54.846200000000003</v>
      </c>
      <c r="C833">
        <f t="shared" si="39"/>
        <v>54.95384</v>
      </c>
      <c r="D833">
        <v>0.71060606060606057</v>
      </c>
      <c r="E833">
        <f t="shared" si="40"/>
        <v>4.0064935601186633</v>
      </c>
      <c r="I833" s="24">
        <f t="shared" si="41"/>
        <v>0.73874380289346309</v>
      </c>
      <c r="N833" s="30">
        <v>39604.102040816324</v>
      </c>
    </row>
    <row r="834" spans="1:14" x14ac:dyDescent="0.3">
      <c r="A834">
        <v>12.675000000000001</v>
      </c>
      <c r="B834">
        <v>55.230800000000002</v>
      </c>
      <c r="C834">
        <f t="shared" si="39"/>
        <v>55.461539999999999</v>
      </c>
      <c r="D834">
        <v>0.71066666666666667</v>
      </c>
      <c r="E834">
        <f t="shared" si="40"/>
        <v>4.015689807562663</v>
      </c>
      <c r="I834" s="24">
        <f t="shared" si="41"/>
        <v>0.74773533447888085</v>
      </c>
      <c r="N834" s="30">
        <v>39601.612244897959</v>
      </c>
    </row>
    <row r="835" spans="1:14" x14ac:dyDescent="0.3">
      <c r="A835">
        <v>12.690200000000001</v>
      </c>
      <c r="B835">
        <v>56.153799999999997</v>
      </c>
      <c r="C835">
        <f t="shared" si="39"/>
        <v>56.04616</v>
      </c>
      <c r="D835">
        <v>0.71072727272727276</v>
      </c>
      <c r="E835">
        <f t="shared" si="40"/>
        <v>4.0261756369125363</v>
      </c>
      <c r="I835" s="24">
        <f t="shared" si="41"/>
        <v>0.75813042405387088</v>
      </c>
      <c r="N835" s="30">
        <v>39599.122448979593</v>
      </c>
    </row>
    <row r="836" spans="1:14" x14ac:dyDescent="0.3">
      <c r="A836">
        <v>12.705399999999999</v>
      </c>
      <c r="B836">
        <v>56.615400000000001</v>
      </c>
      <c r="C836">
        <f t="shared" si="39"/>
        <v>56.653840000000002</v>
      </c>
      <c r="D836">
        <v>0.71078787878787875</v>
      </c>
      <c r="E836">
        <f t="shared" si="40"/>
        <v>4.0369597698192825</v>
      </c>
      <c r="I836" s="24">
        <f t="shared" si="41"/>
        <v>0.76897386547203694</v>
      </c>
      <c r="N836" s="30">
        <v>39596.63265306122</v>
      </c>
    </row>
    <row r="837" spans="1:14" x14ac:dyDescent="0.3">
      <c r="A837">
        <v>12.720700000000001</v>
      </c>
      <c r="B837">
        <v>57.384599999999999</v>
      </c>
      <c r="C837">
        <f t="shared" si="39"/>
        <v>57.161519999999996</v>
      </c>
      <c r="D837">
        <v>0.71084848484848484</v>
      </c>
      <c r="E837">
        <f t="shared" si="40"/>
        <v>4.0458809447304986</v>
      </c>
      <c r="I837" s="24">
        <f t="shared" si="41"/>
        <v>0.77804977009252108</v>
      </c>
      <c r="N837" s="30">
        <v>39594.142857142855</v>
      </c>
    </row>
    <row r="838" spans="1:14" x14ac:dyDescent="0.3">
      <c r="A838">
        <v>12.735900000000001</v>
      </c>
      <c r="B838">
        <v>57.884599999999999</v>
      </c>
      <c r="C838">
        <f t="shared" si="39"/>
        <v>57.461519999999993</v>
      </c>
      <c r="D838">
        <v>0.71090909090909082</v>
      </c>
      <c r="E838">
        <f t="shared" si="40"/>
        <v>4.051115506386088</v>
      </c>
      <c r="I838" s="24">
        <f t="shared" si="41"/>
        <v>0.78339730894504578</v>
      </c>
      <c r="N838" s="30">
        <v>39591.65306122449</v>
      </c>
    </row>
    <row r="839" spans="1:14" x14ac:dyDescent="0.3">
      <c r="A839">
        <v>12.751099999999999</v>
      </c>
      <c r="B839">
        <v>57.769199999999998</v>
      </c>
      <c r="C839">
        <f t="shared" si="39"/>
        <v>57.599979999999995</v>
      </c>
      <c r="D839">
        <v>0.71096969696969692</v>
      </c>
      <c r="E839">
        <f t="shared" si="40"/>
        <v>4.0535222204795627</v>
      </c>
      <c r="I839" s="24">
        <f t="shared" si="41"/>
        <v>0.78583209742452464</v>
      </c>
      <c r="N839" s="30">
        <v>39589.163265306117</v>
      </c>
    </row>
    <row r="840" spans="1:14" x14ac:dyDescent="0.3">
      <c r="A840">
        <v>12.766400000000001</v>
      </c>
      <c r="B840">
        <v>57.653799999999997</v>
      </c>
      <c r="C840">
        <f t="shared" si="39"/>
        <v>57.623059999999995</v>
      </c>
      <c r="D840">
        <v>0.71103030303030301</v>
      </c>
      <c r="E840">
        <f t="shared" si="40"/>
        <v>4.0539228348065013</v>
      </c>
      <c r="I840" s="24">
        <f t="shared" si="41"/>
        <v>0.78618225832563238</v>
      </c>
      <c r="N840" s="30">
        <v>39586.673469387752</v>
      </c>
    </row>
    <row r="841" spans="1:14" x14ac:dyDescent="0.3">
      <c r="A841">
        <v>12.781599999999999</v>
      </c>
      <c r="B841">
        <v>57.307699999999997</v>
      </c>
      <c r="C841">
        <f t="shared" si="39"/>
        <v>57.369220000000006</v>
      </c>
      <c r="D841">
        <v>0.711090909090909</v>
      </c>
      <c r="E841">
        <f t="shared" si="40"/>
        <v>4.0495079225652795</v>
      </c>
      <c r="I841" s="24">
        <f t="shared" si="41"/>
        <v>0.78153078189481406</v>
      </c>
      <c r="N841" s="30">
        <v>39584.183673469386</v>
      </c>
    </row>
    <row r="842" spans="1:14" x14ac:dyDescent="0.3">
      <c r="A842">
        <v>12.796799999999999</v>
      </c>
      <c r="B842">
        <v>57.5</v>
      </c>
      <c r="C842">
        <f t="shared" si="39"/>
        <v>57.046140000000001</v>
      </c>
      <c r="D842">
        <v>0.71115151515151509</v>
      </c>
      <c r="E842">
        <f t="shared" si="40"/>
        <v>4.0438604140716325</v>
      </c>
      <c r="I842" s="24">
        <f t="shared" si="41"/>
        <v>0.77563922201639435</v>
      </c>
      <c r="N842" s="30">
        <v>39581.693877551021</v>
      </c>
    </row>
    <row r="843" spans="1:14" x14ac:dyDescent="0.3">
      <c r="A843">
        <v>12.812099999999999</v>
      </c>
      <c r="B843">
        <v>56.615400000000001</v>
      </c>
      <c r="C843">
        <f t="shared" si="39"/>
        <v>56.592300000000002</v>
      </c>
      <c r="D843">
        <v>0.71121212121212118</v>
      </c>
      <c r="E843">
        <f t="shared" si="40"/>
        <v>4.035872933551703</v>
      </c>
      <c r="I843" s="24">
        <f t="shared" si="41"/>
        <v>0.76740942464110518</v>
      </c>
      <c r="N843" s="30">
        <v>39579.204081632648</v>
      </c>
    </row>
    <row r="844" spans="1:14" x14ac:dyDescent="0.3">
      <c r="A844">
        <v>12.827299999999999</v>
      </c>
      <c r="B844">
        <v>56.153799999999997</v>
      </c>
      <c r="C844">
        <f t="shared" si="39"/>
        <v>56.038460000000001</v>
      </c>
      <c r="D844">
        <v>0.71127272727272728</v>
      </c>
      <c r="E844">
        <f t="shared" si="40"/>
        <v>4.0260382407200508</v>
      </c>
      <c r="I844" s="24">
        <f t="shared" si="41"/>
        <v>0.75741115728971098</v>
      </c>
      <c r="N844" s="30">
        <v>39576.714285714283</v>
      </c>
    </row>
    <row r="845" spans="1:14" x14ac:dyDescent="0.3">
      <c r="A845">
        <v>12.842499999999999</v>
      </c>
      <c r="B845">
        <v>55.384599999999999</v>
      </c>
      <c r="C845">
        <f t="shared" si="39"/>
        <v>55.3</v>
      </c>
      <c r="D845">
        <v>0.71133333333333337</v>
      </c>
      <c r="E845">
        <f t="shared" si="40"/>
        <v>4.0127729085282891</v>
      </c>
      <c r="I845" s="24">
        <f t="shared" si="41"/>
        <v>0.74415335063154187</v>
      </c>
      <c r="N845" s="30">
        <v>39574.224489795917</v>
      </c>
    </row>
    <row r="846" spans="1:14" x14ac:dyDescent="0.3">
      <c r="A846">
        <v>12.857799999999999</v>
      </c>
      <c r="B846">
        <v>54.538499999999999</v>
      </c>
      <c r="C846">
        <f t="shared" si="39"/>
        <v>54.607679999999995</v>
      </c>
      <c r="D846">
        <v>0.71139393939393936</v>
      </c>
      <c r="E846">
        <f t="shared" si="40"/>
        <v>4.0001745321999209</v>
      </c>
      <c r="I846" s="24">
        <f t="shared" si="41"/>
        <v>0.73177391287159421</v>
      </c>
      <c r="N846" s="30">
        <v>39571.734693877552</v>
      </c>
    </row>
    <row r="847" spans="1:14" x14ac:dyDescent="0.3">
      <c r="A847">
        <v>12.872999999999999</v>
      </c>
      <c r="B847">
        <v>53.807699999999997</v>
      </c>
      <c r="C847">
        <f t="shared" si="39"/>
        <v>53.884619999999998</v>
      </c>
      <c r="D847">
        <v>0.71145454545454545</v>
      </c>
      <c r="E847">
        <f t="shared" si="40"/>
        <v>3.986845093968626</v>
      </c>
      <c r="I847" s="24">
        <f t="shared" si="41"/>
        <v>0.71890381631766331</v>
      </c>
      <c r="N847" s="30">
        <v>39569.244897959179</v>
      </c>
    </row>
    <row r="848" spans="1:14" x14ac:dyDescent="0.3">
      <c r="A848">
        <v>12.888199999999999</v>
      </c>
      <c r="B848">
        <v>53.153799999999997</v>
      </c>
      <c r="C848">
        <f t="shared" si="39"/>
        <v>53.261540000000004</v>
      </c>
      <c r="D848">
        <v>0.71151515151515154</v>
      </c>
      <c r="E848">
        <f t="shared" si="40"/>
        <v>3.9752144947255545</v>
      </c>
      <c r="I848" s="24">
        <f t="shared" si="41"/>
        <v>0.70785139255887164</v>
      </c>
      <c r="N848" s="30">
        <v>39566.755102040814</v>
      </c>
    </row>
    <row r="849" spans="1:14" x14ac:dyDescent="0.3">
      <c r="A849">
        <v>12.903499999999999</v>
      </c>
      <c r="B849">
        <v>52.538499999999999</v>
      </c>
      <c r="C849">
        <f t="shared" si="39"/>
        <v>52.576920000000008</v>
      </c>
      <c r="D849">
        <v>0.71157575757575753</v>
      </c>
      <c r="E849">
        <f t="shared" si="40"/>
        <v>3.9622772401801543</v>
      </c>
      <c r="I849" s="24">
        <f t="shared" si="41"/>
        <v>0.69576344457369432</v>
      </c>
      <c r="N849" s="30">
        <v>39564.265306122448</v>
      </c>
    </row>
    <row r="850" spans="1:14" x14ac:dyDescent="0.3">
      <c r="A850">
        <v>12.918699999999999</v>
      </c>
      <c r="B850">
        <v>52.269199999999998</v>
      </c>
      <c r="C850">
        <f t="shared" si="39"/>
        <v>51.984619999999993</v>
      </c>
      <c r="D850">
        <v>0.71163636363636362</v>
      </c>
      <c r="E850">
        <f t="shared" si="40"/>
        <v>3.9509479056023125</v>
      </c>
      <c r="I850" s="24">
        <f t="shared" si="41"/>
        <v>0.68534026601328424</v>
      </c>
      <c r="N850" s="30">
        <v>39561.775510204083</v>
      </c>
    </row>
    <row r="851" spans="1:14" x14ac:dyDescent="0.3">
      <c r="A851">
        <v>12.9339</v>
      </c>
      <c r="B851">
        <v>51.115400000000001</v>
      </c>
      <c r="C851">
        <f t="shared" si="39"/>
        <v>51.446160000000006</v>
      </c>
      <c r="D851">
        <v>0.71169696969696972</v>
      </c>
      <c r="E851">
        <f t="shared" si="40"/>
        <v>3.9405358239261732</v>
      </c>
      <c r="I851" s="24">
        <f t="shared" si="41"/>
        <v>0.67589407304679683</v>
      </c>
      <c r="N851" s="30">
        <v>39559.28571428571</v>
      </c>
    </row>
    <row r="852" spans="1:14" x14ac:dyDescent="0.3">
      <c r="A852">
        <v>12.949199999999999</v>
      </c>
      <c r="B852">
        <v>50.846200000000003</v>
      </c>
      <c r="C852">
        <f t="shared" si="39"/>
        <v>50.930760000000006</v>
      </c>
      <c r="D852">
        <v>0.7117575757575757</v>
      </c>
      <c r="E852">
        <f t="shared" si="40"/>
        <v>3.9304670632277432</v>
      </c>
      <c r="I852" s="24">
        <f t="shared" si="41"/>
        <v>0.66688133358863344</v>
      </c>
      <c r="N852" s="30">
        <v>39556.795918367345</v>
      </c>
    </row>
    <row r="853" spans="1:14" x14ac:dyDescent="0.3">
      <c r="A853">
        <v>12.964399999999999</v>
      </c>
      <c r="B853">
        <v>50.461500000000001</v>
      </c>
      <c r="C853">
        <f t="shared" si="39"/>
        <v>50.438459999999999</v>
      </c>
      <c r="D853">
        <v>0.71181818181818179</v>
      </c>
      <c r="E853">
        <f t="shared" si="40"/>
        <v>3.9207539793062827</v>
      </c>
      <c r="I853" s="24">
        <f t="shared" si="41"/>
        <v>0.65829889743678505</v>
      </c>
      <c r="N853" s="30">
        <v>39554.306122448979</v>
      </c>
    </row>
    <row r="854" spans="1:14" x14ac:dyDescent="0.3">
      <c r="A854">
        <v>12.9796</v>
      </c>
      <c r="B854">
        <v>49.961500000000001</v>
      </c>
      <c r="C854">
        <f t="shared" si="39"/>
        <v>50.130760000000002</v>
      </c>
      <c r="D854">
        <v>0.71187878787878778</v>
      </c>
      <c r="E854">
        <f t="shared" si="40"/>
        <v>3.9146347917429773</v>
      </c>
      <c r="I854" s="24">
        <f t="shared" si="41"/>
        <v>0.65292824685536466</v>
      </c>
      <c r="N854" s="30">
        <v>39551.816326530614</v>
      </c>
    </row>
    <row r="855" spans="1:14" x14ac:dyDescent="0.3">
      <c r="A855">
        <v>12.994899999999999</v>
      </c>
      <c r="B855">
        <v>49.807699999999997</v>
      </c>
      <c r="C855">
        <f t="shared" si="39"/>
        <v>49.91536</v>
      </c>
      <c r="D855">
        <v>0.71193939393939387</v>
      </c>
      <c r="E855">
        <f t="shared" si="40"/>
        <v>3.9103287710232237</v>
      </c>
      <c r="I855" s="24">
        <f t="shared" si="41"/>
        <v>0.64915887922370086</v>
      </c>
      <c r="N855" s="30">
        <v>39549.326530612241</v>
      </c>
    </row>
    <row r="856" spans="1:14" x14ac:dyDescent="0.3">
      <c r="A856">
        <v>13.0101</v>
      </c>
      <c r="B856">
        <v>49.576900000000002</v>
      </c>
      <c r="C856">
        <f t="shared" si="39"/>
        <v>49.769219999999997</v>
      </c>
      <c r="D856" s="8">
        <v>0.71199999999999997</v>
      </c>
      <c r="E856">
        <f t="shared" si="40"/>
        <v>3.9073967206560329</v>
      </c>
      <c r="I856" s="24">
        <f t="shared" si="41"/>
        <v>0.64658714755050428</v>
      </c>
      <c r="N856" s="30">
        <v>39546.836734693876</v>
      </c>
    </row>
    <row r="857" spans="1:14" x14ac:dyDescent="0.3">
      <c r="A857">
        <v>13.0253</v>
      </c>
      <c r="B857">
        <v>49.769199999999998</v>
      </c>
      <c r="C857">
        <f t="shared" si="39"/>
        <v>49.853839999999998</v>
      </c>
      <c r="D857">
        <v>0.71207692307692305</v>
      </c>
      <c r="E857">
        <f t="shared" si="40"/>
        <v>3.909095524534385</v>
      </c>
      <c r="I857" s="24">
        <f t="shared" si="41"/>
        <v>0.64797397357337538</v>
      </c>
      <c r="N857" s="30">
        <v>39544.34693877551</v>
      </c>
    </row>
    <row r="858" spans="1:14" x14ac:dyDescent="0.3">
      <c r="A858">
        <v>13.0406</v>
      </c>
      <c r="B858">
        <v>49.730800000000002</v>
      </c>
      <c r="C858">
        <f t="shared" si="39"/>
        <v>49.815380000000005</v>
      </c>
      <c r="D858">
        <v>0.71215384615384614</v>
      </c>
      <c r="E858">
        <f t="shared" si="40"/>
        <v>3.9083237716921553</v>
      </c>
      <c r="I858" s="24">
        <f t="shared" si="41"/>
        <v>0.64724189258822473</v>
      </c>
      <c r="N858" s="30">
        <v>39541.857142857138</v>
      </c>
    </row>
    <row r="859" spans="1:14" x14ac:dyDescent="0.3">
      <c r="A859">
        <v>13.0558</v>
      </c>
      <c r="B859">
        <v>50.384599999999999</v>
      </c>
      <c r="C859">
        <f t="shared" si="39"/>
        <v>49.669240000000002</v>
      </c>
      <c r="D859">
        <v>0.71223076923076922</v>
      </c>
      <c r="E859">
        <f t="shared" si="40"/>
        <v>3.905385828015687</v>
      </c>
      <c r="I859" s="24">
        <f t="shared" si="41"/>
        <v>0.64465796929081787</v>
      </c>
      <c r="N859" s="30">
        <v>39539.367346938772</v>
      </c>
    </row>
    <row r="860" spans="1:14" x14ac:dyDescent="0.3">
      <c r="A860">
        <v>13.071</v>
      </c>
      <c r="B860">
        <v>49.615400000000001</v>
      </c>
      <c r="C860">
        <f t="shared" si="39"/>
        <v>49.446159999999999</v>
      </c>
      <c r="D860">
        <v>0.71230769230769231</v>
      </c>
      <c r="E860">
        <f t="shared" si="40"/>
        <v>3.9008844008573202</v>
      </c>
      <c r="I860" s="24">
        <f t="shared" si="41"/>
        <v>0.64075579422751849</v>
      </c>
      <c r="N860" s="30">
        <v>39536.877551020407</v>
      </c>
    </row>
    <row r="861" spans="1:14" x14ac:dyDescent="0.3">
      <c r="A861">
        <v>13.0863</v>
      </c>
      <c r="B861">
        <v>48.846200000000003</v>
      </c>
      <c r="C861">
        <f t="shared" si="39"/>
        <v>49.207700000000003</v>
      </c>
      <c r="D861">
        <v>0.71238461538461528</v>
      </c>
      <c r="E861">
        <f t="shared" si="40"/>
        <v>3.8960501153178195</v>
      </c>
      <c r="I861" s="24">
        <f t="shared" si="41"/>
        <v>0.6365964644772234</v>
      </c>
      <c r="N861" s="30">
        <v>39534.387755102041</v>
      </c>
    </row>
    <row r="862" spans="1:14" x14ac:dyDescent="0.3">
      <c r="A862">
        <v>13.1015</v>
      </c>
      <c r="B862">
        <v>48.653799999999997</v>
      </c>
      <c r="C862">
        <f t="shared" si="39"/>
        <v>48.846159999999998</v>
      </c>
      <c r="D862">
        <v>0.71246153846153848</v>
      </c>
      <c r="E862">
        <f t="shared" si="40"/>
        <v>3.8886757674153989</v>
      </c>
      <c r="I862" s="24">
        <f t="shared" si="41"/>
        <v>0.63033942938706566</v>
      </c>
      <c r="N862" s="30">
        <v>39531.897959183669</v>
      </c>
    </row>
    <row r="863" spans="1:14" x14ac:dyDescent="0.3">
      <c r="A863">
        <v>13.1167</v>
      </c>
      <c r="B863">
        <v>48.538499999999999</v>
      </c>
      <c r="C863">
        <f t="shared" si="39"/>
        <v>48.561540000000001</v>
      </c>
      <c r="D863">
        <v>0.71253846153846145</v>
      </c>
      <c r="E863">
        <f t="shared" si="40"/>
        <v>3.8828318595927018</v>
      </c>
      <c r="I863" s="24">
        <f t="shared" si="41"/>
        <v>0.62541065364324955</v>
      </c>
      <c r="N863" s="30">
        <v>39529.408163265303</v>
      </c>
    </row>
    <row r="864" spans="1:14" x14ac:dyDescent="0.3">
      <c r="A864">
        <v>13.132</v>
      </c>
      <c r="B864">
        <v>48.576900000000002</v>
      </c>
      <c r="C864">
        <f t="shared" si="39"/>
        <v>48.376919999999998</v>
      </c>
      <c r="D864">
        <v>0.71261538461538465</v>
      </c>
      <c r="E864">
        <f t="shared" si="40"/>
        <v>3.8790228404848022</v>
      </c>
      <c r="I864" s="24">
        <f t="shared" si="41"/>
        <v>0.62219549296693477</v>
      </c>
      <c r="N864" s="30">
        <v>39526.918367346938</v>
      </c>
    </row>
    <row r="865" spans="1:18" x14ac:dyDescent="0.3">
      <c r="A865">
        <v>13.1472</v>
      </c>
      <c r="B865">
        <v>48.192300000000003</v>
      </c>
      <c r="C865">
        <f t="shared" si="39"/>
        <v>47.946160000000006</v>
      </c>
      <c r="D865">
        <v>0.71269230769230763</v>
      </c>
      <c r="E865">
        <f t="shared" si="40"/>
        <v>3.8700787147023696</v>
      </c>
      <c r="I865" s="24">
        <f t="shared" si="41"/>
        <v>0.6148001305373676</v>
      </c>
      <c r="N865" s="30">
        <v>39524.428571428572</v>
      </c>
    </row>
    <row r="866" spans="1:18" x14ac:dyDescent="0.3">
      <c r="A866">
        <v>13.1625</v>
      </c>
      <c r="B866">
        <v>47.923099999999998</v>
      </c>
      <c r="C866">
        <f t="shared" si="39"/>
        <v>47.415380000000006</v>
      </c>
      <c r="D866">
        <v>0.71276923076923071</v>
      </c>
      <c r="E866">
        <f t="shared" si="40"/>
        <v>3.8589466486450292</v>
      </c>
      <c r="I866" s="24">
        <f t="shared" si="41"/>
        <v>0.60573435726722624</v>
      </c>
      <c r="N866" s="30">
        <v>39521.9387755102</v>
      </c>
    </row>
    <row r="867" spans="1:18" x14ac:dyDescent="0.3">
      <c r="A867">
        <v>13.1777</v>
      </c>
      <c r="B867">
        <v>46.5</v>
      </c>
      <c r="C867">
        <f t="shared" si="39"/>
        <v>46.776920000000004</v>
      </c>
      <c r="D867">
        <v>0.7128461538461538</v>
      </c>
      <c r="E867">
        <f t="shared" si="40"/>
        <v>3.8453899188858705</v>
      </c>
      <c r="I867" s="24">
        <f t="shared" si="41"/>
        <v>0.5948883045181258</v>
      </c>
      <c r="N867" s="30">
        <v>39519.448979591834</v>
      </c>
    </row>
    <row r="868" spans="1:18" x14ac:dyDescent="0.3">
      <c r="A868">
        <v>13.1929</v>
      </c>
      <c r="B868">
        <v>45.884599999999999</v>
      </c>
      <c r="C868">
        <f t="shared" si="39"/>
        <v>46.107700000000008</v>
      </c>
      <c r="D868">
        <v>0.71292307692307688</v>
      </c>
      <c r="E868">
        <f t="shared" si="40"/>
        <v>3.8309799642545124</v>
      </c>
      <c r="I868" s="24">
        <f t="shared" si="41"/>
        <v>0.58357644399516684</v>
      </c>
      <c r="N868" s="30">
        <v>39516.959183673469</v>
      </c>
    </row>
    <row r="869" spans="1:18" x14ac:dyDescent="0.3">
      <c r="A869">
        <v>13.2082</v>
      </c>
      <c r="B869">
        <v>45.384599999999999</v>
      </c>
      <c r="C869">
        <f t="shared" si="39"/>
        <v>45.423080000000006</v>
      </c>
      <c r="D869">
        <v>0.71299999999999997</v>
      </c>
      <c r="E869">
        <f t="shared" si="40"/>
        <v>3.8160203459150823</v>
      </c>
      <c r="I869" s="24">
        <f t="shared" si="41"/>
        <v>0.57206296149363389</v>
      </c>
      <c r="N869" s="30">
        <v>39514.469387755104</v>
      </c>
    </row>
    <row r="870" spans="1:18" x14ac:dyDescent="0.3">
      <c r="A870">
        <v>13.2234</v>
      </c>
      <c r="B870">
        <v>44.846200000000003</v>
      </c>
      <c r="C870">
        <f t="shared" si="39"/>
        <v>44.992319999999999</v>
      </c>
      <c r="D870">
        <v>0.71307692307692305</v>
      </c>
      <c r="E870">
        <f t="shared" si="40"/>
        <v>3.8064918085384405</v>
      </c>
      <c r="I870" s="24">
        <f t="shared" si="41"/>
        <v>0.56482602922923819</v>
      </c>
      <c r="N870" s="30">
        <v>39511.979591836731</v>
      </c>
    </row>
    <row r="871" spans="1:18" x14ac:dyDescent="0.3">
      <c r="A871">
        <v>13.2386</v>
      </c>
      <c r="B871">
        <v>44.5</v>
      </c>
      <c r="C871">
        <f t="shared" si="39"/>
        <v>44.653859999999995</v>
      </c>
      <c r="D871">
        <v>0.71315384615384603</v>
      </c>
      <c r="E871">
        <f t="shared" si="40"/>
        <v>3.7989407537538806</v>
      </c>
      <c r="I871" s="24">
        <f t="shared" si="41"/>
        <v>0.55914356475903337</v>
      </c>
      <c r="N871" s="30">
        <v>39509.489795918365</v>
      </c>
    </row>
    <row r="872" spans="1:18" x14ac:dyDescent="0.3">
      <c r="A872">
        <v>13.2539</v>
      </c>
      <c r="B872">
        <v>44.346200000000003</v>
      </c>
      <c r="C872">
        <f t="shared" si="39"/>
        <v>44.407699999999998</v>
      </c>
      <c r="D872">
        <v>0.71323076923076922</v>
      </c>
      <c r="E872">
        <f t="shared" si="40"/>
        <v>3.793412877825499</v>
      </c>
      <c r="I872" s="25">
        <f t="shared" si="41"/>
        <v>0.55500386461626661</v>
      </c>
      <c r="N872" s="30">
        <v>39507</v>
      </c>
    </row>
    <row r="873" spans="1:18" x14ac:dyDescent="0.3">
      <c r="A873">
        <v>13.2691</v>
      </c>
      <c r="B873">
        <v>44.192300000000003</v>
      </c>
      <c r="C873">
        <f t="shared" si="39"/>
        <v>44.576919999999994</v>
      </c>
      <c r="D873">
        <v>0.7133076923076922</v>
      </c>
      <c r="E873">
        <f t="shared" si="40"/>
        <v>3.7972162362932456</v>
      </c>
      <c r="I873" s="24">
        <f t="shared" si="41"/>
        <v>0.55774725989227114</v>
      </c>
      <c r="N873" s="30">
        <v>39499.606060606056</v>
      </c>
    </row>
    <row r="874" spans="1:18" x14ac:dyDescent="0.3">
      <c r="A874">
        <v>13.2843</v>
      </c>
      <c r="B874">
        <v>44.153799999999997</v>
      </c>
      <c r="C874">
        <f t="shared" si="39"/>
        <v>44.82307999999999</v>
      </c>
      <c r="D874">
        <v>0.71338461538461539</v>
      </c>
      <c r="E874">
        <f t="shared" si="40"/>
        <v>3.8027231853334476</v>
      </c>
      <c r="I874" s="24">
        <f t="shared" si="41"/>
        <v>0.56177066232246353</v>
      </c>
      <c r="N874" s="30">
        <v>39492.21212121212</v>
      </c>
    </row>
    <row r="875" spans="1:18" x14ac:dyDescent="0.3">
      <c r="A875">
        <v>13.2996</v>
      </c>
      <c r="B875">
        <v>45.692300000000003</v>
      </c>
      <c r="C875">
        <f t="shared" si="39"/>
        <v>45.092300000000002</v>
      </c>
      <c r="D875">
        <v>0.71346153846153837</v>
      </c>
      <c r="E875">
        <f t="shared" si="40"/>
        <v>3.8087115002249985</v>
      </c>
      <c r="I875" s="24">
        <f t="shared" si="41"/>
        <v>0.56618404290594149</v>
      </c>
      <c r="N875" s="30">
        <v>39484.818181818177</v>
      </c>
    </row>
    <row r="876" spans="1:18" x14ac:dyDescent="0.3">
      <c r="A876">
        <v>13.3148</v>
      </c>
      <c r="B876">
        <v>45.730800000000002</v>
      </c>
      <c r="C876">
        <f t="shared" si="39"/>
        <v>45.361540000000005</v>
      </c>
      <c r="D876">
        <v>0.71353846153846145</v>
      </c>
      <c r="E876">
        <f t="shared" si="40"/>
        <v>3.8146646094604715</v>
      </c>
      <c r="I876" s="24">
        <f t="shared" si="41"/>
        <v>0.57060548858758187</v>
      </c>
      <c r="N876" s="30">
        <v>39477.42424242424</v>
      </c>
    </row>
    <row r="877" spans="1:18" x14ac:dyDescent="0.3">
      <c r="A877">
        <v>13.33</v>
      </c>
      <c r="B877">
        <v>45.692300000000003</v>
      </c>
      <c r="C877">
        <f t="shared" si="39"/>
        <v>45.669240000000002</v>
      </c>
      <c r="D877">
        <v>0.71361538461538454</v>
      </c>
      <c r="E877">
        <f t="shared" si="40"/>
        <v>3.8214249859373566</v>
      </c>
      <c r="I877" s="24">
        <f t="shared" si="41"/>
        <v>0.57567680753251249</v>
      </c>
      <c r="N877" s="30">
        <v>39470.030303030297</v>
      </c>
    </row>
    <row r="878" spans="1:18" x14ac:dyDescent="0.3">
      <c r="A878">
        <v>13.3453</v>
      </c>
      <c r="B878">
        <v>45.538499999999999</v>
      </c>
      <c r="C878">
        <f t="shared" si="39"/>
        <v>45.607700000000008</v>
      </c>
      <c r="D878">
        <v>0.71369230769230763</v>
      </c>
      <c r="E878">
        <f t="shared" si="40"/>
        <v>3.8200765619142776</v>
      </c>
      <c r="I878" s="24">
        <f t="shared" si="41"/>
        <v>0.57458740423852572</v>
      </c>
      <c r="N878" s="30">
        <v>39462.63636363636</v>
      </c>
    </row>
    <row r="879" spans="1:18" x14ac:dyDescent="0.3">
      <c r="A879">
        <v>13.3605</v>
      </c>
      <c r="B879">
        <v>45.692300000000003</v>
      </c>
      <c r="C879">
        <f t="shared" si="39"/>
        <v>45.523080000000007</v>
      </c>
      <c r="D879">
        <v>0.71376923076923071</v>
      </c>
      <c r="E879">
        <f t="shared" si="40"/>
        <v>3.8182194500949724</v>
      </c>
      <c r="I879" s="24">
        <f t="shared" si="41"/>
        <v>0.57311371218103457</v>
      </c>
      <c r="N879" s="30">
        <v>39455.242424242424</v>
      </c>
    </row>
    <row r="880" spans="1:18" x14ac:dyDescent="0.3">
      <c r="A880">
        <v>13.3757</v>
      </c>
      <c r="B880">
        <v>45.384599999999999</v>
      </c>
      <c r="C880">
        <f t="shared" si="39"/>
        <v>45.446159999999999</v>
      </c>
      <c r="D880">
        <v>0.7138461538461538</v>
      </c>
      <c r="E880">
        <f t="shared" si="40"/>
        <v>3.8165283286052927</v>
      </c>
      <c r="I880" s="24">
        <f t="shared" si="41"/>
        <v>0.57176952703919537</v>
      </c>
      <c r="N880" s="30">
        <v>39447.84848484848</v>
      </c>
      <c r="O880">
        <v>2007</v>
      </c>
      <c r="P880" s="24">
        <f>AVERAGE(I880:I975)</f>
        <v>0.64346527424406053</v>
      </c>
      <c r="Q880">
        <f>A975-A880</f>
        <v>1.4473000000000003</v>
      </c>
      <c r="R880">
        <f>P880*Q880</f>
        <v>0.93128729141342892</v>
      </c>
    </row>
    <row r="881" spans="1:14" x14ac:dyDescent="0.3">
      <c r="A881">
        <v>13.391</v>
      </c>
      <c r="B881">
        <v>45.307699999999997</v>
      </c>
      <c r="C881">
        <f t="shared" si="39"/>
        <v>45.607700000000001</v>
      </c>
      <c r="D881">
        <v>0.71392307692307688</v>
      </c>
      <c r="E881">
        <f t="shared" si="40"/>
        <v>3.8200765619142776</v>
      </c>
      <c r="I881" s="24">
        <f t="shared" si="41"/>
        <v>0.57440167401411935</v>
      </c>
      <c r="N881" s="30">
        <v>39440.454545454544</v>
      </c>
    </row>
    <row r="882" spans="1:14" x14ac:dyDescent="0.3">
      <c r="A882">
        <v>13.4062</v>
      </c>
      <c r="B882">
        <v>45.307699999999997</v>
      </c>
      <c r="C882">
        <f t="shared" si="39"/>
        <v>45.876940000000005</v>
      </c>
      <c r="D882">
        <v>0.71399999999999997</v>
      </c>
      <c r="E882">
        <f t="shared" si="40"/>
        <v>3.8259625943089248</v>
      </c>
      <c r="I882" s="24">
        <f t="shared" si="41"/>
        <v>0.5788358935734903</v>
      </c>
      <c r="N882" s="30">
        <v>39433.060606060601</v>
      </c>
    </row>
    <row r="883" spans="1:14" x14ac:dyDescent="0.3">
      <c r="A883">
        <v>13.4214</v>
      </c>
      <c r="B883">
        <v>46.346200000000003</v>
      </c>
      <c r="C883">
        <f t="shared" si="39"/>
        <v>46.369260000000004</v>
      </c>
      <c r="D883">
        <v>0.71407692307692305</v>
      </c>
      <c r="E883">
        <f t="shared" si="40"/>
        <v>3.8366367396821115</v>
      </c>
      <c r="I883" s="24">
        <f t="shared" si="41"/>
        <v>0.58701618086271579</v>
      </c>
      <c r="N883" s="30">
        <v>39425.666666666664</v>
      </c>
    </row>
    <row r="884" spans="1:14" x14ac:dyDescent="0.3">
      <c r="A884">
        <v>13.4367</v>
      </c>
      <c r="B884">
        <v>47.038499999999999</v>
      </c>
      <c r="C884">
        <f t="shared" si="39"/>
        <v>47.09234</v>
      </c>
      <c r="D884">
        <v>0.71415384615384614</v>
      </c>
      <c r="E884">
        <f t="shared" si="40"/>
        <v>3.8521103550998506</v>
      </c>
      <c r="I884" s="24">
        <f t="shared" si="41"/>
        <v>0.59910933610157402</v>
      </c>
      <c r="N884" s="30">
        <v>39418.272727272721</v>
      </c>
    </row>
    <row r="885" spans="1:14" x14ac:dyDescent="0.3">
      <c r="A885">
        <v>13.4519</v>
      </c>
      <c r="B885">
        <v>47.846200000000003</v>
      </c>
      <c r="C885">
        <f t="shared" si="39"/>
        <v>48.115420000000007</v>
      </c>
      <c r="D885">
        <v>0.71423076923076922</v>
      </c>
      <c r="E885">
        <f t="shared" si="40"/>
        <v>3.8736027078568296</v>
      </c>
      <c r="I885" s="24">
        <f t="shared" si="41"/>
        <v>0.61634660457141222</v>
      </c>
      <c r="N885" s="30">
        <v>39410.878787878784</v>
      </c>
    </row>
    <row r="886" spans="1:14" x14ac:dyDescent="0.3">
      <c r="A886">
        <v>13.4671</v>
      </c>
      <c r="B886">
        <v>48.923099999999998</v>
      </c>
      <c r="C886">
        <f t="shared" si="39"/>
        <v>49.230800000000002</v>
      </c>
      <c r="D886">
        <v>0.7143076923076922</v>
      </c>
      <c r="E886">
        <f t="shared" si="40"/>
        <v>3.8965194438919855</v>
      </c>
      <c r="I886" s="24">
        <f t="shared" si="41"/>
        <v>0.63527747513064525</v>
      </c>
      <c r="N886" s="30">
        <v>39403.484848484848</v>
      </c>
    </row>
    <row r="887" spans="1:14" x14ac:dyDescent="0.3">
      <c r="A887">
        <v>13.4824</v>
      </c>
      <c r="B887">
        <v>50.423099999999998</v>
      </c>
      <c r="C887">
        <f t="shared" si="39"/>
        <v>50.376940000000005</v>
      </c>
      <c r="D887">
        <v>0.7143846153846154</v>
      </c>
      <c r="E887">
        <f t="shared" si="40"/>
        <v>3.9195335306915644</v>
      </c>
      <c r="I887" s="24">
        <f t="shared" si="41"/>
        <v>0.65487426223585798</v>
      </c>
      <c r="N887" s="30">
        <v>39396.090909090904</v>
      </c>
    </row>
    <row r="888" spans="1:14" x14ac:dyDescent="0.3">
      <c r="A888">
        <v>13.4976</v>
      </c>
      <c r="B888">
        <v>51.923099999999998</v>
      </c>
      <c r="C888">
        <f t="shared" si="39"/>
        <v>51.384619999999998</v>
      </c>
      <c r="D888">
        <v>0.71446153846153837</v>
      </c>
      <c r="E888">
        <f t="shared" si="40"/>
        <v>3.9393389058954642</v>
      </c>
      <c r="I888" s="24">
        <f t="shared" si="41"/>
        <v>0.67221198229542678</v>
      </c>
      <c r="N888" s="30">
        <v>39388.696969696968</v>
      </c>
    </row>
    <row r="889" spans="1:14" x14ac:dyDescent="0.3">
      <c r="A889">
        <v>13.5128</v>
      </c>
      <c r="B889">
        <v>52.769199999999998</v>
      </c>
      <c r="C889">
        <f t="shared" si="39"/>
        <v>52.269240000000003</v>
      </c>
      <c r="D889">
        <v>0.71453846153846157</v>
      </c>
      <c r="E889">
        <f t="shared" si="40"/>
        <v>3.9564080527300876</v>
      </c>
      <c r="I889" s="24">
        <f t="shared" si="41"/>
        <v>0.68751200165453685</v>
      </c>
      <c r="N889" s="30">
        <v>39381.303030303025</v>
      </c>
    </row>
    <row r="890" spans="1:14" x14ac:dyDescent="0.3">
      <c r="A890">
        <v>13.5281</v>
      </c>
      <c r="B890">
        <v>52.884599999999999</v>
      </c>
      <c r="C890">
        <f t="shared" ref="C890:C953" si="42">AVERAGE(B888:B892)</f>
        <v>52.861540000000005</v>
      </c>
      <c r="D890">
        <v>0.71461538461538454</v>
      </c>
      <c r="E890">
        <f t="shared" ref="E890:E953" si="43">LN(C890)</f>
        <v>3.9676760423121173</v>
      </c>
      <c r="I890" s="24">
        <f t="shared" ref="I890:I953" si="44">(0.0026*(EXP(1.3248*E890)))/D890</f>
        <v>0.69777693234535731</v>
      </c>
      <c r="N890" s="30">
        <v>39373.909090909088</v>
      </c>
    </row>
    <row r="891" spans="1:14" x14ac:dyDescent="0.3">
      <c r="A891">
        <v>13.5433</v>
      </c>
      <c r="B891">
        <v>53.346200000000003</v>
      </c>
      <c r="C891">
        <f t="shared" si="42"/>
        <v>53.130759999999995</v>
      </c>
      <c r="D891">
        <v>0.71469230769230763</v>
      </c>
      <c r="E891">
        <f t="shared" si="43"/>
        <v>3.9727560448965864</v>
      </c>
      <c r="I891" s="24">
        <f t="shared" si="44"/>
        <v>0.70241319034446148</v>
      </c>
      <c r="N891" s="30">
        <v>39366.515151515152</v>
      </c>
    </row>
    <row r="892" spans="1:14" x14ac:dyDescent="0.3">
      <c r="A892">
        <v>13.5585</v>
      </c>
      <c r="B892">
        <v>53.384599999999999</v>
      </c>
      <c r="C892">
        <f t="shared" si="42"/>
        <v>53.269219999999997</v>
      </c>
      <c r="D892">
        <v>0.71476923076923071</v>
      </c>
      <c r="E892">
        <f t="shared" si="43"/>
        <v>3.9753586784338713</v>
      </c>
      <c r="I892" s="24">
        <f t="shared" si="44"/>
        <v>0.70476341488590599</v>
      </c>
      <c r="N892" s="30">
        <v>39359.121212121208</v>
      </c>
    </row>
    <row r="893" spans="1:14" x14ac:dyDescent="0.3">
      <c r="A893">
        <v>13.5738</v>
      </c>
      <c r="B893">
        <v>53.269199999999998</v>
      </c>
      <c r="C893">
        <f t="shared" si="42"/>
        <v>53.5</v>
      </c>
      <c r="D893">
        <v>0.7148461538461538</v>
      </c>
      <c r="E893">
        <f t="shared" si="43"/>
        <v>3.9796816539019608</v>
      </c>
      <c r="I893" s="24">
        <f t="shared" si="44"/>
        <v>0.70873495620460891</v>
      </c>
      <c r="N893" s="30">
        <v>39351.727272727272</v>
      </c>
    </row>
    <row r="894" spans="1:14" x14ac:dyDescent="0.3">
      <c r="A894">
        <v>13.589</v>
      </c>
      <c r="B894">
        <v>53.461500000000001</v>
      </c>
      <c r="C894">
        <f t="shared" si="42"/>
        <v>53.838459999999998</v>
      </c>
      <c r="D894">
        <v>0.71492307692307688</v>
      </c>
      <c r="E894">
        <f t="shared" si="43"/>
        <v>3.9859880816584461</v>
      </c>
      <c r="I894" s="24">
        <f t="shared" si="44"/>
        <v>0.71460417100230544</v>
      </c>
      <c r="N894" s="30">
        <v>39344.333333333328</v>
      </c>
    </row>
    <row r="895" spans="1:14" x14ac:dyDescent="0.3">
      <c r="A895">
        <v>13.604200000000001</v>
      </c>
      <c r="B895">
        <v>54.038499999999999</v>
      </c>
      <c r="C895">
        <f t="shared" si="42"/>
        <v>54.261540000000004</v>
      </c>
      <c r="D895">
        <v>0.71499999999999997</v>
      </c>
      <c r="E895">
        <f t="shared" si="43"/>
        <v>3.9938156886931222</v>
      </c>
      <c r="I895" s="24">
        <f t="shared" si="44"/>
        <v>0.72197550064771898</v>
      </c>
      <c r="N895" s="30">
        <v>39336.939393939392</v>
      </c>
    </row>
    <row r="896" spans="1:14" x14ac:dyDescent="0.3">
      <c r="A896">
        <v>13.6195</v>
      </c>
      <c r="B896">
        <v>55.038499999999999</v>
      </c>
      <c r="C896">
        <f t="shared" si="42"/>
        <v>54.684619999999995</v>
      </c>
      <c r="D896">
        <v>0.71507692307692294</v>
      </c>
      <c r="E896">
        <f t="shared" si="43"/>
        <v>4.0015824998739529</v>
      </c>
      <c r="I896" s="24">
        <f t="shared" si="44"/>
        <v>0.72936412887180946</v>
      </c>
      <c r="N896" s="30">
        <v>39329.545454545449</v>
      </c>
    </row>
    <row r="897" spans="1:14" x14ac:dyDescent="0.3">
      <c r="A897">
        <v>13.6347</v>
      </c>
      <c r="B897">
        <v>55.5</v>
      </c>
      <c r="C897">
        <f t="shared" si="42"/>
        <v>55.123080000000002</v>
      </c>
      <c r="D897">
        <v>0.71515384615384614</v>
      </c>
      <c r="E897">
        <f t="shared" si="43"/>
        <v>4.0095685032284614</v>
      </c>
      <c r="I897" s="24">
        <f t="shared" si="44"/>
        <v>0.73704237569869957</v>
      </c>
      <c r="N897" s="30">
        <v>39322.151515151512</v>
      </c>
    </row>
    <row r="898" spans="1:14" x14ac:dyDescent="0.3">
      <c r="A898">
        <v>13.649900000000001</v>
      </c>
      <c r="B898">
        <v>55.384599999999999</v>
      </c>
      <c r="C898">
        <f t="shared" si="42"/>
        <v>55.469219999999993</v>
      </c>
      <c r="D898">
        <v>0.71523076923076911</v>
      </c>
      <c r="E898">
        <f t="shared" si="43"/>
        <v>4.0158282723133283</v>
      </c>
      <c r="I898" s="24">
        <f t="shared" si="44"/>
        <v>0.74310011088379579</v>
      </c>
      <c r="N898" s="30">
        <v>39314.757575757576</v>
      </c>
    </row>
    <row r="899" spans="1:14" x14ac:dyDescent="0.3">
      <c r="A899">
        <v>13.6652</v>
      </c>
      <c r="B899">
        <v>55.653799999999997</v>
      </c>
      <c r="C899">
        <f t="shared" si="42"/>
        <v>55.661519999999996</v>
      </c>
      <c r="D899">
        <v>0.71530769230769231</v>
      </c>
      <c r="E899">
        <f t="shared" si="43"/>
        <v>4.0192890643845898</v>
      </c>
      <c r="I899" s="24">
        <f t="shared" si="44"/>
        <v>0.74643466209553144</v>
      </c>
      <c r="N899" s="30">
        <v>39307.363636363632</v>
      </c>
    </row>
    <row r="900" spans="1:14" x14ac:dyDescent="0.3">
      <c r="A900">
        <v>13.680400000000001</v>
      </c>
      <c r="B900">
        <v>55.769199999999998</v>
      </c>
      <c r="C900">
        <f t="shared" si="42"/>
        <v>55.807679999999991</v>
      </c>
      <c r="D900">
        <v>0.71538461538461529</v>
      </c>
      <c r="E900">
        <f t="shared" si="43"/>
        <v>4.0219114943251206</v>
      </c>
      <c r="I900" s="24">
        <f t="shared" si="44"/>
        <v>0.74895189064948575</v>
      </c>
      <c r="N900" s="30">
        <v>39299.969696969696</v>
      </c>
    </row>
    <row r="901" spans="1:14" x14ac:dyDescent="0.3">
      <c r="A901">
        <v>13.6957</v>
      </c>
      <c r="B901">
        <v>56</v>
      </c>
      <c r="C901">
        <f t="shared" si="42"/>
        <v>56.053840000000001</v>
      </c>
      <c r="D901">
        <v>0.71546153846153837</v>
      </c>
      <c r="E901">
        <f t="shared" si="43"/>
        <v>4.0263126574301458</v>
      </c>
      <c r="I901" s="24">
        <f t="shared" si="44"/>
        <v>0.7532505361497488</v>
      </c>
      <c r="N901" s="30">
        <v>39292.575757575753</v>
      </c>
    </row>
    <row r="902" spans="1:14" x14ac:dyDescent="0.3">
      <c r="A902">
        <v>13.710900000000001</v>
      </c>
      <c r="B902">
        <v>56.230800000000002</v>
      </c>
      <c r="C902">
        <f t="shared" si="42"/>
        <v>56.284619999999997</v>
      </c>
      <c r="D902">
        <v>0.71553846153846146</v>
      </c>
      <c r="E902">
        <f t="shared" si="43"/>
        <v>4.0304213184292639</v>
      </c>
      <c r="I902" s="24">
        <f t="shared" si="44"/>
        <v>0.75728035454662834</v>
      </c>
      <c r="N902" s="30">
        <v>39285.181818181816</v>
      </c>
    </row>
    <row r="903" spans="1:14" x14ac:dyDescent="0.3">
      <c r="A903">
        <v>13.726100000000001</v>
      </c>
      <c r="B903">
        <v>56.615400000000001</v>
      </c>
      <c r="C903">
        <f t="shared" si="42"/>
        <v>56.484620000000007</v>
      </c>
      <c r="D903">
        <v>0.71561538461538454</v>
      </c>
      <c r="E903">
        <f t="shared" si="43"/>
        <v>4.033968388706497</v>
      </c>
      <c r="I903" s="24">
        <f t="shared" si="44"/>
        <v>0.76076552423882571</v>
      </c>
      <c r="N903" s="30">
        <v>39277.787878787873</v>
      </c>
    </row>
    <row r="904" spans="1:14" x14ac:dyDescent="0.3">
      <c r="A904">
        <v>13.741400000000001</v>
      </c>
      <c r="B904">
        <v>56.807699999999997</v>
      </c>
      <c r="C904">
        <f t="shared" si="42"/>
        <v>56.615380000000002</v>
      </c>
      <c r="D904">
        <v>0.71569230769230763</v>
      </c>
      <c r="E904">
        <f t="shared" si="43"/>
        <v>4.0362806797455972</v>
      </c>
      <c r="I904" s="24">
        <f t="shared" si="44"/>
        <v>0.76301754959486046</v>
      </c>
      <c r="N904" s="30">
        <v>39270.393939393936</v>
      </c>
    </row>
    <row r="905" spans="1:14" x14ac:dyDescent="0.3">
      <c r="A905">
        <v>13.756600000000001</v>
      </c>
      <c r="B905">
        <v>56.769199999999998</v>
      </c>
      <c r="C905">
        <f t="shared" si="42"/>
        <v>56.646139999999988</v>
      </c>
      <c r="D905">
        <v>0.71576923076923071</v>
      </c>
      <c r="E905">
        <f t="shared" si="43"/>
        <v>4.0368238474649827</v>
      </c>
      <c r="I905" s="24">
        <f t="shared" si="44"/>
        <v>0.76348474607721972</v>
      </c>
      <c r="J905">
        <v>2007</v>
      </c>
      <c r="K905">
        <f>AVERAGE(I905:I991)</f>
        <v>0.63081641523833587</v>
      </c>
      <c r="L905">
        <f>A991-A905</f>
        <v>1.3101000000000003</v>
      </c>
      <c r="M905">
        <f>K905*L905</f>
        <v>0.826432585603744</v>
      </c>
      <c r="N905" s="30">
        <v>39263</v>
      </c>
    </row>
    <row r="906" spans="1:14" x14ac:dyDescent="0.3">
      <c r="A906">
        <v>13.771800000000001</v>
      </c>
      <c r="B906">
        <v>56.653799999999997</v>
      </c>
      <c r="C906">
        <f t="shared" si="42"/>
        <v>56.569219999999994</v>
      </c>
      <c r="D906">
        <v>0.7158461538461538</v>
      </c>
      <c r="E906">
        <f t="shared" si="43"/>
        <v>4.0354650210330307</v>
      </c>
      <c r="I906" s="24">
        <f t="shared" si="44"/>
        <v>0.76202968295037454</v>
      </c>
      <c r="N906" s="30">
        <v>39261.123076923075</v>
      </c>
    </row>
    <row r="907" spans="1:14" x14ac:dyDescent="0.3">
      <c r="A907">
        <v>13.787100000000001</v>
      </c>
      <c r="B907">
        <v>56.384599999999999</v>
      </c>
      <c r="C907">
        <f t="shared" si="42"/>
        <v>56.392299999999999</v>
      </c>
      <c r="D907">
        <v>0.71592307692307688</v>
      </c>
      <c r="E907">
        <f t="shared" si="43"/>
        <v>4.0323326243609561</v>
      </c>
      <c r="I907" s="24">
        <f t="shared" si="44"/>
        <v>0.75879242719704587</v>
      </c>
      <c r="N907" s="30">
        <v>39259.246153846158</v>
      </c>
    </row>
    <row r="908" spans="1:14" x14ac:dyDescent="0.3">
      <c r="A908">
        <v>13.802300000000001</v>
      </c>
      <c r="B908">
        <v>56.230800000000002</v>
      </c>
      <c r="C908">
        <f t="shared" si="42"/>
        <v>56.130760000000009</v>
      </c>
      <c r="D908">
        <v>0.71599999999999997</v>
      </c>
      <c r="E908">
        <f t="shared" si="43"/>
        <v>4.0276839688588799</v>
      </c>
      <c r="I908" s="24">
        <f t="shared" si="44"/>
        <v>0.75405271472550006</v>
      </c>
      <c r="N908" s="30">
        <v>39257.369230769233</v>
      </c>
    </row>
    <row r="909" spans="1:14" x14ac:dyDescent="0.3">
      <c r="A909">
        <v>13.817500000000001</v>
      </c>
      <c r="B909">
        <v>55.923099999999998</v>
      </c>
      <c r="C909">
        <f t="shared" si="42"/>
        <v>55.784619999999997</v>
      </c>
      <c r="D909">
        <v>0.71607692307692306</v>
      </c>
      <c r="E909">
        <f t="shared" si="43"/>
        <v>4.0214982041549527</v>
      </c>
      <c r="I909" s="24">
        <f t="shared" si="44"/>
        <v>0.74781823657874258</v>
      </c>
      <c r="N909" s="30">
        <v>39255.492307692308</v>
      </c>
    </row>
    <row r="910" spans="1:14" x14ac:dyDescent="0.3">
      <c r="A910">
        <v>13.832800000000001</v>
      </c>
      <c r="B910">
        <v>55.461500000000001</v>
      </c>
      <c r="C910">
        <f t="shared" si="42"/>
        <v>55.376940000000005</v>
      </c>
      <c r="D910">
        <v>0.71615384615384614</v>
      </c>
      <c r="E910">
        <f t="shared" si="43"/>
        <v>4.0141632616116736</v>
      </c>
      <c r="I910" s="24">
        <f t="shared" si="44"/>
        <v>0.74050708400883614</v>
      </c>
      <c r="N910" s="30">
        <v>39253.615384615383</v>
      </c>
    </row>
    <row r="911" spans="1:14" x14ac:dyDescent="0.3">
      <c r="A911">
        <v>13.848000000000001</v>
      </c>
      <c r="B911">
        <v>54.923099999999998</v>
      </c>
      <c r="C911">
        <f t="shared" si="42"/>
        <v>54.923080000000006</v>
      </c>
      <c r="D911">
        <v>0.71623076923076912</v>
      </c>
      <c r="E911">
        <f t="shared" si="43"/>
        <v>4.005933660900455</v>
      </c>
      <c r="I911" s="24">
        <f t="shared" si="44"/>
        <v>0.73239883309961096</v>
      </c>
      <c r="N911" s="30">
        <v>39251.738461538465</v>
      </c>
    </row>
    <row r="912" spans="1:14" x14ac:dyDescent="0.3">
      <c r="A912">
        <v>13.863200000000001</v>
      </c>
      <c r="B912">
        <v>54.346200000000003</v>
      </c>
      <c r="C912">
        <f t="shared" si="42"/>
        <v>54.476920000000007</v>
      </c>
      <c r="D912">
        <v>0.71630769230769231</v>
      </c>
      <c r="E912">
        <f t="shared" si="43"/>
        <v>3.9977771257350452</v>
      </c>
      <c r="I912" s="24">
        <f t="shared" si="44"/>
        <v>0.72444949390444013</v>
      </c>
      <c r="N912" s="30">
        <v>39249.86153846154</v>
      </c>
    </row>
    <row r="913" spans="1:14" x14ac:dyDescent="0.3">
      <c r="A913">
        <v>13.878500000000001</v>
      </c>
      <c r="B913">
        <v>53.961500000000001</v>
      </c>
      <c r="C913">
        <f t="shared" si="42"/>
        <v>54.023079999999993</v>
      </c>
      <c r="D913">
        <v>0.71638461538461529</v>
      </c>
      <c r="E913">
        <f t="shared" si="43"/>
        <v>3.9894113626591534</v>
      </c>
      <c r="I913" s="24">
        <f t="shared" si="44"/>
        <v>0.71638784423777491</v>
      </c>
      <c r="N913" s="30">
        <v>39247.984615384616</v>
      </c>
    </row>
    <row r="914" spans="1:14" x14ac:dyDescent="0.3">
      <c r="A914">
        <v>13.893700000000001</v>
      </c>
      <c r="B914">
        <v>53.692300000000003</v>
      </c>
      <c r="C914">
        <f t="shared" si="42"/>
        <v>53.607700000000001</v>
      </c>
      <c r="D914">
        <v>0.71646153846153848</v>
      </c>
      <c r="E914">
        <f t="shared" si="43"/>
        <v>3.9816927144755363</v>
      </c>
      <c r="I914" s="24">
        <f t="shared" si="44"/>
        <v>0.70902349631882611</v>
      </c>
      <c r="N914" s="30">
        <v>39246.107692307691</v>
      </c>
    </row>
    <row r="915" spans="1:14" x14ac:dyDescent="0.3">
      <c r="A915">
        <v>13.908899999999999</v>
      </c>
      <c r="B915">
        <v>53.192300000000003</v>
      </c>
      <c r="C915">
        <f t="shared" si="42"/>
        <v>53.253840000000004</v>
      </c>
      <c r="D915">
        <v>0.71653846153846146</v>
      </c>
      <c r="E915">
        <f t="shared" si="43"/>
        <v>3.975069914665597</v>
      </c>
      <c r="I915" s="24">
        <f t="shared" si="44"/>
        <v>0.70275436521388568</v>
      </c>
      <c r="N915" s="30">
        <v>39244.230769230773</v>
      </c>
    </row>
    <row r="916" spans="1:14" x14ac:dyDescent="0.3">
      <c r="A916">
        <v>13.924200000000001</v>
      </c>
      <c r="B916">
        <v>52.846200000000003</v>
      </c>
      <c r="C916">
        <f t="shared" si="42"/>
        <v>52.946159999999999</v>
      </c>
      <c r="D916">
        <v>0.71661538461538454</v>
      </c>
      <c r="E916">
        <f t="shared" si="43"/>
        <v>3.9692755481711637</v>
      </c>
      <c r="I916" s="24">
        <f t="shared" si="44"/>
        <v>0.69730555224342061</v>
      </c>
      <c r="N916" s="30">
        <v>39242.353846153848</v>
      </c>
    </row>
    <row r="917" spans="1:14" x14ac:dyDescent="0.3">
      <c r="A917">
        <v>13.939399999999999</v>
      </c>
      <c r="B917">
        <v>52.576900000000002</v>
      </c>
      <c r="C917">
        <f t="shared" si="42"/>
        <v>52.623080000000002</v>
      </c>
      <c r="D917">
        <v>0.71669230769230763</v>
      </c>
      <c r="E917">
        <f t="shared" si="43"/>
        <v>3.9631548067763975</v>
      </c>
      <c r="I917" s="24">
        <f t="shared" si="44"/>
        <v>0.69159989503512975</v>
      </c>
      <c r="N917" s="30">
        <v>39240.476923076923</v>
      </c>
    </row>
    <row r="918" spans="1:14" x14ac:dyDescent="0.3">
      <c r="A918">
        <v>13.954599999999999</v>
      </c>
      <c r="B918">
        <v>52.423099999999998</v>
      </c>
      <c r="C918">
        <f t="shared" si="42"/>
        <v>52.323080000000004</v>
      </c>
      <c r="D918">
        <v>0.71676923076923071</v>
      </c>
      <c r="E918">
        <f t="shared" si="43"/>
        <v>3.9574375739177903</v>
      </c>
      <c r="I918" s="24">
        <f t="shared" si="44"/>
        <v>0.68630771206922447</v>
      </c>
      <c r="N918" s="30">
        <v>39238.6</v>
      </c>
    </row>
    <row r="919" spans="1:14" x14ac:dyDescent="0.3">
      <c r="A919">
        <v>13.969900000000001</v>
      </c>
      <c r="B919">
        <v>52.076900000000002</v>
      </c>
      <c r="C919">
        <f t="shared" si="42"/>
        <v>51.9846</v>
      </c>
      <c r="D919">
        <v>0.7168461538461538</v>
      </c>
      <c r="E919">
        <f t="shared" si="43"/>
        <v>3.9509475208730631</v>
      </c>
      <c r="I919" s="24">
        <f t="shared" si="44"/>
        <v>0.68035910294062296</v>
      </c>
      <c r="N919" s="30">
        <v>39236.723076923081</v>
      </c>
    </row>
    <row r="920" spans="1:14" x14ac:dyDescent="0.3">
      <c r="A920">
        <v>13.985099999999999</v>
      </c>
      <c r="B920">
        <v>51.692300000000003</v>
      </c>
      <c r="C920">
        <f t="shared" si="42"/>
        <v>51.661519999999996</v>
      </c>
      <c r="D920">
        <v>0.71692307692307689</v>
      </c>
      <c r="E920">
        <f t="shared" si="43"/>
        <v>3.9447132103862161</v>
      </c>
      <c r="I920" s="24">
        <f t="shared" si="44"/>
        <v>0.67469061315159795</v>
      </c>
      <c r="N920" s="30">
        <v>39234.846153846156</v>
      </c>
    </row>
    <row r="921" spans="1:14" x14ac:dyDescent="0.3">
      <c r="A921">
        <v>14.000299999999999</v>
      </c>
      <c r="B921">
        <v>51.153799999999997</v>
      </c>
      <c r="C921">
        <f t="shared" si="42"/>
        <v>51.399980000000006</v>
      </c>
      <c r="D921" s="8">
        <v>0.71699999999999986</v>
      </c>
      <c r="E921">
        <f t="shared" si="43"/>
        <v>3.9396377833559857</v>
      </c>
      <c r="I921" s="24">
        <f t="shared" si="44"/>
        <v>0.67009736237153494</v>
      </c>
      <c r="N921" s="30">
        <v>39232.969230769231</v>
      </c>
    </row>
    <row r="922" spans="1:14" x14ac:dyDescent="0.3">
      <c r="A922">
        <v>14.015599999999999</v>
      </c>
      <c r="B922">
        <v>50.961500000000001</v>
      </c>
      <c r="C922">
        <f t="shared" si="42"/>
        <v>51.223059999999997</v>
      </c>
      <c r="D922">
        <v>0.71674242424242407</v>
      </c>
      <c r="E922">
        <f t="shared" si="43"/>
        <v>3.9361898212750486</v>
      </c>
      <c r="I922" s="24">
        <f t="shared" si="44"/>
        <v>0.66728314702620506</v>
      </c>
      <c r="N922" s="30">
        <v>39231.092307692306</v>
      </c>
    </row>
    <row r="923" spans="1:14" x14ac:dyDescent="0.3">
      <c r="A923">
        <v>14.030799999999999</v>
      </c>
      <c r="B923">
        <v>51.115400000000001</v>
      </c>
      <c r="C923">
        <f t="shared" si="42"/>
        <v>51.107680000000002</v>
      </c>
      <c r="D923">
        <v>0.71648484848484828</v>
      </c>
      <c r="E923">
        <f t="shared" si="43"/>
        <v>3.9339347794587902</v>
      </c>
      <c r="I923" s="24">
        <f t="shared" si="44"/>
        <v>0.66553179936368223</v>
      </c>
      <c r="N923" s="30">
        <v>39229.215384615389</v>
      </c>
    </row>
    <row r="924" spans="1:14" x14ac:dyDescent="0.3">
      <c r="A924">
        <v>14.045999999999999</v>
      </c>
      <c r="B924">
        <v>51.192300000000003</v>
      </c>
      <c r="C924">
        <f t="shared" si="42"/>
        <v>51.115380000000002</v>
      </c>
      <c r="D924">
        <v>0.7162272727272726</v>
      </c>
      <c r="E924">
        <f t="shared" si="43"/>
        <v>3.9340854303983055</v>
      </c>
      <c r="I924" s="24">
        <f t="shared" si="44"/>
        <v>0.66590403302287204</v>
      </c>
      <c r="N924" s="30">
        <v>39227.338461538464</v>
      </c>
    </row>
    <row r="925" spans="1:14" x14ac:dyDescent="0.3">
      <c r="A925">
        <v>14.061299999999999</v>
      </c>
      <c r="B925">
        <v>51.115400000000001</v>
      </c>
      <c r="C925">
        <f t="shared" si="42"/>
        <v>51.2</v>
      </c>
      <c r="D925">
        <v>0.71596969696969681</v>
      </c>
      <c r="E925">
        <f t="shared" si="43"/>
        <v>3.9357395320454622</v>
      </c>
      <c r="I925" s="24">
        <f t="shared" si="44"/>
        <v>0.66760495419702004</v>
      </c>
      <c r="N925" s="30">
        <v>39225.461538461539</v>
      </c>
    </row>
    <row r="926" spans="1:14" x14ac:dyDescent="0.3">
      <c r="A926">
        <v>14.076499999999999</v>
      </c>
      <c r="B926">
        <v>51.192300000000003</v>
      </c>
      <c r="C926">
        <f t="shared" si="42"/>
        <v>51.292299999999997</v>
      </c>
      <c r="D926">
        <v>0.71571212121212102</v>
      </c>
      <c r="E926">
        <f t="shared" si="43"/>
        <v>3.937540643445085</v>
      </c>
      <c r="I926" s="24">
        <f t="shared" si="44"/>
        <v>0.66944067324588452</v>
      </c>
      <c r="N926" s="30">
        <v>39223.584615384614</v>
      </c>
    </row>
    <row r="927" spans="1:14" x14ac:dyDescent="0.3">
      <c r="A927">
        <v>14.091699999999999</v>
      </c>
      <c r="B927">
        <v>51.384599999999999</v>
      </c>
      <c r="C927">
        <f t="shared" si="42"/>
        <v>51.423080000000006</v>
      </c>
      <c r="D927">
        <v>0.71545454545454534</v>
      </c>
      <c r="E927">
        <f t="shared" si="43"/>
        <v>3.940087098915912</v>
      </c>
      <c r="I927" s="24">
        <f t="shared" si="44"/>
        <v>0.6719446990390906</v>
      </c>
      <c r="N927" s="30">
        <v>39221.707692307697</v>
      </c>
    </row>
    <row r="928" spans="1:14" x14ac:dyDescent="0.3">
      <c r="A928">
        <v>14.106999999999999</v>
      </c>
      <c r="B928">
        <v>51.576900000000002</v>
      </c>
      <c r="C928">
        <f t="shared" si="42"/>
        <v>51.630759999999995</v>
      </c>
      <c r="D928">
        <v>0.71519696969696955</v>
      </c>
      <c r="E928">
        <f t="shared" si="43"/>
        <v>3.9441176189071765</v>
      </c>
      <c r="I928" s="24">
        <f t="shared" si="44"/>
        <v>0.67578552749800647</v>
      </c>
      <c r="N928" s="30">
        <v>39219.830769230772</v>
      </c>
    </row>
    <row r="929" spans="1:14" x14ac:dyDescent="0.3">
      <c r="A929">
        <v>14.122199999999999</v>
      </c>
      <c r="B929">
        <v>51.846200000000003</v>
      </c>
      <c r="C929">
        <f t="shared" si="42"/>
        <v>51.692300000000003</v>
      </c>
      <c r="D929">
        <v>0.71493939393939376</v>
      </c>
      <c r="E929">
        <f t="shared" si="43"/>
        <v>3.9453088342520779</v>
      </c>
      <c r="I929" s="24">
        <f t="shared" si="44"/>
        <v>0.67709669559410179</v>
      </c>
      <c r="N929" s="30">
        <v>39217.953846153847</v>
      </c>
    </row>
    <row r="930" spans="1:14" x14ac:dyDescent="0.3">
      <c r="A930">
        <v>14.1374</v>
      </c>
      <c r="B930">
        <v>52.153799999999997</v>
      </c>
      <c r="C930">
        <f t="shared" si="42"/>
        <v>51.6</v>
      </c>
      <c r="D930">
        <v>0.71468181818181808</v>
      </c>
      <c r="E930">
        <f t="shared" si="43"/>
        <v>3.9435216724875173</v>
      </c>
      <c r="I930" s="24">
        <f t="shared" si="44"/>
        <v>0.67573892890848219</v>
      </c>
      <c r="N930" s="30">
        <v>39216.076923076922</v>
      </c>
    </row>
    <row r="931" spans="1:14" x14ac:dyDescent="0.3">
      <c r="A931">
        <v>14.152699999999999</v>
      </c>
      <c r="B931">
        <v>51.5</v>
      </c>
      <c r="C931">
        <f t="shared" si="42"/>
        <v>51.369240000000005</v>
      </c>
      <c r="D931">
        <v>0.7144242424242423</v>
      </c>
      <c r="E931">
        <f t="shared" si="43"/>
        <v>3.9390395497425206</v>
      </c>
      <c r="I931" s="24">
        <f t="shared" si="44"/>
        <v>0.67198052305728673</v>
      </c>
      <c r="N931" s="30">
        <v>39214.200000000004</v>
      </c>
    </row>
    <row r="932" spans="1:14" x14ac:dyDescent="0.3">
      <c r="A932">
        <v>14.167899999999999</v>
      </c>
      <c r="B932">
        <v>50.923099999999998</v>
      </c>
      <c r="C932">
        <f t="shared" si="42"/>
        <v>51.01538</v>
      </c>
      <c r="D932">
        <v>0.71416666666666662</v>
      </c>
      <c r="E932">
        <f t="shared" si="43"/>
        <v>3.932127155889098</v>
      </c>
      <c r="I932" s="24">
        <f t="shared" si="44"/>
        <v>0.66609507681213997</v>
      </c>
      <c r="N932" s="30">
        <v>39212.323076923079</v>
      </c>
    </row>
    <row r="933" spans="1:14" x14ac:dyDescent="0.3">
      <c r="A933">
        <v>14.183199999999999</v>
      </c>
      <c r="B933">
        <v>50.423099999999998</v>
      </c>
      <c r="C933">
        <f t="shared" si="42"/>
        <v>50.576920000000001</v>
      </c>
      <c r="D933">
        <v>0.71390909090909083</v>
      </c>
      <c r="E933">
        <f t="shared" si="43"/>
        <v>3.9234953457538793</v>
      </c>
      <c r="I933" s="24">
        <f t="shared" si="44"/>
        <v>0.65875897726390531</v>
      </c>
      <c r="N933" s="30">
        <v>39210.446153846155</v>
      </c>
    </row>
    <row r="934" spans="1:14" x14ac:dyDescent="0.3">
      <c r="A934">
        <v>14.198399999999999</v>
      </c>
      <c r="B934">
        <v>50.076900000000002</v>
      </c>
      <c r="C934">
        <f t="shared" si="42"/>
        <v>50.230759999999997</v>
      </c>
      <c r="D934">
        <v>0.71365151515151504</v>
      </c>
      <c r="E934">
        <f t="shared" si="43"/>
        <v>3.9166275880476493</v>
      </c>
      <c r="I934" s="24">
        <f t="shared" si="44"/>
        <v>0.6530281150000915</v>
      </c>
      <c r="N934" s="30">
        <v>39208.56923076923</v>
      </c>
    </row>
    <row r="935" spans="1:14" x14ac:dyDescent="0.3">
      <c r="A935">
        <v>14.2136</v>
      </c>
      <c r="B935">
        <v>49.961500000000001</v>
      </c>
      <c r="C935">
        <f t="shared" si="42"/>
        <v>49.892299999999999</v>
      </c>
      <c r="D935">
        <v>0.71339393939393925</v>
      </c>
      <c r="E935">
        <f t="shared" si="43"/>
        <v>3.9098666822334387</v>
      </c>
      <c r="I935" s="24">
        <f t="shared" si="44"/>
        <v>0.64743883586445916</v>
      </c>
      <c r="N935" s="30">
        <v>39206.692307692312</v>
      </c>
    </row>
    <row r="936" spans="1:14" x14ac:dyDescent="0.3">
      <c r="A936">
        <v>14.228899999999999</v>
      </c>
      <c r="B936">
        <v>49.769199999999998</v>
      </c>
      <c r="C936">
        <f t="shared" si="42"/>
        <v>49.569219999999994</v>
      </c>
      <c r="D936">
        <v>0.71313636363636346</v>
      </c>
      <c r="E936">
        <f t="shared" si="43"/>
        <v>3.9033700765848964</v>
      </c>
      <c r="I936" s="24">
        <f t="shared" si="44"/>
        <v>0.64212227560243529</v>
      </c>
      <c r="N936" s="30">
        <v>39204.815384615387</v>
      </c>
    </row>
    <row r="937" spans="1:14" x14ac:dyDescent="0.3">
      <c r="A937">
        <v>14.2441</v>
      </c>
      <c r="B937">
        <v>49.230800000000002</v>
      </c>
      <c r="C937">
        <f t="shared" si="42"/>
        <v>49.438460000000006</v>
      </c>
      <c r="D937">
        <v>0.71287878787878767</v>
      </c>
      <c r="E937">
        <f t="shared" si="43"/>
        <v>3.9007286637969854</v>
      </c>
      <c r="I937" s="24">
        <f t="shared" si="44"/>
        <v>0.64011039573905182</v>
      </c>
      <c r="N937" s="30">
        <v>39202.938461538462</v>
      </c>
    </row>
    <row r="938" spans="1:14" x14ac:dyDescent="0.3">
      <c r="A938">
        <v>14.2593</v>
      </c>
      <c r="B938">
        <v>48.807699999999997</v>
      </c>
      <c r="C938">
        <f t="shared" si="42"/>
        <v>49.307699999999997</v>
      </c>
      <c r="D938">
        <v>0.71262121212121199</v>
      </c>
      <c r="E938">
        <f t="shared" si="43"/>
        <v>3.8980802554653615</v>
      </c>
      <c r="I938" s="24">
        <f t="shared" si="44"/>
        <v>0.6380989890122275</v>
      </c>
      <c r="N938" s="30">
        <v>39201.061538461538</v>
      </c>
    </row>
    <row r="939" spans="1:14" x14ac:dyDescent="0.3">
      <c r="A939">
        <v>14.2746</v>
      </c>
      <c r="B939">
        <v>49.423099999999998</v>
      </c>
      <c r="C939">
        <f t="shared" si="42"/>
        <v>49.207700000000003</v>
      </c>
      <c r="D939">
        <v>0.7123636363636362</v>
      </c>
      <c r="E939">
        <f t="shared" si="43"/>
        <v>3.8960501153178195</v>
      </c>
      <c r="I939" s="24">
        <f t="shared" si="44"/>
        <v>0.63661521216436201</v>
      </c>
      <c r="N939" s="30">
        <v>39199.18461538462</v>
      </c>
    </row>
    <row r="940" spans="1:14" x14ac:dyDescent="0.3">
      <c r="A940">
        <v>14.2898</v>
      </c>
      <c r="B940">
        <v>49.307699999999997</v>
      </c>
      <c r="C940">
        <f t="shared" si="42"/>
        <v>49.269240000000003</v>
      </c>
      <c r="D940">
        <v>0.71210606060606052</v>
      </c>
      <c r="E940">
        <f t="shared" si="43"/>
        <v>3.8972999512288649</v>
      </c>
      <c r="I940" s="24">
        <f t="shared" si="44"/>
        <v>0.63790083329313452</v>
      </c>
      <c r="N940" s="30">
        <v>39197.307692307695</v>
      </c>
    </row>
    <row r="941" spans="1:14" x14ac:dyDescent="0.3">
      <c r="A941">
        <v>14.305</v>
      </c>
      <c r="B941">
        <v>49.269199999999998</v>
      </c>
      <c r="C941">
        <f t="shared" si="42"/>
        <v>49.48462</v>
      </c>
      <c r="D941">
        <v>0.71184848484848473</v>
      </c>
      <c r="E941">
        <f t="shared" si="43"/>
        <v>3.901661914224495</v>
      </c>
      <c r="I941" s="24">
        <f t="shared" si="44"/>
        <v>0.64182991673525636</v>
      </c>
      <c r="N941" s="30">
        <v>39195.43076923077</v>
      </c>
    </row>
    <row r="942" spans="1:14" x14ac:dyDescent="0.3">
      <c r="A942">
        <v>14.3203</v>
      </c>
      <c r="B942">
        <v>49.538499999999999</v>
      </c>
      <c r="C942">
        <f t="shared" si="42"/>
        <v>49.6</v>
      </c>
      <c r="D942">
        <v>0.71159090909090894</v>
      </c>
      <c r="E942">
        <f t="shared" si="43"/>
        <v>3.903990833730882</v>
      </c>
      <c r="I942" s="24">
        <f t="shared" si="44"/>
        <v>0.64404628853857993</v>
      </c>
      <c r="N942" s="30">
        <v>39193.553846153845</v>
      </c>
    </row>
    <row r="943" spans="1:14" x14ac:dyDescent="0.3">
      <c r="A943">
        <v>14.3355</v>
      </c>
      <c r="B943">
        <v>49.884599999999999</v>
      </c>
      <c r="C943">
        <f t="shared" si="42"/>
        <v>49.676919999999996</v>
      </c>
      <c r="D943">
        <v>0.71133333333333326</v>
      </c>
      <c r="E943">
        <f t="shared" si="43"/>
        <v>3.9055404389239552</v>
      </c>
      <c r="I943" s="24">
        <f t="shared" si="44"/>
        <v>0.64560351036057362</v>
      </c>
      <c r="N943" s="30">
        <v>39191.676923076928</v>
      </c>
    </row>
    <row r="944" spans="1:14" x14ac:dyDescent="0.3">
      <c r="A944">
        <v>14.3507</v>
      </c>
      <c r="B944">
        <v>50</v>
      </c>
      <c r="C944">
        <f t="shared" si="42"/>
        <v>49.707700000000003</v>
      </c>
      <c r="D944">
        <v>0.71107575757575747</v>
      </c>
      <c r="E944">
        <f t="shared" si="43"/>
        <v>3.9061598506797002</v>
      </c>
      <c r="I944" s="24">
        <f t="shared" si="44"/>
        <v>0.64636755936622625</v>
      </c>
      <c r="N944" s="30">
        <v>39189.800000000003</v>
      </c>
    </row>
    <row r="945" spans="1:14" x14ac:dyDescent="0.3">
      <c r="A945">
        <v>14.366</v>
      </c>
      <c r="B945">
        <v>49.692300000000003</v>
      </c>
      <c r="C945">
        <f t="shared" si="42"/>
        <v>49.476920000000007</v>
      </c>
      <c r="D945">
        <v>0.71081818181818168</v>
      </c>
      <c r="E945">
        <f t="shared" si="43"/>
        <v>3.9015062982141635</v>
      </c>
      <c r="I945" s="24">
        <f t="shared" si="44"/>
        <v>0.64262772613791652</v>
      </c>
      <c r="N945" s="30">
        <v>39187.923076923078</v>
      </c>
    </row>
    <row r="946" spans="1:14" x14ac:dyDescent="0.3">
      <c r="A946">
        <v>14.3812</v>
      </c>
      <c r="B946">
        <v>49.423099999999998</v>
      </c>
      <c r="C946">
        <f t="shared" si="42"/>
        <v>49.115380000000002</v>
      </c>
      <c r="D946">
        <v>0.710560606060606</v>
      </c>
      <c r="E946">
        <f t="shared" si="43"/>
        <v>3.8941722240408101</v>
      </c>
      <c r="I946" s="24">
        <f t="shared" si="44"/>
        <v>0.63664477180214507</v>
      </c>
      <c r="N946" s="30">
        <v>39186.046153846153</v>
      </c>
    </row>
    <row r="947" spans="1:14" x14ac:dyDescent="0.3">
      <c r="A947">
        <v>14.3964</v>
      </c>
      <c r="B947">
        <v>48.384599999999999</v>
      </c>
      <c r="C947">
        <f t="shared" si="42"/>
        <v>48.630759999999995</v>
      </c>
      <c r="D947">
        <v>0.71030303030303021</v>
      </c>
      <c r="E947">
        <f t="shared" si="43"/>
        <v>3.8842562525066122</v>
      </c>
      <c r="I947" s="24">
        <f t="shared" si="44"/>
        <v>0.62856391986216775</v>
      </c>
      <c r="N947" s="30">
        <v>39184.169230769236</v>
      </c>
    </row>
    <row r="948" spans="1:14" x14ac:dyDescent="0.3">
      <c r="A948">
        <v>14.4117</v>
      </c>
      <c r="B948">
        <v>48.076900000000002</v>
      </c>
      <c r="C948">
        <f t="shared" si="42"/>
        <v>48.123059999999995</v>
      </c>
      <c r="D948">
        <v>0.71004545454545442</v>
      </c>
      <c r="E948">
        <f t="shared" si="43"/>
        <v>3.8737614801070985</v>
      </c>
      <c r="I948" s="24">
        <f t="shared" si="44"/>
        <v>0.62011003889686034</v>
      </c>
      <c r="N948" s="30">
        <v>39182.292307692311</v>
      </c>
    </row>
    <row r="949" spans="1:14" x14ac:dyDescent="0.3">
      <c r="A949">
        <v>14.4269</v>
      </c>
      <c r="B949">
        <v>47.576900000000002</v>
      </c>
      <c r="C949">
        <f t="shared" si="42"/>
        <v>47.584600000000002</v>
      </c>
      <c r="D949">
        <v>0.70978787878787863</v>
      </c>
      <c r="E949">
        <f t="shared" si="43"/>
        <v>3.8625091794786788</v>
      </c>
      <c r="I949" s="24">
        <f t="shared" si="44"/>
        <v>0.61115629098632462</v>
      </c>
      <c r="N949" s="30">
        <v>39180.415384615386</v>
      </c>
    </row>
    <row r="950" spans="1:14" x14ac:dyDescent="0.3">
      <c r="A950">
        <v>14.4421</v>
      </c>
      <c r="B950">
        <v>47.153799999999997</v>
      </c>
      <c r="C950">
        <f t="shared" si="42"/>
        <v>47.16922000000001</v>
      </c>
      <c r="D950">
        <v>0.70953030303030284</v>
      </c>
      <c r="E950">
        <f t="shared" si="43"/>
        <v>3.8537415612255943</v>
      </c>
      <c r="I950" s="24">
        <f t="shared" si="44"/>
        <v>0.60431787235434387</v>
      </c>
      <c r="N950" s="30">
        <v>39178.538461538461</v>
      </c>
    </row>
    <row r="951" spans="1:14" x14ac:dyDescent="0.3">
      <c r="A951">
        <v>14.4574</v>
      </c>
      <c r="B951">
        <v>46.730800000000002</v>
      </c>
      <c r="C951">
        <f t="shared" si="42"/>
        <v>46.776920000000004</v>
      </c>
      <c r="D951">
        <v>0.70927272727272717</v>
      </c>
      <c r="E951">
        <f t="shared" si="43"/>
        <v>3.8453899188858705</v>
      </c>
      <c r="I951" s="24">
        <f t="shared" si="44"/>
        <v>0.59788544453753667</v>
      </c>
      <c r="N951" s="30">
        <v>39176.661538461543</v>
      </c>
    </row>
    <row r="952" spans="1:14" x14ac:dyDescent="0.3">
      <c r="A952">
        <v>14.4726</v>
      </c>
      <c r="B952">
        <v>46.307699999999997</v>
      </c>
      <c r="C952">
        <f t="shared" si="42"/>
        <v>46.423079999999992</v>
      </c>
      <c r="D952">
        <v>0.70901515151515138</v>
      </c>
      <c r="E952">
        <f t="shared" si="43"/>
        <v>3.8377967493560803</v>
      </c>
      <c r="I952" s="24">
        <f t="shared" si="44"/>
        <v>0.59211623646543554</v>
      </c>
      <c r="N952" s="30">
        <v>39174.784615384619</v>
      </c>
    </row>
    <row r="953" spans="1:14" x14ac:dyDescent="0.3">
      <c r="A953">
        <v>14.4878</v>
      </c>
      <c r="B953">
        <v>46.115400000000001</v>
      </c>
      <c r="C953">
        <f t="shared" si="42"/>
        <v>46.100019999999994</v>
      </c>
      <c r="D953">
        <v>0.70875757575757559</v>
      </c>
      <c r="E953">
        <f t="shared" si="43"/>
        <v>3.830813383841988</v>
      </c>
      <c r="I953" s="24">
        <f t="shared" si="44"/>
        <v>0.58687670257173929</v>
      </c>
      <c r="N953" s="30">
        <v>39172.907692307694</v>
      </c>
    </row>
    <row r="954" spans="1:14" x14ac:dyDescent="0.3">
      <c r="A954">
        <v>14.5031</v>
      </c>
      <c r="B954">
        <v>45.807699999999997</v>
      </c>
      <c r="C954">
        <f t="shared" ref="C954:C1017" si="45">AVERAGE(B952:B956)</f>
        <v>45.746159999999996</v>
      </c>
      <c r="D954">
        <v>0.70849999999999991</v>
      </c>
      <c r="E954">
        <f t="shared" ref="E954:E1017" si="46">LN(C954)</f>
        <v>3.8231078537726098</v>
      </c>
      <c r="I954" s="24">
        <f t="shared" ref="I954:I1017" si="47">(0.0026*(EXP(1.3248*E954)))/D954</f>
        <v>0.58112736491975625</v>
      </c>
      <c r="N954" s="30">
        <v>39171.030769230769</v>
      </c>
    </row>
    <row r="955" spans="1:14" x14ac:dyDescent="0.3">
      <c r="A955">
        <v>14.5183</v>
      </c>
      <c r="B955">
        <v>45.538499999999999</v>
      </c>
      <c r="C955">
        <f t="shared" si="45"/>
        <v>45.307699999999997</v>
      </c>
      <c r="D955">
        <v>0.70824242424242412</v>
      </c>
      <c r="E955">
        <f t="shared" si="46"/>
        <v>3.8134769959693222</v>
      </c>
      <c r="I955" s="24">
        <f t="shared" si="47"/>
        <v>0.57396855125364055</v>
      </c>
      <c r="N955" s="30">
        <v>39169.153846153851</v>
      </c>
    </row>
    <row r="956" spans="1:14" x14ac:dyDescent="0.3">
      <c r="A956">
        <v>14.5335</v>
      </c>
      <c r="B956">
        <v>44.961500000000001</v>
      </c>
      <c r="C956">
        <f t="shared" si="45"/>
        <v>44.8</v>
      </c>
      <c r="D956">
        <v>0.70798484848484844</v>
      </c>
      <c r="E956">
        <f t="shared" si="46"/>
        <v>3.8022081394209395</v>
      </c>
      <c r="I956" s="24">
        <f t="shared" si="47"/>
        <v>0.56566915420754871</v>
      </c>
      <c r="N956" s="30">
        <v>39167.276923076926</v>
      </c>
    </row>
    <row r="957" spans="1:14" x14ac:dyDescent="0.3">
      <c r="A957">
        <v>14.5488</v>
      </c>
      <c r="B957">
        <v>44.115400000000001</v>
      </c>
      <c r="C957">
        <f t="shared" si="45"/>
        <v>44.338459999999998</v>
      </c>
      <c r="D957">
        <v>0.70772727272727265</v>
      </c>
      <c r="E957">
        <f t="shared" si="46"/>
        <v>3.7918524719657034</v>
      </c>
      <c r="I957" s="24">
        <f t="shared" si="47"/>
        <v>0.55816469290008885</v>
      </c>
      <c r="N957" s="30">
        <v>39165.4</v>
      </c>
    </row>
    <row r="958" spans="1:14" x14ac:dyDescent="0.3">
      <c r="A958">
        <v>14.564</v>
      </c>
      <c r="B958">
        <v>43.576900000000002</v>
      </c>
      <c r="C958">
        <f t="shared" si="45"/>
        <v>43.961519999999993</v>
      </c>
      <c r="D958">
        <v>0.70746969696969686</v>
      </c>
      <c r="E958">
        <f t="shared" si="46"/>
        <v>3.7833147058257337</v>
      </c>
      <c r="I958" s="24">
        <f t="shared" si="47"/>
        <v>0.55208788680250698</v>
      </c>
      <c r="N958" s="30">
        <v>39163.523076923077</v>
      </c>
    </row>
    <row r="959" spans="1:14" x14ac:dyDescent="0.3">
      <c r="A959">
        <v>14.5792</v>
      </c>
      <c r="B959">
        <v>43.5</v>
      </c>
      <c r="C959">
        <f t="shared" si="45"/>
        <v>43.753839999999997</v>
      </c>
      <c r="D959">
        <v>0.70721212121212118</v>
      </c>
      <c r="E959">
        <f t="shared" si="46"/>
        <v>3.7785793803805081</v>
      </c>
      <c r="I959" s="24">
        <f t="shared" si="47"/>
        <v>0.5488351022752963</v>
      </c>
      <c r="N959" s="30">
        <v>39161.646153846159</v>
      </c>
    </row>
    <row r="960" spans="1:14" x14ac:dyDescent="0.3">
      <c r="A960">
        <v>14.5945</v>
      </c>
      <c r="B960">
        <v>43.653799999999997</v>
      </c>
      <c r="C960">
        <f t="shared" si="45"/>
        <v>43.761519999999997</v>
      </c>
      <c r="D960">
        <v>0.70695454545454539</v>
      </c>
      <c r="E960">
        <f t="shared" si="46"/>
        <v>3.7787548924282155</v>
      </c>
      <c r="I960" s="24">
        <f t="shared" si="47"/>
        <v>0.54916274349094885</v>
      </c>
      <c r="N960" s="30">
        <v>39159.769230769234</v>
      </c>
    </row>
    <row r="961" spans="1:18" x14ac:dyDescent="0.3">
      <c r="A961">
        <v>14.6097</v>
      </c>
      <c r="B961">
        <v>43.923099999999998</v>
      </c>
      <c r="C961">
        <f t="shared" si="45"/>
        <v>44.176899999999996</v>
      </c>
      <c r="D961">
        <v>0.7066969696969696</v>
      </c>
      <c r="E961">
        <f t="shared" si="46"/>
        <v>3.7882020280335125</v>
      </c>
      <c r="I961" s="24">
        <f t="shared" si="47"/>
        <v>0.55628169466106525</v>
      </c>
      <c r="N961" s="30">
        <v>39157.892307692309</v>
      </c>
    </row>
    <row r="962" spans="1:18" x14ac:dyDescent="0.3">
      <c r="A962">
        <v>14.6249</v>
      </c>
      <c r="B962">
        <v>44.153799999999997</v>
      </c>
      <c r="C962">
        <f t="shared" si="45"/>
        <v>44.607659999999996</v>
      </c>
      <c r="D962">
        <v>0.70643939393939381</v>
      </c>
      <c r="E962">
        <f t="shared" si="46"/>
        <v>3.7979055931577919</v>
      </c>
      <c r="I962" s="24">
        <f t="shared" si="47"/>
        <v>0.56368446679411022</v>
      </c>
      <c r="N962" s="30">
        <v>39156.015384615384</v>
      </c>
    </row>
    <row r="963" spans="1:18" x14ac:dyDescent="0.3">
      <c r="A963">
        <v>14.6402</v>
      </c>
      <c r="B963">
        <v>45.653799999999997</v>
      </c>
      <c r="C963">
        <f t="shared" si="45"/>
        <v>44.899979999999992</v>
      </c>
      <c r="D963">
        <v>0.70618181818181802</v>
      </c>
      <c r="E963">
        <f t="shared" si="46"/>
        <v>3.8044373493138108</v>
      </c>
      <c r="I963" s="24">
        <f t="shared" si="47"/>
        <v>0.56879073359467114</v>
      </c>
      <c r="N963" s="30">
        <v>39154.138461538467</v>
      </c>
    </row>
    <row r="964" spans="1:18" x14ac:dyDescent="0.3">
      <c r="A964">
        <v>14.6554</v>
      </c>
      <c r="B964">
        <v>45.653799999999997</v>
      </c>
      <c r="C964">
        <f t="shared" si="45"/>
        <v>44.869199999999999</v>
      </c>
      <c r="D964">
        <v>0.70592424242424234</v>
      </c>
      <c r="E964">
        <f t="shared" si="46"/>
        <v>3.8037515905443486</v>
      </c>
      <c r="I964" s="24">
        <f t="shared" si="47"/>
        <v>0.56848157611440409</v>
      </c>
      <c r="N964" s="30">
        <v>39152.261538461542</v>
      </c>
    </row>
    <row r="965" spans="1:18" x14ac:dyDescent="0.3">
      <c r="A965">
        <v>14.6706</v>
      </c>
      <c r="B965">
        <v>45.115400000000001</v>
      </c>
      <c r="C965">
        <f t="shared" si="45"/>
        <v>44.46152</v>
      </c>
      <c r="D965">
        <v>0.70566666666666655</v>
      </c>
      <c r="E965">
        <f t="shared" si="46"/>
        <v>3.7946240959858408</v>
      </c>
      <c r="I965" s="24">
        <f t="shared" si="47"/>
        <v>0.56185383944371892</v>
      </c>
      <c r="N965" s="30">
        <v>39150.384615384617</v>
      </c>
    </row>
    <row r="966" spans="1:18" x14ac:dyDescent="0.3">
      <c r="A966">
        <v>14.6859</v>
      </c>
      <c r="B966">
        <v>43.769199999999998</v>
      </c>
      <c r="C966">
        <f t="shared" si="45"/>
        <v>43.384599999999999</v>
      </c>
      <c r="D966">
        <v>0.70540909090909076</v>
      </c>
      <c r="E966">
        <f t="shared" si="46"/>
        <v>3.77010453942653</v>
      </c>
      <c r="I966" s="24">
        <f t="shared" si="47"/>
        <v>0.54409469996765614</v>
      </c>
      <c r="N966" s="30">
        <v>39148.507692307692</v>
      </c>
    </row>
    <row r="967" spans="1:18" x14ac:dyDescent="0.3">
      <c r="A967">
        <v>14.7011</v>
      </c>
      <c r="B967">
        <v>42.115400000000001</v>
      </c>
      <c r="C967">
        <f t="shared" si="45"/>
        <v>42.076920000000001</v>
      </c>
      <c r="D967">
        <v>0.70515151515151508</v>
      </c>
      <c r="E967">
        <f t="shared" si="46"/>
        <v>3.7394993718342993</v>
      </c>
      <c r="I967" s="24">
        <f t="shared" si="47"/>
        <v>0.52266608375962176</v>
      </c>
      <c r="N967" s="30">
        <v>39146.630769230775</v>
      </c>
    </row>
    <row r="968" spans="1:18" x14ac:dyDescent="0.3">
      <c r="A968">
        <v>14.7164</v>
      </c>
      <c r="B968">
        <v>40.269199999999998</v>
      </c>
      <c r="C968">
        <f t="shared" si="45"/>
        <v>40.761540000000004</v>
      </c>
      <c r="D968">
        <v>0.7048939393939393</v>
      </c>
      <c r="E968">
        <f t="shared" si="46"/>
        <v>3.7077389897801494</v>
      </c>
      <c r="I968" s="24">
        <f t="shared" si="47"/>
        <v>0.50131366686846179</v>
      </c>
      <c r="N968" s="30">
        <v>39144.75384615385</v>
      </c>
    </row>
    <row r="969" spans="1:18" x14ac:dyDescent="0.3">
      <c r="A969">
        <v>14.7316</v>
      </c>
      <c r="B969">
        <v>39.115400000000001</v>
      </c>
      <c r="C969">
        <f t="shared" si="45"/>
        <v>39.907699999999998</v>
      </c>
      <c r="D969">
        <v>0.70463636363636362</v>
      </c>
      <c r="E969">
        <f t="shared" si="46"/>
        <v>3.6865692877332394</v>
      </c>
      <c r="I969" s="24">
        <f t="shared" si="47"/>
        <v>0.48762752350911209</v>
      </c>
      <c r="N969" s="30">
        <v>39142.876923076925</v>
      </c>
    </row>
    <row r="970" spans="1:18" x14ac:dyDescent="0.3">
      <c r="A970">
        <v>14.7468</v>
      </c>
      <c r="B970">
        <v>38.538499999999999</v>
      </c>
      <c r="C970">
        <f t="shared" si="45"/>
        <v>39.469239999999999</v>
      </c>
      <c r="D970">
        <v>0.70437878787878783</v>
      </c>
      <c r="E970">
        <f t="shared" si="46"/>
        <v>3.6755216343588946</v>
      </c>
      <c r="I970" s="25">
        <f t="shared" si="47"/>
        <v>0.48071833803742858</v>
      </c>
      <c r="N970" s="30">
        <v>39141</v>
      </c>
    </row>
    <row r="971" spans="1:18" x14ac:dyDescent="0.3">
      <c r="A971">
        <v>14.7621</v>
      </c>
      <c r="B971">
        <v>39.5</v>
      </c>
      <c r="C971">
        <f t="shared" si="45"/>
        <v>39.5154</v>
      </c>
      <c r="D971">
        <v>0.70412121212121204</v>
      </c>
      <c r="E971">
        <f t="shared" si="46"/>
        <v>3.6766904693439049</v>
      </c>
      <c r="I971" s="24">
        <f t="shared" si="47"/>
        <v>0.48163941872175858</v>
      </c>
      <c r="N971" s="30">
        <v>39129.428571428572</v>
      </c>
    </row>
    <row r="972" spans="1:18" x14ac:dyDescent="0.3">
      <c r="A972">
        <v>14.7773</v>
      </c>
      <c r="B972">
        <v>39.923099999999998</v>
      </c>
      <c r="C972">
        <f t="shared" si="45"/>
        <v>39.869240000000005</v>
      </c>
      <c r="D972">
        <v>0.70386363636363636</v>
      </c>
      <c r="E972">
        <f t="shared" si="46"/>
        <v>3.6856050992602407</v>
      </c>
      <c r="I972" s="24">
        <f t="shared" si="47"/>
        <v>0.48753969875235542</v>
      </c>
      <c r="N972" s="30">
        <v>39117.857142857145</v>
      </c>
    </row>
    <row r="973" spans="1:18" x14ac:dyDescent="0.3">
      <c r="A973">
        <v>14.7925</v>
      </c>
      <c r="B973">
        <v>40.5</v>
      </c>
      <c r="C973">
        <f t="shared" si="45"/>
        <v>40.392299999999999</v>
      </c>
      <c r="D973">
        <v>0.70360606060606057</v>
      </c>
      <c r="E973">
        <f t="shared" si="46"/>
        <v>3.6986391727423427</v>
      </c>
      <c r="I973" s="24">
        <f t="shared" si="47"/>
        <v>0.49621300173425115</v>
      </c>
      <c r="N973" s="30">
        <v>39106.28571428571</v>
      </c>
    </row>
    <row r="974" spans="1:18" x14ac:dyDescent="0.3">
      <c r="A974">
        <v>14.8078</v>
      </c>
      <c r="B974">
        <v>40.884599999999999</v>
      </c>
      <c r="C974">
        <f t="shared" si="45"/>
        <v>40.846140000000005</v>
      </c>
      <c r="D974">
        <v>0.70334848484848478</v>
      </c>
      <c r="E974">
        <f t="shared" si="46"/>
        <v>3.7098123247972938</v>
      </c>
      <c r="I974" s="24">
        <f t="shared" si="47"/>
        <v>0.50379710213760898</v>
      </c>
      <c r="N974" s="30">
        <v>39094.714285714283</v>
      </c>
    </row>
    <row r="975" spans="1:18" x14ac:dyDescent="0.3">
      <c r="A975">
        <v>14.823</v>
      </c>
      <c r="B975">
        <v>41.153799999999997</v>
      </c>
      <c r="C975">
        <f t="shared" si="45"/>
        <v>41.42306</v>
      </c>
      <c r="D975">
        <v>0.70309090909090899</v>
      </c>
      <c r="E975">
        <f t="shared" si="46"/>
        <v>3.7238377305925763</v>
      </c>
      <c r="I975" s="24">
        <f t="shared" si="47"/>
        <v>0.51343361940175103</v>
      </c>
      <c r="N975" s="30">
        <v>39083.142857142855</v>
      </c>
    </row>
    <row r="976" spans="1:18" x14ac:dyDescent="0.3">
      <c r="A976">
        <v>14.838200000000001</v>
      </c>
      <c r="B976">
        <v>41.769199999999998</v>
      </c>
      <c r="C976">
        <f t="shared" si="45"/>
        <v>42.023060000000001</v>
      </c>
      <c r="D976">
        <v>0.7028333333333332</v>
      </c>
      <c r="E976">
        <f t="shared" si="46"/>
        <v>3.73821851523092</v>
      </c>
      <c r="I976" s="24">
        <f t="shared" si="47"/>
        <v>0.52350094133676872</v>
      </c>
      <c r="N976" s="30">
        <v>39071.571428571428</v>
      </c>
      <c r="O976">
        <v>2006</v>
      </c>
      <c r="P976" s="24">
        <f>AVERAGE(I976:I1028)</f>
        <v>0.70462818863201526</v>
      </c>
      <c r="Q976">
        <f>A1028-A976</f>
        <v>0.79219999999999935</v>
      </c>
      <c r="R976">
        <f>P976*Q976</f>
        <v>0.55820645103428201</v>
      </c>
    </row>
    <row r="977" spans="1:14" x14ac:dyDescent="0.3">
      <c r="A977">
        <v>14.8535</v>
      </c>
      <c r="B977">
        <v>42.807699999999997</v>
      </c>
      <c r="C977">
        <f t="shared" si="45"/>
        <v>42.892299999999999</v>
      </c>
      <c r="D977">
        <v>0.70257575757575752</v>
      </c>
      <c r="E977">
        <f t="shared" si="46"/>
        <v>3.7586923226447326</v>
      </c>
      <c r="I977" s="24">
        <f t="shared" si="47"/>
        <v>0.53809174625225564</v>
      </c>
      <c r="N977" s="30">
        <v>39060</v>
      </c>
    </row>
    <row r="978" spans="1:14" x14ac:dyDescent="0.3">
      <c r="A978">
        <v>14.8687</v>
      </c>
      <c r="B978">
        <v>43.5</v>
      </c>
      <c r="C978">
        <f t="shared" si="45"/>
        <v>43.923080000000006</v>
      </c>
      <c r="D978">
        <v>0.70231818181818173</v>
      </c>
      <c r="E978">
        <f t="shared" si="46"/>
        <v>3.7824399222470104</v>
      </c>
      <c r="I978" s="24">
        <f t="shared" si="47"/>
        <v>0.5554933185587444</v>
      </c>
      <c r="N978" s="30">
        <v>39048.428571428572</v>
      </c>
    </row>
    <row r="979" spans="1:14" x14ac:dyDescent="0.3">
      <c r="A979">
        <v>14.883900000000001</v>
      </c>
      <c r="B979">
        <v>45.230800000000002</v>
      </c>
      <c r="C979">
        <f t="shared" si="45"/>
        <v>45.123080000000002</v>
      </c>
      <c r="D979">
        <v>0.70206060606060594</v>
      </c>
      <c r="E979">
        <f t="shared" si="46"/>
        <v>3.8093938672713787</v>
      </c>
      <c r="I979" s="24">
        <f t="shared" si="47"/>
        <v>0.57589882006222015</v>
      </c>
      <c r="N979" s="30">
        <v>39036.857142857145</v>
      </c>
    </row>
    <row r="980" spans="1:14" x14ac:dyDescent="0.3">
      <c r="A980">
        <v>14.8992</v>
      </c>
      <c r="B980">
        <v>46.307699999999997</v>
      </c>
      <c r="C980">
        <f t="shared" si="45"/>
        <v>46.330780000000004</v>
      </c>
      <c r="D980">
        <v>0.70180303030303026</v>
      </c>
      <c r="E980">
        <f t="shared" si="46"/>
        <v>3.8358065350304162</v>
      </c>
      <c r="I980" s="24">
        <f t="shared" si="47"/>
        <v>0.59662599353112233</v>
      </c>
      <c r="N980" s="30">
        <v>39025.28571428571</v>
      </c>
    </row>
    <row r="981" spans="1:14" x14ac:dyDescent="0.3">
      <c r="A981">
        <v>14.914400000000001</v>
      </c>
      <c r="B981">
        <v>47.769199999999998</v>
      </c>
      <c r="C981">
        <f t="shared" si="45"/>
        <v>47.523080000000007</v>
      </c>
      <c r="D981">
        <v>0.70154545454545447</v>
      </c>
      <c r="E981">
        <f t="shared" si="46"/>
        <v>3.8612154877688152</v>
      </c>
      <c r="I981" s="24">
        <f t="shared" si="47"/>
        <v>0.61727788818324103</v>
      </c>
      <c r="N981" s="30">
        <v>39013.714285714283</v>
      </c>
    </row>
    <row r="982" spans="1:14" x14ac:dyDescent="0.3">
      <c r="A982">
        <v>14.929600000000001</v>
      </c>
      <c r="B982">
        <v>48.846200000000003</v>
      </c>
      <c r="C982">
        <f t="shared" si="45"/>
        <v>48.446160000000006</v>
      </c>
      <c r="D982">
        <v>0.70128787878787868</v>
      </c>
      <c r="E982">
        <f t="shared" si="46"/>
        <v>3.8804530782298317</v>
      </c>
      <c r="I982" s="24">
        <f t="shared" si="47"/>
        <v>0.63344456535519467</v>
      </c>
      <c r="N982" s="30">
        <v>39002.142857142855</v>
      </c>
    </row>
    <row r="983" spans="1:14" x14ac:dyDescent="0.3">
      <c r="A983">
        <v>14.944900000000001</v>
      </c>
      <c r="B983">
        <v>49.461500000000001</v>
      </c>
      <c r="C983">
        <f t="shared" si="45"/>
        <v>49.192320000000002</v>
      </c>
      <c r="D983">
        <v>0.701030303030303</v>
      </c>
      <c r="E983">
        <f t="shared" si="46"/>
        <v>3.8957375137527945</v>
      </c>
      <c r="I983" s="24">
        <f t="shared" si="47"/>
        <v>0.6466393161234808</v>
      </c>
      <c r="N983" s="30">
        <v>38990.571428571428</v>
      </c>
    </row>
    <row r="984" spans="1:14" x14ac:dyDescent="0.3">
      <c r="A984">
        <v>14.960100000000001</v>
      </c>
      <c r="B984">
        <v>49.846200000000003</v>
      </c>
      <c r="C984">
        <f t="shared" si="45"/>
        <v>49.738480000000003</v>
      </c>
      <c r="D984">
        <v>0.70077272727272721</v>
      </c>
      <c r="E984">
        <f t="shared" si="46"/>
        <v>3.906778879002013</v>
      </c>
      <c r="I984" s="24">
        <f t="shared" si="47"/>
        <v>0.65640879673362473</v>
      </c>
      <c r="N984" s="30">
        <v>38979</v>
      </c>
    </row>
    <row r="985" spans="1:14" x14ac:dyDescent="0.3">
      <c r="A985">
        <v>14.975300000000001</v>
      </c>
      <c r="B985">
        <v>50.038499999999999</v>
      </c>
      <c r="C985">
        <f t="shared" si="45"/>
        <v>50.223080000000003</v>
      </c>
      <c r="D985">
        <v>0.70051515151515154</v>
      </c>
      <c r="E985">
        <f t="shared" si="46"/>
        <v>3.9164746819961742</v>
      </c>
      <c r="I985" s="24">
        <f t="shared" si="47"/>
        <v>0.66513923029306743</v>
      </c>
      <c r="N985" s="30">
        <v>38967.428571428572</v>
      </c>
    </row>
    <row r="986" spans="1:14" x14ac:dyDescent="0.3">
      <c r="A986">
        <v>14.990600000000001</v>
      </c>
      <c r="B986">
        <v>50.5</v>
      </c>
      <c r="C986">
        <f t="shared" si="45"/>
        <v>50.830780000000004</v>
      </c>
      <c r="D986">
        <v>0.70025757575757575</v>
      </c>
      <c r="E986">
        <f t="shared" si="46"/>
        <v>3.9285020766096159</v>
      </c>
      <c r="I986" s="24">
        <f t="shared" si="47"/>
        <v>0.67607096096348129</v>
      </c>
      <c r="N986" s="30">
        <v>38955.857142857145</v>
      </c>
    </row>
    <row r="987" spans="1:14" x14ac:dyDescent="0.3">
      <c r="A987">
        <v>15.005800000000001</v>
      </c>
      <c r="B987">
        <v>51.269199999999998</v>
      </c>
      <c r="C987">
        <f t="shared" si="45"/>
        <v>51.646159999999995</v>
      </c>
      <c r="D987" s="8">
        <v>0.7</v>
      </c>
      <c r="E987">
        <f t="shared" si="46"/>
        <v>3.9444158462383974</v>
      </c>
      <c r="I987" s="24">
        <f t="shared" si="47"/>
        <v>0.6907296496023726</v>
      </c>
      <c r="N987" s="30">
        <v>38944.28571428571</v>
      </c>
    </row>
    <row r="988" spans="1:14" x14ac:dyDescent="0.3">
      <c r="A988">
        <v>15.021000000000001</v>
      </c>
      <c r="B988">
        <v>52.5</v>
      </c>
      <c r="C988">
        <f t="shared" si="45"/>
        <v>52.561540000000001</v>
      </c>
      <c r="D988">
        <v>0.70019696969696965</v>
      </c>
      <c r="E988">
        <f t="shared" si="46"/>
        <v>3.961984673594916</v>
      </c>
      <c r="I988" s="24">
        <f t="shared" si="47"/>
        <v>0.70679618215886597</v>
      </c>
      <c r="N988" s="30">
        <v>38932.714285714283</v>
      </c>
    </row>
    <row r="989" spans="1:14" x14ac:dyDescent="0.3">
      <c r="A989">
        <v>15.036300000000001</v>
      </c>
      <c r="B989">
        <v>53.923099999999998</v>
      </c>
      <c r="C989">
        <f t="shared" si="45"/>
        <v>53.407699999999998</v>
      </c>
      <c r="D989">
        <v>0.70039393939393935</v>
      </c>
      <c r="E989">
        <f t="shared" si="46"/>
        <v>3.9779549303276389</v>
      </c>
      <c r="I989" s="24">
        <f t="shared" si="47"/>
        <v>0.72170644359672675</v>
      </c>
      <c r="N989" s="30">
        <v>38921.142857142855</v>
      </c>
    </row>
    <row r="990" spans="1:14" x14ac:dyDescent="0.3">
      <c r="A990">
        <v>15.051500000000001</v>
      </c>
      <c r="B990">
        <v>54.615400000000001</v>
      </c>
      <c r="C990">
        <f t="shared" si="45"/>
        <v>54.07694</v>
      </c>
      <c r="D990">
        <v>0.70059090909090904</v>
      </c>
      <c r="E990">
        <f t="shared" si="46"/>
        <v>3.9904078472936027</v>
      </c>
      <c r="I990" s="24">
        <f t="shared" si="47"/>
        <v>0.73350536024151947</v>
      </c>
      <c r="N990" s="30">
        <v>38909.571428571428</v>
      </c>
    </row>
    <row r="991" spans="1:14" x14ac:dyDescent="0.3">
      <c r="A991">
        <v>15.066700000000001</v>
      </c>
      <c r="B991">
        <v>54.730800000000002</v>
      </c>
      <c r="C991">
        <f t="shared" si="45"/>
        <v>54.33077999999999</v>
      </c>
      <c r="D991">
        <v>0.70078787878787874</v>
      </c>
      <c r="E991">
        <f t="shared" si="46"/>
        <v>3.9950909171693754</v>
      </c>
      <c r="I991" s="24">
        <f t="shared" si="47"/>
        <v>0.7378628209514293</v>
      </c>
      <c r="J991">
        <v>2006</v>
      </c>
      <c r="K991">
        <f>AVERAGE(I991:I1051)</f>
        <v>0.76388645214439044</v>
      </c>
      <c r="L991">
        <f>A1051-A991</f>
        <v>0.91409999999999947</v>
      </c>
      <c r="M991">
        <f>K991*L991</f>
        <v>0.69826860590518691</v>
      </c>
      <c r="N991" s="30">
        <v>38898</v>
      </c>
    </row>
    <row r="992" spans="1:14" x14ac:dyDescent="0.3">
      <c r="A992">
        <v>15.082000000000001</v>
      </c>
      <c r="B992">
        <v>54.615400000000001</v>
      </c>
      <c r="C992">
        <f t="shared" si="45"/>
        <v>54.1</v>
      </c>
      <c r="D992">
        <v>0.70098484848484843</v>
      </c>
      <c r="E992">
        <f t="shared" si="46"/>
        <v>3.9908341858524357</v>
      </c>
      <c r="I992" s="24">
        <f t="shared" si="47"/>
        <v>0.73350732270431829</v>
      </c>
      <c r="N992" s="30">
        <v>38894.064516129038</v>
      </c>
    </row>
    <row r="993" spans="1:14" x14ac:dyDescent="0.3">
      <c r="A993">
        <v>15.097200000000001</v>
      </c>
      <c r="B993">
        <v>53.769199999999998</v>
      </c>
      <c r="C993">
        <f t="shared" si="45"/>
        <v>53.307680000000005</v>
      </c>
      <c r="D993">
        <v>0.70118181818181813</v>
      </c>
      <c r="E993">
        <f t="shared" si="46"/>
        <v>3.9760804108481089</v>
      </c>
      <c r="I993" s="24">
        <f t="shared" si="47"/>
        <v>0.71910747800082153</v>
      </c>
      <c r="N993" s="30">
        <v>38890.129032258068</v>
      </c>
    </row>
    <row r="994" spans="1:14" x14ac:dyDescent="0.3">
      <c r="A994">
        <v>15.112399999999999</v>
      </c>
      <c r="B994">
        <v>52.769199999999998</v>
      </c>
      <c r="C994">
        <f t="shared" si="45"/>
        <v>52.438439999999993</v>
      </c>
      <c r="D994">
        <v>0.70137878787878782</v>
      </c>
      <c r="E994">
        <f t="shared" si="46"/>
        <v>3.959639910169257</v>
      </c>
      <c r="I994" s="24">
        <f t="shared" si="47"/>
        <v>0.7034167849128018</v>
      </c>
      <c r="N994" s="30">
        <v>38886.193548387098</v>
      </c>
    </row>
    <row r="995" spans="1:14" x14ac:dyDescent="0.3">
      <c r="A995">
        <v>15.127700000000001</v>
      </c>
      <c r="B995">
        <v>50.653799999999997</v>
      </c>
      <c r="C995">
        <f t="shared" si="45"/>
        <v>51.515360000000001</v>
      </c>
      <c r="D995">
        <v>0.70157575757575752</v>
      </c>
      <c r="E995">
        <f t="shared" si="46"/>
        <v>3.9418800156284615</v>
      </c>
      <c r="I995" s="24">
        <f t="shared" si="47"/>
        <v>0.68686686480472992</v>
      </c>
      <c r="N995" s="30">
        <v>38882.258064516129</v>
      </c>
    </row>
    <row r="996" spans="1:14" x14ac:dyDescent="0.3">
      <c r="A996">
        <v>15.142899999999999</v>
      </c>
      <c r="B996">
        <v>50.384599999999999</v>
      </c>
      <c r="C996">
        <f t="shared" si="45"/>
        <v>50.730760000000004</v>
      </c>
      <c r="D996">
        <v>0.70177272727272721</v>
      </c>
      <c r="E996">
        <f t="shared" si="46"/>
        <v>3.9265324327397888</v>
      </c>
      <c r="I996" s="24">
        <f t="shared" si="47"/>
        <v>0.67285327505964831</v>
      </c>
      <c r="N996" s="30">
        <v>38878.322580645166</v>
      </c>
    </row>
    <row r="997" spans="1:14" x14ac:dyDescent="0.3">
      <c r="A997">
        <v>15.158099999999999</v>
      </c>
      <c r="B997">
        <v>50</v>
      </c>
      <c r="C997">
        <f t="shared" si="45"/>
        <v>50.176920000000003</v>
      </c>
      <c r="D997">
        <v>0.70196969696969691</v>
      </c>
      <c r="E997">
        <f t="shared" si="46"/>
        <v>3.9155551600190339</v>
      </c>
      <c r="I997" s="24">
        <f t="shared" si="47"/>
        <v>0.66295291105815535</v>
      </c>
      <c r="N997" s="30">
        <v>38874.387096774197</v>
      </c>
    </row>
    <row r="998" spans="1:14" x14ac:dyDescent="0.3">
      <c r="A998">
        <v>15.173400000000001</v>
      </c>
      <c r="B998">
        <v>49.846200000000003</v>
      </c>
      <c r="C998">
        <f t="shared" si="45"/>
        <v>50.130780000000001</v>
      </c>
      <c r="D998">
        <v>0.70216666666666661</v>
      </c>
      <c r="E998">
        <f t="shared" si="46"/>
        <v>3.914635190699546</v>
      </c>
      <c r="I998" s="24">
        <f t="shared" si="47"/>
        <v>0.66195966951432039</v>
      </c>
      <c r="N998" s="30">
        <v>38870.451612903227</v>
      </c>
    </row>
    <row r="999" spans="1:14" x14ac:dyDescent="0.3">
      <c r="A999">
        <v>15.188599999999999</v>
      </c>
      <c r="B999">
        <v>50</v>
      </c>
      <c r="C999">
        <f t="shared" si="45"/>
        <v>50.192320000000009</v>
      </c>
      <c r="D999">
        <v>0.7023636363636363</v>
      </c>
      <c r="E999">
        <f t="shared" si="46"/>
        <v>3.91586202694601</v>
      </c>
      <c r="I999" s="24">
        <f t="shared" si="47"/>
        <v>0.66285049490714965</v>
      </c>
      <c r="N999" s="30">
        <v>38866.516129032258</v>
      </c>
    </row>
    <row r="1000" spans="1:14" x14ac:dyDescent="0.3">
      <c r="A1000">
        <v>15.203799999999999</v>
      </c>
      <c r="B1000">
        <v>50.423099999999998</v>
      </c>
      <c r="C1000">
        <f t="shared" si="45"/>
        <v>50.353860000000012</v>
      </c>
      <c r="D1000">
        <v>0.702560606060606</v>
      </c>
      <c r="E1000">
        <f t="shared" si="46"/>
        <v>3.9190752795825912</v>
      </c>
      <c r="I1000" s="24">
        <f t="shared" si="47"/>
        <v>0.66549157955254234</v>
      </c>
      <c r="N1000" s="30">
        <v>38862.580645161295</v>
      </c>
    </row>
    <row r="1001" spans="1:14" x14ac:dyDescent="0.3">
      <c r="A1001">
        <v>15.219099999999999</v>
      </c>
      <c r="B1001">
        <v>50.692300000000003</v>
      </c>
      <c r="C1001">
        <f t="shared" si="45"/>
        <v>51.092320000000008</v>
      </c>
      <c r="D1001">
        <v>0.70275757575757569</v>
      </c>
      <c r="E1001">
        <f t="shared" si="46"/>
        <v>3.9336341923723785</v>
      </c>
      <c r="I1001" s="24">
        <f t="shared" si="47"/>
        <v>0.67826177495407225</v>
      </c>
      <c r="N1001" s="30">
        <v>38858.645161290326</v>
      </c>
    </row>
    <row r="1002" spans="1:14" x14ac:dyDescent="0.3">
      <c r="A1002">
        <v>15.234299999999999</v>
      </c>
      <c r="B1002">
        <v>50.807699999999997</v>
      </c>
      <c r="C1002">
        <f t="shared" si="45"/>
        <v>51.884619999999998</v>
      </c>
      <c r="D1002">
        <v>0.70295454545454539</v>
      </c>
      <c r="E1002">
        <f t="shared" si="46"/>
        <v>3.9490224071410513</v>
      </c>
      <c r="I1002" s="24">
        <f t="shared" si="47"/>
        <v>0.69203696874262388</v>
      </c>
      <c r="N1002" s="30">
        <v>38854.709677419356</v>
      </c>
    </row>
    <row r="1003" spans="1:14" x14ac:dyDescent="0.3">
      <c r="A1003">
        <v>15.249599999999999</v>
      </c>
      <c r="B1003">
        <v>53.538499999999999</v>
      </c>
      <c r="C1003">
        <f t="shared" si="45"/>
        <v>52.8</v>
      </c>
      <c r="D1003">
        <v>0.70315151515151508</v>
      </c>
      <c r="E1003">
        <f t="shared" si="46"/>
        <v>3.9665111907122159</v>
      </c>
      <c r="I1003" s="24">
        <f t="shared" si="47"/>
        <v>0.70805965905498114</v>
      </c>
      <c r="N1003" s="30">
        <v>38850.774193548386</v>
      </c>
    </row>
    <row r="1004" spans="1:14" x14ac:dyDescent="0.3">
      <c r="A1004">
        <v>15.264799999999999</v>
      </c>
      <c r="B1004">
        <v>53.961500000000001</v>
      </c>
      <c r="C1004">
        <f t="shared" si="45"/>
        <v>53.884620000000005</v>
      </c>
      <c r="D1004">
        <v>0.70334848484848478</v>
      </c>
      <c r="E1004">
        <f t="shared" si="46"/>
        <v>3.9868450939686264</v>
      </c>
      <c r="I1004" s="24">
        <f t="shared" si="47"/>
        <v>0.72718915144034457</v>
      </c>
      <c r="N1004" s="30">
        <v>38846.838709677424</v>
      </c>
    </row>
    <row r="1005" spans="1:14" x14ac:dyDescent="0.3">
      <c r="A1005">
        <v>15.28</v>
      </c>
      <c r="B1005">
        <v>55</v>
      </c>
      <c r="C1005">
        <f t="shared" si="45"/>
        <v>55.115380000000002</v>
      </c>
      <c r="D1005">
        <v>0.70354545454545447</v>
      </c>
      <c r="E1005">
        <f t="shared" si="46"/>
        <v>4.0094288060662819</v>
      </c>
      <c r="I1005" s="24">
        <f t="shared" si="47"/>
        <v>0.74906481849089512</v>
      </c>
      <c r="N1005" s="30">
        <v>38842.903225806454</v>
      </c>
    </row>
    <row r="1006" spans="1:14" x14ac:dyDescent="0.3">
      <c r="A1006">
        <v>15.295299999999999</v>
      </c>
      <c r="B1006">
        <v>56.115400000000001</v>
      </c>
      <c r="C1006">
        <f t="shared" si="45"/>
        <v>55.876919999999998</v>
      </c>
      <c r="D1006">
        <v>0.70374242424242417</v>
      </c>
      <c r="E1006">
        <f t="shared" si="46"/>
        <v>4.0231514147594662</v>
      </c>
      <c r="I1006" s="24">
        <f t="shared" si="47"/>
        <v>0.76259363712513295</v>
      </c>
      <c r="N1006" s="30">
        <v>38838.967741935485</v>
      </c>
    </row>
    <row r="1007" spans="1:14" x14ac:dyDescent="0.3">
      <c r="A1007">
        <v>15.310499999999999</v>
      </c>
      <c r="B1007">
        <v>56.961500000000001</v>
      </c>
      <c r="C1007">
        <f t="shared" si="45"/>
        <v>56.5</v>
      </c>
      <c r="D1007">
        <v>0.70393939393939386</v>
      </c>
      <c r="E1007">
        <f t="shared" si="46"/>
        <v>4.0342406381523954</v>
      </c>
      <c r="I1007" s="24">
        <f t="shared" si="47"/>
        <v>0.77366306102444182</v>
      </c>
      <c r="N1007" s="30">
        <v>38835.032258064515</v>
      </c>
    </row>
    <row r="1008" spans="1:14" x14ac:dyDescent="0.3">
      <c r="A1008">
        <v>15.325699999999999</v>
      </c>
      <c r="B1008">
        <v>57.346200000000003</v>
      </c>
      <c r="C1008">
        <f t="shared" si="45"/>
        <v>56.823080000000004</v>
      </c>
      <c r="D1008">
        <v>0.70413636363636356</v>
      </c>
      <c r="E1008">
        <f t="shared" si="46"/>
        <v>4.0399425812223351</v>
      </c>
      <c r="I1008" s="24">
        <f t="shared" si="47"/>
        <v>0.77931133033703626</v>
      </c>
      <c r="N1008" s="30">
        <v>38831.096774193553</v>
      </c>
    </row>
    <row r="1009" spans="1:14" x14ac:dyDescent="0.3">
      <c r="A1009">
        <v>15.340999999999999</v>
      </c>
      <c r="B1009">
        <v>57.076900000000002</v>
      </c>
      <c r="C1009">
        <f t="shared" si="45"/>
        <v>56.892299999999999</v>
      </c>
      <c r="D1009">
        <v>0.70433333333333326</v>
      </c>
      <c r="E1009">
        <f t="shared" si="46"/>
        <v>4.041160006843203</v>
      </c>
      <c r="I1009" s="24">
        <f t="shared" si="47"/>
        <v>0.78035096384126612</v>
      </c>
      <c r="N1009" s="30">
        <v>38827.161290322583</v>
      </c>
    </row>
    <row r="1010" spans="1:14" x14ac:dyDescent="0.3">
      <c r="A1010">
        <v>15.356199999999999</v>
      </c>
      <c r="B1010">
        <v>56.615400000000001</v>
      </c>
      <c r="C1010">
        <f t="shared" si="45"/>
        <v>56.784619999999997</v>
      </c>
      <c r="D1010">
        <v>0.70453030303030295</v>
      </c>
      <c r="E1010">
        <f t="shared" si="46"/>
        <v>4.0392655144131444</v>
      </c>
      <c r="I1010" s="24">
        <f t="shared" si="47"/>
        <v>0.77817725589048181</v>
      </c>
      <c r="N1010" s="30">
        <v>38823.225806451614</v>
      </c>
    </row>
    <row r="1011" spans="1:14" x14ac:dyDescent="0.3">
      <c r="A1011">
        <v>15.3714</v>
      </c>
      <c r="B1011">
        <v>56.461500000000001</v>
      </c>
      <c r="C1011">
        <f t="shared" si="45"/>
        <v>56.584619999999994</v>
      </c>
      <c r="D1011">
        <v>0.70472727272727265</v>
      </c>
      <c r="E1011">
        <f t="shared" si="46"/>
        <v>4.0357372168346943</v>
      </c>
      <c r="I1011" s="24">
        <f t="shared" si="47"/>
        <v>0.77433183422362795</v>
      </c>
      <c r="N1011" s="30">
        <v>38819.290322580644</v>
      </c>
    </row>
    <row r="1012" spans="1:14" x14ac:dyDescent="0.3">
      <c r="A1012">
        <v>15.386699999999999</v>
      </c>
      <c r="B1012">
        <v>56.423099999999998</v>
      </c>
      <c r="C1012">
        <f t="shared" si="45"/>
        <v>56.461539999999999</v>
      </c>
      <c r="D1012">
        <v>0.70492424242424234</v>
      </c>
      <c r="E1012">
        <f t="shared" si="46"/>
        <v>4.0335596984009348</v>
      </c>
      <c r="I1012" s="24">
        <f t="shared" si="47"/>
        <v>0.77188553859768816</v>
      </c>
      <c r="N1012" s="30">
        <v>38815.354838709682</v>
      </c>
    </row>
    <row r="1013" spans="1:14" x14ac:dyDescent="0.3">
      <c r="A1013">
        <v>15.401899999999999</v>
      </c>
      <c r="B1013">
        <v>56.346200000000003</v>
      </c>
      <c r="C1013">
        <f t="shared" si="45"/>
        <v>56.538460000000008</v>
      </c>
      <c r="D1013">
        <v>0.70512121212121204</v>
      </c>
      <c r="E1013">
        <f t="shared" si="46"/>
        <v>4.0349211145404151</v>
      </c>
      <c r="I1013" s="24">
        <f t="shared" si="47"/>
        <v>0.77306296174806532</v>
      </c>
      <c r="N1013" s="30">
        <v>38811.419354838712</v>
      </c>
    </row>
    <row r="1014" spans="1:14" x14ac:dyDescent="0.3">
      <c r="A1014">
        <v>15.4171</v>
      </c>
      <c r="B1014">
        <v>56.461500000000001</v>
      </c>
      <c r="C1014">
        <f t="shared" si="45"/>
        <v>56.653859999999995</v>
      </c>
      <c r="D1014">
        <v>0.70531818181818173</v>
      </c>
      <c r="E1014">
        <f t="shared" si="46"/>
        <v>4.0369601228403038</v>
      </c>
      <c r="I1014" s="24">
        <f t="shared" si="47"/>
        <v>0.77493757058377399</v>
      </c>
      <c r="N1014" s="30">
        <v>38807.483870967742</v>
      </c>
    </row>
    <row r="1015" spans="1:14" x14ac:dyDescent="0.3">
      <c r="A1015">
        <v>15.432399999999999</v>
      </c>
      <c r="B1015">
        <v>57</v>
      </c>
      <c r="C1015">
        <f t="shared" si="45"/>
        <v>56.638480000000001</v>
      </c>
      <c r="D1015">
        <v>0.70551515151515143</v>
      </c>
      <c r="E1015">
        <f t="shared" si="46"/>
        <v>4.0366886128671764</v>
      </c>
      <c r="I1015" s="24">
        <f t="shared" si="47"/>
        <v>0.77444260481267235</v>
      </c>
      <c r="N1015" s="30">
        <v>38803.548387096773</v>
      </c>
    </row>
    <row r="1016" spans="1:14" x14ac:dyDescent="0.3">
      <c r="A1016">
        <v>15.4476</v>
      </c>
      <c r="B1016">
        <v>57.038499999999999</v>
      </c>
      <c r="C1016">
        <f t="shared" si="45"/>
        <v>56.407699999999998</v>
      </c>
      <c r="D1016">
        <v>0.70571212121212112</v>
      </c>
      <c r="E1016">
        <f t="shared" si="46"/>
        <v>4.0326056740080425</v>
      </c>
      <c r="I1016" s="24">
        <f t="shared" si="47"/>
        <v>0.77004990691430752</v>
      </c>
      <c r="N1016" s="30">
        <v>38799.61290322581</v>
      </c>
    </row>
    <row r="1017" spans="1:14" x14ac:dyDescent="0.3">
      <c r="A1017">
        <v>15.4628</v>
      </c>
      <c r="B1017">
        <v>56.346200000000003</v>
      </c>
      <c r="C1017">
        <f t="shared" si="45"/>
        <v>55.907699999999998</v>
      </c>
      <c r="D1017">
        <v>0.70590909090909082</v>
      </c>
      <c r="E1017">
        <f t="shared" si="46"/>
        <v>4.0237021166499032</v>
      </c>
      <c r="I1017" s="24">
        <f t="shared" si="47"/>
        <v>0.76080784703191673</v>
      </c>
      <c r="N1017" s="30">
        <v>38795.677419354841</v>
      </c>
    </row>
    <row r="1018" spans="1:14" x14ac:dyDescent="0.3">
      <c r="A1018">
        <v>15.4781</v>
      </c>
      <c r="B1018">
        <v>55.192300000000003</v>
      </c>
      <c r="C1018">
        <f t="shared" ref="C1018:C1081" si="48">AVERAGE(B1016:B1020)</f>
        <v>55.307699999999997</v>
      </c>
      <c r="D1018">
        <v>0.70610606060606051</v>
      </c>
      <c r="E1018">
        <f t="shared" ref="E1018:E1081" si="49">LN(C1018)</f>
        <v>4.0129121393415588</v>
      </c>
      <c r="I1018" s="24">
        <f t="shared" ref="I1018:I1081" si="50">(0.0026*(EXP(1.3248*E1018)))/D1018</f>
        <v>0.74980057600400285</v>
      </c>
      <c r="N1018" s="30">
        <v>38791.741935483871</v>
      </c>
    </row>
    <row r="1019" spans="1:14" x14ac:dyDescent="0.3">
      <c r="A1019">
        <v>15.4933</v>
      </c>
      <c r="B1019">
        <v>53.961500000000001</v>
      </c>
      <c r="C1019">
        <f t="shared" si="48"/>
        <v>54.638459999999995</v>
      </c>
      <c r="D1019">
        <v>0.70630303030303021</v>
      </c>
      <c r="E1019">
        <f t="shared" si="49"/>
        <v>4.0007380303851106</v>
      </c>
      <c r="I1019" s="24">
        <f t="shared" si="50"/>
        <v>0.7375988402170377</v>
      </c>
      <c r="N1019" s="30">
        <v>38787.806451612902</v>
      </c>
    </row>
    <row r="1020" spans="1:14" x14ac:dyDescent="0.3">
      <c r="A1020">
        <v>15.5085</v>
      </c>
      <c r="B1020">
        <v>54</v>
      </c>
      <c r="C1020">
        <f t="shared" si="48"/>
        <v>54.038460000000001</v>
      </c>
      <c r="D1020">
        <v>0.70649999999999991</v>
      </c>
      <c r="E1020">
        <f t="shared" si="49"/>
        <v>3.9896960152766128</v>
      </c>
      <c r="I1020" s="24">
        <f t="shared" si="50"/>
        <v>0.72668478691337435</v>
      </c>
      <c r="N1020" s="30">
        <v>38783.870967741939</v>
      </c>
    </row>
    <row r="1021" spans="1:14" x14ac:dyDescent="0.3">
      <c r="A1021">
        <v>15.5238</v>
      </c>
      <c r="B1021">
        <v>53.692300000000003</v>
      </c>
      <c r="C1021">
        <f t="shared" si="48"/>
        <v>53.630759999999995</v>
      </c>
      <c r="D1021">
        <v>0.7066969696969696</v>
      </c>
      <c r="E1021">
        <f t="shared" si="49"/>
        <v>3.9821227840672746</v>
      </c>
      <c r="I1021" s="24">
        <f t="shared" si="50"/>
        <v>0.71922988011499867</v>
      </c>
      <c r="N1021" s="30">
        <v>38779.93548387097</v>
      </c>
    </row>
    <row r="1022" spans="1:14" x14ac:dyDescent="0.3">
      <c r="A1022">
        <v>15.539</v>
      </c>
      <c r="B1022">
        <v>53.346200000000003</v>
      </c>
      <c r="C1022">
        <f t="shared" si="48"/>
        <v>53.530760000000001</v>
      </c>
      <c r="D1022">
        <v>0.7068939393939393</v>
      </c>
      <c r="E1022">
        <f t="shared" si="49"/>
        <v>3.9802564419506838</v>
      </c>
      <c r="I1022" s="25">
        <f t="shared" si="50"/>
        <v>0.71725384719778185</v>
      </c>
      <c r="N1022" s="30">
        <v>38776</v>
      </c>
    </row>
    <row r="1023" spans="1:14" x14ac:dyDescent="0.3">
      <c r="A1023">
        <v>15.5542</v>
      </c>
      <c r="B1023">
        <v>53.153799999999997</v>
      </c>
      <c r="C1023">
        <f t="shared" si="48"/>
        <v>53.569219999999994</v>
      </c>
      <c r="D1023">
        <v>0.70709090909090899</v>
      </c>
      <c r="E1023">
        <f t="shared" si="49"/>
        <v>3.9809746493985885</v>
      </c>
      <c r="I1023" s="24">
        <f t="shared" si="50"/>
        <v>0.71773663462487536</v>
      </c>
      <c r="N1023" s="30">
        <v>38767.620689655174</v>
      </c>
    </row>
    <row r="1024" spans="1:14" x14ac:dyDescent="0.3">
      <c r="A1024">
        <v>15.5695</v>
      </c>
      <c r="B1024">
        <v>53.461500000000001</v>
      </c>
      <c r="C1024">
        <f t="shared" si="48"/>
        <v>53.81537999999999</v>
      </c>
      <c r="D1024">
        <v>0.70728787878787869</v>
      </c>
      <c r="E1024">
        <f t="shared" si="49"/>
        <v>3.985559299919613</v>
      </c>
      <c r="I1024" s="24">
        <f t="shared" si="50"/>
        <v>0.72190815232024541</v>
      </c>
      <c r="N1024" s="30">
        <v>38759.241379310341</v>
      </c>
    </row>
    <row r="1025" spans="1:18" x14ac:dyDescent="0.3">
      <c r="A1025">
        <v>15.5847</v>
      </c>
      <c r="B1025">
        <v>54.192300000000003</v>
      </c>
      <c r="C1025">
        <f t="shared" si="48"/>
        <v>54.384599999999999</v>
      </c>
      <c r="D1025">
        <v>0.70748484848484838</v>
      </c>
      <c r="E1025">
        <f t="shared" si="49"/>
        <v>3.9960810255495645</v>
      </c>
      <c r="I1025" s="24">
        <f t="shared" si="50"/>
        <v>0.73183761574546746</v>
      </c>
      <c r="N1025" s="30">
        <v>38750.862068965514</v>
      </c>
    </row>
    <row r="1026" spans="1:18" x14ac:dyDescent="0.3">
      <c r="A1026">
        <v>15.5999</v>
      </c>
      <c r="B1026">
        <v>54.923099999999998</v>
      </c>
      <c r="C1026">
        <f t="shared" si="48"/>
        <v>54.961539999999999</v>
      </c>
      <c r="D1026">
        <v>0.70768181818181808</v>
      </c>
      <c r="E1026">
        <f t="shared" si="49"/>
        <v>4.0066336678999876</v>
      </c>
      <c r="I1026" s="24">
        <f t="shared" si="50"/>
        <v>0.74193409903927621</v>
      </c>
      <c r="N1026" s="30">
        <v>38742.482758620688</v>
      </c>
    </row>
    <row r="1027" spans="1:18" x14ac:dyDescent="0.3">
      <c r="A1027">
        <v>15.6152</v>
      </c>
      <c r="B1027">
        <v>56.192300000000003</v>
      </c>
      <c r="C1027">
        <f t="shared" si="48"/>
        <v>55.453859999999999</v>
      </c>
      <c r="D1027">
        <v>0.70787878787878777</v>
      </c>
      <c r="E1027">
        <f t="shared" si="49"/>
        <v>4.0155513236368554</v>
      </c>
      <c r="I1027" s="24">
        <f t="shared" si="50"/>
        <v>0.7505424727581439</v>
      </c>
      <c r="N1027" s="30">
        <v>38734.103448275862</v>
      </c>
    </row>
    <row r="1028" spans="1:18" x14ac:dyDescent="0.3">
      <c r="A1028">
        <v>15.6304</v>
      </c>
      <c r="B1028">
        <v>56.038499999999999</v>
      </c>
      <c r="C1028">
        <f t="shared" si="48"/>
        <v>55.900019999999998</v>
      </c>
      <c r="D1028">
        <v>0.70807575757575747</v>
      </c>
      <c r="E1028">
        <f t="shared" si="49"/>
        <v>4.0235647379427428</v>
      </c>
      <c r="I1028" s="24">
        <f t="shared" si="50"/>
        <v>0.75834179328966322</v>
      </c>
      <c r="N1028" s="30">
        <v>38725.724137931036</v>
      </c>
    </row>
    <row r="1029" spans="1:18" x14ac:dyDescent="0.3">
      <c r="A1029">
        <v>15.6456</v>
      </c>
      <c r="B1029">
        <v>55.923099999999998</v>
      </c>
      <c r="C1029">
        <f t="shared" si="48"/>
        <v>56.307699999999997</v>
      </c>
      <c r="D1029">
        <v>0.70827272727272717</v>
      </c>
      <c r="E1029">
        <f t="shared" si="49"/>
        <v>4.0308312931117873</v>
      </c>
      <c r="I1029" s="24">
        <f t="shared" si="50"/>
        <v>0.76546446516183353</v>
      </c>
      <c r="N1029" s="30">
        <v>38717.344827586203</v>
      </c>
      <c r="O1029">
        <v>2005</v>
      </c>
      <c r="P1029" s="24">
        <f>AVERAGE(I1029:I1161)</f>
        <v>0.64314227048131334</v>
      </c>
      <c r="Q1029">
        <f>A1161-A1029</f>
        <v>2.011000000000001</v>
      </c>
      <c r="R1029">
        <f>P1029*Q1029</f>
        <v>1.2933591059379217</v>
      </c>
    </row>
    <row r="1030" spans="1:18" x14ac:dyDescent="0.3">
      <c r="A1030">
        <v>15.6609</v>
      </c>
      <c r="B1030">
        <v>56.423099999999998</v>
      </c>
      <c r="C1030">
        <f t="shared" si="48"/>
        <v>56.469239999999999</v>
      </c>
      <c r="D1030">
        <v>0.70846969696969686</v>
      </c>
      <c r="E1030">
        <f t="shared" si="49"/>
        <v>4.0336960651206537</v>
      </c>
      <c r="I1030" s="24">
        <f t="shared" si="50"/>
        <v>0.76816148928525141</v>
      </c>
      <c r="N1030" s="30">
        <v>38708.965517241377</v>
      </c>
    </row>
    <row r="1031" spans="1:18" x14ac:dyDescent="0.3">
      <c r="A1031">
        <v>15.6761</v>
      </c>
      <c r="B1031">
        <v>56.961500000000001</v>
      </c>
      <c r="C1031">
        <f t="shared" si="48"/>
        <v>56.569240000000001</v>
      </c>
      <c r="D1031">
        <v>0.70866666666666656</v>
      </c>
      <c r="E1031">
        <f t="shared" si="49"/>
        <v>4.0354653745821238</v>
      </c>
      <c r="I1031" s="24">
        <f t="shared" si="50"/>
        <v>0.76975015026874538</v>
      </c>
      <c r="N1031" s="30">
        <v>38700.586206896551</v>
      </c>
    </row>
    <row r="1032" spans="1:18" x14ac:dyDescent="0.3">
      <c r="A1032">
        <v>15.6913</v>
      </c>
      <c r="B1032">
        <v>57</v>
      </c>
      <c r="C1032">
        <f t="shared" si="48"/>
        <v>56.6</v>
      </c>
      <c r="D1032">
        <v>0.70886363636363625</v>
      </c>
      <c r="E1032">
        <f t="shared" si="49"/>
        <v>4.0360089852091372</v>
      </c>
      <c r="I1032" s="24">
        <f t="shared" si="50"/>
        <v>0.77009066289124495</v>
      </c>
      <c r="N1032" s="30">
        <v>38692.206896551725</v>
      </c>
    </row>
    <row r="1033" spans="1:18" x14ac:dyDescent="0.3">
      <c r="A1033">
        <v>15.7066</v>
      </c>
      <c r="B1033">
        <v>56.538499999999999</v>
      </c>
      <c r="C1033">
        <f t="shared" si="48"/>
        <v>56.584619999999994</v>
      </c>
      <c r="D1033">
        <v>0.70906060606060595</v>
      </c>
      <c r="E1033">
        <f t="shared" si="49"/>
        <v>4.0357372168346943</v>
      </c>
      <c r="I1033" s="24">
        <f t="shared" si="50"/>
        <v>0.769599604115761</v>
      </c>
      <c r="N1033" s="30">
        <v>38683.827586206899</v>
      </c>
    </row>
    <row r="1034" spans="1:18" x14ac:dyDescent="0.3">
      <c r="A1034">
        <v>15.7218</v>
      </c>
      <c r="B1034">
        <v>56.076900000000002</v>
      </c>
      <c r="C1034">
        <f t="shared" si="48"/>
        <v>56.54616</v>
      </c>
      <c r="D1034">
        <v>0.70925757575757564</v>
      </c>
      <c r="E1034">
        <f t="shared" si="49"/>
        <v>4.0350572957472304</v>
      </c>
      <c r="I1034" s="24">
        <f t="shared" si="50"/>
        <v>0.76869315711246855</v>
      </c>
      <c r="N1034" s="30">
        <v>38675.448275862065</v>
      </c>
    </row>
    <row r="1035" spans="1:18" x14ac:dyDescent="0.3">
      <c r="A1035">
        <v>15.7371</v>
      </c>
      <c r="B1035">
        <v>56.346200000000003</v>
      </c>
      <c r="C1035">
        <f t="shared" si="48"/>
        <v>56.669240000000002</v>
      </c>
      <c r="D1035">
        <v>0.70945454545454534</v>
      </c>
      <c r="E1035">
        <f t="shared" si="49"/>
        <v>4.0372315591157752</v>
      </c>
      <c r="I1035" s="24">
        <f t="shared" si="50"/>
        <v>0.77069651012229168</v>
      </c>
      <c r="N1035" s="30">
        <v>38667.068965517239</v>
      </c>
    </row>
    <row r="1036" spans="1:18" x14ac:dyDescent="0.3">
      <c r="A1036">
        <v>15.7523</v>
      </c>
      <c r="B1036">
        <v>56.769199999999998</v>
      </c>
      <c r="C1036">
        <f t="shared" si="48"/>
        <v>57.030779999999993</v>
      </c>
      <c r="D1036">
        <v>0.70965151515151514</v>
      </c>
      <c r="E1036">
        <f t="shared" si="49"/>
        <v>4.0435911220870171</v>
      </c>
      <c r="I1036" s="24">
        <f t="shared" si="50"/>
        <v>0.77700145017169875</v>
      </c>
      <c r="N1036" s="30">
        <v>38658.689655172413</v>
      </c>
    </row>
    <row r="1037" spans="1:18" x14ac:dyDescent="0.3">
      <c r="A1037">
        <v>15.7675</v>
      </c>
      <c r="B1037">
        <v>57.615400000000001</v>
      </c>
      <c r="C1037">
        <f t="shared" si="48"/>
        <v>57.592319999999994</v>
      </c>
      <c r="D1037">
        <v>0.70984848484848484</v>
      </c>
      <c r="E1037">
        <f t="shared" si="49"/>
        <v>4.0533892254788331</v>
      </c>
      <c r="I1037" s="24">
        <f t="shared" si="50"/>
        <v>0.78693466271916834</v>
      </c>
      <c r="N1037" s="30">
        <v>38650.310344827587</v>
      </c>
    </row>
    <row r="1038" spans="1:18" x14ac:dyDescent="0.3">
      <c r="A1038">
        <v>15.7828</v>
      </c>
      <c r="B1038">
        <v>58.346200000000003</v>
      </c>
      <c r="C1038">
        <f t="shared" si="48"/>
        <v>58.161540000000002</v>
      </c>
      <c r="D1038">
        <v>0.71004545454545454</v>
      </c>
      <c r="E1038">
        <f t="shared" si="49"/>
        <v>4.0632243115542144</v>
      </c>
      <c r="I1038" s="24">
        <f t="shared" si="50"/>
        <v>0.79703397260490072</v>
      </c>
      <c r="N1038" s="30">
        <v>38641.931034482754</v>
      </c>
    </row>
    <row r="1039" spans="1:18" x14ac:dyDescent="0.3">
      <c r="A1039">
        <v>15.798</v>
      </c>
      <c r="B1039">
        <v>58.884599999999999</v>
      </c>
      <c r="C1039">
        <f t="shared" si="48"/>
        <v>58.630780000000001</v>
      </c>
      <c r="D1039">
        <v>0.71024242424242423</v>
      </c>
      <c r="E1039">
        <f t="shared" si="49"/>
        <v>4.0712598146570311</v>
      </c>
      <c r="I1039" s="24">
        <f t="shared" si="50"/>
        <v>0.80534066329207921</v>
      </c>
      <c r="N1039" s="30">
        <v>38633.551724137928</v>
      </c>
    </row>
    <row r="1040" spans="1:18" x14ac:dyDescent="0.3">
      <c r="A1040">
        <v>15.8132</v>
      </c>
      <c r="B1040">
        <v>59.192300000000003</v>
      </c>
      <c r="C1040">
        <f t="shared" si="48"/>
        <v>58.907699999999998</v>
      </c>
      <c r="D1040">
        <v>0.71043939393939393</v>
      </c>
      <c r="E1040">
        <f t="shared" si="49"/>
        <v>4.0759718121640462</v>
      </c>
      <c r="I1040" s="24">
        <f t="shared" si="50"/>
        <v>0.81015901032497051</v>
      </c>
      <c r="N1040" s="30">
        <v>38625.172413793101</v>
      </c>
    </row>
    <row r="1041" spans="1:14" x14ac:dyDescent="0.3">
      <c r="A1041">
        <v>15.8285</v>
      </c>
      <c r="B1041">
        <v>59.115400000000001</v>
      </c>
      <c r="C1041">
        <f t="shared" si="48"/>
        <v>59.023079999999993</v>
      </c>
      <c r="D1041">
        <v>0.71063636363636362</v>
      </c>
      <c r="E1041">
        <f t="shared" si="49"/>
        <v>4.0779285538529297</v>
      </c>
      <c r="I1041" s="24">
        <f t="shared" si="50"/>
        <v>0.81203676540738035</v>
      </c>
      <c r="N1041" s="30">
        <v>38616.793103448275</v>
      </c>
    </row>
    <row r="1042" spans="1:14" x14ac:dyDescent="0.3">
      <c r="A1042">
        <v>15.8437</v>
      </c>
      <c r="B1042">
        <v>59</v>
      </c>
      <c r="C1042">
        <f t="shared" si="48"/>
        <v>59.161540000000002</v>
      </c>
      <c r="D1042">
        <v>0.71083333333333332</v>
      </c>
      <c r="E1042">
        <f t="shared" si="49"/>
        <v>4.0802716686058922</v>
      </c>
      <c r="I1042" s="24">
        <f t="shared" si="50"/>
        <v>0.81433566012420966</v>
      </c>
      <c r="N1042" s="30">
        <v>38608.413793103449</v>
      </c>
    </row>
    <row r="1043" spans="1:14" x14ac:dyDescent="0.3">
      <c r="A1043">
        <v>15.8589</v>
      </c>
      <c r="B1043">
        <v>58.923099999999998</v>
      </c>
      <c r="C1043">
        <f t="shared" si="48"/>
        <v>59.45384</v>
      </c>
      <c r="D1043">
        <v>0.71103030303030301</v>
      </c>
      <c r="E1043">
        <f t="shared" si="49"/>
        <v>4.0852002131450078</v>
      </c>
      <c r="I1043" s="24">
        <f t="shared" si="50"/>
        <v>0.81944306230626074</v>
      </c>
      <c r="N1043" s="30">
        <v>38600.034482758616</v>
      </c>
    </row>
    <row r="1044" spans="1:14" x14ac:dyDescent="0.3">
      <c r="A1044">
        <v>15.8742</v>
      </c>
      <c r="B1044">
        <v>59.576900000000002</v>
      </c>
      <c r="C1044">
        <f t="shared" si="48"/>
        <v>60.015379999999993</v>
      </c>
      <c r="D1044">
        <v>0.71122727272727271</v>
      </c>
      <c r="E1044">
        <f t="shared" si="49"/>
        <v>4.094600862707658</v>
      </c>
      <c r="I1044" s="24">
        <f t="shared" si="50"/>
        <v>0.82948242005398087</v>
      </c>
      <c r="N1044" s="30">
        <v>38591.65517241379</v>
      </c>
    </row>
    <row r="1045" spans="1:14" x14ac:dyDescent="0.3">
      <c r="A1045">
        <v>15.8894</v>
      </c>
      <c r="B1045">
        <v>60.653799999999997</v>
      </c>
      <c r="C1045">
        <f t="shared" si="48"/>
        <v>60.8</v>
      </c>
      <c r="D1045">
        <v>0.7114242424242424</v>
      </c>
      <c r="E1045">
        <f t="shared" si="49"/>
        <v>4.1075897889721213</v>
      </c>
      <c r="I1045" s="24">
        <f t="shared" si="50"/>
        <v>0.84364580183633342</v>
      </c>
      <c r="N1045" s="30">
        <v>38583.275862068964</v>
      </c>
    </row>
    <row r="1046" spans="1:14" x14ac:dyDescent="0.3">
      <c r="A1046">
        <v>15.9046</v>
      </c>
      <c r="B1046">
        <v>61.923099999999998</v>
      </c>
      <c r="C1046">
        <f t="shared" si="48"/>
        <v>61.707680000000003</v>
      </c>
      <c r="D1046">
        <v>0.7116212121212121</v>
      </c>
      <c r="E1046">
        <f t="shared" si="49"/>
        <v>4.1224083964228875</v>
      </c>
      <c r="I1046" s="24">
        <f t="shared" si="50"/>
        <v>0.86013349435160436</v>
      </c>
      <c r="N1046" s="30">
        <v>38574.896551724138</v>
      </c>
    </row>
    <row r="1047" spans="1:14" x14ac:dyDescent="0.3">
      <c r="A1047">
        <v>15.9199</v>
      </c>
      <c r="B1047">
        <v>62.923099999999998</v>
      </c>
      <c r="C1047">
        <f t="shared" si="48"/>
        <v>62.476919999999993</v>
      </c>
      <c r="D1047">
        <v>0.71181818181818179</v>
      </c>
      <c r="E1047">
        <f t="shared" si="49"/>
        <v>4.1347972085417055</v>
      </c>
      <c r="I1047" s="24">
        <f t="shared" si="50"/>
        <v>0.87412514307252176</v>
      </c>
      <c r="N1047" s="30">
        <v>38566.517241379312</v>
      </c>
    </row>
    <row r="1048" spans="1:14" x14ac:dyDescent="0.3">
      <c r="A1048">
        <v>15.9351</v>
      </c>
      <c r="B1048">
        <v>63.461500000000001</v>
      </c>
      <c r="C1048">
        <f t="shared" si="48"/>
        <v>63.023080000000007</v>
      </c>
      <c r="D1048">
        <v>0.71201515151515149</v>
      </c>
      <c r="E1048">
        <f t="shared" si="49"/>
        <v>4.1435010085083963</v>
      </c>
      <c r="I1048" s="24">
        <f t="shared" si="50"/>
        <v>0.88401821592738195</v>
      </c>
      <c r="N1048" s="30">
        <v>38558.137931034478</v>
      </c>
    </row>
    <row r="1049" spans="1:14" x14ac:dyDescent="0.3">
      <c r="A1049">
        <v>15.9503</v>
      </c>
      <c r="B1049">
        <v>63.423099999999998</v>
      </c>
      <c r="C1049">
        <f t="shared" si="48"/>
        <v>63.5077</v>
      </c>
      <c r="D1049">
        <v>0.71221212121212119</v>
      </c>
      <c r="E1049">
        <f t="shared" si="49"/>
        <v>4.1511611583897849</v>
      </c>
      <c r="I1049" s="24">
        <f t="shared" si="50"/>
        <v>0.89278807666853899</v>
      </c>
      <c r="N1049" s="30">
        <v>38549.758620689652</v>
      </c>
    </row>
    <row r="1050" spans="1:14" x14ac:dyDescent="0.3">
      <c r="A1050">
        <v>15.9656</v>
      </c>
      <c r="B1050">
        <v>63.384599999999999</v>
      </c>
      <c r="C1050">
        <f t="shared" si="48"/>
        <v>63.838460000000012</v>
      </c>
      <c r="D1050">
        <v>0.71240909090909088</v>
      </c>
      <c r="E1050">
        <f t="shared" si="49"/>
        <v>4.1563558300435766</v>
      </c>
      <c r="I1050" s="24">
        <f t="shared" si="50"/>
        <v>0.89870479969201922</v>
      </c>
      <c r="N1050" s="30">
        <v>38541.379310344826</v>
      </c>
    </row>
    <row r="1051" spans="1:14" x14ac:dyDescent="0.3">
      <c r="A1051">
        <v>15.9808</v>
      </c>
      <c r="B1051">
        <v>64.346199999999996</v>
      </c>
      <c r="C1051">
        <f t="shared" si="48"/>
        <v>64</v>
      </c>
      <c r="D1051">
        <v>0.71260606060606058</v>
      </c>
      <c r="E1051">
        <f t="shared" si="49"/>
        <v>4.1588830833596715</v>
      </c>
      <c r="I1051" s="24">
        <f t="shared" si="50"/>
        <v>0.901469558793074</v>
      </c>
      <c r="J1051">
        <v>2005</v>
      </c>
      <c r="K1051">
        <f>AVERAGE(I1051:I1176)</f>
        <v>0.60994506829858386</v>
      </c>
      <c r="L1051">
        <f>A1176-A1051</f>
        <v>1.904300000000001</v>
      </c>
      <c r="M1051">
        <f>K1051*L1051</f>
        <v>1.1615183935609938</v>
      </c>
      <c r="N1051" s="30">
        <v>38533</v>
      </c>
    </row>
    <row r="1052" spans="1:14" x14ac:dyDescent="0.3">
      <c r="A1052">
        <v>15.996</v>
      </c>
      <c r="B1052">
        <v>64.576899999999995</v>
      </c>
      <c r="C1052">
        <f t="shared" si="48"/>
        <v>63.961539999999992</v>
      </c>
      <c r="D1052">
        <v>0.71280303030303027</v>
      </c>
      <c r="E1052">
        <f t="shared" si="49"/>
        <v>4.1582819652243614</v>
      </c>
      <c r="I1052" s="24">
        <f t="shared" si="50"/>
        <v>0.90050304325241715</v>
      </c>
      <c r="N1052" s="30">
        <v>38531.849056603773</v>
      </c>
    </row>
    <row r="1053" spans="1:14" x14ac:dyDescent="0.3">
      <c r="A1053">
        <v>16.011299999999999</v>
      </c>
      <c r="B1053">
        <v>64.269199999999998</v>
      </c>
      <c r="C1053">
        <f t="shared" si="48"/>
        <v>63.584619999999994</v>
      </c>
      <c r="D1053">
        <v>0.71299999999999997</v>
      </c>
      <c r="E1053">
        <f t="shared" si="49"/>
        <v>4.1523716172025917</v>
      </c>
      <c r="I1053" s="24">
        <f t="shared" si="50"/>
        <v>0.89323278291666341</v>
      </c>
      <c r="N1053" s="30">
        <v>38530.698113207545</v>
      </c>
    </row>
    <row r="1054" spans="1:14" x14ac:dyDescent="0.3">
      <c r="A1054">
        <v>16.026499999999999</v>
      </c>
      <c r="B1054">
        <v>63.230800000000002</v>
      </c>
      <c r="C1054">
        <f t="shared" si="48"/>
        <v>62.807679999999991</v>
      </c>
      <c r="D1054">
        <v>0.71299999999999997</v>
      </c>
      <c r="E1054">
        <f t="shared" si="49"/>
        <v>4.140077358990605</v>
      </c>
      <c r="I1054" s="24">
        <f t="shared" si="50"/>
        <v>0.87880215154720964</v>
      </c>
      <c r="N1054" s="30">
        <v>38529.547169811325</v>
      </c>
    </row>
    <row r="1055" spans="1:14" x14ac:dyDescent="0.3">
      <c r="A1055">
        <v>16.041699999999999</v>
      </c>
      <c r="B1055">
        <v>61.5</v>
      </c>
      <c r="C1055">
        <f t="shared" si="48"/>
        <v>61.9923</v>
      </c>
      <c r="D1055">
        <v>0.71299999999999997</v>
      </c>
      <c r="E1055">
        <f t="shared" si="49"/>
        <v>4.1270101837840469</v>
      </c>
      <c r="I1055" s="24">
        <f t="shared" si="50"/>
        <v>0.86371978654523374</v>
      </c>
      <c r="N1055" s="30">
        <v>38528.396226415098</v>
      </c>
    </row>
    <row r="1056" spans="1:14" x14ac:dyDescent="0.3">
      <c r="A1056">
        <v>16.056999999999999</v>
      </c>
      <c r="B1056">
        <v>60.461500000000001</v>
      </c>
      <c r="C1056">
        <f t="shared" si="48"/>
        <v>61.32307999999999</v>
      </c>
      <c r="D1056">
        <v>0.71299999999999997</v>
      </c>
      <c r="E1056">
        <f t="shared" si="49"/>
        <v>4.1161562810527164</v>
      </c>
      <c r="I1056" s="24">
        <f t="shared" si="50"/>
        <v>0.85138900963769559</v>
      </c>
      <c r="N1056" s="30">
        <v>38527.24528301887</v>
      </c>
    </row>
    <row r="1057" spans="1:14" x14ac:dyDescent="0.3">
      <c r="A1057">
        <v>16.072199999999999</v>
      </c>
      <c r="B1057">
        <v>60.5</v>
      </c>
      <c r="C1057">
        <f t="shared" si="48"/>
        <v>60.976919999999993</v>
      </c>
      <c r="D1057">
        <v>0.71299999999999997</v>
      </c>
      <c r="E1057">
        <f t="shared" si="49"/>
        <v>4.1104954319211204</v>
      </c>
      <c r="I1057" s="24">
        <f t="shared" si="50"/>
        <v>0.84502790611867651</v>
      </c>
      <c r="N1057" s="30">
        <v>38526.094339622643</v>
      </c>
    </row>
    <row r="1058" spans="1:14" x14ac:dyDescent="0.3">
      <c r="A1058">
        <v>16.087399999999999</v>
      </c>
      <c r="B1058">
        <v>60.923099999999998</v>
      </c>
      <c r="C1058">
        <f t="shared" si="48"/>
        <v>60.923080000000006</v>
      </c>
      <c r="D1058">
        <v>0.71299999999999997</v>
      </c>
      <c r="E1058">
        <f t="shared" si="49"/>
        <v>4.1096120848579387</v>
      </c>
      <c r="I1058" s="24">
        <f t="shared" si="50"/>
        <v>0.84403958370034615</v>
      </c>
      <c r="N1058" s="30">
        <v>38524.943396226416</v>
      </c>
    </row>
    <row r="1059" spans="1:14" x14ac:dyDescent="0.3">
      <c r="A1059">
        <v>16.102699999999999</v>
      </c>
      <c r="B1059">
        <v>61.5</v>
      </c>
      <c r="C1059">
        <f t="shared" si="48"/>
        <v>61.000020000000006</v>
      </c>
      <c r="D1059">
        <v>0.71299999999999997</v>
      </c>
      <c r="E1059">
        <f t="shared" si="49"/>
        <v>4.1108741920421101</v>
      </c>
      <c r="I1059" s="24">
        <f t="shared" si="50"/>
        <v>0.84545203181174566</v>
      </c>
      <c r="N1059" s="30">
        <v>38523.792452830188</v>
      </c>
    </row>
    <row r="1060" spans="1:14" x14ac:dyDescent="0.3">
      <c r="A1060">
        <v>16.117899999999999</v>
      </c>
      <c r="B1060">
        <v>61.230800000000002</v>
      </c>
      <c r="C1060">
        <f t="shared" si="48"/>
        <v>61.023100000000014</v>
      </c>
      <c r="D1060">
        <v>0.71299999999999997</v>
      </c>
      <c r="E1060">
        <f t="shared" si="49"/>
        <v>4.1112524810134987</v>
      </c>
      <c r="I1060" s="24">
        <f t="shared" si="50"/>
        <v>0.84587584239851044</v>
      </c>
      <c r="N1060" s="30">
        <v>38522.641509433961</v>
      </c>
    </row>
    <row r="1061" spans="1:14" x14ac:dyDescent="0.3">
      <c r="A1061">
        <v>16.133099999999999</v>
      </c>
      <c r="B1061">
        <v>60.846200000000003</v>
      </c>
      <c r="C1061">
        <f t="shared" si="48"/>
        <v>60.923099999999998</v>
      </c>
      <c r="D1061">
        <v>0.71299999999999997</v>
      </c>
      <c r="E1061">
        <f t="shared" si="49"/>
        <v>4.1096124131406961</v>
      </c>
      <c r="I1061" s="24">
        <f t="shared" si="50"/>
        <v>0.84403995078083471</v>
      </c>
      <c r="N1061" s="30">
        <v>38521.490566037734</v>
      </c>
    </row>
    <row r="1062" spans="1:14" x14ac:dyDescent="0.3">
      <c r="A1062">
        <v>16.148399999999999</v>
      </c>
      <c r="B1062">
        <v>60.615400000000001</v>
      </c>
      <c r="C1062">
        <f t="shared" si="48"/>
        <v>60.523099999999999</v>
      </c>
      <c r="D1062">
        <v>0.71299999999999997</v>
      </c>
      <c r="E1062">
        <f t="shared" si="49"/>
        <v>4.1030251103446007</v>
      </c>
      <c r="I1062" s="24">
        <f t="shared" si="50"/>
        <v>0.83670618028917809</v>
      </c>
      <c r="N1062" s="30">
        <v>38520.339622641513</v>
      </c>
    </row>
    <row r="1063" spans="1:14" x14ac:dyDescent="0.3">
      <c r="A1063">
        <v>16.163599999999999</v>
      </c>
      <c r="B1063">
        <v>60.423099999999998</v>
      </c>
      <c r="C1063">
        <f t="shared" si="48"/>
        <v>59.930780000000006</v>
      </c>
      <c r="D1063">
        <v>0.71299999999999997</v>
      </c>
      <c r="E1063">
        <f t="shared" si="49"/>
        <v>4.0931902295697791</v>
      </c>
      <c r="I1063" s="24">
        <f t="shared" si="50"/>
        <v>0.82587523899113979</v>
      </c>
      <c r="N1063" s="30">
        <v>38519.188679245286</v>
      </c>
    </row>
    <row r="1064" spans="1:14" x14ac:dyDescent="0.3">
      <c r="A1064">
        <v>16.178799999999999</v>
      </c>
      <c r="B1064">
        <v>59.5</v>
      </c>
      <c r="C1064">
        <f t="shared" si="48"/>
        <v>59.223080000000003</v>
      </c>
      <c r="D1064">
        <v>0.71299999999999997</v>
      </c>
      <c r="E1064">
        <f t="shared" si="49"/>
        <v>4.0813113307772655</v>
      </c>
      <c r="I1064" s="24">
        <f t="shared" si="50"/>
        <v>0.81298003707984123</v>
      </c>
      <c r="N1064" s="30">
        <v>38518.037735849059</v>
      </c>
    </row>
    <row r="1065" spans="1:14" x14ac:dyDescent="0.3">
      <c r="A1065">
        <v>16.194099999999999</v>
      </c>
      <c r="B1065">
        <v>58.269199999999998</v>
      </c>
      <c r="C1065">
        <f t="shared" si="48"/>
        <v>58.038460000000001</v>
      </c>
      <c r="D1065">
        <v>0.71299999999999997</v>
      </c>
      <c r="E1065">
        <f t="shared" si="49"/>
        <v>4.0611058942387457</v>
      </c>
      <c r="I1065" s="24">
        <f t="shared" si="50"/>
        <v>0.79150673803786653</v>
      </c>
      <c r="N1065" s="30">
        <v>38516.886792452831</v>
      </c>
    </row>
    <row r="1066" spans="1:14" x14ac:dyDescent="0.3">
      <c r="A1066">
        <v>16.209299999999999</v>
      </c>
      <c r="B1066">
        <v>57.307699999999997</v>
      </c>
      <c r="C1066">
        <f t="shared" si="48"/>
        <v>56.661540000000002</v>
      </c>
      <c r="D1066">
        <v>0.71299999999999997</v>
      </c>
      <c r="E1066">
        <f t="shared" si="49"/>
        <v>4.0370956737012067</v>
      </c>
      <c r="I1066" s="24">
        <f t="shared" si="50"/>
        <v>0.76672611543498526</v>
      </c>
      <c r="N1066" s="30">
        <v>38515.735849056604</v>
      </c>
    </row>
    <row r="1067" spans="1:14" x14ac:dyDescent="0.3">
      <c r="A1067">
        <v>16.224499999999999</v>
      </c>
      <c r="B1067">
        <v>54.692300000000003</v>
      </c>
      <c r="C1067">
        <f t="shared" si="48"/>
        <v>55.138459999999995</v>
      </c>
      <c r="D1067">
        <v>0.71299999999999997</v>
      </c>
      <c r="E1067">
        <f t="shared" si="49"/>
        <v>4.0098474762973977</v>
      </c>
      <c r="I1067" s="24">
        <f t="shared" si="50"/>
        <v>0.73954212167253031</v>
      </c>
      <c r="N1067" s="30">
        <v>38514.584905660377</v>
      </c>
    </row>
    <row r="1068" spans="1:14" x14ac:dyDescent="0.3">
      <c r="A1068">
        <v>16.239799999999999</v>
      </c>
      <c r="B1068">
        <v>53.538499999999999</v>
      </c>
      <c r="C1068">
        <f t="shared" si="48"/>
        <v>53.54616</v>
      </c>
      <c r="D1068">
        <v>0.71299999999999997</v>
      </c>
      <c r="E1068">
        <f t="shared" si="49"/>
        <v>3.9805440856390937</v>
      </c>
      <c r="I1068" s="24">
        <f t="shared" si="50"/>
        <v>0.71138239216841037</v>
      </c>
      <c r="N1068" s="30">
        <v>38513.433962264149</v>
      </c>
    </row>
    <row r="1069" spans="1:14" x14ac:dyDescent="0.3">
      <c r="A1069">
        <v>16.254999999999999</v>
      </c>
      <c r="B1069">
        <v>51.884599999999999</v>
      </c>
      <c r="C1069">
        <f t="shared" si="48"/>
        <v>51.930779999999992</v>
      </c>
      <c r="D1069">
        <v>0.71299999999999997</v>
      </c>
      <c r="E1069">
        <f t="shared" si="49"/>
        <v>3.9499116779629513</v>
      </c>
      <c r="I1069" s="24">
        <f t="shared" si="50"/>
        <v>0.68309114217867939</v>
      </c>
      <c r="N1069" s="30">
        <v>38512.283018867929</v>
      </c>
    </row>
    <row r="1070" spans="1:14" x14ac:dyDescent="0.3">
      <c r="A1070">
        <v>16.270299999999999</v>
      </c>
      <c r="B1070">
        <v>50.307699999999997</v>
      </c>
      <c r="C1070">
        <f t="shared" si="48"/>
        <v>50.746159999999996</v>
      </c>
      <c r="D1070">
        <v>0.71299999999999997</v>
      </c>
      <c r="E1070">
        <f t="shared" si="49"/>
        <v>3.9268359500345236</v>
      </c>
      <c r="I1070" s="24">
        <f t="shared" si="50"/>
        <v>0.66252452112946114</v>
      </c>
      <c r="N1070" s="30">
        <v>38511.132075471702</v>
      </c>
    </row>
    <row r="1071" spans="1:14" x14ac:dyDescent="0.3">
      <c r="A1071">
        <v>16.285499999999999</v>
      </c>
      <c r="B1071">
        <v>49.230800000000002</v>
      </c>
      <c r="C1071">
        <f t="shared" si="48"/>
        <v>49.769219999999997</v>
      </c>
      <c r="D1071">
        <v>0.71299999999999997</v>
      </c>
      <c r="E1071">
        <f t="shared" si="49"/>
        <v>3.9073967206560329</v>
      </c>
      <c r="I1071" s="24">
        <f t="shared" si="50"/>
        <v>0.64568029320611364</v>
      </c>
      <c r="N1071" s="30">
        <v>38509.981132075474</v>
      </c>
    </row>
    <row r="1072" spans="1:14" x14ac:dyDescent="0.3">
      <c r="A1072">
        <v>16.300699999999999</v>
      </c>
      <c r="B1072">
        <v>48.769199999999998</v>
      </c>
      <c r="C1072">
        <f t="shared" si="48"/>
        <v>49.107680000000002</v>
      </c>
      <c r="D1072">
        <v>0.71299999999999997</v>
      </c>
      <c r="E1072">
        <f t="shared" si="49"/>
        <v>3.8940154380474645</v>
      </c>
      <c r="I1072" s="24">
        <f t="shared" si="50"/>
        <v>0.63433484133101337</v>
      </c>
      <c r="N1072" s="30">
        <v>38508.830188679247</v>
      </c>
    </row>
    <row r="1073" spans="1:14" x14ac:dyDescent="0.3">
      <c r="A1073">
        <v>16.315999999999999</v>
      </c>
      <c r="B1073">
        <v>48.653799999999997</v>
      </c>
      <c r="C1073">
        <f t="shared" si="48"/>
        <v>48.899979999999992</v>
      </c>
      <c r="D1073">
        <v>0.71299999999999997</v>
      </c>
      <c r="E1073">
        <f t="shared" si="49"/>
        <v>3.8897769874827874</v>
      </c>
      <c r="I1073" s="24">
        <f t="shared" si="50"/>
        <v>0.63078296959097968</v>
      </c>
      <c r="N1073" s="30">
        <v>38507.67924528302</v>
      </c>
    </row>
    <row r="1074" spans="1:14" x14ac:dyDescent="0.3">
      <c r="A1074">
        <v>16.331199999999999</v>
      </c>
      <c r="B1074">
        <v>48.576900000000002</v>
      </c>
      <c r="C1074">
        <f t="shared" si="48"/>
        <v>48.961519999999993</v>
      </c>
      <c r="D1074">
        <v>0.71299999999999997</v>
      </c>
      <c r="E1074">
        <f t="shared" si="49"/>
        <v>3.8910346834737952</v>
      </c>
      <c r="I1074" s="24">
        <f t="shared" si="50"/>
        <v>0.63183485350915425</v>
      </c>
      <c r="N1074" s="30">
        <v>38506.528301886792</v>
      </c>
    </row>
    <row r="1075" spans="1:14" x14ac:dyDescent="0.3">
      <c r="A1075">
        <v>16.346399999999999</v>
      </c>
      <c r="B1075">
        <v>49.269199999999998</v>
      </c>
      <c r="C1075">
        <f t="shared" si="48"/>
        <v>49.130759999999995</v>
      </c>
      <c r="D1075">
        <v>0.71299999999999997</v>
      </c>
      <c r="E1075">
        <f t="shared" si="49"/>
        <v>3.8944853152243546</v>
      </c>
      <c r="I1075" s="24">
        <f t="shared" si="50"/>
        <v>0.6347298334367254</v>
      </c>
      <c r="N1075" s="30">
        <v>38505.377358490565</v>
      </c>
    </row>
    <row r="1076" spans="1:14" x14ac:dyDescent="0.3">
      <c r="A1076">
        <v>16.361699999999999</v>
      </c>
      <c r="B1076">
        <v>49.538499999999999</v>
      </c>
      <c r="C1076">
        <f t="shared" si="48"/>
        <v>49.207700000000003</v>
      </c>
      <c r="D1076">
        <v>0.71299999999999997</v>
      </c>
      <c r="E1076">
        <f t="shared" si="49"/>
        <v>3.8960501153178195</v>
      </c>
      <c r="I1076" s="24">
        <f t="shared" si="50"/>
        <v>0.63604702314419737</v>
      </c>
      <c r="N1076" s="30">
        <v>38504.226415094337</v>
      </c>
    </row>
    <row r="1077" spans="1:14" x14ac:dyDescent="0.3">
      <c r="A1077">
        <v>16.376899999999999</v>
      </c>
      <c r="B1077">
        <v>49.615400000000001</v>
      </c>
      <c r="C1077">
        <f t="shared" si="48"/>
        <v>49.115400000000001</v>
      </c>
      <c r="D1077">
        <v>0.71299999999999997</v>
      </c>
      <c r="E1077">
        <f t="shared" si="49"/>
        <v>3.8941726312451506</v>
      </c>
      <c r="I1077" s="24">
        <f t="shared" si="50"/>
        <v>0.6344669550310198</v>
      </c>
      <c r="N1077" s="30">
        <v>38503.075471698117</v>
      </c>
    </row>
    <row r="1078" spans="1:14" x14ac:dyDescent="0.3">
      <c r="A1078">
        <v>16.392099999999999</v>
      </c>
      <c r="B1078">
        <v>49.038499999999999</v>
      </c>
      <c r="C1078">
        <f t="shared" si="48"/>
        <v>48.715400000000002</v>
      </c>
      <c r="D1078">
        <v>0.71299999999999997</v>
      </c>
      <c r="E1078">
        <f t="shared" si="49"/>
        <v>3.8859952018668933</v>
      </c>
      <c r="I1078" s="24">
        <f t="shared" si="50"/>
        <v>0.62763058128912741</v>
      </c>
      <c r="N1078" s="30">
        <v>38501.92452830189</v>
      </c>
    </row>
    <row r="1079" spans="1:14" x14ac:dyDescent="0.3">
      <c r="A1079">
        <v>16.407399999999999</v>
      </c>
      <c r="B1079">
        <v>48.115400000000001</v>
      </c>
      <c r="C1079">
        <f t="shared" si="48"/>
        <v>48.238459999999996</v>
      </c>
      <c r="D1079">
        <v>0.71299999999999997</v>
      </c>
      <c r="E1079">
        <f t="shared" si="49"/>
        <v>3.8761566281945976</v>
      </c>
      <c r="I1079" s="24">
        <f t="shared" si="50"/>
        <v>0.6195030377618046</v>
      </c>
      <c r="N1079" s="30">
        <v>38500.773584905663</v>
      </c>
    </row>
    <row r="1080" spans="1:14" x14ac:dyDescent="0.3">
      <c r="A1080">
        <v>16.422599999999999</v>
      </c>
      <c r="B1080">
        <v>47.269199999999998</v>
      </c>
      <c r="C1080">
        <f t="shared" si="48"/>
        <v>47.74613999999999</v>
      </c>
      <c r="D1080">
        <v>0.71299999999999997</v>
      </c>
      <c r="E1080">
        <f t="shared" si="49"/>
        <v>3.8658982259628614</v>
      </c>
      <c r="I1080" s="24">
        <f t="shared" si="50"/>
        <v>0.61114073816991676</v>
      </c>
      <c r="N1080" s="30">
        <v>38499.622641509435</v>
      </c>
    </row>
    <row r="1081" spans="1:14" x14ac:dyDescent="0.3">
      <c r="A1081">
        <v>16.437799999999999</v>
      </c>
      <c r="B1081">
        <v>47.153799999999997</v>
      </c>
      <c r="C1081">
        <f t="shared" si="48"/>
        <v>47.684600000000003</v>
      </c>
      <c r="D1081">
        <v>0.71299999999999997</v>
      </c>
      <c r="E1081">
        <f t="shared" si="49"/>
        <v>3.8646084946136021</v>
      </c>
      <c r="I1081" s="24">
        <f t="shared" si="50"/>
        <v>0.61009741263335449</v>
      </c>
      <c r="N1081" s="30">
        <v>38498.471698113208</v>
      </c>
    </row>
    <row r="1082" spans="1:14" x14ac:dyDescent="0.3">
      <c r="A1082">
        <v>16.453099999999999</v>
      </c>
      <c r="B1082">
        <v>47.153799999999997</v>
      </c>
      <c r="C1082">
        <f t="shared" ref="C1082:C1145" si="51">AVERAGE(B1080:B1084)</f>
        <v>47.91536</v>
      </c>
      <c r="D1082">
        <v>0.71299999999999997</v>
      </c>
      <c r="E1082">
        <f t="shared" ref="E1082:E1145" si="52">LN(C1082)</f>
        <v>3.8694361210723112</v>
      </c>
      <c r="I1082" s="24">
        <f t="shared" ref="I1082:I1145" si="53">(0.0026*(EXP(1.3248*E1082)))/D1082</f>
        <v>0.61401188018279806</v>
      </c>
      <c r="N1082" s="30">
        <v>38497.32075471698</v>
      </c>
    </row>
    <row r="1083" spans="1:14" x14ac:dyDescent="0.3">
      <c r="A1083">
        <v>16.468299999999999</v>
      </c>
      <c r="B1083">
        <v>48.730800000000002</v>
      </c>
      <c r="C1083">
        <f t="shared" si="51"/>
        <v>48.484599999999993</v>
      </c>
      <c r="D1083">
        <v>0.71299999999999997</v>
      </c>
      <c r="E1083">
        <f t="shared" si="52"/>
        <v>3.8812462217482593</v>
      </c>
      <c r="I1083" s="24">
        <f t="shared" si="53"/>
        <v>0.62369427111434395</v>
      </c>
      <c r="N1083" s="30">
        <v>38496.169811320753</v>
      </c>
    </row>
    <row r="1084" spans="1:14" x14ac:dyDescent="0.3">
      <c r="A1084">
        <v>16.483499999999999</v>
      </c>
      <c r="B1084">
        <v>49.269199999999998</v>
      </c>
      <c r="C1084">
        <f t="shared" si="51"/>
        <v>49.207679999999996</v>
      </c>
      <c r="D1084">
        <v>0.71299999999999997</v>
      </c>
      <c r="E1084">
        <f t="shared" si="52"/>
        <v>3.8960497088772814</v>
      </c>
      <c r="I1084" s="24">
        <f t="shared" si="53"/>
        <v>0.63604668066322756</v>
      </c>
      <c r="N1084" s="30">
        <v>38495.018867924526</v>
      </c>
    </row>
    <row r="1085" spans="1:14" x14ac:dyDescent="0.3">
      <c r="A1085">
        <v>16.498799999999999</v>
      </c>
      <c r="B1085">
        <v>50.115400000000001</v>
      </c>
      <c r="C1085">
        <f t="shared" si="51"/>
        <v>49.984619999999993</v>
      </c>
      <c r="D1085">
        <v>0.71299999999999997</v>
      </c>
      <c r="E1085">
        <f t="shared" si="52"/>
        <v>3.9117153581095621</v>
      </c>
      <c r="I1085" s="24">
        <f t="shared" si="53"/>
        <v>0.64938503172984907</v>
      </c>
      <c r="N1085" s="30">
        <v>38493.867924528306</v>
      </c>
    </row>
    <row r="1086" spans="1:14" x14ac:dyDescent="0.3">
      <c r="A1086">
        <v>16.513999999999999</v>
      </c>
      <c r="B1086">
        <v>50.769199999999998</v>
      </c>
      <c r="C1086">
        <f t="shared" si="51"/>
        <v>50.52308</v>
      </c>
      <c r="D1086">
        <v>0.71299999999999997</v>
      </c>
      <c r="E1086">
        <f t="shared" si="52"/>
        <v>3.9224302615780196</v>
      </c>
      <c r="I1086" s="24">
        <f t="shared" si="53"/>
        <v>0.65866885640377637</v>
      </c>
      <c r="N1086" s="30">
        <v>38492.716981132078</v>
      </c>
    </row>
    <row r="1087" spans="1:14" x14ac:dyDescent="0.3">
      <c r="A1087">
        <v>16.529199999999999</v>
      </c>
      <c r="B1087">
        <v>51.038499999999999</v>
      </c>
      <c r="C1087">
        <f t="shared" si="51"/>
        <v>51.05386</v>
      </c>
      <c r="D1087">
        <v>0.71299999999999997</v>
      </c>
      <c r="E1087">
        <f t="shared" si="52"/>
        <v>3.9328811538971764</v>
      </c>
      <c r="I1087" s="24">
        <f t="shared" si="53"/>
        <v>0.66785177571876775</v>
      </c>
      <c r="N1087" s="30">
        <v>38491.566037735851</v>
      </c>
    </row>
    <row r="1088" spans="1:14" x14ac:dyDescent="0.3">
      <c r="A1088">
        <v>16.544499999999999</v>
      </c>
      <c r="B1088">
        <v>51.423099999999998</v>
      </c>
      <c r="C1088">
        <f t="shared" si="51"/>
        <v>51.484619999999993</v>
      </c>
      <c r="D1088">
        <v>0.71299999999999997</v>
      </c>
      <c r="E1088">
        <f t="shared" si="52"/>
        <v>3.9412831222909541</v>
      </c>
      <c r="I1088" s="24">
        <f t="shared" si="53"/>
        <v>0.67532711210070206</v>
      </c>
      <c r="N1088" s="30">
        <v>38490.415094339623</v>
      </c>
    </row>
    <row r="1089" spans="1:14" x14ac:dyDescent="0.3">
      <c r="A1089">
        <v>16.559699999999999</v>
      </c>
      <c r="B1089">
        <v>51.923099999999998</v>
      </c>
      <c r="C1089">
        <f t="shared" si="51"/>
        <v>51.807699999999997</v>
      </c>
      <c r="D1089">
        <v>0.71299999999999997</v>
      </c>
      <c r="E1089">
        <f t="shared" si="52"/>
        <v>3.9475387868669705</v>
      </c>
      <c r="I1089" s="24">
        <f t="shared" si="53"/>
        <v>0.6809471443888262</v>
      </c>
      <c r="N1089" s="30">
        <v>38489.264150943396</v>
      </c>
    </row>
    <row r="1090" spans="1:14" x14ac:dyDescent="0.3">
      <c r="A1090">
        <v>16.5749</v>
      </c>
      <c r="B1090">
        <v>52.269199999999998</v>
      </c>
      <c r="C1090">
        <f t="shared" si="51"/>
        <v>52.076919999999994</v>
      </c>
      <c r="D1090">
        <v>0.71299999999999997</v>
      </c>
      <c r="E1090">
        <f t="shared" si="52"/>
        <v>3.9527218563665416</v>
      </c>
      <c r="I1090" s="24">
        <f t="shared" si="53"/>
        <v>0.68563897858284295</v>
      </c>
      <c r="N1090" s="30">
        <v>38488.113207547169</v>
      </c>
    </row>
    <row r="1091" spans="1:14" x14ac:dyDescent="0.3">
      <c r="A1091">
        <v>16.590199999999999</v>
      </c>
      <c r="B1091">
        <v>52.384599999999999</v>
      </c>
      <c r="C1091">
        <f t="shared" si="51"/>
        <v>52.192300000000003</v>
      </c>
      <c r="D1091">
        <v>0.71299999999999997</v>
      </c>
      <c r="E1091">
        <f t="shared" si="52"/>
        <v>3.9549349744294413</v>
      </c>
      <c r="I1091" s="24">
        <f t="shared" si="53"/>
        <v>0.68765217996307471</v>
      </c>
      <c r="N1091" s="30">
        <v>38486.962264150941</v>
      </c>
    </row>
    <row r="1092" spans="1:14" x14ac:dyDescent="0.3">
      <c r="A1092">
        <v>16.605399999999999</v>
      </c>
      <c r="B1092">
        <v>52.384599999999999</v>
      </c>
      <c r="C1092">
        <f t="shared" si="51"/>
        <v>52.007680000000008</v>
      </c>
      <c r="D1092">
        <v>0.71299999999999997</v>
      </c>
      <c r="E1092">
        <f t="shared" si="52"/>
        <v>3.9513913999836845</v>
      </c>
      <c r="I1092" s="24">
        <f t="shared" si="53"/>
        <v>0.6844315435427254</v>
      </c>
      <c r="N1092" s="30">
        <v>38485.811320754721</v>
      </c>
    </row>
    <row r="1093" spans="1:14" x14ac:dyDescent="0.3">
      <c r="A1093">
        <v>16.6206</v>
      </c>
      <c r="B1093">
        <v>52</v>
      </c>
      <c r="C1093">
        <f t="shared" si="51"/>
        <v>51.5</v>
      </c>
      <c r="D1093">
        <v>0.71299999999999997</v>
      </c>
      <c r="E1093">
        <f t="shared" si="52"/>
        <v>3.9415818076696905</v>
      </c>
      <c r="I1093" s="24">
        <f t="shared" si="53"/>
        <v>0.67559439082890838</v>
      </c>
      <c r="N1093" s="30">
        <v>38484.660377358494</v>
      </c>
    </row>
    <row r="1094" spans="1:14" x14ac:dyDescent="0.3">
      <c r="A1094">
        <v>16.635899999999999</v>
      </c>
      <c r="B1094">
        <v>51</v>
      </c>
      <c r="C1094">
        <f t="shared" si="51"/>
        <v>50.692320000000009</v>
      </c>
      <c r="D1094">
        <v>0.71299999999999997</v>
      </c>
      <c r="E1094">
        <f t="shared" si="52"/>
        <v>3.9257744198330506</v>
      </c>
      <c r="I1094" s="24">
        <f t="shared" si="53"/>
        <v>0.66159345765560684</v>
      </c>
      <c r="N1094" s="30">
        <v>38483.509433962266</v>
      </c>
    </row>
    <row r="1095" spans="1:14" x14ac:dyDescent="0.3">
      <c r="A1095">
        <v>16.6511</v>
      </c>
      <c r="B1095">
        <v>49.730800000000002</v>
      </c>
      <c r="C1095">
        <f t="shared" si="51"/>
        <v>49.753859999999996</v>
      </c>
      <c r="D1095">
        <v>0.71299999999999997</v>
      </c>
      <c r="E1095">
        <f t="shared" si="52"/>
        <v>3.9070880485345119</v>
      </c>
      <c r="I1095" s="24">
        <f t="shared" si="53"/>
        <v>0.64541630990033039</v>
      </c>
      <c r="N1095" s="30">
        <v>38482.358490566039</v>
      </c>
    </row>
    <row r="1096" spans="1:14" x14ac:dyDescent="0.3">
      <c r="A1096">
        <v>16.6663</v>
      </c>
      <c r="B1096">
        <v>48.346200000000003</v>
      </c>
      <c r="C1096">
        <f t="shared" si="51"/>
        <v>48.846159999999998</v>
      </c>
      <c r="D1096">
        <v>0.71299999999999997</v>
      </c>
      <c r="E1096">
        <f t="shared" si="52"/>
        <v>3.8886757674153989</v>
      </c>
      <c r="I1096" s="24">
        <f t="shared" si="53"/>
        <v>0.62986339356813059</v>
      </c>
      <c r="N1096" s="30">
        <v>38481.207547169812</v>
      </c>
    </row>
    <row r="1097" spans="1:14" x14ac:dyDescent="0.3">
      <c r="A1097">
        <v>16.6816</v>
      </c>
      <c r="B1097">
        <v>47.692300000000003</v>
      </c>
      <c r="C1097">
        <f t="shared" si="51"/>
        <v>47.961539999999999</v>
      </c>
      <c r="D1097">
        <v>0.71299999999999997</v>
      </c>
      <c r="E1097">
        <f t="shared" si="52"/>
        <v>3.8703994397355386</v>
      </c>
      <c r="I1097" s="24">
        <f t="shared" si="53"/>
        <v>0.61479598518004441</v>
      </c>
      <c r="N1097" s="30">
        <v>38480.056603773584</v>
      </c>
    </row>
    <row r="1098" spans="1:14" x14ac:dyDescent="0.3">
      <c r="A1098">
        <v>16.6968</v>
      </c>
      <c r="B1098">
        <v>47.461500000000001</v>
      </c>
      <c r="C1098">
        <f t="shared" si="51"/>
        <v>47.246139999999997</v>
      </c>
      <c r="D1098">
        <v>0.71299999999999997</v>
      </c>
      <c r="E1098">
        <f t="shared" si="52"/>
        <v>3.8553709574809938</v>
      </c>
      <c r="I1098" s="24">
        <f t="shared" si="53"/>
        <v>0.60267660820666713</v>
      </c>
      <c r="N1098" s="30">
        <v>38478.905660377357</v>
      </c>
    </row>
    <row r="1099" spans="1:14" x14ac:dyDescent="0.3">
      <c r="A1099">
        <v>16.712</v>
      </c>
      <c r="B1099">
        <v>46.576900000000002</v>
      </c>
      <c r="C1099">
        <f t="shared" si="51"/>
        <v>46.692279999999997</v>
      </c>
      <c r="D1099">
        <v>0.71299999999999997</v>
      </c>
      <c r="E1099">
        <f t="shared" si="52"/>
        <v>3.8435788405170608</v>
      </c>
      <c r="I1099" s="24">
        <f t="shared" si="53"/>
        <v>0.59333463682535836</v>
      </c>
      <c r="N1099" s="30">
        <v>38477.75471698113</v>
      </c>
    </row>
    <row r="1100" spans="1:14" x14ac:dyDescent="0.3">
      <c r="A1100">
        <v>16.7273</v>
      </c>
      <c r="B1100">
        <v>46.153799999999997</v>
      </c>
      <c r="C1100">
        <f t="shared" si="51"/>
        <v>46.215359999999997</v>
      </c>
      <c r="D1100">
        <v>0.71299999999999997</v>
      </c>
      <c r="E1100">
        <f t="shared" si="52"/>
        <v>3.8333122103650772</v>
      </c>
      <c r="I1100" s="24">
        <f t="shared" si="53"/>
        <v>0.58531918854961751</v>
      </c>
      <c r="N1100" s="30">
        <v>38476.60377358491</v>
      </c>
    </row>
    <row r="1101" spans="1:14" x14ac:dyDescent="0.3">
      <c r="A1101">
        <v>16.7425</v>
      </c>
      <c r="B1101">
        <v>45.576900000000002</v>
      </c>
      <c r="C1101">
        <f t="shared" si="51"/>
        <v>45.761519999999997</v>
      </c>
      <c r="D1101">
        <v>0.71299999999999997</v>
      </c>
      <c r="E1101">
        <f t="shared" si="52"/>
        <v>3.8234435633030941</v>
      </c>
      <c r="I1101" s="24">
        <f t="shared" si="53"/>
        <v>0.57771654179359599</v>
      </c>
      <c r="N1101" s="30">
        <v>38475.452830188682</v>
      </c>
    </row>
    <row r="1102" spans="1:14" x14ac:dyDescent="0.3">
      <c r="A1102">
        <v>16.7577</v>
      </c>
      <c r="B1102">
        <v>45.307699999999997</v>
      </c>
      <c r="C1102">
        <f t="shared" si="51"/>
        <v>45.46152</v>
      </c>
      <c r="D1102">
        <v>0.71299999999999997</v>
      </c>
      <c r="E1102">
        <f t="shared" si="52"/>
        <v>3.8168662538531084</v>
      </c>
      <c r="I1102" s="24">
        <f t="shared" si="53"/>
        <v>0.57270440826071212</v>
      </c>
      <c r="N1102" s="30">
        <v>38474.301886792455</v>
      </c>
    </row>
    <row r="1103" spans="1:14" x14ac:dyDescent="0.3">
      <c r="A1103">
        <v>16.773</v>
      </c>
      <c r="B1103">
        <v>45.192300000000003</v>
      </c>
      <c r="C1103">
        <f t="shared" si="51"/>
        <v>45.269220000000004</v>
      </c>
      <c r="D1103">
        <v>0.71299999999999997</v>
      </c>
      <c r="E1103">
        <f t="shared" si="52"/>
        <v>3.8126273313458183</v>
      </c>
      <c r="I1103" s="24">
        <f t="shared" si="53"/>
        <v>0.56949727168863651</v>
      </c>
      <c r="N1103" s="30">
        <v>38473.150943396227</v>
      </c>
    </row>
    <row r="1104" spans="1:14" x14ac:dyDescent="0.3">
      <c r="A1104">
        <v>16.7882</v>
      </c>
      <c r="B1104">
        <v>45.076900000000002</v>
      </c>
      <c r="C1104">
        <f t="shared" si="51"/>
        <v>45.153840000000002</v>
      </c>
      <c r="D1104">
        <v>0.71299999999999997</v>
      </c>
      <c r="E1104">
        <f t="shared" si="52"/>
        <v>3.8100753260803493</v>
      </c>
      <c r="I1104" s="24">
        <f t="shared" si="53"/>
        <v>0.567575111456323</v>
      </c>
      <c r="N1104" s="30">
        <v>38472</v>
      </c>
    </row>
    <row r="1105" spans="1:14" x14ac:dyDescent="0.3">
      <c r="A1105">
        <v>16.8035</v>
      </c>
      <c r="B1105">
        <v>45.192300000000003</v>
      </c>
      <c r="C1105">
        <f t="shared" si="51"/>
        <v>45.115380000000002</v>
      </c>
      <c r="D1105">
        <v>0.71299999999999997</v>
      </c>
      <c r="E1105">
        <f t="shared" si="52"/>
        <v>3.8092232083301978</v>
      </c>
      <c r="I1105" s="24">
        <f t="shared" si="53"/>
        <v>0.56693474560658941</v>
      </c>
      <c r="N1105" s="30">
        <v>38470.849056603773</v>
      </c>
    </row>
    <row r="1106" spans="1:14" x14ac:dyDescent="0.3">
      <c r="A1106">
        <v>16.8187</v>
      </c>
      <c r="B1106">
        <v>45</v>
      </c>
      <c r="C1106">
        <f t="shared" si="51"/>
        <v>45.123080000000002</v>
      </c>
      <c r="D1106">
        <v>0.71299999999999997</v>
      </c>
      <c r="E1106">
        <f t="shared" si="52"/>
        <v>3.8093938672713787</v>
      </c>
      <c r="I1106" s="24">
        <f t="shared" si="53"/>
        <v>0.56706293778747574</v>
      </c>
      <c r="N1106" s="30">
        <v>38469.698113207545</v>
      </c>
    </row>
    <row r="1107" spans="1:14" x14ac:dyDescent="0.3">
      <c r="A1107">
        <v>16.8339</v>
      </c>
      <c r="B1107">
        <v>45.115400000000001</v>
      </c>
      <c r="C1107">
        <f t="shared" si="51"/>
        <v>45.223079999999996</v>
      </c>
      <c r="D1107">
        <v>0.71299999999999997</v>
      </c>
      <c r="E1107">
        <f t="shared" si="52"/>
        <v>3.8116075759854522</v>
      </c>
      <c r="I1107" s="24">
        <f t="shared" si="53"/>
        <v>0.56872841634457549</v>
      </c>
      <c r="N1107" s="30">
        <v>38468.547169811325</v>
      </c>
    </row>
    <row r="1108" spans="1:14" x14ac:dyDescent="0.3">
      <c r="A1108">
        <v>16.8492</v>
      </c>
      <c r="B1108">
        <v>45.230800000000002</v>
      </c>
      <c r="C1108">
        <f t="shared" si="51"/>
        <v>45.4</v>
      </c>
      <c r="D1108">
        <v>0.71299999999999997</v>
      </c>
      <c r="E1108">
        <f t="shared" si="52"/>
        <v>3.8155121050473024</v>
      </c>
      <c r="I1108" s="24">
        <f t="shared" si="53"/>
        <v>0.5716779111347432</v>
      </c>
      <c r="N1108" s="30">
        <v>38467.396226415098</v>
      </c>
    </row>
    <row r="1109" spans="1:14" x14ac:dyDescent="0.3">
      <c r="A1109">
        <v>16.8644</v>
      </c>
      <c r="B1109">
        <v>45.576900000000002</v>
      </c>
      <c r="C1109">
        <f t="shared" si="51"/>
        <v>45.692300000000003</v>
      </c>
      <c r="D1109">
        <v>0.71299999999999997</v>
      </c>
      <c r="E1109">
        <f t="shared" si="52"/>
        <v>3.8219297935509258</v>
      </c>
      <c r="I1109" s="24">
        <f t="shared" si="53"/>
        <v>0.57655912563321576</v>
      </c>
      <c r="N1109" s="30">
        <v>38466.24528301887</v>
      </c>
    </row>
    <row r="1110" spans="1:14" x14ac:dyDescent="0.3">
      <c r="A1110">
        <v>16.8796</v>
      </c>
      <c r="B1110">
        <v>46.076900000000002</v>
      </c>
      <c r="C1110">
        <f t="shared" si="51"/>
        <v>45.96152</v>
      </c>
      <c r="D1110">
        <v>0.71299999999999997</v>
      </c>
      <c r="E1110">
        <f t="shared" si="52"/>
        <v>3.827804524670408</v>
      </c>
      <c r="I1110" s="24">
        <f t="shared" si="53"/>
        <v>0.58106390249049211</v>
      </c>
      <c r="N1110" s="30">
        <v>38465.094339622643</v>
      </c>
    </row>
    <row r="1111" spans="1:14" x14ac:dyDescent="0.3">
      <c r="A1111">
        <v>16.8949</v>
      </c>
      <c r="B1111">
        <v>46.461500000000001</v>
      </c>
      <c r="C1111">
        <f t="shared" si="51"/>
        <v>46.115359999999995</v>
      </c>
      <c r="D1111">
        <v>0.71299999999999997</v>
      </c>
      <c r="E1111">
        <f t="shared" si="52"/>
        <v>3.8311460832277411</v>
      </c>
      <c r="I1111" s="24">
        <f t="shared" si="53"/>
        <v>0.58364191449383362</v>
      </c>
      <c r="N1111" s="30">
        <v>38463.943396226416</v>
      </c>
    </row>
    <row r="1112" spans="1:14" x14ac:dyDescent="0.3">
      <c r="A1112">
        <v>16.9101</v>
      </c>
      <c r="B1112">
        <v>46.461500000000001</v>
      </c>
      <c r="C1112">
        <f t="shared" si="51"/>
        <v>46.092280000000002</v>
      </c>
      <c r="D1112">
        <v>0.71299999999999997</v>
      </c>
      <c r="E1112">
        <f t="shared" si="52"/>
        <v>3.8306454739402245</v>
      </c>
      <c r="I1112" s="24">
        <f t="shared" si="53"/>
        <v>0.58325496731045723</v>
      </c>
      <c r="N1112" s="30">
        <v>38462.792452830188</v>
      </c>
    </row>
    <row r="1113" spans="1:14" x14ac:dyDescent="0.3">
      <c r="A1113">
        <v>16.9253</v>
      </c>
      <c r="B1113">
        <v>46</v>
      </c>
      <c r="C1113">
        <f t="shared" si="51"/>
        <v>45.699979999999996</v>
      </c>
      <c r="D1113">
        <v>0.71299999999999997</v>
      </c>
      <c r="E1113">
        <f t="shared" si="52"/>
        <v>3.8220978602633018</v>
      </c>
      <c r="I1113" s="24">
        <f t="shared" si="53"/>
        <v>0.57668751357137427</v>
      </c>
      <c r="N1113" s="30">
        <v>38461.641509433961</v>
      </c>
    </row>
    <row r="1114" spans="1:14" x14ac:dyDescent="0.3">
      <c r="A1114">
        <v>16.9406</v>
      </c>
      <c r="B1114">
        <v>45.461500000000001</v>
      </c>
      <c r="C1114">
        <f t="shared" si="51"/>
        <v>45.215379999999996</v>
      </c>
      <c r="D1114">
        <v>0.71299999999999997</v>
      </c>
      <c r="E1114">
        <f t="shared" si="52"/>
        <v>3.8114372944477393</v>
      </c>
      <c r="I1114" s="24">
        <f t="shared" si="53"/>
        <v>0.56860013195089065</v>
      </c>
      <c r="N1114" s="30">
        <v>38460.490566037734</v>
      </c>
    </row>
    <row r="1115" spans="1:14" x14ac:dyDescent="0.3">
      <c r="A1115">
        <v>16.9558</v>
      </c>
      <c r="B1115">
        <v>44.115400000000001</v>
      </c>
      <c r="C1115">
        <f t="shared" si="51"/>
        <v>44.676919999999996</v>
      </c>
      <c r="D1115">
        <v>0.71299999999999997</v>
      </c>
      <c r="E1115">
        <f t="shared" si="52"/>
        <v>3.7994570371785237</v>
      </c>
      <c r="I1115" s="24">
        <f t="shared" si="53"/>
        <v>0.55964686491334215</v>
      </c>
      <c r="N1115" s="30">
        <v>38459.339622641513</v>
      </c>
    </row>
    <row r="1116" spans="1:14" x14ac:dyDescent="0.3">
      <c r="A1116">
        <v>16.971</v>
      </c>
      <c r="B1116">
        <v>44.038499999999999</v>
      </c>
      <c r="C1116">
        <f t="shared" si="51"/>
        <v>44.153839999999995</v>
      </c>
      <c r="D1116">
        <v>0.71299999999999997</v>
      </c>
      <c r="E1116">
        <f t="shared" si="52"/>
        <v>3.7876798994851977</v>
      </c>
      <c r="I1116" s="24">
        <f t="shared" si="53"/>
        <v>0.5509828229972199</v>
      </c>
      <c r="N1116" s="30">
        <v>38458.188679245286</v>
      </c>
    </row>
    <row r="1117" spans="1:14" x14ac:dyDescent="0.3">
      <c r="A1117">
        <v>16.9863</v>
      </c>
      <c r="B1117">
        <v>43.769199999999998</v>
      </c>
      <c r="C1117">
        <f t="shared" si="51"/>
        <v>43.638459999999995</v>
      </c>
      <c r="D1117">
        <v>0.71299999999999997</v>
      </c>
      <c r="E1117">
        <f t="shared" si="52"/>
        <v>3.7759388716162685</v>
      </c>
      <c r="I1117" s="24">
        <f t="shared" si="53"/>
        <v>0.54247886206092766</v>
      </c>
      <c r="N1117" s="30">
        <v>38457.037735849059</v>
      </c>
    </row>
    <row r="1118" spans="1:14" x14ac:dyDescent="0.3">
      <c r="A1118">
        <v>17.0015</v>
      </c>
      <c r="B1118">
        <v>43.384599999999999</v>
      </c>
      <c r="C1118">
        <f t="shared" si="51"/>
        <v>43.292299999999997</v>
      </c>
      <c r="D1118" s="8">
        <v>0.71299999999999997</v>
      </c>
      <c r="E1118">
        <f t="shared" si="52"/>
        <v>3.7679747900956677</v>
      </c>
      <c r="I1118" s="24">
        <f t="shared" si="53"/>
        <v>0.53678535621873691</v>
      </c>
      <c r="N1118" s="30">
        <v>38455.886792452831</v>
      </c>
    </row>
    <row r="1119" spans="1:14" x14ac:dyDescent="0.3">
      <c r="A1119">
        <v>17.0167</v>
      </c>
      <c r="B1119">
        <v>42.884599999999999</v>
      </c>
      <c r="C1119">
        <f t="shared" si="51"/>
        <v>42.846140000000005</v>
      </c>
      <c r="D1119">
        <v>0.71318181818181814</v>
      </c>
      <c r="E1119">
        <f t="shared" si="52"/>
        <v>3.7576155593059108</v>
      </c>
      <c r="I1119" s="24">
        <f t="shared" si="53"/>
        <v>0.52933390049858819</v>
      </c>
      <c r="N1119" s="30">
        <v>38454.735849056604</v>
      </c>
    </row>
    <row r="1120" spans="1:14" x14ac:dyDescent="0.3">
      <c r="A1120">
        <v>17.032</v>
      </c>
      <c r="B1120">
        <v>42.384599999999999</v>
      </c>
      <c r="C1120">
        <f t="shared" si="51"/>
        <v>42.369219999999999</v>
      </c>
      <c r="D1120">
        <v>0.71336363636363642</v>
      </c>
      <c r="E1120">
        <f t="shared" si="52"/>
        <v>3.7464221552171861</v>
      </c>
      <c r="I1120" s="24">
        <f t="shared" si="53"/>
        <v>0.52140938237124734</v>
      </c>
      <c r="N1120" s="30">
        <v>38453.584905660377</v>
      </c>
    </row>
    <row r="1121" spans="1:14" x14ac:dyDescent="0.3">
      <c r="A1121">
        <v>17.0472</v>
      </c>
      <c r="B1121">
        <v>41.807699999999997</v>
      </c>
      <c r="C1121">
        <f t="shared" si="51"/>
        <v>41.823059999999998</v>
      </c>
      <c r="D1121">
        <v>0.71354545454545448</v>
      </c>
      <c r="E1121">
        <f t="shared" si="52"/>
        <v>3.7334478620553475</v>
      </c>
      <c r="I1121" s="24">
        <f t="shared" si="53"/>
        <v>0.51239320577961989</v>
      </c>
      <c r="N1121" s="30">
        <v>38452.433962264149</v>
      </c>
    </row>
    <row r="1122" spans="1:14" x14ac:dyDescent="0.3">
      <c r="A1122">
        <v>17.0624</v>
      </c>
      <c r="B1122">
        <v>41.384599999999999</v>
      </c>
      <c r="C1122">
        <f t="shared" si="51"/>
        <v>41.223059999999997</v>
      </c>
      <c r="D1122">
        <v>0.71372727272727265</v>
      </c>
      <c r="E1122">
        <f t="shared" si="52"/>
        <v>3.7189978085148319</v>
      </c>
      <c r="I1122" s="24">
        <f t="shared" si="53"/>
        <v>0.50254947979035514</v>
      </c>
      <c r="N1122" s="30">
        <v>38451.283018867929</v>
      </c>
    </row>
    <row r="1123" spans="1:14" x14ac:dyDescent="0.3">
      <c r="A1123">
        <v>17.0777</v>
      </c>
      <c r="B1123">
        <v>40.653799999999997</v>
      </c>
      <c r="C1123">
        <f t="shared" si="51"/>
        <v>40.653839999999995</v>
      </c>
      <c r="D1123">
        <v>0.71390909090909083</v>
      </c>
      <c r="E1123">
        <f t="shared" si="52"/>
        <v>3.705093296476937</v>
      </c>
      <c r="I1123" s="24">
        <f t="shared" si="53"/>
        <v>0.49325125665610087</v>
      </c>
      <c r="N1123" s="30">
        <v>38450.132075471702</v>
      </c>
    </row>
    <row r="1124" spans="1:14" x14ac:dyDescent="0.3">
      <c r="A1124">
        <v>17.0929</v>
      </c>
      <c r="B1124">
        <v>39.884599999999999</v>
      </c>
      <c r="C1124">
        <f t="shared" si="51"/>
        <v>40.184600000000003</v>
      </c>
      <c r="D1124">
        <v>0.71409090909090911</v>
      </c>
      <c r="E1124">
        <f t="shared" si="52"/>
        <v>3.6934838376522192</v>
      </c>
      <c r="I1124" s="24">
        <f t="shared" si="53"/>
        <v>0.48559931748705432</v>
      </c>
      <c r="N1124" s="30">
        <v>38448.981132075474</v>
      </c>
    </row>
    <row r="1125" spans="1:14" x14ac:dyDescent="0.3">
      <c r="A1125">
        <v>17.1081</v>
      </c>
      <c r="B1125">
        <v>39.538499999999999</v>
      </c>
      <c r="C1125">
        <f t="shared" si="51"/>
        <v>39.815379999999998</v>
      </c>
      <c r="D1125">
        <v>0.71427272727272728</v>
      </c>
      <c r="E1125">
        <f t="shared" si="52"/>
        <v>3.6842532698055184</v>
      </c>
      <c r="I1125" s="24">
        <f t="shared" si="53"/>
        <v>0.47957514408740565</v>
      </c>
      <c r="N1125" s="30">
        <v>38447.830188679247</v>
      </c>
    </row>
    <row r="1126" spans="1:14" x14ac:dyDescent="0.3">
      <c r="A1126">
        <v>17.1234</v>
      </c>
      <c r="B1126">
        <v>39.461500000000001</v>
      </c>
      <c r="C1126">
        <f t="shared" si="51"/>
        <v>39.638459999999995</v>
      </c>
      <c r="D1126">
        <v>0.71445454545454545</v>
      </c>
      <c r="E1126">
        <f t="shared" si="52"/>
        <v>3.6797998590602985</v>
      </c>
      <c r="I1126" s="24">
        <f t="shared" si="53"/>
        <v>0.47663271235398236</v>
      </c>
      <c r="N1126" s="30">
        <v>38446.67924528302</v>
      </c>
    </row>
    <row r="1127" spans="1:14" x14ac:dyDescent="0.3">
      <c r="A1127">
        <v>17.1386</v>
      </c>
      <c r="B1127">
        <v>39.538499999999999</v>
      </c>
      <c r="C1127">
        <f t="shared" si="51"/>
        <v>39.723080000000003</v>
      </c>
      <c r="D1127">
        <v>0.71463636363636363</v>
      </c>
      <c r="E1127">
        <f t="shared" si="52"/>
        <v>3.6819323789702816</v>
      </c>
      <c r="I1127" s="24">
        <f t="shared" si="53"/>
        <v>0.47785957284669556</v>
      </c>
      <c r="N1127" s="30">
        <v>38445.528301886792</v>
      </c>
    </row>
    <row r="1128" spans="1:14" x14ac:dyDescent="0.3">
      <c r="A1128">
        <v>17.1538</v>
      </c>
      <c r="B1128">
        <v>39.769199999999998</v>
      </c>
      <c r="C1128">
        <f t="shared" si="51"/>
        <v>39.98462</v>
      </c>
      <c r="D1128">
        <v>0.7148181818181818</v>
      </c>
      <c r="E1128">
        <f t="shared" si="52"/>
        <v>3.6884948801748578</v>
      </c>
      <c r="I1128" s="24">
        <f t="shared" si="53"/>
        <v>0.4819095891467936</v>
      </c>
      <c r="N1128" s="30">
        <v>38444.377358490565</v>
      </c>
    </row>
    <row r="1129" spans="1:14" x14ac:dyDescent="0.3">
      <c r="A1129">
        <v>17.1691</v>
      </c>
      <c r="B1129">
        <v>40.307699999999997</v>
      </c>
      <c r="C1129">
        <f t="shared" si="51"/>
        <v>40.646159999999995</v>
      </c>
      <c r="D1129">
        <v>0.71499999999999997</v>
      </c>
      <c r="E1129">
        <f t="shared" si="52"/>
        <v>3.7049043665870762</v>
      </c>
      <c r="I1129" s="24">
        <f t="shared" si="53"/>
        <v>0.49237542584500837</v>
      </c>
      <c r="N1129" s="30">
        <v>38443.226415094337</v>
      </c>
    </row>
    <row r="1130" spans="1:14" x14ac:dyDescent="0.3">
      <c r="A1130">
        <v>17.1843</v>
      </c>
      <c r="B1130">
        <v>40.846200000000003</v>
      </c>
      <c r="C1130">
        <f t="shared" si="51"/>
        <v>41.330759999999998</v>
      </c>
      <c r="D1130">
        <v>0.71518181818181814</v>
      </c>
      <c r="E1130">
        <f t="shared" si="52"/>
        <v>3.7216070169342972</v>
      </c>
      <c r="I1130" s="24">
        <f t="shared" si="53"/>
        <v>0.50326400765210044</v>
      </c>
      <c r="N1130" s="30">
        <v>38442.075471698117</v>
      </c>
    </row>
    <row r="1131" spans="1:14" x14ac:dyDescent="0.3">
      <c r="A1131">
        <v>17.1995</v>
      </c>
      <c r="B1131">
        <v>42.769199999999998</v>
      </c>
      <c r="C1131">
        <f t="shared" si="51"/>
        <v>42.053839999999994</v>
      </c>
      <c r="D1131">
        <v>0.71536363636363631</v>
      </c>
      <c r="E1131">
        <f t="shared" si="52"/>
        <v>3.7389507021068651</v>
      </c>
      <c r="I1131" s="24">
        <f t="shared" si="53"/>
        <v>0.51483044756344087</v>
      </c>
      <c r="N1131" s="30">
        <v>38440.92452830189</v>
      </c>
    </row>
    <row r="1132" spans="1:14" x14ac:dyDescent="0.3">
      <c r="A1132">
        <v>17.2148</v>
      </c>
      <c r="B1132">
        <v>42.961500000000001</v>
      </c>
      <c r="C1132">
        <f t="shared" si="51"/>
        <v>42.7</v>
      </c>
      <c r="D1132">
        <v>0.71554545454545448</v>
      </c>
      <c r="E1132">
        <f t="shared" si="52"/>
        <v>3.7541989202345789</v>
      </c>
      <c r="I1132" s="24">
        <f t="shared" si="53"/>
        <v>0.52520272357011655</v>
      </c>
      <c r="N1132" s="30">
        <v>38439.773584905663</v>
      </c>
    </row>
    <row r="1133" spans="1:14" x14ac:dyDescent="0.3">
      <c r="A1133">
        <v>17.23</v>
      </c>
      <c r="B1133">
        <v>43.384599999999999</v>
      </c>
      <c r="C1133">
        <f t="shared" si="51"/>
        <v>43.261519999999997</v>
      </c>
      <c r="D1133">
        <v>0.71572727272727277</v>
      </c>
      <c r="E1133">
        <f t="shared" si="52"/>
        <v>3.7672635562922951</v>
      </c>
      <c r="I1133" s="24">
        <f t="shared" si="53"/>
        <v>0.5342363227341127</v>
      </c>
      <c r="N1133" s="30">
        <v>38438.622641509435</v>
      </c>
    </row>
    <row r="1134" spans="1:14" x14ac:dyDescent="0.3">
      <c r="A1134">
        <v>17.245200000000001</v>
      </c>
      <c r="B1134">
        <v>43.538499999999999</v>
      </c>
      <c r="C1134">
        <f t="shared" si="51"/>
        <v>43.469219999999993</v>
      </c>
      <c r="D1134">
        <v>0.71590909090909094</v>
      </c>
      <c r="E1134">
        <f t="shared" si="52"/>
        <v>3.7720531014304677</v>
      </c>
      <c r="I1134" s="24">
        <f t="shared" si="53"/>
        <v>0.53750038801460431</v>
      </c>
      <c r="N1134" s="30">
        <v>38437.471698113208</v>
      </c>
    </row>
    <row r="1135" spans="1:14" x14ac:dyDescent="0.3">
      <c r="A1135">
        <v>17.2605</v>
      </c>
      <c r="B1135">
        <v>43.653799999999997</v>
      </c>
      <c r="C1135">
        <f t="shared" si="51"/>
        <v>43.623079999999995</v>
      </c>
      <c r="D1135">
        <v>0.71609090909090911</v>
      </c>
      <c r="E1135">
        <f t="shared" si="52"/>
        <v>3.7755863680927404</v>
      </c>
      <c r="I1135" s="24">
        <f t="shared" si="53"/>
        <v>0.53988514233441309</v>
      </c>
      <c r="N1135" s="30">
        <v>38436.32075471698</v>
      </c>
    </row>
    <row r="1136" spans="1:14" x14ac:dyDescent="0.3">
      <c r="A1136">
        <v>17.275700000000001</v>
      </c>
      <c r="B1136">
        <v>43.807699999999997</v>
      </c>
      <c r="C1136">
        <f t="shared" si="51"/>
        <v>43.669239999999995</v>
      </c>
      <c r="D1136">
        <v>0.71627272727272717</v>
      </c>
      <c r="E1136">
        <f t="shared" si="52"/>
        <v>3.776643964094371</v>
      </c>
      <c r="I1136" s="24">
        <f t="shared" si="53"/>
        <v>0.54050487107022316</v>
      </c>
      <c r="N1136" s="30">
        <v>38435.169811320753</v>
      </c>
    </row>
    <row r="1137" spans="1:14" x14ac:dyDescent="0.3">
      <c r="A1137">
        <v>17.291</v>
      </c>
      <c r="B1137">
        <v>43.730800000000002</v>
      </c>
      <c r="C1137">
        <f t="shared" si="51"/>
        <v>43.476919999999993</v>
      </c>
      <c r="D1137">
        <v>0.71645454545454546</v>
      </c>
      <c r="E1137">
        <f t="shared" si="52"/>
        <v>3.7722302225774245</v>
      </c>
      <c r="I1137" s="24">
        <f t="shared" si="53"/>
        <v>0.53721721897338648</v>
      </c>
      <c r="N1137" s="30">
        <v>38434.018867924526</v>
      </c>
    </row>
    <row r="1138" spans="1:14" x14ac:dyDescent="0.3">
      <c r="A1138">
        <v>17.3062</v>
      </c>
      <c r="B1138">
        <v>43.615400000000001</v>
      </c>
      <c r="C1138">
        <f t="shared" si="51"/>
        <v>43.253859999999996</v>
      </c>
      <c r="D1138">
        <v>0.71663636363636363</v>
      </c>
      <c r="E1138">
        <f t="shared" si="52"/>
        <v>3.7670864779503863</v>
      </c>
      <c r="I1138" s="24">
        <f t="shared" si="53"/>
        <v>0.53343346122552271</v>
      </c>
      <c r="N1138" s="30">
        <v>38432.867924528306</v>
      </c>
    </row>
    <row r="1139" spans="1:14" x14ac:dyDescent="0.3">
      <c r="A1139">
        <v>17.321400000000001</v>
      </c>
      <c r="B1139">
        <v>42.576900000000002</v>
      </c>
      <c r="C1139">
        <f t="shared" si="51"/>
        <v>42.946159999999999</v>
      </c>
      <c r="D1139">
        <v>0.7168181818181818</v>
      </c>
      <c r="E1139">
        <f t="shared" si="52"/>
        <v>3.7599472381469048</v>
      </c>
      <c r="I1139" s="24">
        <f t="shared" si="53"/>
        <v>0.52827796735797627</v>
      </c>
      <c r="N1139" s="30">
        <v>38431.716981132078</v>
      </c>
    </row>
    <row r="1140" spans="1:14" x14ac:dyDescent="0.3">
      <c r="A1140">
        <v>17.3367</v>
      </c>
      <c r="B1140">
        <v>42.538499999999999</v>
      </c>
      <c r="C1140">
        <f t="shared" si="51"/>
        <v>42.584620000000001</v>
      </c>
      <c r="D1140">
        <v>0.71699999999999997</v>
      </c>
      <c r="E1140">
        <f t="shared" si="52"/>
        <v>3.7514931552234203</v>
      </c>
      <c r="I1140" s="24">
        <f t="shared" si="53"/>
        <v>0.52226181082422807</v>
      </c>
      <c r="N1140" s="30">
        <v>38430.566037735851</v>
      </c>
    </row>
    <row r="1141" spans="1:14" x14ac:dyDescent="0.3">
      <c r="A1141">
        <v>17.351900000000001</v>
      </c>
      <c r="B1141">
        <v>42.269199999999998</v>
      </c>
      <c r="C1141">
        <f t="shared" si="51"/>
        <v>42.215379999999996</v>
      </c>
      <c r="D1141">
        <v>0.71718181818181814</v>
      </c>
      <c r="E1141">
        <f t="shared" si="52"/>
        <v>3.7427846096206867</v>
      </c>
      <c r="I1141" s="24">
        <f t="shared" si="53"/>
        <v>0.51614017446946392</v>
      </c>
      <c r="N1141" s="30">
        <v>38429.415094339623</v>
      </c>
    </row>
    <row r="1142" spans="1:14" x14ac:dyDescent="0.3">
      <c r="A1142">
        <v>17.367100000000001</v>
      </c>
      <c r="B1142">
        <v>41.923099999999998</v>
      </c>
      <c r="C1142">
        <f t="shared" si="51"/>
        <v>42.02308</v>
      </c>
      <c r="D1142">
        <v>0.71736363636363643</v>
      </c>
      <c r="E1142">
        <f t="shared" si="52"/>
        <v>3.7382189911599752</v>
      </c>
      <c r="I1142" s="24">
        <f t="shared" si="53"/>
        <v>0.51289767830207278</v>
      </c>
      <c r="N1142" s="30">
        <v>38428.264150943396</v>
      </c>
    </row>
    <row r="1143" spans="1:14" x14ac:dyDescent="0.3">
      <c r="A1143">
        <v>17.382400000000001</v>
      </c>
      <c r="B1143">
        <v>41.769199999999998</v>
      </c>
      <c r="C1143">
        <f t="shared" si="51"/>
        <v>41.823079999999997</v>
      </c>
      <c r="D1143">
        <v>0.71754545454545449</v>
      </c>
      <c r="E1143">
        <f t="shared" si="52"/>
        <v>3.7334483402603191</v>
      </c>
      <c r="I1143" s="24">
        <f t="shared" si="53"/>
        <v>0.50953716205034782</v>
      </c>
      <c r="N1143" s="30">
        <v>38427.113207547169</v>
      </c>
    </row>
    <row r="1144" spans="1:14" x14ac:dyDescent="0.3">
      <c r="A1144">
        <v>17.397600000000001</v>
      </c>
      <c r="B1144">
        <v>41.615400000000001</v>
      </c>
      <c r="C1144">
        <f t="shared" si="51"/>
        <v>41.653859999999995</v>
      </c>
      <c r="D1144">
        <v>0.71772727272727266</v>
      </c>
      <c r="E1144">
        <f t="shared" si="52"/>
        <v>3.7293940413894253</v>
      </c>
      <c r="I1144" s="24">
        <f t="shared" si="53"/>
        <v>0.5066793187871752</v>
      </c>
      <c r="N1144" s="30">
        <v>38425.962264150941</v>
      </c>
    </row>
    <row r="1145" spans="1:14" x14ac:dyDescent="0.3">
      <c r="A1145">
        <v>17.412800000000001</v>
      </c>
      <c r="B1145">
        <v>41.538499999999999</v>
      </c>
      <c r="C1145">
        <f t="shared" si="51"/>
        <v>41.661540000000002</v>
      </c>
      <c r="D1145">
        <v>0.71790909090909083</v>
      </c>
      <c r="E1145">
        <f t="shared" si="52"/>
        <v>3.72957840106415</v>
      </c>
      <c r="I1145" s="24">
        <f t="shared" si="53"/>
        <v>0.50667473178394384</v>
      </c>
      <c r="N1145" s="30">
        <v>38424.811320754721</v>
      </c>
    </row>
    <row r="1146" spans="1:14" x14ac:dyDescent="0.3">
      <c r="A1146">
        <v>17.428100000000001</v>
      </c>
      <c r="B1146">
        <v>41.423099999999998</v>
      </c>
      <c r="C1146">
        <f t="shared" ref="C1146:C1209" si="54">AVERAGE(B1144:B1148)</f>
        <v>41.707700000000003</v>
      </c>
      <c r="D1146">
        <v>0.71809090909090911</v>
      </c>
      <c r="E1146">
        <f t="shared" ref="E1146:E1209" si="55">LN(C1146)</f>
        <v>3.7306857640367999</v>
      </c>
      <c r="I1146" s="24">
        <f t="shared" ref="I1146:I1209" si="56">(0.0026*(EXP(1.3248*E1146)))/D1146</f>
        <v>0.5072901099109719</v>
      </c>
      <c r="N1146" s="30">
        <v>38423.660377358494</v>
      </c>
    </row>
    <row r="1147" spans="1:14" x14ac:dyDescent="0.3">
      <c r="A1147">
        <v>17.443300000000001</v>
      </c>
      <c r="B1147">
        <v>41.961500000000001</v>
      </c>
      <c r="C1147">
        <f t="shared" si="54"/>
        <v>41.861540000000005</v>
      </c>
      <c r="D1147">
        <v>0.71827272727272728</v>
      </c>
      <c r="E1147">
        <f t="shared" si="55"/>
        <v>3.734367505638803</v>
      </c>
      <c r="I1147" s="24">
        <f t="shared" si="56"/>
        <v>0.50964145830754881</v>
      </c>
      <c r="N1147" s="30">
        <v>38422.509433962266</v>
      </c>
    </row>
    <row r="1148" spans="1:14" x14ac:dyDescent="0.3">
      <c r="A1148">
        <v>17.458500000000001</v>
      </c>
      <c r="B1148">
        <v>42</v>
      </c>
      <c r="C1148">
        <f t="shared" si="54"/>
        <v>42.138460000000002</v>
      </c>
      <c r="D1148">
        <v>0.71845454545454546</v>
      </c>
      <c r="E1148">
        <f t="shared" si="55"/>
        <v>3.7409608628577655</v>
      </c>
      <c r="I1148" s="24">
        <f t="shared" si="56"/>
        <v>0.51398250849817628</v>
      </c>
      <c r="N1148" s="30">
        <v>38421.358490566039</v>
      </c>
    </row>
    <row r="1149" spans="1:14" x14ac:dyDescent="0.3">
      <c r="A1149">
        <v>17.473800000000001</v>
      </c>
      <c r="B1149">
        <v>42.384599999999999</v>
      </c>
      <c r="C1149">
        <f t="shared" si="54"/>
        <v>42.47692</v>
      </c>
      <c r="D1149">
        <v>0.71863636363636363</v>
      </c>
      <c r="E1149">
        <f t="shared" si="55"/>
        <v>3.748960869596992</v>
      </c>
      <c r="I1149" s="24">
        <f t="shared" si="56"/>
        <v>0.51932744903119266</v>
      </c>
      <c r="N1149" s="30">
        <v>38420.207547169812</v>
      </c>
    </row>
    <row r="1150" spans="1:14" x14ac:dyDescent="0.3">
      <c r="A1150">
        <v>17.489000000000001</v>
      </c>
      <c r="B1150">
        <v>42.923099999999998</v>
      </c>
      <c r="C1150">
        <f t="shared" si="54"/>
        <v>42.676920000000003</v>
      </c>
      <c r="D1150">
        <v>0.7188181818181818</v>
      </c>
      <c r="E1150">
        <f t="shared" si="55"/>
        <v>3.7536582588810838</v>
      </c>
      <c r="I1150" s="24">
        <f t="shared" si="56"/>
        <v>0.52243717433518666</v>
      </c>
      <c r="N1150" s="30">
        <v>38419.056603773584</v>
      </c>
    </row>
    <row r="1151" spans="1:14" x14ac:dyDescent="0.3">
      <c r="A1151">
        <v>17.504200000000001</v>
      </c>
      <c r="B1151">
        <v>43.115400000000001</v>
      </c>
      <c r="C1151">
        <f t="shared" si="54"/>
        <v>42.7</v>
      </c>
      <c r="D1151">
        <v>0.71899999999999997</v>
      </c>
      <c r="E1151">
        <f t="shared" si="55"/>
        <v>3.7541989202345789</v>
      </c>
      <c r="I1151" s="24">
        <f t="shared" si="56"/>
        <v>0.52267930676702323</v>
      </c>
      <c r="N1151" s="30">
        <v>38417.905660377357</v>
      </c>
    </row>
    <row r="1152" spans="1:14" x14ac:dyDescent="0.3">
      <c r="A1152">
        <v>17.519500000000001</v>
      </c>
      <c r="B1152">
        <v>42.961500000000001</v>
      </c>
      <c r="C1152">
        <f t="shared" si="54"/>
        <v>42.51538</v>
      </c>
      <c r="D1152">
        <v>0.71918181818181814</v>
      </c>
      <c r="E1152">
        <f t="shared" si="55"/>
        <v>3.7498658928196864</v>
      </c>
      <c r="I1152" s="24">
        <f t="shared" si="56"/>
        <v>0.51955613295787895</v>
      </c>
      <c r="N1152" s="30">
        <v>38416.75471698113</v>
      </c>
    </row>
    <row r="1153" spans="1:18" x14ac:dyDescent="0.3">
      <c r="A1153">
        <v>17.534700000000001</v>
      </c>
      <c r="B1153">
        <v>42.115400000000001</v>
      </c>
      <c r="C1153">
        <f t="shared" si="54"/>
        <v>42.038460000000001</v>
      </c>
      <c r="D1153">
        <v>0.71936363636363632</v>
      </c>
      <c r="E1153">
        <f t="shared" si="55"/>
        <v>3.7385849135585327</v>
      </c>
      <c r="I1153" s="24">
        <f t="shared" si="56"/>
        <v>0.51171971048541431</v>
      </c>
      <c r="N1153" s="30">
        <v>38415.60377358491</v>
      </c>
    </row>
    <row r="1154" spans="1:18" x14ac:dyDescent="0.3">
      <c r="A1154">
        <v>17.549900000000001</v>
      </c>
      <c r="B1154">
        <v>41.461500000000001</v>
      </c>
      <c r="C1154">
        <f t="shared" si="54"/>
        <v>41.476919999999993</v>
      </c>
      <c r="D1154">
        <v>0.71954545454545449</v>
      </c>
      <c r="E1154">
        <f t="shared" si="55"/>
        <v>3.7251371279525816</v>
      </c>
      <c r="I1154" s="24">
        <f t="shared" si="56"/>
        <v>0.50255681167603539</v>
      </c>
      <c r="N1154" s="30">
        <v>38414.452830188682</v>
      </c>
    </row>
    <row r="1155" spans="1:18" x14ac:dyDescent="0.3">
      <c r="A1155">
        <v>17.565200000000001</v>
      </c>
      <c r="B1155">
        <v>40.538499999999999</v>
      </c>
      <c r="C1155">
        <f t="shared" si="54"/>
        <v>40.876919999999998</v>
      </c>
      <c r="D1155">
        <v>0.71972727272727277</v>
      </c>
      <c r="E1155">
        <f t="shared" si="55"/>
        <v>3.7105656005913095</v>
      </c>
      <c r="I1155" s="24">
        <f t="shared" si="56"/>
        <v>0.49282378659135351</v>
      </c>
      <c r="N1155" s="30">
        <v>38413.301886792455</v>
      </c>
    </row>
    <row r="1156" spans="1:18" x14ac:dyDescent="0.3">
      <c r="A1156">
        <v>17.580400000000001</v>
      </c>
      <c r="B1156">
        <v>40.307699999999997</v>
      </c>
      <c r="C1156">
        <f t="shared" si="54"/>
        <v>40.46922</v>
      </c>
      <c r="D1156">
        <v>0.71990909090909094</v>
      </c>
      <c r="E1156">
        <f t="shared" si="55"/>
        <v>3.7005416851660846</v>
      </c>
      <c r="I1156" s="24">
        <f t="shared" si="56"/>
        <v>0.48619968164778787</v>
      </c>
      <c r="N1156" s="30">
        <v>38412.150943396227</v>
      </c>
    </row>
    <row r="1157" spans="1:18" x14ac:dyDescent="0.3">
      <c r="A1157">
        <v>17.595600000000001</v>
      </c>
      <c r="B1157">
        <v>39.961500000000001</v>
      </c>
      <c r="C1157">
        <f t="shared" si="54"/>
        <v>40.261540000000004</v>
      </c>
      <c r="D1157">
        <v>0.72009090909090911</v>
      </c>
      <c r="E1157">
        <f t="shared" si="55"/>
        <v>3.6953966708462009</v>
      </c>
      <c r="I1157" s="25">
        <f t="shared" si="56"/>
        <v>0.48277502909874342</v>
      </c>
      <c r="N1157" s="30">
        <v>38411</v>
      </c>
    </row>
    <row r="1158" spans="1:18" x14ac:dyDescent="0.3">
      <c r="A1158">
        <v>17.610900000000001</v>
      </c>
      <c r="B1158">
        <v>40.076900000000002</v>
      </c>
      <c r="C1158">
        <f t="shared" si="54"/>
        <v>40.407680000000006</v>
      </c>
      <c r="D1158">
        <v>0.72027272727272718</v>
      </c>
      <c r="E1158">
        <f t="shared" si="55"/>
        <v>3.6990198659104783</v>
      </c>
      <c r="I1158" s="24">
        <f t="shared" si="56"/>
        <v>0.48497547090306498</v>
      </c>
      <c r="N1158" s="30">
        <v>38398.210526315794</v>
      </c>
    </row>
    <row r="1159" spans="1:18" x14ac:dyDescent="0.3">
      <c r="A1159">
        <v>17.626100000000001</v>
      </c>
      <c r="B1159">
        <v>40.423099999999998</v>
      </c>
      <c r="C1159">
        <f t="shared" si="54"/>
        <v>40.753840000000004</v>
      </c>
      <c r="D1159">
        <v>0.72045454545454546</v>
      </c>
      <c r="E1159">
        <f t="shared" si="55"/>
        <v>3.7075500683760438</v>
      </c>
      <c r="I1159" s="24">
        <f t="shared" si="56"/>
        <v>0.49036339007647334</v>
      </c>
      <c r="N1159" s="30">
        <v>38385.42105263158</v>
      </c>
    </row>
    <row r="1160" spans="1:18" x14ac:dyDescent="0.3">
      <c r="A1160">
        <v>17.641300000000001</v>
      </c>
      <c r="B1160">
        <v>41.269199999999998</v>
      </c>
      <c r="C1160">
        <f t="shared" si="54"/>
        <v>41.253840000000004</v>
      </c>
      <c r="D1160">
        <v>0.72063636363636363</v>
      </c>
      <c r="E1160">
        <f t="shared" si="55"/>
        <v>3.7197441993570912</v>
      </c>
      <c r="I1160" s="24">
        <f t="shared" si="56"/>
        <v>0.4982237031517307</v>
      </c>
      <c r="N1160" s="30">
        <v>38372.631578947374</v>
      </c>
    </row>
    <row r="1161" spans="1:18" x14ac:dyDescent="0.3">
      <c r="A1161">
        <v>17.656600000000001</v>
      </c>
      <c r="B1161">
        <v>42.038499999999999</v>
      </c>
      <c r="C1161">
        <f t="shared" si="54"/>
        <v>42.01538</v>
      </c>
      <c r="D1161">
        <v>0.7208181818181818</v>
      </c>
      <c r="E1161">
        <f t="shared" si="55"/>
        <v>3.73803574172819</v>
      </c>
      <c r="I1161" s="24">
        <f t="shared" si="56"/>
        <v>0.51031569508282448</v>
      </c>
      <c r="N1161" s="30">
        <v>38359.84210526316</v>
      </c>
    </row>
    <row r="1162" spans="1:18" x14ac:dyDescent="0.3">
      <c r="A1162">
        <v>17.671800000000001</v>
      </c>
      <c r="B1162">
        <v>42.461500000000001</v>
      </c>
      <c r="C1162">
        <f t="shared" si="54"/>
        <v>42.853839999999998</v>
      </c>
      <c r="D1162">
        <v>0.72099999999999997</v>
      </c>
      <c r="E1162">
        <f t="shared" si="55"/>
        <v>3.757795255964433</v>
      </c>
      <c r="I1162" s="24">
        <f t="shared" si="56"/>
        <v>0.52371871765573774</v>
      </c>
      <c r="N1162" s="30">
        <v>38347.052631578954</v>
      </c>
      <c r="O1162">
        <v>2004</v>
      </c>
      <c r="P1162" s="24">
        <f>AVERAGE(I1162:I1244)</f>
        <v>0.61592095412051839</v>
      </c>
      <c r="Q1162">
        <f>A1244-A1162</f>
        <v>1.2491999999999983</v>
      </c>
      <c r="R1162">
        <f>P1162*Q1162</f>
        <v>0.76940845588735052</v>
      </c>
    </row>
    <row r="1163" spans="1:18" x14ac:dyDescent="0.3">
      <c r="A1163">
        <v>17.687000000000001</v>
      </c>
      <c r="B1163">
        <v>43.884599999999999</v>
      </c>
      <c r="C1163">
        <f t="shared" si="54"/>
        <v>43.776920000000004</v>
      </c>
      <c r="D1163">
        <v>0.72118181818181815</v>
      </c>
      <c r="E1163">
        <f t="shared" si="55"/>
        <v>3.7791067378611221</v>
      </c>
      <c r="I1163" s="24">
        <f t="shared" si="56"/>
        <v>0.5385800018553506</v>
      </c>
      <c r="N1163" s="30">
        <v>38334.26315789474</v>
      </c>
    </row>
    <row r="1164" spans="1:18" x14ac:dyDescent="0.3">
      <c r="A1164">
        <v>17.702300000000001</v>
      </c>
      <c r="B1164">
        <v>44.615400000000001</v>
      </c>
      <c r="C1164">
        <f t="shared" si="54"/>
        <v>44.776920000000004</v>
      </c>
      <c r="D1164">
        <v>0.72136363636363643</v>
      </c>
      <c r="E1164">
        <f t="shared" si="55"/>
        <v>3.8016928280994353</v>
      </c>
      <c r="I1164" s="24">
        <f t="shared" si="56"/>
        <v>0.55479907574440901</v>
      </c>
      <c r="N1164" s="30">
        <v>38321.473684210527</v>
      </c>
    </row>
    <row r="1165" spans="1:18" x14ac:dyDescent="0.3">
      <c r="A1165">
        <v>17.717500000000001</v>
      </c>
      <c r="B1165">
        <v>45.884599999999999</v>
      </c>
      <c r="C1165">
        <f t="shared" si="54"/>
        <v>45.838459999999998</v>
      </c>
      <c r="D1165">
        <v>0.72154545454545449</v>
      </c>
      <c r="E1165">
        <f t="shared" si="55"/>
        <v>3.8251234767287174</v>
      </c>
      <c r="I1165" s="24">
        <f t="shared" si="56"/>
        <v>0.5721464154477377</v>
      </c>
      <c r="N1165" s="30">
        <v>38308.68421052632</v>
      </c>
    </row>
    <row r="1166" spans="1:18" x14ac:dyDescent="0.3">
      <c r="A1166">
        <v>17.732700000000001</v>
      </c>
      <c r="B1166">
        <v>47.038499999999999</v>
      </c>
      <c r="C1166">
        <f t="shared" si="54"/>
        <v>46.7</v>
      </c>
      <c r="D1166">
        <v>0.72172727272727266</v>
      </c>
      <c r="E1166">
        <f t="shared" si="55"/>
        <v>3.8437441646748516</v>
      </c>
      <c r="I1166" s="24">
        <f t="shared" si="56"/>
        <v>0.58628830957240152</v>
      </c>
      <c r="N1166" s="30">
        <v>38295.894736842107</v>
      </c>
    </row>
    <row r="1167" spans="1:18" x14ac:dyDescent="0.3">
      <c r="A1167">
        <v>17.748000000000001</v>
      </c>
      <c r="B1167">
        <v>47.769199999999998</v>
      </c>
      <c r="C1167">
        <f t="shared" si="54"/>
        <v>47.469219999999993</v>
      </c>
      <c r="D1167">
        <v>0.72190909090909083</v>
      </c>
      <c r="E1167">
        <f t="shared" si="55"/>
        <v>3.8600815009978522</v>
      </c>
      <c r="I1167" s="24">
        <f t="shared" si="56"/>
        <v>0.59896518732288428</v>
      </c>
      <c r="N1167" s="30">
        <v>38283.1052631579</v>
      </c>
    </row>
    <row r="1168" spans="1:18" x14ac:dyDescent="0.3">
      <c r="A1168">
        <v>17.763200000000001</v>
      </c>
      <c r="B1168">
        <v>48.192300000000003</v>
      </c>
      <c r="C1168">
        <f t="shared" si="54"/>
        <v>48.030760000000001</v>
      </c>
      <c r="D1168">
        <v>0.72209090909090912</v>
      </c>
      <c r="E1168">
        <f t="shared" si="55"/>
        <v>3.8718416389952246</v>
      </c>
      <c r="I1168" s="24">
        <f t="shared" si="56"/>
        <v>0.60821685240476109</v>
      </c>
      <c r="N1168" s="30">
        <v>38270.315789473687</v>
      </c>
    </row>
    <row r="1169" spans="1:14" x14ac:dyDescent="0.3">
      <c r="A1169">
        <v>17.778400000000001</v>
      </c>
      <c r="B1169">
        <v>48.461500000000001</v>
      </c>
      <c r="C1169">
        <f t="shared" si="54"/>
        <v>48.699979999999996</v>
      </c>
      <c r="D1169">
        <v>0.72227272727272729</v>
      </c>
      <c r="E1169">
        <f t="shared" si="55"/>
        <v>3.8856786194108417</v>
      </c>
      <c r="I1169" s="24">
        <f t="shared" si="56"/>
        <v>0.6193130951679543</v>
      </c>
      <c r="N1169" s="30">
        <v>38257.526315789473</v>
      </c>
    </row>
    <row r="1170" spans="1:14" x14ac:dyDescent="0.3">
      <c r="A1170">
        <v>17.793700000000001</v>
      </c>
      <c r="B1170">
        <v>48.692300000000003</v>
      </c>
      <c r="C1170">
        <f t="shared" si="54"/>
        <v>49.299980000000005</v>
      </c>
      <c r="D1170">
        <v>0.72245454545454546</v>
      </c>
      <c r="E1170">
        <f t="shared" si="55"/>
        <v>3.8979236753690492</v>
      </c>
      <c r="I1170" s="24">
        <f t="shared" si="56"/>
        <v>0.62928326931517109</v>
      </c>
      <c r="N1170" s="30">
        <v>38244.736842105267</v>
      </c>
    </row>
    <row r="1171" spans="1:14" x14ac:dyDescent="0.3">
      <c r="A1171">
        <v>17.808900000000001</v>
      </c>
      <c r="B1171">
        <v>50.384599999999999</v>
      </c>
      <c r="C1171">
        <f t="shared" si="54"/>
        <v>49.930759999999999</v>
      </c>
      <c r="D1171">
        <v>0.72263636363636363</v>
      </c>
      <c r="E1171">
        <f t="shared" si="55"/>
        <v>3.9106372457065088</v>
      </c>
      <c r="I1171" s="24">
        <f t="shared" si="56"/>
        <v>0.63981099111073425</v>
      </c>
      <c r="N1171" s="30">
        <v>38231.947368421053</v>
      </c>
    </row>
    <row r="1172" spans="1:14" x14ac:dyDescent="0.3">
      <c r="A1172">
        <v>17.824200000000001</v>
      </c>
      <c r="B1172">
        <v>50.769199999999998</v>
      </c>
      <c r="C1172">
        <f t="shared" si="54"/>
        <v>50.569219999999994</v>
      </c>
      <c r="D1172">
        <v>0.7228181818181818</v>
      </c>
      <c r="E1172">
        <f t="shared" si="55"/>
        <v>3.9233430908084133</v>
      </c>
      <c r="I1172" s="24">
        <f t="shared" si="56"/>
        <v>0.65050822214876702</v>
      </c>
      <c r="N1172" s="30">
        <v>38219.157894736847</v>
      </c>
    </row>
    <row r="1173" spans="1:14" x14ac:dyDescent="0.3">
      <c r="A1173">
        <v>17.839400000000001</v>
      </c>
      <c r="B1173">
        <v>51.346200000000003</v>
      </c>
      <c r="C1173">
        <f t="shared" si="54"/>
        <v>51.223059999999997</v>
      </c>
      <c r="D1173">
        <v>0.72299999999999998</v>
      </c>
      <c r="E1173">
        <f t="shared" si="55"/>
        <v>3.9361898212750486</v>
      </c>
      <c r="I1173" s="24">
        <f t="shared" si="56"/>
        <v>0.66150780146013299</v>
      </c>
      <c r="N1173" s="30">
        <v>38206.368421052633</v>
      </c>
    </row>
    <row r="1174" spans="1:14" x14ac:dyDescent="0.3">
      <c r="A1174">
        <v>17.854600000000001</v>
      </c>
      <c r="B1174">
        <v>51.653799999999997</v>
      </c>
      <c r="C1174">
        <f t="shared" si="54"/>
        <v>51.569219999999994</v>
      </c>
      <c r="D1174">
        <v>0.72318181818181815</v>
      </c>
      <c r="E1174">
        <f t="shared" si="55"/>
        <v>3.9429249828757658</v>
      </c>
      <c r="I1174" s="24">
        <f t="shared" si="56"/>
        <v>0.6672688734766975</v>
      </c>
      <c r="N1174" s="30">
        <v>38193.578947368427</v>
      </c>
    </row>
    <row r="1175" spans="1:14" x14ac:dyDescent="0.3">
      <c r="A1175">
        <v>17.869900000000001</v>
      </c>
      <c r="B1175">
        <v>51.961500000000001</v>
      </c>
      <c r="C1175">
        <f t="shared" si="54"/>
        <v>51.94614</v>
      </c>
      <c r="D1175">
        <v>0.72336363636363632</v>
      </c>
      <c r="E1175">
        <f t="shared" si="55"/>
        <v>3.9502074125710234</v>
      </c>
      <c r="I1175" s="24">
        <f t="shared" si="56"/>
        <v>0.67356833526388704</v>
      </c>
      <c r="N1175" s="30">
        <v>38180.789473684214</v>
      </c>
    </row>
    <row r="1176" spans="1:14" x14ac:dyDescent="0.3">
      <c r="A1176">
        <v>17.885100000000001</v>
      </c>
      <c r="B1176">
        <v>52.115400000000001</v>
      </c>
      <c r="C1176">
        <f t="shared" si="54"/>
        <v>52.261519999999997</v>
      </c>
      <c r="D1176">
        <v>0.72354545454545449</v>
      </c>
      <c r="E1176">
        <f t="shared" si="55"/>
        <v>3.9562603450120144</v>
      </c>
      <c r="I1176" s="24">
        <f t="shared" si="56"/>
        <v>0.67882072117088521</v>
      </c>
      <c r="J1176">
        <v>2004</v>
      </c>
      <c r="K1176">
        <f>AVERAGE(I1176:I1254)</f>
        <v>0.62928033238475434</v>
      </c>
      <c r="L1176">
        <f>A1254-A1176</f>
        <v>1.1882999999999981</v>
      </c>
      <c r="M1176">
        <f>K1176*L1176</f>
        <v>0.74777381897280237</v>
      </c>
      <c r="N1176" s="30">
        <v>38168</v>
      </c>
    </row>
    <row r="1177" spans="1:14" x14ac:dyDescent="0.3">
      <c r="A1177">
        <v>17.900300000000001</v>
      </c>
      <c r="B1177">
        <v>52.653799999999997</v>
      </c>
      <c r="C1177">
        <f t="shared" si="54"/>
        <v>52.269219999999997</v>
      </c>
      <c r="D1177">
        <v>0.72372727272727277</v>
      </c>
      <c r="E1177">
        <f t="shared" si="55"/>
        <v>3.9564076700957918</v>
      </c>
      <c r="I1177" s="24">
        <f t="shared" si="56"/>
        <v>0.6787826539642865</v>
      </c>
      <c r="N1177" s="30">
        <v>38166.15151515152</v>
      </c>
    </row>
    <row r="1178" spans="1:14" x14ac:dyDescent="0.3">
      <c r="A1178">
        <v>17.915600000000001</v>
      </c>
      <c r="B1178">
        <v>52.923099999999998</v>
      </c>
      <c r="C1178">
        <f t="shared" si="54"/>
        <v>52.223079999999996</v>
      </c>
      <c r="D1178">
        <v>0.72390909090909095</v>
      </c>
      <c r="E1178">
        <f t="shared" si="55"/>
        <v>3.955524542764902</v>
      </c>
      <c r="I1178" s="24">
        <f t="shared" si="56"/>
        <v>0.67781868017630986</v>
      </c>
      <c r="N1178" s="30">
        <v>38164.303030303032</v>
      </c>
    </row>
    <row r="1179" spans="1:14" x14ac:dyDescent="0.3">
      <c r="A1179">
        <v>17.930800000000001</v>
      </c>
      <c r="B1179">
        <v>51.692300000000003</v>
      </c>
      <c r="C1179">
        <f t="shared" si="54"/>
        <v>52.115380000000002</v>
      </c>
      <c r="D1179">
        <v>0.72409090909090912</v>
      </c>
      <c r="E1179">
        <f t="shared" si="55"/>
        <v>3.9534601067314297</v>
      </c>
      <c r="I1179" s="24">
        <f t="shared" si="56"/>
        <v>0.6757976682111354</v>
      </c>
      <c r="N1179" s="30">
        <v>38162.454545454551</v>
      </c>
    </row>
    <row r="1180" spans="1:14" x14ac:dyDescent="0.3">
      <c r="A1180">
        <v>17.946000000000002</v>
      </c>
      <c r="B1180">
        <v>51.730800000000002</v>
      </c>
      <c r="C1180">
        <f t="shared" si="54"/>
        <v>51.861540000000005</v>
      </c>
      <c r="D1180">
        <v>0.72427272727272718</v>
      </c>
      <c r="E1180">
        <f t="shared" si="55"/>
        <v>3.9485774750032112</v>
      </c>
      <c r="I1180" s="24">
        <f t="shared" si="56"/>
        <v>0.67127181630759691</v>
      </c>
      <c r="N1180" s="30">
        <v>38160.606060606064</v>
      </c>
    </row>
    <row r="1181" spans="1:14" x14ac:dyDescent="0.3">
      <c r="A1181">
        <v>17.961300000000001</v>
      </c>
      <c r="B1181">
        <v>51.576900000000002</v>
      </c>
      <c r="C1181">
        <f t="shared" si="54"/>
        <v>51.538460000000001</v>
      </c>
      <c r="D1181">
        <v>0.72445454545454546</v>
      </c>
      <c r="E1181">
        <f t="shared" si="55"/>
        <v>3.9423283250727281</v>
      </c>
      <c r="I1181" s="24">
        <f t="shared" si="56"/>
        <v>0.66557030089808178</v>
      </c>
      <c r="N1181" s="30">
        <v>38158.757575757576</v>
      </c>
    </row>
    <row r="1182" spans="1:14" x14ac:dyDescent="0.3">
      <c r="A1182">
        <v>17.976500000000001</v>
      </c>
      <c r="B1182">
        <v>51.384599999999999</v>
      </c>
      <c r="C1182">
        <f t="shared" si="54"/>
        <v>51.4923</v>
      </c>
      <c r="D1182">
        <v>0.72463636363636363</v>
      </c>
      <c r="E1182">
        <f t="shared" si="55"/>
        <v>3.9414322819281673</v>
      </c>
      <c r="I1182" s="24">
        <f t="shared" si="56"/>
        <v>0.66461388600368576</v>
      </c>
      <c r="N1182" s="30">
        <v>38156.909090909096</v>
      </c>
    </row>
    <row r="1183" spans="1:14" x14ac:dyDescent="0.3">
      <c r="A1183">
        <v>17.991700000000002</v>
      </c>
      <c r="B1183">
        <v>51.307699999999997</v>
      </c>
      <c r="C1183">
        <f t="shared" si="54"/>
        <v>51.42306</v>
      </c>
      <c r="D1183">
        <v>0.72481818181818181</v>
      </c>
      <c r="E1183">
        <f t="shared" si="55"/>
        <v>3.940086709985418</v>
      </c>
      <c r="I1183" s="24">
        <f t="shared" si="56"/>
        <v>0.66326377231453171</v>
      </c>
      <c r="N1183" s="30">
        <v>38155.060606060608</v>
      </c>
    </row>
    <row r="1184" spans="1:14" x14ac:dyDescent="0.3">
      <c r="A1184">
        <v>18.007000000000001</v>
      </c>
      <c r="B1184">
        <v>51.461500000000001</v>
      </c>
      <c r="C1184">
        <f t="shared" si="54"/>
        <v>51.415380000000006</v>
      </c>
      <c r="D1184" s="8">
        <v>0.72499999999999998</v>
      </c>
      <c r="E1184">
        <f t="shared" si="55"/>
        <v>3.9399373494930914</v>
      </c>
      <c r="I1184" s="24">
        <f t="shared" si="56"/>
        <v>0.66296624061940002</v>
      </c>
      <c r="N1184" s="30">
        <v>38153.212121212127</v>
      </c>
    </row>
    <row r="1185" spans="1:14" x14ac:dyDescent="0.3">
      <c r="A1185">
        <v>18.022200000000002</v>
      </c>
      <c r="B1185">
        <v>51.384599999999999</v>
      </c>
      <c r="C1185">
        <f t="shared" si="54"/>
        <v>51.692300000000003</v>
      </c>
      <c r="D1185">
        <v>0.72468181818181809</v>
      </c>
      <c r="E1185">
        <f t="shared" si="55"/>
        <v>3.9453088342520779</v>
      </c>
      <c r="I1185" s="24">
        <f t="shared" si="56"/>
        <v>0.66799399273042048</v>
      </c>
      <c r="N1185" s="30">
        <v>38151.36363636364</v>
      </c>
    </row>
    <row r="1186" spans="1:14" x14ac:dyDescent="0.3">
      <c r="A1186">
        <v>18.037400000000002</v>
      </c>
      <c r="B1186">
        <v>51.538499999999999</v>
      </c>
      <c r="C1186">
        <f t="shared" si="54"/>
        <v>52.023060000000001</v>
      </c>
      <c r="D1186">
        <v>0.72436363636363632</v>
      </c>
      <c r="E1186">
        <f t="shared" si="55"/>
        <v>3.9516870818198813</v>
      </c>
      <c r="I1186" s="24">
        <f t="shared" si="56"/>
        <v>0.6739583026799113</v>
      </c>
      <c r="N1186" s="30">
        <v>38149.515151515152</v>
      </c>
    </row>
    <row r="1187" spans="1:14" x14ac:dyDescent="0.3">
      <c r="A1187">
        <v>18.052700000000002</v>
      </c>
      <c r="B1187">
        <v>52.769199999999998</v>
      </c>
      <c r="C1187">
        <f t="shared" si="54"/>
        <v>52.430759999999999</v>
      </c>
      <c r="D1187">
        <v>0.72404545454545455</v>
      </c>
      <c r="E1187">
        <f t="shared" si="55"/>
        <v>3.9594934419972159</v>
      </c>
      <c r="I1187" s="24">
        <f t="shared" si="56"/>
        <v>0.68126370488068932</v>
      </c>
      <c r="N1187" s="30">
        <v>38147.666666666672</v>
      </c>
    </row>
    <row r="1188" spans="1:14" x14ac:dyDescent="0.3">
      <c r="A1188">
        <v>18.067900000000002</v>
      </c>
      <c r="B1188">
        <v>52.961500000000001</v>
      </c>
      <c r="C1188">
        <f t="shared" si="54"/>
        <v>52.961539999999999</v>
      </c>
      <c r="D1188">
        <v>0.72372727272727277</v>
      </c>
      <c r="E1188">
        <f t="shared" si="55"/>
        <v>3.9695659897558291</v>
      </c>
      <c r="I1188" s="24">
        <f t="shared" si="56"/>
        <v>0.69071902549196573</v>
      </c>
      <c r="N1188" s="30">
        <v>38145.818181818184</v>
      </c>
    </row>
    <row r="1189" spans="1:14" x14ac:dyDescent="0.3">
      <c r="A1189">
        <v>18.083100000000002</v>
      </c>
      <c r="B1189">
        <v>53.5</v>
      </c>
      <c r="C1189">
        <f t="shared" si="54"/>
        <v>53.430759999999999</v>
      </c>
      <c r="D1189">
        <v>0.72340909090909089</v>
      </c>
      <c r="E1189">
        <f t="shared" si="55"/>
        <v>3.9783866100871204</v>
      </c>
      <c r="I1189" s="24">
        <f t="shared" si="56"/>
        <v>0.69914518092125844</v>
      </c>
      <c r="N1189" s="30">
        <v>38143.969696969703</v>
      </c>
    </row>
    <row r="1190" spans="1:14" x14ac:dyDescent="0.3">
      <c r="A1190">
        <v>18.098400000000002</v>
      </c>
      <c r="B1190">
        <v>54.038499999999999</v>
      </c>
      <c r="C1190">
        <f t="shared" si="54"/>
        <v>53.461539999999999</v>
      </c>
      <c r="D1190">
        <v>0.72309090909090901</v>
      </c>
      <c r="E1190">
        <f t="shared" si="55"/>
        <v>3.9789625168802334</v>
      </c>
      <c r="I1190" s="24">
        <f t="shared" si="56"/>
        <v>0.69998668497852268</v>
      </c>
      <c r="N1190" s="30">
        <v>38142.121212121216</v>
      </c>
    </row>
    <row r="1191" spans="1:14" x14ac:dyDescent="0.3">
      <c r="A1191">
        <v>18.113600000000002</v>
      </c>
      <c r="B1191">
        <v>53.884599999999999</v>
      </c>
      <c r="C1191">
        <f t="shared" si="54"/>
        <v>53.307699999999997</v>
      </c>
      <c r="D1191">
        <v>0.72277272727272723</v>
      </c>
      <c r="E1191">
        <f t="shared" si="55"/>
        <v>3.9760807860285001</v>
      </c>
      <c r="I1191" s="24">
        <f t="shared" si="56"/>
        <v>0.69762640521172214</v>
      </c>
      <c r="N1191" s="30">
        <v>38140.272727272728</v>
      </c>
    </row>
    <row r="1192" spans="1:14" x14ac:dyDescent="0.3">
      <c r="A1192">
        <v>18.128799999999998</v>
      </c>
      <c r="B1192">
        <v>52.923099999999998</v>
      </c>
      <c r="C1192">
        <f t="shared" si="54"/>
        <v>52.984619999999993</v>
      </c>
      <c r="D1192">
        <v>0.72245454545454546</v>
      </c>
      <c r="E1192">
        <f t="shared" si="55"/>
        <v>3.9700016827599942</v>
      </c>
      <c r="I1192" s="24">
        <f t="shared" si="56"/>
        <v>0.69233535008956404</v>
      </c>
      <c r="N1192" s="30">
        <v>38138.424242424247</v>
      </c>
    </row>
    <row r="1193" spans="1:14" x14ac:dyDescent="0.3">
      <c r="A1193">
        <v>18.144100000000002</v>
      </c>
      <c r="B1193">
        <v>52.192300000000003</v>
      </c>
      <c r="C1193">
        <f t="shared" si="54"/>
        <v>52.184619999999995</v>
      </c>
      <c r="D1193">
        <v>0.72213636363636358</v>
      </c>
      <c r="E1193">
        <f t="shared" si="55"/>
        <v>3.9547878154595488</v>
      </c>
      <c r="I1193" s="24">
        <f t="shared" si="56"/>
        <v>0.67881975215137547</v>
      </c>
      <c r="N1193" s="30">
        <v>38136.57575757576</v>
      </c>
    </row>
    <row r="1194" spans="1:14" x14ac:dyDescent="0.3">
      <c r="A1194">
        <v>18.159300000000002</v>
      </c>
      <c r="B1194">
        <v>51.884599999999999</v>
      </c>
      <c r="C1194">
        <f t="shared" si="54"/>
        <v>51.4</v>
      </c>
      <c r="D1194">
        <v>0.7218181818181818</v>
      </c>
      <c r="E1194">
        <f t="shared" si="55"/>
        <v>3.9396381724611196</v>
      </c>
      <c r="I1194" s="24">
        <f t="shared" si="56"/>
        <v>0.66562476340061638</v>
      </c>
      <c r="N1194" s="30">
        <v>38134.727272727272</v>
      </c>
    </row>
    <row r="1195" spans="1:14" x14ac:dyDescent="0.3">
      <c r="A1195">
        <v>18.174499999999998</v>
      </c>
      <c r="B1195">
        <v>50.038499999999999</v>
      </c>
      <c r="C1195">
        <f t="shared" si="54"/>
        <v>50.807679999999998</v>
      </c>
      <c r="D1195">
        <v>0.72150000000000003</v>
      </c>
      <c r="E1195">
        <f t="shared" si="55"/>
        <v>3.9280475242600872</v>
      </c>
      <c r="I1195" s="24">
        <f t="shared" si="56"/>
        <v>0.65577104151139154</v>
      </c>
      <c r="N1195" s="30">
        <v>38132.878787878792</v>
      </c>
    </row>
    <row r="1196" spans="1:14" x14ac:dyDescent="0.3">
      <c r="A1196">
        <v>18.189800000000002</v>
      </c>
      <c r="B1196">
        <v>49.961500000000001</v>
      </c>
      <c r="C1196">
        <f t="shared" si="54"/>
        <v>50.330759999999998</v>
      </c>
      <c r="D1196">
        <v>0.72118181818181815</v>
      </c>
      <c r="E1196">
        <f t="shared" si="55"/>
        <v>3.9186164210120302</v>
      </c>
      <c r="I1196" s="24">
        <f t="shared" si="56"/>
        <v>0.64791432821215544</v>
      </c>
      <c r="N1196" s="30">
        <v>38131.030303030304</v>
      </c>
    </row>
    <row r="1197" spans="1:14" x14ac:dyDescent="0.3">
      <c r="A1197">
        <v>18.204999999999998</v>
      </c>
      <c r="B1197">
        <v>49.961500000000001</v>
      </c>
      <c r="C1197">
        <f t="shared" si="54"/>
        <v>49.876919999999998</v>
      </c>
      <c r="D1197">
        <v>0.72086363636363626</v>
      </c>
      <c r="E1197">
        <f t="shared" si="55"/>
        <v>3.9095583707096679</v>
      </c>
      <c r="I1197" s="24">
        <f t="shared" si="56"/>
        <v>0.6404683242464555</v>
      </c>
      <c r="N1197" s="30">
        <v>38129.181818181823</v>
      </c>
    </row>
    <row r="1198" spans="1:14" x14ac:dyDescent="0.3">
      <c r="A1198">
        <v>18.220199999999998</v>
      </c>
      <c r="B1198">
        <v>49.807699999999997</v>
      </c>
      <c r="C1198">
        <f t="shared" si="54"/>
        <v>49.738460000000003</v>
      </c>
      <c r="D1198">
        <v>0.72054545454545449</v>
      </c>
      <c r="E1198">
        <f t="shared" si="55"/>
        <v>3.9067784768987717</v>
      </c>
      <c r="I1198" s="24">
        <f t="shared" si="56"/>
        <v>0.63839572472450012</v>
      </c>
      <c r="N1198" s="30">
        <v>38127.333333333336</v>
      </c>
    </row>
    <row r="1199" spans="1:14" x14ac:dyDescent="0.3">
      <c r="A1199">
        <v>18.235499999999998</v>
      </c>
      <c r="B1199">
        <v>49.615400000000001</v>
      </c>
      <c r="C1199">
        <f t="shared" si="54"/>
        <v>49.515400000000007</v>
      </c>
      <c r="D1199">
        <v>0.72022727272727272</v>
      </c>
      <c r="E1199">
        <f t="shared" si="55"/>
        <v>3.9022837323007291</v>
      </c>
      <c r="I1199" s="24">
        <f t="shared" si="56"/>
        <v>0.63488596100418471</v>
      </c>
      <c r="N1199" s="30">
        <v>38125.484848484848</v>
      </c>
    </row>
    <row r="1200" spans="1:14" x14ac:dyDescent="0.3">
      <c r="A1200">
        <v>18.250699999999998</v>
      </c>
      <c r="B1200">
        <v>49.346200000000003</v>
      </c>
      <c r="C1200">
        <f t="shared" si="54"/>
        <v>49.223100000000002</v>
      </c>
      <c r="D1200">
        <v>0.71990909090909094</v>
      </c>
      <c r="E1200">
        <f t="shared" si="55"/>
        <v>3.8963630255070214</v>
      </c>
      <c r="I1200" s="24">
        <f t="shared" si="56"/>
        <v>0.6302039636339748</v>
      </c>
      <c r="N1200" s="30">
        <v>38123.636363636368</v>
      </c>
    </row>
    <row r="1201" spans="1:14" x14ac:dyDescent="0.3">
      <c r="A1201">
        <v>18.265899999999998</v>
      </c>
      <c r="B1201">
        <v>48.846200000000003</v>
      </c>
      <c r="C1201">
        <f t="shared" si="54"/>
        <v>48.823099999999997</v>
      </c>
      <c r="D1201">
        <v>0.71959090909090906</v>
      </c>
      <c r="E1201">
        <f t="shared" si="55"/>
        <v>3.8882035615150268</v>
      </c>
      <c r="I1201" s="24">
        <f t="shared" si="56"/>
        <v>0.6237040229136136</v>
      </c>
      <c r="N1201" s="30">
        <v>38121.78787878788</v>
      </c>
    </row>
    <row r="1202" spans="1:14" x14ac:dyDescent="0.3">
      <c r="A1202">
        <v>18.281199999999998</v>
      </c>
      <c r="B1202">
        <v>48.5</v>
      </c>
      <c r="C1202">
        <f t="shared" si="54"/>
        <v>48.315400000000004</v>
      </c>
      <c r="D1202">
        <v>0.71927272727272729</v>
      </c>
      <c r="E1202">
        <f t="shared" si="55"/>
        <v>3.8777503504193813</v>
      </c>
      <c r="I1202" s="24">
        <f t="shared" si="56"/>
        <v>0.61539835371676932</v>
      </c>
      <c r="N1202" s="30">
        <v>38119.939393939399</v>
      </c>
    </row>
    <row r="1203" spans="1:14" x14ac:dyDescent="0.3">
      <c r="A1203">
        <v>18.296399999999998</v>
      </c>
      <c r="B1203">
        <v>47.807699999999997</v>
      </c>
      <c r="C1203">
        <f t="shared" si="54"/>
        <v>47.746160000000003</v>
      </c>
      <c r="D1203">
        <v>0.7189545454545454</v>
      </c>
      <c r="E1203">
        <f t="shared" si="55"/>
        <v>3.8658986448448029</v>
      </c>
      <c r="I1203" s="24">
        <f t="shared" si="56"/>
        <v>0.60607946758146169</v>
      </c>
      <c r="N1203" s="30">
        <v>38118.090909090912</v>
      </c>
    </row>
    <row r="1204" spans="1:14" x14ac:dyDescent="0.3">
      <c r="A1204">
        <v>18.311599999999999</v>
      </c>
      <c r="B1204">
        <v>47.076900000000002</v>
      </c>
      <c r="C1204">
        <f t="shared" si="54"/>
        <v>47.238459999999996</v>
      </c>
      <c r="D1204">
        <v>0.71863636363636363</v>
      </c>
      <c r="E1204">
        <f t="shared" si="55"/>
        <v>3.8552083913058306</v>
      </c>
      <c r="I1204" s="24">
        <f t="shared" si="56"/>
        <v>0.59782096767455173</v>
      </c>
      <c r="N1204" s="30">
        <v>38116.242424242424</v>
      </c>
    </row>
    <row r="1205" spans="1:14" x14ac:dyDescent="0.3">
      <c r="A1205">
        <v>18.326899999999998</v>
      </c>
      <c r="B1205">
        <v>46.5</v>
      </c>
      <c r="C1205">
        <f t="shared" si="54"/>
        <v>46.807699999999997</v>
      </c>
      <c r="D1205">
        <v>0.71831818181818174</v>
      </c>
      <c r="E1205">
        <f t="shared" si="55"/>
        <v>3.8460477193045688</v>
      </c>
      <c r="I1205" s="24">
        <f t="shared" si="56"/>
        <v>0.59087123754455761</v>
      </c>
      <c r="N1205" s="30">
        <v>38114.393939393944</v>
      </c>
    </row>
    <row r="1206" spans="1:14" x14ac:dyDescent="0.3">
      <c r="A1206">
        <v>18.342099999999999</v>
      </c>
      <c r="B1206">
        <v>46.307699999999997</v>
      </c>
      <c r="C1206">
        <f t="shared" si="54"/>
        <v>46.407699999999998</v>
      </c>
      <c r="D1206">
        <v>0.71799999999999997</v>
      </c>
      <c r="E1206">
        <f t="shared" si="55"/>
        <v>3.8374653937401795</v>
      </c>
      <c r="I1206" s="24">
        <f t="shared" si="56"/>
        <v>0.58445004356172525</v>
      </c>
      <c r="N1206" s="30">
        <v>38112.545454545456</v>
      </c>
    </row>
    <row r="1207" spans="1:14" x14ac:dyDescent="0.3">
      <c r="A1207">
        <v>18.357399999999998</v>
      </c>
      <c r="B1207">
        <v>46.346200000000003</v>
      </c>
      <c r="C1207">
        <f t="shared" si="54"/>
        <v>45.953859999999999</v>
      </c>
      <c r="D1207">
        <v>0.7176818181818182</v>
      </c>
      <c r="E1207">
        <f t="shared" si="55"/>
        <v>3.8276378496260852</v>
      </c>
      <c r="I1207" s="24">
        <f t="shared" si="56"/>
        <v>0.57714586096613885</v>
      </c>
      <c r="N1207" s="30">
        <v>38110.696969696975</v>
      </c>
    </row>
    <row r="1208" spans="1:14" x14ac:dyDescent="0.3">
      <c r="A1208">
        <v>18.372599999999998</v>
      </c>
      <c r="B1208">
        <v>45.807699999999997</v>
      </c>
      <c r="C1208">
        <f t="shared" si="54"/>
        <v>45.430779999999999</v>
      </c>
      <c r="D1208">
        <v>0.71736363636363643</v>
      </c>
      <c r="E1208">
        <f t="shared" si="55"/>
        <v>3.8161898488953283</v>
      </c>
      <c r="I1208" s="24">
        <f t="shared" si="56"/>
        <v>0.56871086556696016</v>
      </c>
      <c r="N1208" s="30">
        <v>38108.848484848488</v>
      </c>
    </row>
    <row r="1209" spans="1:14" x14ac:dyDescent="0.3">
      <c r="A1209">
        <v>18.387799999999999</v>
      </c>
      <c r="B1209">
        <v>44.807699999999997</v>
      </c>
      <c r="C1209">
        <f t="shared" si="54"/>
        <v>44.83077999999999</v>
      </c>
      <c r="D1209">
        <v>0.71704545454545454</v>
      </c>
      <c r="E1209">
        <f t="shared" si="55"/>
        <v>3.8028949570791135</v>
      </c>
      <c r="I1209" s="24">
        <f t="shared" si="56"/>
        <v>0.55902977086418892</v>
      </c>
      <c r="N1209" s="30">
        <v>38107</v>
      </c>
    </row>
    <row r="1210" spans="1:14" x14ac:dyDescent="0.3">
      <c r="A1210">
        <v>18.403099999999998</v>
      </c>
      <c r="B1210">
        <v>43.884599999999999</v>
      </c>
      <c r="C1210">
        <f t="shared" ref="C1210:C1273" si="57">AVERAGE(B1208:B1212)</f>
        <v>44.284620000000004</v>
      </c>
      <c r="D1210">
        <v>0.71672727272727266</v>
      </c>
      <c r="E1210">
        <f t="shared" ref="E1210:E1273" si="58">LN(C1210)</f>
        <v>3.7906374384411703</v>
      </c>
      <c r="I1210" s="24">
        <f t="shared" ref="I1210:I1273" si="59">(0.0026*(EXP(1.3248*E1210)))/D1210</f>
        <v>0.55026930672693863</v>
      </c>
      <c r="N1210" s="30">
        <v>38105.15151515152</v>
      </c>
    </row>
    <row r="1211" spans="1:14" x14ac:dyDescent="0.3">
      <c r="A1211">
        <v>18.418299999999999</v>
      </c>
      <c r="B1211">
        <v>43.307699999999997</v>
      </c>
      <c r="C1211">
        <f t="shared" si="57"/>
        <v>43.915379999999999</v>
      </c>
      <c r="D1211">
        <v>0.71640909090909088</v>
      </c>
      <c r="E1211">
        <f t="shared" si="58"/>
        <v>3.7822646004114562</v>
      </c>
      <c r="I1211" s="24">
        <f t="shared" si="59"/>
        <v>0.54444096004106557</v>
      </c>
      <c r="N1211" s="30">
        <v>38103.303030303032</v>
      </c>
    </row>
    <row r="1212" spans="1:14" x14ac:dyDescent="0.3">
      <c r="A1212">
        <v>18.433499999999999</v>
      </c>
      <c r="B1212">
        <v>43.615400000000001</v>
      </c>
      <c r="C1212">
        <f t="shared" si="57"/>
        <v>43.769219999999997</v>
      </c>
      <c r="D1212">
        <v>0.71609090909090911</v>
      </c>
      <c r="E1212">
        <f t="shared" si="58"/>
        <v>3.7789308306190699</v>
      </c>
      <c r="I1212" s="24">
        <f t="shared" si="59"/>
        <v>0.5422825423759684</v>
      </c>
      <c r="N1212" s="30">
        <v>38101.454545454551</v>
      </c>
    </row>
    <row r="1213" spans="1:14" x14ac:dyDescent="0.3">
      <c r="A1213">
        <v>18.448799999999999</v>
      </c>
      <c r="B1213">
        <v>43.961500000000001</v>
      </c>
      <c r="C1213">
        <f t="shared" si="57"/>
        <v>43.692300000000003</v>
      </c>
      <c r="D1213">
        <v>0.71577272727272723</v>
      </c>
      <c r="E1213">
        <f t="shared" si="58"/>
        <v>3.777171885203261</v>
      </c>
      <c r="I1213" s="24">
        <f t="shared" si="59"/>
        <v>0.54126085847593153</v>
      </c>
      <c r="N1213" s="30">
        <v>38099.606060606064</v>
      </c>
    </row>
    <row r="1214" spans="1:14" x14ac:dyDescent="0.3">
      <c r="A1214">
        <v>18.463999999999999</v>
      </c>
      <c r="B1214">
        <v>44.076900000000002</v>
      </c>
      <c r="C1214">
        <f t="shared" si="57"/>
        <v>43.607680000000002</v>
      </c>
      <c r="D1214">
        <v>0.71545454545454545</v>
      </c>
      <c r="E1214">
        <f t="shared" si="58"/>
        <v>3.7752332816319556</v>
      </c>
      <c r="I1214" s="24">
        <f t="shared" si="59"/>
        <v>0.54011263811176979</v>
      </c>
      <c r="N1214" s="30">
        <v>38097.757575757576</v>
      </c>
    </row>
    <row r="1215" spans="1:14" x14ac:dyDescent="0.3">
      <c r="A1215">
        <v>18.479199999999999</v>
      </c>
      <c r="B1215">
        <v>43.5</v>
      </c>
      <c r="C1215">
        <f t="shared" si="57"/>
        <v>43.369219999999999</v>
      </c>
      <c r="D1215">
        <v>0.71513636363636368</v>
      </c>
      <c r="E1215">
        <f t="shared" si="58"/>
        <v>3.7697499729034392</v>
      </c>
      <c r="I1215" s="24">
        <f t="shared" si="59"/>
        <v>0.53644189116204444</v>
      </c>
      <c r="N1215" s="30">
        <v>38095.909090909096</v>
      </c>
    </row>
    <row r="1216" spans="1:14" x14ac:dyDescent="0.3">
      <c r="A1216">
        <v>18.494499999999999</v>
      </c>
      <c r="B1216">
        <v>42.884599999999999</v>
      </c>
      <c r="C1216">
        <f t="shared" si="57"/>
        <v>43.023080000000007</v>
      </c>
      <c r="D1216">
        <v>0.7148181818181818</v>
      </c>
      <c r="E1216">
        <f t="shared" si="58"/>
        <v>3.7617367158839721</v>
      </c>
      <c r="I1216" s="24">
        <f t="shared" si="59"/>
        <v>0.53101342638663318</v>
      </c>
      <c r="N1216" s="30">
        <v>38094.060606060608</v>
      </c>
    </row>
    <row r="1217" spans="1:14" x14ac:dyDescent="0.3">
      <c r="A1217">
        <v>18.509699999999999</v>
      </c>
      <c r="B1217">
        <v>42.423099999999998</v>
      </c>
      <c r="C1217">
        <f t="shared" si="57"/>
        <v>42.692320000000002</v>
      </c>
      <c r="D1217">
        <v>0.71449999999999991</v>
      </c>
      <c r="E1217">
        <f t="shared" si="58"/>
        <v>3.7540190445731447</v>
      </c>
      <c r="I1217" s="24">
        <f t="shared" si="59"/>
        <v>0.52584587520887383</v>
      </c>
      <c r="N1217" s="30">
        <v>38092.212121212127</v>
      </c>
    </row>
    <row r="1218" spans="1:14" x14ac:dyDescent="0.3">
      <c r="A1218">
        <v>18.524899999999999</v>
      </c>
      <c r="B1218">
        <v>42.230800000000002</v>
      </c>
      <c r="C1218">
        <f t="shared" si="57"/>
        <v>42.423079999999999</v>
      </c>
      <c r="D1218">
        <v>0.71418181818181814</v>
      </c>
      <c r="E1218">
        <f t="shared" si="58"/>
        <v>3.7476925537614827</v>
      </c>
      <c r="I1218" s="24">
        <f t="shared" si="59"/>
        <v>0.52168932193725015</v>
      </c>
      <c r="N1218" s="30">
        <v>38090.36363636364</v>
      </c>
    </row>
    <row r="1219" spans="1:14" x14ac:dyDescent="0.3">
      <c r="A1219">
        <v>18.540199999999999</v>
      </c>
      <c r="B1219">
        <v>42.423099999999998</v>
      </c>
      <c r="C1219">
        <f t="shared" si="57"/>
        <v>42.238459999999996</v>
      </c>
      <c r="D1219">
        <v>0.71386363636363637</v>
      </c>
      <c r="E1219">
        <f t="shared" si="58"/>
        <v>3.7433311804000513</v>
      </c>
      <c r="I1219" s="24">
        <f t="shared" si="59"/>
        <v>0.51891490655863792</v>
      </c>
      <c r="N1219" s="30">
        <v>38088.515151515152</v>
      </c>
    </row>
    <row r="1220" spans="1:14" x14ac:dyDescent="0.3">
      <c r="A1220">
        <v>18.555399999999999</v>
      </c>
      <c r="B1220">
        <v>42.153799999999997</v>
      </c>
      <c r="C1220">
        <f t="shared" si="57"/>
        <v>42.153839999999995</v>
      </c>
      <c r="D1220">
        <v>0.71354545454545448</v>
      </c>
      <c r="E1220">
        <f t="shared" si="58"/>
        <v>3.7413257835010665</v>
      </c>
      <c r="I1220" s="24">
        <f t="shared" si="59"/>
        <v>0.51776888806522547</v>
      </c>
      <c r="N1220" s="30">
        <v>38086.666666666672</v>
      </c>
    </row>
    <row r="1221" spans="1:14" x14ac:dyDescent="0.3">
      <c r="A1221">
        <v>18.570599999999999</v>
      </c>
      <c r="B1221">
        <v>41.961500000000001</v>
      </c>
      <c r="C1221">
        <f t="shared" si="57"/>
        <v>42.192300000000003</v>
      </c>
      <c r="D1221">
        <v>0.71322727272727271</v>
      </c>
      <c r="E1221">
        <f t="shared" si="58"/>
        <v>3.742237739938326</v>
      </c>
      <c r="I1221" s="24">
        <f t="shared" si="59"/>
        <v>0.51862607771739733</v>
      </c>
      <c r="N1221" s="30">
        <v>38084.818181818184</v>
      </c>
    </row>
    <row r="1222" spans="1:14" x14ac:dyDescent="0.3">
      <c r="A1222">
        <v>18.585899999999999</v>
      </c>
      <c r="B1222">
        <v>42</v>
      </c>
      <c r="C1222">
        <f t="shared" si="57"/>
        <v>42.238439999999997</v>
      </c>
      <c r="D1222">
        <v>0.71290909090909094</v>
      </c>
      <c r="E1222">
        <f t="shared" si="58"/>
        <v>3.7433307068978277</v>
      </c>
      <c r="I1222" s="24">
        <f t="shared" si="59"/>
        <v>0.51960937868665935</v>
      </c>
      <c r="N1222" s="30">
        <v>38082.969696969703</v>
      </c>
    </row>
    <row r="1223" spans="1:14" x14ac:dyDescent="0.3">
      <c r="A1223">
        <v>18.601099999999999</v>
      </c>
      <c r="B1223">
        <v>42.423099999999998</v>
      </c>
      <c r="C1223">
        <f t="shared" si="57"/>
        <v>42.42306</v>
      </c>
      <c r="D1223">
        <v>0.71259090909090905</v>
      </c>
      <c r="E1223">
        <f t="shared" si="58"/>
        <v>3.7476920823198827</v>
      </c>
      <c r="I1223" s="24">
        <f t="shared" si="59"/>
        <v>0.52285370331372805</v>
      </c>
      <c r="N1223" s="30">
        <v>38081.121212121216</v>
      </c>
    </row>
    <row r="1224" spans="1:14" x14ac:dyDescent="0.3">
      <c r="A1224">
        <v>18.616299999999999</v>
      </c>
      <c r="B1224">
        <v>42.653799999999997</v>
      </c>
      <c r="C1224">
        <f t="shared" si="57"/>
        <v>42.669219999999996</v>
      </c>
      <c r="D1224">
        <v>0.71227272727272717</v>
      </c>
      <c r="E1224">
        <f t="shared" si="58"/>
        <v>3.7534778172109418</v>
      </c>
      <c r="I1224" s="24">
        <f t="shared" si="59"/>
        <v>0.52711210783569706</v>
      </c>
      <c r="N1224" s="30">
        <v>38079.272727272728</v>
      </c>
    </row>
    <row r="1225" spans="1:14" x14ac:dyDescent="0.3">
      <c r="A1225">
        <v>18.631599999999999</v>
      </c>
      <c r="B1225">
        <v>43.076900000000002</v>
      </c>
      <c r="C1225">
        <f t="shared" si="57"/>
        <v>43.169219999999996</v>
      </c>
      <c r="D1225">
        <v>0.7119545454545454</v>
      </c>
      <c r="E1225">
        <f t="shared" si="58"/>
        <v>3.7651277413013067</v>
      </c>
      <c r="I1225" s="24">
        <f t="shared" si="59"/>
        <v>0.53554980225064075</v>
      </c>
      <c r="N1225" s="30">
        <v>38077.424242424247</v>
      </c>
    </row>
    <row r="1226" spans="1:14" x14ac:dyDescent="0.3">
      <c r="A1226">
        <v>18.646799999999999</v>
      </c>
      <c r="B1226">
        <v>43.192300000000003</v>
      </c>
      <c r="C1226">
        <f t="shared" si="57"/>
        <v>43.746140000000004</v>
      </c>
      <c r="D1226">
        <v>0.71163636363636362</v>
      </c>
      <c r="E1226">
        <f t="shared" si="58"/>
        <v>3.7784033803398258</v>
      </c>
      <c r="I1226" s="24">
        <f t="shared" si="59"/>
        <v>0.54529583645090396</v>
      </c>
      <c r="N1226" s="30">
        <v>38075.57575757576</v>
      </c>
    </row>
    <row r="1227" spans="1:14" x14ac:dyDescent="0.3">
      <c r="A1227">
        <v>18.661999999999999</v>
      </c>
      <c r="B1227">
        <v>44.5</v>
      </c>
      <c r="C1227">
        <f t="shared" si="57"/>
        <v>44.600000000000009</v>
      </c>
      <c r="D1227">
        <v>0.71131818181818185</v>
      </c>
      <c r="E1227">
        <f t="shared" si="58"/>
        <v>3.7977338590260188</v>
      </c>
      <c r="I1227" s="24">
        <f t="shared" si="59"/>
        <v>0.5596909171194171</v>
      </c>
      <c r="N1227" s="30">
        <v>38073.727272727272</v>
      </c>
    </row>
    <row r="1228" spans="1:14" x14ac:dyDescent="0.3">
      <c r="A1228">
        <v>18.677299999999999</v>
      </c>
      <c r="B1228">
        <v>45.307699999999997</v>
      </c>
      <c r="C1228">
        <f t="shared" si="57"/>
        <v>45.684620000000002</v>
      </c>
      <c r="D1228">
        <v>0.71099999999999997</v>
      </c>
      <c r="E1228">
        <f t="shared" si="58"/>
        <v>3.8217616985873817</v>
      </c>
      <c r="I1228" s="24">
        <f t="shared" si="59"/>
        <v>0.57805220952726211</v>
      </c>
      <c r="N1228" s="30">
        <v>38071.878787878792</v>
      </c>
    </row>
    <row r="1229" spans="1:14" x14ac:dyDescent="0.3">
      <c r="A1229">
        <v>18.692499999999999</v>
      </c>
      <c r="B1229">
        <v>46.923099999999998</v>
      </c>
      <c r="C1229">
        <f t="shared" si="57"/>
        <v>47.04616</v>
      </c>
      <c r="D1229">
        <v>0.71068181818181819</v>
      </c>
      <c r="E1229">
        <f t="shared" si="58"/>
        <v>3.8511292473978092</v>
      </c>
      <c r="I1229" s="24">
        <f t="shared" si="59"/>
        <v>0.60125427671162734</v>
      </c>
      <c r="N1229" s="30">
        <v>38070.030303030304</v>
      </c>
    </row>
    <row r="1230" spans="1:14" x14ac:dyDescent="0.3">
      <c r="A1230">
        <v>18.707699999999999</v>
      </c>
      <c r="B1230">
        <v>48.5</v>
      </c>
      <c r="C1230">
        <f t="shared" si="57"/>
        <v>48.3</v>
      </c>
      <c r="D1230">
        <v>0.71036363636363631</v>
      </c>
      <c r="E1230">
        <f t="shared" si="58"/>
        <v>3.8774315606585268</v>
      </c>
      <c r="I1230" s="24">
        <f t="shared" si="59"/>
        <v>0.62285332193027942</v>
      </c>
      <c r="N1230" s="30">
        <v>38068.181818181823</v>
      </c>
    </row>
    <row r="1231" spans="1:14" x14ac:dyDescent="0.3">
      <c r="A1231">
        <v>18.722999999999999</v>
      </c>
      <c r="B1231">
        <v>50</v>
      </c>
      <c r="C1231">
        <f t="shared" si="57"/>
        <v>49.415379999999999</v>
      </c>
      <c r="D1231">
        <v>0.71004545454545454</v>
      </c>
      <c r="E1231">
        <f t="shared" si="58"/>
        <v>3.9002617117712597</v>
      </c>
      <c r="I1231" s="24">
        <f t="shared" si="59"/>
        <v>0.64226722235826827</v>
      </c>
      <c r="N1231" s="30">
        <v>38066.333333333336</v>
      </c>
    </row>
    <row r="1232" spans="1:14" x14ac:dyDescent="0.3">
      <c r="A1232">
        <v>18.738199999999999</v>
      </c>
      <c r="B1232">
        <v>50.769199999999998</v>
      </c>
      <c r="C1232">
        <f t="shared" si="57"/>
        <v>50.2</v>
      </c>
      <c r="D1232">
        <v>0.70972727272727265</v>
      </c>
      <c r="E1232">
        <f t="shared" si="58"/>
        <v>3.9160150266976834</v>
      </c>
      <c r="I1232" s="24">
        <f t="shared" si="59"/>
        <v>0.65610619473249343</v>
      </c>
      <c r="N1232" s="30">
        <v>38064.484848484848</v>
      </c>
    </row>
    <row r="1233" spans="1:18" x14ac:dyDescent="0.3">
      <c r="A1233">
        <v>18.753399999999999</v>
      </c>
      <c r="B1233">
        <v>50.884599999999999</v>
      </c>
      <c r="C1233">
        <f t="shared" si="57"/>
        <v>50.52308</v>
      </c>
      <c r="D1233">
        <v>0.70940909090909088</v>
      </c>
      <c r="E1233">
        <f t="shared" si="58"/>
        <v>3.9224302615780196</v>
      </c>
      <c r="I1233" s="24">
        <f t="shared" si="59"/>
        <v>0.66200292699107044</v>
      </c>
      <c r="N1233" s="30">
        <v>38062.636363636368</v>
      </c>
    </row>
    <row r="1234" spans="1:18" x14ac:dyDescent="0.3">
      <c r="A1234">
        <v>18.768699999999999</v>
      </c>
      <c r="B1234">
        <v>50.846200000000003</v>
      </c>
      <c r="C1234">
        <f t="shared" si="57"/>
        <v>50.584619999999994</v>
      </c>
      <c r="D1234">
        <v>0.70909090909090911</v>
      </c>
      <c r="E1234">
        <f t="shared" si="58"/>
        <v>3.9236475775213049</v>
      </c>
      <c r="I1234" s="24">
        <f t="shared" si="59"/>
        <v>0.66336893258932694</v>
      </c>
      <c r="N1234" s="30">
        <v>38060.78787878788</v>
      </c>
    </row>
    <row r="1235" spans="1:18" x14ac:dyDescent="0.3">
      <c r="A1235">
        <v>18.783899999999999</v>
      </c>
      <c r="B1235">
        <v>50.115400000000001</v>
      </c>
      <c r="C1235">
        <f t="shared" si="57"/>
        <v>50.507700000000007</v>
      </c>
      <c r="D1235">
        <v>0.70877272727272733</v>
      </c>
      <c r="E1235">
        <f t="shared" si="58"/>
        <v>3.92212579990567</v>
      </c>
      <c r="I1235" s="24">
        <f t="shared" si="59"/>
        <v>0.66233009361347994</v>
      </c>
      <c r="N1235" s="30">
        <v>38058.939393939399</v>
      </c>
    </row>
    <row r="1236" spans="1:18" x14ac:dyDescent="0.3">
      <c r="A1236">
        <v>18.799099999999999</v>
      </c>
      <c r="B1236">
        <v>50.307699999999997</v>
      </c>
      <c r="C1236">
        <f t="shared" si="57"/>
        <v>50.369240000000005</v>
      </c>
      <c r="D1236">
        <v>0.70845454545454545</v>
      </c>
      <c r="E1236">
        <f t="shared" si="58"/>
        <v>3.9193806712974912</v>
      </c>
      <c r="I1236" s="24">
        <f t="shared" si="59"/>
        <v>0.6602221282151447</v>
      </c>
      <c r="N1236" s="30">
        <v>38057.090909090912</v>
      </c>
    </row>
    <row r="1237" spans="1:18" x14ac:dyDescent="0.3">
      <c r="A1237">
        <v>18.814399999999999</v>
      </c>
      <c r="B1237">
        <v>50.384599999999999</v>
      </c>
      <c r="C1237">
        <f t="shared" si="57"/>
        <v>50.169240000000002</v>
      </c>
      <c r="D1237">
        <v>0.70813636363636356</v>
      </c>
      <c r="E1237">
        <f t="shared" si="58"/>
        <v>3.9154020898863053</v>
      </c>
      <c r="I1237" s="24">
        <f t="shared" si="59"/>
        <v>0.65704646143205558</v>
      </c>
      <c r="N1237" s="30">
        <v>38055.242424242424</v>
      </c>
    </row>
    <row r="1238" spans="1:18" x14ac:dyDescent="0.3">
      <c r="A1238">
        <v>18.829599999999999</v>
      </c>
      <c r="B1238">
        <v>50.192300000000003</v>
      </c>
      <c r="C1238">
        <f t="shared" si="57"/>
        <v>50.038460000000001</v>
      </c>
      <c r="D1238">
        <v>0.70781818181818179</v>
      </c>
      <c r="E1238">
        <f t="shared" si="58"/>
        <v>3.9127919097454424</v>
      </c>
      <c r="I1238" s="24">
        <f t="shared" si="59"/>
        <v>0.65507267957865756</v>
      </c>
      <c r="N1238" s="30">
        <v>38053.393939393944</v>
      </c>
    </row>
    <row r="1239" spans="1:18" x14ac:dyDescent="0.3">
      <c r="A1239">
        <v>18.844899999999999</v>
      </c>
      <c r="B1239">
        <v>49.846200000000003</v>
      </c>
      <c r="C1239">
        <f t="shared" si="57"/>
        <v>49.807679999999998</v>
      </c>
      <c r="D1239">
        <v>0.70750000000000002</v>
      </c>
      <c r="E1239">
        <f t="shared" si="58"/>
        <v>3.9081691890078782</v>
      </c>
      <c r="I1239" s="24">
        <f t="shared" si="59"/>
        <v>0.65136596084093723</v>
      </c>
      <c r="N1239" s="30">
        <v>38051.545454545456</v>
      </c>
    </row>
    <row r="1240" spans="1:18" x14ac:dyDescent="0.3">
      <c r="A1240">
        <v>18.860099999999999</v>
      </c>
      <c r="B1240">
        <v>49.461500000000001</v>
      </c>
      <c r="C1240">
        <f t="shared" si="57"/>
        <v>49.51538</v>
      </c>
      <c r="D1240">
        <v>0.70718181818181813</v>
      </c>
      <c r="E1240">
        <f t="shared" si="58"/>
        <v>3.9022833283859057</v>
      </c>
      <c r="I1240" s="24">
        <f t="shared" si="59"/>
        <v>0.64659742055964131</v>
      </c>
      <c r="N1240" s="30">
        <v>38049.696969696975</v>
      </c>
    </row>
    <row r="1241" spans="1:18" x14ac:dyDescent="0.3">
      <c r="A1241">
        <v>18.875299999999999</v>
      </c>
      <c r="B1241">
        <v>49.153799999999997</v>
      </c>
      <c r="C1241">
        <f t="shared" si="57"/>
        <v>49.353840000000005</v>
      </c>
      <c r="D1241">
        <v>0.70686363636363636</v>
      </c>
      <c r="E1241">
        <f t="shared" si="58"/>
        <v>3.899015574402481</v>
      </c>
      <c r="I1241" s="24">
        <f t="shared" si="59"/>
        <v>0.64409406951655934</v>
      </c>
      <c r="N1241" s="30">
        <v>38047.848484848488</v>
      </c>
    </row>
    <row r="1242" spans="1:18" x14ac:dyDescent="0.3">
      <c r="A1242">
        <v>18.890599999999999</v>
      </c>
      <c r="B1242">
        <v>48.923099999999998</v>
      </c>
      <c r="C1242">
        <f t="shared" si="57"/>
        <v>49.299979999999998</v>
      </c>
      <c r="D1242">
        <v>0.70654545454545459</v>
      </c>
      <c r="E1242">
        <f t="shared" si="58"/>
        <v>3.8979236753690487</v>
      </c>
      <c r="I1242" s="25">
        <f t="shared" si="59"/>
        <v>0.64345266871431606</v>
      </c>
      <c r="N1242" s="30">
        <v>38046</v>
      </c>
    </row>
    <row r="1243" spans="1:18" x14ac:dyDescent="0.3">
      <c r="A1243">
        <v>18.905799999999999</v>
      </c>
      <c r="B1243">
        <v>49.384599999999999</v>
      </c>
      <c r="C1243">
        <f t="shared" si="57"/>
        <v>49.399979999999999</v>
      </c>
      <c r="D1243">
        <v>0.7062272727272727</v>
      </c>
      <c r="E1243">
        <f t="shared" si="58"/>
        <v>3.8999500193354955</v>
      </c>
      <c r="I1243" s="24">
        <f t="shared" si="59"/>
        <v>0.6454730171179125</v>
      </c>
      <c r="N1243" s="30">
        <v>38025.666666666672</v>
      </c>
    </row>
    <row r="1244" spans="1:18" x14ac:dyDescent="0.3">
      <c r="A1244">
        <v>18.920999999999999</v>
      </c>
      <c r="B1244">
        <v>49.576900000000002</v>
      </c>
      <c r="C1244">
        <f t="shared" si="57"/>
        <v>49.638460000000002</v>
      </c>
      <c r="D1244">
        <v>0.70590909090909082</v>
      </c>
      <c r="E1244">
        <f t="shared" si="58"/>
        <v>3.9047659364869203</v>
      </c>
      <c r="I1244" s="24">
        <f t="shared" si="59"/>
        <v>0.64989718527796869</v>
      </c>
      <c r="N1244" s="30">
        <v>38005.333333333336</v>
      </c>
    </row>
    <row r="1245" spans="1:18" x14ac:dyDescent="0.3">
      <c r="A1245">
        <v>18.936299999999999</v>
      </c>
      <c r="B1245">
        <v>49.961500000000001</v>
      </c>
      <c r="C1245">
        <f t="shared" si="57"/>
        <v>49.9846</v>
      </c>
      <c r="D1245">
        <v>0.70559090909090905</v>
      </c>
      <c r="E1245">
        <f t="shared" si="58"/>
        <v>3.9117149579864043</v>
      </c>
      <c r="I1245" s="24">
        <f t="shared" si="59"/>
        <v>0.65620358230717946</v>
      </c>
      <c r="N1245" s="30">
        <v>37985</v>
      </c>
      <c r="O1245">
        <v>2003</v>
      </c>
      <c r="P1245" s="24">
        <f>AVERAGE(I1245:I1322)</f>
        <v>0.63199033945172534</v>
      </c>
      <c r="Q1245">
        <f>A1322-A1245</f>
        <v>1.1730000000000018</v>
      </c>
      <c r="R1245">
        <f>P1245*Q1245</f>
        <v>0.74132466817687492</v>
      </c>
    </row>
    <row r="1246" spans="1:18" x14ac:dyDescent="0.3">
      <c r="A1246">
        <v>18.951499999999999</v>
      </c>
      <c r="B1246">
        <v>50.346200000000003</v>
      </c>
      <c r="C1246">
        <f t="shared" si="57"/>
        <v>50.392299999999999</v>
      </c>
      <c r="D1246">
        <v>0.70527272727272727</v>
      </c>
      <c r="E1246">
        <f t="shared" si="58"/>
        <v>3.9198383856278318</v>
      </c>
      <c r="I1246" s="24">
        <f t="shared" si="59"/>
        <v>0.66360297543743341</v>
      </c>
      <c r="N1246" s="30">
        <v>37964.666666666672</v>
      </c>
    </row>
    <row r="1247" spans="1:18" x14ac:dyDescent="0.3">
      <c r="A1247">
        <v>18.966699999999999</v>
      </c>
      <c r="B1247">
        <v>50.653799999999997</v>
      </c>
      <c r="C1247">
        <f t="shared" si="57"/>
        <v>50.915380000000006</v>
      </c>
      <c r="D1247">
        <v>0.7049545454545455</v>
      </c>
      <c r="E1247">
        <f t="shared" si="58"/>
        <v>3.9301650390152023</v>
      </c>
      <c r="I1247" s="24">
        <f t="shared" si="59"/>
        <v>0.67304759075835086</v>
      </c>
      <c r="N1247" s="30">
        <v>37944.333333333336</v>
      </c>
    </row>
    <row r="1248" spans="1:18" x14ac:dyDescent="0.3">
      <c r="A1248">
        <v>18.981999999999999</v>
      </c>
      <c r="B1248">
        <v>51.423099999999998</v>
      </c>
      <c r="C1248">
        <f t="shared" si="57"/>
        <v>51.484620000000007</v>
      </c>
      <c r="D1248">
        <v>0.70463636363636362</v>
      </c>
      <c r="E1248">
        <f t="shared" si="58"/>
        <v>3.9412831222909546</v>
      </c>
      <c r="I1248" s="24">
        <f t="shared" si="59"/>
        <v>0.68334286417311452</v>
      </c>
      <c r="N1248" s="30">
        <v>37924</v>
      </c>
    </row>
    <row r="1249" spans="1:14" x14ac:dyDescent="0.3">
      <c r="A1249">
        <v>18.997199999999999</v>
      </c>
      <c r="B1249">
        <v>52.192300000000003</v>
      </c>
      <c r="C1249">
        <f t="shared" si="57"/>
        <v>52.4</v>
      </c>
      <c r="D1249">
        <v>0.70431818181818184</v>
      </c>
      <c r="E1249">
        <f t="shared" si="58"/>
        <v>3.9589065913269965</v>
      </c>
      <c r="I1249" s="24">
        <f t="shared" si="59"/>
        <v>0.6998009653065056</v>
      </c>
      <c r="N1249" s="30">
        <v>37903.666666666672</v>
      </c>
    </row>
    <row r="1250" spans="1:14" x14ac:dyDescent="0.3">
      <c r="A1250">
        <v>19.0124</v>
      </c>
      <c r="B1250">
        <v>52.807699999999997</v>
      </c>
      <c r="C1250">
        <f t="shared" si="57"/>
        <v>53.392319999999998</v>
      </c>
      <c r="D1250" s="8">
        <v>0.70399999999999996</v>
      </c>
      <c r="E1250">
        <f t="shared" si="58"/>
        <v>3.9776669153983097</v>
      </c>
      <c r="I1250" s="24">
        <f t="shared" si="59"/>
        <v>0.71773577316609505</v>
      </c>
      <c r="N1250" s="30">
        <v>37883.333333333336</v>
      </c>
    </row>
    <row r="1251" spans="1:14" x14ac:dyDescent="0.3">
      <c r="A1251">
        <v>19.027699999999999</v>
      </c>
      <c r="B1251">
        <v>54.923099999999998</v>
      </c>
      <c r="C1251">
        <f t="shared" si="57"/>
        <v>54.430780000000006</v>
      </c>
      <c r="D1251">
        <v>0.70410769230769232</v>
      </c>
      <c r="E1251">
        <f t="shared" si="58"/>
        <v>3.9969298026759676</v>
      </c>
      <c r="I1251" s="24">
        <f t="shared" si="59"/>
        <v>0.73617510888244142</v>
      </c>
      <c r="N1251" s="30">
        <v>37863</v>
      </c>
    </row>
    <row r="1252" spans="1:14" x14ac:dyDescent="0.3">
      <c r="A1252">
        <v>19.042899999999999</v>
      </c>
      <c r="B1252">
        <v>55.615400000000001</v>
      </c>
      <c r="C1252">
        <f t="shared" si="57"/>
        <v>55.384619999999998</v>
      </c>
      <c r="D1252">
        <v>0.70421538461538469</v>
      </c>
      <c r="E1252">
        <f t="shared" si="58"/>
        <v>4.0143019378818945</v>
      </c>
      <c r="I1252" s="24">
        <f t="shared" si="59"/>
        <v>0.75319915725242004</v>
      </c>
      <c r="N1252" s="30">
        <v>37842.666666666672</v>
      </c>
    </row>
    <row r="1253" spans="1:14" x14ac:dyDescent="0.3">
      <c r="A1253">
        <v>19.0581</v>
      </c>
      <c r="B1253">
        <v>56.615400000000001</v>
      </c>
      <c r="C1253">
        <f t="shared" si="57"/>
        <v>56.107700000000001</v>
      </c>
      <c r="D1253">
        <v>0.70432307692307694</v>
      </c>
      <c r="E1253">
        <f t="shared" si="58"/>
        <v>4.0272730580120193</v>
      </c>
      <c r="I1253" s="24">
        <f t="shared" si="59"/>
        <v>0.76613692290222568</v>
      </c>
      <c r="N1253" s="30">
        <v>37822.333333333336</v>
      </c>
    </row>
    <row r="1254" spans="1:14" x14ac:dyDescent="0.3">
      <c r="A1254">
        <v>19.073399999999999</v>
      </c>
      <c r="B1254">
        <v>56.961500000000001</v>
      </c>
      <c r="C1254">
        <f t="shared" si="57"/>
        <v>56.130780000000001</v>
      </c>
      <c r="D1254">
        <v>0.7044307692307693</v>
      </c>
      <c r="E1254">
        <f t="shared" si="58"/>
        <v>4.0276843251696874</v>
      </c>
      <c r="I1254" s="24">
        <f t="shared" si="59"/>
        <v>0.76643727415343521</v>
      </c>
      <c r="J1254">
        <v>2003</v>
      </c>
      <c r="K1254">
        <f>AVERAGE(I1254:I1354)</f>
        <v>0.65005351225051311</v>
      </c>
      <c r="L1254">
        <f>A1354-A1254</f>
        <v>1.5234000000000023</v>
      </c>
      <c r="M1254">
        <f>K1254*L1254</f>
        <v>0.99029152056243319</v>
      </c>
      <c r="N1254" s="30">
        <v>37802</v>
      </c>
    </row>
    <row r="1255" spans="1:14" x14ac:dyDescent="0.3">
      <c r="A1255">
        <v>19.0886</v>
      </c>
      <c r="B1255">
        <v>56.423099999999998</v>
      </c>
      <c r="C1255">
        <f t="shared" si="57"/>
        <v>55.692319999999995</v>
      </c>
      <c r="D1255">
        <v>0.70453846153846156</v>
      </c>
      <c r="E1255">
        <f t="shared" si="58"/>
        <v>4.01984225591863</v>
      </c>
      <c r="I1255" s="24">
        <f t="shared" si="59"/>
        <v>0.75839990123229362</v>
      </c>
      <c r="N1255" s="30">
        <v>37799.932203389835</v>
      </c>
    </row>
    <row r="1256" spans="1:14" x14ac:dyDescent="0.3">
      <c r="A1256">
        <v>19.1038</v>
      </c>
      <c r="B1256">
        <v>55.038499999999999</v>
      </c>
      <c r="C1256">
        <f t="shared" si="57"/>
        <v>54.823080000000004</v>
      </c>
      <c r="D1256">
        <v>0.70464615384615392</v>
      </c>
      <c r="E1256">
        <f t="shared" si="58"/>
        <v>4.0041112731708832</v>
      </c>
      <c r="I1256" s="24">
        <f t="shared" si="59"/>
        <v>0.7426445793099955</v>
      </c>
      <c r="N1256" s="30">
        <v>37797.864406779663</v>
      </c>
    </row>
    <row r="1257" spans="1:14" x14ac:dyDescent="0.3">
      <c r="A1257">
        <v>19.1191</v>
      </c>
      <c r="B1257">
        <v>53.423099999999998</v>
      </c>
      <c r="C1257">
        <f t="shared" si="57"/>
        <v>53.807699999999997</v>
      </c>
      <c r="D1257">
        <v>0.70475384615384618</v>
      </c>
      <c r="E1257">
        <f t="shared" si="58"/>
        <v>3.9854165796032452</v>
      </c>
      <c r="I1257" s="24">
        <f t="shared" si="59"/>
        <v>0.72436689220434647</v>
      </c>
      <c r="N1257" s="30">
        <v>37795.796610169491</v>
      </c>
    </row>
    <row r="1258" spans="1:14" x14ac:dyDescent="0.3">
      <c r="A1258">
        <v>19.1343</v>
      </c>
      <c r="B1258">
        <v>52.269199999999998</v>
      </c>
      <c r="C1258">
        <f t="shared" si="57"/>
        <v>52.876919999999998</v>
      </c>
      <c r="D1258">
        <v>0.70486153846153843</v>
      </c>
      <c r="E1258">
        <f t="shared" si="58"/>
        <v>3.9679669487639129</v>
      </c>
      <c r="I1258" s="24">
        <f t="shared" si="59"/>
        <v>0.70770543407564535</v>
      </c>
      <c r="N1258" s="30">
        <v>37793.728813559326</v>
      </c>
    </row>
    <row r="1259" spans="1:14" x14ac:dyDescent="0.3">
      <c r="A1259">
        <v>19.1495</v>
      </c>
      <c r="B1259">
        <v>51.884599999999999</v>
      </c>
      <c r="C1259">
        <f t="shared" si="57"/>
        <v>52.184600000000003</v>
      </c>
      <c r="D1259">
        <v>0.70496923076923079</v>
      </c>
      <c r="E1259">
        <f t="shared" si="58"/>
        <v>3.9547874322047925</v>
      </c>
      <c r="I1259" s="24">
        <f t="shared" si="59"/>
        <v>0.69534975016704603</v>
      </c>
      <c r="N1259" s="30">
        <v>37791.661016949154</v>
      </c>
    </row>
    <row r="1260" spans="1:14" x14ac:dyDescent="0.3">
      <c r="A1260">
        <v>19.1648</v>
      </c>
      <c r="B1260">
        <v>51.769199999999998</v>
      </c>
      <c r="C1260">
        <f t="shared" si="57"/>
        <v>51.784599999999998</v>
      </c>
      <c r="D1260">
        <v>0.70507692307692316</v>
      </c>
      <c r="E1260">
        <f t="shared" si="58"/>
        <v>3.9470928077665377</v>
      </c>
      <c r="I1260" s="24">
        <f t="shared" si="59"/>
        <v>0.68819234365776827</v>
      </c>
      <c r="N1260" s="30">
        <v>37789.593220338982</v>
      </c>
    </row>
    <row r="1261" spans="1:14" x14ac:dyDescent="0.3">
      <c r="A1261">
        <v>19.18</v>
      </c>
      <c r="B1261">
        <v>51.576900000000002</v>
      </c>
      <c r="C1261">
        <f t="shared" si="57"/>
        <v>51.676919999999996</v>
      </c>
      <c r="D1261">
        <v>0.70518461538461541</v>
      </c>
      <c r="E1261">
        <f t="shared" si="58"/>
        <v>3.9450112601751237</v>
      </c>
      <c r="I1261" s="24">
        <f t="shared" si="59"/>
        <v>0.68619236726146682</v>
      </c>
      <c r="N1261" s="30">
        <v>37787.525423728817</v>
      </c>
    </row>
    <row r="1262" spans="1:14" x14ac:dyDescent="0.3">
      <c r="A1262">
        <v>19.1952</v>
      </c>
      <c r="B1262">
        <v>51.423099999999998</v>
      </c>
      <c r="C1262">
        <f t="shared" si="57"/>
        <v>51.584619999999994</v>
      </c>
      <c r="D1262">
        <v>0.70529230769230777</v>
      </c>
      <c r="E1262">
        <f t="shared" si="58"/>
        <v>3.9432235660427017</v>
      </c>
      <c r="I1262" s="24">
        <f t="shared" si="59"/>
        <v>0.68446462722272017</v>
      </c>
      <c r="N1262" s="30">
        <v>37785.457627118645</v>
      </c>
    </row>
    <row r="1263" spans="1:14" x14ac:dyDescent="0.3">
      <c r="A1263">
        <v>19.2105</v>
      </c>
      <c r="B1263">
        <v>51.730800000000002</v>
      </c>
      <c r="C1263">
        <f t="shared" si="57"/>
        <v>51.384619999999998</v>
      </c>
      <c r="D1263">
        <v>0.70540000000000003</v>
      </c>
      <c r="E1263">
        <f t="shared" si="58"/>
        <v>3.9393389058954642</v>
      </c>
      <c r="I1263" s="24">
        <f t="shared" si="59"/>
        <v>0.6808471888900921</v>
      </c>
      <c r="N1263" s="30">
        <v>37783.38983050848</v>
      </c>
    </row>
    <row r="1264" spans="1:14" x14ac:dyDescent="0.3">
      <c r="A1264">
        <v>19.2257</v>
      </c>
      <c r="B1264">
        <v>51.423099999999998</v>
      </c>
      <c r="C1264">
        <f t="shared" si="57"/>
        <v>51.115400000000001</v>
      </c>
      <c r="D1264">
        <v>0.70550769230769239</v>
      </c>
      <c r="E1264">
        <f t="shared" si="58"/>
        <v>3.9340858216698971</v>
      </c>
      <c r="I1264" s="24">
        <f t="shared" si="59"/>
        <v>0.6760222204443509</v>
      </c>
      <c r="N1264" s="30">
        <v>37781.322033898308</v>
      </c>
    </row>
    <row r="1265" spans="1:14" x14ac:dyDescent="0.3">
      <c r="A1265">
        <v>19.2409</v>
      </c>
      <c r="B1265">
        <v>50.769199999999998</v>
      </c>
      <c r="C1265">
        <f t="shared" si="57"/>
        <v>50.730779999999996</v>
      </c>
      <c r="D1265">
        <v>0.70561538461538464</v>
      </c>
      <c r="E1265">
        <f t="shared" si="58"/>
        <v>3.9265328269778417</v>
      </c>
      <c r="I1265" s="24">
        <f t="shared" si="59"/>
        <v>0.66918938391483396</v>
      </c>
      <c r="N1265" s="30">
        <v>37779.254237288136</v>
      </c>
    </row>
    <row r="1266" spans="1:14" x14ac:dyDescent="0.3">
      <c r="A1266">
        <v>19.2562</v>
      </c>
      <c r="B1266">
        <v>50.230800000000002</v>
      </c>
      <c r="C1266">
        <f t="shared" si="57"/>
        <v>50.338459999999998</v>
      </c>
      <c r="D1266">
        <v>0.7057230769230769</v>
      </c>
      <c r="E1266">
        <f t="shared" si="58"/>
        <v>3.9187693972646529</v>
      </c>
      <c r="I1266" s="24">
        <f t="shared" si="59"/>
        <v>0.66224097698872331</v>
      </c>
      <c r="N1266" s="30">
        <v>37777.186440677971</v>
      </c>
    </row>
    <row r="1267" spans="1:14" x14ac:dyDescent="0.3">
      <c r="A1267">
        <v>19.2714</v>
      </c>
      <c r="B1267">
        <v>49.5</v>
      </c>
      <c r="C1267">
        <f t="shared" si="57"/>
        <v>50.061540000000001</v>
      </c>
      <c r="D1267">
        <v>0.70583076923076926</v>
      </c>
      <c r="E1267">
        <f t="shared" si="58"/>
        <v>3.9132530486147532</v>
      </c>
      <c r="I1267" s="24">
        <f t="shared" si="59"/>
        <v>0.65731861659310609</v>
      </c>
      <c r="N1267" s="30">
        <v>37775.118644067799</v>
      </c>
    </row>
    <row r="1268" spans="1:14" x14ac:dyDescent="0.3">
      <c r="A1268">
        <v>19.2866</v>
      </c>
      <c r="B1268">
        <v>49.769199999999998</v>
      </c>
      <c r="C1268">
        <f t="shared" si="57"/>
        <v>49.861540000000005</v>
      </c>
      <c r="D1268">
        <v>0.70593846153846163</v>
      </c>
      <c r="E1268">
        <f t="shared" si="58"/>
        <v>3.9092499641005842</v>
      </c>
      <c r="I1268" s="24">
        <f t="shared" si="59"/>
        <v>0.65374215003706748</v>
      </c>
      <c r="N1268" s="30">
        <v>37773.050847457627</v>
      </c>
    </row>
    <row r="1269" spans="1:14" x14ac:dyDescent="0.3">
      <c r="A1269">
        <v>19.3019</v>
      </c>
      <c r="B1269">
        <v>50.038499999999999</v>
      </c>
      <c r="C1269">
        <f t="shared" si="57"/>
        <v>49.723080000000003</v>
      </c>
      <c r="D1269">
        <v>0.70604615384615388</v>
      </c>
      <c r="E1269">
        <f t="shared" si="58"/>
        <v>3.9064692116265349</v>
      </c>
      <c r="I1269" s="24">
        <f t="shared" si="59"/>
        <v>0.6512388854902138</v>
      </c>
      <c r="N1269" s="30">
        <v>37770.983050847462</v>
      </c>
    </row>
    <row r="1270" spans="1:14" x14ac:dyDescent="0.3">
      <c r="A1270">
        <v>19.3171</v>
      </c>
      <c r="B1270">
        <v>49.769199999999998</v>
      </c>
      <c r="C1270">
        <f t="shared" si="57"/>
        <v>49.7</v>
      </c>
      <c r="D1270">
        <v>0.70615384615384624</v>
      </c>
      <c r="E1270">
        <f t="shared" si="58"/>
        <v>3.906004933102583</v>
      </c>
      <c r="I1270" s="24">
        <f t="shared" si="59"/>
        <v>0.65073919071332287</v>
      </c>
      <c r="N1270" s="30">
        <v>37768.91525423729</v>
      </c>
    </row>
    <row r="1271" spans="1:14" x14ac:dyDescent="0.3">
      <c r="A1271">
        <v>19.3323</v>
      </c>
      <c r="B1271">
        <v>49.538499999999999</v>
      </c>
      <c r="C1271">
        <f t="shared" si="57"/>
        <v>49.646160000000002</v>
      </c>
      <c r="D1271">
        <v>0.7062615384615385</v>
      </c>
      <c r="E1271">
        <f t="shared" si="58"/>
        <v>3.904921046110454</v>
      </c>
      <c r="I1271" s="24">
        <f t="shared" si="59"/>
        <v>0.64970635931965059</v>
      </c>
      <c r="N1271" s="30">
        <v>37766.847457627118</v>
      </c>
    </row>
    <row r="1272" spans="1:14" x14ac:dyDescent="0.3">
      <c r="A1272">
        <v>19.3476</v>
      </c>
      <c r="B1272">
        <v>49.384599999999999</v>
      </c>
      <c r="C1272">
        <f t="shared" si="57"/>
        <v>49.576919999999994</v>
      </c>
      <c r="D1272">
        <v>0.70636923076923075</v>
      </c>
      <c r="E1272">
        <f t="shared" si="58"/>
        <v>3.903525402854088</v>
      </c>
      <c r="I1272" s="24">
        <f t="shared" si="59"/>
        <v>0.64840732521670752</v>
      </c>
      <c r="N1272" s="30">
        <v>37764.779661016953</v>
      </c>
    </row>
    <row r="1273" spans="1:14" x14ac:dyDescent="0.3">
      <c r="A1273">
        <v>19.3628</v>
      </c>
      <c r="B1273">
        <v>49.5</v>
      </c>
      <c r="C1273">
        <f t="shared" si="57"/>
        <v>49.723080000000003</v>
      </c>
      <c r="D1273">
        <v>0.70647692307692311</v>
      </c>
      <c r="E1273">
        <f t="shared" si="58"/>
        <v>3.9064692116265349</v>
      </c>
      <c r="I1273" s="24">
        <f t="shared" si="59"/>
        <v>0.65084179725620916</v>
      </c>
      <c r="N1273" s="30">
        <v>37762.711864406781</v>
      </c>
    </row>
    <row r="1274" spans="1:14" x14ac:dyDescent="0.3">
      <c r="A1274">
        <v>19.3781</v>
      </c>
      <c r="B1274">
        <v>49.692300000000003</v>
      </c>
      <c r="C1274">
        <f t="shared" ref="C1274:C1337" si="60">AVERAGE(B1272:B1276)</f>
        <v>49.923080000000006</v>
      </c>
      <c r="D1274">
        <v>0.70658461538461537</v>
      </c>
      <c r="E1274">
        <f t="shared" ref="E1274:E1337" si="61">LN(C1274)</f>
        <v>3.9104834208758334</v>
      </c>
      <c r="I1274" s="24">
        <f t="shared" ref="I1274:I1337" si="62">(0.0026*(EXP(1.3248*E1274)))/D1274</f>
        <v>0.65421248417176492</v>
      </c>
      <c r="N1274" s="30">
        <v>37760.644067796609</v>
      </c>
    </row>
    <row r="1275" spans="1:14" x14ac:dyDescent="0.3">
      <c r="A1275">
        <v>19.3933</v>
      </c>
      <c r="B1275">
        <v>50.5</v>
      </c>
      <c r="C1275">
        <f t="shared" si="60"/>
        <v>50.161539999999995</v>
      </c>
      <c r="D1275">
        <v>0.70669230769230773</v>
      </c>
      <c r="E1275">
        <f t="shared" si="61"/>
        <v>3.915248597607762</v>
      </c>
      <c r="I1275" s="24">
        <f t="shared" si="62"/>
        <v>0.65825520344336375</v>
      </c>
      <c r="N1275" s="30">
        <v>37758.576271186445</v>
      </c>
    </row>
    <row r="1276" spans="1:14" x14ac:dyDescent="0.3">
      <c r="A1276">
        <v>19.4085</v>
      </c>
      <c r="B1276">
        <v>50.538499999999999</v>
      </c>
      <c r="C1276">
        <f t="shared" si="60"/>
        <v>50.5077</v>
      </c>
      <c r="D1276">
        <v>0.70680000000000009</v>
      </c>
      <c r="E1276">
        <f t="shared" si="61"/>
        <v>3.92212579990567</v>
      </c>
      <c r="I1276" s="24">
        <f t="shared" si="62"/>
        <v>0.66417870232771203</v>
      </c>
      <c r="N1276" s="30">
        <v>37756.508474576272</v>
      </c>
    </row>
    <row r="1277" spans="1:14" x14ac:dyDescent="0.3">
      <c r="A1277">
        <v>19.4238</v>
      </c>
      <c r="B1277">
        <v>50.576900000000002</v>
      </c>
      <c r="C1277">
        <f t="shared" si="60"/>
        <v>50.98462</v>
      </c>
      <c r="D1277">
        <v>0.70690769230769235</v>
      </c>
      <c r="E1277">
        <f t="shared" si="61"/>
        <v>3.9315240186159124</v>
      </c>
      <c r="I1277" s="24">
        <f t="shared" si="62"/>
        <v>0.6723974768047235</v>
      </c>
      <c r="N1277" s="30">
        <v>37754.440677966108</v>
      </c>
    </row>
    <row r="1278" spans="1:14" x14ac:dyDescent="0.3">
      <c r="A1278">
        <v>19.439</v>
      </c>
      <c r="B1278">
        <v>51.230800000000002</v>
      </c>
      <c r="C1278">
        <f t="shared" si="60"/>
        <v>51.430780000000006</v>
      </c>
      <c r="D1278">
        <v>0.70701538461538471</v>
      </c>
      <c r="E1278">
        <f t="shared" si="61"/>
        <v>3.9402368259172005</v>
      </c>
      <c r="I1278" s="24">
        <f t="shared" si="62"/>
        <v>0.68010013515320489</v>
      </c>
      <c r="N1278" s="30">
        <v>37752.372881355936</v>
      </c>
    </row>
    <row r="1279" spans="1:14" x14ac:dyDescent="0.3">
      <c r="A1279">
        <v>19.4542</v>
      </c>
      <c r="B1279">
        <v>52.076900000000002</v>
      </c>
      <c r="C1279">
        <f t="shared" si="60"/>
        <v>51.907699999999998</v>
      </c>
      <c r="D1279">
        <v>0.70712307692307697</v>
      </c>
      <c r="E1279">
        <f t="shared" si="61"/>
        <v>3.9494671414023226</v>
      </c>
      <c r="I1279" s="24">
        <f t="shared" si="62"/>
        <v>0.6883628236271454</v>
      </c>
      <c r="N1279" s="30">
        <v>37750.305084745763</v>
      </c>
    </row>
    <row r="1280" spans="1:14" x14ac:dyDescent="0.3">
      <c r="A1280">
        <v>19.4695</v>
      </c>
      <c r="B1280">
        <v>52.730800000000002</v>
      </c>
      <c r="C1280">
        <f t="shared" si="60"/>
        <v>52.384619999999998</v>
      </c>
      <c r="D1280">
        <v>0.70723076923076922</v>
      </c>
      <c r="E1280">
        <f t="shared" si="61"/>
        <v>3.9586130367936985</v>
      </c>
      <c r="I1280" s="24">
        <f t="shared" si="62"/>
        <v>0.69664799622126106</v>
      </c>
      <c r="N1280" s="30">
        <v>37748.237288135599</v>
      </c>
    </row>
    <row r="1281" spans="1:14" x14ac:dyDescent="0.3">
      <c r="A1281">
        <v>19.4847</v>
      </c>
      <c r="B1281">
        <v>52.923099999999998</v>
      </c>
      <c r="C1281">
        <f t="shared" si="60"/>
        <v>52.67692000000001</v>
      </c>
      <c r="D1281">
        <v>0.70733846153846158</v>
      </c>
      <c r="E1281">
        <f t="shared" si="61"/>
        <v>3.9641774089547792</v>
      </c>
      <c r="I1281" s="24">
        <f t="shared" si="62"/>
        <v>0.70169558814578703</v>
      </c>
      <c r="N1281" s="30">
        <v>37746.169491525427</v>
      </c>
    </row>
    <row r="1282" spans="1:14" x14ac:dyDescent="0.3">
      <c r="A1282">
        <v>19.4999</v>
      </c>
      <c r="B1282">
        <v>52.961500000000001</v>
      </c>
      <c r="C1282">
        <f t="shared" si="60"/>
        <v>52.738459999999996</v>
      </c>
      <c r="D1282">
        <v>0.70744615384615384</v>
      </c>
      <c r="E1282">
        <f t="shared" si="61"/>
        <v>3.9653449806505043</v>
      </c>
      <c r="I1282" s="24">
        <f t="shared" si="62"/>
        <v>0.7026748277651631</v>
      </c>
      <c r="N1282" s="30">
        <v>37744.101694915254</v>
      </c>
    </row>
    <row r="1283" spans="1:14" x14ac:dyDescent="0.3">
      <c r="A1283">
        <v>19.5152</v>
      </c>
      <c r="B1283">
        <v>52.692300000000003</v>
      </c>
      <c r="C1283">
        <f t="shared" si="60"/>
        <v>52.576920000000008</v>
      </c>
      <c r="D1283">
        <v>0.7075538461538462</v>
      </c>
      <c r="E1283">
        <f t="shared" si="61"/>
        <v>3.9622772401801543</v>
      </c>
      <c r="I1283" s="24">
        <f t="shared" si="62"/>
        <v>0.6997183364308871</v>
      </c>
      <c r="N1283" s="30">
        <v>37742.03389830509</v>
      </c>
    </row>
    <row r="1284" spans="1:14" x14ac:dyDescent="0.3">
      <c r="A1284">
        <v>19.5304</v>
      </c>
      <c r="B1284">
        <v>52.384599999999999</v>
      </c>
      <c r="C1284">
        <f t="shared" si="60"/>
        <v>52.238459999999996</v>
      </c>
      <c r="D1284">
        <v>0.70766153846153856</v>
      </c>
      <c r="E1284">
        <f t="shared" si="61"/>
        <v>3.9558190052074647</v>
      </c>
      <c r="I1284" s="24">
        <f t="shared" si="62"/>
        <v>0.69365159901226436</v>
      </c>
      <c r="N1284" s="30">
        <v>37739.966101694918</v>
      </c>
    </row>
    <row r="1285" spans="1:14" x14ac:dyDescent="0.3">
      <c r="A1285">
        <v>19.5456</v>
      </c>
      <c r="B1285">
        <v>51.923099999999998</v>
      </c>
      <c r="C1285">
        <f t="shared" si="60"/>
        <v>51.692319999999995</v>
      </c>
      <c r="D1285">
        <v>0.70776923076923082</v>
      </c>
      <c r="E1285">
        <f t="shared" si="61"/>
        <v>3.9453092211568226</v>
      </c>
      <c r="I1285" s="24">
        <f t="shared" si="62"/>
        <v>0.68395647658702574</v>
      </c>
      <c r="N1285" s="30">
        <v>37737.898305084746</v>
      </c>
    </row>
    <row r="1286" spans="1:14" x14ac:dyDescent="0.3">
      <c r="A1286">
        <v>19.5609</v>
      </c>
      <c r="B1286">
        <v>51.230800000000002</v>
      </c>
      <c r="C1286">
        <f t="shared" si="60"/>
        <v>51.03848</v>
      </c>
      <c r="D1286">
        <v>0.70787692307692318</v>
      </c>
      <c r="E1286">
        <f t="shared" si="61"/>
        <v>3.9325798580288214</v>
      </c>
      <c r="I1286" s="24">
        <f t="shared" si="62"/>
        <v>0.6724167276853793</v>
      </c>
      <c r="N1286" s="30">
        <v>37735.830508474581</v>
      </c>
    </row>
    <row r="1287" spans="1:14" x14ac:dyDescent="0.3">
      <c r="A1287">
        <v>19.5761</v>
      </c>
      <c r="B1287">
        <v>50.230800000000002</v>
      </c>
      <c r="C1287">
        <f t="shared" si="60"/>
        <v>50.323099999999997</v>
      </c>
      <c r="D1287">
        <v>0.70798461538461543</v>
      </c>
      <c r="E1287">
        <f t="shared" si="61"/>
        <v>3.918464216218001</v>
      </c>
      <c r="I1287" s="24">
        <f t="shared" si="62"/>
        <v>0.65985872157055092</v>
      </c>
      <c r="N1287" s="30">
        <v>37733.762711864409</v>
      </c>
    </row>
    <row r="1288" spans="1:14" x14ac:dyDescent="0.3">
      <c r="A1288">
        <v>19.5913</v>
      </c>
      <c r="B1288">
        <v>49.423099999999998</v>
      </c>
      <c r="C1288">
        <f t="shared" si="60"/>
        <v>49.638480000000001</v>
      </c>
      <c r="D1288">
        <v>0.70809230769230769</v>
      </c>
      <c r="E1288">
        <f t="shared" si="61"/>
        <v>3.9047663394002252</v>
      </c>
      <c r="I1288" s="24">
        <f t="shared" si="62"/>
        <v>0.64789374371302533</v>
      </c>
      <c r="N1288" s="30">
        <v>37731.694915254237</v>
      </c>
    </row>
    <row r="1289" spans="1:14" x14ac:dyDescent="0.3">
      <c r="A1289">
        <v>19.6066</v>
      </c>
      <c r="B1289">
        <v>48.807699999999997</v>
      </c>
      <c r="C1289">
        <f t="shared" si="60"/>
        <v>48.82307999999999</v>
      </c>
      <c r="D1289">
        <v>0.70820000000000005</v>
      </c>
      <c r="E1289">
        <f t="shared" si="61"/>
        <v>3.8882031518727858</v>
      </c>
      <c r="I1289" s="24">
        <f t="shared" si="62"/>
        <v>0.63373552850137116</v>
      </c>
      <c r="N1289" s="30">
        <v>37729.627118644072</v>
      </c>
    </row>
    <row r="1290" spans="1:14" x14ac:dyDescent="0.3">
      <c r="A1290">
        <v>19.6218</v>
      </c>
      <c r="B1290">
        <v>48.5</v>
      </c>
      <c r="C1290">
        <f t="shared" si="60"/>
        <v>48.115379999999995</v>
      </c>
      <c r="D1290">
        <v>0.7083076923076923</v>
      </c>
      <c r="E1290">
        <f t="shared" si="61"/>
        <v>3.8736018765221631</v>
      </c>
      <c r="I1290" s="24">
        <f t="shared" si="62"/>
        <v>0.62149999138301926</v>
      </c>
      <c r="N1290" s="30">
        <v>37727.5593220339</v>
      </c>
    </row>
    <row r="1291" spans="1:14" x14ac:dyDescent="0.3">
      <c r="A1291">
        <v>19.637</v>
      </c>
      <c r="B1291">
        <v>47.153799999999997</v>
      </c>
      <c r="C1291">
        <f t="shared" si="60"/>
        <v>47.507680000000001</v>
      </c>
      <c r="D1291">
        <v>0.70841538461538467</v>
      </c>
      <c r="E1291">
        <f t="shared" si="61"/>
        <v>3.8608913821816384</v>
      </c>
      <c r="I1291" s="24">
        <f t="shared" si="62"/>
        <v>0.61102935611852871</v>
      </c>
      <c r="N1291" s="30">
        <v>37725.491525423735</v>
      </c>
    </row>
    <row r="1292" spans="1:14" x14ac:dyDescent="0.3">
      <c r="A1292">
        <v>19.6523</v>
      </c>
      <c r="B1292">
        <v>46.692300000000003</v>
      </c>
      <c r="C1292">
        <f t="shared" si="60"/>
        <v>46.961519999999993</v>
      </c>
      <c r="D1292">
        <v>0.70852307692307703</v>
      </c>
      <c r="E1292">
        <f t="shared" si="61"/>
        <v>3.849328542968752</v>
      </c>
      <c r="I1292" s="24">
        <f t="shared" si="62"/>
        <v>0.60164919783772264</v>
      </c>
      <c r="N1292" s="30">
        <v>37723.423728813563</v>
      </c>
    </row>
    <row r="1293" spans="1:14" x14ac:dyDescent="0.3">
      <c r="A1293">
        <v>19.6675</v>
      </c>
      <c r="B1293">
        <v>46.384599999999999</v>
      </c>
      <c r="C1293">
        <f t="shared" si="60"/>
        <v>46.41536</v>
      </c>
      <c r="D1293">
        <v>0.70863076923076929</v>
      </c>
      <c r="E1293">
        <f t="shared" si="61"/>
        <v>3.8376304389351428</v>
      </c>
      <c r="I1293" s="24">
        <f t="shared" si="62"/>
        <v>0.59230690162203081</v>
      </c>
      <c r="N1293" s="30">
        <v>37721.355932203391</v>
      </c>
    </row>
    <row r="1294" spans="1:14" x14ac:dyDescent="0.3">
      <c r="A1294">
        <v>19.682700000000001</v>
      </c>
      <c r="B1294">
        <v>46.076900000000002</v>
      </c>
      <c r="C1294">
        <f t="shared" si="60"/>
        <v>46.084600000000002</v>
      </c>
      <c r="D1294">
        <v>0.70873846153846165</v>
      </c>
      <c r="E1294">
        <f t="shared" si="61"/>
        <v>3.8304788377942023</v>
      </c>
      <c r="I1294" s="24">
        <f t="shared" si="62"/>
        <v>0.58663247324626333</v>
      </c>
      <c r="N1294" s="30">
        <v>37719.288135593226</v>
      </c>
    </row>
    <row r="1295" spans="1:14" x14ac:dyDescent="0.3">
      <c r="A1295">
        <v>19.698</v>
      </c>
      <c r="B1295">
        <v>45.769199999999998</v>
      </c>
      <c r="C1295">
        <f t="shared" si="60"/>
        <v>45.776899999999998</v>
      </c>
      <c r="D1295">
        <v>0.7088461538461539</v>
      </c>
      <c r="E1295">
        <f t="shared" si="61"/>
        <v>3.8237795970721873</v>
      </c>
      <c r="I1295" s="24">
        <f t="shared" si="62"/>
        <v>0.58136071813122014</v>
      </c>
      <c r="N1295" s="30">
        <v>37717.220338983054</v>
      </c>
    </row>
    <row r="1296" spans="1:14" x14ac:dyDescent="0.3">
      <c r="A1296">
        <v>19.713200000000001</v>
      </c>
      <c r="B1296">
        <v>45.5</v>
      </c>
      <c r="C1296">
        <f t="shared" si="60"/>
        <v>45.492280000000001</v>
      </c>
      <c r="D1296">
        <v>0.70895384615384616</v>
      </c>
      <c r="E1296">
        <f t="shared" si="61"/>
        <v>3.8175426412315958</v>
      </c>
      <c r="I1296" s="24">
        <f t="shared" si="62"/>
        <v>0.57648930492541994</v>
      </c>
      <c r="N1296" s="30">
        <v>37715.152542372882</v>
      </c>
    </row>
    <row r="1297" spans="1:14" x14ac:dyDescent="0.3">
      <c r="A1297">
        <v>19.728400000000001</v>
      </c>
      <c r="B1297">
        <v>45.153799999999997</v>
      </c>
      <c r="C1297">
        <f t="shared" si="60"/>
        <v>45.39228</v>
      </c>
      <c r="D1297">
        <v>0.70906153846153852</v>
      </c>
      <c r="E1297">
        <f t="shared" si="61"/>
        <v>3.8153420465353096</v>
      </c>
      <c r="I1297" s="24">
        <f t="shared" si="62"/>
        <v>0.57472378321181794</v>
      </c>
      <c r="N1297" s="30">
        <v>37713.084745762717</v>
      </c>
    </row>
    <row r="1298" spans="1:14" x14ac:dyDescent="0.3">
      <c r="A1298">
        <v>19.7437</v>
      </c>
      <c r="B1298">
        <v>44.961500000000001</v>
      </c>
      <c r="C1298">
        <f t="shared" si="60"/>
        <v>45.384599999999999</v>
      </c>
      <c r="D1298">
        <v>0.70916923076923077</v>
      </c>
      <c r="E1298">
        <f t="shared" si="61"/>
        <v>3.8151728404551202</v>
      </c>
      <c r="I1298" s="24">
        <f t="shared" si="62"/>
        <v>0.57450770888060065</v>
      </c>
      <c r="N1298" s="30">
        <v>37711.016949152545</v>
      </c>
    </row>
    <row r="1299" spans="1:14" x14ac:dyDescent="0.3">
      <c r="A1299">
        <v>19.758900000000001</v>
      </c>
      <c r="B1299">
        <v>45.576900000000002</v>
      </c>
      <c r="C1299">
        <f t="shared" si="60"/>
        <v>45.4923</v>
      </c>
      <c r="D1299">
        <v>0.70927692307692314</v>
      </c>
      <c r="E1299">
        <f t="shared" si="61"/>
        <v>3.8175430808665314</v>
      </c>
      <c r="I1299" s="24">
        <f t="shared" si="62"/>
        <v>0.57622704861378948</v>
      </c>
      <c r="N1299" s="30">
        <v>37708.949152542373</v>
      </c>
    </row>
    <row r="1300" spans="1:14" x14ac:dyDescent="0.3">
      <c r="A1300">
        <v>19.774100000000001</v>
      </c>
      <c r="B1300">
        <v>45.730800000000002</v>
      </c>
      <c r="C1300">
        <f t="shared" si="60"/>
        <v>45.707700000000003</v>
      </c>
      <c r="D1300">
        <v>0.7093846153846155</v>
      </c>
      <c r="E1300">
        <f t="shared" si="61"/>
        <v>3.8222667738604601</v>
      </c>
      <c r="I1300" s="24">
        <f t="shared" si="62"/>
        <v>0.57975632776179786</v>
      </c>
      <c r="N1300" s="30">
        <v>37706.881355932208</v>
      </c>
    </row>
    <row r="1301" spans="1:14" x14ac:dyDescent="0.3">
      <c r="A1301">
        <v>19.789400000000001</v>
      </c>
      <c r="B1301">
        <v>46.038499999999999</v>
      </c>
      <c r="C1301">
        <f t="shared" si="60"/>
        <v>45.946159999999999</v>
      </c>
      <c r="D1301">
        <v>0.70949230769230776</v>
      </c>
      <c r="E1301">
        <f t="shared" si="61"/>
        <v>3.8274702762127601</v>
      </c>
      <c r="I1301" s="24">
        <f t="shared" si="62"/>
        <v>0.58367813445681938</v>
      </c>
      <c r="N1301" s="30">
        <v>37704.813559322036</v>
      </c>
    </row>
    <row r="1302" spans="1:14" x14ac:dyDescent="0.3">
      <c r="A1302">
        <v>19.804600000000001</v>
      </c>
      <c r="B1302">
        <v>46.230800000000002</v>
      </c>
      <c r="C1302">
        <f t="shared" si="60"/>
        <v>45.907699999999998</v>
      </c>
      <c r="D1302">
        <v>0.70960000000000012</v>
      </c>
      <c r="E1302">
        <f t="shared" si="61"/>
        <v>3.8266328589883218</v>
      </c>
      <c r="I1302" s="24">
        <f t="shared" si="62"/>
        <v>0.58294247137914867</v>
      </c>
      <c r="N1302" s="30">
        <v>37702.745762711864</v>
      </c>
    </row>
    <row r="1303" spans="1:14" x14ac:dyDescent="0.3">
      <c r="A1303">
        <v>19.819800000000001</v>
      </c>
      <c r="B1303">
        <v>46.153799999999997</v>
      </c>
      <c r="C1303">
        <f t="shared" si="60"/>
        <v>45.661540000000002</v>
      </c>
      <c r="D1303">
        <v>0.70970769230769237</v>
      </c>
      <c r="E1303">
        <f t="shared" si="61"/>
        <v>3.8212563680843559</v>
      </c>
      <c r="I1303" s="24">
        <f t="shared" si="62"/>
        <v>0.57871722675481052</v>
      </c>
      <c r="N1303" s="30">
        <v>37700.677966101699</v>
      </c>
    </row>
    <row r="1304" spans="1:14" x14ac:dyDescent="0.3">
      <c r="A1304">
        <v>19.835100000000001</v>
      </c>
      <c r="B1304">
        <v>45.384599999999999</v>
      </c>
      <c r="C1304">
        <f t="shared" si="60"/>
        <v>45.2</v>
      </c>
      <c r="D1304">
        <v>0.70981538461538463</v>
      </c>
      <c r="E1304">
        <f t="shared" si="61"/>
        <v>3.8110970868381857</v>
      </c>
      <c r="I1304" s="24">
        <f t="shared" si="62"/>
        <v>0.57089381554641305</v>
      </c>
      <c r="N1304" s="30">
        <v>37698.610169491527</v>
      </c>
    </row>
    <row r="1305" spans="1:14" x14ac:dyDescent="0.3">
      <c r="A1305">
        <v>19.850300000000001</v>
      </c>
      <c r="B1305">
        <v>44.5</v>
      </c>
      <c r="C1305">
        <f t="shared" si="60"/>
        <v>44.530760000000001</v>
      </c>
      <c r="D1305">
        <v>0.70992307692307699</v>
      </c>
      <c r="E1305">
        <f t="shared" si="61"/>
        <v>3.7961801863337135</v>
      </c>
      <c r="I1305" s="24">
        <f t="shared" si="62"/>
        <v>0.55963770167256588</v>
      </c>
      <c r="N1305" s="30">
        <v>37696.542372881362</v>
      </c>
    </row>
    <row r="1306" spans="1:14" x14ac:dyDescent="0.3">
      <c r="A1306">
        <v>19.865600000000001</v>
      </c>
      <c r="B1306">
        <v>43.730800000000002</v>
      </c>
      <c r="C1306">
        <f t="shared" si="60"/>
        <v>43.776920000000004</v>
      </c>
      <c r="D1306">
        <v>0.71003076923076924</v>
      </c>
      <c r="E1306">
        <f t="shared" si="61"/>
        <v>3.7791067378611221</v>
      </c>
      <c r="I1306" s="24">
        <f t="shared" si="62"/>
        <v>0.5470384127088006</v>
      </c>
      <c r="N1306" s="30">
        <v>37694.47457627119</v>
      </c>
    </row>
    <row r="1307" spans="1:14" x14ac:dyDescent="0.3">
      <c r="A1307">
        <v>19.880800000000001</v>
      </c>
      <c r="B1307">
        <v>42.884599999999999</v>
      </c>
      <c r="C1307">
        <f t="shared" si="60"/>
        <v>43.076920000000001</v>
      </c>
      <c r="D1307">
        <v>0.71013846153846161</v>
      </c>
      <c r="E1307">
        <f t="shared" si="61"/>
        <v>3.7629873548390842</v>
      </c>
      <c r="I1307" s="24">
        <f t="shared" si="62"/>
        <v>0.5353990755473671</v>
      </c>
      <c r="N1307" s="30">
        <v>37692.406779661018</v>
      </c>
    </row>
    <row r="1308" spans="1:14" x14ac:dyDescent="0.3">
      <c r="A1308">
        <v>19.896000000000001</v>
      </c>
      <c r="B1308">
        <v>42.384599999999999</v>
      </c>
      <c r="C1308">
        <f t="shared" si="60"/>
        <v>42.4923</v>
      </c>
      <c r="D1308">
        <v>0.71024615384615397</v>
      </c>
      <c r="E1308">
        <f t="shared" si="61"/>
        <v>3.7493228830453433</v>
      </c>
      <c r="I1308" s="24">
        <f t="shared" si="62"/>
        <v>0.52571438657367175</v>
      </c>
      <c r="N1308" s="30">
        <v>37690.338983050853</v>
      </c>
    </row>
    <row r="1309" spans="1:14" x14ac:dyDescent="0.3">
      <c r="A1309">
        <v>19.911300000000001</v>
      </c>
      <c r="B1309">
        <v>41.884599999999999</v>
      </c>
      <c r="C1309">
        <f t="shared" si="60"/>
        <v>42.061519999999994</v>
      </c>
      <c r="D1309">
        <v>0.71035384615384622</v>
      </c>
      <c r="E1309">
        <f t="shared" si="61"/>
        <v>3.7391333084708243</v>
      </c>
      <c r="I1309" s="24">
        <f t="shared" si="62"/>
        <v>0.51858674330899901</v>
      </c>
      <c r="N1309" s="30">
        <v>37688.271186440681</v>
      </c>
    </row>
    <row r="1310" spans="1:14" x14ac:dyDescent="0.3">
      <c r="A1310">
        <v>19.926500000000001</v>
      </c>
      <c r="B1310">
        <v>41.576900000000002</v>
      </c>
      <c r="C1310">
        <f t="shared" si="60"/>
        <v>41.753840000000004</v>
      </c>
      <c r="D1310">
        <v>0.71046153846153859</v>
      </c>
      <c r="E1310">
        <f t="shared" si="61"/>
        <v>3.7317914231152316</v>
      </c>
      <c r="I1310" s="24">
        <f t="shared" si="62"/>
        <v>0.51348929824321365</v>
      </c>
      <c r="N1310" s="30">
        <v>37686.203389830509</v>
      </c>
    </row>
    <row r="1311" spans="1:14" x14ac:dyDescent="0.3">
      <c r="A1311">
        <v>19.941700000000001</v>
      </c>
      <c r="B1311">
        <v>41.576900000000002</v>
      </c>
      <c r="C1311">
        <f t="shared" si="60"/>
        <v>41.569220000000001</v>
      </c>
      <c r="D1311">
        <v>0.71056923076923084</v>
      </c>
      <c r="E1311">
        <f t="shared" si="61"/>
        <v>3.7273599895571161</v>
      </c>
      <c r="I1311" s="24">
        <f t="shared" si="62"/>
        <v>0.5104061880493872</v>
      </c>
      <c r="N1311" s="30">
        <v>37684.135593220344</v>
      </c>
    </row>
    <row r="1312" spans="1:14" x14ac:dyDescent="0.3">
      <c r="A1312">
        <v>19.957000000000001</v>
      </c>
      <c r="B1312">
        <v>41.346200000000003</v>
      </c>
      <c r="C1312">
        <f t="shared" si="60"/>
        <v>41.438459999999999</v>
      </c>
      <c r="D1312">
        <v>0.71067692307692309</v>
      </c>
      <c r="E1312">
        <f t="shared" si="61"/>
        <v>3.7242094350985351</v>
      </c>
      <c r="I1312" s="24">
        <f t="shared" si="62"/>
        <v>0.50820324442602594</v>
      </c>
      <c r="N1312" s="30">
        <v>37682.067796610172</v>
      </c>
    </row>
    <row r="1313" spans="1:18" x14ac:dyDescent="0.3">
      <c r="A1313">
        <v>19.972200000000001</v>
      </c>
      <c r="B1313">
        <v>41.461500000000001</v>
      </c>
      <c r="C1313">
        <f t="shared" si="60"/>
        <v>41.415380000000006</v>
      </c>
      <c r="D1313">
        <v>0.71078461538461546</v>
      </c>
      <c r="E1313">
        <f t="shared" si="61"/>
        <v>3.7236523094276675</v>
      </c>
      <c r="I1313" s="25">
        <f t="shared" si="62"/>
        <v>0.50775134610657569</v>
      </c>
      <c r="N1313" s="30">
        <v>37680</v>
      </c>
    </row>
    <row r="1314" spans="1:18" x14ac:dyDescent="0.3">
      <c r="A1314">
        <v>19.987400000000001</v>
      </c>
      <c r="B1314">
        <v>41.230800000000002</v>
      </c>
      <c r="C1314">
        <f t="shared" si="60"/>
        <v>41.446159999999999</v>
      </c>
      <c r="D1314">
        <v>0.71089230769230771</v>
      </c>
      <c r="E1314">
        <f t="shared" si="61"/>
        <v>3.7243952355527608</v>
      </c>
      <c r="I1314" s="24">
        <f t="shared" si="62"/>
        <v>0.50817434103363501</v>
      </c>
      <c r="N1314" s="30">
        <v>37674.073170731703</v>
      </c>
    </row>
    <row r="1315" spans="1:18" x14ac:dyDescent="0.3">
      <c r="A1315">
        <v>20.002700000000001</v>
      </c>
      <c r="B1315">
        <v>41.461500000000001</v>
      </c>
      <c r="C1315">
        <f t="shared" si="60"/>
        <v>41.638459999999995</v>
      </c>
      <c r="D1315" s="8">
        <v>0.71099999999999997</v>
      </c>
      <c r="E1315">
        <f t="shared" si="61"/>
        <v>3.7290242593933067</v>
      </c>
      <c r="I1315" s="24">
        <f t="shared" si="62"/>
        <v>0.51122286648089232</v>
      </c>
      <c r="N1315" s="30">
        <v>37668.146341463413</v>
      </c>
    </row>
    <row r="1316" spans="1:18" x14ac:dyDescent="0.3">
      <c r="A1316">
        <v>20.017900000000001</v>
      </c>
      <c r="B1316">
        <v>41.730800000000002</v>
      </c>
      <c r="C1316">
        <f t="shared" si="60"/>
        <v>41.976919999999993</v>
      </c>
      <c r="D1316">
        <v>0.71121212121212118</v>
      </c>
      <c r="E1316">
        <f t="shared" si="61"/>
        <v>3.7371199434302986</v>
      </c>
      <c r="I1316" s="24">
        <f t="shared" si="62"/>
        <v>0.51658120489739168</v>
      </c>
      <c r="N1316" s="30">
        <v>37662.219512195123</v>
      </c>
    </row>
    <row r="1317" spans="1:18" x14ac:dyDescent="0.3">
      <c r="A1317">
        <v>20.033100000000001</v>
      </c>
      <c r="B1317">
        <v>42.307699999999997</v>
      </c>
      <c r="C1317">
        <f t="shared" si="60"/>
        <v>42.553839999999994</v>
      </c>
      <c r="D1317">
        <v>0.71142424242424229</v>
      </c>
      <c r="E1317">
        <f t="shared" si="61"/>
        <v>3.750770097715896</v>
      </c>
      <c r="I1317" s="24">
        <f t="shared" si="62"/>
        <v>0.52585105827341516</v>
      </c>
      <c r="N1317" s="30">
        <v>37656.292682926825</v>
      </c>
    </row>
    <row r="1318" spans="1:18" x14ac:dyDescent="0.3">
      <c r="A1318">
        <v>20.048400000000001</v>
      </c>
      <c r="B1318">
        <v>43.153799999999997</v>
      </c>
      <c r="C1318">
        <f t="shared" si="60"/>
        <v>43.3</v>
      </c>
      <c r="D1318">
        <v>0.71163636363636362</v>
      </c>
      <c r="E1318">
        <f t="shared" si="61"/>
        <v>3.7681526350084442</v>
      </c>
      <c r="I1318" s="24">
        <f t="shared" si="62"/>
        <v>0.53794067208771734</v>
      </c>
      <c r="N1318" s="30">
        <v>37650.365853658535</v>
      </c>
    </row>
    <row r="1319" spans="1:18" x14ac:dyDescent="0.3">
      <c r="A1319">
        <v>20.063600000000001</v>
      </c>
      <c r="B1319">
        <v>44.115400000000001</v>
      </c>
      <c r="C1319">
        <f t="shared" si="60"/>
        <v>44.184600000000003</v>
      </c>
      <c r="D1319">
        <v>0.71184848484848484</v>
      </c>
      <c r="E1319">
        <f t="shared" si="61"/>
        <v>3.7883763120830021</v>
      </c>
      <c r="I1319" s="24">
        <f t="shared" si="62"/>
        <v>0.55238351339004521</v>
      </c>
      <c r="N1319" s="30">
        <v>37644.439024390238</v>
      </c>
    </row>
    <row r="1320" spans="1:18" x14ac:dyDescent="0.3">
      <c r="A1320">
        <v>20.078800000000001</v>
      </c>
      <c r="B1320">
        <v>45.192300000000003</v>
      </c>
      <c r="C1320">
        <f t="shared" si="60"/>
        <v>45.061519999999994</v>
      </c>
      <c r="D1320">
        <v>0.71206060606060606</v>
      </c>
      <c r="E1320">
        <f t="shared" si="61"/>
        <v>3.8080286672358703</v>
      </c>
      <c r="I1320" s="24">
        <f t="shared" si="62"/>
        <v>0.56678501734226394</v>
      </c>
      <c r="N1320" s="30">
        <v>37638.512195121948</v>
      </c>
    </row>
    <row r="1321" spans="1:18" x14ac:dyDescent="0.3">
      <c r="A1321">
        <v>20.094100000000001</v>
      </c>
      <c r="B1321">
        <v>46.153799999999997</v>
      </c>
      <c r="C1321">
        <f t="shared" si="60"/>
        <v>46.292299999999997</v>
      </c>
      <c r="D1321">
        <v>0.71227272727272717</v>
      </c>
      <c r="E1321">
        <f t="shared" si="61"/>
        <v>3.8349756405662321</v>
      </c>
      <c r="I1321" s="24">
        <f t="shared" si="62"/>
        <v>0.58720945008509073</v>
      </c>
      <c r="N1321" s="30">
        <v>37632.585365853658</v>
      </c>
    </row>
    <row r="1322" spans="1:18" x14ac:dyDescent="0.3">
      <c r="A1322">
        <v>20.109300000000001</v>
      </c>
      <c r="B1322">
        <v>46.692300000000003</v>
      </c>
      <c r="C1322">
        <f t="shared" si="60"/>
        <v>47.499980000000008</v>
      </c>
      <c r="D1322">
        <v>0.71248484848484839</v>
      </c>
      <c r="E1322">
        <f t="shared" si="61"/>
        <v>3.8607292899878756</v>
      </c>
      <c r="I1322" s="24">
        <f t="shared" si="62"/>
        <v>0.60740892164272275</v>
      </c>
      <c r="N1322" s="30">
        <v>37626.658536585361</v>
      </c>
    </row>
    <row r="1323" spans="1:18" x14ac:dyDescent="0.3">
      <c r="A1323">
        <v>20.124500000000001</v>
      </c>
      <c r="B1323">
        <v>49.307699999999997</v>
      </c>
      <c r="C1323">
        <f t="shared" si="60"/>
        <v>48.584599999999995</v>
      </c>
      <c r="D1323">
        <v>0.71269696969696972</v>
      </c>
      <c r="E1323">
        <f t="shared" si="61"/>
        <v>3.8833066082637884</v>
      </c>
      <c r="I1323" s="24">
        <f t="shared" si="62"/>
        <v>0.62566494488669644</v>
      </c>
      <c r="N1323" s="30">
        <v>37620.731707317071</v>
      </c>
      <c r="O1323">
        <v>2002</v>
      </c>
      <c r="P1323" s="24">
        <f>AVERAGE(I1323:I1409)</f>
        <v>0.67841986217550831</v>
      </c>
      <c r="Q1323">
        <f>A1409-A1323</f>
        <v>1.3101999999999983</v>
      </c>
      <c r="R1323">
        <f>P1323*Q1323</f>
        <v>0.88886570342234983</v>
      </c>
    </row>
    <row r="1324" spans="1:18" x14ac:dyDescent="0.3">
      <c r="A1324">
        <v>20.139800000000001</v>
      </c>
      <c r="B1324">
        <v>50.153799999999997</v>
      </c>
      <c r="C1324">
        <f t="shared" si="60"/>
        <v>49.5</v>
      </c>
      <c r="D1324">
        <v>0.71290909090909094</v>
      </c>
      <c r="E1324">
        <f t="shared" si="61"/>
        <v>3.9019726695746448</v>
      </c>
      <c r="I1324" s="24">
        <f t="shared" si="62"/>
        <v>0.64113895160799328</v>
      </c>
      <c r="N1324" s="30">
        <v>37614.804878048781</v>
      </c>
    </row>
    <row r="1325" spans="1:18" x14ac:dyDescent="0.3">
      <c r="A1325">
        <v>20.155000000000001</v>
      </c>
      <c r="B1325">
        <v>50.615400000000001</v>
      </c>
      <c r="C1325">
        <f t="shared" si="60"/>
        <v>50.346160000000005</v>
      </c>
      <c r="D1325">
        <v>0.71312121212121204</v>
      </c>
      <c r="E1325">
        <f t="shared" si="61"/>
        <v>3.918922350119121</v>
      </c>
      <c r="I1325" s="24">
        <f t="shared" si="62"/>
        <v>0.65550350123356549</v>
      </c>
      <c r="N1325" s="30">
        <v>37608.878048780483</v>
      </c>
    </row>
    <row r="1326" spans="1:18" x14ac:dyDescent="0.3">
      <c r="A1326">
        <v>20.170200000000001</v>
      </c>
      <c r="B1326">
        <v>50.730800000000002</v>
      </c>
      <c r="C1326">
        <f t="shared" si="60"/>
        <v>50.723080000000003</v>
      </c>
      <c r="D1326">
        <v>0.71333333333333326</v>
      </c>
      <c r="E1326">
        <f t="shared" si="61"/>
        <v>3.9263810338372993</v>
      </c>
      <c r="I1326" s="24">
        <f t="shared" si="62"/>
        <v>0.6618159514265527</v>
      </c>
      <c r="N1326" s="30">
        <v>37602.951219512193</v>
      </c>
    </row>
    <row r="1327" spans="1:18" x14ac:dyDescent="0.3">
      <c r="A1327">
        <v>20.185500000000001</v>
      </c>
      <c r="B1327">
        <v>50.923099999999998</v>
      </c>
      <c r="C1327">
        <f t="shared" si="60"/>
        <v>50.961560000000006</v>
      </c>
      <c r="D1327">
        <v>0.71354545454545448</v>
      </c>
      <c r="E1327">
        <f t="shared" si="61"/>
        <v>3.9310716230402609</v>
      </c>
      <c r="I1327" s="24">
        <f t="shared" si="62"/>
        <v>0.66574337195303623</v>
      </c>
      <c r="N1327" s="30">
        <v>37597.024390243903</v>
      </c>
    </row>
    <row r="1328" spans="1:18" x14ac:dyDescent="0.3">
      <c r="A1328">
        <v>20.200700000000001</v>
      </c>
      <c r="B1328">
        <v>51.192300000000003</v>
      </c>
      <c r="C1328">
        <f t="shared" si="60"/>
        <v>51.069240000000001</v>
      </c>
      <c r="D1328">
        <v>0.7137575757575757</v>
      </c>
      <c r="E1328">
        <f t="shared" si="61"/>
        <v>3.9331823590136734</v>
      </c>
      <c r="I1328" s="24">
        <f t="shared" si="62"/>
        <v>0.66740919148181044</v>
      </c>
      <c r="N1328" s="30">
        <v>37591.097560975606</v>
      </c>
    </row>
    <row r="1329" spans="1:14" x14ac:dyDescent="0.3">
      <c r="A1329">
        <v>20.215900000000001</v>
      </c>
      <c r="B1329">
        <v>51.346200000000003</v>
      </c>
      <c r="C1329">
        <f t="shared" si="60"/>
        <v>51.130780000000001</v>
      </c>
      <c r="D1329">
        <v>0.71396969696969692</v>
      </c>
      <c r="E1329">
        <f t="shared" si="61"/>
        <v>3.9343866642073104</v>
      </c>
      <c r="I1329" s="24">
        <f t="shared" si="62"/>
        <v>0.66827626375174143</v>
      </c>
      <c r="N1329" s="30">
        <v>37585.170731707316</v>
      </c>
    </row>
    <row r="1330" spans="1:14" x14ac:dyDescent="0.3">
      <c r="A1330">
        <v>20.231200000000001</v>
      </c>
      <c r="B1330">
        <v>51.153799999999997</v>
      </c>
      <c r="C1330">
        <f t="shared" si="60"/>
        <v>51.2</v>
      </c>
      <c r="D1330">
        <v>0.71418181818181814</v>
      </c>
      <c r="E1330">
        <f t="shared" si="61"/>
        <v>3.9357395320454622</v>
      </c>
      <c r="I1330" s="24">
        <f t="shared" si="62"/>
        <v>0.66927623272288661</v>
      </c>
      <c r="N1330" s="30">
        <v>37579.243902439019</v>
      </c>
    </row>
    <row r="1331" spans="1:14" x14ac:dyDescent="0.3">
      <c r="A1331">
        <v>20.246400000000001</v>
      </c>
      <c r="B1331">
        <v>51.038499999999999</v>
      </c>
      <c r="C1331">
        <f t="shared" si="60"/>
        <v>51.253840000000004</v>
      </c>
      <c r="D1331">
        <v>0.71439393939393936</v>
      </c>
      <c r="E1331">
        <f t="shared" si="61"/>
        <v>3.9367905420409111</v>
      </c>
      <c r="I1331" s="24">
        <f t="shared" si="62"/>
        <v>0.6700097657802434</v>
      </c>
      <c r="N1331" s="30">
        <v>37573.317073170729</v>
      </c>
    </row>
    <row r="1332" spans="1:14" x14ac:dyDescent="0.3">
      <c r="A1332">
        <v>20.261600000000001</v>
      </c>
      <c r="B1332">
        <v>51.269199999999998</v>
      </c>
      <c r="C1332">
        <f t="shared" si="60"/>
        <v>51.292299999999997</v>
      </c>
      <c r="D1332">
        <v>0.71460606060606058</v>
      </c>
      <c r="E1332">
        <f t="shared" si="61"/>
        <v>3.937540643445085</v>
      </c>
      <c r="I1332" s="24">
        <f t="shared" si="62"/>
        <v>0.67047682728597746</v>
      </c>
      <c r="N1332" s="30">
        <v>37567.390243902439</v>
      </c>
    </row>
    <row r="1333" spans="1:14" x14ac:dyDescent="0.3">
      <c r="A1333">
        <v>20.276900000000001</v>
      </c>
      <c r="B1333">
        <v>51.461500000000001</v>
      </c>
      <c r="C1333">
        <f t="shared" si="60"/>
        <v>51.523080000000007</v>
      </c>
      <c r="D1333">
        <v>0.7148181818181818</v>
      </c>
      <c r="E1333">
        <f t="shared" si="61"/>
        <v>3.9420298626178849</v>
      </c>
      <c r="I1333" s="24">
        <f t="shared" si="62"/>
        <v>0.67427609721156012</v>
      </c>
      <c r="N1333" s="30">
        <v>37561.463414634141</v>
      </c>
    </row>
    <row r="1334" spans="1:14" x14ac:dyDescent="0.3">
      <c r="A1334">
        <v>20.292100000000001</v>
      </c>
      <c r="B1334">
        <v>51.538499999999999</v>
      </c>
      <c r="C1334">
        <f t="shared" si="60"/>
        <v>51.961539999999999</v>
      </c>
      <c r="D1334">
        <v>0.71503030303030291</v>
      </c>
      <c r="E1334">
        <f t="shared" si="61"/>
        <v>3.9505038295464145</v>
      </c>
      <c r="I1334" s="24">
        <f t="shared" si="62"/>
        <v>0.68168609030389449</v>
      </c>
      <c r="N1334" s="30">
        <v>37555.536585365851</v>
      </c>
    </row>
    <row r="1335" spans="1:14" x14ac:dyDescent="0.3">
      <c r="A1335">
        <v>20.307300000000001</v>
      </c>
      <c r="B1335">
        <v>52.307699999999997</v>
      </c>
      <c r="C1335">
        <f t="shared" si="60"/>
        <v>52.407699999999998</v>
      </c>
      <c r="D1335">
        <v>0.71524242424242424</v>
      </c>
      <c r="E1335">
        <f t="shared" si="61"/>
        <v>3.9590535270962932</v>
      </c>
      <c r="I1335" s="24">
        <f t="shared" si="62"/>
        <v>0.68924672378917029</v>
      </c>
      <c r="N1335" s="30">
        <v>37549.609756097561</v>
      </c>
    </row>
    <row r="1336" spans="1:14" x14ac:dyDescent="0.3">
      <c r="A1336">
        <v>20.322600000000001</v>
      </c>
      <c r="B1336">
        <v>53.230800000000002</v>
      </c>
      <c r="C1336">
        <f t="shared" si="60"/>
        <v>52.807699999999997</v>
      </c>
      <c r="D1336">
        <v>0.71545454545454545</v>
      </c>
      <c r="E1336">
        <f t="shared" si="61"/>
        <v>3.9666570134129024</v>
      </c>
      <c r="I1336" s="24">
        <f t="shared" si="62"/>
        <v>0.69601823991531619</v>
      </c>
      <c r="N1336" s="30">
        <v>37543.682926829264</v>
      </c>
    </row>
    <row r="1337" spans="1:14" x14ac:dyDescent="0.3">
      <c r="A1337">
        <v>20.337800000000001</v>
      </c>
      <c r="B1337">
        <v>53.5</v>
      </c>
      <c r="C1337">
        <f t="shared" si="60"/>
        <v>53.2</v>
      </c>
      <c r="D1337">
        <v>0.71566666666666667</v>
      </c>
      <c r="E1337">
        <f t="shared" si="61"/>
        <v>3.9740583963475986</v>
      </c>
      <c r="I1337" s="24">
        <f t="shared" si="62"/>
        <v>0.70266818252200702</v>
      </c>
      <c r="N1337" s="30">
        <v>37537.756097560974</v>
      </c>
    </row>
    <row r="1338" spans="1:14" x14ac:dyDescent="0.3">
      <c r="A1338">
        <v>20.353000000000002</v>
      </c>
      <c r="B1338">
        <v>53.461500000000001</v>
      </c>
      <c r="C1338">
        <f t="shared" ref="C1338:C1401" si="63">AVERAGE(B1336:B1340)</f>
        <v>53.361540000000005</v>
      </c>
      <c r="D1338">
        <v>0.71587878787878778</v>
      </c>
      <c r="E1338">
        <f t="shared" ref="E1338:E1401" si="64">LN(C1338)</f>
        <v>3.9770902617606252</v>
      </c>
      <c r="I1338" s="24">
        <f t="shared" ref="I1338:I1401" si="65">(0.0026*(EXP(1.3248*E1338)))/D1338</f>
        <v>0.70528716127197977</v>
      </c>
      <c r="N1338" s="30">
        <v>37531.829268292677</v>
      </c>
    </row>
    <row r="1339" spans="1:14" x14ac:dyDescent="0.3">
      <c r="A1339">
        <v>20.368300000000001</v>
      </c>
      <c r="B1339">
        <v>53.5</v>
      </c>
      <c r="C1339">
        <f t="shared" si="63"/>
        <v>53.307680000000005</v>
      </c>
      <c r="D1339">
        <v>0.716090909090909</v>
      </c>
      <c r="E1339">
        <f t="shared" si="64"/>
        <v>3.9760804108481089</v>
      </c>
      <c r="I1339" s="24">
        <f t="shared" si="65"/>
        <v>0.70413558179768154</v>
      </c>
      <c r="N1339" s="30">
        <v>37525.902439024387</v>
      </c>
    </row>
    <row r="1340" spans="1:14" x14ac:dyDescent="0.3">
      <c r="A1340">
        <v>20.383500000000002</v>
      </c>
      <c r="B1340">
        <v>53.115400000000001</v>
      </c>
      <c r="C1340">
        <f t="shared" si="63"/>
        <v>53.307680000000005</v>
      </c>
      <c r="D1340">
        <v>0.71630303030303022</v>
      </c>
      <c r="E1340">
        <f t="shared" si="64"/>
        <v>3.9760804108481089</v>
      </c>
      <c r="I1340" s="24">
        <f t="shared" si="65"/>
        <v>0.70392706377278158</v>
      </c>
      <c r="N1340" s="30">
        <v>37519.975609756097</v>
      </c>
    </row>
    <row r="1341" spans="1:14" x14ac:dyDescent="0.3">
      <c r="A1341">
        <v>20.398800000000001</v>
      </c>
      <c r="B1341">
        <v>52.961500000000001</v>
      </c>
      <c r="C1341">
        <f t="shared" si="63"/>
        <v>53.523080000000007</v>
      </c>
      <c r="D1341">
        <v>0.71651515151515144</v>
      </c>
      <c r="E1341">
        <f t="shared" si="64"/>
        <v>3.9801129627440872</v>
      </c>
      <c r="I1341" s="24">
        <f t="shared" si="65"/>
        <v>0.70748822299928715</v>
      </c>
      <c r="N1341" s="30">
        <v>37514.048780487799</v>
      </c>
    </row>
    <row r="1342" spans="1:14" x14ac:dyDescent="0.3">
      <c r="A1342">
        <v>20.414000000000001</v>
      </c>
      <c r="B1342">
        <v>53.5</v>
      </c>
      <c r="C1342">
        <f t="shared" si="63"/>
        <v>53.946159999999999</v>
      </c>
      <c r="D1342">
        <v>0.71672727272727266</v>
      </c>
      <c r="E1342">
        <f t="shared" si="64"/>
        <v>3.9879865121551843</v>
      </c>
      <c r="I1342" s="24">
        <f t="shared" si="65"/>
        <v>0.71469498683489885</v>
      </c>
      <c r="N1342" s="30">
        <v>37508.121951219509</v>
      </c>
    </row>
    <row r="1343" spans="1:14" x14ac:dyDescent="0.3">
      <c r="A1343">
        <v>20.429200000000002</v>
      </c>
      <c r="B1343">
        <v>54.538499999999999</v>
      </c>
      <c r="C1343">
        <f t="shared" si="63"/>
        <v>54.553840000000001</v>
      </c>
      <c r="D1343">
        <v>0.71693939393939388</v>
      </c>
      <c r="E1343">
        <f t="shared" si="64"/>
        <v>3.9991881039353512</v>
      </c>
      <c r="I1343" s="24">
        <f t="shared" si="65"/>
        <v>0.72516543451142701</v>
      </c>
      <c r="N1343" s="30">
        <v>37502.195121951219</v>
      </c>
    </row>
    <row r="1344" spans="1:14" x14ac:dyDescent="0.3">
      <c r="A1344">
        <v>20.444500000000001</v>
      </c>
      <c r="B1344">
        <v>55.615400000000001</v>
      </c>
      <c r="C1344">
        <f t="shared" si="63"/>
        <v>55.223079999999996</v>
      </c>
      <c r="D1344">
        <v>0.7171515151515151</v>
      </c>
      <c r="E1344">
        <f t="shared" si="64"/>
        <v>4.0113809818389656</v>
      </c>
      <c r="I1344" s="24">
        <f t="shared" si="65"/>
        <v>0.73675625551589641</v>
      </c>
      <c r="N1344" s="30">
        <v>37496.268292682922</v>
      </c>
    </row>
    <row r="1345" spans="1:14" x14ac:dyDescent="0.3">
      <c r="A1345">
        <v>20.459700000000002</v>
      </c>
      <c r="B1345">
        <v>56.153799999999997</v>
      </c>
      <c r="C1345">
        <f t="shared" si="63"/>
        <v>55.869239999999991</v>
      </c>
      <c r="D1345">
        <v>0.71736363636363631</v>
      </c>
      <c r="E1345">
        <f t="shared" si="64"/>
        <v>4.0230139603715553</v>
      </c>
      <c r="I1345" s="24">
        <f t="shared" si="65"/>
        <v>0.74797738457136609</v>
      </c>
      <c r="N1345" s="30">
        <v>37490.341463414632</v>
      </c>
    </row>
    <row r="1346" spans="1:14" x14ac:dyDescent="0.3">
      <c r="A1346">
        <v>20.474900000000002</v>
      </c>
      <c r="B1346">
        <v>56.307699999999997</v>
      </c>
      <c r="C1346">
        <f t="shared" si="63"/>
        <v>56.261540000000004</v>
      </c>
      <c r="D1346">
        <v>0.71757575757575753</v>
      </c>
      <c r="E1346">
        <f t="shared" si="64"/>
        <v>4.0300111755985624</v>
      </c>
      <c r="I1346" s="24">
        <f t="shared" si="65"/>
        <v>0.75472013764217483</v>
      </c>
      <c r="N1346" s="30">
        <v>37484.414634146342</v>
      </c>
    </row>
    <row r="1347" spans="1:14" x14ac:dyDescent="0.3">
      <c r="A1347">
        <v>20.490200000000002</v>
      </c>
      <c r="B1347">
        <v>56.730800000000002</v>
      </c>
      <c r="C1347">
        <f t="shared" si="63"/>
        <v>56.469219999999993</v>
      </c>
      <c r="D1347">
        <v>0.71778787878787875</v>
      </c>
      <c r="E1347">
        <f t="shared" si="64"/>
        <v>4.0336957109454676</v>
      </c>
      <c r="I1347" s="24">
        <f t="shared" si="65"/>
        <v>0.75818901135949557</v>
      </c>
      <c r="N1347" s="30">
        <v>37478.487804878045</v>
      </c>
    </row>
    <row r="1348" spans="1:14" x14ac:dyDescent="0.3">
      <c r="A1348">
        <v>20.505400000000002</v>
      </c>
      <c r="B1348">
        <v>56.5</v>
      </c>
      <c r="C1348">
        <f t="shared" si="63"/>
        <v>56.592300000000002</v>
      </c>
      <c r="D1348">
        <v>0.71799999999999997</v>
      </c>
      <c r="E1348">
        <f t="shared" si="64"/>
        <v>4.035872933551703</v>
      </c>
      <c r="I1348" s="24">
        <f t="shared" si="65"/>
        <v>0.7601544355670945</v>
      </c>
      <c r="N1348" s="30">
        <v>37472.560975609755</v>
      </c>
    </row>
    <row r="1349" spans="1:14" x14ac:dyDescent="0.3">
      <c r="A1349">
        <v>20.520600000000002</v>
      </c>
      <c r="B1349">
        <v>56.653799999999997</v>
      </c>
      <c r="C1349">
        <f t="shared" si="63"/>
        <v>56.761519999999997</v>
      </c>
      <c r="D1349">
        <v>0.71821212121212119</v>
      </c>
      <c r="E1349">
        <f t="shared" si="64"/>
        <v>4.0388586313554082</v>
      </c>
      <c r="I1349" s="24">
        <f t="shared" si="65"/>
        <v>0.76294174617081878</v>
      </c>
      <c r="N1349" s="30">
        <v>37466.634146341457</v>
      </c>
    </row>
    <row r="1350" spans="1:14" x14ac:dyDescent="0.3">
      <c r="A1350">
        <v>20.535900000000002</v>
      </c>
      <c r="B1350">
        <v>56.769199999999998</v>
      </c>
      <c r="C1350">
        <f t="shared" si="63"/>
        <v>56.93074</v>
      </c>
      <c r="D1350">
        <v>0.71842424242424241</v>
      </c>
      <c r="E1350">
        <f t="shared" si="64"/>
        <v>4.0418354412976232</v>
      </c>
      <c r="I1350" s="24">
        <f t="shared" si="65"/>
        <v>0.76573032774200755</v>
      </c>
      <c r="N1350" s="30">
        <v>37460.707317073167</v>
      </c>
    </row>
    <row r="1351" spans="1:14" x14ac:dyDescent="0.3">
      <c r="A1351">
        <v>20.551100000000002</v>
      </c>
      <c r="B1351">
        <v>57.153799999999997</v>
      </c>
      <c r="C1351">
        <f t="shared" si="63"/>
        <v>57.23843999999999</v>
      </c>
      <c r="D1351">
        <v>0.71863636363636352</v>
      </c>
      <c r="E1351">
        <f t="shared" si="64"/>
        <v>4.0472257006480987</v>
      </c>
      <c r="I1351" s="24">
        <f t="shared" si="65"/>
        <v>0.77099034854335413</v>
      </c>
      <c r="N1351" s="30">
        <v>37454.780487804877</v>
      </c>
    </row>
    <row r="1352" spans="1:14" x14ac:dyDescent="0.3">
      <c r="A1352">
        <v>20.566299999999998</v>
      </c>
      <c r="B1352">
        <v>57.576900000000002</v>
      </c>
      <c r="C1352">
        <f t="shared" si="63"/>
        <v>57.615380000000002</v>
      </c>
      <c r="D1352">
        <v>0.71884848484848474</v>
      </c>
      <c r="E1352">
        <f t="shared" si="64"/>
        <v>4.0537895459488702</v>
      </c>
      <c r="I1352" s="24">
        <f t="shared" si="65"/>
        <v>0.77749445279559781</v>
      </c>
      <c r="N1352" s="30">
        <v>37448.85365853658</v>
      </c>
    </row>
    <row r="1353" spans="1:14" x14ac:dyDescent="0.3">
      <c r="A1353">
        <v>20.581600000000002</v>
      </c>
      <c r="B1353">
        <v>58.038499999999999</v>
      </c>
      <c r="C1353">
        <f t="shared" si="63"/>
        <v>58.076920000000008</v>
      </c>
      <c r="D1353">
        <v>0.71906060606060596</v>
      </c>
      <c r="E1353">
        <f t="shared" si="64"/>
        <v>4.0617683388073544</v>
      </c>
      <c r="I1353" s="24">
        <f t="shared" si="65"/>
        <v>0.78552459850664613</v>
      </c>
      <c r="N1353" s="30">
        <v>37442.92682926829</v>
      </c>
    </row>
    <row r="1354" spans="1:14" x14ac:dyDescent="0.3">
      <c r="A1354">
        <v>20.596800000000002</v>
      </c>
      <c r="B1354">
        <v>58.538499999999999</v>
      </c>
      <c r="C1354">
        <f t="shared" si="63"/>
        <v>58.284619999999997</v>
      </c>
      <c r="D1354">
        <v>0.71927272727272729</v>
      </c>
      <c r="E1354">
        <f t="shared" si="64"/>
        <v>4.0653382506628013</v>
      </c>
      <c r="I1354" s="24">
        <f t="shared" si="65"/>
        <v>0.78901571477806298</v>
      </c>
      <c r="J1354">
        <v>2002</v>
      </c>
      <c r="K1354">
        <f>AVERAGE(I1354:I1425)</f>
        <v>0.69101827310522557</v>
      </c>
      <c r="L1354">
        <f>A1425-A1354</f>
        <v>1.0815999999999981</v>
      </c>
      <c r="M1354">
        <f>K1354*L1354</f>
        <v>0.74740536419061065</v>
      </c>
      <c r="N1354" s="30">
        <v>37437</v>
      </c>
    </row>
    <row r="1355" spans="1:14" x14ac:dyDescent="0.3">
      <c r="A1355">
        <v>20.611999999999998</v>
      </c>
      <c r="B1355">
        <v>59.076900000000002</v>
      </c>
      <c r="C1355">
        <f t="shared" si="63"/>
        <v>58.169240000000002</v>
      </c>
      <c r="D1355">
        <v>0.71948484848484839</v>
      </c>
      <c r="E1355">
        <f t="shared" si="64"/>
        <v>4.0633566926834606</v>
      </c>
      <c r="I1355" s="24">
        <f t="shared" si="65"/>
        <v>0.78671512164483204</v>
      </c>
      <c r="N1355" s="30">
        <v>37434.607843137259</v>
      </c>
    </row>
    <row r="1356" spans="1:14" x14ac:dyDescent="0.3">
      <c r="A1356">
        <v>20.627300000000002</v>
      </c>
      <c r="B1356">
        <v>58.192300000000003</v>
      </c>
      <c r="C1356">
        <f t="shared" si="63"/>
        <v>57.738459999999996</v>
      </c>
      <c r="D1356">
        <v>0.71969696969696961</v>
      </c>
      <c r="E1356">
        <f t="shared" si="64"/>
        <v>4.055923502594033</v>
      </c>
      <c r="I1356" s="24">
        <f t="shared" si="65"/>
        <v>0.77877637059437421</v>
      </c>
      <c r="N1356" s="30">
        <v>37432.215686274511</v>
      </c>
    </row>
    <row r="1357" spans="1:14" x14ac:dyDescent="0.3">
      <c r="A1357">
        <v>20.642499999999998</v>
      </c>
      <c r="B1357">
        <v>57</v>
      </c>
      <c r="C1357">
        <f t="shared" si="63"/>
        <v>57.023060000000008</v>
      </c>
      <c r="D1357">
        <v>0.71990909090909083</v>
      </c>
      <c r="E1357">
        <f t="shared" si="64"/>
        <v>4.0434557474251589</v>
      </c>
      <c r="I1357" s="24">
        <f t="shared" si="65"/>
        <v>0.76579304483931732</v>
      </c>
      <c r="N1357" s="30">
        <v>37429.823529411769</v>
      </c>
    </row>
    <row r="1358" spans="1:14" x14ac:dyDescent="0.3">
      <c r="A1358">
        <v>20.657699999999998</v>
      </c>
      <c r="B1358">
        <v>55.884599999999999</v>
      </c>
      <c r="C1358">
        <f t="shared" si="63"/>
        <v>56.046140000000001</v>
      </c>
      <c r="D1358">
        <v>0.72012121212121205</v>
      </c>
      <c r="E1358">
        <f t="shared" si="64"/>
        <v>4.0261752800637609</v>
      </c>
      <c r="I1358" s="24">
        <f t="shared" si="65"/>
        <v>0.74824030296438049</v>
      </c>
      <c r="N1358" s="30">
        <v>37427.431372549021</v>
      </c>
    </row>
    <row r="1359" spans="1:14" x14ac:dyDescent="0.3">
      <c r="A1359">
        <v>20.672999999999998</v>
      </c>
      <c r="B1359">
        <v>54.961500000000001</v>
      </c>
      <c r="C1359">
        <f t="shared" si="63"/>
        <v>55.215380000000003</v>
      </c>
      <c r="D1359">
        <v>0.72033333333333327</v>
      </c>
      <c r="E1359">
        <f t="shared" si="64"/>
        <v>4.0112415376632233</v>
      </c>
      <c r="I1359" s="24">
        <f t="shared" si="65"/>
        <v>0.73336640344404402</v>
      </c>
      <c r="N1359" s="30">
        <v>37425.03921568628</v>
      </c>
    </row>
    <row r="1360" spans="1:14" x14ac:dyDescent="0.3">
      <c r="A1360">
        <v>20.688199999999998</v>
      </c>
      <c r="B1360">
        <v>54.192300000000003</v>
      </c>
      <c r="C1360">
        <f t="shared" si="63"/>
        <v>54.67692000000001</v>
      </c>
      <c r="D1360">
        <v>0.72054545454545449</v>
      </c>
      <c r="E1360">
        <f t="shared" si="64"/>
        <v>4.0014416825443382</v>
      </c>
      <c r="I1360" s="24">
        <f t="shared" si="65"/>
        <v>0.72369364754865428</v>
      </c>
      <c r="N1360" s="30">
        <v>37422.647058823532</v>
      </c>
    </row>
    <row r="1361" spans="1:14" x14ac:dyDescent="0.3">
      <c r="A1361">
        <v>20.703399999999998</v>
      </c>
      <c r="B1361">
        <v>54.038499999999999</v>
      </c>
      <c r="C1361">
        <f t="shared" si="63"/>
        <v>54.061540000000001</v>
      </c>
      <c r="D1361">
        <v>0.72075757575757571</v>
      </c>
      <c r="E1361">
        <f t="shared" si="64"/>
        <v>3.9901230273090031</v>
      </c>
      <c r="I1361" s="24">
        <f t="shared" si="65"/>
        <v>0.7127130344620074</v>
      </c>
      <c r="N1361" s="30">
        <v>37420.25490196079</v>
      </c>
    </row>
    <row r="1362" spans="1:14" x14ac:dyDescent="0.3">
      <c r="A1362">
        <v>20.718699999999998</v>
      </c>
      <c r="B1362">
        <v>54.307699999999997</v>
      </c>
      <c r="C1362">
        <f t="shared" si="63"/>
        <v>53.584620000000008</v>
      </c>
      <c r="D1362">
        <v>0.72096969696969693</v>
      </c>
      <c r="E1362">
        <f t="shared" si="64"/>
        <v>3.9812620866030048</v>
      </c>
      <c r="I1362" s="24">
        <f t="shared" si="65"/>
        <v>0.70418818530391403</v>
      </c>
      <c r="N1362" s="30">
        <v>37417.862745098042</v>
      </c>
    </row>
    <row r="1363" spans="1:14" x14ac:dyDescent="0.3">
      <c r="A1363">
        <v>20.733899999999998</v>
      </c>
      <c r="B1363">
        <v>52.807699999999997</v>
      </c>
      <c r="C1363">
        <f t="shared" si="63"/>
        <v>53.246159999999996</v>
      </c>
      <c r="D1363">
        <v>0.72118181818181815</v>
      </c>
      <c r="E1363">
        <f t="shared" si="64"/>
        <v>3.9749256893132339</v>
      </c>
      <c r="I1363" s="24">
        <f t="shared" si="65"/>
        <v>0.69809625661057628</v>
      </c>
      <c r="N1363" s="30">
        <v>37415.470588235301</v>
      </c>
    </row>
    <row r="1364" spans="1:14" x14ac:dyDescent="0.3">
      <c r="A1364">
        <v>20.749099999999999</v>
      </c>
      <c r="B1364">
        <v>52.576900000000002</v>
      </c>
      <c r="C1364">
        <f t="shared" si="63"/>
        <v>52.938459999999999</v>
      </c>
      <c r="D1364">
        <v>0.72139393939393925</v>
      </c>
      <c r="E1364">
        <f t="shared" si="64"/>
        <v>3.9691301068405234</v>
      </c>
      <c r="I1364" s="24">
        <f t="shared" si="65"/>
        <v>0.69255310586478969</v>
      </c>
      <c r="N1364" s="30">
        <v>37413.078431372553</v>
      </c>
    </row>
    <row r="1365" spans="1:14" x14ac:dyDescent="0.3">
      <c r="A1365">
        <v>20.764399999999998</v>
      </c>
      <c r="B1365">
        <v>52.5</v>
      </c>
      <c r="C1365">
        <f t="shared" si="63"/>
        <v>52.607680000000002</v>
      </c>
      <c r="D1365">
        <v>0.72160606060606047</v>
      </c>
      <c r="E1365">
        <f t="shared" si="64"/>
        <v>3.9628621166901539</v>
      </c>
      <c r="I1365" s="24">
        <f t="shared" si="65"/>
        <v>0.68662417397719278</v>
      </c>
      <c r="N1365" s="30">
        <v>37410.686274509804</v>
      </c>
    </row>
    <row r="1366" spans="1:14" x14ac:dyDescent="0.3">
      <c r="A1366">
        <v>20.779599999999999</v>
      </c>
      <c r="B1366">
        <v>52.5</v>
      </c>
      <c r="C1366">
        <f t="shared" si="63"/>
        <v>52.515379999999993</v>
      </c>
      <c r="D1366">
        <v>0.7218181818181818</v>
      </c>
      <c r="E1366">
        <f t="shared" si="64"/>
        <v>3.9611060790763601</v>
      </c>
      <c r="I1366" s="24">
        <f t="shared" si="65"/>
        <v>0.68482735919647497</v>
      </c>
      <c r="N1366" s="30">
        <v>37408.294117647063</v>
      </c>
    </row>
    <row r="1367" spans="1:14" x14ac:dyDescent="0.3">
      <c r="A1367">
        <v>20.794799999999999</v>
      </c>
      <c r="B1367">
        <v>52.653799999999997</v>
      </c>
      <c r="C1367">
        <f t="shared" si="63"/>
        <v>52.323080000000004</v>
      </c>
      <c r="D1367">
        <v>0.72203030303030302</v>
      </c>
      <c r="E1367">
        <f t="shared" si="64"/>
        <v>3.9574375739177903</v>
      </c>
      <c r="I1367" s="24">
        <f t="shared" si="65"/>
        <v>0.68130693239090134</v>
      </c>
      <c r="N1367" s="30">
        <v>37405.901960784315</v>
      </c>
    </row>
    <row r="1368" spans="1:14" x14ac:dyDescent="0.3">
      <c r="A1368">
        <v>20.810099999999998</v>
      </c>
      <c r="B1368">
        <v>52.346200000000003</v>
      </c>
      <c r="C1368">
        <f t="shared" si="63"/>
        <v>52.023080000000007</v>
      </c>
      <c r="D1368">
        <v>0.72224242424242413</v>
      </c>
      <c r="E1368">
        <f t="shared" si="64"/>
        <v>3.9516874662647057</v>
      </c>
      <c r="I1368" s="24">
        <f t="shared" si="65"/>
        <v>0.67593804952754644</v>
      </c>
      <c r="N1368" s="30">
        <v>37403.509803921574</v>
      </c>
    </row>
    <row r="1369" spans="1:14" x14ac:dyDescent="0.3">
      <c r="A1369">
        <v>20.825299999999999</v>
      </c>
      <c r="B1369">
        <v>51.615400000000001</v>
      </c>
      <c r="C1369">
        <f t="shared" si="63"/>
        <v>51.746159999999996</v>
      </c>
      <c r="D1369">
        <v>0.72245454545454535</v>
      </c>
      <c r="E1369">
        <f t="shared" si="64"/>
        <v>3.9463502264937564</v>
      </c>
      <c r="I1369" s="24">
        <f t="shared" si="65"/>
        <v>0.6709784357183316</v>
      </c>
      <c r="N1369" s="30">
        <v>37401.117647058825</v>
      </c>
    </row>
    <row r="1370" spans="1:14" x14ac:dyDescent="0.3">
      <c r="A1370">
        <v>20.840499999999999</v>
      </c>
      <c r="B1370">
        <v>51</v>
      </c>
      <c r="C1370">
        <f t="shared" si="63"/>
        <v>51.500019999999992</v>
      </c>
      <c r="D1370">
        <v>0.72266666666666657</v>
      </c>
      <c r="E1370">
        <f t="shared" si="64"/>
        <v>3.9415821960191293</v>
      </c>
      <c r="I1370" s="24">
        <f t="shared" si="65"/>
        <v>0.66655772392257184</v>
      </c>
      <c r="N1370" s="30">
        <v>37398.725490196084</v>
      </c>
    </row>
    <row r="1371" spans="1:14" x14ac:dyDescent="0.3">
      <c r="A1371">
        <v>20.855799999999999</v>
      </c>
      <c r="B1371">
        <v>51.115400000000001</v>
      </c>
      <c r="C1371">
        <f t="shared" si="63"/>
        <v>51.353859999999997</v>
      </c>
      <c r="D1371">
        <v>0.72287878787878779</v>
      </c>
      <c r="E1371">
        <f t="shared" si="64"/>
        <v>3.9387401039486352</v>
      </c>
      <c r="I1371" s="24">
        <f t="shared" si="65"/>
        <v>0.66385785796931029</v>
      </c>
      <c r="N1371" s="30">
        <v>37396.333333333336</v>
      </c>
    </row>
    <row r="1372" spans="1:14" x14ac:dyDescent="0.3">
      <c r="A1372">
        <v>20.870999999999999</v>
      </c>
      <c r="B1372">
        <v>51.423099999999998</v>
      </c>
      <c r="C1372">
        <f t="shared" si="63"/>
        <v>51.253859999999996</v>
      </c>
      <c r="D1372">
        <v>0.72309090909090901</v>
      </c>
      <c r="E1372">
        <f t="shared" si="64"/>
        <v>3.9367909322554997</v>
      </c>
      <c r="I1372" s="24">
        <f t="shared" si="65"/>
        <v>0.66195157127835746</v>
      </c>
      <c r="N1372" s="30">
        <v>37393.941176470595</v>
      </c>
    </row>
    <row r="1373" spans="1:14" x14ac:dyDescent="0.3">
      <c r="A1373">
        <v>20.886199999999999</v>
      </c>
      <c r="B1373">
        <v>51.615400000000001</v>
      </c>
      <c r="C1373">
        <f t="shared" si="63"/>
        <v>51.269240000000003</v>
      </c>
      <c r="D1373">
        <v>0.72330303030303023</v>
      </c>
      <c r="E1373">
        <f t="shared" si="64"/>
        <v>3.9370909622022219</v>
      </c>
      <c r="I1373" s="24">
        <f t="shared" si="65"/>
        <v>0.66202052986480742</v>
      </c>
      <c r="N1373" s="30">
        <v>37391.549019607846</v>
      </c>
    </row>
    <row r="1374" spans="1:14" x14ac:dyDescent="0.3">
      <c r="A1374">
        <v>20.901499999999999</v>
      </c>
      <c r="B1374">
        <v>51.115400000000001</v>
      </c>
      <c r="C1374">
        <f t="shared" si="63"/>
        <v>51.315399999999997</v>
      </c>
      <c r="D1374">
        <v>0.72351515151515144</v>
      </c>
      <c r="E1374">
        <f t="shared" si="64"/>
        <v>3.9379909020590147</v>
      </c>
      <c r="I1374" s="24">
        <f t="shared" si="65"/>
        <v>0.6626159644589491</v>
      </c>
      <c r="N1374" s="30">
        <v>37389.156862745098</v>
      </c>
    </row>
    <row r="1375" spans="1:14" x14ac:dyDescent="0.3">
      <c r="A1375">
        <v>20.916699999999999</v>
      </c>
      <c r="B1375">
        <v>51.076900000000002</v>
      </c>
      <c r="C1375">
        <f t="shared" si="63"/>
        <v>51.369240000000005</v>
      </c>
      <c r="D1375">
        <v>0.72372727272727266</v>
      </c>
      <c r="E1375">
        <f t="shared" si="64"/>
        <v>3.9390395497425206</v>
      </c>
      <c r="I1375" s="24">
        <f t="shared" si="65"/>
        <v>0.66334266263026376</v>
      </c>
      <c r="N1375" s="30">
        <v>37386.764705882357</v>
      </c>
    </row>
    <row r="1376" spans="1:14" x14ac:dyDescent="0.3">
      <c r="A1376">
        <v>20.931999999999999</v>
      </c>
      <c r="B1376">
        <v>51.346200000000003</v>
      </c>
      <c r="C1376">
        <f t="shared" si="63"/>
        <v>51.338459999999998</v>
      </c>
      <c r="D1376">
        <v>0.72393939393939388</v>
      </c>
      <c r="E1376">
        <f t="shared" si="64"/>
        <v>3.9384401788887002</v>
      </c>
      <c r="I1376" s="24">
        <f t="shared" si="65"/>
        <v>0.66262193526042801</v>
      </c>
      <c r="N1376" s="30">
        <v>37384.372549019608</v>
      </c>
    </row>
    <row r="1377" spans="1:14" x14ac:dyDescent="0.3">
      <c r="A1377">
        <v>20.947199999999999</v>
      </c>
      <c r="B1377">
        <v>51.692300000000003</v>
      </c>
      <c r="C1377">
        <f t="shared" si="63"/>
        <v>51.546140000000001</v>
      </c>
      <c r="D1377">
        <v>0.72415151515151499</v>
      </c>
      <c r="E1377">
        <f t="shared" si="64"/>
        <v>3.9424773289009281</v>
      </c>
      <c r="I1377" s="24">
        <f t="shared" si="65"/>
        <v>0.66598026886695438</v>
      </c>
      <c r="N1377" s="30">
        <v>37381.980392156867</v>
      </c>
    </row>
    <row r="1378" spans="1:14" x14ac:dyDescent="0.3">
      <c r="A1378">
        <v>20.962399999999999</v>
      </c>
      <c r="B1378">
        <v>51.461500000000001</v>
      </c>
      <c r="C1378">
        <f t="shared" si="63"/>
        <v>51.876919999999998</v>
      </c>
      <c r="D1378">
        <v>0.72436363636363632</v>
      </c>
      <c r="E1378">
        <f t="shared" si="64"/>
        <v>3.9488739899141261</v>
      </c>
      <c r="I1378" s="24">
        <f t="shared" si="65"/>
        <v>0.67145128002298915</v>
      </c>
      <c r="N1378" s="30">
        <v>37379.588235294119</v>
      </c>
    </row>
    <row r="1379" spans="1:14" x14ac:dyDescent="0.3">
      <c r="A1379">
        <v>20.977699999999999</v>
      </c>
      <c r="B1379">
        <v>52.153799999999997</v>
      </c>
      <c r="C1379">
        <f t="shared" si="63"/>
        <v>52.284599999999998</v>
      </c>
      <c r="D1379">
        <v>0.72457575757575754</v>
      </c>
      <c r="E1379">
        <f t="shared" si="64"/>
        <v>3.9567018726435506</v>
      </c>
      <c r="I1379" s="24">
        <f t="shared" si="65"/>
        <v>0.67825209697086852</v>
      </c>
      <c r="N1379" s="30">
        <v>37377.196078431378</v>
      </c>
    </row>
    <row r="1380" spans="1:14" x14ac:dyDescent="0.3">
      <c r="A1380">
        <v>20.992899999999999</v>
      </c>
      <c r="B1380">
        <v>52.730800000000002</v>
      </c>
      <c r="C1380">
        <f t="shared" si="63"/>
        <v>52.684600000000003</v>
      </c>
      <c r="D1380">
        <v>0.72478787878787876</v>
      </c>
      <c r="E1380">
        <f t="shared" si="64"/>
        <v>3.9643231927288478</v>
      </c>
      <c r="I1380" s="24">
        <f t="shared" si="65"/>
        <v>0.68493439412429569</v>
      </c>
      <c r="N1380" s="30">
        <v>37374.803921568629</v>
      </c>
    </row>
    <row r="1381" spans="1:14" x14ac:dyDescent="0.3">
      <c r="A1381">
        <v>21.008099999999999</v>
      </c>
      <c r="B1381">
        <v>53.384599999999999</v>
      </c>
      <c r="C1381">
        <f t="shared" si="63"/>
        <v>53.076919999999994</v>
      </c>
      <c r="D1381" s="8">
        <v>0.72499999999999987</v>
      </c>
      <c r="E1381">
        <f t="shared" si="64"/>
        <v>3.971742182158752</v>
      </c>
      <c r="I1381" s="24">
        <f t="shared" si="65"/>
        <v>0.69149720701916173</v>
      </c>
      <c r="N1381" s="30">
        <v>37372.411764705888</v>
      </c>
    </row>
    <row r="1382" spans="1:14" x14ac:dyDescent="0.3">
      <c r="A1382">
        <v>21.023399999999999</v>
      </c>
      <c r="B1382">
        <v>53.692300000000003</v>
      </c>
      <c r="C1382">
        <f t="shared" si="63"/>
        <v>53.238460000000011</v>
      </c>
      <c r="D1382">
        <v>0.72469696969696962</v>
      </c>
      <c r="E1382">
        <f t="shared" si="64"/>
        <v>3.9747810674887227</v>
      </c>
      <c r="I1382" s="24">
        <f t="shared" si="65"/>
        <v>0.69457704194672687</v>
      </c>
      <c r="N1382" s="30">
        <v>37370.01960784314</v>
      </c>
    </row>
    <row r="1383" spans="1:14" x14ac:dyDescent="0.3">
      <c r="A1383">
        <v>21.038599999999999</v>
      </c>
      <c r="B1383">
        <v>53.423099999999998</v>
      </c>
      <c r="C1383">
        <f t="shared" si="63"/>
        <v>53.192300000000003</v>
      </c>
      <c r="D1383">
        <v>0.72439393939393937</v>
      </c>
      <c r="E1383">
        <f t="shared" si="64"/>
        <v>3.9739136490301061</v>
      </c>
      <c r="I1383" s="24">
        <f t="shared" si="65"/>
        <v>0.69406954654846365</v>
      </c>
      <c r="N1383" s="30">
        <v>37367.627450980399</v>
      </c>
    </row>
    <row r="1384" spans="1:14" x14ac:dyDescent="0.3">
      <c r="A1384">
        <v>21.053799999999999</v>
      </c>
      <c r="B1384">
        <v>52.961500000000001</v>
      </c>
      <c r="C1384">
        <f t="shared" si="63"/>
        <v>52.938459999999999</v>
      </c>
      <c r="D1384">
        <v>0.72409090909090901</v>
      </c>
      <c r="E1384">
        <f t="shared" si="64"/>
        <v>3.9691301068405234</v>
      </c>
      <c r="I1384" s="24">
        <f t="shared" si="65"/>
        <v>0.68997360277117314</v>
      </c>
      <c r="N1384" s="30">
        <v>37365.23529411765</v>
      </c>
    </row>
    <row r="1385" spans="1:14" x14ac:dyDescent="0.3">
      <c r="A1385">
        <v>21.069099999999999</v>
      </c>
      <c r="B1385">
        <v>52.5</v>
      </c>
      <c r="C1385">
        <f t="shared" si="63"/>
        <v>52.230759999999997</v>
      </c>
      <c r="D1385">
        <v>0.72378787878787876</v>
      </c>
      <c r="E1385">
        <f t="shared" si="64"/>
        <v>3.9556715933666577</v>
      </c>
      <c r="I1385" s="24">
        <f t="shared" si="65"/>
        <v>0.67806427649995138</v>
      </c>
      <c r="N1385" s="30">
        <v>37362.843137254902</v>
      </c>
    </row>
    <row r="1386" spans="1:14" x14ac:dyDescent="0.3">
      <c r="A1386">
        <v>21.084299999999999</v>
      </c>
      <c r="B1386">
        <v>52.115400000000001</v>
      </c>
      <c r="C1386">
        <f t="shared" si="63"/>
        <v>51.561519999999994</v>
      </c>
      <c r="D1386">
        <v>0.7234848484848484</v>
      </c>
      <c r="E1386">
        <f t="shared" si="64"/>
        <v>3.9427756578536761</v>
      </c>
      <c r="I1386" s="24">
        <f t="shared" si="65"/>
        <v>0.66685745447991829</v>
      </c>
      <c r="N1386" s="30">
        <v>37360.450980392161</v>
      </c>
    </row>
    <row r="1387" spans="1:14" x14ac:dyDescent="0.3">
      <c r="A1387">
        <v>21.099499999999999</v>
      </c>
      <c r="B1387">
        <v>50.153799999999997</v>
      </c>
      <c r="C1387">
        <f t="shared" si="63"/>
        <v>50.892299999999992</v>
      </c>
      <c r="D1387">
        <v>0.72318181818181804</v>
      </c>
      <c r="E1387">
        <f t="shared" si="64"/>
        <v>3.9297116350992027</v>
      </c>
      <c r="I1387" s="24">
        <f t="shared" si="65"/>
        <v>0.65568994357074928</v>
      </c>
      <c r="N1387" s="30">
        <v>37358.058823529413</v>
      </c>
    </row>
    <row r="1388" spans="1:14" x14ac:dyDescent="0.3">
      <c r="A1388">
        <v>21.114799999999999</v>
      </c>
      <c r="B1388">
        <v>50.076900000000002</v>
      </c>
      <c r="C1388">
        <f t="shared" si="63"/>
        <v>50.169220000000003</v>
      </c>
      <c r="D1388">
        <v>0.72287878787878779</v>
      </c>
      <c r="E1388">
        <f t="shared" si="64"/>
        <v>3.9154016912355787</v>
      </c>
      <c r="I1388" s="24">
        <f t="shared" si="65"/>
        <v>0.64364628484303188</v>
      </c>
      <c r="N1388" s="30">
        <v>37355.666666666672</v>
      </c>
    </row>
    <row r="1389" spans="1:14" x14ac:dyDescent="0.3">
      <c r="A1389">
        <v>21.13</v>
      </c>
      <c r="B1389">
        <v>49.615400000000001</v>
      </c>
      <c r="C1389">
        <f t="shared" si="63"/>
        <v>49.430760000000006</v>
      </c>
      <c r="D1389">
        <v>0.72257575757575743</v>
      </c>
      <c r="E1389">
        <f t="shared" si="64"/>
        <v>3.9005729024788409</v>
      </c>
      <c r="I1389" s="24">
        <f t="shared" si="65"/>
        <v>0.63138980917499254</v>
      </c>
      <c r="N1389" s="30">
        <v>37353.274509803923</v>
      </c>
    </row>
    <row r="1390" spans="1:14" x14ac:dyDescent="0.3">
      <c r="A1390">
        <v>21.145199999999999</v>
      </c>
      <c r="B1390">
        <v>48.884599999999999</v>
      </c>
      <c r="C1390">
        <f t="shared" si="63"/>
        <v>49.069240000000001</v>
      </c>
      <c r="D1390">
        <v>0.72227272727272718</v>
      </c>
      <c r="E1390">
        <f t="shared" si="64"/>
        <v>3.8932323619036149</v>
      </c>
      <c r="I1390" s="24">
        <f t="shared" si="65"/>
        <v>0.62554179791950759</v>
      </c>
      <c r="N1390" s="30">
        <v>37350.882352941182</v>
      </c>
    </row>
    <row r="1391" spans="1:14" x14ac:dyDescent="0.3">
      <c r="A1391">
        <v>21.160499999999999</v>
      </c>
      <c r="B1391">
        <v>48.423099999999998</v>
      </c>
      <c r="C1391">
        <f t="shared" si="63"/>
        <v>48.846160000000005</v>
      </c>
      <c r="D1391">
        <v>0.72196969696969693</v>
      </c>
      <c r="E1391">
        <f t="shared" si="64"/>
        <v>3.8886757674153989</v>
      </c>
      <c r="I1391" s="24">
        <f t="shared" si="65"/>
        <v>0.62203801835318129</v>
      </c>
      <c r="N1391" s="30">
        <v>37348.490196078434</v>
      </c>
    </row>
    <row r="1392" spans="1:14" x14ac:dyDescent="0.3">
      <c r="A1392">
        <v>21.175699999999999</v>
      </c>
      <c r="B1392">
        <v>48.346200000000003</v>
      </c>
      <c r="C1392">
        <f t="shared" si="63"/>
        <v>48.815379999999998</v>
      </c>
      <c r="D1392">
        <v>0.72166666666666657</v>
      </c>
      <c r="E1392">
        <f t="shared" si="64"/>
        <v>3.8880454271398075</v>
      </c>
      <c r="I1392" s="24">
        <f t="shared" si="65"/>
        <v>0.62177976477552765</v>
      </c>
      <c r="N1392" s="30">
        <v>37346.098039215693</v>
      </c>
    </row>
    <row r="1393" spans="1:14" x14ac:dyDescent="0.3">
      <c r="A1393">
        <v>21.190899999999999</v>
      </c>
      <c r="B1393">
        <v>48.961500000000001</v>
      </c>
      <c r="C1393">
        <f t="shared" si="63"/>
        <v>49.2</v>
      </c>
      <c r="D1393">
        <v>0.72136363636363632</v>
      </c>
      <c r="E1393">
        <f t="shared" si="64"/>
        <v>3.8958936234982624</v>
      </c>
      <c r="I1393" s="24">
        <f t="shared" si="65"/>
        <v>0.62854224179054774</v>
      </c>
      <c r="N1393" s="30">
        <v>37343.705882352944</v>
      </c>
    </row>
    <row r="1394" spans="1:14" x14ac:dyDescent="0.3">
      <c r="A1394">
        <v>21.206199999999999</v>
      </c>
      <c r="B1394">
        <v>49.461500000000001</v>
      </c>
      <c r="C1394">
        <f t="shared" si="63"/>
        <v>49.661540000000002</v>
      </c>
      <c r="D1394">
        <v>0.72106060606060596</v>
      </c>
      <c r="E1394">
        <f t="shared" si="64"/>
        <v>3.9052307904731363</v>
      </c>
      <c r="I1394" s="24">
        <f t="shared" si="65"/>
        <v>0.63663295654751628</v>
      </c>
      <c r="N1394" s="30">
        <v>37341.313725490196</v>
      </c>
    </row>
    <row r="1395" spans="1:14" x14ac:dyDescent="0.3">
      <c r="A1395">
        <v>21.221399999999999</v>
      </c>
      <c r="B1395">
        <v>50.807699999999997</v>
      </c>
      <c r="C1395">
        <f t="shared" si="63"/>
        <v>50.138459999999995</v>
      </c>
      <c r="D1395">
        <v>0.72075757575757571</v>
      </c>
      <c r="E1395">
        <f t="shared" si="64"/>
        <v>3.9147883782576649</v>
      </c>
      <c r="I1395" s="24">
        <f t="shared" si="65"/>
        <v>0.64501625635248294</v>
      </c>
      <c r="N1395" s="30">
        <v>37338.921568627455</v>
      </c>
    </row>
    <row r="1396" spans="1:14" x14ac:dyDescent="0.3">
      <c r="A1396">
        <v>21.236599999999999</v>
      </c>
      <c r="B1396">
        <v>50.730800000000002</v>
      </c>
      <c r="C1396">
        <f t="shared" si="63"/>
        <v>50.407699999999998</v>
      </c>
      <c r="D1396">
        <v>0.72045454545454546</v>
      </c>
      <c r="E1396">
        <f t="shared" si="64"/>
        <v>3.9201439411857644</v>
      </c>
      <c r="I1396" s="24">
        <f t="shared" si="65"/>
        <v>0.64988218417484334</v>
      </c>
      <c r="N1396" s="30">
        <v>37336.529411764706</v>
      </c>
    </row>
    <row r="1397" spans="1:14" x14ac:dyDescent="0.3">
      <c r="A1397">
        <v>21.251899999999999</v>
      </c>
      <c r="B1397">
        <v>50.730800000000002</v>
      </c>
      <c r="C1397">
        <f t="shared" si="63"/>
        <v>50.392319999999998</v>
      </c>
      <c r="D1397">
        <v>0.72015151515151499</v>
      </c>
      <c r="E1397">
        <f t="shared" si="64"/>
        <v>3.9198387825137853</v>
      </c>
      <c r="I1397" s="24">
        <f t="shared" si="65"/>
        <v>0.64989285802941987</v>
      </c>
      <c r="N1397" s="30">
        <v>37334.137254901965</v>
      </c>
    </row>
    <row r="1398" spans="1:14" x14ac:dyDescent="0.3">
      <c r="A1398">
        <v>21.267099999999999</v>
      </c>
      <c r="B1398">
        <v>50.307699999999997</v>
      </c>
      <c r="C1398">
        <f t="shared" si="63"/>
        <v>49.807699999999997</v>
      </c>
      <c r="D1398">
        <v>0.71984848484848474</v>
      </c>
      <c r="E1398">
        <f t="shared" si="64"/>
        <v>3.9081695905522986</v>
      </c>
      <c r="I1398" s="24">
        <f t="shared" si="65"/>
        <v>0.64019258517160715</v>
      </c>
      <c r="N1398" s="30">
        <v>37331.745098039217</v>
      </c>
    </row>
    <row r="1399" spans="1:14" x14ac:dyDescent="0.3">
      <c r="A1399">
        <v>21.282299999999999</v>
      </c>
      <c r="B1399">
        <v>49.384599999999999</v>
      </c>
      <c r="C1399">
        <f t="shared" si="63"/>
        <v>48.9923</v>
      </c>
      <c r="D1399">
        <v>0.71954545454545449</v>
      </c>
      <c r="E1399">
        <f t="shared" si="64"/>
        <v>3.8916631429052515</v>
      </c>
      <c r="I1399" s="24">
        <f t="shared" si="65"/>
        <v>0.6266087584852853</v>
      </c>
      <c r="N1399" s="30">
        <v>37329.352941176476</v>
      </c>
    </row>
    <row r="1400" spans="1:14" x14ac:dyDescent="0.3">
      <c r="A1400">
        <v>21.297599999999999</v>
      </c>
      <c r="B1400">
        <v>47.884599999999999</v>
      </c>
      <c r="C1400">
        <f t="shared" si="63"/>
        <v>48.046139999999994</v>
      </c>
      <c r="D1400">
        <v>0.71924242424242413</v>
      </c>
      <c r="E1400">
        <f t="shared" si="64"/>
        <v>3.8721617992029618</v>
      </c>
      <c r="I1400" s="24">
        <f t="shared" si="65"/>
        <v>0.61088468274139596</v>
      </c>
      <c r="N1400" s="30">
        <v>37326.960784313727</v>
      </c>
    </row>
    <row r="1401" spans="1:14" x14ac:dyDescent="0.3">
      <c r="A1401">
        <v>21.312799999999999</v>
      </c>
      <c r="B1401">
        <v>46.653799999999997</v>
      </c>
      <c r="C1401">
        <f t="shared" si="63"/>
        <v>46.769220000000004</v>
      </c>
      <c r="D1401">
        <v>0.71893939393939388</v>
      </c>
      <c r="E1401">
        <f t="shared" si="64"/>
        <v>3.845225294241446</v>
      </c>
      <c r="I1401" s="24">
        <f t="shared" si="65"/>
        <v>0.58971780850275102</v>
      </c>
      <c r="N1401" s="30">
        <v>37324.568627450986</v>
      </c>
    </row>
    <row r="1402" spans="1:14" x14ac:dyDescent="0.3">
      <c r="A1402">
        <v>21.327999999999999</v>
      </c>
      <c r="B1402">
        <v>46</v>
      </c>
      <c r="C1402">
        <f t="shared" ref="C1402:C1465" si="66">AVERAGE(B1400:B1404)</f>
        <v>45.661540000000002</v>
      </c>
      <c r="D1402">
        <v>0.71863636363636352</v>
      </c>
      <c r="E1402">
        <f t="shared" ref="E1402:E1465" si="67">LN(C1402)</f>
        <v>3.8212563680843559</v>
      </c>
      <c r="I1402" s="24">
        <f t="shared" ref="I1402:I1465" si="68">(0.0026*(EXP(1.3248*E1402)))/D1402</f>
        <v>0.57152697564674326</v>
      </c>
      <c r="N1402" s="30">
        <v>37322.176470588238</v>
      </c>
    </row>
    <row r="1403" spans="1:14" x14ac:dyDescent="0.3">
      <c r="A1403">
        <v>21.343299999999999</v>
      </c>
      <c r="B1403">
        <v>43.923099999999998</v>
      </c>
      <c r="C1403">
        <f t="shared" si="66"/>
        <v>44.830780000000004</v>
      </c>
      <c r="D1403">
        <v>0.71833333333333327</v>
      </c>
      <c r="E1403">
        <f t="shared" si="67"/>
        <v>3.8028949570791135</v>
      </c>
      <c r="I1403" s="24">
        <f t="shared" si="68"/>
        <v>0.55802750276624635</v>
      </c>
      <c r="N1403" s="30">
        <v>37319.784313725497</v>
      </c>
    </row>
    <row r="1404" spans="1:14" x14ac:dyDescent="0.3">
      <c r="A1404">
        <v>21.358499999999999</v>
      </c>
      <c r="B1404">
        <v>43.846200000000003</v>
      </c>
      <c r="C1404">
        <f t="shared" si="66"/>
        <v>44.392320000000005</v>
      </c>
      <c r="D1404">
        <v>0.71803030303030302</v>
      </c>
      <c r="E1404">
        <f t="shared" si="67"/>
        <v>3.7930664815036561</v>
      </c>
      <c r="I1404" s="24">
        <f t="shared" si="68"/>
        <v>0.55104111529016186</v>
      </c>
      <c r="N1404" s="30">
        <v>37317.392156862748</v>
      </c>
    </row>
    <row r="1405" spans="1:14" x14ac:dyDescent="0.3">
      <c r="A1405">
        <v>21.373699999999999</v>
      </c>
      <c r="B1405">
        <v>43.730800000000002</v>
      </c>
      <c r="C1405">
        <f t="shared" si="66"/>
        <v>44.376940000000005</v>
      </c>
      <c r="D1405">
        <v>0.71772727272727266</v>
      </c>
      <c r="E1405">
        <f t="shared" si="67"/>
        <v>3.7927199651498218</v>
      </c>
      <c r="I1405" s="25">
        <f t="shared" si="68"/>
        <v>0.55102075699943376</v>
      </c>
      <c r="N1405" s="30">
        <v>37315</v>
      </c>
    </row>
    <row r="1406" spans="1:14" x14ac:dyDescent="0.3">
      <c r="A1406">
        <v>21.388999999999999</v>
      </c>
      <c r="B1406">
        <v>44.461500000000001</v>
      </c>
      <c r="C1406">
        <f t="shared" si="66"/>
        <v>45.176940000000002</v>
      </c>
      <c r="D1406">
        <v>0.71742424242424241</v>
      </c>
      <c r="E1406">
        <f t="shared" si="67"/>
        <v>3.8105867796624739</v>
      </c>
      <c r="I1406" s="24">
        <f t="shared" si="68"/>
        <v>0.56445729692433999</v>
      </c>
      <c r="N1406" s="30">
        <v>37302.85</v>
      </c>
    </row>
    <row r="1407" spans="1:14" x14ac:dyDescent="0.3">
      <c r="A1407">
        <v>21.404199999999999</v>
      </c>
      <c r="B1407">
        <v>45.923099999999998</v>
      </c>
      <c r="C1407">
        <f t="shared" si="66"/>
        <v>46.361540000000005</v>
      </c>
      <c r="D1407">
        <v>0.71712121212121205</v>
      </c>
      <c r="E1407">
        <f t="shared" si="67"/>
        <v>3.8364702362114667</v>
      </c>
      <c r="I1407" s="24">
        <f t="shared" si="68"/>
        <v>0.5843952851920895</v>
      </c>
      <c r="N1407" s="30">
        <v>37290.700000000004</v>
      </c>
    </row>
    <row r="1408" spans="1:14" x14ac:dyDescent="0.3">
      <c r="A1408">
        <v>21.419499999999999</v>
      </c>
      <c r="B1408">
        <v>47.923099999999998</v>
      </c>
      <c r="C1408">
        <f t="shared" si="66"/>
        <v>47.761540000000004</v>
      </c>
      <c r="D1408">
        <v>0.71681818181818169</v>
      </c>
      <c r="E1408">
        <f t="shared" si="67"/>
        <v>3.8662207131206161</v>
      </c>
      <c r="I1408" s="24">
        <f t="shared" si="68"/>
        <v>0.608145217581057</v>
      </c>
      <c r="N1408" s="30">
        <v>37278.550000000003</v>
      </c>
    </row>
    <row r="1409" spans="1:18" x14ac:dyDescent="0.3">
      <c r="A1409">
        <v>21.434699999999999</v>
      </c>
      <c r="B1409">
        <v>49.769199999999998</v>
      </c>
      <c r="C1409">
        <f t="shared" si="66"/>
        <v>49.892319999999998</v>
      </c>
      <c r="D1409">
        <v>0.71651515151515144</v>
      </c>
      <c r="E1409">
        <f t="shared" si="67"/>
        <v>3.9098670830968185</v>
      </c>
      <c r="I1409" s="24">
        <f t="shared" si="68"/>
        <v>0.64461886946079394</v>
      </c>
      <c r="N1409" s="30">
        <v>37266.400000000001</v>
      </c>
    </row>
    <row r="1410" spans="1:18" x14ac:dyDescent="0.3">
      <c r="A1410">
        <v>21.4499</v>
      </c>
      <c r="B1410">
        <v>50.730800000000002</v>
      </c>
      <c r="C1410">
        <f t="shared" si="66"/>
        <v>51.930779999999992</v>
      </c>
      <c r="D1410">
        <v>0.71621212121212108</v>
      </c>
      <c r="E1410">
        <f t="shared" si="67"/>
        <v>3.9499116779629513</v>
      </c>
      <c r="I1410" s="24">
        <f t="shared" si="68"/>
        <v>0.68002756438849798</v>
      </c>
      <c r="N1410" s="30">
        <v>37254.25</v>
      </c>
      <c r="O1410">
        <v>2001</v>
      </c>
      <c r="P1410" s="24">
        <f>AVERAGE(I1410:I1536)</f>
        <v>0.68850185521429286</v>
      </c>
      <c r="Q1410">
        <f>A1536-A1410</f>
        <v>1.9194999999999993</v>
      </c>
      <c r="R1410">
        <f>P1410*Q1410</f>
        <v>1.3215793110838348</v>
      </c>
    </row>
    <row r="1411" spans="1:18" x14ac:dyDescent="0.3">
      <c r="A1411">
        <v>21.465199999999999</v>
      </c>
      <c r="B1411">
        <v>55.115400000000001</v>
      </c>
      <c r="C1411">
        <f t="shared" si="66"/>
        <v>53.784619999999997</v>
      </c>
      <c r="D1411">
        <v>0.71590909090909083</v>
      </c>
      <c r="E1411">
        <f t="shared" si="67"/>
        <v>3.9849875526921421</v>
      </c>
      <c r="I1411" s="24">
        <f t="shared" si="68"/>
        <v>0.71267467708771171</v>
      </c>
      <c r="N1411" s="30">
        <v>37242.1</v>
      </c>
    </row>
    <row r="1412" spans="1:18" x14ac:dyDescent="0.3">
      <c r="A1412">
        <v>21.480399999999999</v>
      </c>
      <c r="B1412">
        <v>56.115400000000001</v>
      </c>
      <c r="C1412">
        <f t="shared" si="66"/>
        <v>55.492320000000007</v>
      </c>
      <c r="D1412">
        <v>0.71560606060606058</v>
      </c>
      <c r="E1412">
        <f t="shared" si="67"/>
        <v>4.0162446327988395</v>
      </c>
      <c r="I1412" s="24">
        <f t="shared" si="68"/>
        <v>0.74312018845412109</v>
      </c>
      <c r="N1412" s="30">
        <v>37229.950000000004</v>
      </c>
    </row>
    <row r="1413" spans="1:18" x14ac:dyDescent="0.3">
      <c r="A1413">
        <v>21.4956</v>
      </c>
      <c r="B1413">
        <v>57.192300000000003</v>
      </c>
      <c r="C1413">
        <f t="shared" si="66"/>
        <v>57.1</v>
      </c>
      <c r="D1413">
        <v>0.71530303030303022</v>
      </c>
      <c r="E1413">
        <f t="shared" si="67"/>
        <v>4.0448041166619646</v>
      </c>
      <c r="I1413" s="24">
        <f t="shared" si="68"/>
        <v>0.7721022166518382</v>
      </c>
      <c r="N1413" s="30">
        <v>37217.800000000003</v>
      </c>
    </row>
    <row r="1414" spans="1:18" x14ac:dyDescent="0.3">
      <c r="A1414">
        <v>21.510899999999999</v>
      </c>
      <c r="B1414">
        <v>58.307699999999997</v>
      </c>
      <c r="C1414">
        <f t="shared" si="66"/>
        <v>57.853840000000005</v>
      </c>
      <c r="D1414">
        <v>0.71499999999999997</v>
      </c>
      <c r="E1414">
        <f t="shared" si="67"/>
        <v>4.057919830001981</v>
      </c>
      <c r="I1414" s="24">
        <f t="shared" si="68"/>
        <v>0.78596823026504103</v>
      </c>
      <c r="N1414" s="30">
        <v>37205.65</v>
      </c>
    </row>
    <row r="1415" spans="1:18" x14ac:dyDescent="0.3">
      <c r="A1415">
        <v>21.5261</v>
      </c>
      <c r="B1415">
        <v>58.769199999999998</v>
      </c>
      <c r="C1415">
        <f t="shared" si="66"/>
        <v>58.4</v>
      </c>
      <c r="D1415">
        <v>0.71469696969696961</v>
      </c>
      <c r="E1415">
        <f t="shared" si="67"/>
        <v>4.0673158898341812</v>
      </c>
      <c r="I1415" s="24">
        <f t="shared" si="68"/>
        <v>0.79615045405050955</v>
      </c>
      <c r="N1415" s="30">
        <v>37193.5</v>
      </c>
    </row>
    <row r="1416" spans="1:18" x14ac:dyDescent="0.3">
      <c r="A1416">
        <v>21.5413</v>
      </c>
      <c r="B1416">
        <v>58.884599999999999</v>
      </c>
      <c r="C1416">
        <f t="shared" si="66"/>
        <v>58.769240000000003</v>
      </c>
      <c r="D1416">
        <v>0.71439393939393936</v>
      </c>
      <c r="E1416">
        <f t="shared" si="67"/>
        <v>4.0736185887730345</v>
      </c>
      <c r="I1416" s="24">
        <f t="shared" si="68"/>
        <v>0.80316653572531804</v>
      </c>
      <c r="N1416" s="30">
        <v>37181.35</v>
      </c>
    </row>
    <row r="1417" spans="1:18" x14ac:dyDescent="0.3">
      <c r="A1417">
        <v>21.5566</v>
      </c>
      <c r="B1417">
        <v>58.846200000000003</v>
      </c>
      <c r="C1417">
        <f t="shared" si="66"/>
        <v>59.030780000000007</v>
      </c>
      <c r="D1417">
        <v>0.71409090909090911</v>
      </c>
      <c r="E1417">
        <f t="shared" si="67"/>
        <v>4.0780590027854924</v>
      </c>
      <c r="I1417" s="24">
        <f t="shared" si="68"/>
        <v>0.80824805729497906</v>
      </c>
      <c r="N1417" s="30">
        <v>37169.200000000004</v>
      </c>
    </row>
    <row r="1418" spans="1:18" x14ac:dyDescent="0.3">
      <c r="A1418">
        <v>21.5718</v>
      </c>
      <c r="B1418">
        <v>59.038499999999999</v>
      </c>
      <c r="C1418">
        <f t="shared" si="66"/>
        <v>59.123100000000001</v>
      </c>
      <c r="D1418">
        <v>0.71378787878787875</v>
      </c>
      <c r="E1418">
        <f t="shared" si="67"/>
        <v>4.0796217109891932</v>
      </c>
      <c r="I1418" s="24">
        <f t="shared" si="68"/>
        <v>0.81026693038201747</v>
      </c>
      <c r="N1418" s="30">
        <v>37157.050000000003</v>
      </c>
    </row>
    <row r="1419" spans="1:18" x14ac:dyDescent="0.3">
      <c r="A1419">
        <v>21.587</v>
      </c>
      <c r="B1419">
        <v>59.615400000000001</v>
      </c>
      <c r="C1419">
        <f t="shared" si="66"/>
        <v>59.123100000000001</v>
      </c>
      <c r="D1419">
        <v>0.71348484848484839</v>
      </c>
      <c r="E1419">
        <f t="shared" si="67"/>
        <v>4.0796217109891932</v>
      </c>
      <c r="I1419" s="24">
        <f t="shared" si="68"/>
        <v>0.81061106583769049</v>
      </c>
      <c r="N1419" s="30">
        <v>37144.9</v>
      </c>
    </row>
    <row r="1420" spans="1:18" x14ac:dyDescent="0.3">
      <c r="A1420">
        <v>21.6023</v>
      </c>
      <c r="B1420">
        <v>59.230800000000002</v>
      </c>
      <c r="C1420">
        <f t="shared" si="66"/>
        <v>59.200020000000009</v>
      </c>
      <c r="D1420">
        <v>0.71318181818181814</v>
      </c>
      <c r="E1420">
        <f t="shared" si="67"/>
        <v>4.0809218797277413</v>
      </c>
      <c r="I1420" s="24">
        <f t="shared" si="68"/>
        <v>0.81235353870858373</v>
      </c>
      <c r="N1420" s="30">
        <v>37132.75</v>
      </c>
    </row>
    <row r="1421" spans="1:18" x14ac:dyDescent="0.3">
      <c r="A1421">
        <v>21.6175</v>
      </c>
      <c r="B1421">
        <v>58.884599999999999</v>
      </c>
      <c r="C1421">
        <f t="shared" si="66"/>
        <v>59.369240000000005</v>
      </c>
      <c r="D1421">
        <v>0.71287878787878778</v>
      </c>
      <c r="E1421">
        <f t="shared" si="67"/>
        <v>4.083776247122664</v>
      </c>
      <c r="I1421" s="24">
        <f t="shared" si="68"/>
        <v>0.81577786464997271</v>
      </c>
      <c r="N1421" s="30">
        <v>37120.6</v>
      </c>
    </row>
    <row r="1422" spans="1:18" x14ac:dyDescent="0.3">
      <c r="A1422">
        <v>21.6327</v>
      </c>
      <c r="B1422">
        <v>59.230800000000002</v>
      </c>
      <c r="C1422">
        <f t="shared" si="66"/>
        <v>59.523080000000007</v>
      </c>
      <c r="D1422">
        <v>0.71257575757575753</v>
      </c>
      <c r="E1422">
        <f t="shared" si="67"/>
        <v>4.0863641364978189</v>
      </c>
      <c r="I1422" s="24">
        <f t="shared" si="68"/>
        <v>0.81892761611002618</v>
      </c>
      <c r="N1422" s="30">
        <v>37108.450000000004</v>
      </c>
    </row>
    <row r="1423" spans="1:18" x14ac:dyDescent="0.3">
      <c r="A1423">
        <v>21.648</v>
      </c>
      <c r="B1423">
        <v>59.884599999999999</v>
      </c>
      <c r="C1423">
        <f t="shared" si="66"/>
        <v>59.730759999999997</v>
      </c>
      <c r="D1423">
        <v>0.71227272727272717</v>
      </c>
      <c r="E1423">
        <f t="shared" si="67"/>
        <v>4.0898471305875921</v>
      </c>
      <c r="I1423" s="24">
        <f t="shared" si="68"/>
        <v>0.82306511828929352</v>
      </c>
      <c r="N1423" s="30">
        <v>37096.300000000003</v>
      </c>
    </row>
    <row r="1424" spans="1:18" x14ac:dyDescent="0.3">
      <c r="A1424">
        <v>21.6632</v>
      </c>
      <c r="B1424">
        <v>60.384599999999999</v>
      </c>
      <c r="C1424">
        <f t="shared" si="66"/>
        <v>59.961539999999999</v>
      </c>
      <c r="D1424">
        <v>0.71196969696969692</v>
      </c>
      <c r="E1424">
        <f t="shared" si="67"/>
        <v>4.0937033566937666</v>
      </c>
      <c r="I1424" s="24">
        <f t="shared" si="68"/>
        <v>0.82763280258901417</v>
      </c>
      <c r="N1424" s="30">
        <v>37084.15</v>
      </c>
    </row>
    <row r="1425" spans="1:14" x14ac:dyDescent="0.3">
      <c r="A1425">
        <v>21.6784</v>
      </c>
      <c r="B1425">
        <v>60.269199999999998</v>
      </c>
      <c r="C1425">
        <f t="shared" si="66"/>
        <v>60.130759999999995</v>
      </c>
      <c r="D1425">
        <v>0.71166666666666667</v>
      </c>
      <c r="E1425">
        <f t="shared" si="67"/>
        <v>4.0965215242531592</v>
      </c>
      <c r="I1425" s="24">
        <f t="shared" si="68"/>
        <v>0.83108227929733558</v>
      </c>
      <c r="J1425">
        <v>2001</v>
      </c>
      <c r="K1425">
        <f>AVERAGE(I1425:I1549)</f>
        <v>0.67135267578610724</v>
      </c>
      <c r="L1425">
        <f>A1549-A1425</f>
        <v>1.8890999999999991</v>
      </c>
      <c r="M1425">
        <f>K1425*L1425</f>
        <v>1.2682523398275345</v>
      </c>
      <c r="N1425" s="30">
        <v>37072</v>
      </c>
    </row>
    <row r="1426" spans="1:14" x14ac:dyDescent="0.3">
      <c r="A1426">
        <v>21.6937</v>
      </c>
      <c r="B1426">
        <v>60.038499999999999</v>
      </c>
      <c r="C1426">
        <f t="shared" si="66"/>
        <v>60.107679999999995</v>
      </c>
      <c r="D1426">
        <v>0.71136363636363631</v>
      </c>
      <c r="E1426">
        <f t="shared" si="67"/>
        <v>4.0961376203987268</v>
      </c>
      <c r="I1426" s="24">
        <f t="shared" si="68"/>
        <v>0.83101355043667624</v>
      </c>
      <c r="N1426" s="30">
        <v>37070.870370370365</v>
      </c>
    </row>
    <row r="1427" spans="1:14" x14ac:dyDescent="0.3">
      <c r="A1427">
        <v>21.7089</v>
      </c>
      <c r="B1427">
        <v>60.076900000000002</v>
      </c>
      <c r="C1427">
        <f t="shared" si="66"/>
        <v>59.930759999999999</v>
      </c>
      <c r="D1427">
        <v>0.71106060606060606</v>
      </c>
      <c r="E1427">
        <f t="shared" si="67"/>
        <v>4.0931898958513901</v>
      </c>
      <c r="I1427" s="24">
        <f t="shared" si="68"/>
        <v>0.82812741986500571</v>
      </c>
      <c r="N1427" s="30">
        <v>37069.740740740737</v>
      </c>
    </row>
    <row r="1428" spans="1:14" x14ac:dyDescent="0.3">
      <c r="A1428">
        <v>21.7241</v>
      </c>
      <c r="B1428">
        <v>59.769199999999998</v>
      </c>
      <c r="C1428">
        <f t="shared" si="66"/>
        <v>59.761539999999989</v>
      </c>
      <c r="D1428">
        <v>0.7107575757575757</v>
      </c>
      <c r="E1428">
        <f t="shared" si="67"/>
        <v>4.0903623102381772</v>
      </c>
      <c r="I1428" s="24">
        <f t="shared" si="68"/>
        <v>0.82538282030199395</v>
      </c>
      <c r="N1428" s="30">
        <v>37068.611111111109</v>
      </c>
    </row>
    <row r="1429" spans="1:14" x14ac:dyDescent="0.3">
      <c r="A1429">
        <v>21.7394</v>
      </c>
      <c r="B1429">
        <v>59.5</v>
      </c>
      <c r="C1429">
        <f t="shared" si="66"/>
        <v>59.646140000000003</v>
      </c>
      <c r="D1429">
        <v>0.71045454545454545</v>
      </c>
      <c r="E1429">
        <f t="shared" si="67"/>
        <v>4.0884294356370141</v>
      </c>
      <c r="I1429" s="24">
        <f t="shared" si="68"/>
        <v>0.82362313947465382</v>
      </c>
      <c r="N1429" s="30">
        <v>37067.481481481482</v>
      </c>
    </row>
    <row r="1430" spans="1:14" x14ac:dyDescent="0.3">
      <c r="A1430">
        <v>21.7546</v>
      </c>
      <c r="B1430">
        <v>59.423099999999998</v>
      </c>
      <c r="C1430">
        <f t="shared" si="66"/>
        <v>59.476919999999993</v>
      </c>
      <c r="D1430">
        <v>0.71015151515151509</v>
      </c>
      <c r="E1430">
        <f t="shared" si="67"/>
        <v>4.0855883381395799</v>
      </c>
      <c r="I1430" s="24">
        <f t="shared" si="68"/>
        <v>0.82087907235080415</v>
      </c>
      <c r="N1430" s="30">
        <v>37066.351851851847</v>
      </c>
    </row>
    <row r="1431" spans="1:14" x14ac:dyDescent="0.3">
      <c r="A1431">
        <v>21.7698</v>
      </c>
      <c r="B1431">
        <v>59.461500000000001</v>
      </c>
      <c r="C1431">
        <f t="shared" si="66"/>
        <v>59.223080000000003</v>
      </c>
      <c r="D1431">
        <v>0.70984848484848473</v>
      </c>
      <c r="E1431">
        <f t="shared" si="67"/>
        <v>4.0813113307772655</v>
      </c>
      <c r="I1431" s="24">
        <f t="shared" si="68"/>
        <v>0.81658942550487035</v>
      </c>
      <c r="N1431" s="30">
        <v>37065.222222222219</v>
      </c>
    </row>
    <row r="1432" spans="1:14" x14ac:dyDescent="0.3">
      <c r="A1432">
        <v>21.7851</v>
      </c>
      <c r="B1432">
        <v>59.230800000000002</v>
      </c>
      <c r="C1432">
        <f t="shared" si="66"/>
        <v>58.938460000000006</v>
      </c>
      <c r="D1432">
        <v>0.70954545454545448</v>
      </c>
      <c r="E1432">
        <f t="shared" si="67"/>
        <v>4.0764938487021665</v>
      </c>
      <c r="I1432" s="24">
        <f t="shared" si="68"/>
        <v>0.8117409114024724</v>
      </c>
      <c r="N1432" s="30">
        <v>37064.092592592591</v>
      </c>
    </row>
    <row r="1433" spans="1:14" x14ac:dyDescent="0.3">
      <c r="A1433">
        <v>21.8003</v>
      </c>
      <c r="B1433">
        <v>58.5</v>
      </c>
      <c r="C1433">
        <f t="shared" si="66"/>
        <v>58.269219999999997</v>
      </c>
      <c r="D1433">
        <v>0.70924242424242423</v>
      </c>
      <c r="E1433">
        <f t="shared" si="67"/>
        <v>4.0650739951034884</v>
      </c>
      <c r="I1433" s="24">
        <f t="shared" si="68"/>
        <v>0.79989411323776793</v>
      </c>
      <c r="N1433" s="30">
        <v>37062.962962962964</v>
      </c>
    </row>
    <row r="1434" spans="1:14" x14ac:dyDescent="0.3">
      <c r="A1434">
        <v>21.8155</v>
      </c>
      <c r="B1434">
        <v>58.076900000000002</v>
      </c>
      <c r="C1434">
        <f t="shared" si="66"/>
        <v>57.507680000000008</v>
      </c>
      <c r="D1434">
        <v>0.70893939393939387</v>
      </c>
      <c r="E1434">
        <f t="shared" si="67"/>
        <v>4.051918504101657</v>
      </c>
      <c r="I1434" s="24">
        <f t="shared" si="68"/>
        <v>0.78641002475817756</v>
      </c>
      <c r="N1434" s="30">
        <v>37061.833333333328</v>
      </c>
    </row>
    <row r="1435" spans="1:14" x14ac:dyDescent="0.3">
      <c r="A1435">
        <v>21.8308</v>
      </c>
      <c r="B1435">
        <v>56.076900000000002</v>
      </c>
      <c r="C1435">
        <f t="shared" si="66"/>
        <v>56.669219999999996</v>
      </c>
      <c r="D1435">
        <v>0.70863636363636362</v>
      </c>
      <c r="E1435">
        <f t="shared" si="67"/>
        <v>4.0372312061905635</v>
      </c>
      <c r="I1435" s="24">
        <f t="shared" si="68"/>
        <v>0.77158598497450526</v>
      </c>
      <c r="N1435" s="30">
        <v>37060.703703703701</v>
      </c>
    </row>
    <row r="1436" spans="1:14" x14ac:dyDescent="0.3">
      <c r="A1436">
        <v>21.846</v>
      </c>
      <c r="B1436">
        <v>55.653799999999997</v>
      </c>
      <c r="C1436">
        <f t="shared" si="66"/>
        <v>55.846140000000005</v>
      </c>
      <c r="D1436">
        <v>0.70833333333333326</v>
      </c>
      <c r="E1436">
        <f t="shared" si="67"/>
        <v>4.0226004094293444</v>
      </c>
      <c r="I1436" s="24">
        <f t="shared" si="68"/>
        <v>0.7570981894898059</v>
      </c>
      <c r="N1436" s="30">
        <v>37059.574074074073</v>
      </c>
    </row>
    <row r="1437" spans="1:14" x14ac:dyDescent="0.3">
      <c r="A1437">
        <v>21.8612</v>
      </c>
      <c r="B1437">
        <v>55.038499999999999</v>
      </c>
      <c r="C1437">
        <f t="shared" si="66"/>
        <v>55.007680000000008</v>
      </c>
      <c r="D1437">
        <v>0.70803030303030301</v>
      </c>
      <c r="E1437">
        <f t="shared" si="67"/>
        <v>4.0074728118478582</v>
      </c>
      <c r="I1437" s="24">
        <f t="shared" si="68"/>
        <v>0.74239378614214668</v>
      </c>
      <c r="N1437" s="30">
        <v>37058.444444444445</v>
      </c>
    </row>
    <row r="1438" spans="1:14" x14ac:dyDescent="0.3">
      <c r="A1438">
        <v>21.8765</v>
      </c>
      <c r="B1438">
        <v>54.384599999999999</v>
      </c>
      <c r="C1438">
        <f t="shared" si="66"/>
        <v>54.469219999999993</v>
      </c>
      <c r="D1438">
        <v>0.70772727272727276</v>
      </c>
      <c r="E1438">
        <f t="shared" si="67"/>
        <v>3.9976357714839845</v>
      </c>
      <c r="I1438" s="24">
        <f t="shared" si="68"/>
        <v>0.73309535536603654</v>
      </c>
      <c r="N1438" s="30">
        <v>37057.31481481481</v>
      </c>
    </row>
    <row r="1439" spans="1:14" x14ac:dyDescent="0.3">
      <c r="A1439">
        <v>21.8917</v>
      </c>
      <c r="B1439">
        <v>53.884599999999999</v>
      </c>
      <c r="C1439">
        <f t="shared" si="66"/>
        <v>53.946160000000006</v>
      </c>
      <c r="D1439">
        <v>0.7074242424242424</v>
      </c>
      <c r="E1439">
        <f t="shared" si="67"/>
        <v>3.9879865121551843</v>
      </c>
      <c r="I1439" s="24">
        <f t="shared" si="68"/>
        <v>0.72409363155361006</v>
      </c>
      <c r="N1439" s="30">
        <v>37056.185185185182</v>
      </c>
    </row>
    <row r="1440" spans="1:14" x14ac:dyDescent="0.3">
      <c r="A1440">
        <v>21.9069</v>
      </c>
      <c r="B1440">
        <v>53.384599999999999</v>
      </c>
      <c r="C1440">
        <f t="shared" si="66"/>
        <v>53.5</v>
      </c>
      <c r="D1440">
        <v>0.70712121212121215</v>
      </c>
      <c r="E1440">
        <f t="shared" si="67"/>
        <v>3.9796816539019608</v>
      </c>
      <c r="I1440" s="24">
        <f t="shared" si="68"/>
        <v>0.7164775272677596</v>
      </c>
      <c r="N1440" s="30">
        <v>37055.055555555555</v>
      </c>
    </row>
    <row r="1441" spans="1:14" x14ac:dyDescent="0.3">
      <c r="A1441">
        <v>21.9222</v>
      </c>
      <c r="B1441">
        <v>53.038499999999999</v>
      </c>
      <c r="C1441">
        <f t="shared" si="66"/>
        <v>53.338460000000012</v>
      </c>
      <c r="D1441">
        <v>0.70681818181818179</v>
      </c>
      <c r="E1441">
        <f t="shared" si="67"/>
        <v>3.9766576469460055</v>
      </c>
      <c r="I1441" s="24">
        <f t="shared" si="68"/>
        <v>0.71391885715093173</v>
      </c>
      <c r="N1441" s="30">
        <v>37053.925925925927</v>
      </c>
    </row>
    <row r="1442" spans="1:14" x14ac:dyDescent="0.3">
      <c r="A1442">
        <v>21.9374</v>
      </c>
      <c r="B1442">
        <v>52.807699999999997</v>
      </c>
      <c r="C1442">
        <f t="shared" si="66"/>
        <v>53.376919999999998</v>
      </c>
      <c r="D1442">
        <v>0.70651515151515143</v>
      </c>
      <c r="E1442">
        <f t="shared" si="67"/>
        <v>3.9773784427987708</v>
      </c>
      <c r="I1442" s="24">
        <f t="shared" si="68"/>
        <v>0.71490740960560639</v>
      </c>
      <c r="N1442" s="30">
        <v>37052.796296296292</v>
      </c>
    </row>
    <row r="1443" spans="1:14" x14ac:dyDescent="0.3">
      <c r="A1443">
        <v>21.9527</v>
      </c>
      <c r="B1443">
        <v>53.576900000000002</v>
      </c>
      <c r="C1443">
        <f t="shared" si="66"/>
        <v>53.607700000000001</v>
      </c>
      <c r="D1443">
        <v>0.70621212121212118</v>
      </c>
      <c r="E1443">
        <f t="shared" si="67"/>
        <v>3.9816927144755363</v>
      </c>
      <c r="I1443" s="24">
        <f t="shared" si="68"/>
        <v>0.71931371569503755</v>
      </c>
      <c r="N1443" s="30">
        <v>37051.666666666664</v>
      </c>
    </row>
    <row r="1444" spans="1:14" x14ac:dyDescent="0.3">
      <c r="A1444">
        <v>21.9679</v>
      </c>
      <c r="B1444">
        <v>54.076900000000002</v>
      </c>
      <c r="C1444">
        <f t="shared" si="66"/>
        <v>54.015380000000007</v>
      </c>
      <c r="D1444">
        <v>0.70590909090909082</v>
      </c>
      <c r="E1444">
        <f t="shared" si="67"/>
        <v>3.9892688208270495</v>
      </c>
      <c r="I1444" s="24">
        <f t="shared" si="68"/>
        <v>0.72688159408283415</v>
      </c>
      <c r="N1444" s="30">
        <v>37050.537037037036</v>
      </c>
    </row>
    <row r="1445" spans="1:14" x14ac:dyDescent="0.3">
      <c r="A1445">
        <v>21.9831</v>
      </c>
      <c r="B1445">
        <v>54.538499999999999</v>
      </c>
      <c r="C1445">
        <f t="shared" si="66"/>
        <v>54.561539999999994</v>
      </c>
      <c r="D1445">
        <v>0.70560606060606057</v>
      </c>
      <c r="E1445">
        <f t="shared" si="67"/>
        <v>3.9993292389433175</v>
      </c>
      <c r="I1445" s="24">
        <f t="shared" si="68"/>
        <v>0.73695070638822313</v>
      </c>
      <c r="N1445" s="30">
        <v>37049.407407407409</v>
      </c>
    </row>
    <row r="1446" spans="1:14" x14ac:dyDescent="0.3">
      <c r="A1446">
        <v>21.9984</v>
      </c>
      <c r="B1446">
        <v>55.076900000000002</v>
      </c>
      <c r="C1446">
        <f t="shared" si="66"/>
        <v>55.138459999999995</v>
      </c>
      <c r="D1446">
        <v>0.70530303030303032</v>
      </c>
      <c r="E1446">
        <f t="shared" si="67"/>
        <v>4.0098474762973977</v>
      </c>
      <c r="I1446" s="24">
        <f t="shared" si="68"/>
        <v>0.74761274246328535</v>
      </c>
      <c r="N1446" s="30">
        <v>37048.277777777774</v>
      </c>
    </row>
    <row r="1447" spans="1:14" x14ac:dyDescent="0.3">
      <c r="A1447">
        <v>22.0136</v>
      </c>
      <c r="B1447">
        <v>55.538499999999999</v>
      </c>
      <c r="C1447">
        <f t="shared" si="66"/>
        <v>55.853840000000005</v>
      </c>
      <c r="D1447" s="8">
        <v>0.70499999999999996</v>
      </c>
      <c r="E1447">
        <f t="shared" si="67"/>
        <v>4.0227382787469965</v>
      </c>
      <c r="I1447" s="24">
        <f t="shared" si="68"/>
        <v>0.76081679990491446</v>
      </c>
      <c r="N1447" s="30">
        <v>37047.148148148146</v>
      </c>
    </row>
    <row r="1448" spans="1:14" x14ac:dyDescent="0.3">
      <c r="A1448">
        <v>22.0288</v>
      </c>
      <c r="B1448">
        <v>56.461500000000001</v>
      </c>
      <c r="C1448">
        <f t="shared" si="66"/>
        <v>56.653839999999988</v>
      </c>
      <c r="D1448">
        <v>0.70509230769230768</v>
      </c>
      <c r="E1448">
        <f t="shared" si="67"/>
        <v>4.0369597698192816</v>
      </c>
      <c r="I1448" s="24">
        <f t="shared" si="68"/>
        <v>0.7751854568816291</v>
      </c>
      <c r="N1448" s="30">
        <v>37046.018518518518</v>
      </c>
    </row>
    <row r="1449" spans="1:14" x14ac:dyDescent="0.3">
      <c r="A1449">
        <v>22.0441</v>
      </c>
      <c r="B1449">
        <v>57.653799999999997</v>
      </c>
      <c r="C1449">
        <f t="shared" si="66"/>
        <v>57.32307999999999</v>
      </c>
      <c r="D1449">
        <v>0.70518461538461541</v>
      </c>
      <c r="E1449">
        <f t="shared" si="67"/>
        <v>4.0487033349427604</v>
      </c>
      <c r="I1449" s="24">
        <f t="shared" si="68"/>
        <v>0.78723693792679961</v>
      </c>
      <c r="N1449" s="30">
        <v>37044.888888888891</v>
      </c>
    </row>
    <row r="1450" spans="1:14" x14ac:dyDescent="0.3">
      <c r="A1450">
        <v>22.0593</v>
      </c>
      <c r="B1450">
        <v>58.538499999999999</v>
      </c>
      <c r="C1450">
        <f t="shared" si="66"/>
        <v>57.784619999999997</v>
      </c>
      <c r="D1450">
        <v>0.70527692307692313</v>
      </c>
      <c r="E1450">
        <f t="shared" si="67"/>
        <v>4.0567226503047173</v>
      </c>
      <c r="I1450" s="24">
        <f t="shared" si="68"/>
        <v>0.79554098440248155</v>
      </c>
      <c r="N1450" s="30">
        <v>37043.759259259255</v>
      </c>
    </row>
    <row r="1451" spans="1:14" x14ac:dyDescent="0.3">
      <c r="A1451">
        <v>22.0745</v>
      </c>
      <c r="B1451">
        <v>58.423099999999998</v>
      </c>
      <c r="C1451">
        <f t="shared" si="66"/>
        <v>58.000019999999992</v>
      </c>
      <c r="D1451">
        <v>0.70536923076923075</v>
      </c>
      <c r="E1451">
        <f t="shared" si="67"/>
        <v>4.0604433553739456</v>
      </c>
      <c r="I1451" s="24">
        <f t="shared" si="68"/>
        <v>0.79936741522669752</v>
      </c>
      <c r="N1451" s="30">
        <v>37042.629629629628</v>
      </c>
    </row>
    <row r="1452" spans="1:14" x14ac:dyDescent="0.3">
      <c r="A1452">
        <v>22.0898</v>
      </c>
      <c r="B1452">
        <v>57.846200000000003</v>
      </c>
      <c r="C1452">
        <f t="shared" si="66"/>
        <v>58.09234</v>
      </c>
      <c r="D1452">
        <v>0.70546153846153836</v>
      </c>
      <c r="E1452">
        <f t="shared" si="67"/>
        <v>4.0620338135136675</v>
      </c>
      <c r="I1452" s="24">
        <f t="shared" si="68"/>
        <v>0.80094867355387456</v>
      </c>
      <c r="N1452" s="30">
        <v>37041.5</v>
      </c>
    </row>
    <row r="1453" spans="1:14" x14ac:dyDescent="0.3">
      <c r="A1453">
        <v>22.105</v>
      </c>
      <c r="B1453">
        <v>57.538499999999999</v>
      </c>
      <c r="C1453">
        <f t="shared" si="66"/>
        <v>58.084639999999993</v>
      </c>
      <c r="D1453">
        <v>0.70555384615384609</v>
      </c>
      <c r="E1453">
        <f t="shared" si="67"/>
        <v>4.061901257132682</v>
      </c>
      <c r="I1453" s="24">
        <f t="shared" si="68"/>
        <v>0.80070326094294975</v>
      </c>
      <c r="N1453" s="30">
        <v>37040.370370370365</v>
      </c>
    </row>
    <row r="1454" spans="1:14" x14ac:dyDescent="0.3">
      <c r="A1454">
        <v>22.120200000000001</v>
      </c>
      <c r="B1454">
        <v>58.115400000000001</v>
      </c>
      <c r="C1454">
        <f t="shared" si="66"/>
        <v>58.023099999999999</v>
      </c>
      <c r="D1454">
        <v>0.70564615384615381</v>
      </c>
      <c r="E1454">
        <f t="shared" si="67"/>
        <v>4.0608412071177096</v>
      </c>
      <c r="I1454" s="24">
        <f t="shared" si="68"/>
        <v>0.79947498371020687</v>
      </c>
      <c r="N1454" s="30">
        <v>37039.240740740737</v>
      </c>
    </row>
    <row r="1455" spans="1:14" x14ac:dyDescent="0.3">
      <c r="A1455">
        <v>22.1355</v>
      </c>
      <c r="B1455">
        <v>58.5</v>
      </c>
      <c r="C1455">
        <f t="shared" si="66"/>
        <v>57.769240000000003</v>
      </c>
      <c r="D1455">
        <v>0.70573846153846154</v>
      </c>
      <c r="E1455">
        <f t="shared" si="67"/>
        <v>4.0564564540895365</v>
      </c>
      <c r="I1455" s="24">
        <f t="shared" si="68"/>
        <v>0.79474039694741871</v>
      </c>
      <c r="N1455" s="30">
        <v>37038.111111111109</v>
      </c>
    </row>
    <row r="1456" spans="1:14" x14ac:dyDescent="0.3">
      <c r="A1456">
        <v>22.150700000000001</v>
      </c>
      <c r="B1456">
        <v>58.115400000000001</v>
      </c>
      <c r="C1456">
        <f t="shared" si="66"/>
        <v>57.31537999999999</v>
      </c>
      <c r="D1456">
        <v>0.70583076923076926</v>
      </c>
      <c r="E1456">
        <f t="shared" si="67"/>
        <v>4.048568999572038</v>
      </c>
      <c r="I1456" s="24">
        <f t="shared" si="68"/>
        <v>0.78637629880304427</v>
      </c>
      <c r="N1456" s="30">
        <v>37036.981481481482</v>
      </c>
    </row>
    <row r="1457" spans="1:14" x14ac:dyDescent="0.3">
      <c r="A1457">
        <v>22.165900000000001</v>
      </c>
      <c r="B1457">
        <v>56.576900000000002</v>
      </c>
      <c r="C1457">
        <f t="shared" si="66"/>
        <v>56.376919999999998</v>
      </c>
      <c r="D1457">
        <v>0.70592307692307688</v>
      </c>
      <c r="E1457">
        <f t="shared" si="67"/>
        <v>4.0320598548925615</v>
      </c>
      <c r="I1457" s="24">
        <f t="shared" si="68"/>
        <v>0.76926333138079972</v>
      </c>
      <c r="N1457" s="30">
        <v>37035.851851851847</v>
      </c>
    </row>
    <row r="1458" spans="1:14" x14ac:dyDescent="0.3">
      <c r="A1458">
        <v>22.1812</v>
      </c>
      <c r="B1458">
        <v>55.269199999999998</v>
      </c>
      <c r="C1458">
        <f t="shared" si="66"/>
        <v>55.323080000000004</v>
      </c>
      <c r="D1458">
        <v>0.7060153846153846</v>
      </c>
      <c r="E1458">
        <f t="shared" si="67"/>
        <v>4.0131901813132247</v>
      </c>
      <c r="I1458" s="24">
        <f t="shared" si="68"/>
        <v>0.75017315087483749</v>
      </c>
      <c r="N1458" s="30">
        <v>37034.722222222219</v>
      </c>
    </row>
    <row r="1459" spans="1:14" x14ac:dyDescent="0.3">
      <c r="A1459">
        <v>22.196400000000001</v>
      </c>
      <c r="B1459">
        <v>53.423099999999998</v>
      </c>
      <c r="C1459">
        <f t="shared" si="66"/>
        <v>54.230759999999997</v>
      </c>
      <c r="D1459">
        <v>0.70610769230769233</v>
      </c>
      <c r="E1459">
        <f t="shared" si="67"/>
        <v>3.9932482751379514</v>
      </c>
      <c r="I1459" s="24">
        <f t="shared" si="68"/>
        <v>0.73051829427332315</v>
      </c>
      <c r="N1459" s="30">
        <v>37033.592592592591</v>
      </c>
    </row>
    <row r="1460" spans="1:14" x14ac:dyDescent="0.3">
      <c r="A1460">
        <v>22.211600000000001</v>
      </c>
      <c r="B1460">
        <v>53.230800000000002</v>
      </c>
      <c r="C1460">
        <f t="shared" si="66"/>
        <v>53.31537999999999</v>
      </c>
      <c r="D1460">
        <v>0.70619999999999994</v>
      </c>
      <c r="E1460">
        <f t="shared" si="67"/>
        <v>3.9762248448948037</v>
      </c>
      <c r="I1460" s="24">
        <f t="shared" si="68"/>
        <v>0.71413421083457895</v>
      </c>
      <c r="N1460" s="30">
        <v>37032.462962962964</v>
      </c>
    </row>
    <row r="1461" spans="1:14" x14ac:dyDescent="0.3">
      <c r="A1461">
        <v>22.226900000000001</v>
      </c>
      <c r="B1461">
        <v>52.653799999999997</v>
      </c>
      <c r="C1461">
        <f t="shared" si="66"/>
        <v>52.54616</v>
      </c>
      <c r="D1461">
        <v>0.70629230769230766</v>
      </c>
      <c r="E1461">
        <f t="shared" si="67"/>
        <v>3.9616920213894207</v>
      </c>
      <c r="I1461" s="24">
        <f t="shared" si="68"/>
        <v>0.70042488437306472</v>
      </c>
      <c r="N1461" s="30">
        <v>37031.333333333328</v>
      </c>
    </row>
    <row r="1462" spans="1:14" x14ac:dyDescent="0.3">
      <c r="A1462">
        <v>22.242100000000001</v>
      </c>
      <c r="B1462">
        <v>52</v>
      </c>
      <c r="C1462">
        <f t="shared" si="66"/>
        <v>52.030780000000007</v>
      </c>
      <c r="D1462">
        <v>0.70638461538461539</v>
      </c>
      <c r="E1462">
        <f t="shared" si="67"/>
        <v>3.9518354665409867</v>
      </c>
      <c r="I1462" s="24">
        <f t="shared" si="68"/>
        <v>0.69124787585736591</v>
      </c>
      <c r="N1462" s="30">
        <v>37030.203703703701</v>
      </c>
    </row>
    <row r="1463" spans="1:14" x14ac:dyDescent="0.3">
      <c r="A1463">
        <v>22.257300000000001</v>
      </c>
      <c r="B1463">
        <v>51.423099999999998</v>
      </c>
      <c r="C1463">
        <f t="shared" si="66"/>
        <v>51.592319999999994</v>
      </c>
      <c r="D1463">
        <v>0.706476923076923</v>
      </c>
      <c r="E1463">
        <f t="shared" si="67"/>
        <v>3.9433728242008579</v>
      </c>
      <c r="I1463" s="24">
        <f t="shared" si="68"/>
        <v>0.68345205243625684</v>
      </c>
      <c r="N1463" s="30">
        <v>37029.074074074073</v>
      </c>
    </row>
    <row r="1464" spans="1:14" x14ac:dyDescent="0.3">
      <c r="A1464">
        <v>22.272600000000001</v>
      </c>
      <c r="B1464">
        <v>50.846200000000003</v>
      </c>
      <c r="C1464">
        <f t="shared" si="66"/>
        <v>51.330799999999996</v>
      </c>
      <c r="D1464">
        <v>0.70656923076923073</v>
      </c>
      <c r="E1464">
        <f t="shared" si="67"/>
        <v>3.9382909618783852</v>
      </c>
      <c r="I1464" s="24">
        <f t="shared" si="68"/>
        <v>0.67877751067059988</v>
      </c>
      <c r="N1464" s="30">
        <v>37027.944444444445</v>
      </c>
    </row>
    <row r="1465" spans="1:14" x14ac:dyDescent="0.3">
      <c r="A1465">
        <v>22.287800000000001</v>
      </c>
      <c r="B1465">
        <v>51.038499999999999</v>
      </c>
      <c r="C1465">
        <f t="shared" si="66"/>
        <v>51.415419999999997</v>
      </c>
      <c r="D1465">
        <v>0.70666153846153845</v>
      </c>
      <c r="E1465">
        <f t="shared" si="67"/>
        <v>3.9399381274701173</v>
      </c>
      <c r="I1465" s="24">
        <f t="shared" si="68"/>
        <v>0.68017147343962203</v>
      </c>
      <c r="N1465" s="30">
        <v>37026.81481481481</v>
      </c>
    </row>
    <row r="1466" spans="1:14" x14ac:dyDescent="0.3">
      <c r="A1466">
        <v>22.303000000000001</v>
      </c>
      <c r="B1466">
        <v>51.346200000000003</v>
      </c>
      <c r="C1466">
        <f t="shared" ref="C1466:C1529" si="69">AVERAGE(B1464:B1468)</f>
        <v>51.638500000000001</v>
      </c>
      <c r="D1466">
        <v>0.70675384615384618</v>
      </c>
      <c r="E1466">
        <f t="shared" ref="E1466:E1529" si="70">LN(C1466)</f>
        <v>3.9442675183063685</v>
      </c>
      <c r="I1466" s="24">
        <f t="shared" ref="I1466:I1529" si="71">(0.0026*(EXP(1.3248*E1466)))/D1466</f>
        <v>0.68399451164132696</v>
      </c>
      <c r="N1466" s="30">
        <v>37025.685185185182</v>
      </c>
    </row>
    <row r="1467" spans="1:14" x14ac:dyDescent="0.3">
      <c r="A1467">
        <v>22.318300000000001</v>
      </c>
      <c r="B1467">
        <v>52.423099999999998</v>
      </c>
      <c r="C1467">
        <f t="shared" si="69"/>
        <v>51.976960000000005</v>
      </c>
      <c r="D1467">
        <v>0.7068461538461539</v>
      </c>
      <c r="E1467">
        <f t="shared" si="70"/>
        <v>3.9508005434707667</v>
      </c>
      <c r="I1467" s="24">
        <f t="shared" si="71"/>
        <v>0.68985004367182068</v>
      </c>
      <c r="N1467" s="30">
        <v>37024.555555555555</v>
      </c>
    </row>
    <row r="1468" spans="1:14" x14ac:dyDescent="0.3">
      <c r="A1468">
        <v>22.333500000000001</v>
      </c>
      <c r="B1468">
        <v>52.538499999999999</v>
      </c>
      <c r="C1468">
        <f t="shared" si="69"/>
        <v>52.300019999999996</v>
      </c>
      <c r="D1468">
        <v>0.70693846153846152</v>
      </c>
      <c r="E1468">
        <f t="shared" si="70"/>
        <v>3.9569967534799817</v>
      </c>
      <c r="I1468" s="24">
        <f t="shared" si="71"/>
        <v>0.69544532974185258</v>
      </c>
      <c r="N1468" s="30">
        <v>37023.425925925927</v>
      </c>
    </row>
    <row r="1469" spans="1:14" x14ac:dyDescent="0.3">
      <c r="A1469">
        <v>22.348700000000001</v>
      </c>
      <c r="B1469">
        <v>52.538499999999999</v>
      </c>
      <c r="C1469">
        <f t="shared" si="69"/>
        <v>52.523080000000007</v>
      </c>
      <c r="D1469">
        <v>0.70703076923076924</v>
      </c>
      <c r="E1469">
        <f t="shared" si="70"/>
        <v>3.9612526920410556</v>
      </c>
      <c r="I1469" s="24">
        <f t="shared" si="71"/>
        <v>0.69928620289855947</v>
      </c>
      <c r="N1469" s="30">
        <v>37022.296296296292</v>
      </c>
    </row>
    <row r="1470" spans="1:14" x14ac:dyDescent="0.3">
      <c r="A1470">
        <v>22.364000000000001</v>
      </c>
      <c r="B1470">
        <v>52.653799999999997</v>
      </c>
      <c r="C1470">
        <f t="shared" si="69"/>
        <v>52.538460000000001</v>
      </c>
      <c r="D1470">
        <v>0.70712307692307685</v>
      </c>
      <c r="E1470">
        <f t="shared" si="70"/>
        <v>3.9615454728266761</v>
      </c>
      <c r="I1470" s="24">
        <f t="shared" si="71"/>
        <v>0.69946617175050974</v>
      </c>
      <c r="N1470" s="30">
        <v>37021.166666666664</v>
      </c>
    </row>
    <row r="1471" spans="1:14" x14ac:dyDescent="0.3">
      <c r="A1471">
        <v>22.379200000000001</v>
      </c>
      <c r="B1471">
        <v>52.461500000000001</v>
      </c>
      <c r="C1471">
        <f t="shared" si="69"/>
        <v>52.515379999999993</v>
      </c>
      <c r="D1471">
        <v>0.70721538461538458</v>
      </c>
      <c r="E1471">
        <f t="shared" si="70"/>
        <v>3.9611060790763601</v>
      </c>
      <c r="I1471" s="24">
        <f t="shared" si="71"/>
        <v>0.69896788167777246</v>
      </c>
      <c r="N1471" s="30">
        <v>37020.037037037036</v>
      </c>
    </row>
    <row r="1472" spans="1:14" x14ac:dyDescent="0.3">
      <c r="A1472">
        <v>22.394400000000001</v>
      </c>
      <c r="B1472">
        <v>52.5</v>
      </c>
      <c r="C1472">
        <f t="shared" si="69"/>
        <v>52.515380000000007</v>
      </c>
      <c r="D1472">
        <v>0.7073076923076923</v>
      </c>
      <c r="E1472">
        <f t="shared" si="70"/>
        <v>3.9611060790763606</v>
      </c>
      <c r="I1472" s="24">
        <f t="shared" si="71"/>
        <v>0.6988766623783691</v>
      </c>
      <c r="N1472" s="30">
        <v>37018.907407407409</v>
      </c>
    </row>
    <row r="1473" spans="1:14" x14ac:dyDescent="0.3">
      <c r="A1473">
        <v>22.409700000000001</v>
      </c>
      <c r="B1473">
        <v>52.423099999999998</v>
      </c>
      <c r="C1473">
        <f t="shared" si="69"/>
        <v>52.392319999999998</v>
      </c>
      <c r="D1473">
        <v>0.70740000000000003</v>
      </c>
      <c r="E1473">
        <f t="shared" si="70"/>
        <v>3.9587600156998177</v>
      </c>
      <c r="I1473" s="24">
        <f t="shared" si="71"/>
        <v>0.69661696806288331</v>
      </c>
      <c r="N1473" s="30">
        <v>37017.777777777774</v>
      </c>
    </row>
    <row r="1474" spans="1:14" x14ac:dyDescent="0.3">
      <c r="A1474">
        <v>22.424900000000001</v>
      </c>
      <c r="B1474">
        <v>52.538499999999999</v>
      </c>
      <c r="C1474">
        <f t="shared" si="69"/>
        <v>52.146180000000001</v>
      </c>
      <c r="D1474">
        <v>0.70749230769230764</v>
      </c>
      <c r="E1474">
        <f t="shared" si="70"/>
        <v>3.9540509285241585</v>
      </c>
      <c r="I1474" s="24">
        <f t="shared" si="71"/>
        <v>0.69219425890216368</v>
      </c>
      <c r="N1474" s="30">
        <v>37016.648148148146</v>
      </c>
    </row>
    <row r="1475" spans="1:14" x14ac:dyDescent="0.3">
      <c r="A1475">
        <v>22.440100000000001</v>
      </c>
      <c r="B1475">
        <v>52.038499999999999</v>
      </c>
      <c r="C1475">
        <f t="shared" si="69"/>
        <v>51.730800000000002</v>
      </c>
      <c r="D1475">
        <v>0.70758461538461537</v>
      </c>
      <c r="E1475">
        <f t="shared" si="70"/>
        <v>3.9460533488098197</v>
      </c>
      <c r="I1475" s="24">
        <f t="shared" si="71"/>
        <v>0.68480969382510903</v>
      </c>
      <c r="N1475" s="30">
        <v>37015.518518518518</v>
      </c>
    </row>
    <row r="1476" spans="1:14" x14ac:dyDescent="0.3">
      <c r="A1476">
        <v>22.455400000000001</v>
      </c>
      <c r="B1476">
        <v>51.230800000000002</v>
      </c>
      <c r="C1476">
        <f t="shared" si="69"/>
        <v>51.261559999999996</v>
      </c>
      <c r="D1476">
        <v>0.70767692307692309</v>
      </c>
      <c r="E1476">
        <f t="shared" si="70"/>
        <v>3.9369411535590753</v>
      </c>
      <c r="I1476" s="24">
        <f t="shared" si="71"/>
        <v>0.67650422842568103</v>
      </c>
      <c r="N1476" s="30">
        <v>37014.388888888891</v>
      </c>
    </row>
    <row r="1477" spans="1:14" x14ac:dyDescent="0.3">
      <c r="A1477">
        <v>22.470600000000001</v>
      </c>
      <c r="B1477">
        <v>50.423099999999998</v>
      </c>
      <c r="C1477">
        <f t="shared" si="69"/>
        <v>50.807699999999997</v>
      </c>
      <c r="D1477">
        <v>0.70776923076923082</v>
      </c>
      <c r="E1477">
        <f t="shared" si="70"/>
        <v>3.9280479179012859</v>
      </c>
      <c r="I1477" s="24">
        <f t="shared" si="71"/>
        <v>0.66849339109618588</v>
      </c>
      <c r="N1477" s="30">
        <v>37013.259259259255</v>
      </c>
    </row>
    <row r="1478" spans="1:14" x14ac:dyDescent="0.3">
      <c r="A1478">
        <v>22.485900000000001</v>
      </c>
      <c r="B1478">
        <v>50.076900000000002</v>
      </c>
      <c r="C1478">
        <f t="shared" si="69"/>
        <v>50.51538</v>
      </c>
      <c r="D1478">
        <v>0.70786153846153854</v>
      </c>
      <c r="E1478">
        <f t="shared" si="70"/>
        <v>3.9222778443694657</v>
      </c>
      <c r="I1478" s="24">
        <f t="shared" si="71"/>
        <v>0.66331626980465941</v>
      </c>
      <c r="N1478" s="30">
        <v>37012.129629629628</v>
      </c>
    </row>
    <row r="1479" spans="1:14" x14ac:dyDescent="0.3">
      <c r="A1479">
        <v>22.501100000000001</v>
      </c>
      <c r="B1479">
        <v>50.269199999999998</v>
      </c>
      <c r="C1479">
        <f t="shared" si="69"/>
        <v>50.361519999999999</v>
      </c>
      <c r="D1479">
        <v>0.70795384615384616</v>
      </c>
      <c r="E1479">
        <f t="shared" si="70"/>
        <v>3.9192273914053288</v>
      </c>
      <c r="I1479" s="24">
        <f t="shared" si="71"/>
        <v>0.66055491999183624</v>
      </c>
      <c r="N1479" s="30">
        <v>37011</v>
      </c>
    </row>
    <row r="1480" spans="1:14" x14ac:dyDescent="0.3">
      <c r="A1480">
        <v>22.516300000000001</v>
      </c>
      <c r="B1480">
        <v>50.576900000000002</v>
      </c>
      <c r="C1480">
        <f t="shared" si="69"/>
        <v>50.292279999999998</v>
      </c>
      <c r="D1480">
        <v>0.70804615384615377</v>
      </c>
      <c r="E1480">
        <f t="shared" si="70"/>
        <v>3.9178515862013188</v>
      </c>
      <c r="I1480" s="24">
        <f t="shared" si="71"/>
        <v>0.65926608560514066</v>
      </c>
      <c r="N1480" s="30">
        <v>37009.870370370365</v>
      </c>
    </row>
    <row r="1481" spans="1:14" x14ac:dyDescent="0.3">
      <c r="A1481">
        <v>22.531600000000001</v>
      </c>
      <c r="B1481">
        <v>50.461500000000001</v>
      </c>
      <c r="C1481">
        <f t="shared" si="69"/>
        <v>50.053820000000002</v>
      </c>
      <c r="D1481">
        <v>0.70813846153846149</v>
      </c>
      <c r="E1481">
        <f t="shared" si="70"/>
        <v>3.9130988265250499</v>
      </c>
      <c r="I1481" s="24">
        <f t="shared" si="71"/>
        <v>0.65504268907530627</v>
      </c>
      <c r="N1481" s="30">
        <v>37008.740740740737</v>
      </c>
    </row>
    <row r="1482" spans="1:14" x14ac:dyDescent="0.3">
      <c r="A1482">
        <v>22.546800000000001</v>
      </c>
      <c r="B1482">
        <v>50.076900000000002</v>
      </c>
      <c r="C1482">
        <f t="shared" si="69"/>
        <v>49.715359999999997</v>
      </c>
      <c r="D1482">
        <v>0.70823076923076922</v>
      </c>
      <c r="E1482">
        <f t="shared" si="70"/>
        <v>3.906313939681088</v>
      </c>
      <c r="I1482" s="24">
        <f t="shared" si="71"/>
        <v>0.64909653214924889</v>
      </c>
      <c r="N1482" s="30">
        <v>37007.611111111109</v>
      </c>
    </row>
    <row r="1483" spans="1:14" x14ac:dyDescent="0.3">
      <c r="A1483">
        <v>22.562000000000001</v>
      </c>
      <c r="B1483">
        <v>48.884599999999999</v>
      </c>
      <c r="C1483">
        <f t="shared" si="69"/>
        <v>49.269220000000004</v>
      </c>
      <c r="D1483">
        <v>0.70832307692307694</v>
      </c>
      <c r="E1483">
        <f t="shared" si="70"/>
        <v>3.8972995452959935</v>
      </c>
      <c r="I1483" s="24">
        <f t="shared" si="71"/>
        <v>0.64130736377935271</v>
      </c>
      <c r="N1483" s="30">
        <v>37006.481481481482</v>
      </c>
    </row>
    <row r="1484" spans="1:14" x14ac:dyDescent="0.3">
      <c r="A1484">
        <v>22.577300000000001</v>
      </c>
      <c r="B1484">
        <v>48.576900000000002</v>
      </c>
      <c r="C1484">
        <f t="shared" si="69"/>
        <v>48.884619999999998</v>
      </c>
      <c r="D1484">
        <v>0.70841538461538467</v>
      </c>
      <c r="E1484">
        <f t="shared" si="70"/>
        <v>3.8894628275818151</v>
      </c>
      <c r="I1484" s="24">
        <f t="shared" si="71"/>
        <v>0.63460099997490216</v>
      </c>
      <c r="N1484" s="30">
        <v>37005.351851851847</v>
      </c>
    </row>
    <row r="1485" spans="1:14" x14ac:dyDescent="0.3">
      <c r="A1485">
        <v>22.592500000000001</v>
      </c>
      <c r="B1485">
        <v>48.346200000000003</v>
      </c>
      <c r="C1485">
        <f t="shared" si="69"/>
        <v>48.7</v>
      </c>
      <c r="D1485">
        <v>0.70850769230769228</v>
      </c>
      <c r="E1485">
        <f t="shared" si="70"/>
        <v>3.8856790300885442</v>
      </c>
      <c r="I1485" s="24">
        <f t="shared" si="71"/>
        <v>0.63134558242194827</v>
      </c>
      <c r="N1485" s="30">
        <v>37004.222222222219</v>
      </c>
    </row>
    <row r="1486" spans="1:14" x14ac:dyDescent="0.3">
      <c r="A1486">
        <v>22.607700000000001</v>
      </c>
      <c r="B1486">
        <v>48.538499999999999</v>
      </c>
      <c r="C1486">
        <f t="shared" si="69"/>
        <v>48.761540000000004</v>
      </c>
      <c r="D1486">
        <v>0.70860000000000001</v>
      </c>
      <c r="E1486">
        <f t="shared" si="70"/>
        <v>3.8869418873793014</v>
      </c>
      <c r="I1486" s="24">
        <f t="shared" si="71"/>
        <v>0.63232034705452467</v>
      </c>
      <c r="N1486" s="30">
        <v>37003.092592592591</v>
      </c>
    </row>
    <row r="1487" spans="1:14" x14ac:dyDescent="0.3">
      <c r="A1487">
        <v>22.623000000000001</v>
      </c>
      <c r="B1487">
        <v>49.153799999999997</v>
      </c>
      <c r="C1487">
        <f t="shared" si="69"/>
        <v>48.761539999999997</v>
      </c>
      <c r="D1487">
        <v>0.70869230769230773</v>
      </c>
      <c r="E1487">
        <f t="shared" si="70"/>
        <v>3.8869418873793014</v>
      </c>
      <c r="I1487" s="24">
        <f t="shared" si="71"/>
        <v>0.63223798686604471</v>
      </c>
      <c r="N1487" s="30">
        <v>37001.962962962964</v>
      </c>
    </row>
    <row r="1488" spans="1:14" x14ac:dyDescent="0.3">
      <c r="A1488">
        <v>22.638200000000001</v>
      </c>
      <c r="B1488">
        <v>49.192300000000003</v>
      </c>
      <c r="C1488">
        <f t="shared" si="69"/>
        <v>48.676919999999996</v>
      </c>
      <c r="D1488">
        <v>0.70878461538461535</v>
      </c>
      <c r="E1488">
        <f t="shared" si="70"/>
        <v>3.8852049957807799</v>
      </c>
      <c r="I1488" s="24">
        <f t="shared" si="71"/>
        <v>0.63070270876908663</v>
      </c>
      <c r="N1488" s="30">
        <v>37000.833333333328</v>
      </c>
    </row>
    <row r="1489" spans="1:14" x14ac:dyDescent="0.3">
      <c r="A1489">
        <v>22.653400000000001</v>
      </c>
      <c r="B1489">
        <v>48.576900000000002</v>
      </c>
      <c r="C1489">
        <f t="shared" si="69"/>
        <v>48.653840000000002</v>
      </c>
      <c r="D1489">
        <v>0.70887692307692307</v>
      </c>
      <c r="E1489">
        <f t="shared" si="70"/>
        <v>3.8847307366579171</v>
      </c>
      <c r="I1489" s="24">
        <f t="shared" si="71"/>
        <v>0.63022448716311619</v>
      </c>
      <c r="N1489" s="30">
        <v>36999.703703703701</v>
      </c>
    </row>
    <row r="1490" spans="1:14" x14ac:dyDescent="0.3">
      <c r="A1490">
        <v>22.668700000000001</v>
      </c>
      <c r="B1490">
        <v>47.923099999999998</v>
      </c>
      <c r="C1490">
        <f t="shared" si="69"/>
        <v>48.461539999999999</v>
      </c>
      <c r="D1490">
        <v>0.7089692307692308</v>
      </c>
      <c r="E1490">
        <f t="shared" si="70"/>
        <v>3.8807704936700729</v>
      </c>
      <c r="I1490" s="24">
        <f t="shared" si="71"/>
        <v>0.62684502843477508</v>
      </c>
      <c r="N1490" s="30">
        <v>36998.574074074073</v>
      </c>
    </row>
    <row r="1491" spans="1:14" x14ac:dyDescent="0.3">
      <c r="A1491">
        <v>22.683900000000001</v>
      </c>
      <c r="B1491">
        <v>48.423099999999998</v>
      </c>
      <c r="C1491">
        <f t="shared" si="69"/>
        <v>48.230780000000003</v>
      </c>
      <c r="D1491">
        <v>0.70906153846153841</v>
      </c>
      <c r="E1491">
        <f t="shared" si="70"/>
        <v>3.8759974064568454</v>
      </c>
      <c r="I1491" s="24">
        <f t="shared" si="71"/>
        <v>0.62281266116730161</v>
      </c>
      <c r="N1491" s="30">
        <v>36997.444444444445</v>
      </c>
    </row>
    <row r="1492" spans="1:14" x14ac:dyDescent="0.3">
      <c r="A1492">
        <v>22.699100000000001</v>
      </c>
      <c r="B1492">
        <v>48.192300000000003</v>
      </c>
      <c r="C1492">
        <f t="shared" si="69"/>
        <v>48.06156</v>
      </c>
      <c r="D1492">
        <v>0.70915384615384613</v>
      </c>
      <c r="E1492">
        <f t="shared" si="70"/>
        <v>3.8724826892072448</v>
      </c>
      <c r="I1492" s="24">
        <f t="shared" si="71"/>
        <v>0.61983870894630422</v>
      </c>
      <c r="N1492" s="30">
        <v>36996.31481481481</v>
      </c>
    </row>
    <row r="1493" spans="1:14" x14ac:dyDescent="0.3">
      <c r="A1493">
        <v>22.714400000000001</v>
      </c>
      <c r="B1493">
        <v>48.038499999999999</v>
      </c>
      <c r="C1493">
        <f t="shared" si="69"/>
        <v>47.838480000000004</v>
      </c>
      <c r="D1493">
        <v>0.70924615384615386</v>
      </c>
      <c r="E1493">
        <f t="shared" si="70"/>
        <v>3.8678303365623665</v>
      </c>
      <c r="I1493" s="24">
        <f t="shared" si="71"/>
        <v>0.61594994558181071</v>
      </c>
      <c r="N1493" s="30">
        <v>36995.185185185182</v>
      </c>
    </row>
    <row r="1494" spans="1:14" x14ac:dyDescent="0.3">
      <c r="A1494">
        <v>22.729600000000001</v>
      </c>
      <c r="B1494">
        <v>47.730800000000002</v>
      </c>
      <c r="C1494">
        <f t="shared" si="69"/>
        <v>47.307699999999997</v>
      </c>
      <c r="D1494">
        <v>0.70933846153846158</v>
      </c>
      <c r="E1494">
        <f t="shared" si="70"/>
        <v>3.8566730729465939</v>
      </c>
      <c r="I1494" s="24">
        <f t="shared" si="71"/>
        <v>0.60683347941151944</v>
      </c>
      <c r="N1494" s="30">
        <v>36994.055555555555</v>
      </c>
    </row>
    <row r="1495" spans="1:14" x14ac:dyDescent="0.3">
      <c r="A1495">
        <v>22.744800000000001</v>
      </c>
      <c r="B1495">
        <v>46.807699999999997</v>
      </c>
      <c r="C1495">
        <f t="shared" si="69"/>
        <v>46.623080000000002</v>
      </c>
      <c r="D1495">
        <v>0.70943076923076931</v>
      </c>
      <c r="E1495">
        <f t="shared" si="70"/>
        <v>3.8420956974914109</v>
      </c>
      <c r="I1495" s="24">
        <f t="shared" si="71"/>
        <v>0.59514923489642291</v>
      </c>
      <c r="N1495" s="30">
        <v>36992.925925925927</v>
      </c>
    </row>
    <row r="1496" spans="1:14" x14ac:dyDescent="0.3">
      <c r="A1496">
        <v>22.760100000000001</v>
      </c>
      <c r="B1496">
        <v>45.769199999999998</v>
      </c>
      <c r="C1496">
        <f t="shared" si="69"/>
        <v>45.807680000000005</v>
      </c>
      <c r="D1496">
        <v>0.70952307692307692</v>
      </c>
      <c r="E1496">
        <f t="shared" si="70"/>
        <v>3.8244517626520023</v>
      </c>
      <c r="I1496" s="24">
        <f t="shared" si="71"/>
        <v>0.58132349823611096</v>
      </c>
      <c r="N1496" s="30">
        <v>36991.796296296292</v>
      </c>
    </row>
    <row r="1497" spans="1:14" x14ac:dyDescent="0.3">
      <c r="A1497">
        <v>22.775300000000001</v>
      </c>
      <c r="B1497">
        <v>44.769199999999998</v>
      </c>
      <c r="C1497">
        <f t="shared" si="69"/>
        <v>45.192279999999997</v>
      </c>
      <c r="D1497">
        <v>0.70961538461538465</v>
      </c>
      <c r="E1497">
        <f t="shared" si="70"/>
        <v>3.8109262757906319</v>
      </c>
      <c r="I1497" s="24">
        <f t="shared" si="71"/>
        <v>0.57092550824460131</v>
      </c>
      <c r="N1497" s="30">
        <v>36990.666666666664</v>
      </c>
    </row>
    <row r="1498" spans="1:14" x14ac:dyDescent="0.3">
      <c r="A1498">
        <v>22.790500000000002</v>
      </c>
      <c r="B1498">
        <v>43.961500000000001</v>
      </c>
      <c r="C1498">
        <f t="shared" si="69"/>
        <v>44.876899999999999</v>
      </c>
      <c r="D1498">
        <v>0.70970769230769226</v>
      </c>
      <c r="E1498">
        <f t="shared" si="70"/>
        <v>3.8039231857450067</v>
      </c>
      <c r="I1498" s="24">
        <f t="shared" si="71"/>
        <v>0.56557956049822256</v>
      </c>
      <c r="N1498" s="30">
        <v>36989.537037037036</v>
      </c>
    </row>
    <row r="1499" spans="1:14" x14ac:dyDescent="0.3">
      <c r="A1499">
        <v>22.805800000000001</v>
      </c>
      <c r="B1499">
        <v>44.653799999999997</v>
      </c>
      <c r="C1499">
        <f t="shared" si="69"/>
        <v>44.761519999999997</v>
      </c>
      <c r="D1499">
        <v>0.70979999999999999</v>
      </c>
      <c r="E1499">
        <f t="shared" si="70"/>
        <v>3.801348841759002</v>
      </c>
      <c r="I1499" s="24">
        <f t="shared" si="71"/>
        <v>0.56358064029770483</v>
      </c>
      <c r="N1499" s="30">
        <v>36988.407407407409</v>
      </c>
    </row>
    <row r="1500" spans="1:14" x14ac:dyDescent="0.3">
      <c r="A1500">
        <v>22.821000000000002</v>
      </c>
      <c r="B1500">
        <v>45.230800000000002</v>
      </c>
      <c r="C1500">
        <f t="shared" si="69"/>
        <v>44.75383999999999</v>
      </c>
      <c r="D1500">
        <v>0.70989230769230771</v>
      </c>
      <c r="E1500">
        <f t="shared" si="70"/>
        <v>3.8011772510952579</v>
      </c>
      <c r="I1500" s="24">
        <f t="shared" si="71"/>
        <v>0.56337927379331276</v>
      </c>
      <c r="N1500" s="30">
        <v>36987.277777777774</v>
      </c>
    </row>
    <row r="1501" spans="1:14" x14ac:dyDescent="0.3">
      <c r="A1501">
        <v>22.836200000000002</v>
      </c>
      <c r="B1501">
        <v>45.192300000000003</v>
      </c>
      <c r="C1501">
        <f t="shared" si="69"/>
        <v>44.815380000000005</v>
      </c>
      <c r="D1501">
        <v>0.70998461538461544</v>
      </c>
      <c r="E1501">
        <f t="shared" si="70"/>
        <v>3.8025513840771805</v>
      </c>
      <c r="I1501" s="24">
        <f t="shared" si="71"/>
        <v>0.56433243200442662</v>
      </c>
      <c r="N1501" s="30">
        <v>36986.148148148146</v>
      </c>
    </row>
    <row r="1502" spans="1:14" x14ac:dyDescent="0.3">
      <c r="A1502">
        <v>22.851500000000001</v>
      </c>
      <c r="B1502">
        <v>44.730800000000002</v>
      </c>
      <c r="C1502">
        <f t="shared" si="69"/>
        <v>44.723080000000003</v>
      </c>
      <c r="D1502">
        <v>0.71007692307692305</v>
      </c>
      <c r="E1502">
        <f t="shared" si="70"/>
        <v>3.8004896994626862</v>
      </c>
      <c r="I1502" s="24">
        <f t="shared" si="71"/>
        <v>0.562720001465015</v>
      </c>
      <c r="N1502" s="30">
        <v>36985.018518518518</v>
      </c>
    </row>
    <row r="1503" spans="1:14" x14ac:dyDescent="0.3">
      <c r="A1503">
        <v>22.866700000000002</v>
      </c>
      <c r="B1503">
        <v>44.269199999999998</v>
      </c>
      <c r="C1503">
        <f t="shared" si="69"/>
        <v>44.469219999999993</v>
      </c>
      <c r="D1503">
        <v>0.71016923076923077</v>
      </c>
      <c r="E1503">
        <f t="shared" si="70"/>
        <v>3.7947972644542296</v>
      </c>
      <c r="I1503" s="24">
        <f t="shared" si="71"/>
        <v>0.55841970833899202</v>
      </c>
      <c r="N1503" s="30">
        <v>36983.888888888891</v>
      </c>
    </row>
    <row r="1504" spans="1:14" x14ac:dyDescent="0.3">
      <c r="A1504">
        <v>22.881900000000002</v>
      </c>
      <c r="B1504">
        <v>44.192300000000003</v>
      </c>
      <c r="C1504">
        <f t="shared" si="69"/>
        <v>44.146139999999995</v>
      </c>
      <c r="D1504">
        <v>0.7102615384615385</v>
      </c>
      <c r="E1504">
        <f t="shared" si="70"/>
        <v>3.7875054940092387</v>
      </c>
      <c r="I1504" s="24">
        <f t="shared" si="71"/>
        <v>0.55297939268100871</v>
      </c>
      <c r="N1504" s="30">
        <v>36982.759259259255</v>
      </c>
    </row>
    <row r="1505" spans="1:14" x14ac:dyDescent="0.3">
      <c r="A1505">
        <v>22.897200000000002</v>
      </c>
      <c r="B1505">
        <v>43.961500000000001</v>
      </c>
      <c r="C1505">
        <f t="shared" si="69"/>
        <v>43.961519999999993</v>
      </c>
      <c r="D1505">
        <v>0.71035384615384622</v>
      </c>
      <c r="E1505">
        <f t="shared" si="70"/>
        <v>3.7833147058257337</v>
      </c>
      <c r="I1505" s="24">
        <f t="shared" si="71"/>
        <v>0.54984632249350573</v>
      </c>
      <c r="N1505" s="30">
        <v>36981.629629629628</v>
      </c>
    </row>
    <row r="1506" spans="1:14" x14ac:dyDescent="0.3">
      <c r="A1506">
        <v>22.912400000000002</v>
      </c>
      <c r="B1506">
        <v>43.576900000000002</v>
      </c>
      <c r="C1506">
        <f t="shared" si="69"/>
        <v>43.923060000000007</v>
      </c>
      <c r="D1506">
        <v>0.71044615384615395</v>
      </c>
      <c r="E1506">
        <f t="shared" si="70"/>
        <v>3.7824394669054326</v>
      </c>
      <c r="I1506" s="24">
        <f t="shared" si="71"/>
        <v>0.54913777778628148</v>
      </c>
      <c r="N1506" s="30">
        <v>36980.5</v>
      </c>
    </row>
    <row r="1507" spans="1:14" x14ac:dyDescent="0.3">
      <c r="A1507">
        <v>22.927600000000002</v>
      </c>
      <c r="B1507">
        <v>43.807699999999997</v>
      </c>
      <c r="C1507">
        <f t="shared" si="69"/>
        <v>44.030760000000001</v>
      </c>
      <c r="D1507">
        <v>0.71053846153846156</v>
      </c>
      <c r="E1507">
        <f t="shared" si="70"/>
        <v>3.7848884805771315</v>
      </c>
      <c r="I1507" s="24">
        <f t="shared" si="71"/>
        <v>0.55085075144860463</v>
      </c>
      <c r="N1507" s="30">
        <v>36979.370370370365</v>
      </c>
    </row>
    <row r="1508" spans="1:14" x14ac:dyDescent="0.3">
      <c r="A1508">
        <v>22.942900000000002</v>
      </c>
      <c r="B1508">
        <v>44.076900000000002</v>
      </c>
      <c r="C1508">
        <f t="shared" si="69"/>
        <v>44.330759999999998</v>
      </c>
      <c r="D1508">
        <v>0.71063076923076918</v>
      </c>
      <c r="E1508">
        <f t="shared" si="70"/>
        <v>3.7916787927561795</v>
      </c>
      <c r="I1508" s="24">
        <f t="shared" si="71"/>
        <v>0.55575625378226667</v>
      </c>
      <c r="N1508" s="30">
        <v>36978.240740740737</v>
      </c>
    </row>
    <row r="1509" spans="1:14" x14ac:dyDescent="0.3">
      <c r="A1509">
        <v>22.958100000000002</v>
      </c>
      <c r="B1509">
        <v>44.730800000000002</v>
      </c>
      <c r="C1509">
        <f t="shared" si="69"/>
        <v>44.869220000000006</v>
      </c>
      <c r="D1509">
        <v>0.7107230769230769</v>
      </c>
      <c r="E1509">
        <f t="shared" si="70"/>
        <v>3.8037520362843114</v>
      </c>
      <c r="I1509" s="24">
        <f t="shared" si="71"/>
        <v>0.56464349612121167</v>
      </c>
      <c r="N1509" s="30">
        <v>36977.111111111109</v>
      </c>
    </row>
    <row r="1510" spans="1:14" x14ac:dyDescent="0.3">
      <c r="A1510">
        <v>22.973400000000002</v>
      </c>
      <c r="B1510">
        <v>45.461500000000001</v>
      </c>
      <c r="C1510">
        <f t="shared" si="69"/>
        <v>45.592300000000009</v>
      </c>
      <c r="D1510">
        <v>0.71081538461538463</v>
      </c>
      <c r="E1510">
        <f t="shared" si="70"/>
        <v>3.8197388426128223</v>
      </c>
      <c r="I1510" s="24">
        <f t="shared" si="71"/>
        <v>0.57665490494818461</v>
      </c>
      <c r="N1510" s="30">
        <v>36975.981481481482</v>
      </c>
    </row>
    <row r="1511" spans="1:14" x14ac:dyDescent="0.3">
      <c r="A1511">
        <v>22.988600000000002</v>
      </c>
      <c r="B1511">
        <v>46.269199999999998</v>
      </c>
      <c r="C1511">
        <f t="shared" si="69"/>
        <v>46.615380000000002</v>
      </c>
      <c r="D1511">
        <v>0.71090769230769235</v>
      </c>
      <c r="E1511">
        <f t="shared" si="70"/>
        <v>3.8419305295978718</v>
      </c>
      <c r="I1511" s="24">
        <f t="shared" si="71"/>
        <v>0.5937828595537924</v>
      </c>
      <c r="N1511" s="30">
        <v>36974.851851851847</v>
      </c>
    </row>
    <row r="1512" spans="1:14" x14ac:dyDescent="0.3">
      <c r="A1512">
        <v>23.003799999999998</v>
      </c>
      <c r="B1512">
        <v>47.423099999999998</v>
      </c>
      <c r="C1512">
        <f t="shared" si="69"/>
        <v>47.81537999999999</v>
      </c>
      <c r="D1512" s="8">
        <v>0.71100000000000008</v>
      </c>
      <c r="E1512">
        <f t="shared" si="70"/>
        <v>3.8673473450667997</v>
      </c>
      <c r="I1512" s="24">
        <f t="shared" si="71"/>
        <v>0.61403753423266272</v>
      </c>
      <c r="N1512" s="30">
        <v>36973.722222222219</v>
      </c>
    </row>
    <row r="1513" spans="1:14" x14ac:dyDescent="0.3">
      <c r="A1513">
        <v>23.019100000000002</v>
      </c>
      <c r="B1513">
        <v>49.192300000000003</v>
      </c>
      <c r="C1513">
        <f t="shared" si="69"/>
        <v>49.469239999999992</v>
      </c>
      <c r="D1513">
        <v>0.71127272727272728</v>
      </c>
      <c r="E1513">
        <f t="shared" si="70"/>
        <v>3.9013510622754382</v>
      </c>
      <c r="I1513" s="24">
        <f t="shared" si="71"/>
        <v>0.64208498633378408</v>
      </c>
      <c r="N1513" s="30">
        <v>36972.592592592591</v>
      </c>
    </row>
    <row r="1514" spans="1:14" x14ac:dyDescent="0.3">
      <c r="A1514">
        <v>23.034300000000002</v>
      </c>
      <c r="B1514">
        <v>50.730800000000002</v>
      </c>
      <c r="C1514">
        <f t="shared" si="69"/>
        <v>50.938479999999998</v>
      </c>
      <c r="D1514">
        <v>0.71154545454545448</v>
      </c>
      <c r="E1514">
        <f t="shared" si="70"/>
        <v>3.9306186300798127</v>
      </c>
      <c r="I1514" s="24">
        <f t="shared" si="71"/>
        <v>0.66721410014550619</v>
      </c>
      <c r="N1514" s="30">
        <v>36971.462962962964</v>
      </c>
    </row>
    <row r="1515" spans="1:14" x14ac:dyDescent="0.3">
      <c r="A1515">
        <v>23.049499999999998</v>
      </c>
      <c r="B1515">
        <v>53.730800000000002</v>
      </c>
      <c r="C1515">
        <f t="shared" si="69"/>
        <v>52.107700000000001</v>
      </c>
      <c r="D1515">
        <v>0.71181818181818179</v>
      </c>
      <c r="E1515">
        <f t="shared" si="70"/>
        <v>3.953312730545389</v>
      </c>
      <c r="I1515" s="24">
        <f t="shared" si="71"/>
        <v>0.687315144906256</v>
      </c>
      <c r="N1515" s="30">
        <v>36970.333333333328</v>
      </c>
    </row>
    <row r="1516" spans="1:14" x14ac:dyDescent="0.3">
      <c r="A1516">
        <v>23.064800000000002</v>
      </c>
      <c r="B1516">
        <v>53.615400000000001</v>
      </c>
      <c r="C1516">
        <f t="shared" si="69"/>
        <v>52.761540000000004</v>
      </c>
      <c r="D1516">
        <v>0.71209090909090911</v>
      </c>
      <c r="E1516">
        <f t="shared" si="70"/>
        <v>3.9657825162025082</v>
      </c>
      <c r="I1516" s="24">
        <f t="shared" si="71"/>
        <v>0.69849625479886757</v>
      </c>
      <c r="N1516" s="30">
        <v>36969.203703703701</v>
      </c>
    </row>
    <row r="1517" spans="1:14" x14ac:dyDescent="0.3">
      <c r="A1517">
        <v>23.08</v>
      </c>
      <c r="B1517">
        <v>53.269199999999998</v>
      </c>
      <c r="C1517">
        <f t="shared" si="69"/>
        <v>52.884620000000005</v>
      </c>
      <c r="D1517">
        <v>0.71236363636363642</v>
      </c>
      <c r="E1517">
        <f t="shared" si="70"/>
        <v>3.9681125593519133</v>
      </c>
      <c r="I1517" s="24">
        <f t="shared" si="71"/>
        <v>0.7003874881390022</v>
      </c>
      <c r="N1517" s="30">
        <v>36968.074074074073</v>
      </c>
    </row>
    <row r="1518" spans="1:14" x14ac:dyDescent="0.3">
      <c r="A1518">
        <v>23.095199999999998</v>
      </c>
      <c r="B1518">
        <v>52.461500000000001</v>
      </c>
      <c r="C1518">
        <f t="shared" si="69"/>
        <v>52.146160000000009</v>
      </c>
      <c r="D1518">
        <v>0.71263636363636373</v>
      </c>
      <c r="E1518">
        <f t="shared" si="70"/>
        <v>3.9540505449868824</v>
      </c>
      <c r="I1518" s="24">
        <f t="shared" si="71"/>
        <v>0.68719741197379969</v>
      </c>
      <c r="N1518" s="30">
        <v>36966.944444444445</v>
      </c>
    </row>
    <row r="1519" spans="1:14" x14ac:dyDescent="0.3">
      <c r="A1519">
        <v>23.110499999999998</v>
      </c>
      <c r="B1519">
        <v>51.346200000000003</v>
      </c>
      <c r="C1519">
        <f t="shared" si="69"/>
        <v>51.2</v>
      </c>
      <c r="D1519">
        <v>0.71290909090909094</v>
      </c>
      <c r="E1519">
        <f t="shared" si="70"/>
        <v>3.9357395320454622</v>
      </c>
      <c r="I1519" s="24">
        <f t="shared" si="71"/>
        <v>0.67047106404883916</v>
      </c>
      <c r="N1519" s="30">
        <v>36965.81481481481</v>
      </c>
    </row>
    <row r="1520" spans="1:14" x14ac:dyDescent="0.3">
      <c r="A1520">
        <v>23.125699999999998</v>
      </c>
      <c r="B1520">
        <v>50.038499999999999</v>
      </c>
      <c r="C1520">
        <f t="shared" si="69"/>
        <v>50.153860000000002</v>
      </c>
      <c r="D1520">
        <v>0.71318181818181814</v>
      </c>
      <c r="E1520">
        <f t="shared" si="70"/>
        <v>3.9150954805386977</v>
      </c>
      <c r="I1520" s="24">
        <f t="shared" si="71"/>
        <v>0.65213319264300651</v>
      </c>
      <c r="N1520" s="30">
        <v>36964.685185185182</v>
      </c>
    </row>
    <row r="1521" spans="1:14" x14ac:dyDescent="0.3">
      <c r="A1521">
        <v>23.140899999999998</v>
      </c>
      <c r="B1521">
        <v>48.884599999999999</v>
      </c>
      <c r="C1521">
        <f t="shared" si="69"/>
        <v>49.338480000000004</v>
      </c>
      <c r="D1521">
        <v>0.71345454545454545</v>
      </c>
      <c r="E1521">
        <f t="shared" si="70"/>
        <v>3.898704303978926</v>
      </c>
      <c r="I1521" s="24">
        <f t="shared" si="71"/>
        <v>0.63788081622810544</v>
      </c>
      <c r="N1521" s="30">
        <v>36963.555555555555</v>
      </c>
    </row>
    <row r="1522" spans="1:14" x14ac:dyDescent="0.3">
      <c r="A1522">
        <v>23.156199999999998</v>
      </c>
      <c r="B1522">
        <v>48.038499999999999</v>
      </c>
      <c r="C1522">
        <f t="shared" si="69"/>
        <v>48.584620000000001</v>
      </c>
      <c r="D1522">
        <v>0.71372727272727277</v>
      </c>
      <c r="E1522">
        <f t="shared" si="70"/>
        <v>3.8833070199167792</v>
      </c>
      <c r="I1522" s="24">
        <f t="shared" si="71"/>
        <v>0.62476210519853836</v>
      </c>
      <c r="N1522" s="30">
        <v>36962.425925925927</v>
      </c>
    </row>
    <row r="1523" spans="1:14" x14ac:dyDescent="0.3">
      <c r="A1523">
        <v>23.171399999999998</v>
      </c>
      <c r="B1523">
        <v>48.384599999999999</v>
      </c>
      <c r="C1523">
        <f t="shared" si="69"/>
        <v>47.930759999999999</v>
      </c>
      <c r="D1523">
        <v>0.71399999999999997</v>
      </c>
      <c r="E1523">
        <f t="shared" si="70"/>
        <v>3.8697574695031611</v>
      </c>
      <c r="I1523" s="24">
        <f t="shared" si="71"/>
        <v>0.61341300764536633</v>
      </c>
      <c r="N1523" s="30">
        <v>36961.296296296292</v>
      </c>
    </row>
    <row r="1524" spans="1:14" x14ac:dyDescent="0.3">
      <c r="A1524">
        <v>23.186599999999999</v>
      </c>
      <c r="B1524">
        <v>47.576900000000002</v>
      </c>
      <c r="C1524">
        <f t="shared" si="69"/>
        <v>47.515380000000007</v>
      </c>
      <c r="D1524">
        <v>0.71427272727272728</v>
      </c>
      <c r="E1524">
        <f t="shared" si="70"/>
        <v>3.861053448105781</v>
      </c>
      <c r="I1524" s="24">
        <f t="shared" si="71"/>
        <v>0.60614878254292759</v>
      </c>
      <c r="N1524" s="30">
        <v>36960.166666666664</v>
      </c>
    </row>
    <row r="1525" spans="1:14" x14ac:dyDescent="0.3">
      <c r="A1525">
        <v>23.201899999999998</v>
      </c>
      <c r="B1525">
        <v>46.769199999999998</v>
      </c>
      <c r="C1525">
        <f t="shared" si="69"/>
        <v>47.376920000000005</v>
      </c>
      <c r="D1525">
        <v>0.71454545454545459</v>
      </c>
      <c r="E1525">
        <f t="shared" si="70"/>
        <v>3.8581351902858509</v>
      </c>
      <c r="I1525" s="24">
        <f t="shared" si="71"/>
        <v>0.60357940828475942</v>
      </c>
      <c r="N1525" s="30">
        <v>36959.037037037036</v>
      </c>
    </row>
    <row r="1526" spans="1:14" x14ac:dyDescent="0.3">
      <c r="A1526">
        <v>23.217099999999999</v>
      </c>
      <c r="B1526">
        <v>46.807699999999997</v>
      </c>
      <c r="C1526">
        <f t="shared" si="69"/>
        <v>47.246159999999996</v>
      </c>
      <c r="D1526">
        <v>0.7148181818181818</v>
      </c>
      <c r="E1526">
        <f t="shared" si="70"/>
        <v>3.8553713807959094</v>
      </c>
      <c r="I1526" s="24">
        <f t="shared" si="71"/>
        <v>0.60114400216035435</v>
      </c>
      <c r="N1526" s="30">
        <v>36957.907407407409</v>
      </c>
    </row>
    <row r="1527" spans="1:14" x14ac:dyDescent="0.3">
      <c r="A1527">
        <v>23.232299999999999</v>
      </c>
      <c r="B1527">
        <v>47.346200000000003</v>
      </c>
      <c r="C1527">
        <f t="shared" si="69"/>
        <v>47.192320000000009</v>
      </c>
      <c r="D1527">
        <v>0.71509090909090911</v>
      </c>
      <c r="E1527">
        <f t="shared" si="70"/>
        <v>3.8542311674880918</v>
      </c>
      <c r="I1527" s="24">
        <f t="shared" si="71"/>
        <v>0.60000770362241429</v>
      </c>
      <c r="N1527" s="30">
        <v>36956.777777777774</v>
      </c>
    </row>
    <row r="1528" spans="1:14" x14ac:dyDescent="0.3">
      <c r="A1528">
        <v>23.247599999999998</v>
      </c>
      <c r="B1528">
        <v>47.730800000000002</v>
      </c>
      <c r="C1528">
        <f t="shared" si="69"/>
        <v>47.215400000000002</v>
      </c>
      <c r="D1528">
        <v>0.71536363636363631</v>
      </c>
      <c r="E1528">
        <f t="shared" si="70"/>
        <v>3.8547201105630817</v>
      </c>
      <c r="I1528" s="24">
        <f t="shared" si="71"/>
        <v>0.60016758871909559</v>
      </c>
      <c r="N1528" s="30">
        <v>36955.648148148146</v>
      </c>
    </row>
    <row r="1529" spans="1:14" x14ac:dyDescent="0.3">
      <c r="A1529">
        <v>23.262799999999999</v>
      </c>
      <c r="B1529">
        <v>47.307699999999997</v>
      </c>
      <c r="C1529">
        <f t="shared" si="69"/>
        <v>47.123100000000008</v>
      </c>
      <c r="D1529">
        <v>0.71563636363636363</v>
      </c>
      <c r="E1529">
        <f t="shared" si="70"/>
        <v>3.8527633266529833</v>
      </c>
      <c r="I1529" s="24">
        <f t="shared" si="71"/>
        <v>0.59838563053330152</v>
      </c>
      <c r="N1529" s="30">
        <v>36954.518518518518</v>
      </c>
    </row>
    <row r="1530" spans="1:14" x14ac:dyDescent="0.3">
      <c r="A1530">
        <v>23.277999999999999</v>
      </c>
      <c r="B1530">
        <v>46.884599999999999</v>
      </c>
      <c r="C1530">
        <f t="shared" ref="C1530:C1593" si="72">AVERAGE(B1528:B1532)</f>
        <v>46.861560000000004</v>
      </c>
      <c r="D1530">
        <v>0.71590909090909094</v>
      </c>
      <c r="E1530">
        <f t="shared" ref="E1530:E1593" si="73">LN(C1530)</f>
        <v>3.847197723178537</v>
      </c>
      <c r="I1530" s="24">
        <f t="shared" ref="I1530:I1593" si="74">(0.0026*(EXP(1.3248*E1530)))/D1530</f>
        <v>0.59376349100362646</v>
      </c>
      <c r="N1530" s="30">
        <v>36953.388888888891</v>
      </c>
    </row>
    <row r="1531" spans="1:14" x14ac:dyDescent="0.3">
      <c r="A1531">
        <v>23.293299999999999</v>
      </c>
      <c r="B1531">
        <v>46.346200000000003</v>
      </c>
      <c r="C1531">
        <f t="shared" si="72"/>
        <v>46.57694</v>
      </c>
      <c r="D1531">
        <v>0.71618181818181825</v>
      </c>
      <c r="E1531">
        <f t="shared" si="73"/>
        <v>3.8411055688676301</v>
      </c>
      <c r="I1531" s="24">
        <f t="shared" si="74"/>
        <v>0.58876628833689204</v>
      </c>
      <c r="N1531" s="30">
        <v>36952.259259259255</v>
      </c>
    </row>
    <row r="1532" spans="1:14" x14ac:dyDescent="0.3">
      <c r="A1532">
        <v>23.308499999999999</v>
      </c>
      <c r="B1532">
        <v>46.038499999999999</v>
      </c>
      <c r="C1532">
        <f t="shared" si="72"/>
        <v>46.446159999999999</v>
      </c>
      <c r="D1532">
        <v>0.71645454545454546</v>
      </c>
      <c r="E1532">
        <f t="shared" si="73"/>
        <v>3.8382937923053961</v>
      </c>
      <c r="I1532" s="24">
        <f t="shared" si="74"/>
        <v>0.58635390134747467</v>
      </c>
      <c r="N1532" s="30">
        <v>36951.129629629628</v>
      </c>
    </row>
    <row r="1533" spans="1:14" x14ac:dyDescent="0.3">
      <c r="A1533">
        <v>23.323699999999999</v>
      </c>
      <c r="B1533">
        <v>46.307699999999997</v>
      </c>
      <c r="C1533">
        <f t="shared" si="72"/>
        <v>46.423080000000006</v>
      </c>
      <c r="D1533">
        <v>0.71672727272727266</v>
      </c>
      <c r="E1533">
        <f t="shared" si="73"/>
        <v>3.8377967493560807</v>
      </c>
      <c r="I1533" s="25">
        <f t="shared" si="74"/>
        <v>0.58574495360646195</v>
      </c>
      <c r="N1533" s="30">
        <v>36950</v>
      </c>
    </row>
    <row r="1534" spans="1:14" x14ac:dyDescent="0.3">
      <c r="A1534">
        <v>23.338999999999999</v>
      </c>
      <c r="B1534">
        <v>46.653799999999997</v>
      </c>
      <c r="C1534">
        <f t="shared" si="72"/>
        <v>46.4846</v>
      </c>
      <c r="D1534">
        <v>0.71699999999999997</v>
      </c>
      <c r="E1534">
        <f t="shared" si="73"/>
        <v>3.8391210749444782</v>
      </c>
      <c r="I1534" s="24">
        <f t="shared" si="74"/>
        <v>0.58655033289341962</v>
      </c>
      <c r="N1534" s="30">
        <v>36934.8125</v>
      </c>
    </row>
    <row r="1535" spans="1:14" x14ac:dyDescent="0.3">
      <c r="A1535">
        <v>23.354199999999999</v>
      </c>
      <c r="B1535">
        <v>46.769199999999998</v>
      </c>
      <c r="C1535">
        <f t="shared" si="72"/>
        <v>46.630740000000003</v>
      </c>
      <c r="D1535">
        <v>0.71727272727272728</v>
      </c>
      <c r="E1535">
        <f t="shared" si="73"/>
        <v>3.8422599803061463</v>
      </c>
      <c r="I1535" s="24">
        <f t="shared" si="74"/>
        <v>0.5887705827930646</v>
      </c>
      <c r="N1535" s="30">
        <v>36919.625</v>
      </c>
    </row>
    <row r="1536" spans="1:14" x14ac:dyDescent="0.3">
      <c r="A1536">
        <v>23.369399999999999</v>
      </c>
      <c r="B1536">
        <v>46.653799999999997</v>
      </c>
      <c r="C1536">
        <f t="shared" si="72"/>
        <v>46.799959999999999</v>
      </c>
      <c r="D1536">
        <v>0.7175454545454546</v>
      </c>
      <c r="E1536">
        <f t="shared" si="73"/>
        <v>3.8458823482223812</v>
      </c>
      <c r="I1536" s="24">
        <f t="shared" si="74"/>
        <v>0.59137797348428767</v>
      </c>
      <c r="N1536" s="30">
        <v>36904.4375</v>
      </c>
    </row>
    <row r="1537" spans="1:18" x14ac:dyDescent="0.3">
      <c r="A1537">
        <v>23.384699999999999</v>
      </c>
      <c r="B1537">
        <v>46.769199999999998</v>
      </c>
      <c r="C1537">
        <f t="shared" si="72"/>
        <v>47.230740000000004</v>
      </c>
      <c r="D1537">
        <v>0.7178181818181818</v>
      </c>
      <c r="E1537">
        <f t="shared" si="73"/>
        <v>3.8550449517929062</v>
      </c>
      <c r="I1537" s="24">
        <f t="shared" si="74"/>
        <v>0.59837279805417842</v>
      </c>
      <c r="N1537" s="30">
        <v>36889.25</v>
      </c>
      <c r="O1537">
        <v>2000</v>
      </c>
      <c r="P1537" s="24">
        <f>AVERAGE(I1537:I1637)</f>
        <v>0.62470719277071884</v>
      </c>
      <c r="Q1537">
        <f>A1637-A1537</f>
        <v>1.5234000000000023</v>
      </c>
      <c r="R1537">
        <f>P1537*Q1537</f>
        <v>0.95167893746691457</v>
      </c>
    </row>
    <row r="1538" spans="1:18" x14ac:dyDescent="0.3">
      <c r="A1538">
        <v>23.399899999999999</v>
      </c>
      <c r="B1538">
        <v>47.153799999999997</v>
      </c>
      <c r="C1538">
        <f t="shared" si="72"/>
        <v>47.638440000000003</v>
      </c>
      <c r="D1538">
        <v>0.71809090909090911</v>
      </c>
      <c r="E1538">
        <f t="shared" si="73"/>
        <v>3.8636399983590111</v>
      </c>
      <c r="I1538" s="24">
        <f t="shared" si="74"/>
        <v>0.60499537808306869</v>
      </c>
      <c r="N1538" s="30">
        <v>36874.0625</v>
      </c>
    </row>
    <row r="1539" spans="1:18" x14ac:dyDescent="0.3">
      <c r="A1539">
        <v>23.415099999999999</v>
      </c>
      <c r="B1539">
        <v>48.807699999999997</v>
      </c>
      <c r="C1539">
        <f t="shared" si="72"/>
        <v>48.138440000000003</v>
      </c>
      <c r="D1539">
        <v>0.71836363636363632</v>
      </c>
      <c r="E1539">
        <f t="shared" si="73"/>
        <v>3.8740810263458521</v>
      </c>
      <c r="I1539" s="24">
        <f t="shared" si="74"/>
        <v>0.61318909895961027</v>
      </c>
      <c r="N1539" s="30">
        <v>36858.875</v>
      </c>
    </row>
    <row r="1540" spans="1:18" x14ac:dyDescent="0.3">
      <c r="A1540">
        <v>23.430399999999999</v>
      </c>
      <c r="B1540">
        <v>48.807699999999997</v>
      </c>
      <c r="C1540">
        <f t="shared" si="72"/>
        <v>48.761520000000004</v>
      </c>
      <c r="D1540">
        <v>0.71863636363636363</v>
      </c>
      <c r="E1540">
        <f t="shared" si="73"/>
        <v>3.8869414772198989</v>
      </c>
      <c r="I1540" s="24">
        <f t="shared" si="74"/>
        <v>0.62348912068407047</v>
      </c>
      <c r="N1540" s="30">
        <v>36843.6875</v>
      </c>
    </row>
    <row r="1541" spans="1:18" x14ac:dyDescent="0.3">
      <c r="A1541">
        <v>23.445599999999999</v>
      </c>
      <c r="B1541">
        <v>49.153799999999997</v>
      </c>
      <c r="C1541">
        <f t="shared" si="72"/>
        <v>49.44614</v>
      </c>
      <c r="D1541">
        <v>0.71890909090909094</v>
      </c>
      <c r="E1541">
        <f t="shared" si="73"/>
        <v>3.9008839963768907</v>
      </c>
      <c r="I1541" s="24">
        <f t="shared" si="74"/>
        <v>0.6348716997988969</v>
      </c>
      <c r="N1541" s="30">
        <v>36828.5</v>
      </c>
    </row>
    <row r="1542" spans="1:18" x14ac:dyDescent="0.3">
      <c r="A1542">
        <v>23.460799999999999</v>
      </c>
      <c r="B1542">
        <v>49.884599999999999</v>
      </c>
      <c r="C1542">
        <f t="shared" si="72"/>
        <v>49.846140000000005</v>
      </c>
      <c r="D1542">
        <v>0.71918181818181814</v>
      </c>
      <c r="E1542">
        <f t="shared" si="73"/>
        <v>3.9089410611129218</v>
      </c>
      <c r="I1542" s="24">
        <f t="shared" si="74"/>
        <v>0.64144127688685348</v>
      </c>
      <c r="N1542" s="30">
        <v>36813.3125</v>
      </c>
    </row>
    <row r="1543" spans="1:18" x14ac:dyDescent="0.3">
      <c r="A1543">
        <v>23.476099999999999</v>
      </c>
      <c r="B1543">
        <v>50.576900000000002</v>
      </c>
      <c r="C1543">
        <f t="shared" si="72"/>
        <v>50.184600000000003</v>
      </c>
      <c r="D1543">
        <v>0.71945454545454546</v>
      </c>
      <c r="E1543">
        <f t="shared" si="73"/>
        <v>3.915708206724883</v>
      </c>
      <c r="I1543" s="24">
        <f t="shared" si="74"/>
        <v>0.64697238186160355</v>
      </c>
      <c r="N1543" s="30">
        <v>36798.125</v>
      </c>
    </row>
    <row r="1544" spans="1:18" x14ac:dyDescent="0.3">
      <c r="A1544">
        <v>23.491299999999999</v>
      </c>
      <c r="B1544">
        <v>50.807699999999997</v>
      </c>
      <c r="C1544">
        <f t="shared" si="72"/>
        <v>50.392299999999999</v>
      </c>
      <c r="D1544">
        <v>0.71972727272727277</v>
      </c>
      <c r="E1544">
        <f t="shared" si="73"/>
        <v>3.9198383856278318</v>
      </c>
      <c r="I1544" s="24">
        <f t="shared" si="74"/>
        <v>0.65027559472573049</v>
      </c>
      <c r="N1544" s="30">
        <v>36782.9375</v>
      </c>
    </row>
    <row r="1545" spans="1:18" x14ac:dyDescent="0.3">
      <c r="A1545">
        <v>23.506599999999999</v>
      </c>
      <c r="B1545">
        <v>50.5</v>
      </c>
      <c r="C1545">
        <f t="shared" si="72"/>
        <v>50.607680000000002</v>
      </c>
      <c r="D1545">
        <v>0.72</v>
      </c>
      <c r="E1545">
        <f t="shared" si="73"/>
        <v>3.9241033434323316</v>
      </c>
      <c r="I1545" s="24">
        <f t="shared" si="74"/>
        <v>0.65371247974889723</v>
      </c>
      <c r="N1545" s="30">
        <v>36767.75</v>
      </c>
    </row>
    <row r="1546" spans="1:18" x14ac:dyDescent="0.3">
      <c r="A1546">
        <v>23.521799999999999</v>
      </c>
      <c r="B1546">
        <v>50.192300000000003</v>
      </c>
      <c r="C1546">
        <f t="shared" si="72"/>
        <v>50.723059999999997</v>
      </c>
      <c r="D1546">
        <v>0.72027272727272729</v>
      </c>
      <c r="E1546">
        <f t="shared" si="73"/>
        <v>3.9263806395393988</v>
      </c>
      <c r="I1546" s="24">
        <f t="shared" si="74"/>
        <v>0.65543941093728841</v>
      </c>
      <c r="N1546" s="30">
        <v>36752.5625</v>
      </c>
    </row>
    <row r="1547" spans="1:18" x14ac:dyDescent="0.3">
      <c r="A1547">
        <v>23.536999999999999</v>
      </c>
      <c r="B1547">
        <v>50.961500000000001</v>
      </c>
      <c r="C1547">
        <f t="shared" si="72"/>
        <v>50.799979999999991</v>
      </c>
      <c r="D1547">
        <v>0.72054545454545449</v>
      </c>
      <c r="E1547">
        <f t="shared" si="73"/>
        <v>3.9278959608835713</v>
      </c>
      <c r="I1547" s="24">
        <f t="shared" si="74"/>
        <v>0.65650794257757639</v>
      </c>
      <c r="N1547" s="30">
        <v>36737.375</v>
      </c>
    </row>
    <row r="1548" spans="1:18" x14ac:dyDescent="0.3">
      <c r="A1548">
        <v>23.552299999999999</v>
      </c>
      <c r="B1548">
        <v>51.153799999999997</v>
      </c>
      <c r="C1548">
        <f t="shared" si="72"/>
        <v>50.93844</v>
      </c>
      <c r="D1548">
        <v>0.7208181818181818</v>
      </c>
      <c r="E1548">
        <f t="shared" si="73"/>
        <v>3.9306178448185389</v>
      </c>
      <c r="I1548" s="24">
        <f t="shared" si="74"/>
        <v>0.65863025968281586</v>
      </c>
      <c r="N1548" s="30">
        <v>36722.1875</v>
      </c>
    </row>
    <row r="1549" spans="1:18" x14ac:dyDescent="0.3">
      <c r="A1549">
        <v>23.567499999999999</v>
      </c>
      <c r="B1549">
        <v>51.192300000000003</v>
      </c>
      <c r="C1549">
        <f t="shared" si="72"/>
        <v>51.123059999999995</v>
      </c>
      <c r="D1549">
        <v>0.72109090909090912</v>
      </c>
      <c r="E1549">
        <f t="shared" si="73"/>
        <v>3.9342356674327212</v>
      </c>
      <c r="I1549" s="24">
        <f t="shared" si="74"/>
        <v>0.66154427953222572</v>
      </c>
      <c r="J1549">
        <v>2000</v>
      </c>
      <c r="K1549">
        <f>AVERAGE(I1549:I1661)</f>
        <v>0.66200910320756201</v>
      </c>
      <c r="L1549">
        <f>A1661-A1549</f>
        <v>1.7062000000000026</v>
      </c>
      <c r="M1549">
        <f>K1549*L1549</f>
        <v>1.129519931892744</v>
      </c>
      <c r="N1549" s="30">
        <v>36707</v>
      </c>
    </row>
    <row r="1550" spans="1:18" x14ac:dyDescent="0.3">
      <c r="A1550">
        <v>23.582699999999999</v>
      </c>
      <c r="B1550">
        <v>51.192300000000003</v>
      </c>
      <c r="C1550">
        <f t="shared" si="72"/>
        <v>51.084600000000002</v>
      </c>
      <c r="D1550">
        <v>0.72136363636363643</v>
      </c>
      <c r="E1550">
        <f t="shared" si="73"/>
        <v>3.9334830819256221</v>
      </c>
      <c r="I1550" s="24">
        <f t="shared" si="74"/>
        <v>0.66063516984390425</v>
      </c>
      <c r="N1550" s="30">
        <v>36705.493827160499</v>
      </c>
    </row>
    <row r="1551" spans="1:18" x14ac:dyDescent="0.3">
      <c r="A1551">
        <v>23.597999999999999</v>
      </c>
      <c r="B1551">
        <v>51.115400000000001</v>
      </c>
      <c r="C1551">
        <f t="shared" si="72"/>
        <v>50.94614</v>
      </c>
      <c r="D1551">
        <v>0.72163636363636363</v>
      </c>
      <c r="E1551">
        <f t="shared" si="73"/>
        <v>3.9307689962492001</v>
      </c>
      <c r="I1551" s="24">
        <f t="shared" si="74"/>
        <v>0.65801526470488325</v>
      </c>
      <c r="N1551" s="30">
        <v>36703.98765432099</v>
      </c>
    </row>
    <row r="1552" spans="1:18" x14ac:dyDescent="0.3">
      <c r="A1552">
        <v>23.613199999999999</v>
      </c>
      <c r="B1552">
        <v>50.769199999999998</v>
      </c>
      <c r="C1552">
        <f t="shared" si="72"/>
        <v>50.769220000000004</v>
      </c>
      <c r="D1552">
        <v>0.72190909090909083</v>
      </c>
      <c r="E1552">
        <f t="shared" si="73"/>
        <v>3.9272902654377</v>
      </c>
      <c r="I1552" s="24">
        <f t="shared" si="74"/>
        <v>0.65474225185008983</v>
      </c>
      <c r="N1552" s="30">
        <v>36702.481481481482</v>
      </c>
    </row>
    <row r="1553" spans="1:14" x14ac:dyDescent="0.3">
      <c r="A1553">
        <v>23.628399999999999</v>
      </c>
      <c r="B1553">
        <v>50.461500000000001</v>
      </c>
      <c r="C1553">
        <f t="shared" si="72"/>
        <v>50.4846</v>
      </c>
      <c r="D1553">
        <v>0.72218181818181815</v>
      </c>
      <c r="E1553">
        <f t="shared" si="73"/>
        <v>3.9216683392794072</v>
      </c>
      <c r="I1553" s="24">
        <f t="shared" si="74"/>
        <v>0.64963846922511759</v>
      </c>
      <c r="N1553" s="30">
        <v>36700.975308641981</v>
      </c>
    </row>
    <row r="1554" spans="1:14" x14ac:dyDescent="0.3">
      <c r="A1554">
        <v>23.643699999999999</v>
      </c>
      <c r="B1554">
        <v>50.307699999999997</v>
      </c>
      <c r="C1554">
        <f t="shared" si="72"/>
        <v>50.215359999999997</v>
      </c>
      <c r="D1554">
        <v>0.72245454545454546</v>
      </c>
      <c r="E1554">
        <f t="shared" si="73"/>
        <v>3.9163209559921617</v>
      </c>
      <c r="I1554" s="24">
        <f t="shared" si="74"/>
        <v>0.64480904671950456</v>
      </c>
      <c r="N1554" s="30">
        <v>36699.469135802472</v>
      </c>
    </row>
    <row r="1555" spans="1:14" x14ac:dyDescent="0.3">
      <c r="A1555">
        <v>23.658899999999999</v>
      </c>
      <c r="B1555">
        <v>49.769199999999998</v>
      </c>
      <c r="C1555">
        <f t="shared" si="72"/>
        <v>50.007679999999993</v>
      </c>
      <c r="D1555">
        <v>0.72272727272727277</v>
      </c>
      <c r="E1555">
        <f t="shared" si="73"/>
        <v>3.9121765936328736</v>
      </c>
      <c r="I1555" s="24">
        <f t="shared" si="74"/>
        <v>0.6410364633501402</v>
      </c>
      <c r="N1555" s="30">
        <v>36697.962962962964</v>
      </c>
    </row>
    <row r="1556" spans="1:14" x14ac:dyDescent="0.3">
      <c r="A1556">
        <v>23.674099999999999</v>
      </c>
      <c r="B1556">
        <v>49.769199999999998</v>
      </c>
      <c r="C1556">
        <f t="shared" si="72"/>
        <v>49.830759999999991</v>
      </c>
      <c r="D1556">
        <v>0.72299999999999998</v>
      </c>
      <c r="E1556">
        <f t="shared" si="73"/>
        <v>3.9086324640333161</v>
      </c>
      <c r="I1556" s="24">
        <f t="shared" si="74"/>
        <v>0.63779300696072028</v>
      </c>
      <c r="N1556" s="30">
        <v>36696.456790123462</v>
      </c>
    </row>
    <row r="1557" spans="1:14" x14ac:dyDescent="0.3">
      <c r="A1557">
        <v>23.689399999999999</v>
      </c>
      <c r="B1557">
        <v>49.730800000000002</v>
      </c>
      <c r="C1557">
        <f t="shared" si="72"/>
        <v>49.715380000000003</v>
      </c>
      <c r="D1557">
        <v>0.72327272727272729</v>
      </c>
      <c r="E1557">
        <f t="shared" si="73"/>
        <v>3.9063143419711648</v>
      </c>
      <c r="I1557" s="24">
        <f t="shared" si="74"/>
        <v>0.6355975608356027</v>
      </c>
      <c r="N1557" s="30">
        <v>36694.950617283954</v>
      </c>
    </row>
    <row r="1558" spans="1:14" x14ac:dyDescent="0.3">
      <c r="A1558">
        <v>23.704599999999999</v>
      </c>
      <c r="B1558">
        <v>49.576900000000002</v>
      </c>
      <c r="C1558">
        <f t="shared" si="72"/>
        <v>49.707700000000003</v>
      </c>
      <c r="D1558">
        <v>0.72354545454545449</v>
      </c>
      <c r="E1558">
        <f t="shared" si="73"/>
        <v>3.9061598506797002</v>
      </c>
      <c r="I1558" s="24">
        <f t="shared" si="74"/>
        <v>0.63522795846664915</v>
      </c>
      <c r="N1558" s="30">
        <v>36693.444444444445</v>
      </c>
    </row>
    <row r="1559" spans="1:14" x14ac:dyDescent="0.3">
      <c r="A1559">
        <v>23.719799999999999</v>
      </c>
      <c r="B1559">
        <v>49.730800000000002</v>
      </c>
      <c r="C1559">
        <f t="shared" si="72"/>
        <v>49.738479999999996</v>
      </c>
      <c r="D1559">
        <v>0.72381818181818181</v>
      </c>
      <c r="E1559">
        <f t="shared" si="73"/>
        <v>3.9067788790020126</v>
      </c>
      <c r="I1559" s="24">
        <f t="shared" si="74"/>
        <v>0.63550957166806654</v>
      </c>
      <c r="N1559" s="30">
        <v>36691.938271604944</v>
      </c>
    </row>
    <row r="1560" spans="1:14" x14ac:dyDescent="0.3">
      <c r="A1560">
        <v>23.735099999999999</v>
      </c>
      <c r="B1560">
        <v>49.730800000000002</v>
      </c>
      <c r="C1560">
        <f t="shared" si="72"/>
        <v>49.784620000000004</v>
      </c>
      <c r="D1560">
        <v>0.72409090909090912</v>
      </c>
      <c r="E1560">
        <f t="shared" si="73"/>
        <v>3.9077061009897869</v>
      </c>
      <c r="I1560" s="24">
        <f t="shared" si="74"/>
        <v>0.6360510434108877</v>
      </c>
      <c r="N1560" s="30">
        <v>36690.432098765436</v>
      </c>
    </row>
    <row r="1561" spans="1:14" x14ac:dyDescent="0.3">
      <c r="A1561">
        <v>23.750299999999999</v>
      </c>
      <c r="B1561">
        <v>49.923099999999998</v>
      </c>
      <c r="C1561">
        <f t="shared" si="72"/>
        <v>49.923080000000006</v>
      </c>
      <c r="D1561">
        <v>0.72436363636363632</v>
      </c>
      <c r="E1561">
        <f t="shared" si="73"/>
        <v>3.9104834208758334</v>
      </c>
      <c r="I1561" s="24">
        <f t="shared" si="74"/>
        <v>0.63815527630415703</v>
      </c>
      <c r="N1561" s="30">
        <v>36688.925925925927</v>
      </c>
    </row>
    <row r="1562" spans="1:14" x14ac:dyDescent="0.3">
      <c r="A1562">
        <v>23.765499999999999</v>
      </c>
      <c r="B1562">
        <v>49.961500000000001</v>
      </c>
      <c r="C1562">
        <f t="shared" si="72"/>
        <v>50.123079999999995</v>
      </c>
      <c r="D1562">
        <v>0.72463636363636363</v>
      </c>
      <c r="E1562">
        <f t="shared" si="73"/>
        <v>3.9144815806537054</v>
      </c>
      <c r="I1562" s="24">
        <f t="shared" si="74"/>
        <v>0.64130294631547458</v>
      </c>
      <c r="N1562" s="30">
        <v>36687.419753086418</v>
      </c>
    </row>
    <row r="1563" spans="1:14" x14ac:dyDescent="0.3">
      <c r="A1563">
        <v>23.780799999999999</v>
      </c>
      <c r="B1563">
        <v>50.269199999999998</v>
      </c>
      <c r="C1563">
        <f t="shared" si="72"/>
        <v>50.45384</v>
      </c>
      <c r="D1563">
        <v>0.72490909090909095</v>
      </c>
      <c r="E1563">
        <f t="shared" si="73"/>
        <v>3.9210588588683333</v>
      </c>
      <c r="I1563" s="24">
        <f t="shared" si="74"/>
        <v>0.64667202219215147</v>
      </c>
      <c r="N1563" s="30">
        <v>36685.913580246917</v>
      </c>
    </row>
    <row r="1564" spans="1:14" x14ac:dyDescent="0.3">
      <c r="A1564">
        <v>23.795999999999999</v>
      </c>
      <c r="B1564">
        <v>50.730800000000002</v>
      </c>
      <c r="C1564">
        <f t="shared" si="72"/>
        <v>50.930759999999999</v>
      </c>
      <c r="D1564">
        <v>0.72518181818181815</v>
      </c>
      <c r="E1564">
        <f t="shared" si="73"/>
        <v>3.9304670632277428</v>
      </c>
      <c r="I1564" s="24">
        <f t="shared" si="74"/>
        <v>0.65453632373615001</v>
      </c>
      <c r="N1564" s="30">
        <v>36684.407407407409</v>
      </c>
    </row>
    <row r="1565" spans="1:14" x14ac:dyDescent="0.3">
      <c r="A1565">
        <v>23.811199999999999</v>
      </c>
      <c r="B1565">
        <v>51.384599999999999</v>
      </c>
      <c r="C1565">
        <f t="shared" si="72"/>
        <v>51.515379999999993</v>
      </c>
      <c r="D1565">
        <v>0.72545454545454546</v>
      </c>
      <c r="E1565">
        <f t="shared" si="73"/>
        <v>3.9418804038621089</v>
      </c>
      <c r="I1565" s="24">
        <f t="shared" si="74"/>
        <v>0.66425855610039186</v>
      </c>
      <c r="N1565" s="30">
        <v>36682.9012345679</v>
      </c>
    </row>
    <row r="1566" spans="1:14" x14ac:dyDescent="0.3">
      <c r="A1566">
        <v>23.826499999999999</v>
      </c>
      <c r="B1566">
        <v>52.307699999999997</v>
      </c>
      <c r="C1566">
        <f t="shared" si="72"/>
        <v>52.092300000000002</v>
      </c>
      <c r="D1566">
        <v>0.72572727272727267</v>
      </c>
      <c r="E1566">
        <f t="shared" si="73"/>
        <v>3.9530171451305689</v>
      </c>
      <c r="I1566" s="24">
        <f t="shared" si="74"/>
        <v>0.67387831362625106</v>
      </c>
      <c r="N1566" s="30">
        <v>36681.395061728399</v>
      </c>
    </row>
    <row r="1567" spans="1:14" x14ac:dyDescent="0.3">
      <c r="A1567">
        <v>23.841699999999999</v>
      </c>
      <c r="B1567">
        <v>52.884599999999999</v>
      </c>
      <c r="C1567">
        <f t="shared" si="72"/>
        <v>52.515379999999993</v>
      </c>
      <c r="D1567">
        <v>0.72599999999999998</v>
      </c>
      <c r="E1567">
        <f t="shared" si="73"/>
        <v>3.9611060790763601</v>
      </c>
      <c r="I1567" s="24">
        <f t="shared" si="74"/>
        <v>0.68088269872527063</v>
      </c>
      <c r="N1567" s="30">
        <v>36679.888888888891</v>
      </c>
    </row>
    <row r="1568" spans="1:14" x14ac:dyDescent="0.3">
      <c r="A1568">
        <v>23.8569</v>
      </c>
      <c r="B1568">
        <v>53.153799999999997</v>
      </c>
      <c r="C1568">
        <f t="shared" si="72"/>
        <v>52.7</v>
      </c>
      <c r="D1568">
        <v>0.72627272727272729</v>
      </c>
      <c r="E1568">
        <f t="shared" si="73"/>
        <v>3.9646154555473165</v>
      </c>
      <c r="I1568" s="24">
        <f t="shared" si="74"/>
        <v>0.68379876959175423</v>
      </c>
      <c r="N1568" s="30">
        <v>36678.382716049382</v>
      </c>
    </row>
    <row r="1569" spans="1:14" x14ac:dyDescent="0.3">
      <c r="A1569">
        <v>23.872199999999999</v>
      </c>
      <c r="B1569">
        <v>52.846200000000003</v>
      </c>
      <c r="C1569">
        <f t="shared" si="72"/>
        <v>52.415379999999992</v>
      </c>
      <c r="D1569">
        <v>0.72654545454545461</v>
      </c>
      <c r="E1569">
        <f t="shared" si="73"/>
        <v>3.9592000597113191</v>
      </c>
      <c r="I1569" s="24">
        <f t="shared" si="74"/>
        <v>0.67865569039629314</v>
      </c>
      <c r="N1569" s="30">
        <v>36676.876543209881</v>
      </c>
    </row>
    <row r="1570" spans="1:14" x14ac:dyDescent="0.3">
      <c r="A1570">
        <v>23.8874</v>
      </c>
      <c r="B1570">
        <v>52.307699999999997</v>
      </c>
      <c r="C1570">
        <f t="shared" si="72"/>
        <v>51.74616000000001</v>
      </c>
      <c r="D1570">
        <v>0.72681818181818181</v>
      </c>
      <c r="E1570">
        <f t="shared" si="73"/>
        <v>3.9463502264937564</v>
      </c>
      <c r="I1570" s="24">
        <f t="shared" si="74"/>
        <v>0.66695004736129837</v>
      </c>
      <c r="N1570" s="30">
        <v>36675.370370370372</v>
      </c>
    </row>
    <row r="1571" spans="1:14" x14ac:dyDescent="0.3">
      <c r="A1571">
        <v>23.9026</v>
      </c>
      <c r="B1571">
        <v>50.884599999999999</v>
      </c>
      <c r="C1571">
        <f t="shared" si="72"/>
        <v>50.669240000000002</v>
      </c>
      <c r="D1571">
        <v>0.72709090909090901</v>
      </c>
      <c r="E1571">
        <f t="shared" si="73"/>
        <v>3.9253190203621093</v>
      </c>
      <c r="I1571" s="24">
        <f t="shared" si="74"/>
        <v>0.64838058441654778</v>
      </c>
      <c r="N1571" s="30">
        <v>36673.864197530864</v>
      </c>
    </row>
    <row r="1572" spans="1:14" x14ac:dyDescent="0.3">
      <c r="A1572">
        <v>23.917899999999999</v>
      </c>
      <c r="B1572">
        <v>49.538499999999999</v>
      </c>
      <c r="C1572">
        <f t="shared" si="72"/>
        <v>49.338459999999998</v>
      </c>
      <c r="D1572">
        <v>0.72736363636363632</v>
      </c>
      <c r="E1572">
        <f t="shared" si="73"/>
        <v>3.8987038986157274</v>
      </c>
      <c r="I1572" s="24">
        <f t="shared" si="74"/>
        <v>0.62568253435361942</v>
      </c>
      <c r="N1572" s="30">
        <v>36672.358024691363</v>
      </c>
    </row>
    <row r="1573" spans="1:14" x14ac:dyDescent="0.3">
      <c r="A1573">
        <v>23.9331</v>
      </c>
      <c r="B1573">
        <v>47.769199999999998</v>
      </c>
      <c r="C1573">
        <f t="shared" si="72"/>
        <v>47.930759999999999</v>
      </c>
      <c r="D1573">
        <v>0.72763636363636364</v>
      </c>
      <c r="E1573">
        <f t="shared" si="73"/>
        <v>3.8697574695031611</v>
      </c>
      <c r="I1573" s="24">
        <f t="shared" si="74"/>
        <v>0.6019172616250259</v>
      </c>
      <c r="N1573" s="30">
        <v>36670.851851851854</v>
      </c>
    </row>
    <row r="1574" spans="1:14" x14ac:dyDescent="0.3">
      <c r="A1574">
        <v>23.9483</v>
      </c>
      <c r="B1574">
        <v>46.192300000000003</v>
      </c>
      <c r="C1574">
        <f t="shared" si="72"/>
        <v>46.615380000000002</v>
      </c>
      <c r="D1574">
        <v>0.72790909090909095</v>
      </c>
      <c r="E1574">
        <f t="shared" si="73"/>
        <v>3.8419305295978718</v>
      </c>
      <c r="I1574" s="24">
        <f t="shared" si="74"/>
        <v>0.57991417841760218</v>
      </c>
      <c r="N1574" s="30">
        <v>36669.345679012345</v>
      </c>
    </row>
    <row r="1575" spans="1:14" x14ac:dyDescent="0.3">
      <c r="A1575">
        <v>23.9636</v>
      </c>
      <c r="B1575">
        <v>45.269199999999998</v>
      </c>
      <c r="C1575">
        <f t="shared" si="72"/>
        <v>45.399980000000006</v>
      </c>
      <c r="D1575">
        <v>0.72818181818181815</v>
      </c>
      <c r="E1575">
        <f t="shared" si="73"/>
        <v>3.8155116645185712</v>
      </c>
      <c r="I1575" s="24">
        <f t="shared" si="74"/>
        <v>0.55975870665479954</v>
      </c>
      <c r="N1575" s="30">
        <v>36667.839506172844</v>
      </c>
    </row>
    <row r="1576" spans="1:14" x14ac:dyDescent="0.3">
      <c r="A1576">
        <v>23.9788</v>
      </c>
      <c r="B1576">
        <v>44.307699999999997</v>
      </c>
      <c r="C1576">
        <f t="shared" si="72"/>
        <v>44.415380000000006</v>
      </c>
      <c r="D1576">
        <v>0.72845454545454547</v>
      </c>
      <c r="E1576">
        <f t="shared" si="73"/>
        <v>3.793585805853195</v>
      </c>
      <c r="I1576" s="24">
        <f t="shared" si="74"/>
        <v>0.54352949331840439</v>
      </c>
      <c r="N1576" s="30">
        <v>36666.333333333336</v>
      </c>
    </row>
    <row r="1577" spans="1:14" x14ac:dyDescent="0.3">
      <c r="A1577">
        <v>23.9941</v>
      </c>
      <c r="B1577">
        <v>43.461500000000001</v>
      </c>
      <c r="C1577">
        <f t="shared" si="72"/>
        <v>43.746160000000003</v>
      </c>
      <c r="D1577">
        <v>0.72872727272727267</v>
      </c>
      <c r="E1577">
        <f t="shared" si="73"/>
        <v>3.778403837522915</v>
      </c>
      <c r="I1577" s="24">
        <f t="shared" si="74"/>
        <v>0.53250728456999086</v>
      </c>
      <c r="N1577" s="30">
        <v>36664.827160493827</v>
      </c>
    </row>
    <row r="1578" spans="1:14" x14ac:dyDescent="0.3">
      <c r="A1578">
        <v>24.0093</v>
      </c>
      <c r="B1578">
        <v>42.846200000000003</v>
      </c>
      <c r="C1578">
        <f t="shared" si="72"/>
        <v>43.100020000000001</v>
      </c>
      <c r="D1578" s="8">
        <v>0.72899999999999998</v>
      </c>
      <c r="E1578">
        <f t="shared" si="73"/>
        <v>3.7635234611467174</v>
      </c>
      <c r="I1578" s="24">
        <f t="shared" si="74"/>
        <v>0.52191715757684698</v>
      </c>
      <c r="N1578" s="30">
        <v>36663.320987654326</v>
      </c>
    </row>
    <row r="1579" spans="1:14" x14ac:dyDescent="0.3">
      <c r="A1579">
        <v>24.0245</v>
      </c>
      <c r="B1579">
        <v>42.846200000000003</v>
      </c>
      <c r="C1579">
        <f t="shared" si="72"/>
        <v>42.523100000000007</v>
      </c>
      <c r="D1579">
        <v>0.72869696969696973</v>
      </c>
      <c r="E1579">
        <f t="shared" si="73"/>
        <v>3.7500474576835274</v>
      </c>
      <c r="I1579" s="24">
        <f t="shared" si="74"/>
        <v>0.51289524820431054</v>
      </c>
      <c r="N1579" s="30">
        <v>36661.814814814818</v>
      </c>
    </row>
    <row r="1580" spans="1:14" x14ac:dyDescent="0.3">
      <c r="A1580">
        <v>24.0398</v>
      </c>
      <c r="B1580">
        <v>42.038499999999999</v>
      </c>
      <c r="C1580">
        <f t="shared" si="72"/>
        <v>41.992339999999999</v>
      </c>
      <c r="D1580">
        <v>0.72839393939393937</v>
      </c>
      <c r="E1580">
        <f t="shared" si="73"/>
        <v>3.7374872206975591</v>
      </c>
      <c r="I1580" s="24">
        <f t="shared" si="74"/>
        <v>0.50464124284549694</v>
      </c>
      <c r="N1580" s="30">
        <v>36660.308641975309</v>
      </c>
    </row>
    <row r="1581" spans="1:14" x14ac:dyDescent="0.3">
      <c r="A1581">
        <v>24.055</v>
      </c>
      <c r="B1581">
        <v>41.423099999999998</v>
      </c>
      <c r="C1581">
        <f t="shared" si="72"/>
        <v>41.400019999999998</v>
      </c>
      <c r="D1581">
        <v>0.72809090909090912</v>
      </c>
      <c r="E1581">
        <f t="shared" si="73"/>
        <v>3.7232813639229394</v>
      </c>
      <c r="I1581" s="24">
        <f t="shared" si="74"/>
        <v>0.4954388618664155</v>
      </c>
      <c r="N1581" s="30">
        <v>36658.802469135808</v>
      </c>
    </row>
    <row r="1582" spans="1:14" x14ac:dyDescent="0.3">
      <c r="A1582">
        <v>24.0702</v>
      </c>
      <c r="B1582">
        <v>40.807699999999997</v>
      </c>
      <c r="C1582">
        <f t="shared" si="72"/>
        <v>40.5077</v>
      </c>
      <c r="D1582">
        <v>0.72778787878787876</v>
      </c>
      <c r="E1582">
        <f t="shared" si="73"/>
        <v>3.7014920794981094</v>
      </c>
      <c r="I1582" s="24">
        <f t="shared" si="74"/>
        <v>0.48154216643681796</v>
      </c>
      <c r="N1582" s="30">
        <v>36657.296296296299</v>
      </c>
    </row>
    <row r="1583" spans="1:14" x14ac:dyDescent="0.3">
      <c r="A1583">
        <v>24.0855</v>
      </c>
      <c r="B1583">
        <v>39.884599999999999</v>
      </c>
      <c r="C1583">
        <f t="shared" si="72"/>
        <v>39.52308</v>
      </c>
      <c r="D1583">
        <v>0.7274848484848484</v>
      </c>
      <c r="E1583">
        <f t="shared" si="73"/>
        <v>3.6768848050655474</v>
      </c>
      <c r="I1583" s="24">
        <f t="shared" si="74"/>
        <v>0.46629129796370267</v>
      </c>
      <c r="N1583" s="30">
        <v>36655.790123456791</v>
      </c>
    </row>
    <row r="1584" spans="1:14" x14ac:dyDescent="0.3">
      <c r="A1584">
        <v>24.1007</v>
      </c>
      <c r="B1584">
        <v>38.384599999999999</v>
      </c>
      <c r="C1584">
        <f t="shared" si="72"/>
        <v>38.576919999999994</v>
      </c>
      <c r="D1584">
        <v>0.72718181818181815</v>
      </c>
      <c r="E1584">
        <f t="shared" si="73"/>
        <v>3.6526541701797322</v>
      </c>
      <c r="I1584" s="24">
        <f t="shared" si="74"/>
        <v>0.45174887023831101</v>
      </c>
      <c r="N1584" s="30">
        <v>36654.28395061729</v>
      </c>
    </row>
    <row r="1585" spans="1:14" x14ac:dyDescent="0.3">
      <c r="A1585">
        <v>24.1159</v>
      </c>
      <c r="B1585">
        <v>37.115400000000001</v>
      </c>
      <c r="C1585">
        <f t="shared" si="72"/>
        <v>37.730760000000004</v>
      </c>
      <c r="D1585">
        <v>0.7268787878787879</v>
      </c>
      <c r="E1585">
        <f t="shared" si="73"/>
        <v>3.6304756768955331</v>
      </c>
      <c r="I1585" s="24">
        <f t="shared" si="74"/>
        <v>0.43885153478405525</v>
      </c>
      <c r="N1585" s="30">
        <v>36652.777777777781</v>
      </c>
    </row>
    <row r="1586" spans="1:14" x14ac:dyDescent="0.3">
      <c r="A1586">
        <v>24.1312</v>
      </c>
      <c r="B1586">
        <v>36.692300000000003</v>
      </c>
      <c r="C1586">
        <f t="shared" si="72"/>
        <v>37.261540000000004</v>
      </c>
      <c r="D1586">
        <v>0.72657575757575754</v>
      </c>
      <c r="E1586">
        <f t="shared" si="73"/>
        <v>3.6179616955055911</v>
      </c>
      <c r="I1586" s="24">
        <f t="shared" si="74"/>
        <v>0.43181602227916571</v>
      </c>
      <c r="N1586" s="30">
        <v>36651.271604938273</v>
      </c>
    </row>
    <row r="1587" spans="1:14" x14ac:dyDescent="0.3">
      <c r="A1587">
        <v>24.1464</v>
      </c>
      <c r="B1587">
        <v>36.576900000000002</v>
      </c>
      <c r="C1587">
        <f t="shared" si="72"/>
        <v>37.47692</v>
      </c>
      <c r="D1587">
        <v>0.72627272727272729</v>
      </c>
      <c r="E1587">
        <f t="shared" si="73"/>
        <v>3.6237252768323409</v>
      </c>
      <c r="I1587" s="24">
        <f t="shared" si="74"/>
        <v>0.43530736556255278</v>
      </c>
      <c r="N1587" s="30">
        <v>36649.765432098771</v>
      </c>
    </row>
    <row r="1588" spans="1:14" x14ac:dyDescent="0.3">
      <c r="A1588">
        <v>24.1616</v>
      </c>
      <c r="B1588">
        <v>37.538499999999999</v>
      </c>
      <c r="C1588">
        <f t="shared" si="72"/>
        <v>38.338460000000005</v>
      </c>
      <c r="D1588">
        <v>0.72596969696969693</v>
      </c>
      <c r="E1588">
        <f t="shared" si="73"/>
        <v>3.6464535698832949</v>
      </c>
      <c r="I1588" s="24">
        <f t="shared" si="74"/>
        <v>0.44880124988279746</v>
      </c>
      <c r="N1588" s="30">
        <v>36648.259259259263</v>
      </c>
    </row>
    <row r="1589" spans="1:14" x14ac:dyDescent="0.3">
      <c r="A1589">
        <v>24.1769</v>
      </c>
      <c r="B1589">
        <v>39.461500000000001</v>
      </c>
      <c r="C1589">
        <f t="shared" si="72"/>
        <v>39.646159999999995</v>
      </c>
      <c r="D1589">
        <v>0.72566666666666668</v>
      </c>
      <c r="E1589">
        <f t="shared" si="73"/>
        <v>3.6799940959759629</v>
      </c>
      <c r="I1589" s="24">
        <f t="shared" si="74"/>
        <v>0.46938913181432329</v>
      </c>
      <c r="N1589" s="30">
        <v>36646.753086419754</v>
      </c>
    </row>
    <row r="1590" spans="1:14" x14ac:dyDescent="0.3">
      <c r="A1590">
        <v>24.1921</v>
      </c>
      <c r="B1590">
        <v>41.423099999999998</v>
      </c>
      <c r="C1590">
        <f t="shared" si="72"/>
        <v>41.330780000000004</v>
      </c>
      <c r="D1590">
        <v>0.72536363636363643</v>
      </c>
      <c r="E1590">
        <f t="shared" si="73"/>
        <v>3.7216075008352747</v>
      </c>
      <c r="I1590" s="24">
        <f t="shared" si="74"/>
        <v>0.49620008601554988</v>
      </c>
      <c r="N1590" s="30">
        <v>36645.246913580246</v>
      </c>
    </row>
    <row r="1591" spans="1:14" x14ac:dyDescent="0.3">
      <c r="A1591">
        <v>24.2073</v>
      </c>
      <c r="B1591">
        <v>43.230800000000002</v>
      </c>
      <c r="C1591">
        <f t="shared" si="72"/>
        <v>43.053840000000001</v>
      </c>
      <c r="D1591">
        <v>0.72506060606060607</v>
      </c>
      <c r="E1591">
        <f t="shared" si="73"/>
        <v>3.7624514255020527</v>
      </c>
      <c r="I1591" s="24">
        <f t="shared" si="74"/>
        <v>0.52400809181009966</v>
      </c>
      <c r="N1591" s="30">
        <v>36643.740740740745</v>
      </c>
    </row>
    <row r="1592" spans="1:14" x14ac:dyDescent="0.3">
      <c r="A1592">
        <v>24.2226</v>
      </c>
      <c r="B1592">
        <v>45</v>
      </c>
      <c r="C1592">
        <f t="shared" si="72"/>
        <v>44.54616</v>
      </c>
      <c r="D1592">
        <v>0.72475757575757571</v>
      </c>
      <c r="E1592">
        <f t="shared" si="73"/>
        <v>3.7965259549155959</v>
      </c>
      <c r="I1592" s="24">
        <f t="shared" si="74"/>
        <v>0.54843407903034869</v>
      </c>
      <c r="N1592" s="30">
        <v>36642.234567901236</v>
      </c>
    </row>
    <row r="1593" spans="1:14" x14ac:dyDescent="0.3">
      <c r="A1593">
        <v>24.2378</v>
      </c>
      <c r="B1593">
        <v>46.153799999999997</v>
      </c>
      <c r="C1593">
        <f t="shared" si="72"/>
        <v>45.723080000000003</v>
      </c>
      <c r="D1593">
        <v>0.72445454545454546</v>
      </c>
      <c r="E1593">
        <f t="shared" si="73"/>
        <v>3.8226032032367616</v>
      </c>
      <c r="I1593" s="24">
        <f t="shared" si="74"/>
        <v>0.56794945498455207</v>
      </c>
      <c r="N1593" s="30">
        <v>36640.728395061727</v>
      </c>
    </row>
    <row r="1594" spans="1:14" x14ac:dyDescent="0.3">
      <c r="A1594">
        <v>24.253</v>
      </c>
      <c r="B1594">
        <v>46.923099999999998</v>
      </c>
      <c r="C1594">
        <f t="shared" ref="C1594:C1657" si="75">AVERAGE(B1592:B1596)</f>
        <v>46.54616</v>
      </c>
      <c r="D1594">
        <v>0.7241515151515151</v>
      </c>
      <c r="E1594">
        <f t="shared" ref="E1594:E1657" si="76">LN(C1594)</f>
        <v>3.8404445083762826</v>
      </c>
      <c r="I1594" s="24">
        <f t="shared" ref="I1594:I1657" si="77">(0.0026*(EXP(1.3248*E1594)))/D1594</f>
        <v>0.58177685475956131</v>
      </c>
      <c r="N1594" s="30">
        <v>36639.222222222226</v>
      </c>
    </row>
    <row r="1595" spans="1:14" x14ac:dyDescent="0.3">
      <c r="A1595">
        <v>24.2683</v>
      </c>
      <c r="B1595">
        <v>47.307699999999997</v>
      </c>
      <c r="C1595">
        <f t="shared" si="75"/>
        <v>47.02308</v>
      </c>
      <c r="D1595">
        <v>0.72384848484848485</v>
      </c>
      <c r="E1595">
        <f t="shared" si="76"/>
        <v>3.8506385450074609</v>
      </c>
      <c r="I1595" s="24">
        <f t="shared" si="77"/>
        <v>0.58993394501006102</v>
      </c>
      <c r="N1595" s="30">
        <v>36637.716049382718</v>
      </c>
    </row>
    <row r="1596" spans="1:14" x14ac:dyDescent="0.3">
      <c r="A1596">
        <v>24.2835</v>
      </c>
      <c r="B1596">
        <v>47.346200000000003</v>
      </c>
      <c r="C1596">
        <f t="shared" si="75"/>
        <v>47.246159999999996</v>
      </c>
      <c r="D1596">
        <v>0.72354545454545449</v>
      </c>
      <c r="E1596">
        <f t="shared" si="76"/>
        <v>3.8553713807959094</v>
      </c>
      <c r="I1596" s="24">
        <f t="shared" si="77"/>
        <v>0.59389311332917027</v>
      </c>
      <c r="N1596" s="30">
        <v>36636.209876543209</v>
      </c>
    </row>
    <row r="1597" spans="1:14" x14ac:dyDescent="0.3">
      <c r="A1597">
        <v>24.2987</v>
      </c>
      <c r="B1597">
        <v>47.384599999999999</v>
      </c>
      <c r="C1597">
        <f t="shared" si="75"/>
        <v>47.269240000000003</v>
      </c>
      <c r="D1597">
        <v>0.72324242424242424</v>
      </c>
      <c r="E1597">
        <f t="shared" si="76"/>
        <v>3.8558597668252497</v>
      </c>
      <c r="I1597" s="24">
        <f t="shared" si="77"/>
        <v>0.59452649018548087</v>
      </c>
      <c r="N1597" s="30">
        <v>36634.703703703708</v>
      </c>
    </row>
    <row r="1598" spans="1:14" x14ac:dyDescent="0.3">
      <c r="A1598">
        <v>24.314</v>
      </c>
      <c r="B1598">
        <v>47.269199999999998</v>
      </c>
      <c r="C1598">
        <f t="shared" si="75"/>
        <v>47.2</v>
      </c>
      <c r="D1598">
        <v>0.72293939393939399</v>
      </c>
      <c r="E1598">
        <f t="shared" si="76"/>
        <v>3.8543938925915096</v>
      </c>
      <c r="I1598" s="24">
        <f t="shared" si="77"/>
        <v>0.59362176665827082</v>
      </c>
      <c r="N1598" s="30">
        <v>36633.1975308642</v>
      </c>
    </row>
    <row r="1599" spans="1:14" x14ac:dyDescent="0.3">
      <c r="A1599">
        <v>24.3292</v>
      </c>
      <c r="B1599">
        <v>47.038499999999999</v>
      </c>
      <c r="C1599">
        <f t="shared" si="75"/>
        <v>47.146139999999995</v>
      </c>
      <c r="D1599">
        <v>0.72263636363636363</v>
      </c>
      <c r="E1599">
        <f t="shared" si="76"/>
        <v>3.8532521393443497</v>
      </c>
      <c r="I1599" s="24">
        <f t="shared" si="77"/>
        <v>0.59297308934584492</v>
      </c>
      <c r="N1599" s="30">
        <v>36631.691358024691</v>
      </c>
    </row>
    <row r="1600" spans="1:14" x14ac:dyDescent="0.3">
      <c r="A1600">
        <v>24.3444</v>
      </c>
      <c r="B1600">
        <v>46.961500000000001</v>
      </c>
      <c r="C1600">
        <f t="shared" si="75"/>
        <v>47.092300000000002</v>
      </c>
      <c r="D1600">
        <v>0.72233333333333338</v>
      </c>
      <c r="E1600">
        <f t="shared" si="76"/>
        <v>3.8521095057044503</v>
      </c>
      <c r="I1600" s="24">
        <f t="shared" si="77"/>
        <v>0.59232453417568742</v>
      </c>
      <c r="N1600" s="30">
        <v>36630.18518518519</v>
      </c>
    </row>
    <row r="1601" spans="1:14" x14ac:dyDescent="0.3">
      <c r="A1601">
        <v>24.3597</v>
      </c>
      <c r="B1601">
        <v>47.076900000000002</v>
      </c>
      <c r="C1601">
        <f t="shared" si="75"/>
        <v>47.261539999999997</v>
      </c>
      <c r="D1601">
        <v>0.72203030303030302</v>
      </c>
      <c r="E1601">
        <f t="shared" si="76"/>
        <v>3.8556968569240082</v>
      </c>
      <c r="I1601" s="24">
        <f t="shared" si="77"/>
        <v>0.59539604805314994</v>
      </c>
      <c r="N1601" s="30">
        <v>36628.679012345681</v>
      </c>
    </row>
    <row r="1602" spans="1:14" x14ac:dyDescent="0.3">
      <c r="A1602">
        <v>24.3749</v>
      </c>
      <c r="B1602">
        <v>47.115400000000001</v>
      </c>
      <c r="C1602">
        <f t="shared" si="75"/>
        <v>47.607679999999995</v>
      </c>
      <c r="D1602">
        <v>0.72172727272727266</v>
      </c>
      <c r="E1602">
        <f t="shared" si="76"/>
        <v>3.8629940927605593</v>
      </c>
      <c r="I1602" s="24">
        <f t="shared" si="77"/>
        <v>0.60143229521571551</v>
      </c>
      <c r="N1602" s="30">
        <v>36627.172839506173</v>
      </c>
    </row>
    <row r="1603" spans="1:14" x14ac:dyDescent="0.3">
      <c r="A1603">
        <v>24.3901</v>
      </c>
      <c r="B1603">
        <v>48.115400000000001</v>
      </c>
      <c r="C1603">
        <f t="shared" si="75"/>
        <v>48.207680000000003</v>
      </c>
      <c r="D1603">
        <v>0.72142424242424241</v>
      </c>
      <c r="E1603">
        <f t="shared" si="76"/>
        <v>3.8755183444634915</v>
      </c>
      <c r="I1603" s="24">
        <f t="shared" si="77"/>
        <v>0.61175143873736337</v>
      </c>
      <c r="N1603" s="30">
        <v>36625.666666666672</v>
      </c>
    </row>
    <row r="1604" spans="1:14" x14ac:dyDescent="0.3">
      <c r="A1604">
        <v>24.4054</v>
      </c>
      <c r="B1604">
        <v>48.769199999999998</v>
      </c>
      <c r="C1604">
        <f t="shared" si="75"/>
        <v>48.9923</v>
      </c>
      <c r="D1604">
        <v>0.72112121212121205</v>
      </c>
      <c r="E1604">
        <f t="shared" si="76"/>
        <v>3.8916631429052515</v>
      </c>
      <c r="I1604" s="24">
        <f t="shared" si="77"/>
        <v>0.62523952473980338</v>
      </c>
      <c r="N1604" s="30">
        <v>36624.160493827163</v>
      </c>
    </row>
    <row r="1605" spans="1:14" x14ac:dyDescent="0.3">
      <c r="A1605">
        <v>24.4206</v>
      </c>
      <c r="B1605">
        <v>49.961500000000001</v>
      </c>
      <c r="C1605">
        <f t="shared" si="75"/>
        <v>49.938460000000006</v>
      </c>
      <c r="D1605">
        <v>0.7208181818181818</v>
      </c>
      <c r="E1605">
        <f t="shared" si="76"/>
        <v>3.9107914473717518</v>
      </c>
      <c r="I1605" s="24">
        <f t="shared" si="77"/>
        <v>0.64155588924599638</v>
      </c>
      <c r="N1605" s="30">
        <v>36622.654320987655</v>
      </c>
    </row>
    <row r="1606" spans="1:14" x14ac:dyDescent="0.3">
      <c r="A1606">
        <v>24.4358</v>
      </c>
      <c r="B1606">
        <v>51</v>
      </c>
      <c r="C1606">
        <f t="shared" si="75"/>
        <v>50.769220000000004</v>
      </c>
      <c r="D1606">
        <v>0.72051515151515155</v>
      </c>
      <c r="E1606">
        <f t="shared" si="76"/>
        <v>3.9272902654377</v>
      </c>
      <c r="I1606" s="24">
        <f t="shared" si="77"/>
        <v>0.65600894418238997</v>
      </c>
      <c r="N1606" s="30">
        <v>36621.148148148153</v>
      </c>
    </row>
    <row r="1607" spans="1:14" x14ac:dyDescent="0.3">
      <c r="A1607">
        <v>24.4511</v>
      </c>
      <c r="B1607">
        <v>51.846200000000003</v>
      </c>
      <c r="C1607">
        <f t="shared" si="75"/>
        <v>51.4923</v>
      </c>
      <c r="D1607">
        <v>0.72021212121212119</v>
      </c>
      <c r="E1607">
        <f t="shared" si="76"/>
        <v>3.9414322819281673</v>
      </c>
      <c r="I1607" s="24">
        <f t="shared" si="77"/>
        <v>0.66869659006210869</v>
      </c>
      <c r="N1607" s="30">
        <v>36619.641975308645</v>
      </c>
    </row>
    <row r="1608" spans="1:14" x14ac:dyDescent="0.3">
      <c r="A1608">
        <v>24.4663</v>
      </c>
      <c r="B1608">
        <v>52.269199999999998</v>
      </c>
      <c r="C1608">
        <f t="shared" si="75"/>
        <v>51.984620000000007</v>
      </c>
      <c r="D1608">
        <v>0.71990909090909094</v>
      </c>
      <c r="E1608">
        <f t="shared" si="76"/>
        <v>3.9509479056023129</v>
      </c>
      <c r="I1608" s="24">
        <f t="shared" si="77"/>
        <v>0.67746478120368647</v>
      </c>
      <c r="N1608" s="30">
        <v>36618.135802469136</v>
      </c>
    </row>
    <row r="1609" spans="1:14" x14ac:dyDescent="0.3">
      <c r="A1609">
        <v>24.4815</v>
      </c>
      <c r="B1609">
        <v>52.384599999999999</v>
      </c>
      <c r="C1609">
        <f t="shared" si="75"/>
        <v>52.030780000000007</v>
      </c>
      <c r="D1609">
        <v>0.71960606060606058</v>
      </c>
      <c r="E1609">
        <f t="shared" si="76"/>
        <v>3.9518354665409867</v>
      </c>
      <c r="I1609" s="24">
        <f t="shared" si="77"/>
        <v>0.67854746041423952</v>
      </c>
      <c r="N1609" s="30">
        <v>36616.629629629635</v>
      </c>
    </row>
    <row r="1610" spans="1:14" x14ac:dyDescent="0.3">
      <c r="A1610">
        <v>24.4968</v>
      </c>
      <c r="B1610">
        <v>52.423099999999998</v>
      </c>
      <c r="C1610">
        <f t="shared" si="75"/>
        <v>51.8</v>
      </c>
      <c r="D1610">
        <v>0.71930303030303033</v>
      </c>
      <c r="E1610">
        <f t="shared" si="76"/>
        <v>3.9473901492654373</v>
      </c>
      <c r="I1610" s="24">
        <f t="shared" si="77"/>
        <v>0.67484731416082855</v>
      </c>
      <c r="N1610" s="30">
        <v>36615.123456790127</v>
      </c>
    </row>
    <row r="1611" spans="1:14" x14ac:dyDescent="0.3">
      <c r="A1611">
        <v>24.512</v>
      </c>
      <c r="B1611">
        <v>51.230800000000002</v>
      </c>
      <c r="C1611">
        <f t="shared" si="75"/>
        <v>51.446159999999999</v>
      </c>
      <c r="D1611">
        <v>0.71899999999999997</v>
      </c>
      <c r="E1611">
        <f t="shared" si="76"/>
        <v>3.9405358239261727</v>
      </c>
      <c r="I1611" s="24">
        <f t="shared" si="77"/>
        <v>0.6690288784750309</v>
      </c>
      <c r="N1611" s="30">
        <v>36613.617283950618</v>
      </c>
    </row>
    <row r="1612" spans="1:14" x14ac:dyDescent="0.3">
      <c r="A1612">
        <v>24.5273</v>
      </c>
      <c r="B1612">
        <v>50.692300000000003</v>
      </c>
      <c r="C1612">
        <f t="shared" si="75"/>
        <v>51.05386</v>
      </c>
      <c r="D1612">
        <v>0.71869696969696961</v>
      </c>
      <c r="E1612">
        <f t="shared" si="76"/>
        <v>3.9328811538971764</v>
      </c>
      <c r="I1612" s="24">
        <f t="shared" si="77"/>
        <v>0.66255784588636368</v>
      </c>
      <c r="N1612" s="30">
        <v>36612.111111111117</v>
      </c>
    </row>
    <row r="1613" spans="1:14" x14ac:dyDescent="0.3">
      <c r="A1613">
        <v>24.5425</v>
      </c>
      <c r="B1613">
        <v>50.5</v>
      </c>
      <c r="C1613">
        <f t="shared" si="75"/>
        <v>50.684620000000002</v>
      </c>
      <c r="D1613">
        <v>0.71839393939393936</v>
      </c>
      <c r="E1613">
        <f t="shared" si="76"/>
        <v>3.9256225115190926</v>
      </c>
      <c r="I1613" s="24">
        <f t="shared" si="77"/>
        <v>0.65649386361187878</v>
      </c>
      <c r="N1613" s="30">
        <v>36610.604938271608</v>
      </c>
    </row>
    <row r="1614" spans="1:14" x14ac:dyDescent="0.3">
      <c r="A1614">
        <v>24.557700000000001</v>
      </c>
      <c r="B1614">
        <v>50.423099999999998</v>
      </c>
      <c r="C1614">
        <f t="shared" si="75"/>
        <v>50.638459999999995</v>
      </c>
      <c r="D1614">
        <v>0.71809090909090911</v>
      </c>
      <c r="E1614">
        <f t="shared" si="76"/>
        <v>3.9247113666310085</v>
      </c>
      <c r="I1614" s="24">
        <f t="shared" si="77"/>
        <v>0.65597860045624801</v>
      </c>
      <c r="N1614" s="30">
        <v>36609.0987654321</v>
      </c>
    </row>
    <row r="1615" spans="1:14" x14ac:dyDescent="0.3">
      <c r="A1615">
        <v>24.573</v>
      </c>
      <c r="B1615">
        <v>50.576900000000002</v>
      </c>
      <c r="C1615">
        <f t="shared" si="75"/>
        <v>50.7</v>
      </c>
      <c r="D1615">
        <v>0.71778787878787875</v>
      </c>
      <c r="E1615">
        <f t="shared" si="76"/>
        <v>3.9259259105971376</v>
      </c>
      <c r="I1615" s="24">
        <f t="shared" si="77"/>
        <v>0.65731231998337036</v>
      </c>
      <c r="N1615" s="30">
        <v>36607.592592592599</v>
      </c>
    </row>
    <row r="1616" spans="1:14" x14ac:dyDescent="0.3">
      <c r="A1616">
        <v>24.588200000000001</v>
      </c>
      <c r="B1616">
        <v>51</v>
      </c>
      <c r="C1616">
        <f t="shared" si="75"/>
        <v>50.792299999999997</v>
      </c>
      <c r="D1616">
        <v>0.7174848484848485</v>
      </c>
      <c r="E1616">
        <f t="shared" si="76"/>
        <v>3.9277447682926652</v>
      </c>
      <c r="I1616" s="24">
        <f t="shared" si="77"/>
        <v>0.65917639060255595</v>
      </c>
      <c r="N1616" s="30">
        <v>36606.08641975309</v>
      </c>
    </row>
    <row r="1617" spans="1:14" x14ac:dyDescent="0.3">
      <c r="A1617">
        <v>24.603400000000001</v>
      </c>
      <c r="B1617">
        <v>51</v>
      </c>
      <c r="C1617">
        <f t="shared" si="75"/>
        <v>50.969219999999993</v>
      </c>
      <c r="D1617">
        <v>0.71718181818181814</v>
      </c>
      <c r="E1617">
        <f t="shared" si="76"/>
        <v>3.9312219211153741</v>
      </c>
      <c r="I1617" s="24">
        <f t="shared" si="77"/>
        <v>0.66249971972686683</v>
      </c>
      <c r="N1617" s="30">
        <v>36604.580246913582</v>
      </c>
    </row>
    <row r="1618" spans="1:14" x14ac:dyDescent="0.3">
      <c r="A1618">
        <v>24.6187</v>
      </c>
      <c r="B1618">
        <v>50.961500000000001</v>
      </c>
      <c r="C1618">
        <f t="shared" si="75"/>
        <v>51.246140000000004</v>
      </c>
      <c r="D1618">
        <v>0.71687878787878789</v>
      </c>
      <c r="E1618">
        <f t="shared" si="76"/>
        <v>3.9366402981088737</v>
      </c>
      <c r="I1618" s="24">
        <f t="shared" si="77"/>
        <v>0.66755448953061869</v>
      </c>
      <c r="N1618" s="30">
        <v>36603.074074074073</v>
      </c>
    </row>
    <row r="1619" spans="1:14" x14ac:dyDescent="0.3">
      <c r="A1619">
        <v>24.633900000000001</v>
      </c>
      <c r="B1619">
        <v>51.307699999999997</v>
      </c>
      <c r="C1619">
        <f t="shared" si="75"/>
        <v>51.630759999999995</v>
      </c>
      <c r="D1619">
        <v>0.71657575757575764</v>
      </c>
      <c r="E1619">
        <f t="shared" si="76"/>
        <v>3.9441176189071765</v>
      </c>
      <c r="I1619" s="24">
        <f t="shared" si="77"/>
        <v>0.67448522549347456</v>
      </c>
      <c r="N1619" s="30">
        <v>36601.567901234572</v>
      </c>
    </row>
    <row r="1620" spans="1:14" x14ac:dyDescent="0.3">
      <c r="A1620">
        <v>24.649100000000001</v>
      </c>
      <c r="B1620">
        <v>51.961500000000001</v>
      </c>
      <c r="C1620">
        <f t="shared" si="75"/>
        <v>52.123060000000009</v>
      </c>
      <c r="D1620">
        <v>0.71627272727272717</v>
      </c>
      <c r="E1620">
        <f t="shared" si="76"/>
        <v>3.9536074612009307</v>
      </c>
      <c r="I1620" s="24">
        <f t="shared" si="77"/>
        <v>0.68330744006681177</v>
      </c>
      <c r="N1620" s="30">
        <v>36600.061728395063</v>
      </c>
    </row>
    <row r="1621" spans="1:14" x14ac:dyDescent="0.3">
      <c r="A1621">
        <v>24.664400000000001</v>
      </c>
      <c r="B1621">
        <v>52.923099999999998</v>
      </c>
      <c r="C1621">
        <f t="shared" si="75"/>
        <v>52.669219999999996</v>
      </c>
      <c r="D1621">
        <v>0.71596969696969692</v>
      </c>
      <c r="E1621">
        <f t="shared" si="76"/>
        <v>3.9640312241963489</v>
      </c>
      <c r="I1621" s="24">
        <f t="shared" si="77"/>
        <v>0.69310218846945137</v>
      </c>
      <c r="N1621" s="30">
        <v>36598.555555555555</v>
      </c>
    </row>
    <row r="1622" spans="1:14" x14ac:dyDescent="0.3">
      <c r="A1622">
        <v>24.679600000000001</v>
      </c>
      <c r="B1622">
        <v>53.461500000000001</v>
      </c>
      <c r="C1622">
        <f t="shared" si="75"/>
        <v>53.099980000000002</v>
      </c>
      <c r="D1622">
        <v>0.71566666666666667</v>
      </c>
      <c r="E1622">
        <f t="shared" si="76"/>
        <v>3.9721765515999881</v>
      </c>
      <c r="I1622" s="24">
        <f t="shared" si="77"/>
        <v>0.70091856488062954</v>
      </c>
      <c r="N1622" s="30">
        <v>36597.049382716054</v>
      </c>
    </row>
    <row r="1623" spans="1:14" x14ac:dyDescent="0.3">
      <c r="A1623">
        <v>24.694800000000001</v>
      </c>
      <c r="B1623">
        <v>53.692300000000003</v>
      </c>
      <c r="C1623">
        <f t="shared" si="75"/>
        <v>53.323060000000012</v>
      </c>
      <c r="D1623">
        <v>0.71536363636363631</v>
      </c>
      <c r="E1623">
        <f t="shared" si="76"/>
        <v>3.9763688830111392</v>
      </c>
      <c r="I1623" s="24">
        <f t="shared" si="77"/>
        <v>0.70512086263900531</v>
      </c>
      <c r="N1623" s="30">
        <v>36595.543209876545</v>
      </c>
    </row>
    <row r="1624" spans="1:14" x14ac:dyDescent="0.3">
      <c r="A1624">
        <v>24.710100000000001</v>
      </c>
      <c r="B1624">
        <v>53.461500000000001</v>
      </c>
      <c r="C1624">
        <f t="shared" si="75"/>
        <v>53.299979999999991</v>
      </c>
      <c r="D1624">
        <v>0.71506060606060606</v>
      </c>
      <c r="E1624">
        <f t="shared" si="76"/>
        <v>3.9759359559372065</v>
      </c>
      <c r="I1624" s="24">
        <f t="shared" si="77"/>
        <v>0.70501520898806513</v>
      </c>
      <c r="N1624" s="30">
        <v>36594.037037037036</v>
      </c>
    </row>
    <row r="1625" spans="1:14" x14ac:dyDescent="0.3">
      <c r="A1625">
        <v>24.725300000000001</v>
      </c>
      <c r="B1625">
        <v>53.076900000000002</v>
      </c>
      <c r="C1625">
        <f t="shared" si="75"/>
        <v>53.153840000000002</v>
      </c>
      <c r="D1625">
        <v>0.7147575757575757</v>
      </c>
      <c r="E1625">
        <f t="shared" si="76"/>
        <v>3.9731903505318864</v>
      </c>
      <c r="I1625" s="24">
        <f t="shared" si="77"/>
        <v>0.70275327502655549</v>
      </c>
      <c r="N1625" s="30">
        <v>36592.530864197535</v>
      </c>
    </row>
    <row r="1626" spans="1:14" x14ac:dyDescent="0.3">
      <c r="A1626">
        <v>24.740500000000001</v>
      </c>
      <c r="B1626">
        <v>52.807699999999997</v>
      </c>
      <c r="C1626">
        <f t="shared" si="75"/>
        <v>52.876919999999998</v>
      </c>
      <c r="D1626">
        <v>0.71445454545454545</v>
      </c>
      <c r="E1626">
        <f t="shared" si="76"/>
        <v>3.9679669487639129</v>
      </c>
      <c r="I1626" s="24">
        <f t="shared" si="77"/>
        <v>0.69820304764494878</v>
      </c>
      <c r="N1626" s="30">
        <v>36591.024691358027</v>
      </c>
    </row>
    <row r="1627" spans="1:14" x14ac:dyDescent="0.3">
      <c r="A1627">
        <v>24.755800000000001</v>
      </c>
      <c r="B1627">
        <v>52.730800000000002</v>
      </c>
      <c r="C1627">
        <f t="shared" si="75"/>
        <v>52.553860000000007</v>
      </c>
      <c r="D1627">
        <v>0.7141515151515152</v>
      </c>
      <c r="E1627">
        <f t="shared" si="76"/>
        <v>3.961838548478831</v>
      </c>
      <c r="I1627" s="24">
        <f t="shared" si="77"/>
        <v>0.69285122050345627</v>
      </c>
      <c r="N1627" s="30">
        <v>36589.518518518518</v>
      </c>
    </row>
    <row r="1628" spans="1:14" x14ac:dyDescent="0.3">
      <c r="A1628">
        <v>24.771000000000001</v>
      </c>
      <c r="B1628">
        <v>52.307699999999997</v>
      </c>
      <c r="C1628">
        <f t="shared" si="75"/>
        <v>52.276940000000003</v>
      </c>
      <c r="D1628">
        <v>0.71384848484848484</v>
      </c>
      <c r="E1628">
        <f t="shared" si="76"/>
        <v>3.9565553560560232</v>
      </c>
      <c r="I1628" s="24">
        <f t="shared" si="77"/>
        <v>0.6883108315747184</v>
      </c>
      <c r="N1628" s="30">
        <v>36588.012345679017</v>
      </c>
    </row>
    <row r="1629" spans="1:14" x14ac:dyDescent="0.3">
      <c r="A1629">
        <v>24.786200000000001</v>
      </c>
      <c r="B1629">
        <v>51.846200000000003</v>
      </c>
      <c r="C1629">
        <f t="shared" si="75"/>
        <v>52.115400000000001</v>
      </c>
      <c r="D1629">
        <v>0.71354545454545448</v>
      </c>
      <c r="E1629">
        <f t="shared" si="76"/>
        <v>3.9534604904952277</v>
      </c>
      <c r="I1629" s="24">
        <f t="shared" si="77"/>
        <v>0.68578559866694511</v>
      </c>
      <c r="N1629" s="30">
        <v>36586.506172839509</v>
      </c>
    </row>
    <row r="1630" spans="1:14" x14ac:dyDescent="0.3">
      <c r="A1630">
        <v>24.801500000000001</v>
      </c>
      <c r="B1630">
        <v>51.692300000000003</v>
      </c>
      <c r="C1630">
        <f t="shared" si="75"/>
        <v>52.069240000000001</v>
      </c>
      <c r="D1630">
        <v>0.71324242424242423</v>
      </c>
      <c r="E1630">
        <f t="shared" si="76"/>
        <v>3.9525743713317802</v>
      </c>
      <c r="I1630" s="25">
        <f t="shared" si="77"/>
        <v>0.68527202935414711</v>
      </c>
      <c r="N1630" s="30">
        <v>36585</v>
      </c>
    </row>
    <row r="1631" spans="1:14" x14ac:dyDescent="0.3">
      <c r="A1631">
        <v>24.816700000000001</v>
      </c>
      <c r="B1631">
        <v>52</v>
      </c>
      <c r="C1631">
        <f t="shared" si="75"/>
        <v>52.192319999999995</v>
      </c>
      <c r="D1631">
        <v>0.71293939393939387</v>
      </c>
      <c r="E1631">
        <f t="shared" si="76"/>
        <v>3.9549353576276554</v>
      </c>
      <c r="I1631" s="24">
        <f t="shared" si="77"/>
        <v>0.68771098551410914</v>
      </c>
      <c r="N1631" s="30">
        <v>36577.129032258061</v>
      </c>
    </row>
    <row r="1632" spans="1:14" x14ac:dyDescent="0.3">
      <c r="A1632">
        <v>24.831900000000001</v>
      </c>
      <c r="B1632">
        <v>52.5</v>
      </c>
      <c r="C1632">
        <f t="shared" si="75"/>
        <v>52.446159999999999</v>
      </c>
      <c r="D1632">
        <v>0.71263636363636362</v>
      </c>
      <c r="E1632">
        <f t="shared" si="76"/>
        <v>3.9597871195787215</v>
      </c>
      <c r="I1632" s="24">
        <f t="shared" si="77"/>
        <v>0.69243988015843849</v>
      </c>
      <c r="N1632" s="30">
        <v>36569.258064516129</v>
      </c>
    </row>
    <row r="1633" spans="1:18" x14ac:dyDescent="0.3">
      <c r="A1633">
        <v>24.847200000000001</v>
      </c>
      <c r="B1633">
        <v>52.923099999999998</v>
      </c>
      <c r="C1633">
        <f t="shared" si="75"/>
        <v>53.05386</v>
      </c>
      <c r="D1633">
        <v>0.71233333333333326</v>
      </c>
      <c r="E1633">
        <f t="shared" si="76"/>
        <v>3.9713076239587108</v>
      </c>
      <c r="I1633" s="24">
        <f t="shared" si="77"/>
        <v>0.70338830785821715</v>
      </c>
      <c r="N1633" s="30">
        <v>36561.38709677419</v>
      </c>
    </row>
    <row r="1634" spans="1:18" x14ac:dyDescent="0.3">
      <c r="A1634">
        <v>24.862400000000001</v>
      </c>
      <c r="B1634">
        <v>53.115400000000001</v>
      </c>
      <c r="C1634">
        <f t="shared" si="75"/>
        <v>53.730779999999996</v>
      </c>
      <c r="D1634">
        <v>0.71203030303030301</v>
      </c>
      <c r="E1634">
        <f t="shared" si="76"/>
        <v>3.9839860216649514</v>
      </c>
      <c r="I1634" s="24">
        <f t="shared" si="77"/>
        <v>0.7156068575808664</v>
      </c>
      <c r="N1634" s="30">
        <v>36553.516129032258</v>
      </c>
    </row>
    <row r="1635" spans="1:18" x14ac:dyDescent="0.3">
      <c r="A1635">
        <v>24.877600000000001</v>
      </c>
      <c r="B1635">
        <v>54.730800000000002</v>
      </c>
      <c r="C1635">
        <f t="shared" si="75"/>
        <v>54.415399999999998</v>
      </c>
      <c r="D1635">
        <v>0.71172727272727276</v>
      </c>
      <c r="E1635">
        <f t="shared" si="76"/>
        <v>3.9966472020352772</v>
      </c>
      <c r="I1635" s="24">
        <f t="shared" si="77"/>
        <v>0.72802118143878125</v>
      </c>
      <c r="N1635" s="30">
        <v>36545.645161290318</v>
      </c>
    </row>
    <row r="1636" spans="1:18" x14ac:dyDescent="0.3">
      <c r="A1636">
        <v>24.892900000000001</v>
      </c>
      <c r="B1636">
        <v>55.384599999999999</v>
      </c>
      <c r="C1636">
        <f t="shared" si="75"/>
        <v>55.023080000000007</v>
      </c>
      <c r="D1636">
        <v>0.7114242424242424</v>
      </c>
      <c r="E1636">
        <f t="shared" si="76"/>
        <v>4.0077527335733931</v>
      </c>
      <c r="I1636" s="24">
        <f t="shared" si="77"/>
        <v>0.73912614956761125</v>
      </c>
      <c r="N1636" s="30">
        <v>36537.774193548386</v>
      </c>
    </row>
    <row r="1637" spans="1:18" x14ac:dyDescent="0.3">
      <c r="A1637">
        <v>24.908100000000001</v>
      </c>
      <c r="B1637">
        <v>55.923099999999998</v>
      </c>
      <c r="C1637">
        <f t="shared" si="75"/>
        <v>55.553840000000001</v>
      </c>
      <c r="D1637">
        <v>0.71112121212121215</v>
      </c>
      <c r="E1637">
        <f t="shared" si="76"/>
        <v>4.0173526406091753</v>
      </c>
      <c r="I1637" s="24">
        <f t="shared" si="77"/>
        <v>0.74890534909514783</v>
      </c>
      <c r="N1637" s="30">
        <v>36529.903225806447</v>
      </c>
    </row>
    <row r="1638" spans="1:18" x14ac:dyDescent="0.3">
      <c r="A1638">
        <v>24.923300000000001</v>
      </c>
      <c r="B1638">
        <v>55.961500000000001</v>
      </c>
      <c r="C1638">
        <f t="shared" si="75"/>
        <v>55.907680000000006</v>
      </c>
      <c r="D1638">
        <v>0.71081818181818179</v>
      </c>
      <c r="E1638">
        <f t="shared" si="76"/>
        <v>4.0237017589173618</v>
      </c>
      <c r="I1638" s="24">
        <f t="shared" si="77"/>
        <v>0.75555315672273782</v>
      </c>
      <c r="N1638" s="30">
        <v>36522.032258064515</v>
      </c>
      <c r="O1638">
        <v>1999</v>
      </c>
      <c r="P1638" s="24">
        <f>AVERAGE(I1645:I1757)</f>
        <v>0.70055476321953836</v>
      </c>
      <c r="Q1638">
        <f>A1757-A1645</f>
        <v>1.7061999999999991</v>
      </c>
      <c r="R1638">
        <f>P1638*Q1638</f>
        <v>1.1952865370051757</v>
      </c>
    </row>
    <row r="1639" spans="1:18" x14ac:dyDescent="0.3">
      <c r="A1639">
        <v>24.938600000000001</v>
      </c>
      <c r="B1639">
        <v>55.769199999999998</v>
      </c>
      <c r="C1639">
        <f t="shared" si="75"/>
        <v>56.42306</v>
      </c>
      <c r="D1639">
        <v>0.71051515151515143</v>
      </c>
      <c r="E1639">
        <f t="shared" si="76"/>
        <v>4.0328779401896213</v>
      </c>
      <c r="I1639" s="24">
        <f t="shared" si="77"/>
        <v>0.76512035382873034</v>
      </c>
      <c r="N1639" s="30">
        <v>36514.161290322576</v>
      </c>
    </row>
    <row r="1640" spans="1:18" x14ac:dyDescent="0.3">
      <c r="A1640">
        <v>24.953800000000001</v>
      </c>
      <c r="B1640">
        <v>56.5</v>
      </c>
      <c r="C1640">
        <f t="shared" si="75"/>
        <v>57.084600000000002</v>
      </c>
      <c r="D1640">
        <v>0.71021212121212118</v>
      </c>
      <c r="E1640">
        <f t="shared" si="76"/>
        <v>4.0445343780090575</v>
      </c>
      <c r="I1640" s="24">
        <f t="shared" si="77"/>
        <v>0.77735892474037438</v>
      </c>
      <c r="N1640" s="30">
        <v>36506.290322580644</v>
      </c>
    </row>
    <row r="1641" spans="1:18" x14ac:dyDescent="0.3">
      <c r="A1641">
        <v>24.969000000000001</v>
      </c>
      <c r="B1641">
        <v>57.961500000000001</v>
      </c>
      <c r="C1641">
        <f t="shared" si="75"/>
        <v>58.061540000000001</v>
      </c>
      <c r="D1641">
        <v>0.70990909090909082</v>
      </c>
      <c r="E1641">
        <f t="shared" si="76"/>
        <v>4.0615034825299432</v>
      </c>
      <c r="I1641" s="24">
        <f t="shared" si="77"/>
        <v>0.79537175109699876</v>
      </c>
      <c r="N1641" s="30">
        <v>36498.419354838705</v>
      </c>
    </row>
    <row r="1642" spans="1:18" x14ac:dyDescent="0.3">
      <c r="A1642">
        <v>24.984300000000001</v>
      </c>
      <c r="B1642">
        <v>59.230800000000002</v>
      </c>
      <c r="C1642">
        <f t="shared" si="75"/>
        <v>59.084619999999994</v>
      </c>
      <c r="D1642">
        <v>0.70960606060606057</v>
      </c>
      <c r="E1642">
        <f t="shared" si="76"/>
        <v>4.0789706536579251</v>
      </c>
      <c r="I1642" s="24">
        <f t="shared" si="77"/>
        <v>0.81433927110754722</v>
      </c>
      <c r="N1642" s="30">
        <v>36490.548387096773</v>
      </c>
    </row>
    <row r="1643" spans="1:18" x14ac:dyDescent="0.3">
      <c r="A1643">
        <v>24.999500000000001</v>
      </c>
      <c r="B1643">
        <v>60.846200000000003</v>
      </c>
      <c r="C1643">
        <f t="shared" si="75"/>
        <v>59.938459999999999</v>
      </c>
      <c r="D1643">
        <v>0.70930303030303032</v>
      </c>
      <c r="E1643">
        <f t="shared" si="76"/>
        <v>4.0933183691994373</v>
      </c>
      <c r="I1643" s="24">
        <f t="shared" si="77"/>
        <v>0.83032073933762507</v>
      </c>
      <c r="N1643" s="30">
        <v>36482.677419354834</v>
      </c>
    </row>
    <row r="1644" spans="1:18" x14ac:dyDescent="0.3">
      <c r="A1644">
        <v>25.014700000000001</v>
      </c>
      <c r="B1644">
        <v>60.884599999999999</v>
      </c>
      <c r="C1644">
        <f t="shared" si="75"/>
        <v>60.423079999999992</v>
      </c>
      <c r="D1644" s="8">
        <v>0.70900000000000007</v>
      </c>
      <c r="E1644">
        <f t="shared" si="76"/>
        <v>4.1013711511571165</v>
      </c>
      <c r="I1644" s="24">
        <f t="shared" si="77"/>
        <v>0.83958498018060357</v>
      </c>
      <c r="N1644" s="30">
        <v>36474.806451612902</v>
      </c>
    </row>
    <row r="1645" spans="1:18" x14ac:dyDescent="0.3">
      <c r="A1645">
        <v>25.03</v>
      </c>
      <c r="B1645">
        <v>60.769199999999998</v>
      </c>
      <c r="C1645">
        <f t="shared" si="75"/>
        <v>60.5</v>
      </c>
      <c r="D1645">
        <v>0.70876923076923082</v>
      </c>
      <c r="E1645">
        <f t="shared" si="76"/>
        <v>4.1026433650367959</v>
      </c>
      <c r="I1645" s="24">
        <f t="shared" si="77"/>
        <v>0.84127505701875971</v>
      </c>
      <c r="N1645" s="30">
        <v>36466.935483870962</v>
      </c>
    </row>
    <row r="1646" spans="1:18" x14ac:dyDescent="0.3">
      <c r="A1646">
        <v>25.045200000000001</v>
      </c>
      <c r="B1646">
        <v>60.384599999999999</v>
      </c>
      <c r="C1646">
        <f t="shared" si="75"/>
        <v>60.123059999999995</v>
      </c>
      <c r="D1646">
        <v>0.70853846153846156</v>
      </c>
      <c r="E1646">
        <f t="shared" si="76"/>
        <v>4.096393461793097</v>
      </c>
      <c r="I1646" s="24">
        <f t="shared" si="77"/>
        <v>0.83460990718554362</v>
      </c>
      <c r="N1646" s="30">
        <v>36459.06451612903</v>
      </c>
    </row>
    <row r="1647" spans="1:18" x14ac:dyDescent="0.3">
      <c r="A1647">
        <v>25.060500000000001</v>
      </c>
      <c r="B1647">
        <v>59.615400000000001</v>
      </c>
      <c r="C1647">
        <f t="shared" si="75"/>
        <v>59.584600000000002</v>
      </c>
      <c r="D1647">
        <v>0.7083076923076923</v>
      </c>
      <c r="E1647">
        <f t="shared" si="76"/>
        <v>4.0873971514213023</v>
      </c>
      <c r="I1647" s="24">
        <f t="shared" si="77"/>
        <v>0.82499050507820193</v>
      </c>
      <c r="N1647" s="30">
        <v>36451.193548387091</v>
      </c>
    </row>
    <row r="1648" spans="1:18" x14ac:dyDescent="0.3">
      <c r="A1648">
        <v>25.075700000000001</v>
      </c>
      <c r="B1648">
        <v>58.961500000000001</v>
      </c>
      <c r="C1648">
        <f t="shared" si="75"/>
        <v>59.023060000000001</v>
      </c>
      <c r="D1648">
        <v>0.70807692307692316</v>
      </c>
      <c r="E1648">
        <f t="shared" si="76"/>
        <v>4.077928215002375</v>
      </c>
      <c r="I1648" s="24">
        <f t="shared" si="77"/>
        <v>0.81497161713978195</v>
      </c>
      <c r="N1648" s="30">
        <v>36443.322580645159</v>
      </c>
    </row>
    <row r="1649" spans="1:14" x14ac:dyDescent="0.3">
      <c r="A1649">
        <v>25.090900000000001</v>
      </c>
      <c r="B1649">
        <v>58.192300000000003</v>
      </c>
      <c r="C1649">
        <f t="shared" si="75"/>
        <v>58.461520000000007</v>
      </c>
      <c r="D1649">
        <v>0.7078461538461539</v>
      </c>
      <c r="E1649">
        <f t="shared" si="76"/>
        <v>4.0683687600293164</v>
      </c>
      <c r="I1649" s="24">
        <f t="shared" si="77"/>
        <v>0.80497794863432859</v>
      </c>
      <c r="N1649" s="30">
        <v>36435.45161290322</v>
      </c>
    </row>
    <row r="1650" spans="1:14" x14ac:dyDescent="0.3">
      <c r="A1650">
        <v>25.106200000000001</v>
      </c>
      <c r="B1650">
        <v>57.961500000000001</v>
      </c>
      <c r="C1650">
        <f t="shared" si="75"/>
        <v>58.161519999999996</v>
      </c>
      <c r="D1650">
        <v>0.70761538461538476</v>
      </c>
      <c r="E1650">
        <f t="shared" si="76"/>
        <v>4.0632239676843058</v>
      </c>
      <c r="I1650" s="24">
        <f t="shared" si="77"/>
        <v>0.79977075662295982</v>
      </c>
      <c r="N1650" s="30">
        <v>36427.580645161288</v>
      </c>
    </row>
    <row r="1651" spans="1:14" x14ac:dyDescent="0.3">
      <c r="A1651">
        <v>25.121400000000001</v>
      </c>
      <c r="B1651">
        <v>57.576900000000002</v>
      </c>
      <c r="C1651">
        <f t="shared" si="75"/>
        <v>58.061519999999994</v>
      </c>
      <c r="D1651">
        <v>0.70738461538461539</v>
      </c>
      <c r="E1651">
        <f t="shared" si="76"/>
        <v>4.061503138067784</v>
      </c>
      <c r="I1651" s="24">
        <f t="shared" si="77"/>
        <v>0.79820986604094291</v>
      </c>
      <c r="N1651" s="30">
        <v>36419.709677419349</v>
      </c>
    </row>
    <row r="1652" spans="1:14" x14ac:dyDescent="0.3">
      <c r="A1652">
        <v>25.136600000000001</v>
      </c>
      <c r="B1652">
        <v>58.115400000000001</v>
      </c>
      <c r="C1652">
        <f t="shared" si="75"/>
        <v>58.099979999999995</v>
      </c>
      <c r="D1652">
        <v>0.70715384615384624</v>
      </c>
      <c r="E1652">
        <f t="shared" si="76"/>
        <v>4.0621653196237268</v>
      </c>
      <c r="I1652" s="24">
        <f t="shared" si="77"/>
        <v>0.79917112199759754</v>
      </c>
      <c r="N1652" s="30">
        <v>36411.838709677417</v>
      </c>
    </row>
    <row r="1653" spans="1:14" x14ac:dyDescent="0.3">
      <c r="A1653">
        <v>25.151900000000001</v>
      </c>
      <c r="B1653">
        <v>58.461500000000001</v>
      </c>
      <c r="C1653">
        <f t="shared" si="75"/>
        <v>58.069219999999994</v>
      </c>
      <c r="D1653">
        <v>0.70692307692307699</v>
      </c>
      <c r="E1653">
        <f t="shared" si="76"/>
        <v>4.0616357472289977</v>
      </c>
      <c r="I1653" s="24">
        <f t="shared" si="77"/>
        <v>0.79887133802922894</v>
      </c>
      <c r="N1653" s="30">
        <v>36403.967741935478</v>
      </c>
    </row>
    <row r="1654" spans="1:14" x14ac:dyDescent="0.3">
      <c r="A1654">
        <v>25.167100000000001</v>
      </c>
      <c r="B1654">
        <v>58.384599999999999</v>
      </c>
      <c r="C1654">
        <f t="shared" si="75"/>
        <v>58</v>
      </c>
      <c r="D1654">
        <v>0.70669230769230773</v>
      </c>
      <c r="E1654">
        <f t="shared" si="76"/>
        <v>4.0604430105464191</v>
      </c>
      <c r="I1654" s="24">
        <f t="shared" si="77"/>
        <v>0.79787046648339399</v>
      </c>
      <c r="N1654" s="30">
        <v>36396.096774193546</v>
      </c>
    </row>
    <row r="1655" spans="1:14" x14ac:dyDescent="0.3">
      <c r="A1655">
        <v>25.182300000000001</v>
      </c>
      <c r="B1655">
        <v>57.807699999999997</v>
      </c>
      <c r="C1655">
        <f t="shared" si="75"/>
        <v>57.8</v>
      </c>
      <c r="D1655">
        <v>0.70646153846153859</v>
      </c>
      <c r="E1655">
        <f t="shared" si="76"/>
        <v>4.0569887756783318</v>
      </c>
      <c r="I1655" s="24">
        <f t="shared" si="77"/>
        <v>0.7944870552801262</v>
      </c>
      <c r="N1655" s="30">
        <v>36388.225806451606</v>
      </c>
    </row>
    <row r="1656" spans="1:14" x14ac:dyDescent="0.3">
      <c r="A1656">
        <v>25.197600000000001</v>
      </c>
      <c r="B1656">
        <v>57.230800000000002</v>
      </c>
      <c r="C1656">
        <f t="shared" si="75"/>
        <v>57.5154</v>
      </c>
      <c r="D1656">
        <v>0.70623076923076922</v>
      </c>
      <c r="E1656">
        <f t="shared" si="76"/>
        <v>4.0520527380312572</v>
      </c>
      <c r="I1656" s="24">
        <f t="shared" si="77"/>
        <v>0.78956656158387206</v>
      </c>
      <c r="N1656" s="30">
        <v>36380.354838709674</v>
      </c>
    </row>
    <row r="1657" spans="1:14" x14ac:dyDescent="0.3">
      <c r="A1657">
        <v>25.212800000000001</v>
      </c>
      <c r="B1657">
        <v>57.115400000000001</v>
      </c>
      <c r="C1657">
        <f t="shared" si="75"/>
        <v>57.723100000000002</v>
      </c>
      <c r="D1657">
        <v>0.70600000000000007</v>
      </c>
      <c r="E1657">
        <f t="shared" si="76"/>
        <v>4.0556574400171783</v>
      </c>
      <c r="I1657" s="24">
        <f t="shared" si="77"/>
        <v>0.79360548147795662</v>
      </c>
      <c r="N1657" s="30">
        <v>36372.483870967735</v>
      </c>
    </row>
    <row r="1658" spans="1:14" x14ac:dyDescent="0.3">
      <c r="A1658">
        <v>25.228000000000002</v>
      </c>
      <c r="B1658">
        <v>57.038499999999999</v>
      </c>
      <c r="C1658">
        <f t="shared" ref="C1658:C1721" si="78">AVERAGE(B1656:B1660)</f>
        <v>58.169260000000008</v>
      </c>
      <c r="D1658">
        <v>0.70576923076923082</v>
      </c>
      <c r="E1658">
        <f t="shared" ref="E1658:E1721" si="79">LN(C1658)</f>
        <v>4.0633570365077327</v>
      </c>
      <c r="I1658" s="24">
        <f t="shared" ref="I1658:I1721" si="80">(0.0026*(EXP(1.3248*E1658)))/D1658</f>
        <v>0.80200417253396372</v>
      </c>
      <c r="N1658" s="30">
        <v>36364.612903225803</v>
      </c>
    </row>
    <row r="1659" spans="1:14" x14ac:dyDescent="0.3">
      <c r="A1659">
        <v>25.243300000000001</v>
      </c>
      <c r="B1659">
        <v>59.423099999999998</v>
      </c>
      <c r="C1659">
        <f t="shared" si="78"/>
        <v>58.846180000000004</v>
      </c>
      <c r="D1659">
        <v>0.70553846153846167</v>
      </c>
      <c r="E1659">
        <f t="shared" si="79"/>
        <v>4.0749269208093448</v>
      </c>
      <c r="I1659" s="24">
        <f t="shared" si="80"/>
        <v>0.8146581864855168</v>
      </c>
      <c r="N1659" s="30">
        <v>36356.741935483864</v>
      </c>
    </row>
    <row r="1660" spans="1:14" x14ac:dyDescent="0.3">
      <c r="A1660">
        <v>25.258500000000002</v>
      </c>
      <c r="B1660">
        <v>60.038499999999999</v>
      </c>
      <c r="C1660">
        <f t="shared" si="78"/>
        <v>59.453859999999999</v>
      </c>
      <c r="D1660">
        <v>0.70530769230769241</v>
      </c>
      <c r="E1660">
        <f t="shared" si="79"/>
        <v>4.0852005495403807</v>
      </c>
      <c r="I1660" s="24">
        <f t="shared" si="80"/>
        <v>0.82609209416487517</v>
      </c>
      <c r="N1660" s="30">
        <v>36348.870967741932</v>
      </c>
    </row>
    <row r="1661" spans="1:14" x14ac:dyDescent="0.3">
      <c r="A1661">
        <v>25.273700000000002</v>
      </c>
      <c r="B1661">
        <v>60.615400000000001</v>
      </c>
      <c r="C1661">
        <f t="shared" si="78"/>
        <v>60.0154</v>
      </c>
      <c r="D1661">
        <v>0.70507692307692316</v>
      </c>
      <c r="E1661">
        <f t="shared" si="79"/>
        <v>4.094601195955514</v>
      </c>
      <c r="I1661" s="24">
        <f t="shared" si="80"/>
        <v>0.83671832184081874</v>
      </c>
      <c r="J1661">
        <v>1999</v>
      </c>
      <c r="K1661">
        <f>AVERAGE(I1661:I1767)</f>
        <v>0.69070074553793115</v>
      </c>
      <c r="L1661">
        <f>A1767-A1661</f>
        <v>1.6148599999999966</v>
      </c>
      <c r="M1661">
        <f>K1661*L1661</f>
        <v>1.1153850059393811</v>
      </c>
      <c r="N1661" s="30">
        <v>36341</v>
      </c>
    </row>
    <row r="1662" spans="1:14" x14ac:dyDescent="0.3">
      <c r="A1662">
        <v>25.289000000000001</v>
      </c>
      <c r="B1662">
        <v>60.153799999999997</v>
      </c>
      <c r="C1662">
        <f t="shared" si="78"/>
        <v>59.938480000000006</v>
      </c>
      <c r="D1662">
        <v>0.7048461538461539</v>
      </c>
      <c r="E1662">
        <f t="shared" si="79"/>
        <v>4.0933187028749547</v>
      </c>
      <c r="I1662" s="24">
        <f t="shared" si="80"/>
        <v>0.8355713848601185</v>
      </c>
      <c r="N1662" s="30">
        <v>36339.581395348832</v>
      </c>
    </row>
    <row r="1663" spans="1:14" x14ac:dyDescent="0.3">
      <c r="A1663">
        <v>25.304200000000002</v>
      </c>
      <c r="B1663">
        <v>59.846200000000003</v>
      </c>
      <c r="C1663">
        <f t="shared" si="78"/>
        <v>59.500019999999992</v>
      </c>
      <c r="D1663">
        <v>0.70461538461538464</v>
      </c>
      <c r="E1663">
        <f t="shared" si="79"/>
        <v>4.085976648685981</v>
      </c>
      <c r="I1663" s="24">
        <f t="shared" si="80"/>
        <v>0.82775439665113426</v>
      </c>
      <c r="N1663" s="30">
        <v>36338.162790697672</v>
      </c>
    </row>
    <row r="1664" spans="1:14" x14ac:dyDescent="0.3">
      <c r="A1664">
        <v>25.319400000000002</v>
      </c>
      <c r="B1664">
        <v>59.038499999999999</v>
      </c>
      <c r="C1664">
        <f t="shared" si="78"/>
        <v>58.746180000000003</v>
      </c>
      <c r="D1664">
        <v>0.7043846153846155</v>
      </c>
      <c r="E1664">
        <f t="shared" si="79"/>
        <v>4.0732261296336976</v>
      </c>
      <c r="I1664" s="24">
        <f t="shared" si="80"/>
        <v>0.81415613927743402</v>
      </c>
      <c r="N1664" s="30">
        <v>36336.744186046511</v>
      </c>
    </row>
    <row r="1665" spans="1:14" x14ac:dyDescent="0.3">
      <c r="A1665">
        <v>25.334700000000002</v>
      </c>
      <c r="B1665">
        <v>57.846200000000003</v>
      </c>
      <c r="C1665">
        <f t="shared" si="78"/>
        <v>57.707720000000009</v>
      </c>
      <c r="D1665">
        <v>0.70415384615384624</v>
      </c>
      <c r="E1665">
        <f t="shared" si="79"/>
        <v>4.055390960058169</v>
      </c>
      <c r="I1665" s="24">
        <f t="shared" si="80"/>
        <v>0.79540530642459861</v>
      </c>
      <c r="N1665" s="30">
        <v>36335.325581395344</v>
      </c>
    </row>
    <row r="1666" spans="1:14" x14ac:dyDescent="0.3">
      <c r="A1666">
        <v>25.349900000000002</v>
      </c>
      <c r="B1666">
        <v>56.846200000000003</v>
      </c>
      <c r="C1666">
        <f t="shared" si="78"/>
        <v>56.669240000000002</v>
      </c>
      <c r="D1666">
        <v>0.70392307692307698</v>
      </c>
      <c r="E1666">
        <f t="shared" si="79"/>
        <v>4.0372315591157752</v>
      </c>
      <c r="I1666" s="24">
        <f t="shared" si="80"/>
        <v>0.77675268818039478</v>
      </c>
      <c r="N1666" s="30">
        <v>36333.906976744183</v>
      </c>
    </row>
    <row r="1667" spans="1:14" x14ac:dyDescent="0.3">
      <c r="A1667">
        <v>25.365100000000002</v>
      </c>
      <c r="B1667">
        <v>54.961500000000001</v>
      </c>
      <c r="C1667">
        <f t="shared" si="78"/>
        <v>55.715380000000003</v>
      </c>
      <c r="D1667">
        <v>0.70369230769230773</v>
      </c>
      <c r="E1667">
        <f t="shared" si="79"/>
        <v>4.0202562309011372</v>
      </c>
      <c r="I1667" s="24">
        <f t="shared" si="80"/>
        <v>0.75972838483449312</v>
      </c>
      <c r="N1667" s="30">
        <v>36332.488372093023</v>
      </c>
    </row>
    <row r="1668" spans="1:14" x14ac:dyDescent="0.3">
      <c r="A1668">
        <v>25.380400000000002</v>
      </c>
      <c r="B1668">
        <v>54.653799999999997</v>
      </c>
      <c r="C1668">
        <f t="shared" si="78"/>
        <v>54.9846</v>
      </c>
      <c r="D1668">
        <v>0.70346153846153858</v>
      </c>
      <c r="E1668">
        <f t="shared" si="79"/>
        <v>4.0070531460251519</v>
      </c>
      <c r="I1668" s="24">
        <f t="shared" si="80"/>
        <v>0.7468000872506636</v>
      </c>
      <c r="N1668" s="30">
        <v>36331.069767441855</v>
      </c>
    </row>
    <row r="1669" spans="1:14" x14ac:dyDescent="0.3">
      <c r="A1669">
        <v>25.395600000000002</v>
      </c>
      <c r="B1669">
        <v>54.269199999999998</v>
      </c>
      <c r="C1669">
        <f t="shared" si="78"/>
        <v>54.499979999999994</v>
      </c>
      <c r="D1669">
        <v>0.70323076923076933</v>
      </c>
      <c r="E1669">
        <f t="shared" si="79"/>
        <v>3.9982003346966537</v>
      </c>
      <c r="I1669" s="24">
        <f t="shared" si="80"/>
        <v>0.73833483375697206</v>
      </c>
      <c r="N1669" s="30">
        <v>36329.651162790695</v>
      </c>
    </row>
    <row r="1670" spans="1:14" x14ac:dyDescent="0.3">
      <c r="A1670">
        <v>25.410799999999998</v>
      </c>
      <c r="B1670">
        <v>54.192300000000003</v>
      </c>
      <c r="C1670">
        <f t="shared" si="78"/>
        <v>54.4846</v>
      </c>
      <c r="D1670">
        <v>0.70300000000000007</v>
      </c>
      <c r="E1670">
        <f t="shared" si="79"/>
        <v>3.9979180929317715</v>
      </c>
      <c r="I1670" s="24">
        <f t="shared" si="80"/>
        <v>0.73830108947305073</v>
      </c>
      <c r="N1670" s="30">
        <v>36328.232558139534</v>
      </c>
    </row>
    <row r="1671" spans="1:14" x14ac:dyDescent="0.3">
      <c r="A1671">
        <v>25.426100000000002</v>
      </c>
      <c r="B1671">
        <v>54.423099999999998</v>
      </c>
      <c r="C1671">
        <f t="shared" si="78"/>
        <v>54.615380000000002</v>
      </c>
      <c r="D1671">
        <v>0.70276923076923081</v>
      </c>
      <c r="E1671">
        <f t="shared" si="79"/>
        <v>4.0003155280667784</v>
      </c>
      <c r="I1671" s="24">
        <f t="shared" si="80"/>
        <v>0.74089295980573655</v>
      </c>
      <c r="N1671" s="30">
        <v>36326.813953488367</v>
      </c>
    </row>
    <row r="1672" spans="1:14" x14ac:dyDescent="0.3">
      <c r="A1672">
        <v>25.441299999999998</v>
      </c>
      <c r="B1672">
        <v>54.884599999999999</v>
      </c>
      <c r="C1672">
        <f t="shared" si="78"/>
        <v>54.853840000000005</v>
      </c>
      <c r="D1672">
        <v>0.70253846153846156</v>
      </c>
      <c r="E1672">
        <f t="shared" si="79"/>
        <v>4.0046721933864857</v>
      </c>
      <c r="I1672" s="24">
        <f t="shared" si="80"/>
        <v>0.74542632019034094</v>
      </c>
      <c r="N1672" s="30">
        <v>36325.395348837206</v>
      </c>
    </row>
    <row r="1673" spans="1:14" x14ac:dyDescent="0.3">
      <c r="A1673">
        <v>25.456499999999998</v>
      </c>
      <c r="B1673">
        <v>55.307699999999997</v>
      </c>
      <c r="C1673">
        <f t="shared" si="78"/>
        <v>55.469219999999993</v>
      </c>
      <c r="D1673">
        <v>0.70230769230769241</v>
      </c>
      <c r="E1673">
        <f t="shared" si="79"/>
        <v>4.0158282723133283</v>
      </c>
      <c r="I1673" s="24">
        <f t="shared" si="80"/>
        <v>0.75677380405230343</v>
      </c>
      <c r="N1673" s="30">
        <v>36323.976744186046</v>
      </c>
    </row>
    <row r="1674" spans="1:14" x14ac:dyDescent="0.3">
      <c r="A1674">
        <v>25.471800000000002</v>
      </c>
      <c r="B1674">
        <v>55.461500000000001</v>
      </c>
      <c r="C1674">
        <f t="shared" si="78"/>
        <v>56.161519999999996</v>
      </c>
      <c r="D1674">
        <v>0.70207692307692315</v>
      </c>
      <c r="E1674">
        <f t="shared" si="79"/>
        <v>4.0282318248783566</v>
      </c>
      <c r="I1674" s="24">
        <f t="shared" si="80"/>
        <v>0.76956488487787467</v>
      </c>
      <c r="N1674" s="30">
        <v>36322.558139534878</v>
      </c>
    </row>
    <row r="1675" spans="1:14" x14ac:dyDescent="0.3">
      <c r="A1675">
        <v>25.486999999999998</v>
      </c>
      <c r="B1675">
        <v>57.269199999999998</v>
      </c>
      <c r="C1675">
        <f t="shared" si="78"/>
        <v>56.807680000000005</v>
      </c>
      <c r="D1675">
        <v>0.70184615384615401</v>
      </c>
      <c r="E1675">
        <f t="shared" si="79"/>
        <v>4.0396715278544919</v>
      </c>
      <c r="I1675" s="24">
        <f t="shared" si="80"/>
        <v>0.78157361162848937</v>
      </c>
      <c r="N1675" s="30">
        <v>36321.139534883718</v>
      </c>
    </row>
    <row r="1676" spans="1:14" x14ac:dyDescent="0.3">
      <c r="A1676">
        <v>25.502199999999998</v>
      </c>
      <c r="B1676">
        <v>57.884599999999999</v>
      </c>
      <c r="C1676">
        <f t="shared" si="78"/>
        <v>57.330759999999998</v>
      </c>
      <c r="D1676">
        <v>0.70161538461538464</v>
      </c>
      <c r="E1676">
        <f t="shared" si="79"/>
        <v>4.048837303417109</v>
      </c>
      <c r="I1676" s="24">
        <f t="shared" si="80"/>
        <v>0.79138218254706671</v>
      </c>
      <c r="N1676" s="30">
        <v>36319.720930232557</v>
      </c>
    </row>
    <row r="1677" spans="1:14" x14ac:dyDescent="0.3">
      <c r="A1677">
        <v>25.517499999999998</v>
      </c>
      <c r="B1677">
        <v>58.115400000000001</v>
      </c>
      <c r="C1677">
        <f t="shared" si="78"/>
        <v>57.846159999999998</v>
      </c>
      <c r="D1677">
        <v>0.7013846153846155</v>
      </c>
      <c r="E1677">
        <f t="shared" si="79"/>
        <v>4.0577870728712764</v>
      </c>
      <c r="I1677" s="24">
        <f t="shared" si="80"/>
        <v>0.80108466037685855</v>
      </c>
      <c r="N1677" s="30">
        <v>36318.30232558139</v>
      </c>
    </row>
    <row r="1678" spans="1:14" x14ac:dyDescent="0.3">
      <c r="A1678">
        <v>25.532699999999998</v>
      </c>
      <c r="B1678">
        <v>57.923099999999998</v>
      </c>
      <c r="C1678">
        <f t="shared" si="78"/>
        <v>58.161559999999994</v>
      </c>
      <c r="D1678">
        <v>0.70115384615384624</v>
      </c>
      <c r="E1678">
        <f t="shared" si="79"/>
        <v>4.0632246554240048</v>
      </c>
      <c r="I1678" s="24">
        <f t="shared" si="80"/>
        <v>0.80714184238646014</v>
      </c>
      <c r="N1678" s="30">
        <v>36316.883720930229</v>
      </c>
    </row>
    <row r="1679" spans="1:14" x14ac:dyDescent="0.3">
      <c r="A1679">
        <v>25.547999999999998</v>
      </c>
      <c r="B1679">
        <v>58.038499999999999</v>
      </c>
      <c r="C1679">
        <f t="shared" si="78"/>
        <v>58.476939999999999</v>
      </c>
      <c r="D1679">
        <v>0.70092307692307698</v>
      </c>
      <c r="E1679">
        <f t="shared" si="79"/>
        <v>4.0686324884910965</v>
      </c>
      <c r="I1679" s="24">
        <f t="shared" si="80"/>
        <v>0.81321286113855173</v>
      </c>
      <c r="N1679" s="30">
        <v>36315.465116279069</v>
      </c>
    </row>
    <row r="1680" spans="1:14" x14ac:dyDescent="0.3">
      <c r="A1680">
        <v>25.563199999999998</v>
      </c>
      <c r="B1680">
        <v>58.846200000000003</v>
      </c>
      <c r="C1680">
        <f t="shared" si="78"/>
        <v>58.75386000000001</v>
      </c>
      <c r="D1680">
        <v>0.70069230769230784</v>
      </c>
      <c r="E1680">
        <f t="shared" si="79"/>
        <v>4.0733568529936379</v>
      </c>
      <c r="I1680" s="24">
        <f t="shared" si="80"/>
        <v>0.81858809888184714</v>
      </c>
      <c r="N1680" s="30">
        <v>36314.046511627901</v>
      </c>
    </row>
    <row r="1681" spans="1:14" x14ac:dyDescent="0.3">
      <c r="A1681">
        <v>25.578399999999998</v>
      </c>
      <c r="B1681">
        <v>59.461500000000001</v>
      </c>
      <c r="C1681">
        <f t="shared" si="78"/>
        <v>59.069240000000001</v>
      </c>
      <c r="D1681">
        <v>0.70046153846153847</v>
      </c>
      <c r="E1681">
        <f t="shared" si="79"/>
        <v>4.0787103151452966</v>
      </c>
      <c r="I1681" s="24">
        <f t="shared" si="80"/>
        <v>0.82468598619118294</v>
      </c>
      <c r="N1681" s="30">
        <v>36312.627906976741</v>
      </c>
    </row>
    <row r="1682" spans="1:14" x14ac:dyDescent="0.3">
      <c r="A1682">
        <v>25.593699999999998</v>
      </c>
      <c r="B1682">
        <v>59.5</v>
      </c>
      <c r="C1682">
        <f t="shared" si="78"/>
        <v>59.338459999999998</v>
      </c>
      <c r="D1682">
        <v>0.70023076923076932</v>
      </c>
      <c r="E1682">
        <f t="shared" si="79"/>
        <v>4.0832576623857042</v>
      </c>
      <c r="I1682" s="24">
        <f t="shared" si="80"/>
        <v>0.82994258532802112</v>
      </c>
      <c r="N1682" s="30">
        <v>36311.20930232558</v>
      </c>
    </row>
    <row r="1683" spans="1:14" x14ac:dyDescent="0.3">
      <c r="A1683">
        <v>25.608899999999998</v>
      </c>
      <c r="B1683">
        <v>59.5</v>
      </c>
      <c r="C1683">
        <f t="shared" si="78"/>
        <v>59.44614</v>
      </c>
      <c r="D1683">
        <v>0.70000000000000007</v>
      </c>
      <c r="E1683">
        <f t="shared" si="79"/>
        <v>4.0850706925174896</v>
      </c>
      <c r="I1683" s="24">
        <f t="shared" si="80"/>
        <v>0.83221268770515266</v>
      </c>
      <c r="N1683" s="30">
        <v>36309.79069767442</v>
      </c>
    </row>
    <row r="1684" spans="1:14" x14ac:dyDescent="0.3">
      <c r="A1684">
        <v>25.624099999999999</v>
      </c>
      <c r="B1684">
        <v>59.384599999999999</v>
      </c>
      <c r="C1684">
        <f t="shared" si="78"/>
        <v>59.438459999999999</v>
      </c>
      <c r="D1684">
        <v>0.69976923076923092</v>
      </c>
      <c r="E1684">
        <f t="shared" si="79"/>
        <v>4.0849414915947344</v>
      </c>
      <c r="I1684" s="24">
        <f t="shared" si="80"/>
        <v>0.83234465322861373</v>
      </c>
      <c r="N1684" s="30">
        <v>36308.372093023252</v>
      </c>
    </row>
    <row r="1685" spans="1:14" x14ac:dyDescent="0.3">
      <c r="A1685">
        <v>25.639399999999998</v>
      </c>
      <c r="B1685">
        <v>59.384599999999999</v>
      </c>
      <c r="C1685">
        <f t="shared" si="78"/>
        <v>59.384620000000005</v>
      </c>
      <c r="D1685">
        <v>0.69953846153846166</v>
      </c>
      <c r="E1685">
        <f t="shared" si="79"/>
        <v>4.0840352702834437</v>
      </c>
      <c r="I1685" s="24">
        <f t="shared" si="80"/>
        <v>0.8316202224076088</v>
      </c>
      <c r="N1685" s="30">
        <v>36306.953488372092</v>
      </c>
    </row>
    <row r="1686" spans="1:14" x14ac:dyDescent="0.3">
      <c r="A1686">
        <v>25.654599999999999</v>
      </c>
      <c r="B1686">
        <v>59.423099999999998</v>
      </c>
      <c r="C1686">
        <f t="shared" si="78"/>
        <v>59.107700000000001</v>
      </c>
      <c r="D1686">
        <v>0.69930769230769241</v>
      </c>
      <c r="E1686">
        <f t="shared" si="79"/>
        <v>4.0793612035734084</v>
      </c>
      <c r="I1686" s="24">
        <f t="shared" si="80"/>
        <v>0.826759309242034</v>
      </c>
      <c r="N1686" s="30">
        <v>36305.534883720931</v>
      </c>
    </row>
    <row r="1687" spans="1:14" x14ac:dyDescent="0.3">
      <c r="A1687">
        <v>25.669799999999999</v>
      </c>
      <c r="B1687">
        <v>59.230800000000002</v>
      </c>
      <c r="C1687">
        <f t="shared" si="78"/>
        <v>58.54616</v>
      </c>
      <c r="D1687">
        <v>0.69907692307692315</v>
      </c>
      <c r="E1687">
        <f t="shared" si="79"/>
        <v>4.0698155029228271</v>
      </c>
      <c r="I1687" s="24">
        <f t="shared" si="80"/>
        <v>0.81663931198600859</v>
      </c>
      <c r="N1687" s="30">
        <v>36304.116279069764</v>
      </c>
    </row>
    <row r="1688" spans="1:14" x14ac:dyDescent="0.3">
      <c r="A1688">
        <v>25.685099999999998</v>
      </c>
      <c r="B1688">
        <v>58.115400000000001</v>
      </c>
      <c r="C1688">
        <f t="shared" si="78"/>
        <v>57.7</v>
      </c>
      <c r="D1688">
        <v>0.69884615384615389</v>
      </c>
      <c r="E1688">
        <f t="shared" si="79"/>
        <v>4.0552571735140539</v>
      </c>
      <c r="I1688" s="24">
        <f t="shared" si="80"/>
        <v>0.80130432328817502</v>
      </c>
      <c r="N1688" s="30">
        <v>36302.697674418603</v>
      </c>
    </row>
    <row r="1689" spans="1:14" x14ac:dyDescent="0.3">
      <c r="A1689">
        <v>25.700299999999999</v>
      </c>
      <c r="B1689">
        <v>56.576900000000002</v>
      </c>
      <c r="C1689">
        <f t="shared" si="78"/>
        <v>55.830759999999998</v>
      </c>
      <c r="D1689">
        <v>0.69861538461538475</v>
      </c>
      <c r="E1689">
        <f t="shared" si="79"/>
        <v>4.0223249719826164</v>
      </c>
      <c r="I1689" s="24">
        <f t="shared" si="80"/>
        <v>0.76734959489661259</v>
      </c>
      <c r="N1689" s="30">
        <v>36301.279069767443</v>
      </c>
    </row>
    <row r="1690" spans="1:14" x14ac:dyDescent="0.3">
      <c r="A1690">
        <v>25.715499999999999</v>
      </c>
      <c r="B1690">
        <v>55.153799999999997</v>
      </c>
      <c r="C1690">
        <f t="shared" si="78"/>
        <v>53.853840000000005</v>
      </c>
      <c r="D1690">
        <v>0.69838461538461549</v>
      </c>
      <c r="E1690">
        <f t="shared" si="79"/>
        <v>3.9862737102522185</v>
      </c>
      <c r="I1690" s="24">
        <f t="shared" si="80"/>
        <v>0.73180359084631263</v>
      </c>
      <c r="N1690" s="30">
        <v>36299.860465116275</v>
      </c>
    </row>
    <row r="1691" spans="1:14" x14ac:dyDescent="0.3">
      <c r="A1691">
        <v>25.730799999999999</v>
      </c>
      <c r="B1691">
        <v>50.076900000000002</v>
      </c>
      <c r="C1691">
        <f t="shared" si="78"/>
        <v>51.9</v>
      </c>
      <c r="D1691">
        <v>0.69815384615384624</v>
      </c>
      <c r="E1691">
        <f t="shared" si="79"/>
        <v>3.949318790171843</v>
      </c>
      <c r="I1691" s="24">
        <f t="shared" si="80"/>
        <v>0.69706925598777836</v>
      </c>
      <c r="N1691" s="30">
        <v>36298.441860465115</v>
      </c>
    </row>
    <row r="1692" spans="1:14" x14ac:dyDescent="0.3">
      <c r="A1692">
        <v>25.745999999999999</v>
      </c>
      <c r="B1692">
        <v>49.346200000000003</v>
      </c>
      <c r="C1692">
        <f t="shared" si="78"/>
        <v>50.184620000000002</v>
      </c>
      <c r="D1692">
        <v>0.69792307692307698</v>
      </c>
      <c r="E1692">
        <f t="shared" si="79"/>
        <v>3.9157086052534358</v>
      </c>
      <c r="I1692" s="24">
        <f t="shared" si="80"/>
        <v>0.66693233403180963</v>
      </c>
      <c r="N1692" s="30">
        <v>36297.023255813954</v>
      </c>
    </row>
    <row r="1693" spans="1:14" x14ac:dyDescent="0.3">
      <c r="A1693">
        <v>25.761199999999999</v>
      </c>
      <c r="B1693">
        <v>48.346200000000003</v>
      </c>
      <c r="C1693">
        <f t="shared" si="78"/>
        <v>48.738480000000003</v>
      </c>
      <c r="D1693">
        <v>0.69769230769230783</v>
      </c>
      <c r="E1693">
        <f t="shared" si="79"/>
        <v>3.8864688618264864</v>
      </c>
      <c r="I1693" s="24">
        <f t="shared" si="80"/>
        <v>0.64180369538843562</v>
      </c>
      <c r="N1693" s="30">
        <v>36295.604651162786</v>
      </c>
    </row>
    <row r="1694" spans="1:14" x14ac:dyDescent="0.3">
      <c r="A1694">
        <v>25.776499999999999</v>
      </c>
      <c r="B1694">
        <v>48</v>
      </c>
      <c r="C1694">
        <f t="shared" si="78"/>
        <v>48.330800000000004</v>
      </c>
      <c r="D1694">
        <v>0.69746153846153858</v>
      </c>
      <c r="E1694">
        <f t="shared" si="79"/>
        <v>3.8780690385857106</v>
      </c>
      <c r="I1694" s="24">
        <f t="shared" si="80"/>
        <v>0.63491124415761413</v>
      </c>
      <c r="N1694" s="30">
        <v>36294.186046511626</v>
      </c>
    </row>
    <row r="1695" spans="1:14" x14ac:dyDescent="0.3">
      <c r="A1695">
        <v>25.791699999999999</v>
      </c>
      <c r="B1695">
        <v>47.923099999999998</v>
      </c>
      <c r="C1695">
        <f t="shared" si="78"/>
        <v>48.100020000000008</v>
      </c>
      <c r="D1695">
        <v>0.69723076923076932</v>
      </c>
      <c r="E1695">
        <f t="shared" si="79"/>
        <v>3.8732825929120449</v>
      </c>
      <c r="I1695" s="24">
        <f t="shared" si="80"/>
        <v>0.63110677127417381</v>
      </c>
      <c r="N1695" s="30">
        <v>36292.767441860466</v>
      </c>
    </row>
    <row r="1696" spans="1:14" x14ac:dyDescent="0.3">
      <c r="A1696">
        <v>25.806899999999999</v>
      </c>
      <c r="B1696">
        <v>48.038499999999999</v>
      </c>
      <c r="C1696">
        <f t="shared" si="78"/>
        <v>48.061540000000001</v>
      </c>
      <c r="D1696">
        <v>0.69700000000000006</v>
      </c>
      <c r="E1696">
        <f t="shared" si="79"/>
        <v>3.8724822730741821</v>
      </c>
      <c r="I1696" s="24">
        <f t="shared" si="80"/>
        <v>0.63064671752859713</v>
      </c>
      <c r="N1696" s="30">
        <v>36291.348837209298</v>
      </c>
    </row>
    <row r="1697" spans="1:14" x14ac:dyDescent="0.3">
      <c r="A1697">
        <v>25.822199999999999</v>
      </c>
      <c r="B1697">
        <v>48.192300000000003</v>
      </c>
      <c r="C1697">
        <f t="shared" si="78"/>
        <v>48.030780000000007</v>
      </c>
      <c r="D1697">
        <v>0.69676923076923081</v>
      </c>
      <c r="E1697">
        <f t="shared" si="79"/>
        <v>3.871842055394962</v>
      </c>
      <c r="I1697" s="24">
        <f t="shared" si="80"/>
        <v>0.63032074718477371</v>
      </c>
      <c r="N1697" s="30">
        <v>36289.930232558138</v>
      </c>
    </row>
    <row r="1698" spans="1:14" x14ac:dyDescent="0.3">
      <c r="A1698">
        <v>25.837399999999999</v>
      </c>
      <c r="B1698">
        <v>48.153799999999997</v>
      </c>
      <c r="C1698">
        <f t="shared" si="78"/>
        <v>47.969239999999999</v>
      </c>
      <c r="D1698">
        <v>0.69653846153846166</v>
      </c>
      <c r="E1698">
        <f t="shared" si="79"/>
        <v>3.8705599721531119</v>
      </c>
      <c r="I1698" s="24">
        <f t="shared" si="80"/>
        <v>0.62945952997647014</v>
      </c>
      <c r="N1698" s="30">
        <v>36288.511627906977</v>
      </c>
    </row>
    <row r="1699" spans="1:14" x14ac:dyDescent="0.3">
      <c r="A1699">
        <v>25.852599999999999</v>
      </c>
      <c r="B1699">
        <v>47.846200000000003</v>
      </c>
      <c r="C1699">
        <f t="shared" si="78"/>
        <v>47.876919999999998</v>
      </c>
      <c r="D1699">
        <v>0.69630769230769241</v>
      </c>
      <c r="E1699">
        <f t="shared" si="79"/>
        <v>3.8686335511352907</v>
      </c>
      <c r="I1699" s="24">
        <f t="shared" si="80"/>
        <v>0.62806320308655283</v>
      </c>
      <c r="N1699" s="30">
        <v>36287.093023255809</v>
      </c>
    </row>
    <row r="1700" spans="1:14" x14ac:dyDescent="0.3">
      <c r="A1700">
        <v>25.867899999999999</v>
      </c>
      <c r="B1700">
        <v>47.615400000000001</v>
      </c>
      <c r="C1700">
        <f t="shared" si="78"/>
        <v>47.876919999999998</v>
      </c>
      <c r="D1700">
        <v>0.69607692307692326</v>
      </c>
      <c r="E1700">
        <f t="shared" si="79"/>
        <v>3.8686335511352907</v>
      </c>
      <c r="I1700" s="24">
        <f t="shared" si="80"/>
        <v>0.62827142384125056</v>
      </c>
      <c r="N1700" s="30">
        <v>36285.674418604649</v>
      </c>
    </row>
    <row r="1701" spans="1:14" x14ac:dyDescent="0.3">
      <c r="A1701">
        <v>25.883099999999999</v>
      </c>
      <c r="B1701">
        <v>47.576900000000002</v>
      </c>
      <c r="C1701">
        <f t="shared" si="78"/>
        <v>47.915399999999998</v>
      </c>
      <c r="D1701">
        <v>0.69584615384615389</v>
      </c>
      <c r="E1701">
        <f t="shared" si="79"/>
        <v>3.8694369558773363</v>
      </c>
      <c r="I1701" s="24">
        <f t="shared" si="80"/>
        <v>0.62914906164967266</v>
      </c>
      <c r="N1701" s="30">
        <v>36284.255813953489</v>
      </c>
    </row>
    <row r="1702" spans="1:14" x14ac:dyDescent="0.3">
      <c r="A1702">
        <v>25.898299999999999</v>
      </c>
      <c r="B1702">
        <v>48.192300000000003</v>
      </c>
      <c r="C1702">
        <f t="shared" si="78"/>
        <v>47.992320000000007</v>
      </c>
      <c r="D1702">
        <v>0.69561538461538475</v>
      </c>
      <c r="E1702">
        <f t="shared" si="79"/>
        <v>3.8710409981065257</v>
      </c>
      <c r="I1702" s="24">
        <f t="shared" si="80"/>
        <v>0.63069661021896262</v>
      </c>
      <c r="N1702" s="30">
        <v>36282.837209302321</v>
      </c>
    </row>
    <row r="1703" spans="1:14" x14ac:dyDescent="0.3">
      <c r="A1703">
        <v>25.913599999999999</v>
      </c>
      <c r="B1703">
        <v>48.346200000000003</v>
      </c>
      <c r="C1703">
        <f t="shared" si="78"/>
        <v>48.169240000000002</v>
      </c>
      <c r="D1703">
        <v>0.69538461538461549</v>
      </c>
      <c r="E1703">
        <f t="shared" si="79"/>
        <v>3.8747206430628167</v>
      </c>
      <c r="I1703" s="24">
        <f t="shared" si="80"/>
        <v>0.63398895681617407</v>
      </c>
      <c r="N1703" s="30">
        <v>36281.41860465116</v>
      </c>
    </row>
    <row r="1704" spans="1:14" x14ac:dyDescent="0.3">
      <c r="A1704">
        <v>25.928799999999999</v>
      </c>
      <c r="B1704">
        <v>48.230800000000002</v>
      </c>
      <c r="C1704">
        <f t="shared" si="78"/>
        <v>48.446159999999999</v>
      </c>
      <c r="D1704">
        <v>0.69515384615384623</v>
      </c>
      <c r="E1704">
        <f t="shared" si="79"/>
        <v>3.8804530782298317</v>
      </c>
      <c r="I1704" s="24">
        <f t="shared" si="80"/>
        <v>0.63903407573082938</v>
      </c>
      <c r="N1704" s="30">
        <v>36280</v>
      </c>
    </row>
    <row r="1705" spans="1:14" x14ac:dyDescent="0.3">
      <c r="A1705">
        <v>25.943999999999999</v>
      </c>
      <c r="B1705">
        <v>48.5</v>
      </c>
      <c r="C1705">
        <f t="shared" si="78"/>
        <v>49.05386</v>
      </c>
      <c r="D1705">
        <v>0.69492307692307709</v>
      </c>
      <c r="E1705">
        <f t="shared" si="79"/>
        <v>3.8929188781240369</v>
      </c>
      <c r="I1705" s="24">
        <f t="shared" si="80"/>
        <v>0.64989089502650865</v>
      </c>
      <c r="N1705" s="30">
        <v>36278.581395348832</v>
      </c>
    </row>
    <row r="1706" spans="1:14" x14ac:dyDescent="0.3">
      <c r="A1706">
        <v>25.959299999999999</v>
      </c>
      <c r="B1706">
        <v>48.961500000000001</v>
      </c>
      <c r="C1706">
        <f t="shared" si="78"/>
        <v>49.946159999999999</v>
      </c>
      <c r="D1706">
        <v>0.69469230769230772</v>
      </c>
      <c r="E1706">
        <f t="shared" si="79"/>
        <v>3.910945625262507</v>
      </c>
      <c r="I1706" s="24">
        <f t="shared" si="80"/>
        <v>0.66581940064745093</v>
      </c>
      <c r="N1706" s="30">
        <v>36277.162790697672</v>
      </c>
    </row>
    <row r="1707" spans="1:14" x14ac:dyDescent="0.3">
      <c r="A1707">
        <v>25.974499999999999</v>
      </c>
      <c r="B1707">
        <v>51.230800000000002</v>
      </c>
      <c r="C1707">
        <f t="shared" si="78"/>
        <v>51.107700000000001</v>
      </c>
      <c r="D1707">
        <v>0.69446153846153857</v>
      </c>
      <c r="E1707">
        <f t="shared" si="79"/>
        <v>3.9339351707893315</v>
      </c>
      <c r="I1707" s="24">
        <f t="shared" si="80"/>
        <v>0.68663802274429542</v>
      </c>
      <c r="N1707" s="30">
        <v>36275.744186046511</v>
      </c>
    </row>
    <row r="1708" spans="1:14" x14ac:dyDescent="0.3">
      <c r="A1708">
        <v>25.989699999999999</v>
      </c>
      <c r="B1708">
        <v>52.807699999999997</v>
      </c>
      <c r="C1708">
        <f t="shared" si="78"/>
        <v>52.230780000000003</v>
      </c>
      <c r="D1708">
        <v>0.69423076923076932</v>
      </c>
      <c r="E1708">
        <f t="shared" si="79"/>
        <v>3.9556719762827051</v>
      </c>
      <c r="I1708" s="24">
        <f t="shared" si="80"/>
        <v>0.70693345078512015</v>
      </c>
      <c r="N1708" s="30">
        <v>36274.325581395344</v>
      </c>
    </row>
    <row r="1709" spans="1:14" x14ac:dyDescent="0.3">
      <c r="A1709">
        <v>26.004999999999999</v>
      </c>
      <c r="B1709">
        <v>54.038499999999999</v>
      </c>
      <c r="C1709">
        <f t="shared" si="78"/>
        <v>52.992319999999992</v>
      </c>
      <c r="D1709" s="8">
        <v>0.69400000000000017</v>
      </c>
      <c r="E1709">
        <f t="shared" si="79"/>
        <v>3.9701469973919048</v>
      </c>
      <c r="I1709" s="24">
        <f t="shared" si="80"/>
        <v>0.72086040510487537</v>
      </c>
      <c r="N1709" s="30">
        <v>36272.906976744183</v>
      </c>
    </row>
    <row r="1710" spans="1:14" x14ac:dyDescent="0.3">
      <c r="A1710">
        <v>26.020199999999999</v>
      </c>
      <c r="B1710">
        <v>54.115400000000001</v>
      </c>
      <c r="C1710">
        <f t="shared" si="78"/>
        <v>53.023079999999993</v>
      </c>
      <c r="D1710">
        <v>0.69417424242424253</v>
      </c>
      <c r="E1710">
        <f t="shared" si="79"/>
        <v>3.9707272904599531</v>
      </c>
      <c r="I1710" s="24">
        <f t="shared" si="80"/>
        <v>0.72123371567077643</v>
      </c>
      <c r="N1710" s="30">
        <v>36271.488372093023</v>
      </c>
    </row>
    <row r="1711" spans="1:14" x14ac:dyDescent="0.3">
      <c r="A1711">
        <v>26.035399999999999</v>
      </c>
      <c r="B1711">
        <v>52.769199999999998</v>
      </c>
      <c r="C1711">
        <f t="shared" si="78"/>
        <v>52.523079999999993</v>
      </c>
      <c r="D1711">
        <v>0.69434848484848488</v>
      </c>
      <c r="E1711">
        <f t="shared" si="79"/>
        <v>3.9612526920410551</v>
      </c>
      <c r="I1711" s="24">
        <f t="shared" si="80"/>
        <v>0.71205867476720985</v>
      </c>
      <c r="N1711" s="30">
        <v>36270.069767441855</v>
      </c>
    </row>
    <row r="1712" spans="1:14" x14ac:dyDescent="0.3">
      <c r="A1712">
        <v>26.050699999999999</v>
      </c>
      <c r="B1712">
        <v>51.384599999999999</v>
      </c>
      <c r="C1712">
        <f t="shared" si="78"/>
        <v>51.653840000000002</v>
      </c>
      <c r="D1712">
        <v>0.69452272727272735</v>
      </c>
      <c r="E1712">
        <f t="shared" si="79"/>
        <v>3.9445645393654862</v>
      </c>
      <c r="I1712" s="24">
        <f t="shared" si="80"/>
        <v>0.69631416114438338</v>
      </c>
      <c r="N1712" s="30">
        <v>36268.651162790695</v>
      </c>
    </row>
    <row r="1713" spans="1:14" x14ac:dyDescent="0.3">
      <c r="A1713">
        <v>26.065899999999999</v>
      </c>
      <c r="B1713">
        <v>50.307699999999997</v>
      </c>
      <c r="C1713">
        <f t="shared" si="78"/>
        <v>50.730759999999997</v>
      </c>
      <c r="D1713">
        <v>0.69469696969696981</v>
      </c>
      <c r="E1713">
        <f t="shared" si="79"/>
        <v>3.9265324327397888</v>
      </c>
      <c r="I1713" s="24">
        <f t="shared" si="80"/>
        <v>0.67970654614913251</v>
      </c>
      <c r="N1713" s="30">
        <v>36267.232558139534</v>
      </c>
    </row>
    <row r="1714" spans="1:14" x14ac:dyDescent="0.3">
      <c r="A1714">
        <v>26.081199999999999</v>
      </c>
      <c r="B1714">
        <v>49.692300000000003</v>
      </c>
      <c r="C1714">
        <f t="shared" si="78"/>
        <v>49.984619999999993</v>
      </c>
      <c r="D1714">
        <v>0.69487121212121228</v>
      </c>
      <c r="E1714">
        <f t="shared" si="79"/>
        <v>3.9117153581095621</v>
      </c>
      <c r="I1714" s="24">
        <f t="shared" si="80"/>
        <v>0.66632711148006996</v>
      </c>
      <c r="N1714" s="30">
        <v>36265.813953488367</v>
      </c>
    </row>
    <row r="1715" spans="1:14" x14ac:dyDescent="0.3">
      <c r="A1715">
        <v>26.096399999999999</v>
      </c>
      <c r="B1715">
        <v>49.5</v>
      </c>
      <c r="C1715">
        <f t="shared" si="78"/>
        <v>49.4</v>
      </c>
      <c r="D1715">
        <v>0.69504545454545463</v>
      </c>
      <c r="E1715">
        <f t="shared" si="79"/>
        <v>3.8999504241938769</v>
      </c>
      <c r="I1715" s="24">
        <f t="shared" si="80"/>
        <v>0.65585767091278335</v>
      </c>
      <c r="N1715" s="30">
        <v>36264.395348837206</v>
      </c>
    </row>
    <row r="1716" spans="1:14" x14ac:dyDescent="0.3">
      <c r="A1716">
        <v>26.111599999999999</v>
      </c>
      <c r="B1716">
        <v>49.038499999999999</v>
      </c>
      <c r="C1716">
        <f t="shared" si="78"/>
        <v>49.053839999999994</v>
      </c>
      <c r="D1716">
        <v>0.6952196969696971</v>
      </c>
      <c r="E1716">
        <f t="shared" si="79"/>
        <v>3.8929184704088424</v>
      </c>
      <c r="I1716" s="24">
        <f t="shared" si="80"/>
        <v>0.64961326392783114</v>
      </c>
      <c r="N1716" s="30">
        <v>36262.976744186046</v>
      </c>
    </row>
    <row r="1717" spans="1:14" x14ac:dyDescent="0.3">
      <c r="A1717">
        <v>26.126899999999999</v>
      </c>
      <c r="B1717">
        <v>48.461500000000001</v>
      </c>
      <c r="C1717">
        <f t="shared" si="78"/>
        <v>48.923079999999999</v>
      </c>
      <c r="D1717">
        <v>0.69539393939393945</v>
      </c>
      <c r="E1717">
        <f t="shared" si="79"/>
        <v>3.8902492687716652</v>
      </c>
      <c r="I1717" s="24">
        <f t="shared" si="80"/>
        <v>0.6471579885559775</v>
      </c>
      <c r="N1717" s="30">
        <v>36261.558139534878</v>
      </c>
    </row>
    <row r="1718" spans="1:14" x14ac:dyDescent="0.3">
      <c r="A1718">
        <v>26.142099999999999</v>
      </c>
      <c r="B1718">
        <v>48.576900000000002</v>
      </c>
      <c r="C1718">
        <f t="shared" si="78"/>
        <v>48.938459999999999</v>
      </c>
      <c r="D1718">
        <v>0.69556818181818192</v>
      </c>
      <c r="E1718">
        <f t="shared" si="79"/>
        <v>3.8905635904168512</v>
      </c>
      <c r="I1718" s="24">
        <f t="shared" si="80"/>
        <v>0.6472653468647237</v>
      </c>
      <c r="N1718" s="30">
        <v>36260.139534883718</v>
      </c>
    </row>
    <row r="1719" spans="1:14" x14ac:dyDescent="0.3">
      <c r="A1719">
        <v>26.157299999999999</v>
      </c>
      <c r="B1719">
        <v>49.038499999999999</v>
      </c>
      <c r="C1719">
        <f t="shared" si="78"/>
        <v>49.123059999999995</v>
      </c>
      <c r="D1719">
        <v>0.69574242424242427</v>
      </c>
      <c r="E1719">
        <f t="shared" si="79"/>
        <v>3.8943285783154837</v>
      </c>
      <c r="I1719" s="24">
        <f t="shared" si="80"/>
        <v>0.65033896581701522</v>
      </c>
      <c r="N1719" s="30">
        <v>36258.720930232557</v>
      </c>
    </row>
    <row r="1720" spans="1:14" x14ac:dyDescent="0.3">
      <c r="A1720">
        <v>26.172599999999999</v>
      </c>
      <c r="B1720">
        <v>49.576900000000002</v>
      </c>
      <c r="C1720">
        <f t="shared" si="78"/>
        <v>49.430759999999999</v>
      </c>
      <c r="D1720">
        <v>0.69591666666666674</v>
      </c>
      <c r="E1720">
        <f t="shared" si="79"/>
        <v>3.9005729024788405</v>
      </c>
      <c r="I1720" s="24">
        <f t="shared" si="80"/>
        <v>0.65557701308619232</v>
      </c>
      <c r="N1720" s="30">
        <v>36257.30232558139</v>
      </c>
    </row>
    <row r="1721" spans="1:14" x14ac:dyDescent="0.3">
      <c r="A1721">
        <v>26.187799999999999</v>
      </c>
      <c r="B1721">
        <v>49.961500000000001</v>
      </c>
      <c r="C1721">
        <f t="shared" si="78"/>
        <v>49.4923</v>
      </c>
      <c r="D1721">
        <v>0.6960909090909092</v>
      </c>
      <c r="E1721">
        <f t="shared" si="79"/>
        <v>3.9018171019190686</v>
      </c>
      <c r="I1721" s="24">
        <f t="shared" si="80"/>
        <v>0.6564941299803051</v>
      </c>
      <c r="N1721" s="30">
        <v>36255.883720930229</v>
      </c>
    </row>
    <row r="1722" spans="1:14" x14ac:dyDescent="0.3">
      <c r="A1722">
        <v>26.202999999999999</v>
      </c>
      <c r="B1722">
        <v>50</v>
      </c>
      <c r="C1722">
        <f t="shared" ref="C1722:C1785" si="81">AVERAGE(B1720:B1724)</f>
        <v>49.392299999999999</v>
      </c>
      <c r="D1722">
        <v>0.69626515151515167</v>
      </c>
      <c r="E1722">
        <f t="shared" ref="E1722:E1785" si="82">LN(C1722)</f>
        <v>3.8997945415994724</v>
      </c>
      <c r="I1722" s="24">
        <f t="shared" ref="I1722:I1785" si="83">(0.0026*(EXP(1.3248*E1722)))/D1722</f>
        <v>0.65457356650735732</v>
      </c>
      <c r="N1722" s="30">
        <v>36254.465116279069</v>
      </c>
    </row>
    <row r="1723" spans="1:14" x14ac:dyDescent="0.3">
      <c r="A1723">
        <v>26.218299999999999</v>
      </c>
      <c r="B1723">
        <v>48.884599999999999</v>
      </c>
      <c r="C1723">
        <f t="shared" si="81"/>
        <v>49.138459999999995</v>
      </c>
      <c r="D1723">
        <v>0.69643939393939402</v>
      </c>
      <c r="E1723">
        <f t="shared" si="82"/>
        <v>3.8946420275706162</v>
      </c>
      <c r="I1723" s="24">
        <f t="shared" si="83"/>
        <v>0.64995797559166779</v>
      </c>
      <c r="N1723" s="30">
        <v>36253.046511627901</v>
      </c>
    </row>
    <row r="1724" spans="1:14" x14ac:dyDescent="0.3">
      <c r="A1724">
        <v>26.233499999999999</v>
      </c>
      <c r="B1724">
        <v>48.538499999999999</v>
      </c>
      <c r="C1724">
        <f t="shared" si="81"/>
        <v>48.707700000000003</v>
      </c>
      <c r="D1724">
        <v>0.69661363636363638</v>
      </c>
      <c r="E1724">
        <f t="shared" si="82"/>
        <v>3.8858371284732929</v>
      </c>
      <c r="I1724" s="24">
        <f t="shared" si="83"/>
        <v>0.64225975102162625</v>
      </c>
      <c r="N1724" s="30">
        <v>36251.627906976741</v>
      </c>
    </row>
    <row r="1725" spans="1:14" x14ac:dyDescent="0.3">
      <c r="A1725">
        <v>26.248699999999999</v>
      </c>
      <c r="B1725">
        <v>48.307699999999997</v>
      </c>
      <c r="C1725">
        <f t="shared" si="81"/>
        <v>48.284620000000004</v>
      </c>
      <c r="D1725">
        <v>0.69678787878787884</v>
      </c>
      <c r="E1725">
        <f t="shared" si="82"/>
        <v>3.8771130834490086</v>
      </c>
      <c r="I1725" s="24">
        <f t="shared" si="83"/>
        <v>0.63472073015031472</v>
      </c>
      <c r="N1725" s="30">
        <v>36250.20930232558</v>
      </c>
    </row>
    <row r="1726" spans="1:14" x14ac:dyDescent="0.3">
      <c r="A1726">
        <v>26.263999999999999</v>
      </c>
      <c r="B1726">
        <v>47.807699999999997</v>
      </c>
      <c r="C1726">
        <f t="shared" si="81"/>
        <v>48.192320000000002</v>
      </c>
      <c r="D1726">
        <v>0.69696212121212131</v>
      </c>
      <c r="E1726">
        <f t="shared" si="82"/>
        <v>3.8751996722616249</v>
      </c>
      <c r="I1726" s="24">
        <f t="shared" si="83"/>
        <v>0.63295554208282812</v>
      </c>
      <c r="N1726" s="30">
        <v>36248.79069767442</v>
      </c>
    </row>
    <row r="1727" spans="1:14" x14ac:dyDescent="0.3">
      <c r="A1727">
        <v>26.279199999999999</v>
      </c>
      <c r="B1727">
        <v>47.884599999999999</v>
      </c>
      <c r="C1727">
        <f t="shared" si="81"/>
        <v>48.238459999999996</v>
      </c>
      <c r="D1727">
        <v>0.69713636363636367</v>
      </c>
      <c r="E1727">
        <f t="shared" si="82"/>
        <v>3.8761566281945976</v>
      </c>
      <c r="I1727" s="24">
        <f t="shared" si="83"/>
        <v>0.63360009456423461</v>
      </c>
      <c r="N1727" s="30">
        <v>36247.372093023252</v>
      </c>
    </row>
    <row r="1728" spans="1:14" x14ac:dyDescent="0.3">
      <c r="A1728">
        <v>26.2944</v>
      </c>
      <c r="B1728">
        <v>48.423099999999998</v>
      </c>
      <c r="C1728">
        <f t="shared" si="81"/>
        <v>48.392299999999992</v>
      </c>
      <c r="D1728">
        <v>0.69731060606060613</v>
      </c>
      <c r="E1728">
        <f t="shared" si="82"/>
        <v>3.8793407101571939</v>
      </c>
      <c r="I1728" s="24">
        <f t="shared" si="83"/>
        <v>0.63611944514063912</v>
      </c>
      <c r="N1728" s="30">
        <v>36245.953488372092</v>
      </c>
    </row>
    <row r="1729" spans="1:14" x14ac:dyDescent="0.3">
      <c r="A1729">
        <v>26.309699999999999</v>
      </c>
      <c r="B1729">
        <v>48.769199999999998</v>
      </c>
      <c r="C1729">
        <f t="shared" si="81"/>
        <v>48.876919999999998</v>
      </c>
      <c r="D1729">
        <v>0.6974848484848486</v>
      </c>
      <c r="E1729">
        <f t="shared" si="82"/>
        <v>3.8893053014214063</v>
      </c>
      <c r="I1729" s="24">
        <f t="shared" si="83"/>
        <v>0.64441156397299415</v>
      </c>
      <c r="N1729" s="30">
        <v>36244.534883720931</v>
      </c>
    </row>
    <row r="1730" spans="1:14" x14ac:dyDescent="0.3">
      <c r="A1730">
        <v>26.3249</v>
      </c>
      <c r="B1730">
        <v>49.076900000000002</v>
      </c>
      <c r="C1730">
        <f t="shared" si="81"/>
        <v>49.346159999999998</v>
      </c>
      <c r="D1730">
        <v>0.69765909090909095</v>
      </c>
      <c r="E1730">
        <f t="shared" si="82"/>
        <v>3.8988599513018629</v>
      </c>
      <c r="I1730" s="24">
        <f t="shared" si="83"/>
        <v>0.65245737571073648</v>
      </c>
      <c r="N1730" s="30">
        <v>36243.116279069764</v>
      </c>
    </row>
    <row r="1731" spans="1:14" x14ac:dyDescent="0.3">
      <c r="A1731">
        <v>26.3401</v>
      </c>
      <c r="B1731">
        <v>50.230800000000002</v>
      </c>
      <c r="C1731">
        <f t="shared" si="81"/>
        <v>49.692300000000003</v>
      </c>
      <c r="D1731">
        <v>0.69783333333333331</v>
      </c>
      <c r="E1731">
        <f t="shared" si="82"/>
        <v>3.9058499915222917</v>
      </c>
      <c r="I1731" s="24">
        <f t="shared" si="83"/>
        <v>0.65836302965549154</v>
      </c>
      <c r="N1731" s="30">
        <v>36241.697674418603</v>
      </c>
    </row>
    <row r="1732" spans="1:14" x14ac:dyDescent="0.3">
      <c r="A1732">
        <v>26.355399999999999</v>
      </c>
      <c r="B1732">
        <v>50.230800000000002</v>
      </c>
      <c r="C1732">
        <f t="shared" si="81"/>
        <v>49.923079999999999</v>
      </c>
      <c r="D1732">
        <v>0.69800757575757577</v>
      </c>
      <c r="E1732">
        <f t="shared" si="82"/>
        <v>3.9104834208758334</v>
      </c>
      <c r="I1732" s="24">
        <f t="shared" si="83"/>
        <v>0.66225137457371386</v>
      </c>
      <c r="N1732" s="30">
        <v>36240.279069767443</v>
      </c>
    </row>
    <row r="1733" spans="1:14" x14ac:dyDescent="0.3">
      <c r="A1733">
        <v>26.3706</v>
      </c>
      <c r="B1733">
        <v>50.153799999999997</v>
      </c>
      <c r="C1733">
        <f t="shared" si="81"/>
        <v>49.961539999999999</v>
      </c>
      <c r="D1733">
        <v>0.69818181818181824</v>
      </c>
      <c r="E1733">
        <f t="shared" si="82"/>
        <v>3.9112535094420346</v>
      </c>
      <c r="I1733" s="24">
        <f t="shared" si="83"/>
        <v>0.66276191290967512</v>
      </c>
      <c r="N1733" s="30">
        <v>36238.860465116275</v>
      </c>
    </row>
    <row r="1734" spans="1:14" x14ac:dyDescent="0.3">
      <c r="A1734">
        <v>26.3858</v>
      </c>
      <c r="B1734">
        <v>49.923099999999998</v>
      </c>
      <c r="C1734">
        <f t="shared" si="81"/>
        <v>49.646140000000003</v>
      </c>
      <c r="D1734">
        <v>0.6983560606060607</v>
      </c>
      <c r="E1734">
        <f t="shared" si="82"/>
        <v>3.9049206432594779</v>
      </c>
      <c r="I1734" s="24">
        <f t="shared" si="83"/>
        <v>0.65706076580705886</v>
      </c>
      <c r="N1734" s="30">
        <v>36237.441860465115</v>
      </c>
    </row>
    <row r="1735" spans="1:14" x14ac:dyDescent="0.3">
      <c r="A1735">
        <v>26.4011</v>
      </c>
      <c r="B1735">
        <v>49.269199999999998</v>
      </c>
      <c r="C1735">
        <f t="shared" si="81"/>
        <v>49.184599999999996</v>
      </c>
      <c r="D1735">
        <v>0.69853030303030306</v>
      </c>
      <c r="E1735">
        <f t="shared" si="82"/>
        <v>3.8955805663709118</v>
      </c>
      <c r="I1735" s="24">
        <f t="shared" si="83"/>
        <v>0.64881868231813655</v>
      </c>
      <c r="N1735" s="30">
        <v>36236.023255813954</v>
      </c>
    </row>
    <row r="1736" spans="1:14" x14ac:dyDescent="0.3">
      <c r="A1736">
        <v>26.4163</v>
      </c>
      <c r="B1736">
        <v>48.653799999999997</v>
      </c>
      <c r="C1736">
        <f t="shared" si="81"/>
        <v>48.646139999999995</v>
      </c>
      <c r="D1736">
        <v>0.69870454545454552</v>
      </c>
      <c r="E1736">
        <f t="shared" si="82"/>
        <v>3.8845724632437584</v>
      </c>
      <c r="I1736" s="24">
        <f t="shared" si="83"/>
        <v>0.63926581397364979</v>
      </c>
      <c r="N1736" s="30">
        <v>36234.604651162786</v>
      </c>
    </row>
    <row r="1737" spans="1:14" x14ac:dyDescent="0.3">
      <c r="A1737">
        <v>26.4315</v>
      </c>
      <c r="B1737">
        <v>47.923099999999998</v>
      </c>
      <c r="C1737">
        <f t="shared" si="81"/>
        <v>47.899980000000006</v>
      </c>
      <c r="D1737">
        <v>0.69887878787878788</v>
      </c>
      <c r="E1737">
        <f t="shared" si="82"/>
        <v>3.8691150868802482</v>
      </c>
      <c r="I1737" s="24">
        <f t="shared" si="83"/>
        <v>0.62615194908293637</v>
      </c>
      <c r="N1737" s="30">
        <v>36233.186046511626</v>
      </c>
    </row>
    <row r="1738" spans="1:14" x14ac:dyDescent="0.3">
      <c r="A1738">
        <v>26.4468</v>
      </c>
      <c r="B1738">
        <v>47.461500000000001</v>
      </c>
      <c r="C1738">
        <f t="shared" si="81"/>
        <v>47.184600000000003</v>
      </c>
      <c r="D1738">
        <v>0.69905303030303034</v>
      </c>
      <c r="E1738">
        <f t="shared" si="82"/>
        <v>3.8540675681670451</v>
      </c>
      <c r="I1738" s="24">
        <f t="shared" si="83"/>
        <v>0.61364024301920594</v>
      </c>
      <c r="N1738" s="30">
        <v>36231.767441860466</v>
      </c>
    </row>
    <row r="1739" spans="1:14" x14ac:dyDescent="0.3">
      <c r="A1739">
        <v>26.462</v>
      </c>
      <c r="B1739">
        <v>46.192300000000003</v>
      </c>
      <c r="C1739">
        <f t="shared" si="81"/>
        <v>46.4846</v>
      </c>
      <c r="D1739">
        <v>0.6992272727272727</v>
      </c>
      <c r="E1739">
        <f t="shared" si="82"/>
        <v>3.8391210749444782</v>
      </c>
      <c r="I1739" s="24">
        <f t="shared" si="83"/>
        <v>0.60145907502182938</v>
      </c>
      <c r="N1739" s="30">
        <v>36230.348837209298</v>
      </c>
    </row>
    <row r="1740" spans="1:14" x14ac:dyDescent="0.3">
      <c r="A1740">
        <v>26.4772</v>
      </c>
      <c r="B1740">
        <v>45.692300000000003</v>
      </c>
      <c r="C1740">
        <f t="shared" si="81"/>
        <v>45.869219999999999</v>
      </c>
      <c r="D1740">
        <v>0.69940151515151516</v>
      </c>
      <c r="E1740">
        <f t="shared" si="82"/>
        <v>3.8257943038863456</v>
      </c>
      <c r="I1740" s="24">
        <f t="shared" si="83"/>
        <v>0.59078610227584227</v>
      </c>
      <c r="N1740" s="30">
        <v>36228.930232558138</v>
      </c>
    </row>
    <row r="1741" spans="1:14" x14ac:dyDescent="0.3">
      <c r="A1741">
        <v>26.4925</v>
      </c>
      <c r="B1741">
        <v>45.153799999999997</v>
      </c>
      <c r="C1741">
        <f t="shared" si="81"/>
        <v>45.261540000000004</v>
      </c>
      <c r="D1741">
        <v>0.69957575757575763</v>
      </c>
      <c r="E1741">
        <f t="shared" si="82"/>
        <v>3.8124576652562281</v>
      </c>
      <c r="I1741" s="24">
        <f t="shared" si="83"/>
        <v>0.58029497290381471</v>
      </c>
      <c r="N1741" s="30">
        <v>36227.511627906977</v>
      </c>
    </row>
    <row r="1742" spans="1:14" x14ac:dyDescent="0.3">
      <c r="A1742">
        <v>26.5077</v>
      </c>
      <c r="B1742">
        <v>44.846200000000003</v>
      </c>
      <c r="C1742">
        <f t="shared" si="81"/>
        <v>44.807700000000004</v>
      </c>
      <c r="D1742">
        <v>0.69975000000000009</v>
      </c>
      <c r="E1742">
        <f t="shared" si="82"/>
        <v>3.8023799996521239</v>
      </c>
      <c r="I1742" s="24">
        <f t="shared" si="83"/>
        <v>0.57245642509082018</v>
      </c>
      <c r="N1742" s="30">
        <v>36226.093023255809</v>
      </c>
    </row>
    <row r="1743" spans="1:14" x14ac:dyDescent="0.3">
      <c r="A1743">
        <v>26.5229</v>
      </c>
      <c r="B1743">
        <v>44.423099999999998</v>
      </c>
      <c r="C1743">
        <f t="shared" si="81"/>
        <v>44.361540000000005</v>
      </c>
      <c r="D1743">
        <v>0.69992424242424245</v>
      </c>
      <c r="E1743">
        <f t="shared" si="82"/>
        <v>3.792372877839906</v>
      </c>
      <c r="I1743" s="24">
        <f t="shared" si="83"/>
        <v>0.56477657388902303</v>
      </c>
      <c r="N1743" s="30">
        <v>36224.674418604649</v>
      </c>
    </row>
    <row r="1744" spans="1:14" x14ac:dyDescent="0.3">
      <c r="A1744">
        <v>26.5382</v>
      </c>
      <c r="B1744">
        <v>43.923099999999998</v>
      </c>
      <c r="C1744">
        <f t="shared" si="81"/>
        <v>43.930779999999999</v>
      </c>
      <c r="D1744">
        <v>0.7000984848484848</v>
      </c>
      <c r="E1744">
        <f t="shared" si="82"/>
        <v>3.7826152133502067</v>
      </c>
      <c r="I1744" s="24">
        <f t="shared" si="83"/>
        <v>0.55738396150296332</v>
      </c>
      <c r="N1744" s="30">
        <v>36223.255813953489</v>
      </c>
    </row>
    <row r="1745" spans="1:18" x14ac:dyDescent="0.3">
      <c r="A1745">
        <v>26.5534</v>
      </c>
      <c r="B1745">
        <v>43.461500000000001</v>
      </c>
      <c r="C1745">
        <f t="shared" si="81"/>
        <v>43.553840000000001</v>
      </c>
      <c r="D1745">
        <v>0.70027272727272727</v>
      </c>
      <c r="E1745">
        <f t="shared" si="82"/>
        <v>3.773997873923423</v>
      </c>
      <c r="I1745" s="24">
        <f t="shared" si="83"/>
        <v>0.55091979603821384</v>
      </c>
      <c r="N1745" s="30">
        <v>36221.837209302321</v>
      </c>
    </row>
    <row r="1746" spans="1:18" x14ac:dyDescent="0.3">
      <c r="A1746">
        <v>26.5687</v>
      </c>
      <c r="B1746">
        <v>43</v>
      </c>
      <c r="C1746">
        <f t="shared" si="81"/>
        <v>43.323059999999998</v>
      </c>
      <c r="D1746">
        <v>0.70044696969696973</v>
      </c>
      <c r="E1746">
        <f t="shared" si="82"/>
        <v>3.7686850567572194</v>
      </c>
      <c r="I1746" s="24">
        <f t="shared" si="83"/>
        <v>0.54691972016904267</v>
      </c>
      <c r="N1746" s="30">
        <v>36220.41860465116</v>
      </c>
    </row>
    <row r="1747" spans="1:18" x14ac:dyDescent="0.3">
      <c r="A1747">
        <v>26.5839</v>
      </c>
      <c r="B1747">
        <v>42.961500000000001</v>
      </c>
      <c r="C1747">
        <f t="shared" si="81"/>
        <v>43.284599999999998</v>
      </c>
      <c r="D1747">
        <v>0.7006212121212122</v>
      </c>
      <c r="E1747">
        <f t="shared" si="82"/>
        <v>3.7677969135484526</v>
      </c>
      <c r="I1747" s="25">
        <f t="shared" si="83"/>
        <v>0.54614072885772558</v>
      </c>
      <c r="N1747" s="30">
        <v>36219</v>
      </c>
    </row>
    <row r="1748" spans="1:18" x14ac:dyDescent="0.3">
      <c r="A1748">
        <v>26.5991</v>
      </c>
      <c r="B1748">
        <v>43.269199999999998</v>
      </c>
      <c r="C1748">
        <f t="shared" si="81"/>
        <v>43.392299999999999</v>
      </c>
      <c r="D1748">
        <v>0.70079545454545455</v>
      </c>
      <c r="E1748">
        <f t="shared" si="82"/>
        <v>3.7702820060108451</v>
      </c>
      <c r="I1748" s="24">
        <f t="shared" si="83"/>
        <v>0.54780548637399062</v>
      </c>
      <c r="N1748" s="30">
        <v>36206.85</v>
      </c>
    </row>
    <row r="1749" spans="1:18" x14ac:dyDescent="0.3">
      <c r="A1749">
        <v>26.6144</v>
      </c>
      <c r="B1749">
        <v>43.730800000000002</v>
      </c>
      <c r="C1749">
        <f t="shared" si="81"/>
        <v>43.607680000000002</v>
      </c>
      <c r="D1749">
        <v>0.70096969696969702</v>
      </c>
      <c r="E1749">
        <f t="shared" si="82"/>
        <v>3.7752332816319556</v>
      </c>
      <c r="I1749" s="24">
        <f t="shared" si="83"/>
        <v>0.55127353388461375</v>
      </c>
      <c r="N1749" s="30">
        <v>36194.700000000004</v>
      </c>
    </row>
    <row r="1750" spans="1:18" x14ac:dyDescent="0.3">
      <c r="A1750">
        <v>26.6296</v>
      </c>
      <c r="B1750">
        <v>44</v>
      </c>
      <c r="C1750">
        <f t="shared" si="81"/>
        <v>43.976919999999993</v>
      </c>
      <c r="D1750">
        <v>0.70114393939393937</v>
      </c>
      <c r="E1750">
        <f t="shared" si="82"/>
        <v>3.7836649508416205</v>
      </c>
      <c r="I1750" s="24">
        <f t="shared" si="83"/>
        <v>0.55732739530201514</v>
      </c>
      <c r="N1750" s="30">
        <v>36182.550000000003</v>
      </c>
    </row>
    <row r="1751" spans="1:18" x14ac:dyDescent="0.3">
      <c r="A1751">
        <v>26.6448</v>
      </c>
      <c r="B1751">
        <v>44.076900000000002</v>
      </c>
      <c r="C1751">
        <f t="shared" si="81"/>
        <v>44.415380000000006</v>
      </c>
      <c r="D1751">
        <v>0.70131818181818184</v>
      </c>
      <c r="E1751">
        <f t="shared" si="82"/>
        <v>3.793585805853195</v>
      </c>
      <c r="I1751" s="24">
        <f t="shared" si="83"/>
        <v>0.56456048090743072</v>
      </c>
      <c r="N1751" s="30">
        <v>36170.400000000001</v>
      </c>
    </row>
    <row r="1752" spans="1:18" x14ac:dyDescent="0.3">
      <c r="A1752">
        <v>26.6601</v>
      </c>
      <c r="B1752">
        <v>44.807699999999997</v>
      </c>
      <c r="C1752">
        <f t="shared" si="81"/>
        <v>44.92306</v>
      </c>
      <c r="D1752">
        <v>0.7014924242424242</v>
      </c>
      <c r="E1752">
        <f t="shared" si="82"/>
        <v>3.8049512486542905</v>
      </c>
      <c r="I1752" s="24">
        <f t="shared" si="83"/>
        <v>0.572982994412921</v>
      </c>
      <c r="N1752" s="30">
        <v>36158.25</v>
      </c>
      <c r="O1752">
        <v>1998</v>
      </c>
      <c r="P1752" s="24">
        <f>AVERAGE(I1752:I1846)</f>
        <v>0.6600458248145854</v>
      </c>
      <c r="Q1752">
        <f>A1846-A1752</f>
        <v>1.4316299999999167</v>
      </c>
      <c r="R1752">
        <f>P1752*Q1752</f>
        <v>0.94494140417924988</v>
      </c>
    </row>
    <row r="1753" spans="1:18" x14ac:dyDescent="0.3">
      <c r="A1753">
        <v>26.6753</v>
      </c>
      <c r="B1753">
        <v>45.461500000000001</v>
      </c>
      <c r="C1753">
        <f t="shared" si="81"/>
        <v>45.884599999999999</v>
      </c>
      <c r="D1753">
        <v>0.70166666666666666</v>
      </c>
      <c r="E1753">
        <f t="shared" si="82"/>
        <v>3.8261295487871907</v>
      </c>
      <c r="I1753" s="24">
        <f t="shared" si="83"/>
        <v>0.58914049863959816</v>
      </c>
      <c r="N1753" s="30">
        <v>36146.1</v>
      </c>
    </row>
    <row r="1754" spans="1:18" x14ac:dyDescent="0.3">
      <c r="A1754">
        <v>26.6905</v>
      </c>
      <c r="B1754">
        <v>46.269199999999998</v>
      </c>
      <c r="C1754">
        <f t="shared" si="81"/>
        <v>47.023060000000001</v>
      </c>
      <c r="D1754">
        <v>0.70184090909090913</v>
      </c>
      <c r="E1754">
        <f t="shared" si="82"/>
        <v>3.8506381196843167</v>
      </c>
      <c r="I1754" s="24">
        <f t="shared" si="83"/>
        <v>0.60843211917596529</v>
      </c>
      <c r="N1754" s="30">
        <v>36133.950000000004</v>
      </c>
    </row>
    <row r="1755" spans="1:18" x14ac:dyDescent="0.3">
      <c r="A1755">
        <v>26.7058</v>
      </c>
      <c r="B1755">
        <v>48.807699999999997</v>
      </c>
      <c r="C1755">
        <f t="shared" si="81"/>
        <v>48.284599999999998</v>
      </c>
      <c r="D1755">
        <v>0.70201515151515159</v>
      </c>
      <c r="E1755">
        <f t="shared" si="82"/>
        <v>3.8771126692383522</v>
      </c>
      <c r="I1755" s="24">
        <f t="shared" si="83"/>
        <v>0.62999419248715438</v>
      </c>
      <c r="N1755" s="30">
        <v>36121.800000000003</v>
      </c>
    </row>
    <row r="1756" spans="1:18" x14ac:dyDescent="0.3">
      <c r="A1756">
        <v>26.721</v>
      </c>
      <c r="B1756">
        <v>49.769199999999998</v>
      </c>
      <c r="C1756">
        <f t="shared" si="81"/>
        <v>49.72305999999999</v>
      </c>
      <c r="D1756">
        <v>0.70218939393939395</v>
      </c>
      <c r="E1756">
        <f t="shared" si="82"/>
        <v>3.9064688093987563</v>
      </c>
      <c r="I1756" s="24">
        <f t="shared" si="83"/>
        <v>0.65481545190984536</v>
      </c>
      <c r="N1756" s="30">
        <v>36109.65</v>
      </c>
    </row>
    <row r="1757" spans="1:18" x14ac:dyDescent="0.3">
      <c r="A1757">
        <v>26.7362</v>
      </c>
      <c r="B1757">
        <v>51.115400000000001</v>
      </c>
      <c r="C1757">
        <f t="shared" si="81"/>
        <v>51.24613999999999</v>
      </c>
      <c r="D1757">
        <v>0.7023636363636363</v>
      </c>
      <c r="E1757">
        <f t="shared" si="82"/>
        <v>3.9366402981088733</v>
      </c>
      <c r="I1757" s="24">
        <f t="shared" si="83"/>
        <v>0.68135027003304194</v>
      </c>
      <c r="N1757" s="30">
        <v>36097.5</v>
      </c>
    </row>
    <row r="1758" spans="1:18" x14ac:dyDescent="0.3">
      <c r="A1758">
        <v>26.7515</v>
      </c>
      <c r="B1758">
        <v>52.653799999999997</v>
      </c>
      <c r="C1758">
        <f t="shared" si="81"/>
        <v>52.469219999999993</v>
      </c>
      <c r="D1758">
        <v>0.70253787878787877</v>
      </c>
      <c r="E1758">
        <f t="shared" si="82"/>
        <v>3.9602267119506185</v>
      </c>
      <c r="I1758" s="24">
        <f t="shared" si="83"/>
        <v>0.70280238667897355</v>
      </c>
      <c r="N1758" s="30">
        <v>36085.35</v>
      </c>
    </row>
    <row r="1759" spans="1:18" x14ac:dyDescent="0.3">
      <c r="A1759">
        <v>26.7667</v>
      </c>
      <c r="B1759">
        <v>53.884599999999999</v>
      </c>
      <c r="C1759">
        <f t="shared" si="81"/>
        <v>53.653840000000002</v>
      </c>
      <c r="D1759">
        <v>0.70271212121212123</v>
      </c>
      <c r="E1759">
        <f t="shared" si="82"/>
        <v>3.9825530415386368</v>
      </c>
      <c r="I1759" s="24">
        <f t="shared" si="83"/>
        <v>0.72372080235702896</v>
      </c>
      <c r="N1759" s="30">
        <v>36073.200000000004</v>
      </c>
    </row>
    <row r="1760" spans="1:18" x14ac:dyDescent="0.3">
      <c r="A1760">
        <v>26.7819</v>
      </c>
      <c r="B1760">
        <v>54.923099999999998</v>
      </c>
      <c r="C1760">
        <f t="shared" si="81"/>
        <v>54.607679999999995</v>
      </c>
      <c r="D1760">
        <v>0.70288636363636359</v>
      </c>
      <c r="E1760">
        <f t="shared" si="82"/>
        <v>4.0001745321999209</v>
      </c>
      <c r="I1760" s="24">
        <f t="shared" si="83"/>
        <v>0.74063113691697857</v>
      </c>
      <c r="N1760" s="30">
        <v>36061.050000000003</v>
      </c>
    </row>
    <row r="1761" spans="1:14" x14ac:dyDescent="0.3">
      <c r="A1761">
        <v>26.7972</v>
      </c>
      <c r="B1761">
        <v>55.692300000000003</v>
      </c>
      <c r="C1761">
        <f t="shared" si="81"/>
        <v>55.45384</v>
      </c>
      <c r="D1761">
        <v>0.70306060606060605</v>
      </c>
      <c r="E1761">
        <f t="shared" si="82"/>
        <v>4.0155509629765946</v>
      </c>
      <c r="I1761" s="24">
        <f t="shared" si="83"/>
        <v>0.75568569399913355</v>
      </c>
      <c r="N1761" s="30">
        <v>36048.9</v>
      </c>
    </row>
    <row r="1762" spans="1:14" x14ac:dyDescent="0.3">
      <c r="A1762">
        <v>26.8124</v>
      </c>
      <c r="B1762">
        <v>55.884599999999999</v>
      </c>
      <c r="C1762">
        <f t="shared" si="81"/>
        <v>56.084619999999994</v>
      </c>
      <c r="D1762">
        <v>0.70323484848484852</v>
      </c>
      <c r="E1762">
        <f t="shared" si="82"/>
        <v>4.0268616216440822</v>
      </c>
      <c r="I1762" s="24">
        <f t="shared" si="83"/>
        <v>0.76690435864735251</v>
      </c>
      <c r="N1762" s="30">
        <v>36036.75</v>
      </c>
    </row>
    <row r="1763" spans="1:14" x14ac:dyDescent="0.3">
      <c r="A1763">
        <v>26.8276</v>
      </c>
      <c r="B1763">
        <v>56.884599999999999</v>
      </c>
      <c r="C1763">
        <f t="shared" si="81"/>
        <v>56.561540000000001</v>
      </c>
      <c r="D1763">
        <v>0.70340909090909087</v>
      </c>
      <c r="E1763">
        <f t="shared" si="82"/>
        <v>4.035329248940422</v>
      </c>
      <c r="I1763" s="24">
        <f t="shared" si="83"/>
        <v>0.77536374591525636</v>
      </c>
      <c r="N1763" s="30">
        <v>36024.6</v>
      </c>
    </row>
    <row r="1764" spans="1:14" x14ac:dyDescent="0.3">
      <c r="A1764">
        <v>26.8429</v>
      </c>
      <c r="B1764">
        <v>57.038499999999999</v>
      </c>
      <c r="C1764">
        <f t="shared" si="81"/>
        <v>57.346160000000012</v>
      </c>
      <c r="D1764">
        <v>0.70358333333333323</v>
      </c>
      <c r="E1764">
        <f t="shared" si="82"/>
        <v>4.0491058840537804</v>
      </c>
      <c r="I1764" s="24">
        <f t="shared" si="83"/>
        <v>0.78944950568968819</v>
      </c>
      <c r="N1764" s="30">
        <v>36012.450000000004</v>
      </c>
    </row>
    <row r="1765" spans="1:14" x14ac:dyDescent="0.3">
      <c r="A1765" s="16">
        <v>26.8581</v>
      </c>
      <c r="B1765" s="16">
        <v>57.307699999999997</v>
      </c>
      <c r="C1765">
        <f t="shared" si="81"/>
        <v>58.084619999999994</v>
      </c>
      <c r="D1765">
        <v>0.70375757575757569</v>
      </c>
      <c r="E1765">
        <f t="shared" si="82"/>
        <v>4.0619009128075145</v>
      </c>
      <c r="I1765" s="24">
        <f t="shared" si="83"/>
        <v>0.80274660926289465</v>
      </c>
      <c r="N1765" s="30">
        <v>36000.300000000003</v>
      </c>
    </row>
    <row r="1766" spans="1:14" x14ac:dyDescent="0.3">
      <c r="A1766" s="17">
        <v>26.873329999999999</v>
      </c>
      <c r="B1766" s="17">
        <v>59.615400000000001</v>
      </c>
      <c r="C1766">
        <f t="shared" si="81"/>
        <v>58.438459999999999</v>
      </c>
      <c r="D1766">
        <v>0.70393181818181816</v>
      </c>
      <c r="E1766">
        <f t="shared" si="82"/>
        <v>4.0679742347214578</v>
      </c>
      <c r="I1766" s="24">
        <f t="shared" si="83"/>
        <v>0.80903120439173881</v>
      </c>
      <c r="N1766" s="30">
        <v>35988.15</v>
      </c>
    </row>
    <row r="1767" spans="1:14" x14ac:dyDescent="0.3">
      <c r="A1767">
        <v>26.888559999999998</v>
      </c>
      <c r="B1767">
        <v>59.576900000000002</v>
      </c>
      <c r="C1767">
        <f t="shared" si="81"/>
        <v>58.561519999999994</v>
      </c>
      <c r="D1767">
        <v>0.70410606060606062</v>
      </c>
      <c r="E1767">
        <f t="shared" si="82"/>
        <v>4.0700778256003503</v>
      </c>
      <c r="I1767" s="24">
        <f t="shared" si="83"/>
        <v>0.81108822064879638</v>
      </c>
      <c r="J1767">
        <v>1998</v>
      </c>
      <c r="K1767">
        <f>AVERAGE(I1767:I1858)</f>
        <v>0.66479200294650287</v>
      </c>
      <c r="L1767">
        <f>A1858-A1767</f>
        <v>1.385929999999906</v>
      </c>
      <c r="M1767">
        <f>K1767*L1767</f>
        <v>0.92135518064358424</v>
      </c>
      <c r="N1767" s="30">
        <v>35976</v>
      </c>
    </row>
    <row r="1768" spans="1:14" x14ac:dyDescent="0.3">
      <c r="A1768">
        <v>26.903789999999997</v>
      </c>
      <c r="B1768">
        <v>58.653799999999997</v>
      </c>
      <c r="C1768">
        <f t="shared" si="81"/>
        <v>58.43844</v>
      </c>
      <c r="D1768">
        <v>0.70428030303030298</v>
      </c>
      <c r="E1768">
        <f t="shared" si="82"/>
        <v>4.0679738924810316</v>
      </c>
      <c r="I1768" s="24">
        <f t="shared" si="83"/>
        <v>0.80863052112962286</v>
      </c>
      <c r="N1768" s="30">
        <v>35974.394736842107</v>
      </c>
    </row>
    <row r="1769" spans="1:14" x14ac:dyDescent="0.3">
      <c r="A1769">
        <v>26.919019999999996</v>
      </c>
      <c r="B1769">
        <v>57.653799999999997</v>
      </c>
      <c r="C1769">
        <f t="shared" si="81"/>
        <v>57.692279999999997</v>
      </c>
      <c r="D1769">
        <v>0.70445454545454544</v>
      </c>
      <c r="E1769">
        <f t="shared" si="82"/>
        <v>4.0551233690687045</v>
      </c>
      <c r="I1769" s="24">
        <f t="shared" si="83"/>
        <v>0.79478397994101024</v>
      </c>
      <c r="N1769" s="30">
        <v>35972.789473684206</v>
      </c>
    </row>
    <row r="1770" spans="1:14" x14ac:dyDescent="0.3">
      <c r="A1770">
        <v>26.934249999999995</v>
      </c>
      <c r="B1770">
        <v>56.692300000000003</v>
      </c>
      <c r="C1770">
        <f t="shared" si="81"/>
        <v>56.730740000000004</v>
      </c>
      <c r="D1770">
        <v>0.7046287878787878</v>
      </c>
      <c r="E1770">
        <f t="shared" si="82"/>
        <v>4.0383162154980683</v>
      </c>
      <c r="I1770" s="24">
        <f t="shared" si="83"/>
        <v>0.77709058312955626</v>
      </c>
      <c r="N1770" s="30">
        <v>35971.184210526313</v>
      </c>
    </row>
    <row r="1771" spans="1:14" x14ac:dyDescent="0.3">
      <c r="A1771">
        <v>26.949479999999994</v>
      </c>
      <c r="B1771">
        <v>55.884599999999999</v>
      </c>
      <c r="C1771">
        <f t="shared" si="81"/>
        <v>55.807680000000005</v>
      </c>
      <c r="D1771">
        <v>0.70480303030303026</v>
      </c>
      <c r="E1771">
        <f t="shared" si="82"/>
        <v>4.0219114943251215</v>
      </c>
      <c r="I1771" s="24">
        <f t="shared" si="83"/>
        <v>0.7601963061984861</v>
      </c>
      <c r="N1771" s="30">
        <v>35969.57894736842</v>
      </c>
    </row>
    <row r="1772" spans="1:14" x14ac:dyDescent="0.3">
      <c r="A1772">
        <v>26.964709999999993</v>
      </c>
      <c r="B1772">
        <v>54.769199999999998</v>
      </c>
      <c r="C1772">
        <f t="shared" si="81"/>
        <v>54.946159999999999</v>
      </c>
      <c r="D1772">
        <v>0.70497727272727262</v>
      </c>
      <c r="E1772">
        <f t="shared" si="82"/>
        <v>4.0063537966971436</v>
      </c>
      <c r="I1772" s="24">
        <f t="shared" si="83"/>
        <v>0.74450433056326204</v>
      </c>
      <c r="N1772" s="30">
        <v>35967.973684210527</v>
      </c>
    </row>
    <row r="1773" spans="1:14" x14ac:dyDescent="0.3">
      <c r="A1773">
        <v>26.979939999999992</v>
      </c>
      <c r="B1773">
        <v>54.038499999999999</v>
      </c>
      <c r="C1773">
        <f t="shared" si="81"/>
        <v>54.115400000000001</v>
      </c>
      <c r="D1773">
        <v>0.70515151515151508</v>
      </c>
      <c r="E1773">
        <f t="shared" si="82"/>
        <v>3.9911188033856884</v>
      </c>
      <c r="I1773" s="24">
        <f t="shared" si="83"/>
        <v>0.72944809933819876</v>
      </c>
      <c r="N1773" s="30">
        <v>35966.368421052633</v>
      </c>
    </row>
    <row r="1774" spans="1:14" x14ac:dyDescent="0.3">
      <c r="A1774">
        <v>26.995169999999991</v>
      </c>
      <c r="B1774">
        <v>53.346200000000003</v>
      </c>
      <c r="C1774">
        <f t="shared" si="81"/>
        <v>53.223100000000002</v>
      </c>
      <c r="D1774">
        <v>0.70532575757575755</v>
      </c>
      <c r="E1774">
        <f t="shared" si="82"/>
        <v>3.9744925126318034</v>
      </c>
      <c r="I1774" s="24">
        <f t="shared" si="83"/>
        <v>0.71338028777767604</v>
      </c>
      <c r="N1774" s="30">
        <v>35964.763157894733</v>
      </c>
    </row>
    <row r="1775" spans="1:14" x14ac:dyDescent="0.3">
      <c r="A1775">
        <v>27.01039999999999</v>
      </c>
      <c r="B1775">
        <v>52.538499999999999</v>
      </c>
      <c r="C1775">
        <f t="shared" si="81"/>
        <v>52.446180000000005</v>
      </c>
      <c r="D1775" s="8">
        <v>0.70550000000000002</v>
      </c>
      <c r="E1775">
        <f t="shared" si="82"/>
        <v>3.9597875009221064</v>
      </c>
      <c r="I1775" s="24">
        <f t="shared" si="83"/>
        <v>0.69944448976570606</v>
      </c>
      <c r="N1775" s="30">
        <v>35963.15789473684</v>
      </c>
    </row>
    <row r="1776" spans="1:14" x14ac:dyDescent="0.3">
      <c r="A1776">
        <v>27.025629999999989</v>
      </c>
      <c r="B1776">
        <v>51.423099999999998</v>
      </c>
      <c r="C1776">
        <f t="shared" si="81"/>
        <v>51.684640000000002</v>
      </c>
      <c r="D1776">
        <v>0.70569230769230762</v>
      </c>
      <c r="E1776">
        <f t="shared" si="82"/>
        <v>3.9451606387258025</v>
      </c>
      <c r="I1776" s="24">
        <f t="shared" si="83"/>
        <v>0.68583441462918338</v>
      </c>
      <c r="N1776" s="30">
        <v>35961.552631578947</v>
      </c>
    </row>
    <row r="1777" spans="1:14" x14ac:dyDescent="0.3">
      <c r="A1777">
        <v>27.040859999999988</v>
      </c>
      <c r="B1777">
        <v>50.884599999999999</v>
      </c>
      <c r="C1777">
        <f t="shared" si="81"/>
        <v>50.938479999999998</v>
      </c>
      <c r="D1777">
        <v>0.70588461538461533</v>
      </c>
      <c r="E1777">
        <f t="shared" si="82"/>
        <v>3.9306186300798127</v>
      </c>
      <c r="I1777" s="24">
        <f t="shared" si="83"/>
        <v>0.67256482124701333</v>
      </c>
      <c r="N1777" s="30">
        <v>35959.947368421053</v>
      </c>
    </row>
    <row r="1778" spans="1:14" x14ac:dyDescent="0.3">
      <c r="A1778">
        <v>27.056089999999987</v>
      </c>
      <c r="B1778">
        <v>50.230800000000002</v>
      </c>
      <c r="C1778">
        <f t="shared" si="81"/>
        <v>50.323079999999997</v>
      </c>
      <c r="D1778">
        <v>0.70607692307692305</v>
      </c>
      <c r="E1778">
        <f t="shared" si="82"/>
        <v>3.918463818786126</v>
      </c>
      <c r="I1778" s="24">
        <f t="shared" si="83"/>
        <v>0.66164119228023033</v>
      </c>
      <c r="N1778" s="30">
        <v>35958.342105263153</v>
      </c>
    </row>
    <row r="1779" spans="1:14" x14ac:dyDescent="0.3">
      <c r="A1779">
        <v>27.071319999999986</v>
      </c>
      <c r="B1779">
        <v>49.615400000000001</v>
      </c>
      <c r="C1779">
        <f t="shared" si="81"/>
        <v>49.884619999999998</v>
      </c>
      <c r="D1779">
        <v>0.70626923076923076</v>
      </c>
      <c r="E1779">
        <f t="shared" si="82"/>
        <v>3.9097127388161601</v>
      </c>
      <c r="I1779" s="24">
        <f t="shared" si="83"/>
        <v>0.65383671491186612</v>
      </c>
      <c r="N1779" s="30">
        <v>35956.73684210526</v>
      </c>
    </row>
    <row r="1780" spans="1:14" x14ac:dyDescent="0.3">
      <c r="A1780">
        <v>27.086549999999985</v>
      </c>
      <c r="B1780">
        <v>49.461500000000001</v>
      </c>
      <c r="C1780">
        <f t="shared" si="81"/>
        <v>49.438459999999999</v>
      </c>
      <c r="D1780">
        <v>0.70646153846153836</v>
      </c>
      <c r="E1780">
        <f t="shared" si="82"/>
        <v>3.9007286637969854</v>
      </c>
      <c r="I1780" s="24">
        <f t="shared" si="83"/>
        <v>0.64592493459275513</v>
      </c>
      <c r="N1780" s="30">
        <v>35955.131578947367</v>
      </c>
    </row>
    <row r="1781" spans="1:14" x14ac:dyDescent="0.3">
      <c r="A1781">
        <v>27.101779999999984</v>
      </c>
      <c r="B1781">
        <v>49.230800000000002</v>
      </c>
      <c r="C1781">
        <f t="shared" si="81"/>
        <v>49.130759999999995</v>
      </c>
      <c r="D1781">
        <v>0.70665384615384608</v>
      </c>
      <c r="E1781">
        <f t="shared" si="82"/>
        <v>3.8944853152243546</v>
      </c>
      <c r="I1781" s="24">
        <f t="shared" si="83"/>
        <v>0.6404300687013561</v>
      </c>
      <c r="N1781" s="30">
        <v>35953.526315789473</v>
      </c>
    </row>
    <row r="1782" spans="1:14" x14ac:dyDescent="0.3">
      <c r="A1782">
        <v>27.117009999999983</v>
      </c>
      <c r="B1782">
        <v>48.653799999999997</v>
      </c>
      <c r="C1782">
        <f t="shared" si="81"/>
        <v>48.884600000000006</v>
      </c>
      <c r="D1782">
        <v>0.70684615384615379</v>
      </c>
      <c r="E1782">
        <f t="shared" si="82"/>
        <v>3.8894624184550981</v>
      </c>
      <c r="I1782" s="24">
        <f t="shared" si="83"/>
        <v>0.63600949847615684</v>
      </c>
      <c r="N1782" s="30">
        <v>35951.92105263158</v>
      </c>
    </row>
    <row r="1783" spans="1:14" x14ac:dyDescent="0.3">
      <c r="A1783">
        <v>27.132239999999982</v>
      </c>
      <c r="B1783">
        <v>48.692300000000003</v>
      </c>
      <c r="C1783">
        <f t="shared" si="81"/>
        <v>48.538460000000008</v>
      </c>
      <c r="D1783">
        <v>0.7070384615384615</v>
      </c>
      <c r="E1783">
        <f t="shared" si="82"/>
        <v>3.8823564733839548</v>
      </c>
      <c r="I1783" s="24">
        <f t="shared" si="83"/>
        <v>0.62987885956237466</v>
      </c>
      <c r="N1783" s="30">
        <v>35950.31578947368</v>
      </c>
    </row>
    <row r="1784" spans="1:14" x14ac:dyDescent="0.3">
      <c r="A1784">
        <v>27.147469999999981</v>
      </c>
      <c r="B1784">
        <v>48.384599999999999</v>
      </c>
      <c r="C1784">
        <f t="shared" si="81"/>
        <v>48.230759999999997</v>
      </c>
      <c r="D1784">
        <v>0.70723076923076911</v>
      </c>
      <c r="E1784">
        <f t="shared" si="82"/>
        <v>3.875996991783806</v>
      </c>
      <c r="I1784" s="24">
        <f t="shared" si="83"/>
        <v>0.6244245588710331</v>
      </c>
      <c r="N1784" s="30">
        <v>35948.710526315786</v>
      </c>
    </row>
    <row r="1785" spans="1:14" x14ac:dyDescent="0.3">
      <c r="A1785">
        <v>27.16269999999998</v>
      </c>
      <c r="B1785">
        <v>47.730800000000002</v>
      </c>
      <c r="C1785">
        <f t="shared" si="81"/>
        <v>48.069240000000001</v>
      </c>
      <c r="D1785">
        <v>0.70742307692307693</v>
      </c>
      <c r="E1785">
        <f t="shared" si="82"/>
        <v>3.8726424715042058</v>
      </c>
      <c r="I1785" s="24">
        <f t="shared" si="83"/>
        <v>0.62148673788977227</v>
      </c>
      <c r="N1785" s="30">
        <v>35947.105263157893</v>
      </c>
    </row>
    <row r="1786" spans="1:14" x14ac:dyDescent="0.3">
      <c r="A1786">
        <v>27.177929999999979</v>
      </c>
      <c r="B1786">
        <v>47.692300000000003</v>
      </c>
      <c r="C1786">
        <f t="shared" ref="C1786:C1849" si="84">AVERAGE(B1784:B1788)</f>
        <v>47.869240000000005</v>
      </c>
      <c r="D1786">
        <v>0.70761538461538454</v>
      </c>
      <c r="E1786">
        <f t="shared" ref="E1786:E1849" si="85">LN(C1786)</f>
        <v>3.8684731269466557</v>
      </c>
      <c r="I1786" s="24">
        <f t="shared" ref="I1786:I1849" si="86">(0.0026*(EXP(1.3248*E1786)))/D1786</f>
        <v>0.61789541921900504</v>
      </c>
      <c r="N1786" s="30">
        <v>35945.5</v>
      </c>
    </row>
    <row r="1787" spans="1:14" x14ac:dyDescent="0.3">
      <c r="A1787">
        <v>27.193159999999978</v>
      </c>
      <c r="B1787">
        <v>47.846200000000003</v>
      </c>
      <c r="C1787">
        <f t="shared" si="84"/>
        <v>47.661560000000009</v>
      </c>
      <c r="D1787">
        <v>0.70780769230769225</v>
      </c>
      <c r="E1787">
        <f t="shared" si="85"/>
        <v>3.8641252029855293</v>
      </c>
      <c r="I1787" s="24">
        <f t="shared" si="86"/>
        <v>0.61417957767014475</v>
      </c>
      <c r="N1787" s="30">
        <v>35943.894736842107</v>
      </c>
    </row>
    <row r="1788" spans="1:14" x14ac:dyDescent="0.3">
      <c r="A1788">
        <v>27.208389999999977</v>
      </c>
      <c r="B1788">
        <v>47.692300000000003</v>
      </c>
      <c r="C1788">
        <f t="shared" si="84"/>
        <v>47.607700000000001</v>
      </c>
      <c r="D1788">
        <v>0.70799999999999996</v>
      </c>
      <c r="E1788">
        <f t="shared" si="85"/>
        <v>3.8629945128607575</v>
      </c>
      <c r="I1788" s="24">
        <f t="shared" si="86"/>
        <v>0.61309368889459359</v>
      </c>
      <c r="N1788" s="30">
        <v>35942.289473684206</v>
      </c>
    </row>
    <row r="1789" spans="1:14" x14ac:dyDescent="0.3">
      <c r="A1789">
        <v>27.223619999999976</v>
      </c>
      <c r="B1789">
        <v>47.346200000000003</v>
      </c>
      <c r="C1789">
        <f t="shared" si="84"/>
        <v>47.653860000000002</v>
      </c>
      <c r="D1789">
        <v>0.70819230769230768</v>
      </c>
      <c r="E1789">
        <f t="shared" si="85"/>
        <v>3.8639636341645192</v>
      </c>
      <c r="I1789" s="24">
        <f t="shared" si="86"/>
        <v>0.61371464263319053</v>
      </c>
      <c r="N1789" s="30">
        <v>35940.684210526313</v>
      </c>
    </row>
    <row r="1790" spans="1:14" x14ac:dyDescent="0.3">
      <c r="A1790">
        <v>27.238849999999974</v>
      </c>
      <c r="B1790">
        <v>47.461500000000001</v>
      </c>
      <c r="C1790">
        <f t="shared" si="84"/>
        <v>47.715379999999996</v>
      </c>
      <c r="D1790">
        <v>0.70838461538461528</v>
      </c>
      <c r="E1790">
        <f t="shared" si="85"/>
        <v>3.8652537777901403</v>
      </c>
      <c r="I1790" s="24">
        <f t="shared" si="86"/>
        <v>0.61459759745323606</v>
      </c>
      <c r="N1790" s="30">
        <v>35939.07894736842</v>
      </c>
    </row>
    <row r="1791" spans="1:14" x14ac:dyDescent="0.3">
      <c r="A1791">
        <v>27.254079999999973</v>
      </c>
      <c r="B1791">
        <v>47.923099999999998</v>
      </c>
      <c r="C1791">
        <f t="shared" si="84"/>
        <v>47.830759999999998</v>
      </c>
      <c r="D1791">
        <v>0.70857692307692299</v>
      </c>
      <c r="E1791">
        <f t="shared" si="85"/>
        <v>3.867668947174999</v>
      </c>
      <c r="I1791" s="24">
        <f t="shared" si="86"/>
        <v>0.61639988707862758</v>
      </c>
      <c r="N1791" s="30">
        <v>35937.473684210527</v>
      </c>
    </row>
    <row r="1792" spans="1:14" x14ac:dyDescent="0.3">
      <c r="A1792">
        <v>27.269309999999972</v>
      </c>
      <c r="B1792">
        <v>48.153799999999997</v>
      </c>
      <c r="C1792">
        <f t="shared" si="84"/>
        <v>47.953819999999993</v>
      </c>
      <c r="D1792">
        <v>0.70876923076923071</v>
      </c>
      <c r="E1792">
        <f t="shared" si="85"/>
        <v>3.8702384644753369</v>
      </c>
      <c r="I1792" s="24">
        <f t="shared" si="86"/>
        <v>0.61833393147141524</v>
      </c>
      <c r="N1792" s="30">
        <v>35935.868421052633</v>
      </c>
    </row>
    <row r="1793" spans="1:14" x14ac:dyDescent="0.3">
      <c r="A1793">
        <v>27.284539999999971</v>
      </c>
      <c r="B1793">
        <v>48.269199999999998</v>
      </c>
      <c r="C1793">
        <f t="shared" si="84"/>
        <v>48.269219999999997</v>
      </c>
      <c r="D1793">
        <v>0.70896153846153842</v>
      </c>
      <c r="E1793">
        <f t="shared" si="85"/>
        <v>3.8767940904368077</v>
      </c>
      <c r="I1793" s="24">
        <f t="shared" si="86"/>
        <v>0.62355829525232265</v>
      </c>
      <c r="N1793" s="30">
        <v>35934.263157894733</v>
      </c>
    </row>
    <row r="1794" spans="1:14" x14ac:dyDescent="0.3">
      <c r="A1794">
        <v>27.29976999999997</v>
      </c>
      <c r="B1794">
        <v>47.961500000000001</v>
      </c>
      <c r="C1794">
        <f t="shared" si="84"/>
        <v>48.676900000000003</v>
      </c>
      <c r="D1794">
        <v>0.70915384615384602</v>
      </c>
      <c r="E1794">
        <f t="shared" si="85"/>
        <v>3.8852045849083563</v>
      </c>
      <c r="I1794" s="24">
        <f t="shared" si="86"/>
        <v>0.63037398154315527</v>
      </c>
      <c r="N1794" s="30">
        <v>35932.65789473684</v>
      </c>
    </row>
    <row r="1795" spans="1:14" x14ac:dyDescent="0.3">
      <c r="A1795">
        <v>27.314999999999969</v>
      </c>
      <c r="B1795">
        <v>49.038499999999999</v>
      </c>
      <c r="C1795">
        <f t="shared" si="84"/>
        <v>49.184600000000003</v>
      </c>
      <c r="D1795">
        <v>0.70934615384615385</v>
      </c>
      <c r="E1795">
        <f t="shared" si="85"/>
        <v>3.8955805663709118</v>
      </c>
      <c r="I1795" s="24">
        <f t="shared" si="86"/>
        <v>0.63892573225921256</v>
      </c>
      <c r="N1795" s="30">
        <v>35931.052631578947</v>
      </c>
    </row>
    <row r="1796" spans="1:14" x14ac:dyDescent="0.3">
      <c r="A1796">
        <v>27.330229999999968</v>
      </c>
      <c r="B1796">
        <v>49.961500000000001</v>
      </c>
      <c r="C1796">
        <f t="shared" si="84"/>
        <v>49.930759999999999</v>
      </c>
      <c r="D1796">
        <v>0.70953846153846145</v>
      </c>
      <c r="E1796">
        <f t="shared" si="85"/>
        <v>3.9106372457065088</v>
      </c>
      <c r="I1796" s="24">
        <f t="shared" si="86"/>
        <v>0.65162174158726205</v>
      </c>
      <c r="N1796" s="30">
        <v>35929.447368421053</v>
      </c>
    </row>
    <row r="1797" spans="1:14" x14ac:dyDescent="0.3">
      <c r="A1797">
        <v>27.345459999999967</v>
      </c>
      <c r="B1797">
        <v>50.692300000000003</v>
      </c>
      <c r="C1797">
        <f t="shared" si="84"/>
        <v>50.923079999999999</v>
      </c>
      <c r="D1797">
        <v>0.70973076923076917</v>
      </c>
      <c r="E1797">
        <f t="shared" si="85"/>
        <v>3.9303162588984302</v>
      </c>
      <c r="I1797" s="24">
        <f t="shared" si="86"/>
        <v>0.66865217286489342</v>
      </c>
      <c r="N1797" s="30">
        <v>35927.842105263153</v>
      </c>
    </row>
    <row r="1798" spans="1:14" x14ac:dyDescent="0.3">
      <c r="A1798">
        <v>27.360689999999966</v>
      </c>
      <c r="B1798">
        <v>52</v>
      </c>
      <c r="C1798">
        <f t="shared" si="84"/>
        <v>51.846140000000005</v>
      </c>
      <c r="D1798">
        <v>0.70992307692307688</v>
      </c>
      <c r="E1798">
        <f t="shared" si="85"/>
        <v>3.9482804863884202</v>
      </c>
      <c r="I1798" s="24">
        <f t="shared" si="86"/>
        <v>0.68457081234305583</v>
      </c>
      <c r="N1798" s="30">
        <v>35926.23684210526</v>
      </c>
    </row>
    <row r="1799" spans="1:14" x14ac:dyDescent="0.3">
      <c r="A1799">
        <v>27.375919999999965</v>
      </c>
      <c r="B1799">
        <v>52.923099999999998</v>
      </c>
      <c r="C1799">
        <f t="shared" si="84"/>
        <v>52.646139999999988</v>
      </c>
      <c r="D1799">
        <v>0.71011538461538459</v>
      </c>
      <c r="E1799">
        <f t="shared" si="85"/>
        <v>3.9635929215523755</v>
      </c>
      <c r="I1799" s="24">
        <f t="shared" si="86"/>
        <v>0.69841058194538896</v>
      </c>
      <c r="N1799" s="30">
        <v>35924.631578947367</v>
      </c>
    </row>
    <row r="1800" spans="1:14" x14ac:dyDescent="0.3">
      <c r="A1800">
        <v>27.391149999999964</v>
      </c>
      <c r="B1800">
        <v>53.653799999999997</v>
      </c>
      <c r="C1800">
        <f t="shared" si="84"/>
        <v>53.407680000000006</v>
      </c>
      <c r="D1800">
        <v>0.7103076923076922</v>
      </c>
      <c r="E1800">
        <f t="shared" si="85"/>
        <v>3.9779545558497316</v>
      </c>
      <c r="I1800" s="24">
        <f t="shared" si="86"/>
        <v>0.71163324544927797</v>
      </c>
      <c r="N1800" s="30">
        <v>35923.026315789473</v>
      </c>
    </row>
    <row r="1801" spans="1:14" x14ac:dyDescent="0.3">
      <c r="A1801">
        <v>27.406379999999963</v>
      </c>
      <c r="B1801">
        <v>53.961500000000001</v>
      </c>
      <c r="C1801">
        <f t="shared" si="84"/>
        <v>53.815380000000005</v>
      </c>
      <c r="D1801">
        <v>0.71049999999999991</v>
      </c>
      <c r="E1801">
        <f t="shared" si="85"/>
        <v>3.9855592999196134</v>
      </c>
      <c r="I1801" s="24">
        <f t="shared" si="86"/>
        <v>0.71864445564287582</v>
      </c>
      <c r="N1801" s="30">
        <v>35921.42105263158</v>
      </c>
    </row>
    <row r="1802" spans="1:14" x14ac:dyDescent="0.3">
      <c r="A1802">
        <v>27.421609999999962</v>
      </c>
      <c r="B1802">
        <v>54.5</v>
      </c>
      <c r="C1802">
        <f t="shared" si="84"/>
        <v>53.969219999999993</v>
      </c>
      <c r="D1802">
        <v>0.71069230769230762</v>
      </c>
      <c r="E1802">
        <f t="shared" si="85"/>
        <v>3.988413884052517</v>
      </c>
      <c r="I1802" s="24">
        <f t="shared" si="86"/>
        <v>0.72117214062824664</v>
      </c>
      <c r="N1802" s="30">
        <v>35919.81578947368</v>
      </c>
    </row>
    <row r="1803" spans="1:14" x14ac:dyDescent="0.3">
      <c r="A1803">
        <v>27.436839999999961</v>
      </c>
      <c r="B1803">
        <v>54.038499999999999</v>
      </c>
      <c r="C1803">
        <f t="shared" si="84"/>
        <v>53.869219999999999</v>
      </c>
      <c r="D1803">
        <v>0.71088461538461534</v>
      </c>
      <c r="E1803">
        <f t="shared" si="85"/>
        <v>3.986559257285593</v>
      </c>
      <c r="I1803" s="24">
        <f t="shared" si="86"/>
        <v>0.7192077769263534</v>
      </c>
      <c r="N1803" s="30">
        <v>35918.210526315786</v>
      </c>
    </row>
    <row r="1804" spans="1:14" x14ac:dyDescent="0.3">
      <c r="A1804">
        <v>27.45206999999996</v>
      </c>
      <c r="B1804">
        <v>53.692300000000003</v>
      </c>
      <c r="C1804">
        <f t="shared" si="84"/>
        <v>53.6</v>
      </c>
      <c r="D1804">
        <v>0.71107692307692294</v>
      </c>
      <c r="E1804">
        <f t="shared" si="85"/>
        <v>3.9815490680767565</v>
      </c>
      <c r="I1804" s="24">
        <f t="shared" si="86"/>
        <v>0.71425662423809333</v>
      </c>
      <c r="N1804" s="30">
        <v>35916.605263157893</v>
      </c>
    </row>
    <row r="1805" spans="1:14" x14ac:dyDescent="0.3">
      <c r="A1805">
        <v>27.467299999999959</v>
      </c>
      <c r="B1805">
        <v>53.153799999999997</v>
      </c>
      <c r="C1805">
        <f t="shared" si="84"/>
        <v>53.030760000000001</v>
      </c>
      <c r="D1805">
        <v>0.71126923076923076</v>
      </c>
      <c r="E1805">
        <f t="shared" si="85"/>
        <v>3.9708721225568091</v>
      </c>
      <c r="I1805" s="24">
        <f t="shared" si="86"/>
        <v>0.70403430869295514</v>
      </c>
      <c r="N1805" s="30">
        <v>35915</v>
      </c>
    </row>
    <row r="1806" spans="1:14" x14ac:dyDescent="0.3">
      <c r="A1806">
        <v>27.482529999999958</v>
      </c>
      <c r="B1806">
        <v>52.615400000000001</v>
      </c>
      <c r="C1806">
        <f t="shared" si="84"/>
        <v>52.330759999999998</v>
      </c>
      <c r="D1806">
        <v>0.71146153846153837</v>
      </c>
      <c r="E1806">
        <f t="shared" si="85"/>
        <v>3.9575843434966949</v>
      </c>
      <c r="I1806" s="24">
        <f t="shared" si="86"/>
        <v>0.69156220465854845</v>
      </c>
      <c r="N1806" s="30">
        <v>35913.394736842107</v>
      </c>
    </row>
    <row r="1807" spans="1:14" x14ac:dyDescent="0.3">
      <c r="A1807">
        <v>27.497759999999957</v>
      </c>
      <c r="B1807">
        <v>51.653799999999997</v>
      </c>
      <c r="C1807">
        <f t="shared" si="84"/>
        <v>51.584600000000002</v>
      </c>
      <c r="D1807">
        <v>0.71165384615384608</v>
      </c>
      <c r="E1807">
        <f t="shared" si="85"/>
        <v>3.9432231783301654</v>
      </c>
      <c r="I1807" s="24">
        <f t="shared" si="86"/>
        <v>0.67834578723560734</v>
      </c>
      <c r="N1807" s="30">
        <v>35911.789473684206</v>
      </c>
    </row>
    <row r="1808" spans="1:14" x14ac:dyDescent="0.3">
      <c r="A1808">
        <v>27.512989999999956</v>
      </c>
      <c r="B1808">
        <v>50.538499999999999</v>
      </c>
      <c r="C1808">
        <f t="shared" si="84"/>
        <v>50.915380000000006</v>
      </c>
      <c r="D1808">
        <v>0.7118461538461538</v>
      </c>
      <c r="E1808">
        <f t="shared" si="85"/>
        <v>3.9301650390152023</v>
      </c>
      <c r="I1808" s="24">
        <f t="shared" si="86"/>
        <v>0.66653160356173469</v>
      </c>
      <c r="N1808" s="30">
        <v>35910.184210526313</v>
      </c>
    </row>
    <row r="1809" spans="1:14" x14ac:dyDescent="0.3">
      <c r="A1809">
        <v>27.528219999999955</v>
      </c>
      <c r="B1809">
        <v>49.961500000000001</v>
      </c>
      <c r="C1809">
        <f t="shared" si="84"/>
        <v>50.2</v>
      </c>
      <c r="D1809">
        <v>0.71203846153846151</v>
      </c>
      <c r="E1809">
        <f t="shared" si="85"/>
        <v>3.9160150266976834</v>
      </c>
      <c r="I1809" s="24">
        <f t="shared" si="86"/>
        <v>0.65397655514400677</v>
      </c>
      <c r="N1809" s="30">
        <v>35908.57894736842</v>
      </c>
    </row>
    <row r="1810" spans="1:14" x14ac:dyDescent="0.3">
      <c r="A1810">
        <v>27.543449999999954</v>
      </c>
      <c r="B1810">
        <v>49.807699999999997</v>
      </c>
      <c r="C1810">
        <f t="shared" si="84"/>
        <v>49.669240000000002</v>
      </c>
      <c r="D1810">
        <v>0.71223076923076911</v>
      </c>
      <c r="E1810">
        <f t="shared" si="85"/>
        <v>3.905385828015687</v>
      </c>
      <c r="I1810" s="24">
        <f t="shared" si="86"/>
        <v>0.64465796929081798</v>
      </c>
      <c r="N1810" s="30">
        <v>35906.973684210527</v>
      </c>
    </row>
    <row r="1811" spans="1:14" x14ac:dyDescent="0.3">
      <c r="A1811">
        <v>27.558679999999953</v>
      </c>
      <c r="B1811">
        <v>49.038499999999999</v>
      </c>
      <c r="C1811">
        <f t="shared" si="84"/>
        <v>49.384619999999998</v>
      </c>
      <c r="D1811">
        <v>0.71242307692307683</v>
      </c>
      <c r="E1811">
        <f t="shared" si="85"/>
        <v>3.8996390396863641</v>
      </c>
      <c r="I1811" s="24">
        <f t="shared" si="86"/>
        <v>0.63959590575763237</v>
      </c>
      <c r="N1811" s="30">
        <v>35905.368421052633</v>
      </c>
    </row>
    <row r="1812" spans="1:14" x14ac:dyDescent="0.3">
      <c r="A1812">
        <v>27.573909999999952</v>
      </c>
      <c r="B1812">
        <v>49</v>
      </c>
      <c r="C1812">
        <f t="shared" si="84"/>
        <v>49.215400000000002</v>
      </c>
      <c r="D1812">
        <v>0.71261538461538454</v>
      </c>
      <c r="E1812">
        <f t="shared" si="85"/>
        <v>3.8962065826515189</v>
      </c>
      <c r="I1812" s="24">
        <f t="shared" si="86"/>
        <v>0.63652224247223743</v>
      </c>
      <c r="N1812" s="30">
        <v>35903.763157894733</v>
      </c>
    </row>
    <row r="1813" spans="1:14" x14ac:dyDescent="0.3">
      <c r="A1813">
        <v>27.589139999999951</v>
      </c>
      <c r="B1813">
        <v>49.115400000000001</v>
      </c>
      <c r="C1813">
        <f t="shared" si="84"/>
        <v>49.123100000000001</v>
      </c>
      <c r="D1813">
        <v>0.71280769230769225</v>
      </c>
      <c r="E1813">
        <f t="shared" si="85"/>
        <v>3.8943293925966733</v>
      </c>
      <c r="I1813" s="24">
        <f t="shared" si="86"/>
        <v>0.63476994095973438</v>
      </c>
      <c r="N1813" s="30">
        <v>35902.15789473684</v>
      </c>
    </row>
    <row r="1814" spans="1:14" x14ac:dyDescent="0.3">
      <c r="A1814">
        <v>27.60436999999995</v>
      </c>
      <c r="B1814">
        <v>49.115400000000001</v>
      </c>
      <c r="C1814">
        <f t="shared" si="84"/>
        <v>49.215400000000002</v>
      </c>
      <c r="D1814">
        <v>0.71299999999999986</v>
      </c>
      <c r="E1814">
        <f t="shared" si="85"/>
        <v>3.8962065826515189</v>
      </c>
      <c r="I1814" s="24">
        <f t="shared" si="86"/>
        <v>0.63617888167685921</v>
      </c>
      <c r="N1814" s="30">
        <v>35900.552631578947</v>
      </c>
    </row>
    <row r="1815" spans="1:14" x14ac:dyDescent="0.3">
      <c r="A1815">
        <v>27.619599999999949</v>
      </c>
      <c r="B1815">
        <v>49.346200000000003</v>
      </c>
      <c r="C1815">
        <f t="shared" si="84"/>
        <v>49.284640000000003</v>
      </c>
      <c r="D1815">
        <v>0.71319230769230768</v>
      </c>
      <c r="E1815">
        <f t="shared" si="85"/>
        <v>3.897612470637037</v>
      </c>
      <c r="I1815" s="24">
        <f t="shared" si="86"/>
        <v>0.63719302063861816</v>
      </c>
      <c r="N1815" s="30">
        <v>35898.947368421053</v>
      </c>
    </row>
    <row r="1816" spans="1:14" x14ac:dyDescent="0.3">
      <c r="A1816">
        <v>27.634829999999948</v>
      </c>
      <c r="B1816">
        <v>49.5</v>
      </c>
      <c r="C1816">
        <f t="shared" si="84"/>
        <v>49.353860000000005</v>
      </c>
      <c r="D1816">
        <v>0.71338461538461528</v>
      </c>
      <c r="E1816">
        <f t="shared" si="85"/>
        <v>3.8990159796393571</v>
      </c>
      <c r="I1816" s="24">
        <f t="shared" si="86"/>
        <v>0.63820681122698286</v>
      </c>
      <c r="N1816" s="30">
        <v>35897.342105263153</v>
      </c>
    </row>
    <row r="1817" spans="1:14" x14ac:dyDescent="0.3">
      <c r="A1817">
        <v>27.650059999999947</v>
      </c>
      <c r="B1817">
        <v>49.346200000000003</v>
      </c>
      <c r="C1817">
        <f t="shared" si="84"/>
        <v>49.446160000000006</v>
      </c>
      <c r="D1817">
        <v>0.713576923076923</v>
      </c>
      <c r="E1817">
        <f t="shared" si="85"/>
        <v>3.9008844008573202</v>
      </c>
      <c r="I1817" s="24">
        <f t="shared" si="86"/>
        <v>0.6396160895323475</v>
      </c>
      <c r="N1817" s="30">
        <v>35895.73684210526</v>
      </c>
    </row>
    <row r="1818" spans="1:14" x14ac:dyDescent="0.3">
      <c r="A1818">
        <v>27.665289999999946</v>
      </c>
      <c r="B1818">
        <v>49.461500000000001</v>
      </c>
      <c r="C1818">
        <f t="shared" si="84"/>
        <v>49.4923</v>
      </c>
      <c r="D1818">
        <v>0.71376923076923071</v>
      </c>
      <c r="E1818">
        <f t="shared" si="85"/>
        <v>3.9018171019190686</v>
      </c>
      <c r="I1818" s="24">
        <f t="shared" si="86"/>
        <v>0.64023437275146777</v>
      </c>
      <c r="N1818" s="30">
        <v>35894.131578947367</v>
      </c>
    </row>
    <row r="1819" spans="1:14" x14ac:dyDescent="0.3">
      <c r="A1819">
        <v>27.680519999999945</v>
      </c>
      <c r="B1819">
        <v>49.576900000000002</v>
      </c>
      <c r="C1819">
        <f t="shared" si="84"/>
        <v>49.47692</v>
      </c>
      <c r="D1819">
        <v>0.71396153846153843</v>
      </c>
      <c r="E1819">
        <f t="shared" si="85"/>
        <v>3.9015062982141631</v>
      </c>
      <c r="I1819" s="24">
        <f t="shared" si="86"/>
        <v>0.63979843068803277</v>
      </c>
      <c r="N1819" s="30">
        <v>35892.526315789473</v>
      </c>
    </row>
    <row r="1820" spans="1:14" x14ac:dyDescent="0.3">
      <c r="A1820">
        <v>27.695749999999943</v>
      </c>
      <c r="B1820">
        <v>49.576900000000002</v>
      </c>
      <c r="C1820">
        <f t="shared" si="84"/>
        <v>49.584600000000002</v>
      </c>
      <c r="D1820">
        <v>0.71415384615384603</v>
      </c>
      <c r="E1820">
        <f t="shared" si="85"/>
        <v>3.9036803016498176</v>
      </c>
      <c r="I1820" s="24">
        <f t="shared" si="86"/>
        <v>0.64147100077988195</v>
      </c>
      <c r="N1820" s="30">
        <v>35890.92105263158</v>
      </c>
    </row>
    <row r="1821" spans="1:14" x14ac:dyDescent="0.3">
      <c r="A1821">
        <v>27.710979999999942</v>
      </c>
      <c r="B1821">
        <v>49.423099999999998</v>
      </c>
      <c r="C1821">
        <f t="shared" si="84"/>
        <v>49.738459999999996</v>
      </c>
      <c r="D1821">
        <v>0.71434615384615374</v>
      </c>
      <c r="E1821">
        <f t="shared" si="85"/>
        <v>3.9067784768987717</v>
      </c>
      <c r="I1821" s="24">
        <f t="shared" si="86"/>
        <v>0.64393590582774651</v>
      </c>
      <c r="N1821" s="30">
        <v>35889.31578947368</v>
      </c>
    </row>
    <row r="1822" spans="1:14" x14ac:dyDescent="0.3">
      <c r="A1822">
        <v>27.726209999999941</v>
      </c>
      <c r="B1822">
        <v>49.884599999999999</v>
      </c>
      <c r="C1822">
        <f t="shared" si="84"/>
        <v>49.830780000000004</v>
      </c>
      <c r="D1822">
        <v>0.71453846153846146</v>
      </c>
      <c r="E1822">
        <f t="shared" si="85"/>
        <v>3.9086328653917541</v>
      </c>
      <c r="I1822" s="24">
        <f t="shared" si="86"/>
        <v>0.64534607168479718</v>
      </c>
      <c r="N1822" s="30">
        <v>35887.710526315786</v>
      </c>
    </row>
    <row r="1823" spans="1:14" x14ac:dyDescent="0.3">
      <c r="A1823">
        <v>27.74143999999994</v>
      </c>
      <c r="B1823">
        <v>50.230800000000002</v>
      </c>
      <c r="C1823">
        <f t="shared" si="84"/>
        <v>49.853859999999997</v>
      </c>
      <c r="D1823">
        <v>0.71473076923076917</v>
      </c>
      <c r="E1823">
        <f t="shared" si="85"/>
        <v>3.9090959257070126</v>
      </c>
      <c r="I1823" s="24">
        <f t="shared" si="86"/>
        <v>0.64556834324968448</v>
      </c>
      <c r="N1823" s="30">
        <v>35886.105263157893</v>
      </c>
    </row>
    <row r="1824" spans="1:14" x14ac:dyDescent="0.3">
      <c r="A1824">
        <v>27.756669999999939</v>
      </c>
      <c r="B1824">
        <v>50.038499999999999</v>
      </c>
      <c r="C1824">
        <f t="shared" si="84"/>
        <v>49.869240000000005</v>
      </c>
      <c r="D1824">
        <v>0.71492307692307677</v>
      </c>
      <c r="E1824">
        <f t="shared" si="85"/>
        <v>3.9094043798188873</v>
      </c>
      <c r="I1824" s="24">
        <f t="shared" si="86"/>
        <v>0.64565847932391962</v>
      </c>
      <c r="N1824" s="30">
        <v>35884.5</v>
      </c>
    </row>
    <row r="1825" spans="1:14" x14ac:dyDescent="0.3">
      <c r="A1825">
        <v>27.771899999999938</v>
      </c>
      <c r="B1825">
        <v>49.692300000000003</v>
      </c>
      <c r="C1825">
        <f t="shared" si="84"/>
        <v>49.907699999999998</v>
      </c>
      <c r="D1825">
        <v>0.7151153846153846</v>
      </c>
      <c r="E1825">
        <f t="shared" si="85"/>
        <v>3.9101752994703571</v>
      </c>
      <c r="I1825" s="24">
        <f t="shared" si="86"/>
        <v>0.64614442957657015</v>
      </c>
      <c r="N1825" s="30">
        <v>35882.894736842107</v>
      </c>
    </row>
    <row r="1826" spans="1:14" x14ac:dyDescent="0.3">
      <c r="A1826">
        <v>27.787129999999937</v>
      </c>
      <c r="B1826">
        <v>49.5</v>
      </c>
      <c r="C1826">
        <f t="shared" si="84"/>
        <v>49.961539999999999</v>
      </c>
      <c r="D1826">
        <v>0.7153076923076922</v>
      </c>
      <c r="E1826">
        <f t="shared" si="85"/>
        <v>3.9112535094420346</v>
      </c>
      <c r="I1826" s="24">
        <f t="shared" si="86"/>
        <v>0.6468940881707903</v>
      </c>
      <c r="N1826" s="30">
        <v>35881.289473684206</v>
      </c>
    </row>
    <row r="1827" spans="1:14" x14ac:dyDescent="0.3">
      <c r="A1827">
        <v>27.802359999999936</v>
      </c>
      <c r="B1827">
        <v>50.076900000000002</v>
      </c>
      <c r="C1827">
        <f t="shared" si="84"/>
        <v>49.95384</v>
      </c>
      <c r="D1827">
        <v>0.71549999999999991</v>
      </c>
      <c r="E1827">
        <f t="shared" si="85"/>
        <v>3.9110993790165636</v>
      </c>
      <c r="I1827" s="24">
        <f t="shared" si="86"/>
        <v>0.64658817834799298</v>
      </c>
      <c r="N1827" s="30">
        <v>35879.684210526313</v>
      </c>
    </row>
    <row r="1828" spans="1:14" x14ac:dyDescent="0.3">
      <c r="A1828">
        <v>27.817589999999935</v>
      </c>
      <c r="B1828">
        <v>50.5</v>
      </c>
      <c r="C1828">
        <f t="shared" si="84"/>
        <v>49.915379999999999</v>
      </c>
      <c r="D1828">
        <v>0.71569230769230763</v>
      </c>
      <c r="E1828">
        <f t="shared" si="85"/>
        <v>3.9103291717014117</v>
      </c>
      <c r="I1828" s="24">
        <f t="shared" si="86"/>
        <v>0.64575519312087182</v>
      </c>
      <c r="N1828" s="30">
        <v>35878.07894736842</v>
      </c>
    </row>
    <row r="1829" spans="1:14" x14ac:dyDescent="0.3">
      <c r="A1829">
        <v>27.832819999999934</v>
      </c>
      <c r="B1829">
        <v>50</v>
      </c>
      <c r="C1829">
        <f t="shared" si="84"/>
        <v>49.830759999999998</v>
      </c>
      <c r="D1829">
        <v>0.71588461538461534</v>
      </c>
      <c r="E1829">
        <f t="shared" si="85"/>
        <v>3.9086324640333161</v>
      </c>
      <c r="I1829" s="24">
        <f t="shared" si="86"/>
        <v>0.64413221645342611</v>
      </c>
      <c r="N1829" s="30">
        <v>35876.473684210527</v>
      </c>
    </row>
    <row r="1830" spans="1:14" x14ac:dyDescent="0.3">
      <c r="A1830">
        <v>27.848049999999933</v>
      </c>
      <c r="B1830">
        <v>49.5</v>
      </c>
      <c r="C1830">
        <f t="shared" si="84"/>
        <v>49.507680000000001</v>
      </c>
      <c r="D1830">
        <v>0.71607692307692294</v>
      </c>
      <c r="E1830">
        <f t="shared" si="85"/>
        <v>3.9021278090550444</v>
      </c>
      <c r="I1830" s="24">
        <f t="shared" si="86"/>
        <v>0.6384338384302165</v>
      </c>
      <c r="N1830" s="30">
        <v>35874.868421052633</v>
      </c>
    </row>
    <row r="1831" spans="1:14" x14ac:dyDescent="0.3">
      <c r="A1831">
        <v>27.863279999999932</v>
      </c>
      <c r="B1831">
        <v>49.076900000000002</v>
      </c>
      <c r="C1831">
        <f t="shared" si="84"/>
        <v>48.999980000000001</v>
      </c>
      <c r="D1831">
        <v>0.71626923076923066</v>
      </c>
      <c r="E1831">
        <f t="shared" si="85"/>
        <v>3.891819889947278</v>
      </c>
      <c r="I1831" s="24">
        <f t="shared" si="86"/>
        <v>0.62960560358991868</v>
      </c>
      <c r="N1831" s="30">
        <v>35873.263157894733</v>
      </c>
    </row>
    <row r="1832" spans="1:14" x14ac:dyDescent="0.3">
      <c r="A1832">
        <v>27.878509999999931</v>
      </c>
      <c r="B1832">
        <v>48.461500000000001</v>
      </c>
      <c r="C1832">
        <f t="shared" si="84"/>
        <v>48.553819999999995</v>
      </c>
      <c r="D1832">
        <v>0.71646153846153837</v>
      </c>
      <c r="E1832">
        <f t="shared" si="85"/>
        <v>3.8826728734134552</v>
      </c>
      <c r="I1832" s="24">
        <f t="shared" si="86"/>
        <v>0.6218551455360174</v>
      </c>
      <c r="N1832" s="30">
        <v>35871.65789473684</v>
      </c>
    </row>
    <row r="1833" spans="1:14" x14ac:dyDescent="0.3">
      <c r="A1833">
        <v>27.89373999999993</v>
      </c>
      <c r="B1833">
        <v>47.961500000000001</v>
      </c>
      <c r="C1833">
        <f t="shared" si="84"/>
        <v>48.261519999999997</v>
      </c>
      <c r="D1833">
        <v>0.71665384615384609</v>
      </c>
      <c r="E1833">
        <f t="shared" si="85"/>
        <v>3.876634555763887</v>
      </c>
      <c r="I1833" s="24">
        <f t="shared" si="86"/>
        <v>0.61673488047900937</v>
      </c>
      <c r="N1833" s="30">
        <v>35870.052631578947</v>
      </c>
    </row>
    <row r="1834" spans="1:14" x14ac:dyDescent="0.3">
      <c r="A1834">
        <v>27.908969999999929</v>
      </c>
      <c r="B1834">
        <v>47.769199999999998</v>
      </c>
      <c r="C1834">
        <f t="shared" si="84"/>
        <v>48.046140000000001</v>
      </c>
      <c r="D1834">
        <v>0.71684615384615369</v>
      </c>
      <c r="E1834">
        <f t="shared" si="85"/>
        <v>3.8721617992029618</v>
      </c>
      <c r="I1834" s="24">
        <f t="shared" si="86"/>
        <v>0.61292674556468685</v>
      </c>
      <c r="N1834" s="30">
        <v>35868.447368421053</v>
      </c>
    </row>
    <row r="1835" spans="1:14" x14ac:dyDescent="0.3">
      <c r="A1835">
        <v>27.924199999999928</v>
      </c>
      <c r="B1835">
        <v>48.038499999999999</v>
      </c>
      <c r="C1835">
        <f t="shared" si="84"/>
        <v>47.869219999999999</v>
      </c>
      <c r="D1835">
        <v>0.71703846153846151</v>
      </c>
      <c r="E1835">
        <f t="shared" si="85"/>
        <v>3.8684727091417317</v>
      </c>
      <c r="I1835" s="24">
        <f t="shared" si="86"/>
        <v>0.60977490910756726</v>
      </c>
      <c r="N1835" s="30">
        <v>35866.842105263153</v>
      </c>
    </row>
    <row r="1836" spans="1:14" x14ac:dyDescent="0.3">
      <c r="A1836">
        <v>27.939429999999927</v>
      </c>
      <c r="B1836">
        <v>48</v>
      </c>
      <c r="C1836">
        <f t="shared" si="84"/>
        <v>47.661540000000002</v>
      </c>
      <c r="D1836">
        <v>0.71723076923076923</v>
      </c>
      <c r="E1836">
        <f t="shared" si="85"/>
        <v>3.864124783360066</v>
      </c>
      <c r="I1836" s="24">
        <f t="shared" si="86"/>
        <v>0.60611006458840266</v>
      </c>
      <c r="N1836" s="30">
        <v>35865.23684210526</v>
      </c>
    </row>
    <row r="1837" spans="1:14" x14ac:dyDescent="0.3">
      <c r="A1837">
        <v>27.954659999999926</v>
      </c>
      <c r="B1837">
        <v>47.576900000000002</v>
      </c>
      <c r="C1837">
        <f t="shared" si="84"/>
        <v>47.346159999999998</v>
      </c>
      <c r="D1837">
        <v>0.71742307692307683</v>
      </c>
      <c r="E1837">
        <f t="shared" si="85"/>
        <v>3.8574857181385926</v>
      </c>
      <c r="I1837" s="24">
        <f t="shared" si="86"/>
        <v>0.60064139227213353</v>
      </c>
      <c r="N1837" s="30">
        <v>35863.631578947367</v>
      </c>
    </row>
    <row r="1838" spans="1:14" x14ac:dyDescent="0.3">
      <c r="A1838">
        <v>27.969889999999925</v>
      </c>
      <c r="B1838">
        <v>46.923099999999998</v>
      </c>
      <c r="C1838">
        <f t="shared" si="84"/>
        <v>46.869219999999999</v>
      </c>
      <c r="D1838">
        <v>0.71761538461538454</v>
      </c>
      <c r="E1838">
        <f t="shared" si="85"/>
        <v>3.8473611700210162</v>
      </c>
      <c r="I1838" s="24">
        <f t="shared" si="86"/>
        <v>0.59247996171909167</v>
      </c>
      <c r="N1838" s="30">
        <v>35862.026315789473</v>
      </c>
    </row>
    <row r="1839" spans="1:14" x14ac:dyDescent="0.3">
      <c r="A1839">
        <v>27.985119999999924</v>
      </c>
      <c r="B1839">
        <v>46.192300000000003</v>
      </c>
      <c r="C1839">
        <f t="shared" si="84"/>
        <v>46.299979999999991</v>
      </c>
      <c r="D1839">
        <v>0.71780769230769226</v>
      </c>
      <c r="E1839">
        <f t="shared" si="85"/>
        <v>3.835141529126652</v>
      </c>
      <c r="I1839" s="24">
        <f t="shared" si="86"/>
        <v>0.58280958848739661</v>
      </c>
      <c r="N1839" s="30">
        <v>35860.42105263158</v>
      </c>
    </row>
    <row r="1840" spans="1:14" x14ac:dyDescent="0.3">
      <c r="A1840">
        <v>28.000349999999923</v>
      </c>
      <c r="B1840">
        <v>45.653799999999997</v>
      </c>
      <c r="C1840">
        <f t="shared" si="84"/>
        <v>45.707679999999996</v>
      </c>
      <c r="D1840" s="8">
        <v>0.71799999999999997</v>
      </c>
      <c r="E1840">
        <f t="shared" si="85"/>
        <v>3.8222663362973281</v>
      </c>
      <c r="I1840" s="24">
        <f t="shared" si="86"/>
        <v>0.57279941668461343</v>
      </c>
      <c r="N1840" s="30">
        <v>35858.81578947368</v>
      </c>
    </row>
    <row r="1841" spans="1:18" x14ac:dyDescent="0.3">
      <c r="A1841">
        <v>28.015579999999922</v>
      </c>
      <c r="B1841">
        <v>45.153799999999997</v>
      </c>
      <c r="C1841">
        <f t="shared" si="84"/>
        <v>45.215359999999997</v>
      </c>
      <c r="D1841">
        <v>0.71740909090909089</v>
      </c>
      <c r="E1841">
        <f t="shared" si="85"/>
        <v>3.8114368521202739</v>
      </c>
      <c r="I1841" s="24">
        <f t="shared" si="86"/>
        <v>0.5651052678992502</v>
      </c>
      <c r="N1841" s="30">
        <v>35857.210526315786</v>
      </c>
    </row>
    <row r="1842" spans="1:18" x14ac:dyDescent="0.3">
      <c r="A1842">
        <v>28.030809999999921</v>
      </c>
      <c r="B1842">
        <v>44.615400000000001</v>
      </c>
      <c r="C1842">
        <f t="shared" si="84"/>
        <v>44.884599999999999</v>
      </c>
      <c r="D1842">
        <v>0.7168181818181818</v>
      </c>
      <c r="E1842">
        <f t="shared" si="85"/>
        <v>3.8040947515058035</v>
      </c>
      <c r="I1842" s="24">
        <f t="shared" si="86"/>
        <v>0.56009657499331877</v>
      </c>
      <c r="N1842" s="30">
        <v>35855.605263157893</v>
      </c>
    </row>
    <row r="1843" spans="1:18" x14ac:dyDescent="0.3">
      <c r="A1843">
        <v>28.04603999999992</v>
      </c>
      <c r="B1843">
        <v>44.461500000000001</v>
      </c>
      <c r="C1843">
        <f t="shared" si="84"/>
        <v>44.730760000000004</v>
      </c>
      <c r="D1843">
        <v>0.71622727272727271</v>
      </c>
      <c r="E1843">
        <f t="shared" si="85"/>
        <v>3.8006614081343066</v>
      </c>
      <c r="I1843" s="25">
        <f t="shared" si="86"/>
        <v>0.55801476404995765</v>
      </c>
      <c r="N1843" s="30">
        <v>35854</v>
      </c>
    </row>
    <row r="1844" spans="1:18" x14ac:dyDescent="0.3">
      <c r="A1844">
        <v>28.061269999999919</v>
      </c>
      <c r="B1844">
        <v>44.538499999999999</v>
      </c>
      <c r="C1844">
        <f t="shared" si="84"/>
        <v>44.753840000000004</v>
      </c>
      <c r="D1844">
        <v>0.71563636363636363</v>
      </c>
      <c r="E1844">
        <f t="shared" si="85"/>
        <v>3.8011772510952579</v>
      </c>
      <c r="I1844" s="24">
        <f t="shared" si="86"/>
        <v>0.55885730952371238</v>
      </c>
      <c r="N1844" s="30">
        <v>35837.799999999996</v>
      </c>
    </row>
    <row r="1845" spans="1:18" x14ac:dyDescent="0.3">
      <c r="A1845">
        <v>28.076499999999918</v>
      </c>
      <c r="B1845">
        <v>44.884599999999999</v>
      </c>
      <c r="C1845">
        <f t="shared" si="84"/>
        <v>45.092300000000002</v>
      </c>
      <c r="D1845">
        <v>0.71504545454545454</v>
      </c>
      <c r="E1845">
        <f t="shared" si="85"/>
        <v>3.8087115002249985</v>
      </c>
      <c r="I1845" s="24">
        <f t="shared" si="86"/>
        <v>0.56492987366912628</v>
      </c>
      <c r="N1845" s="30">
        <v>35821.599999999999</v>
      </c>
    </row>
    <row r="1846" spans="1:18" x14ac:dyDescent="0.3">
      <c r="A1846">
        <v>28.091729999999917</v>
      </c>
      <c r="B1846">
        <v>45.269199999999998</v>
      </c>
      <c r="C1846">
        <f t="shared" si="84"/>
        <v>45.823079999999997</v>
      </c>
      <c r="D1846">
        <v>0.71445454545454545</v>
      </c>
      <c r="E1846">
        <f t="shared" si="85"/>
        <v>3.8247878943209961</v>
      </c>
      <c r="I1846" s="24">
        <f t="shared" si="86"/>
        <v>0.57756809469596992</v>
      </c>
      <c r="N1846" s="30">
        <v>35805.399999999994</v>
      </c>
    </row>
    <row r="1847" spans="1:18" x14ac:dyDescent="0.3">
      <c r="A1847">
        <v>28.106959999999916</v>
      </c>
      <c r="B1847">
        <v>46.307699999999997</v>
      </c>
      <c r="C1847">
        <f t="shared" si="84"/>
        <v>46.938459999999999</v>
      </c>
      <c r="D1847">
        <v>0.71386363636363637</v>
      </c>
      <c r="E1847">
        <f t="shared" si="85"/>
        <v>3.8488373820448931</v>
      </c>
      <c r="I1847" s="24">
        <f t="shared" si="86"/>
        <v>0.59675970556678626</v>
      </c>
      <c r="N1847" s="30">
        <v>35789.199999999997</v>
      </c>
      <c r="O1847">
        <v>1997</v>
      </c>
      <c r="P1847" s="24">
        <f>AVERAGE(I1847:I1908)</f>
        <v>0.65863837292458283</v>
      </c>
      <c r="Q1847">
        <f>A1908-A1847</f>
        <v>0.92902999999993696</v>
      </c>
      <c r="R1847">
        <f>P1847*Q1847</f>
        <v>0.61189480759808368</v>
      </c>
    </row>
    <row r="1848" spans="1:18" x14ac:dyDescent="0.3">
      <c r="A1848">
        <v>28.122189999999915</v>
      </c>
      <c r="B1848">
        <v>48.115400000000001</v>
      </c>
      <c r="C1848">
        <f t="shared" si="84"/>
        <v>48.346159999999998</v>
      </c>
      <c r="D1848">
        <v>0.71327272727272728</v>
      </c>
      <c r="E1848">
        <f t="shared" si="85"/>
        <v>3.8783867978559488</v>
      </c>
      <c r="I1848" s="24">
        <f t="shared" si="86"/>
        <v>0.62109850953119317</v>
      </c>
      <c r="N1848" s="30">
        <v>35773</v>
      </c>
    </row>
    <row r="1849" spans="1:18" x14ac:dyDescent="0.3">
      <c r="A1849">
        <v>28.137419999999914</v>
      </c>
      <c r="B1849">
        <v>50.115400000000001</v>
      </c>
      <c r="C1849">
        <f t="shared" si="84"/>
        <v>50.030780000000007</v>
      </c>
      <c r="D1849">
        <v>0.71268181818181819</v>
      </c>
      <c r="E1849">
        <f t="shared" si="85"/>
        <v>3.9126384160241936</v>
      </c>
      <c r="I1849" s="24">
        <f t="shared" si="86"/>
        <v>0.6504699063568492</v>
      </c>
      <c r="N1849" s="30">
        <v>35756.799999999996</v>
      </c>
    </row>
    <row r="1850" spans="1:18" x14ac:dyDescent="0.3">
      <c r="A1850">
        <v>28.152649999999912</v>
      </c>
      <c r="B1850">
        <v>51.923099999999998</v>
      </c>
      <c r="C1850">
        <f t="shared" ref="C1850:C1913" si="87">AVERAGE(B1848:B1852)</f>
        <v>51.861540000000005</v>
      </c>
      <c r="D1850">
        <v>0.71209090909090911</v>
      </c>
      <c r="E1850">
        <f t="shared" ref="E1850:E1913" si="88">LN(C1850)</f>
        <v>3.9485774750032112</v>
      </c>
      <c r="I1850" s="24">
        <f t="shared" ref="I1850:I1913" si="89">(0.0026*(EXP(1.3248*E1850)))/D1850</f>
        <v>0.68275533774066433</v>
      </c>
      <c r="N1850" s="30">
        <v>35740.6</v>
      </c>
    </row>
    <row r="1851" spans="1:18" x14ac:dyDescent="0.3">
      <c r="A1851">
        <v>28.167879999999911</v>
      </c>
      <c r="B1851">
        <v>53.692300000000003</v>
      </c>
      <c r="C1851">
        <f t="shared" si="87"/>
        <v>53.653840000000002</v>
      </c>
      <c r="D1851">
        <v>0.71149999999999991</v>
      </c>
      <c r="E1851">
        <f t="shared" si="88"/>
        <v>3.9825530415386368</v>
      </c>
      <c r="I1851" s="24">
        <f t="shared" si="89"/>
        <v>0.71478198199528642</v>
      </c>
      <c r="N1851" s="30">
        <v>35724.399999999994</v>
      </c>
    </row>
    <row r="1852" spans="1:18" x14ac:dyDescent="0.3">
      <c r="A1852">
        <v>28.18310999999991</v>
      </c>
      <c r="B1852">
        <v>55.461500000000001</v>
      </c>
      <c r="C1852">
        <f t="shared" si="87"/>
        <v>55.353840000000005</v>
      </c>
      <c r="D1852">
        <v>0.71090909090909082</v>
      </c>
      <c r="E1852">
        <f t="shared" si="88"/>
        <v>4.0137460334419615</v>
      </c>
      <c r="I1852" s="24">
        <f t="shared" si="89"/>
        <v>0.74555798289678066</v>
      </c>
      <c r="N1852" s="30">
        <v>35708.199999999997</v>
      </c>
    </row>
    <row r="1853" spans="1:18" x14ac:dyDescent="0.3">
      <c r="A1853">
        <v>28.198339999999909</v>
      </c>
      <c r="B1853">
        <v>57.076900000000002</v>
      </c>
      <c r="C1853">
        <f t="shared" si="87"/>
        <v>57.053840000000001</v>
      </c>
      <c r="D1853">
        <v>0.71031818181818174</v>
      </c>
      <c r="E1853">
        <f t="shared" si="88"/>
        <v>4.0439953834206488</v>
      </c>
      <c r="I1853" s="24">
        <f t="shared" si="89"/>
        <v>0.77668805404560481</v>
      </c>
      <c r="N1853" s="30">
        <v>35692</v>
      </c>
    </row>
    <row r="1854" spans="1:18" x14ac:dyDescent="0.3">
      <c r="A1854">
        <v>28.213569999999908</v>
      </c>
      <c r="B1854">
        <v>58.615400000000001</v>
      </c>
      <c r="C1854">
        <f t="shared" si="87"/>
        <v>58.769219999999997</v>
      </c>
      <c r="D1854">
        <v>0.70972727272727265</v>
      </c>
      <c r="E1854">
        <f t="shared" si="88"/>
        <v>4.0736182484588932</v>
      </c>
      <c r="I1854" s="24">
        <f t="shared" si="89"/>
        <v>0.80844722868679542</v>
      </c>
      <c r="N1854" s="30">
        <v>35675.799999999996</v>
      </c>
    </row>
    <row r="1855" spans="1:18" x14ac:dyDescent="0.3">
      <c r="A1855">
        <v>28.228799999999907</v>
      </c>
      <c r="B1855">
        <v>60.423099999999998</v>
      </c>
      <c r="C1855">
        <f t="shared" si="87"/>
        <v>60.32307999999999</v>
      </c>
      <c r="D1855">
        <v>0.70913636363636356</v>
      </c>
      <c r="E1855">
        <f t="shared" si="88"/>
        <v>4.0997147834040888</v>
      </c>
      <c r="I1855" s="24">
        <f t="shared" si="89"/>
        <v>0.83758355733467071</v>
      </c>
      <c r="N1855" s="30">
        <v>35659.599999999999</v>
      </c>
    </row>
    <row r="1856" spans="1:18" x14ac:dyDescent="0.3">
      <c r="A1856">
        <v>28.244029999999906</v>
      </c>
      <c r="B1856">
        <v>62.269199999999998</v>
      </c>
      <c r="C1856">
        <f t="shared" si="87"/>
        <v>61.615400000000001</v>
      </c>
      <c r="D1856">
        <v>0.70854545454545448</v>
      </c>
      <c r="E1856">
        <f t="shared" si="88"/>
        <v>4.1209118392946813</v>
      </c>
      <c r="I1856" s="24">
        <f t="shared" si="89"/>
        <v>0.86215624730011831</v>
      </c>
      <c r="N1856" s="30">
        <v>35643.399999999994</v>
      </c>
    </row>
    <row r="1857" spans="1:14" x14ac:dyDescent="0.3">
      <c r="A1857">
        <v>28.259259999999905</v>
      </c>
      <c r="B1857">
        <v>63.230800000000002</v>
      </c>
      <c r="C1857">
        <f t="shared" si="87"/>
        <v>62.484619999999993</v>
      </c>
      <c r="D1857">
        <v>0.70795454545454539</v>
      </c>
      <c r="E1857">
        <f t="shared" si="88"/>
        <v>4.134920446459704</v>
      </c>
      <c r="I1857" s="24">
        <f t="shared" si="89"/>
        <v>0.8790391546057873</v>
      </c>
      <c r="N1857" s="30">
        <v>35627.199999999997</v>
      </c>
    </row>
    <row r="1858" spans="1:14" x14ac:dyDescent="0.3">
      <c r="A1858">
        <v>28.274489999999904</v>
      </c>
      <c r="B1858">
        <v>63.538499999999999</v>
      </c>
      <c r="C1858">
        <f t="shared" si="87"/>
        <v>62.723080000000003</v>
      </c>
      <c r="D1858">
        <v>0.70736363636363631</v>
      </c>
      <c r="E1858">
        <f t="shared" si="88"/>
        <v>4.1387294819792935</v>
      </c>
      <c r="I1858" s="24">
        <f t="shared" si="89"/>
        <v>0.8842242181497002</v>
      </c>
      <c r="J1858">
        <v>1997</v>
      </c>
      <c r="K1858">
        <f>AVERAGE(I1858:I1934)</f>
        <v>0.66393052226534699</v>
      </c>
      <c r="L1858">
        <f>A1934-A1858</f>
        <v>1.1574799999999215</v>
      </c>
      <c r="M1858">
        <f>K1858*L1858</f>
        <v>0.76848630091164172</v>
      </c>
      <c r="N1858" s="30">
        <v>35611</v>
      </c>
    </row>
    <row r="1859" spans="1:14" x14ac:dyDescent="0.3">
      <c r="A1859">
        <v>28.289719999999903</v>
      </c>
      <c r="B1859">
        <v>62.961500000000001</v>
      </c>
      <c r="C1859">
        <f t="shared" si="87"/>
        <v>62.084619999999994</v>
      </c>
      <c r="D1859">
        <v>0.70677272727272722</v>
      </c>
      <c r="E1859">
        <f t="shared" si="88"/>
        <v>4.1284982932090175</v>
      </c>
      <c r="I1859" s="24">
        <f t="shared" si="89"/>
        <v>0.87304937261361204</v>
      </c>
      <c r="N1859" s="30">
        <v>35608.095238095237</v>
      </c>
    </row>
    <row r="1860" spans="1:14" x14ac:dyDescent="0.3">
      <c r="A1860">
        <v>28.304949999999902</v>
      </c>
      <c r="B1860">
        <v>61.615400000000001</v>
      </c>
      <c r="C1860">
        <f t="shared" si="87"/>
        <v>60.746159999999996</v>
      </c>
      <c r="D1860">
        <v>0.70618181818181813</v>
      </c>
      <c r="E1860">
        <f t="shared" si="88"/>
        <v>4.1067038703462861</v>
      </c>
      <c r="I1860" s="24">
        <f t="shared" si="89"/>
        <v>0.84891178326167638</v>
      </c>
      <c r="N1860" s="30">
        <v>35605.190476190481</v>
      </c>
    </row>
    <row r="1861" spans="1:14" x14ac:dyDescent="0.3">
      <c r="A1861">
        <v>28.320179999999901</v>
      </c>
      <c r="B1861">
        <v>59.076900000000002</v>
      </c>
      <c r="C1861">
        <f t="shared" si="87"/>
        <v>59.04616</v>
      </c>
      <c r="D1861">
        <v>0.70559090909090905</v>
      </c>
      <c r="E1861">
        <f t="shared" si="88"/>
        <v>4.0783195108929515</v>
      </c>
      <c r="I1861" s="24">
        <f t="shared" si="89"/>
        <v>0.81826708359458389</v>
      </c>
      <c r="N1861" s="30">
        <v>35602.285714285717</v>
      </c>
    </row>
    <row r="1862" spans="1:14" x14ac:dyDescent="0.3">
      <c r="A1862">
        <v>28.3354099999999</v>
      </c>
      <c r="B1862">
        <v>56.538499999999999</v>
      </c>
      <c r="C1862">
        <f t="shared" si="87"/>
        <v>57.276940000000003</v>
      </c>
      <c r="D1862">
        <v>0.70499999999999996</v>
      </c>
      <c r="E1862">
        <f t="shared" si="88"/>
        <v>4.0478980994376865</v>
      </c>
      <c r="I1862" s="24">
        <f t="shared" si="89"/>
        <v>0.7866035108668652</v>
      </c>
      <c r="N1862" s="30">
        <v>35599.380952380954</v>
      </c>
    </row>
    <row r="1863" spans="1:14" x14ac:dyDescent="0.3">
      <c r="A1863">
        <v>28.350639999999899</v>
      </c>
      <c r="B1863">
        <v>55.038499999999999</v>
      </c>
      <c r="C1863">
        <f t="shared" si="87"/>
        <v>55.715400000000002</v>
      </c>
      <c r="D1863">
        <v>0.70440909090909087</v>
      </c>
      <c r="E1863">
        <f t="shared" si="88"/>
        <v>4.0202565898683815</v>
      </c>
      <c r="I1863" s="24">
        <f t="shared" si="89"/>
        <v>0.75895567147642884</v>
      </c>
      <c r="N1863" s="30">
        <v>35596.476190476191</v>
      </c>
    </row>
    <row r="1864" spans="1:14" x14ac:dyDescent="0.3">
      <c r="A1864">
        <v>28.365869999999898</v>
      </c>
      <c r="B1864">
        <v>54.115400000000001</v>
      </c>
      <c r="C1864">
        <f t="shared" si="87"/>
        <v>54.630779999999994</v>
      </c>
      <c r="D1864">
        <v>0.70381818181818179</v>
      </c>
      <c r="E1864">
        <f t="shared" si="88"/>
        <v>4.0005974601750012</v>
      </c>
      <c r="I1864" s="24">
        <f t="shared" si="89"/>
        <v>0.74006511895188232</v>
      </c>
      <c r="N1864" s="30">
        <v>35593.571428571428</v>
      </c>
    </row>
    <row r="1865" spans="1:14" x14ac:dyDescent="0.3">
      <c r="A1865">
        <v>28.381099999999897</v>
      </c>
      <c r="B1865">
        <v>53.807699999999997</v>
      </c>
      <c r="C1865">
        <f t="shared" si="87"/>
        <v>53.999999999999986</v>
      </c>
      <c r="D1865">
        <v>0.7032272727272727</v>
      </c>
      <c r="E1865">
        <f t="shared" si="88"/>
        <v>3.9889840465642741</v>
      </c>
      <c r="I1865" s="24">
        <f t="shared" si="89"/>
        <v>0.72937839633993296</v>
      </c>
      <c r="N1865" s="30">
        <v>35590.666666666672</v>
      </c>
    </row>
    <row r="1866" spans="1:14" x14ac:dyDescent="0.3">
      <c r="A1866">
        <v>28.396329999999896</v>
      </c>
      <c r="B1866">
        <v>53.653799999999997</v>
      </c>
      <c r="C1866">
        <f t="shared" si="87"/>
        <v>53.661540000000002</v>
      </c>
      <c r="D1866">
        <v>0.70263636363636361</v>
      </c>
      <c r="E1866">
        <f t="shared" si="88"/>
        <v>3.9826965438029576</v>
      </c>
      <c r="I1866" s="24">
        <f t="shared" si="89"/>
        <v>0.72393644901629217</v>
      </c>
      <c r="N1866" s="30">
        <v>35587.761904761908</v>
      </c>
    </row>
    <row r="1867" spans="1:14" x14ac:dyDescent="0.3">
      <c r="A1867">
        <v>28.411559999999895</v>
      </c>
      <c r="B1867">
        <v>53.384599999999999</v>
      </c>
      <c r="C1867">
        <f t="shared" si="87"/>
        <v>53.323080000000004</v>
      </c>
      <c r="D1867">
        <v>0.70204545454545453</v>
      </c>
      <c r="E1867">
        <f t="shared" si="88"/>
        <v>3.976369258083317</v>
      </c>
      <c r="I1867" s="24">
        <f t="shared" si="89"/>
        <v>0.71849774362966778</v>
      </c>
      <c r="N1867" s="30">
        <v>35584.857142857145</v>
      </c>
    </row>
    <row r="1868" spans="1:14" x14ac:dyDescent="0.3">
      <c r="A1868">
        <v>28.426789999999894</v>
      </c>
      <c r="B1868">
        <v>53.346200000000003</v>
      </c>
      <c r="C1868">
        <f t="shared" si="87"/>
        <v>52.853840000000005</v>
      </c>
      <c r="D1868">
        <v>0.70145454545454544</v>
      </c>
      <c r="E1868">
        <f t="shared" si="88"/>
        <v>3.9675303681441085</v>
      </c>
      <c r="I1868" s="24">
        <f t="shared" si="89"/>
        <v>0.71073159463394664</v>
      </c>
      <c r="N1868" s="30">
        <v>35581.952380952382</v>
      </c>
    </row>
    <row r="1869" spans="1:14" x14ac:dyDescent="0.3">
      <c r="A1869">
        <v>28.442019999999893</v>
      </c>
      <c r="B1869">
        <v>52.423099999999998</v>
      </c>
      <c r="C1869">
        <f t="shared" si="87"/>
        <v>52.307699999999997</v>
      </c>
      <c r="D1869">
        <v>0.70086363636363636</v>
      </c>
      <c r="E1869">
        <f t="shared" si="88"/>
        <v>3.9571435877674284</v>
      </c>
      <c r="I1869" s="24">
        <f t="shared" si="89"/>
        <v>0.70160965914302698</v>
      </c>
      <c r="N1869" s="30">
        <v>35579.047619047618</v>
      </c>
    </row>
    <row r="1870" spans="1:14" x14ac:dyDescent="0.3">
      <c r="A1870">
        <v>28.457249999999892</v>
      </c>
      <c r="B1870">
        <v>51.461500000000001</v>
      </c>
      <c r="C1870">
        <f t="shared" si="87"/>
        <v>51.684619999999995</v>
      </c>
      <c r="D1870">
        <v>0.70027272727272727</v>
      </c>
      <c r="E1870">
        <f t="shared" si="88"/>
        <v>3.9451602517635664</v>
      </c>
      <c r="I1870" s="24">
        <f t="shared" si="89"/>
        <v>0.69114189913429747</v>
      </c>
      <c r="N1870" s="30">
        <v>35576.142857142855</v>
      </c>
    </row>
    <row r="1871" spans="1:14" x14ac:dyDescent="0.3">
      <c r="A1871">
        <v>28.472479999999891</v>
      </c>
      <c r="B1871">
        <v>50.923099999999998</v>
      </c>
      <c r="C1871">
        <f t="shared" si="87"/>
        <v>50.823080000000004</v>
      </c>
      <c r="D1871">
        <v>0.69968181818181818</v>
      </c>
      <c r="E1871">
        <f t="shared" si="88"/>
        <v>3.9283505821161513</v>
      </c>
      <c r="I1871" s="24">
        <f t="shared" si="89"/>
        <v>0.6764915041161037</v>
      </c>
      <c r="N1871" s="30">
        <v>35573.238095238099</v>
      </c>
    </row>
    <row r="1872" spans="1:14" x14ac:dyDescent="0.3">
      <c r="A1872">
        <v>28.48770999999989</v>
      </c>
      <c r="B1872">
        <v>50.269199999999998</v>
      </c>
      <c r="C1872">
        <f t="shared" si="87"/>
        <v>50.1</v>
      </c>
      <c r="D1872">
        <v>0.6990909090909091</v>
      </c>
      <c r="E1872">
        <f t="shared" si="88"/>
        <v>3.9140210080908191</v>
      </c>
      <c r="I1872" s="24">
        <f t="shared" si="89"/>
        <v>0.66433129667798763</v>
      </c>
      <c r="N1872" s="30">
        <v>35570.333333333336</v>
      </c>
    </row>
    <row r="1873" spans="1:14" x14ac:dyDescent="0.3">
      <c r="A1873">
        <v>28.502939999999889</v>
      </c>
      <c r="B1873">
        <v>49.038499999999999</v>
      </c>
      <c r="C1873">
        <f t="shared" si="87"/>
        <v>49.446159999999999</v>
      </c>
      <c r="D1873">
        <v>0.6984999999999999</v>
      </c>
      <c r="E1873">
        <f t="shared" si="88"/>
        <v>3.9008844008573202</v>
      </c>
      <c r="I1873" s="24">
        <f t="shared" si="89"/>
        <v>0.65342202021329465</v>
      </c>
      <c r="N1873" s="30">
        <v>35567.428571428572</v>
      </c>
    </row>
    <row r="1874" spans="1:14" x14ac:dyDescent="0.3">
      <c r="A1874">
        <v>28.518169999999888</v>
      </c>
      <c r="B1874">
        <v>48.807699999999997</v>
      </c>
      <c r="C1874">
        <f t="shared" si="87"/>
        <v>49.04616</v>
      </c>
      <c r="D1874">
        <v>0.69790909090909081</v>
      </c>
      <c r="E1874">
        <f t="shared" si="88"/>
        <v>3.8927618954849752</v>
      </c>
      <c r="I1874" s="24">
        <f t="shared" si="89"/>
        <v>0.64697576164564152</v>
      </c>
      <c r="N1874" s="30">
        <v>35564.523809523809</v>
      </c>
    </row>
    <row r="1875" spans="1:14" x14ac:dyDescent="0.3">
      <c r="A1875">
        <v>28.533399999999887</v>
      </c>
      <c r="B1875">
        <v>48.192300000000003</v>
      </c>
      <c r="C1875">
        <f t="shared" si="87"/>
        <v>48.953859999999999</v>
      </c>
      <c r="D1875">
        <v>0.69731818181818173</v>
      </c>
      <c r="E1875">
        <f t="shared" si="88"/>
        <v>3.8908782218430358</v>
      </c>
      <c r="I1875" s="24">
        <f t="shared" si="89"/>
        <v>0.64591013475582604</v>
      </c>
      <c r="N1875" s="30">
        <v>35561.619047619046</v>
      </c>
    </row>
    <row r="1876" spans="1:14" x14ac:dyDescent="0.3">
      <c r="A1876">
        <v>28.548629999999886</v>
      </c>
      <c r="B1876">
        <v>48.923099999999998</v>
      </c>
      <c r="C1876">
        <f t="shared" si="87"/>
        <v>49.115400000000001</v>
      </c>
      <c r="D1876">
        <v>0.69672727272727264</v>
      </c>
      <c r="E1876">
        <f t="shared" si="88"/>
        <v>3.8941726312451506</v>
      </c>
      <c r="I1876" s="24">
        <f t="shared" si="89"/>
        <v>0.64928553344314832</v>
      </c>
      <c r="N1876" s="30">
        <v>35558.71428571429</v>
      </c>
    </row>
    <row r="1877" spans="1:14" x14ac:dyDescent="0.3">
      <c r="A1877">
        <v>28.563859999999885</v>
      </c>
      <c r="B1877">
        <v>49.807699999999997</v>
      </c>
      <c r="C1877">
        <f t="shared" si="87"/>
        <v>49.338479999999997</v>
      </c>
      <c r="D1877">
        <v>0.69613636363636355</v>
      </c>
      <c r="E1877">
        <f t="shared" si="88"/>
        <v>3.898704303978926</v>
      </c>
      <c r="I1877" s="24">
        <f t="shared" si="89"/>
        <v>0.65374974152898102</v>
      </c>
      <c r="N1877" s="30">
        <v>35555.809523809527</v>
      </c>
    </row>
    <row r="1878" spans="1:14" x14ac:dyDescent="0.3">
      <c r="A1878">
        <v>28.579089999999884</v>
      </c>
      <c r="B1878">
        <v>49.846200000000003</v>
      </c>
      <c r="C1878">
        <f t="shared" si="87"/>
        <v>49.700020000000002</v>
      </c>
      <c r="D1878">
        <v>0.69554545454545447</v>
      </c>
      <c r="E1878">
        <f t="shared" si="88"/>
        <v>3.9060053355169893</v>
      </c>
      <c r="I1878" s="24">
        <f t="shared" si="89"/>
        <v>0.66066455375707966</v>
      </c>
      <c r="N1878" s="30">
        <v>35552.904761904763</v>
      </c>
    </row>
    <row r="1879" spans="1:14" x14ac:dyDescent="0.3">
      <c r="A1879">
        <v>28.594319999999882</v>
      </c>
      <c r="B1879">
        <v>49.923099999999998</v>
      </c>
      <c r="C1879">
        <f t="shared" si="87"/>
        <v>49.776940000000003</v>
      </c>
      <c r="D1879">
        <v>0.69495454545454538</v>
      </c>
      <c r="E1879">
        <f t="shared" si="88"/>
        <v>3.9075518245799907</v>
      </c>
      <c r="I1879" s="24">
        <f t="shared" si="89"/>
        <v>0.66258240829964099</v>
      </c>
      <c r="N1879" s="30">
        <v>35550</v>
      </c>
    </row>
    <row r="1880" spans="1:14" x14ac:dyDescent="0.3">
      <c r="A1880">
        <v>28.609549999999881</v>
      </c>
      <c r="B1880">
        <v>50</v>
      </c>
      <c r="C1880">
        <f t="shared" si="87"/>
        <v>49.53848</v>
      </c>
      <c r="D1880">
        <v>0.69436363636363629</v>
      </c>
      <c r="E1880">
        <f t="shared" si="88"/>
        <v>3.902749741313555</v>
      </c>
      <c r="I1880" s="24">
        <f t="shared" si="89"/>
        <v>0.65894085859817864</v>
      </c>
      <c r="N1880" s="30">
        <v>35547.095238095237</v>
      </c>
    </row>
    <row r="1881" spans="1:14" x14ac:dyDescent="0.3">
      <c r="A1881">
        <v>28.62477999999988</v>
      </c>
      <c r="B1881">
        <v>49.307699999999997</v>
      </c>
      <c r="C1881">
        <f t="shared" si="87"/>
        <v>49.199999999999996</v>
      </c>
      <c r="D1881">
        <v>0.69377272727272721</v>
      </c>
      <c r="E1881">
        <f t="shared" si="88"/>
        <v>3.8958936234982624</v>
      </c>
      <c r="I1881" s="24">
        <f t="shared" si="89"/>
        <v>0.65353897511734216</v>
      </c>
      <c r="N1881" s="30">
        <v>35544.190476190481</v>
      </c>
    </row>
    <row r="1882" spans="1:14" x14ac:dyDescent="0.3">
      <c r="A1882">
        <v>28.640009999999879</v>
      </c>
      <c r="B1882">
        <v>48.615400000000001</v>
      </c>
      <c r="C1882">
        <f t="shared" si="87"/>
        <v>48.776919999999997</v>
      </c>
      <c r="D1882">
        <v>0.69318181818181812</v>
      </c>
      <c r="E1882">
        <f t="shared" si="88"/>
        <v>3.8872572501629143</v>
      </c>
      <c r="I1882" s="24">
        <f t="shared" si="89"/>
        <v>0.6466549213400854</v>
      </c>
      <c r="N1882" s="30">
        <v>35541.285714285717</v>
      </c>
    </row>
    <row r="1883" spans="1:14" x14ac:dyDescent="0.3">
      <c r="A1883">
        <v>28.655239999999878</v>
      </c>
      <c r="B1883">
        <v>48.153799999999997</v>
      </c>
      <c r="C1883">
        <f t="shared" si="87"/>
        <v>48.246159999999996</v>
      </c>
      <c r="D1883">
        <v>0.69259090909090903</v>
      </c>
      <c r="E1883">
        <f t="shared" si="88"/>
        <v>3.8763162391256736</v>
      </c>
      <c r="I1883" s="24">
        <f t="shared" si="89"/>
        <v>0.63789326396741541</v>
      </c>
      <c r="N1883" s="30">
        <v>35538.380952380954</v>
      </c>
    </row>
    <row r="1884" spans="1:14" x14ac:dyDescent="0.3">
      <c r="A1884">
        <v>28.670469999999877</v>
      </c>
      <c r="B1884">
        <v>47.807699999999997</v>
      </c>
      <c r="C1884">
        <f t="shared" si="87"/>
        <v>47.769240000000003</v>
      </c>
      <c r="D1884">
        <v>0.69199999999999995</v>
      </c>
      <c r="E1884">
        <f t="shared" si="88"/>
        <v>3.8663819177086385</v>
      </c>
      <c r="I1884" s="24">
        <f t="shared" si="89"/>
        <v>0.63009054606583359</v>
      </c>
      <c r="N1884" s="30">
        <v>35535.476190476191</v>
      </c>
    </row>
    <row r="1885" spans="1:14" x14ac:dyDescent="0.3">
      <c r="A1885">
        <v>28.685699999999876</v>
      </c>
      <c r="B1885">
        <v>47.346200000000003</v>
      </c>
      <c r="C1885">
        <f t="shared" si="87"/>
        <v>47.376919999999998</v>
      </c>
      <c r="D1885">
        <v>0.69140909090909086</v>
      </c>
      <c r="E1885">
        <f t="shared" si="88"/>
        <v>3.8581351902858505</v>
      </c>
      <c r="I1885" s="24">
        <f t="shared" si="89"/>
        <v>0.62377676012335881</v>
      </c>
      <c r="N1885" s="30">
        <v>35532.571428571428</v>
      </c>
    </row>
    <row r="1886" spans="1:14" x14ac:dyDescent="0.3">
      <c r="A1886">
        <v>28.700929999999875</v>
      </c>
      <c r="B1886">
        <v>46.923099999999998</v>
      </c>
      <c r="C1886">
        <f t="shared" si="87"/>
        <v>47.02308</v>
      </c>
      <c r="D1886">
        <v>0.69081818181818178</v>
      </c>
      <c r="E1886">
        <f t="shared" si="88"/>
        <v>3.8506385450074609</v>
      </c>
      <c r="I1886" s="24">
        <f t="shared" si="89"/>
        <v>0.61814063887596304</v>
      </c>
      <c r="N1886" s="30">
        <v>35529.666666666672</v>
      </c>
    </row>
    <row r="1887" spans="1:14" x14ac:dyDescent="0.3">
      <c r="A1887">
        <v>28.716159999999874</v>
      </c>
      <c r="B1887">
        <v>46.653799999999997</v>
      </c>
      <c r="C1887">
        <f t="shared" si="87"/>
        <v>46.669240000000002</v>
      </c>
      <c r="D1887">
        <v>0.69022727272727269</v>
      </c>
      <c r="E1887">
        <f t="shared" si="88"/>
        <v>3.843085275278026</v>
      </c>
      <c r="I1887" s="24">
        <f t="shared" si="89"/>
        <v>0.61250994105213274</v>
      </c>
      <c r="N1887" s="30">
        <v>35526.761904761908</v>
      </c>
    </row>
    <row r="1888" spans="1:14" x14ac:dyDescent="0.3">
      <c r="A1888">
        <v>28.731389999999873</v>
      </c>
      <c r="B1888">
        <v>46.384599999999999</v>
      </c>
      <c r="C1888">
        <f t="shared" si="87"/>
        <v>46.223079999999996</v>
      </c>
      <c r="D1888">
        <v>0.6896363636363636</v>
      </c>
      <c r="E1888">
        <f t="shared" si="88"/>
        <v>3.8334792404451599</v>
      </c>
      <c r="I1888" s="24">
        <f t="shared" si="89"/>
        <v>0.60528267014784354</v>
      </c>
      <c r="N1888" s="30">
        <v>35523.857142857145</v>
      </c>
    </row>
    <row r="1889" spans="1:14" x14ac:dyDescent="0.3">
      <c r="A1889">
        <v>28.746619999999872</v>
      </c>
      <c r="B1889">
        <v>46.038499999999999</v>
      </c>
      <c r="C1889">
        <f t="shared" si="87"/>
        <v>45.753839999999997</v>
      </c>
      <c r="D1889">
        <v>0.68904545454545452</v>
      </c>
      <c r="E1889">
        <f t="shared" si="88"/>
        <v>3.8232757226254628</v>
      </c>
      <c r="I1889" s="24">
        <f t="shared" si="89"/>
        <v>0.59766784754065794</v>
      </c>
      <c r="N1889" s="30">
        <v>35520.952380952382</v>
      </c>
    </row>
    <row r="1890" spans="1:14" x14ac:dyDescent="0.3">
      <c r="A1890">
        <v>28.761849999999871</v>
      </c>
      <c r="B1890">
        <v>45.115400000000001</v>
      </c>
      <c r="C1890">
        <f t="shared" si="87"/>
        <v>45.353839999999998</v>
      </c>
      <c r="D1890">
        <v>0.68845454545454543</v>
      </c>
      <c r="E1890">
        <f t="shared" si="88"/>
        <v>3.8144948477283704</v>
      </c>
      <c r="I1890" s="24">
        <f t="shared" si="89"/>
        <v>0.59126257138487393</v>
      </c>
      <c r="N1890" s="30">
        <v>35518.047619047618</v>
      </c>
    </row>
    <row r="1891" spans="1:14" x14ac:dyDescent="0.3">
      <c r="A1891">
        <v>28.77707999999987</v>
      </c>
      <c r="B1891">
        <v>44.576900000000002</v>
      </c>
      <c r="C1891">
        <f t="shared" si="87"/>
        <v>44.976919999999993</v>
      </c>
      <c r="D1891">
        <v>0.68786363636363634</v>
      </c>
      <c r="E1891">
        <f t="shared" si="88"/>
        <v>3.8061494693089344</v>
      </c>
      <c r="I1891" s="24">
        <f t="shared" si="89"/>
        <v>0.58526394038227303</v>
      </c>
      <c r="N1891" s="30">
        <v>35515.142857142855</v>
      </c>
    </row>
    <row r="1892" spans="1:14" x14ac:dyDescent="0.3">
      <c r="A1892">
        <v>28.792309999999869</v>
      </c>
      <c r="B1892">
        <v>44.653799999999997</v>
      </c>
      <c r="C1892">
        <f t="shared" si="87"/>
        <v>44.676920000000003</v>
      </c>
      <c r="D1892">
        <v>0.68727272727272726</v>
      </c>
      <c r="E1892">
        <f t="shared" si="88"/>
        <v>3.7994570371785237</v>
      </c>
      <c r="I1892" s="24">
        <f t="shared" si="89"/>
        <v>0.58059660866605056</v>
      </c>
      <c r="N1892" s="30">
        <v>35512.238095238099</v>
      </c>
    </row>
    <row r="1893" spans="1:14" x14ac:dyDescent="0.3">
      <c r="A1893">
        <v>28.807539999999868</v>
      </c>
      <c r="B1893">
        <v>44.5</v>
      </c>
      <c r="C1893">
        <f t="shared" si="87"/>
        <v>44.438460000000006</v>
      </c>
      <c r="D1893">
        <v>0.68668181818181817</v>
      </c>
      <c r="E1893">
        <f t="shared" si="88"/>
        <v>3.7941053107056377</v>
      </c>
      <c r="I1893" s="24">
        <f t="shared" si="89"/>
        <v>0.57699084593235672</v>
      </c>
      <c r="N1893" s="30">
        <v>35509.333333333336</v>
      </c>
    </row>
    <row r="1894" spans="1:14" x14ac:dyDescent="0.3">
      <c r="A1894">
        <v>28.822769999999867</v>
      </c>
      <c r="B1894">
        <v>44.538499999999999</v>
      </c>
      <c r="C1894">
        <f t="shared" si="87"/>
        <v>44.107700000000001</v>
      </c>
      <c r="D1894">
        <v>0.68609090909090908</v>
      </c>
      <c r="E1894">
        <f t="shared" si="88"/>
        <v>3.7866343703860434</v>
      </c>
      <c r="I1894" s="24">
        <f t="shared" si="89"/>
        <v>0.57180029649112485</v>
      </c>
      <c r="N1894" s="30">
        <v>35506.428571428572</v>
      </c>
    </row>
    <row r="1895" spans="1:14" x14ac:dyDescent="0.3">
      <c r="A1895">
        <v>28.837999999999866</v>
      </c>
      <c r="B1895">
        <v>43.923099999999998</v>
      </c>
      <c r="C1895">
        <f t="shared" si="87"/>
        <v>43.646180000000001</v>
      </c>
      <c r="D1895">
        <v>0.6855</v>
      </c>
      <c r="E1895">
        <f t="shared" si="88"/>
        <v>3.7761157641375678</v>
      </c>
      <c r="I1895" s="24">
        <f t="shared" si="89"/>
        <v>0.56437356940453798</v>
      </c>
      <c r="N1895" s="30">
        <v>35503.523809523809</v>
      </c>
    </row>
    <row r="1896" spans="1:14" x14ac:dyDescent="0.3">
      <c r="A1896">
        <v>28.853229999999865</v>
      </c>
      <c r="B1896">
        <v>42.923099999999998</v>
      </c>
      <c r="C1896">
        <f t="shared" si="87"/>
        <v>42.969260000000006</v>
      </c>
      <c r="D1896">
        <v>0.68490909090909091</v>
      </c>
      <c r="E1896">
        <f t="shared" si="88"/>
        <v>3.7604849763214174</v>
      </c>
      <c r="I1896" s="24">
        <f t="shared" si="89"/>
        <v>0.55328381913441493</v>
      </c>
      <c r="N1896" s="30">
        <v>35500.619047619046</v>
      </c>
    </row>
    <row r="1897" spans="1:14" x14ac:dyDescent="0.3">
      <c r="A1897">
        <v>28.868459999999864</v>
      </c>
      <c r="B1897">
        <v>42.346200000000003</v>
      </c>
      <c r="C1897">
        <f t="shared" si="87"/>
        <v>42.092319999999994</v>
      </c>
      <c r="D1897">
        <v>0.68431818181818183</v>
      </c>
      <c r="E1897">
        <f t="shared" si="88"/>
        <v>3.7398653012444218</v>
      </c>
      <c r="I1897" s="24">
        <f t="shared" si="89"/>
        <v>0.53883924924030002</v>
      </c>
      <c r="N1897" s="30">
        <v>35497.71428571429</v>
      </c>
    </row>
    <row r="1898" spans="1:14" x14ac:dyDescent="0.3">
      <c r="A1898">
        <v>28.883689999999863</v>
      </c>
      <c r="B1898">
        <v>41.115400000000001</v>
      </c>
      <c r="C1898">
        <f t="shared" si="87"/>
        <v>41.215400000000002</v>
      </c>
      <c r="D1898">
        <v>0.68372727272727274</v>
      </c>
      <c r="E1898">
        <f t="shared" si="88"/>
        <v>3.7188119729225115</v>
      </c>
      <c r="I1898" s="24">
        <f t="shared" si="89"/>
        <v>0.52447077770543704</v>
      </c>
      <c r="N1898" s="30">
        <v>35494.809523809527</v>
      </c>
    </row>
    <row r="1899" spans="1:14" x14ac:dyDescent="0.3">
      <c r="A1899">
        <v>28.898919999999862</v>
      </c>
      <c r="B1899">
        <v>40.153799999999997</v>
      </c>
      <c r="C1899">
        <f t="shared" si="87"/>
        <v>40.55386</v>
      </c>
      <c r="D1899">
        <v>0.68313636363636365</v>
      </c>
      <c r="E1899">
        <f t="shared" si="88"/>
        <v>3.7026309671531061</v>
      </c>
      <c r="I1899" s="24">
        <f t="shared" si="89"/>
        <v>0.51379159997427493</v>
      </c>
      <c r="N1899" s="30">
        <v>35491.904761904763</v>
      </c>
    </row>
    <row r="1900" spans="1:14" x14ac:dyDescent="0.3">
      <c r="A1900">
        <v>28.914149999999861</v>
      </c>
      <c r="B1900">
        <v>39.538499999999999</v>
      </c>
      <c r="C1900">
        <f t="shared" si="87"/>
        <v>40.123080000000002</v>
      </c>
      <c r="D1900">
        <v>0.68254545454545457</v>
      </c>
      <c r="E1900">
        <f t="shared" si="88"/>
        <v>3.6919517298380202</v>
      </c>
      <c r="I1900" s="25">
        <f t="shared" si="89"/>
        <v>0.50701229347932431</v>
      </c>
      <c r="N1900" s="30">
        <v>35489</v>
      </c>
    </row>
    <row r="1901" spans="1:14" x14ac:dyDescent="0.3">
      <c r="A1901">
        <v>28.92937999999986</v>
      </c>
      <c r="B1901">
        <v>39.615400000000001</v>
      </c>
      <c r="C1901">
        <f t="shared" si="87"/>
        <v>40.192300000000003</v>
      </c>
      <c r="D1901">
        <v>0.68195454545454548</v>
      </c>
      <c r="E1901">
        <f t="shared" si="88"/>
        <v>3.6936754349898511</v>
      </c>
      <c r="I1901" s="24">
        <f t="shared" si="89"/>
        <v>0.50861173891205513</v>
      </c>
      <c r="N1901" s="30">
        <v>35481.852941176476</v>
      </c>
    </row>
    <row r="1902" spans="1:14" x14ac:dyDescent="0.3">
      <c r="A1902">
        <v>28.944609999999859</v>
      </c>
      <c r="B1902">
        <v>40.192300000000003</v>
      </c>
      <c r="C1902">
        <f t="shared" si="87"/>
        <v>40.646160000000002</v>
      </c>
      <c r="D1902">
        <v>0.68136363636363639</v>
      </c>
      <c r="E1902">
        <f t="shared" si="88"/>
        <v>3.7049043665870762</v>
      </c>
      <c r="I1902" s="24">
        <f t="shared" si="89"/>
        <v>0.51668215133702344</v>
      </c>
      <c r="N1902" s="30">
        <v>35474.705882352944</v>
      </c>
    </row>
    <row r="1903" spans="1:14" x14ac:dyDescent="0.3">
      <c r="A1903">
        <v>28.959839999999858</v>
      </c>
      <c r="B1903">
        <v>41.461500000000001</v>
      </c>
      <c r="C1903">
        <f t="shared" si="87"/>
        <v>41.3</v>
      </c>
      <c r="D1903">
        <v>0.68077272727272731</v>
      </c>
      <c r="E1903">
        <f t="shared" si="88"/>
        <v>3.7208624999669868</v>
      </c>
      <c r="I1903" s="24">
        <f t="shared" si="89"/>
        <v>0.52817984821740405</v>
      </c>
      <c r="N1903" s="30">
        <v>35467.558823529413</v>
      </c>
    </row>
    <row r="1904" spans="1:14" x14ac:dyDescent="0.3">
      <c r="A1904">
        <v>28.975069999999857</v>
      </c>
      <c r="B1904">
        <v>42.423099999999998</v>
      </c>
      <c r="C1904">
        <f t="shared" si="87"/>
        <v>42.123079999999995</v>
      </c>
      <c r="D1904">
        <v>0.68018181818181822</v>
      </c>
      <c r="E1904">
        <f t="shared" si="88"/>
        <v>3.7405958089987732</v>
      </c>
      <c r="I1904" s="24">
        <f t="shared" si="89"/>
        <v>0.54264097296720015</v>
      </c>
      <c r="N1904" s="30">
        <v>35460.411764705881</v>
      </c>
    </row>
    <row r="1905" spans="1:18" x14ac:dyDescent="0.3">
      <c r="A1905">
        <v>28.990299999999856</v>
      </c>
      <c r="B1905">
        <v>42.807699999999997</v>
      </c>
      <c r="C1905">
        <f t="shared" si="87"/>
        <v>42.861540000000005</v>
      </c>
      <c r="D1905">
        <v>0.67959090909090913</v>
      </c>
      <c r="E1905">
        <f t="shared" si="88"/>
        <v>3.7579749203378681</v>
      </c>
      <c r="I1905" s="24">
        <f t="shared" si="89"/>
        <v>0.55576241157733286</v>
      </c>
      <c r="N1905" s="30">
        <v>35453.264705882357</v>
      </c>
    </row>
    <row r="1906" spans="1:18" x14ac:dyDescent="0.3">
      <c r="A1906">
        <v>29.005529999999855</v>
      </c>
      <c r="B1906">
        <v>43.730800000000002</v>
      </c>
      <c r="C1906">
        <f t="shared" si="87"/>
        <v>43.376939999999998</v>
      </c>
      <c r="D1906" s="8">
        <v>0.67900000000000005</v>
      </c>
      <c r="E1906">
        <f t="shared" si="88"/>
        <v>3.7699279634916194</v>
      </c>
      <c r="I1906" s="24">
        <f t="shared" si="89"/>
        <v>0.56512455743372181</v>
      </c>
      <c r="N1906" s="30">
        <v>35446.117647058825</v>
      </c>
    </row>
    <row r="1907" spans="1:18" x14ac:dyDescent="0.3">
      <c r="A1907">
        <v>29.020759999999854</v>
      </c>
      <c r="B1907">
        <v>43.884599999999999</v>
      </c>
      <c r="C1907">
        <f t="shared" si="87"/>
        <v>43.838480000000004</v>
      </c>
      <c r="D1907">
        <v>0.67949999999999999</v>
      </c>
      <c r="E1907">
        <f t="shared" si="88"/>
        <v>3.7805119705058421</v>
      </c>
      <c r="I1907" s="24">
        <f t="shared" si="89"/>
        <v>0.57268266437263127</v>
      </c>
      <c r="N1907" s="30">
        <v>35438.970588235294</v>
      </c>
    </row>
    <row r="1908" spans="1:18" x14ac:dyDescent="0.3">
      <c r="A1908">
        <v>29.035989999999853</v>
      </c>
      <c r="B1908">
        <v>44.038499999999999</v>
      </c>
      <c r="C1908">
        <f t="shared" si="87"/>
        <v>44.261560000000003</v>
      </c>
      <c r="D1908">
        <v>0.67999999999999994</v>
      </c>
      <c r="E1908">
        <f t="shared" si="88"/>
        <v>3.7901165802737973</v>
      </c>
      <c r="I1908" s="24">
        <f t="shared" si="89"/>
        <v>0.57958966057282701</v>
      </c>
      <c r="N1908" s="30">
        <v>35431.823529411769</v>
      </c>
    </row>
    <row r="1909" spans="1:18" x14ac:dyDescent="0.3">
      <c r="A1909">
        <v>29.051219999999851</v>
      </c>
      <c r="B1909">
        <v>44.730800000000002</v>
      </c>
      <c r="C1909">
        <f t="shared" si="87"/>
        <v>44.569240000000001</v>
      </c>
      <c r="D1909">
        <v>0.68049999999999999</v>
      </c>
      <c r="E1909">
        <f t="shared" si="88"/>
        <v>3.797043934984496</v>
      </c>
      <c r="I1909" s="24">
        <f t="shared" si="89"/>
        <v>0.5845034638001595</v>
      </c>
      <c r="N1909" s="30">
        <v>35424.676470588238</v>
      </c>
      <c r="O1909">
        <v>1996</v>
      </c>
      <c r="P1909" s="24">
        <f>AVERAGE(I1909:I2005)</f>
        <v>0.62495721684407146</v>
      </c>
      <c r="Q1909">
        <f>A2005-A1909</f>
        <v>1.4620799999999008</v>
      </c>
      <c r="R1909">
        <f>P1909*Q1909</f>
        <v>0.91373744760331799</v>
      </c>
    </row>
    <row r="1910" spans="1:18" x14ac:dyDescent="0.3">
      <c r="A1910">
        <v>29.06644999999985</v>
      </c>
      <c r="B1910">
        <v>44.923099999999998</v>
      </c>
      <c r="C1910">
        <f t="shared" si="87"/>
        <v>44.946159999999999</v>
      </c>
      <c r="D1910">
        <v>0.68100000000000005</v>
      </c>
      <c r="E1910">
        <f t="shared" si="88"/>
        <v>3.805465329014813</v>
      </c>
      <c r="I1910" s="24">
        <f t="shared" si="89"/>
        <v>0.59062711886560071</v>
      </c>
      <c r="N1910" s="30">
        <v>35417.529411764706</v>
      </c>
    </row>
    <row r="1911" spans="1:18" x14ac:dyDescent="0.3">
      <c r="A1911">
        <v>29.081679999999849</v>
      </c>
      <c r="B1911">
        <v>45.269199999999998</v>
      </c>
      <c r="C1911">
        <f t="shared" si="87"/>
        <v>45.392299999999999</v>
      </c>
      <c r="D1911">
        <v>0.68149999999999999</v>
      </c>
      <c r="E1911">
        <f t="shared" si="88"/>
        <v>3.8153424871387691</v>
      </c>
      <c r="I1911" s="24">
        <f t="shared" si="89"/>
        <v>0.59796737752836304</v>
      </c>
      <c r="N1911" s="30">
        <v>35410.382352941182</v>
      </c>
    </row>
    <row r="1912" spans="1:18" x14ac:dyDescent="0.3">
      <c r="A1912">
        <v>29.096909999999848</v>
      </c>
      <c r="B1912">
        <v>45.769199999999998</v>
      </c>
      <c r="C1912">
        <f t="shared" si="87"/>
        <v>45.869219999999999</v>
      </c>
      <c r="D1912">
        <v>0.68200000000000005</v>
      </c>
      <c r="E1912">
        <f t="shared" si="88"/>
        <v>3.8257943038863456</v>
      </c>
      <c r="I1912" s="24">
        <f t="shared" si="89"/>
        <v>0.60586025668941657</v>
      </c>
      <c r="N1912" s="30">
        <v>35403.23529411765</v>
      </c>
    </row>
    <row r="1913" spans="1:18" x14ac:dyDescent="0.3">
      <c r="A1913">
        <v>29.112139999999847</v>
      </c>
      <c r="B1913">
        <v>46.269199999999998</v>
      </c>
      <c r="C1913">
        <f t="shared" si="87"/>
        <v>46.515359999999994</v>
      </c>
      <c r="D1913">
        <v>0.6825</v>
      </c>
      <c r="E1913">
        <f t="shared" si="88"/>
        <v>3.8397825806294632</v>
      </c>
      <c r="I1913" s="24">
        <f t="shared" si="89"/>
        <v>0.61674038146335886</v>
      </c>
      <c r="N1913" s="30">
        <v>35396.088235294119</v>
      </c>
    </row>
    <row r="1914" spans="1:18" x14ac:dyDescent="0.3">
      <c r="A1914">
        <v>29.127369999999846</v>
      </c>
      <c r="B1914">
        <v>47.115400000000001</v>
      </c>
      <c r="C1914">
        <f t="shared" ref="C1914:C1977" si="90">AVERAGE(B1912:B1916)</f>
        <v>47.284599999999998</v>
      </c>
      <c r="D1914">
        <v>0.68300000000000005</v>
      </c>
      <c r="E1914">
        <f t="shared" ref="E1914:E1977" si="91">LN(C1914)</f>
        <v>3.8561846610894088</v>
      </c>
      <c r="I1914" s="24">
        <f t="shared" ref="I1914:I1977" si="92">(0.0026*(EXP(1.3248*E1914)))/D1914</f>
        <v>0.62982707869651866</v>
      </c>
      <c r="N1914" s="30">
        <v>35388.941176470587</v>
      </c>
    </row>
    <row r="1915" spans="1:18" x14ac:dyDescent="0.3">
      <c r="A1915">
        <v>29.142599999999845</v>
      </c>
      <c r="B1915">
        <v>48.153799999999997</v>
      </c>
      <c r="C1915">
        <f t="shared" si="90"/>
        <v>48.161519999999996</v>
      </c>
      <c r="D1915">
        <v>0.6835</v>
      </c>
      <c r="E1915">
        <f t="shared" si="91"/>
        <v>3.8745603619643072</v>
      </c>
      <c r="I1915" s="24">
        <f t="shared" si="92"/>
        <v>0.64487573245657914</v>
      </c>
      <c r="N1915" s="30">
        <v>35381.794117647063</v>
      </c>
    </row>
    <row r="1916" spans="1:18" x14ac:dyDescent="0.3">
      <c r="A1916">
        <v>29.157829999999844</v>
      </c>
      <c r="B1916">
        <v>49.115400000000001</v>
      </c>
      <c r="C1916">
        <f t="shared" si="90"/>
        <v>49.053840000000001</v>
      </c>
      <c r="D1916">
        <v>0.68399999999999994</v>
      </c>
      <c r="E1916">
        <f t="shared" si="91"/>
        <v>3.8929184704088424</v>
      </c>
      <c r="I1916" s="24">
        <f t="shared" si="92"/>
        <v>0.66026891300497459</v>
      </c>
      <c r="N1916" s="30">
        <v>35374.647058823532</v>
      </c>
    </row>
    <row r="1917" spans="1:18" x14ac:dyDescent="0.3">
      <c r="A1917">
        <v>29.173059999999843</v>
      </c>
      <c r="B1917">
        <v>50.153799999999997</v>
      </c>
      <c r="C1917">
        <f t="shared" si="90"/>
        <v>49.830759999999998</v>
      </c>
      <c r="D1917">
        <v>0.6845</v>
      </c>
      <c r="E1917">
        <f t="shared" si="91"/>
        <v>3.9086324640333161</v>
      </c>
      <c r="I1917" s="24">
        <f t="shared" si="92"/>
        <v>0.67366595183725453</v>
      </c>
      <c r="N1917" s="30">
        <v>35367.5</v>
      </c>
    </row>
    <row r="1918" spans="1:18" x14ac:dyDescent="0.3">
      <c r="A1918">
        <v>29.188289999999842</v>
      </c>
      <c r="B1918">
        <v>50.730800000000002</v>
      </c>
      <c r="C1918">
        <f t="shared" si="90"/>
        <v>50.592300000000002</v>
      </c>
      <c r="D1918">
        <v>0.68500000000000005</v>
      </c>
      <c r="E1918">
        <f t="shared" si="91"/>
        <v>3.9237993908007516</v>
      </c>
      <c r="I1918" s="24">
        <f t="shared" si="92"/>
        <v>0.68683721846475265</v>
      </c>
      <c r="N1918" s="30">
        <v>35360.352941176476</v>
      </c>
    </row>
    <row r="1919" spans="1:18" x14ac:dyDescent="0.3">
      <c r="A1919">
        <v>29.203519999999841</v>
      </c>
      <c r="B1919">
        <v>51</v>
      </c>
      <c r="C1919">
        <f t="shared" si="90"/>
        <v>51.338459999999998</v>
      </c>
      <c r="D1919">
        <v>0.6855</v>
      </c>
      <c r="E1919">
        <f t="shared" si="91"/>
        <v>3.9384401788887002</v>
      </c>
      <c r="I1919" s="24">
        <f t="shared" si="92"/>
        <v>0.69977844233899711</v>
      </c>
      <c r="N1919" s="30">
        <v>35353.205882352944</v>
      </c>
    </row>
    <row r="1920" spans="1:18" x14ac:dyDescent="0.3">
      <c r="A1920">
        <v>29.21874999999984</v>
      </c>
      <c r="B1920">
        <v>51.961500000000001</v>
      </c>
      <c r="C1920">
        <f t="shared" si="90"/>
        <v>51.9</v>
      </c>
      <c r="D1920">
        <v>0.68600000000000005</v>
      </c>
      <c r="E1920">
        <f t="shared" si="91"/>
        <v>3.949318790171843</v>
      </c>
      <c r="I1920" s="24">
        <f t="shared" si="92"/>
        <v>0.70941921589426737</v>
      </c>
      <c r="N1920" s="30">
        <v>35346.058823529413</v>
      </c>
    </row>
    <row r="1921" spans="1:14" x14ac:dyDescent="0.3">
      <c r="A1921">
        <v>29.233979999999839</v>
      </c>
      <c r="B1921">
        <v>52.846200000000003</v>
      </c>
      <c r="C1921">
        <f t="shared" si="90"/>
        <v>52.415380000000006</v>
      </c>
      <c r="D1921">
        <v>0.6865</v>
      </c>
      <c r="E1921">
        <f t="shared" si="91"/>
        <v>3.9592000597113191</v>
      </c>
      <c r="I1921" s="24">
        <f t="shared" si="92"/>
        <v>0.71824356454309413</v>
      </c>
      <c r="N1921" s="30">
        <v>35338.911764705881</v>
      </c>
    </row>
    <row r="1922" spans="1:14" x14ac:dyDescent="0.3">
      <c r="A1922">
        <v>29.249209999999838</v>
      </c>
      <c r="B1922">
        <v>52.961500000000001</v>
      </c>
      <c r="C1922">
        <f t="shared" si="90"/>
        <v>52.807680000000005</v>
      </c>
      <c r="D1922">
        <v>0.68700000000000006</v>
      </c>
      <c r="E1922">
        <f t="shared" si="91"/>
        <v>3.9666566346801839</v>
      </c>
      <c r="I1922" s="24">
        <f t="shared" si="92"/>
        <v>0.72484594412377334</v>
      </c>
      <c r="N1922" s="30">
        <v>35331.764705882357</v>
      </c>
    </row>
    <row r="1923" spans="1:14" x14ac:dyDescent="0.3">
      <c r="A1923">
        <v>29.264439999999837</v>
      </c>
      <c r="B1923">
        <v>53.307699999999997</v>
      </c>
      <c r="C1923">
        <f t="shared" si="90"/>
        <v>53</v>
      </c>
      <c r="D1923">
        <v>0.6875</v>
      </c>
      <c r="E1923">
        <f t="shared" si="91"/>
        <v>3.970291913552122</v>
      </c>
      <c r="I1923" s="24">
        <f t="shared" si="92"/>
        <v>0.72781552877184696</v>
      </c>
      <c r="N1923" s="30">
        <v>35324.617647058825</v>
      </c>
    </row>
    <row r="1924" spans="1:14" x14ac:dyDescent="0.3">
      <c r="A1924">
        <v>29.279669999999836</v>
      </c>
      <c r="B1924">
        <v>52.961500000000001</v>
      </c>
      <c r="C1924">
        <f t="shared" si="90"/>
        <v>53.053840000000001</v>
      </c>
      <c r="D1924">
        <v>0.68799999999999994</v>
      </c>
      <c r="E1924">
        <f t="shared" si="91"/>
        <v>3.9713072469832418</v>
      </c>
      <c r="I1924" s="24">
        <f t="shared" si="92"/>
        <v>0.72826553449562459</v>
      </c>
      <c r="N1924" s="30">
        <v>35317.470588235294</v>
      </c>
    </row>
    <row r="1925" spans="1:14" x14ac:dyDescent="0.3">
      <c r="A1925">
        <v>29.294899999999835</v>
      </c>
      <c r="B1925">
        <v>52.923099999999998</v>
      </c>
      <c r="C1925">
        <f t="shared" si="90"/>
        <v>53.215379999999996</v>
      </c>
      <c r="D1925">
        <v>0.6885</v>
      </c>
      <c r="E1925">
        <f t="shared" si="91"/>
        <v>3.974347452311259</v>
      </c>
      <c r="I1925" s="24">
        <f t="shared" si="92"/>
        <v>0.73067364548951064</v>
      </c>
      <c r="N1925" s="30">
        <v>35310.323529411769</v>
      </c>
    </row>
    <row r="1926" spans="1:14" x14ac:dyDescent="0.3">
      <c r="A1926">
        <v>29.310129999999834</v>
      </c>
      <c r="B1926">
        <v>53.115400000000001</v>
      </c>
      <c r="C1926">
        <f t="shared" si="90"/>
        <v>53.6</v>
      </c>
      <c r="D1926">
        <v>0.68900000000000006</v>
      </c>
      <c r="E1926">
        <f t="shared" si="91"/>
        <v>3.9815490680767565</v>
      </c>
      <c r="I1926" s="24">
        <f t="shared" si="92"/>
        <v>0.73714281952181904</v>
      </c>
      <c r="N1926" s="30">
        <v>35303.176470588238</v>
      </c>
    </row>
    <row r="1927" spans="1:14" x14ac:dyDescent="0.3">
      <c r="A1927">
        <v>29.325359999999833</v>
      </c>
      <c r="B1927">
        <v>53.769199999999998</v>
      </c>
      <c r="C1927">
        <f t="shared" si="90"/>
        <v>54.330780000000004</v>
      </c>
      <c r="D1927">
        <v>0.6895</v>
      </c>
      <c r="E1927">
        <f t="shared" si="91"/>
        <v>3.9950909171693758</v>
      </c>
      <c r="I1927" s="24">
        <f t="shared" si="92"/>
        <v>0.74994245269179538</v>
      </c>
      <c r="N1927" s="30">
        <v>35296.029411764706</v>
      </c>
    </row>
    <row r="1928" spans="1:14" x14ac:dyDescent="0.3">
      <c r="A1928">
        <v>29.340589999999832</v>
      </c>
      <c r="B1928">
        <v>55.230800000000002</v>
      </c>
      <c r="C1928">
        <f t="shared" si="90"/>
        <v>55.269240000000003</v>
      </c>
      <c r="D1928">
        <v>0.69000000000000006</v>
      </c>
      <c r="E1928">
        <f t="shared" si="91"/>
        <v>4.0122165150721427</v>
      </c>
      <c r="I1928" s="24">
        <f t="shared" si="92"/>
        <v>0.76659571674132065</v>
      </c>
      <c r="N1928" s="30">
        <v>35288.882352941182</v>
      </c>
    </row>
    <row r="1929" spans="1:14" x14ac:dyDescent="0.3">
      <c r="A1929">
        <v>29.355819999999831</v>
      </c>
      <c r="B1929">
        <v>56.615400000000001</v>
      </c>
      <c r="C1929">
        <f t="shared" si="90"/>
        <v>56.192319999999995</v>
      </c>
      <c r="D1929">
        <v>0.6905</v>
      </c>
      <c r="E1929">
        <f t="shared" si="91"/>
        <v>4.0287800927572563</v>
      </c>
      <c r="I1929" s="24">
        <f t="shared" si="92"/>
        <v>0.78303595779408863</v>
      </c>
      <c r="N1929" s="30">
        <v>35281.73529411765</v>
      </c>
    </row>
    <row r="1930" spans="1:14" x14ac:dyDescent="0.3">
      <c r="A1930">
        <v>29.37104999999983</v>
      </c>
      <c r="B1930">
        <v>57.615400000000001</v>
      </c>
      <c r="C1930">
        <f t="shared" si="90"/>
        <v>57.053860000000007</v>
      </c>
      <c r="D1930">
        <v>0.69100000000000006</v>
      </c>
      <c r="E1930">
        <f t="shared" si="91"/>
        <v>4.0439957339666686</v>
      </c>
      <c r="I1930" s="24">
        <f t="shared" si="92"/>
        <v>0.79840217452814843</v>
      </c>
      <c r="N1930" s="30">
        <v>35274.588235294119</v>
      </c>
    </row>
    <row r="1931" spans="1:14" x14ac:dyDescent="0.3">
      <c r="A1931">
        <v>29.386279999999829</v>
      </c>
      <c r="B1931">
        <v>57.730800000000002</v>
      </c>
      <c r="C1931">
        <f t="shared" si="90"/>
        <v>57.769240000000003</v>
      </c>
      <c r="D1931">
        <v>0.6915</v>
      </c>
      <c r="E1931">
        <f t="shared" si="91"/>
        <v>4.0564564540895365</v>
      </c>
      <c r="I1931" s="24">
        <f t="shared" si="92"/>
        <v>0.81110464940583882</v>
      </c>
      <c r="N1931" s="30">
        <v>35267.441176470587</v>
      </c>
    </row>
    <row r="1932" spans="1:14" x14ac:dyDescent="0.3">
      <c r="A1932">
        <v>29.401509999999828</v>
      </c>
      <c r="B1932">
        <v>58.076900000000002</v>
      </c>
      <c r="C1932">
        <f t="shared" si="90"/>
        <v>58.392319999999998</v>
      </c>
      <c r="D1932">
        <v>0.69199999999999995</v>
      </c>
      <c r="E1932">
        <f t="shared" si="91"/>
        <v>4.0671843743370824</v>
      </c>
      <c r="I1932" s="24">
        <f t="shared" si="92"/>
        <v>0.82212021186928175</v>
      </c>
      <c r="N1932" s="30">
        <v>35260.294117647063</v>
      </c>
    </row>
    <row r="1933" spans="1:14" x14ac:dyDescent="0.3">
      <c r="A1933">
        <v>29.416739999999827</v>
      </c>
      <c r="B1933">
        <v>58.807699999999997</v>
      </c>
      <c r="C1933">
        <f t="shared" si="90"/>
        <v>58.830780000000004</v>
      </c>
      <c r="D1933">
        <v>0.6925</v>
      </c>
      <c r="E1933">
        <f t="shared" si="91"/>
        <v>4.074665187330031</v>
      </c>
      <c r="I1933" s="24">
        <f t="shared" si="92"/>
        <v>0.82970890808259723</v>
      </c>
      <c r="N1933" s="30">
        <v>35253.147058823532</v>
      </c>
    </row>
    <row r="1934" spans="1:14" x14ac:dyDescent="0.3">
      <c r="A1934">
        <v>29.431969999999826</v>
      </c>
      <c r="B1934">
        <v>59.730800000000002</v>
      </c>
      <c r="C1934">
        <f t="shared" si="90"/>
        <v>59.100000000000009</v>
      </c>
      <c r="D1934">
        <v>0.69299999999999995</v>
      </c>
      <c r="E1934">
        <f t="shared" si="91"/>
        <v>4.0792309244120526</v>
      </c>
      <c r="I1934" s="24">
        <f t="shared" si="92"/>
        <v>0.83414050006912166</v>
      </c>
      <c r="J1934">
        <v>1996</v>
      </c>
      <c r="K1934">
        <f>AVERAGE(I1934:I2020)</f>
        <v>0.62138332482445957</v>
      </c>
      <c r="L1934">
        <f>A2020-A1934</f>
        <v>1.3097799999999111</v>
      </c>
      <c r="M1934">
        <f>K1934*L1934</f>
        <v>0.81387545118852545</v>
      </c>
      <c r="N1934" s="30">
        <v>35246</v>
      </c>
    </row>
    <row r="1935" spans="1:14" x14ac:dyDescent="0.3">
      <c r="A1935">
        <v>29.447199999999825</v>
      </c>
      <c r="B1935">
        <v>59.807699999999997</v>
      </c>
      <c r="C1935">
        <f t="shared" si="90"/>
        <v>59.130780000000001</v>
      </c>
      <c r="D1935">
        <v>0.69350000000000001</v>
      </c>
      <c r="E1935">
        <f t="shared" si="91"/>
        <v>4.0797516010191996</v>
      </c>
      <c r="I1935" s="24">
        <f t="shared" si="92"/>
        <v>0.83411426826779544</v>
      </c>
      <c r="N1935" s="30">
        <v>35244.179104477611</v>
      </c>
    </row>
    <row r="1936" spans="1:14" x14ac:dyDescent="0.3">
      <c r="A1936">
        <v>29.462429999999824</v>
      </c>
      <c r="B1936">
        <v>59.076900000000002</v>
      </c>
      <c r="C1936">
        <f t="shared" si="90"/>
        <v>58.730780000000003</v>
      </c>
      <c r="D1936">
        <v>0.69400000000000006</v>
      </c>
      <c r="E1936">
        <f t="shared" si="91"/>
        <v>4.0729639505632109</v>
      </c>
      <c r="I1936" s="24">
        <f t="shared" si="92"/>
        <v>0.82605173539435284</v>
      </c>
      <c r="N1936" s="30">
        <v>35242.358208955222</v>
      </c>
    </row>
    <row r="1937" spans="1:14" x14ac:dyDescent="0.3">
      <c r="A1937">
        <v>29.477659999999823</v>
      </c>
      <c r="B1937">
        <v>58.230800000000002</v>
      </c>
      <c r="C1937">
        <f t="shared" si="90"/>
        <v>57.869240000000005</v>
      </c>
      <c r="D1937">
        <v>0.69450000000000001</v>
      </c>
      <c r="E1937">
        <f t="shared" si="91"/>
        <v>4.05818598261546</v>
      </c>
      <c r="I1937" s="24">
        <f t="shared" si="92"/>
        <v>0.80945351860311776</v>
      </c>
      <c r="N1937" s="30">
        <v>35240.53731343284</v>
      </c>
    </row>
    <row r="1938" spans="1:14" x14ac:dyDescent="0.3">
      <c r="A1938">
        <v>29.492889999999822</v>
      </c>
      <c r="B1938">
        <v>56.807699999999997</v>
      </c>
      <c r="C1938">
        <f t="shared" si="90"/>
        <v>56.769240000000003</v>
      </c>
      <c r="D1938">
        <v>0.69500000000000006</v>
      </c>
      <c r="E1938">
        <f t="shared" si="91"/>
        <v>4.0389946297405483</v>
      </c>
      <c r="I1938" s="24">
        <f t="shared" si="92"/>
        <v>0.78856509929325136</v>
      </c>
      <c r="N1938" s="30">
        <v>35238.716417910451</v>
      </c>
    </row>
    <row r="1939" spans="1:14" x14ac:dyDescent="0.3">
      <c r="A1939">
        <v>29.50811999999982</v>
      </c>
      <c r="B1939">
        <v>55.423099999999998</v>
      </c>
      <c r="C1939">
        <f t="shared" si="90"/>
        <v>55.669240000000002</v>
      </c>
      <c r="D1939">
        <v>0.69550000000000001</v>
      </c>
      <c r="E1939">
        <f t="shared" si="91"/>
        <v>4.0194277502250957</v>
      </c>
      <c r="I1939" s="24">
        <f t="shared" si="92"/>
        <v>0.76783402471874262</v>
      </c>
      <c r="N1939" s="30">
        <v>35236.895522388062</v>
      </c>
    </row>
    <row r="1940" spans="1:14" x14ac:dyDescent="0.3">
      <c r="A1940">
        <v>29.523349999999819</v>
      </c>
      <c r="B1940">
        <v>54.307699999999997</v>
      </c>
      <c r="C1940">
        <f t="shared" si="90"/>
        <v>54.638459999999995</v>
      </c>
      <c r="D1940">
        <v>0.69599999999999995</v>
      </c>
      <c r="E1940">
        <f t="shared" si="91"/>
        <v>4.0007380303851106</v>
      </c>
      <c r="I1940" s="24">
        <f t="shared" si="92"/>
        <v>0.74851766665703212</v>
      </c>
      <c r="N1940" s="30">
        <v>35235.074626865673</v>
      </c>
    </row>
    <row r="1941" spans="1:14" x14ac:dyDescent="0.3">
      <c r="A1941">
        <v>29.538579999999818</v>
      </c>
      <c r="B1941">
        <v>53.576900000000002</v>
      </c>
      <c r="C1941">
        <f t="shared" si="90"/>
        <v>53.792299999999997</v>
      </c>
      <c r="D1941">
        <v>0.69650000000000001</v>
      </c>
      <c r="E1941">
        <f t="shared" si="91"/>
        <v>3.9851303342481312</v>
      </c>
      <c r="I1941" s="24">
        <f t="shared" si="92"/>
        <v>0.7326730784850507</v>
      </c>
      <c r="N1941" s="30">
        <v>35233.253731343284</v>
      </c>
    </row>
    <row r="1942" spans="1:14" x14ac:dyDescent="0.3">
      <c r="A1942">
        <v>29.553809999999817</v>
      </c>
      <c r="B1942">
        <v>53.076900000000002</v>
      </c>
      <c r="C1942">
        <f t="shared" si="90"/>
        <v>53.176919999999996</v>
      </c>
      <c r="D1942">
        <v>0.69699999999999995</v>
      </c>
      <c r="E1942">
        <f t="shared" si="91"/>
        <v>3.9736244676276815</v>
      </c>
      <c r="I1942" s="24">
        <f t="shared" si="92"/>
        <v>0.72107201035410085</v>
      </c>
      <c r="N1942" s="30">
        <v>35231.432835820895</v>
      </c>
    </row>
    <row r="1943" spans="1:14" x14ac:dyDescent="0.3">
      <c r="A1943">
        <v>29.569039999999816</v>
      </c>
      <c r="B1943">
        <v>52.576900000000002</v>
      </c>
      <c r="C1943">
        <f t="shared" si="90"/>
        <v>52.861540000000005</v>
      </c>
      <c r="D1943">
        <v>0.69750000000000001</v>
      </c>
      <c r="E1943">
        <f t="shared" si="91"/>
        <v>3.9676760423121173</v>
      </c>
      <c r="I1943" s="24">
        <f t="shared" si="92"/>
        <v>0.71489911237809411</v>
      </c>
      <c r="N1943" s="30">
        <v>35229.611940298506</v>
      </c>
    </row>
    <row r="1944" spans="1:14" x14ac:dyDescent="0.3">
      <c r="A1944">
        <v>29.584269999999815</v>
      </c>
      <c r="B1944">
        <v>52.346200000000003</v>
      </c>
      <c r="C1944">
        <f t="shared" si="90"/>
        <v>52.884619999999998</v>
      </c>
      <c r="D1944">
        <v>0.69800000000000006</v>
      </c>
      <c r="E1944">
        <f t="shared" si="91"/>
        <v>3.9681125593519129</v>
      </c>
      <c r="I1944" s="24">
        <f t="shared" si="92"/>
        <v>0.71480025489153631</v>
      </c>
      <c r="N1944" s="30">
        <v>35227.791044776117</v>
      </c>
    </row>
    <row r="1945" spans="1:14" x14ac:dyDescent="0.3">
      <c r="A1945">
        <v>29.599499999999814</v>
      </c>
      <c r="B1945">
        <v>52.730800000000002</v>
      </c>
      <c r="C1945">
        <f t="shared" si="90"/>
        <v>53.18462000000001</v>
      </c>
      <c r="D1945">
        <v>0.69850000000000001</v>
      </c>
      <c r="E1945">
        <f t="shared" si="91"/>
        <v>3.9737692568064293</v>
      </c>
      <c r="I1945" s="24">
        <f t="shared" si="92"/>
        <v>0.71966156776220747</v>
      </c>
      <c r="N1945" s="30">
        <v>35225.970149253735</v>
      </c>
    </row>
    <row r="1946" spans="1:14" x14ac:dyDescent="0.3">
      <c r="A1946">
        <v>29.614729999999813</v>
      </c>
      <c r="B1946">
        <v>53.692300000000003</v>
      </c>
      <c r="C1946">
        <f t="shared" si="90"/>
        <v>53.7</v>
      </c>
      <c r="D1946">
        <v>0.69900000000000007</v>
      </c>
      <c r="E1946">
        <f t="shared" si="91"/>
        <v>3.983413001514819</v>
      </c>
      <c r="I1946" s="24">
        <f t="shared" si="92"/>
        <v>0.72839357432328977</v>
      </c>
      <c r="N1946" s="30">
        <v>35224.149253731346</v>
      </c>
    </row>
    <row r="1947" spans="1:14" x14ac:dyDescent="0.3">
      <c r="A1947">
        <v>29.629959999999812</v>
      </c>
      <c r="B1947">
        <v>54.576900000000002</v>
      </c>
      <c r="C1947">
        <f t="shared" si="90"/>
        <v>54.284599999999998</v>
      </c>
      <c r="D1947">
        <v>0.69950000000000001</v>
      </c>
      <c r="E1947">
        <f t="shared" si="91"/>
        <v>3.9942405771386609</v>
      </c>
      <c r="I1947" s="24">
        <f t="shared" si="92"/>
        <v>0.73838904466840971</v>
      </c>
      <c r="N1947" s="30">
        <v>35222.328358208957</v>
      </c>
    </row>
    <row r="1948" spans="1:14" x14ac:dyDescent="0.3">
      <c r="A1948">
        <v>29.645189999999811</v>
      </c>
      <c r="B1948">
        <v>55.153799999999997</v>
      </c>
      <c r="C1948">
        <f t="shared" si="90"/>
        <v>54.876899999999999</v>
      </c>
      <c r="D1948">
        <v>0.7</v>
      </c>
      <c r="E1948">
        <f t="shared" si="91"/>
        <v>4.005092494941719</v>
      </c>
      <c r="I1948" s="24">
        <f t="shared" si="92"/>
        <v>0.74854620064614108</v>
      </c>
      <c r="N1948" s="30">
        <v>35220.507462686568</v>
      </c>
    </row>
    <row r="1949" spans="1:14" x14ac:dyDescent="0.3">
      <c r="A1949">
        <v>29.66041999999981</v>
      </c>
      <c r="B1949">
        <v>55.269199999999998</v>
      </c>
      <c r="C1949">
        <f t="shared" si="90"/>
        <v>55.307680000000005</v>
      </c>
      <c r="D1949">
        <v>0.70050000000000001</v>
      </c>
      <c r="E1949">
        <f t="shared" si="91"/>
        <v>4.012911777728192</v>
      </c>
      <c r="I1949" s="24">
        <f t="shared" si="92"/>
        <v>0.7558008241636418</v>
      </c>
      <c r="N1949" s="30">
        <v>35218.686567164179</v>
      </c>
    </row>
    <row r="1950" spans="1:14" x14ac:dyDescent="0.3">
      <c r="A1950">
        <v>29.675649999999809</v>
      </c>
      <c r="B1950">
        <v>55.692300000000003</v>
      </c>
      <c r="C1950">
        <f t="shared" si="90"/>
        <v>55.415380000000006</v>
      </c>
      <c r="D1950">
        <v>0.70099999999999996</v>
      </c>
      <c r="E1950">
        <f t="shared" si="91"/>
        <v>4.0148571725531985</v>
      </c>
      <c r="I1950" s="24">
        <f t="shared" si="92"/>
        <v>0.75721075219389467</v>
      </c>
      <c r="N1950" s="30">
        <v>35216.86567164179</v>
      </c>
    </row>
    <row r="1951" spans="1:14" x14ac:dyDescent="0.3">
      <c r="A1951">
        <v>29.690879999999808</v>
      </c>
      <c r="B1951">
        <v>55.846200000000003</v>
      </c>
      <c r="C1951">
        <f t="shared" si="90"/>
        <v>55.338459999999998</v>
      </c>
      <c r="D1951">
        <v>0.70150000000000001</v>
      </c>
      <c r="E1951">
        <f t="shared" si="91"/>
        <v>4.0134681459990409</v>
      </c>
      <c r="I1951" s="24">
        <f t="shared" si="92"/>
        <v>0.75527991152826246</v>
      </c>
      <c r="N1951" s="30">
        <v>35215.044776119401</v>
      </c>
    </row>
    <row r="1952" spans="1:14" x14ac:dyDescent="0.3">
      <c r="A1952">
        <v>29.706109999999807</v>
      </c>
      <c r="B1952">
        <v>55.115400000000001</v>
      </c>
      <c r="C1952">
        <f t="shared" si="90"/>
        <v>55.230779999999996</v>
      </c>
      <c r="D1952">
        <v>0.70200000000000007</v>
      </c>
      <c r="E1952">
        <f t="shared" si="91"/>
        <v>4.0115204065727408</v>
      </c>
      <c r="I1952" s="24">
        <f t="shared" si="92"/>
        <v>0.75279696346699609</v>
      </c>
      <c r="N1952" s="30">
        <v>35213.223880597019</v>
      </c>
    </row>
    <row r="1953" spans="1:14" x14ac:dyDescent="0.3">
      <c r="A1953">
        <v>29.721339999999806</v>
      </c>
      <c r="B1953">
        <v>54.769199999999998</v>
      </c>
      <c r="C1953">
        <f t="shared" si="90"/>
        <v>55.0077</v>
      </c>
      <c r="D1953">
        <v>0.70250000000000001</v>
      </c>
      <c r="E1953">
        <f t="shared" si="91"/>
        <v>4.0074731754333852</v>
      </c>
      <c r="I1953" s="24">
        <f t="shared" si="92"/>
        <v>0.74823850613249399</v>
      </c>
      <c r="N1953" s="30">
        <v>35211.40298507463</v>
      </c>
    </row>
    <row r="1954" spans="1:14" x14ac:dyDescent="0.3">
      <c r="A1954">
        <v>29.736569999999805</v>
      </c>
      <c r="B1954">
        <v>54.730800000000002</v>
      </c>
      <c r="C1954">
        <f t="shared" si="90"/>
        <v>54.715380000000003</v>
      </c>
      <c r="D1954">
        <v>0.70300000000000007</v>
      </c>
      <c r="E1954">
        <f t="shared" si="91"/>
        <v>4.002144839925335</v>
      </c>
      <c r="I1954" s="24">
        <f t="shared" si="92"/>
        <v>0.74244687265121401</v>
      </c>
      <c r="N1954" s="30">
        <v>35209.582089552241</v>
      </c>
    </row>
    <row r="1955" spans="1:14" x14ac:dyDescent="0.3">
      <c r="A1955">
        <v>29.751799999999804</v>
      </c>
      <c r="B1955">
        <v>54.576900000000002</v>
      </c>
      <c r="C1955">
        <f t="shared" si="90"/>
        <v>54.438459999999999</v>
      </c>
      <c r="D1955">
        <v>0.70350000000000001</v>
      </c>
      <c r="E1955">
        <f t="shared" si="91"/>
        <v>3.9970708893596396</v>
      </c>
      <c r="I1955" s="24">
        <f t="shared" si="92"/>
        <v>0.73694875779518876</v>
      </c>
      <c r="N1955" s="30">
        <v>35207.761194029852</v>
      </c>
    </row>
    <row r="1956" spans="1:14" x14ac:dyDescent="0.3">
      <c r="A1956">
        <v>29.767029999999803</v>
      </c>
      <c r="B1956">
        <v>54.384599999999999</v>
      </c>
      <c r="C1956">
        <f t="shared" si="90"/>
        <v>53.953860000000006</v>
      </c>
      <c r="D1956">
        <v>0.70399999999999996</v>
      </c>
      <c r="E1956">
        <f t="shared" si="91"/>
        <v>3.9881292368741059</v>
      </c>
      <c r="I1956" s="24">
        <f t="shared" si="92"/>
        <v>0.72775320082373463</v>
      </c>
      <c r="N1956" s="30">
        <v>35205.940298507463</v>
      </c>
    </row>
    <row r="1957" spans="1:14" x14ac:dyDescent="0.3">
      <c r="A1957">
        <v>29.782259999999802</v>
      </c>
      <c r="B1957">
        <v>53.730800000000002</v>
      </c>
      <c r="C1957">
        <f t="shared" si="90"/>
        <v>53.253859999999996</v>
      </c>
      <c r="D1957">
        <v>0.70450000000000002</v>
      </c>
      <c r="E1957">
        <f t="shared" si="91"/>
        <v>3.9750702902252981</v>
      </c>
      <c r="I1957" s="24">
        <f t="shared" si="92"/>
        <v>0.71476335305484817</v>
      </c>
      <c r="N1957" s="30">
        <v>35204.119402985074</v>
      </c>
    </row>
    <row r="1958" spans="1:14" x14ac:dyDescent="0.3">
      <c r="A1958">
        <v>29.797489999999801</v>
      </c>
      <c r="B1958">
        <v>52.346200000000003</v>
      </c>
      <c r="C1958">
        <f t="shared" si="90"/>
        <v>52.330780000000004</v>
      </c>
      <c r="D1958">
        <v>0.70499999999999996</v>
      </c>
      <c r="E1958">
        <f t="shared" si="91"/>
        <v>3.9575847256810199</v>
      </c>
      <c r="I1958" s="24">
        <f t="shared" si="92"/>
        <v>0.69790093501662787</v>
      </c>
      <c r="N1958" s="30">
        <v>35202.298507462685</v>
      </c>
    </row>
    <row r="1959" spans="1:14" x14ac:dyDescent="0.3">
      <c r="A1959">
        <v>29.8127199999998</v>
      </c>
      <c r="B1959">
        <v>51.230800000000002</v>
      </c>
      <c r="C1959">
        <f t="shared" si="90"/>
        <v>51.107700000000001</v>
      </c>
      <c r="D1959">
        <v>0.70550000000000002</v>
      </c>
      <c r="E1959">
        <f t="shared" si="91"/>
        <v>3.9339351707893315</v>
      </c>
      <c r="I1959" s="24">
        <f t="shared" si="92"/>
        <v>0.67589468127738095</v>
      </c>
      <c r="N1959" s="30">
        <v>35200.477611940296</v>
      </c>
    </row>
    <row r="1960" spans="1:14" x14ac:dyDescent="0.3">
      <c r="A1960">
        <v>29.827949999999799</v>
      </c>
      <c r="B1960">
        <v>49.961500000000001</v>
      </c>
      <c r="C1960">
        <f t="shared" si="90"/>
        <v>49.730780000000003</v>
      </c>
      <c r="D1960">
        <v>0.70600000000000007</v>
      </c>
      <c r="E1960">
        <f t="shared" si="91"/>
        <v>3.9066240573010096</v>
      </c>
      <c r="I1960" s="24">
        <f t="shared" si="92"/>
        <v>0.65141507668844822</v>
      </c>
      <c r="N1960" s="30">
        <v>35198.656716417914</v>
      </c>
    </row>
    <row r="1961" spans="1:14" x14ac:dyDescent="0.3">
      <c r="A1961">
        <v>29.843179999999798</v>
      </c>
      <c r="B1961">
        <v>48.269199999999998</v>
      </c>
      <c r="C1961">
        <f t="shared" si="90"/>
        <v>48.353840000000005</v>
      </c>
      <c r="D1961">
        <v>0.70650000000000002</v>
      </c>
      <c r="E1961">
        <f t="shared" si="91"/>
        <v>3.87854563963498</v>
      </c>
      <c r="I1961" s="24">
        <f t="shared" si="92"/>
        <v>0.62718451853505253</v>
      </c>
      <c r="N1961" s="30">
        <v>35196.835820895525</v>
      </c>
    </row>
    <row r="1962" spans="1:14" x14ac:dyDescent="0.3">
      <c r="A1962">
        <v>29.858409999999797</v>
      </c>
      <c r="B1962">
        <v>46.846200000000003</v>
      </c>
      <c r="C1962">
        <f t="shared" si="90"/>
        <v>46.94614</v>
      </c>
      <c r="D1962">
        <v>0.70700000000000007</v>
      </c>
      <c r="E1962">
        <f t="shared" si="91"/>
        <v>3.8490009871519528</v>
      </c>
      <c r="I1962" s="24">
        <f t="shared" si="92"/>
        <v>0.60268373057592739</v>
      </c>
      <c r="N1962" s="30">
        <v>35195.014925373136</v>
      </c>
    </row>
    <row r="1963" spans="1:14" x14ac:dyDescent="0.3">
      <c r="A1963">
        <v>29.873639999999796</v>
      </c>
      <c r="B1963">
        <v>45.461500000000001</v>
      </c>
      <c r="C1963">
        <f t="shared" si="90"/>
        <v>45.592300000000002</v>
      </c>
      <c r="D1963">
        <v>0.70750000000000002</v>
      </c>
      <c r="E1963">
        <f t="shared" si="91"/>
        <v>3.8197388426128218</v>
      </c>
      <c r="I1963" s="24">
        <f t="shared" si="92"/>
        <v>0.5793571421216841</v>
      </c>
      <c r="N1963" s="30">
        <v>35193.194029850747</v>
      </c>
    </row>
    <row r="1964" spans="1:14" x14ac:dyDescent="0.3">
      <c r="A1964">
        <v>29.888869999999795</v>
      </c>
      <c r="B1964">
        <v>44.192300000000003</v>
      </c>
      <c r="C1964">
        <f t="shared" si="90"/>
        <v>44.4923</v>
      </c>
      <c r="D1964">
        <v>0.70799999999999996</v>
      </c>
      <c r="E1964">
        <f t="shared" si="91"/>
        <v>3.7953161404922704</v>
      </c>
      <c r="I1964" s="24">
        <f t="shared" si="92"/>
        <v>0.56051581233596892</v>
      </c>
      <c r="N1964" s="30">
        <v>35191.373134328358</v>
      </c>
    </row>
    <row r="1965" spans="1:14" x14ac:dyDescent="0.3">
      <c r="A1965">
        <v>29.904099999999794</v>
      </c>
      <c r="B1965">
        <v>43.192300000000003</v>
      </c>
      <c r="C1965">
        <f t="shared" si="90"/>
        <v>43.646139999999995</v>
      </c>
      <c r="D1965">
        <v>0.70850000000000002</v>
      </c>
      <c r="E1965">
        <f t="shared" si="91"/>
        <v>3.7761148476766464</v>
      </c>
      <c r="I1965" s="24">
        <f t="shared" si="92"/>
        <v>0.54605167552266076</v>
      </c>
      <c r="N1965" s="30">
        <v>35189.552238805969</v>
      </c>
    </row>
    <row r="1966" spans="1:14" x14ac:dyDescent="0.3">
      <c r="A1966">
        <v>29.919329999999793</v>
      </c>
      <c r="B1966">
        <v>42.769199999999998</v>
      </c>
      <c r="C1966">
        <f t="shared" si="90"/>
        <v>43.123080000000002</v>
      </c>
      <c r="D1966">
        <v>0.70899999999999996</v>
      </c>
      <c r="E1966">
        <f t="shared" si="91"/>
        <v>3.7640583526212712</v>
      </c>
      <c r="I1966" s="24">
        <f t="shared" si="92"/>
        <v>0.53702019615567798</v>
      </c>
      <c r="N1966" s="30">
        <v>35187.73134328358</v>
      </c>
    </row>
    <row r="1967" spans="1:14" x14ac:dyDescent="0.3">
      <c r="A1967">
        <v>29.934559999999792</v>
      </c>
      <c r="B1967">
        <v>42.615400000000001</v>
      </c>
      <c r="C1967">
        <f t="shared" si="90"/>
        <v>42.853860000000005</v>
      </c>
      <c r="D1967">
        <v>0.70950000000000002</v>
      </c>
      <c r="E1967">
        <f t="shared" si="91"/>
        <v>3.757795722666958</v>
      </c>
      <c r="I1967" s="24">
        <f t="shared" si="92"/>
        <v>0.5322077926652008</v>
      </c>
      <c r="N1967" s="30">
        <v>35185.910447761198</v>
      </c>
    </row>
    <row r="1968" spans="1:14" x14ac:dyDescent="0.3">
      <c r="A1968">
        <v>29.949789999999791</v>
      </c>
      <c r="B1968">
        <v>42.846200000000003</v>
      </c>
      <c r="C1968">
        <f t="shared" si="90"/>
        <v>42.807700000000004</v>
      </c>
      <c r="D1968">
        <v>0.71000000000000008</v>
      </c>
      <c r="E1968">
        <f t="shared" si="91"/>
        <v>3.7567179929485661</v>
      </c>
      <c r="I1968" s="24">
        <f t="shared" si="92"/>
        <v>0.53107420170274688</v>
      </c>
      <c r="N1968" s="30">
        <v>35184.089552238809</v>
      </c>
    </row>
    <row r="1969" spans="1:14" x14ac:dyDescent="0.3">
      <c r="A1969">
        <v>29.965019999999789</v>
      </c>
      <c r="B1969">
        <v>42.846200000000003</v>
      </c>
      <c r="C1969">
        <f t="shared" si="90"/>
        <v>42.923100000000005</v>
      </c>
      <c r="D1969">
        <v>0.71050000000000002</v>
      </c>
      <c r="E1969">
        <f t="shared" si="91"/>
        <v>3.7594101425540383</v>
      </c>
      <c r="I1969" s="24">
        <f t="shared" si="92"/>
        <v>0.53259662329910284</v>
      </c>
      <c r="N1969" s="30">
        <v>35182.26865671642</v>
      </c>
    </row>
    <row r="1970" spans="1:14" x14ac:dyDescent="0.3">
      <c r="A1970">
        <v>29.980249999999788</v>
      </c>
      <c r="B1970">
        <v>42.961500000000001</v>
      </c>
      <c r="C1970">
        <f t="shared" si="90"/>
        <v>43.092320000000008</v>
      </c>
      <c r="D1970">
        <v>0.71100000000000008</v>
      </c>
      <c r="E1970">
        <f t="shared" si="91"/>
        <v>3.7633447909767122</v>
      </c>
      <c r="I1970" s="24">
        <f t="shared" si="92"/>
        <v>0.53500359863410951</v>
      </c>
      <c r="N1970" s="30">
        <v>35180.447761194031</v>
      </c>
    </row>
    <row r="1971" spans="1:14" x14ac:dyDescent="0.3">
      <c r="A1971">
        <v>29.995479999999787</v>
      </c>
      <c r="B1971">
        <v>43.346200000000003</v>
      </c>
      <c r="C1971">
        <f t="shared" si="90"/>
        <v>43.330780000000004</v>
      </c>
      <c r="D1971">
        <v>0.71150000000000002</v>
      </c>
      <c r="E1971">
        <f t="shared" si="91"/>
        <v>3.768863236974517</v>
      </c>
      <c r="I1971" s="24">
        <f t="shared" si="92"/>
        <v>0.53855052779365253</v>
      </c>
      <c r="N1971" s="30">
        <v>35178.626865671642</v>
      </c>
    </row>
    <row r="1972" spans="1:14" x14ac:dyDescent="0.3">
      <c r="A1972">
        <v>30.010709999999786</v>
      </c>
      <c r="B1972">
        <v>43.461500000000001</v>
      </c>
      <c r="C1972">
        <f t="shared" si="90"/>
        <v>43.730780000000003</v>
      </c>
      <c r="D1972" s="8">
        <v>0.71199999999999997</v>
      </c>
      <c r="E1972">
        <f t="shared" si="91"/>
        <v>3.7780522019911169</v>
      </c>
      <c r="I1972" s="24">
        <f t="shared" si="92"/>
        <v>0.54476383463070999</v>
      </c>
      <c r="N1972" s="30">
        <v>35176.805970149253</v>
      </c>
    </row>
    <row r="1973" spans="1:14" x14ac:dyDescent="0.3">
      <c r="A1973">
        <v>30.025939999999785</v>
      </c>
      <c r="B1973">
        <v>44.038499999999999</v>
      </c>
      <c r="C1973">
        <f t="shared" si="90"/>
        <v>44.253860000000003</v>
      </c>
      <c r="D1973">
        <v>0.71203076923076924</v>
      </c>
      <c r="E1973">
        <f t="shared" si="91"/>
        <v>3.7899425992878983</v>
      </c>
      <c r="I1973" s="24">
        <f t="shared" si="92"/>
        <v>0.55338920133632818</v>
      </c>
      <c r="N1973" s="30">
        <v>35174.985074626864</v>
      </c>
    </row>
    <row r="1974" spans="1:14" x14ac:dyDescent="0.3">
      <c r="A1974">
        <v>30.041169999999784</v>
      </c>
      <c r="B1974">
        <v>44.846200000000003</v>
      </c>
      <c r="C1974">
        <f t="shared" si="90"/>
        <v>44.707700000000003</v>
      </c>
      <c r="D1974">
        <v>0.71206153846153852</v>
      </c>
      <c r="E1974">
        <f t="shared" si="91"/>
        <v>3.800145746292388</v>
      </c>
      <c r="I1974" s="24">
        <f t="shared" si="92"/>
        <v>0.56089598065146951</v>
      </c>
      <c r="N1974" s="30">
        <v>35173.164179104482</v>
      </c>
    </row>
    <row r="1975" spans="1:14" x14ac:dyDescent="0.3">
      <c r="A1975">
        <v>30.056399999999783</v>
      </c>
      <c r="B1975">
        <v>45.576900000000002</v>
      </c>
      <c r="C1975">
        <f t="shared" si="90"/>
        <v>45.0154</v>
      </c>
      <c r="D1975">
        <v>0.71209230769230769</v>
      </c>
      <c r="E1975">
        <f t="shared" si="91"/>
        <v>3.8070046534478736</v>
      </c>
      <c r="I1975" s="24">
        <f t="shared" si="92"/>
        <v>0.56599143198524371</v>
      </c>
      <c r="N1975" s="30">
        <v>35171.343283582093</v>
      </c>
    </row>
    <row r="1976" spans="1:14" x14ac:dyDescent="0.3">
      <c r="A1976">
        <v>30.071629999999782</v>
      </c>
      <c r="B1976">
        <v>45.615400000000001</v>
      </c>
      <c r="C1976">
        <f t="shared" si="90"/>
        <v>45.0154</v>
      </c>
      <c r="D1976">
        <v>0.71212307692307697</v>
      </c>
      <c r="E1976">
        <f t="shared" si="91"/>
        <v>3.8070046534478736</v>
      </c>
      <c r="I1976" s="24">
        <f t="shared" si="92"/>
        <v>0.56596697677300789</v>
      </c>
      <c r="N1976" s="30">
        <v>35169.522388059704</v>
      </c>
    </row>
    <row r="1977" spans="1:14" x14ac:dyDescent="0.3">
      <c r="A1977">
        <v>30.086859999999781</v>
      </c>
      <c r="B1977">
        <v>45</v>
      </c>
      <c r="C1977">
        <f t="shared" si="90"/>
        <v>44.738459999999996</v>
      </c>
      <c r="D1977">
        <v>0.71215384615384614</v>
      </c>
      <c r="E1977">
        <f t="shared" si="91"/>
        <v>3.8008335343698767</v>
      </c>
      <c r="I1977" s="24">
        <f t="shared" si="92"/>
        <v>0.56133452340557577</v>
      </c>
      <c r="N1977" s="30">
        <v>35167.701492537315</v>
      </c>
    </row>
    <row r="1978" spans="1:14" x14ac:dyDescent="0.3">
      <c r="A1978">
        <v>30.10208999999978</v>
      </c>
      <c r="B1978">
        <v>44.038499999999999</v>
      </c>
      <c r="C1978">
        <f t="shared" ref="C1978:C2041" si="93">AVERAGE(B1976:B1980)</f>
        <v>44.107700000000001</v>
      </c>
      <c r="D1978">
        <v>0.71218461538461542</v>
      </c>
      <c r="E1978">
        <f t="shared" ref="E1978:E2041" si="94">LN(C1978)</f>
        <v>3.7866343703860434</v>
      </c>
      <c r="I1978" s="24">
        <f t="shared" ref="I1978:I2041" si="95">(0.0026*(EXP(1.3248*E1978)))/D1978</f>
        <v>0.55085012616592643</v>
      </c>
      <c r="N1978" s="30">
        <v>35165.880597014926</v>
      </c>
    </row>
    <row r="1979" spans="1:14" x14ac:dyDescent="0.3">
      <c r="A1979">
        <v>30.117319999999779</v>
      </c>
      <c r="B1979">
        <v>43.461500000000001</v>
      </c>
      <c r="C1979">
        <f t="shared" si="93"/>
        <v>43.415379999999999</v>
      </c>
      <c r="D1979">
        <v>0.71221538461538469</v>
      </c>
      <c r="E1979">
        <f t="shared" si="94"/>
        <v>3.7708137562095332</v>
      </c>
      <c r="I1979" s="24">
        <f t="shared" si="95"/>
        <v>0.5394016211054522</v>
      </c>
      <c r="N1979" s="30">
        <v>35164.059701492537</v>
      </c>
    </row>
    <row r="1980" spans="1:14" x14ac:dyDescent="0.3">
      <c r="A1980">
        <v>30.132549999999778</v>
      </c>
      <c r="B1980">
        <v>42.423099999999998</v>
      </c>
      <c r="C1980">
        <f t="shared" si="93"/>
        <v>42.823079999999997</v>
      </c>
      <c r="D1980">
        <v>0.71224615384615386</v>
      </c>
      <c r="E1980">
        <f t="shared" si="94"/>
        <v>3.7570772095799074</v>
      </c>
      <c r="I1980" s="24">
        <f t="shared" si="95"/>
        <v>0.52965139131848682</v>
      </c>
      <c r="N1980" s="30">
        <v>35162.238805970148</v>
      </c>
    </row>
    <row r="1981" spans="1:14" x14ac:dyDescent="0.3">
      <c r="A1981">
        <v>30.147779999999777</v>
      </c>
      <c r="B1981">
        <v>42.153799999999997</v>
      </c>
      <c r="C1981">
        <f t="shared" si="93"/>
        <v>42.45384</v>
      </c>
      <c r="D1981">
        <v>0.71227692307692314</v>
      </c>
      <c r="E1981">
        <f t="shared" si="94"/>
        <v>3.7484173680301125</v>
      </c>
      <c r="I1981" s="24">
        <f t="shared" si="95"/>
        <v>0.52358703919572092</v>
      </c>
      <c r="N1981" s="30">
        <v>35160.417910447759</v>
      </c>
    </row>
    <row r="1982" spans="1:14" x14ac:dyDescent="0.3">
      <c r="A1982">
        <v>30.163009999999776</v>
      </c>
      <c r="B1982">
        <v>42.038499999999999</v>
      </c>
      <c r="C1982">
        <f t="shared" si="93"/>
        <v>42.146160000000002</v>
      </c>
      <c r="D1982">
        <v>0.71230769230769231</v>
      </c>
      <c r="E1982">
        <f t="shared" si="94"/>
        <v>3.7411435770948689</v>
      </c>
      <c r="I1982" s="24">
        <f t="shared" si="95"/>
        <v>0.51854341950246563</v>
      </c>
      <c r="N1982" s="30">
        <v>35158.597014925377</v>
      </c>
    </row>
    <row r="1983" spans="1:14" x14ac:dyDescent="0.3">
      <c r="A1983">
        <v>30.178239999999775</v>
      </c>
      <c r="B1983">
        <v>42.192300000000003</v>
      </c>
      <c r="C1983">
        <f t="shared" si="93"/>
        <v>42.107700000000001</v>
      </c>
      <c r="D1983">
        <v>0.71233846153846148</v>
      </c>
      <c r="E1983">
        <f t="shared" si="94"/>
        <v>3.7402306218267936</v>
      </c>
      <c r="I1983" s="24">
        <f t="shared" si="95"/>
        <v>0.51789425786004062</v>
      </c>
      <c r="N1983" s="30">
        <v>35156.776119402988</v>
      </c>
    </row>
    <row r="1984" spans="1:14" x14ac:dyDescent="0.3">
      <c r="A1984">
        <v>30.193469999999774</v>
      </c>
      <c r="B1984">
        <v>41.923099999999998</v>
      </c>
      <c r="C1984">
        <f t="shared" si="93"/>
        <v>42.08464</v>
      </c>
      <c r="D1984">
        <v>0.71236923076923075</v>
      </c>
      <c r="E1984">
        <f t="shared" si="94"/>
        <v>3.7396828285102841</v>
      </c>
      <c r="I1984" s="24">
        <f t="shared" si="95"/>
        <v>0.51749619667096192</v>
      </c>
      <c r="N1984" s="30">
        <v>35154.955223880599</v>
      </c>
    </row>
    <row r="1985" spans="1:14" x14ac:dyDescent="0.3">
      <c r="A1985">
        <v>30.208699999999773</v>
      </c>
      <c r="B1985">
        <v>42.230800000000002</v>
      </c>
      <c r="C1985">
        <f t="shared" si="93"/>
        <v>42.038480000000007</v>
      </c>
      <c r="D1985">
        <v>0.71239999999999992</v>
      </c>
      <c r="E1985">
        <f t="shared" si="94"/>
        <v>3.7385853893132404</v>
      </c>
      <c r="I1985" s="24">
        <f t="shared" si="95"/>
        <v>0.51672204344150308</v>
      </c>
      <c r="N1985" s="30">
        <v>35153.13432835821</v>
      </c>
    </row>
    <row r="1986" spans="1:14" x14ac:dyDescent="0.3">
      <c r="A1986">
        <v>30.223929999999772</v>
      </c>
      <c r="B1986">
        <v>42.038499999999999</v>
      </c>
      <c r="C1986">
        <f t="shared" si="93"/>
        <v>41.869259999999997</v>
      </c>
      <c r="D1986">
        <v>0.7124307692307692</v>
      </c>
      <c r="E1986">
        <f t="shared" si="94"/>
        <v>3.7345519061227797</v>
      </c>
      <c r="I1986" s="24">
        <f t="shared" si="95"/>
        <v>0.51394607515980795</v>
      </c>
      <c r="N1986" s="30">
        <v>35151.313432835821</v>
      </c>
    </row>
    <row r="1987" spans="1:14" x14ac:dyDescent="0.3">
      <c r="A1987">
        <v>30.239159999999771</v>
      </c>
      <c r="B1987">
        <v>41.807699999999997</v>
      </c>
      <c r="C1987">
        <f t="shared" si="93"/>
        <v>41.638480000000001</v>
      </c>
      <c r="D1987">
        <v>0.71246153846153848</v>
      </c>
      <c r="E1987">
        <f t="shared" si="94"/>
        <v>3.7290247397183522</v>
      </c>
      <c r="I1987" s="24">
        <f t="shared" si="95"/>
        <v>0.51017447222124412</v>
      </c>
      <c r="N1987" s="30">
        <v>35149.492537313432</v>
      </c>
    </row>
    <row r="1988" spans="1:14" x14ac:dyDescent="0.3">
      <c r="A1988">
        <v>30.25438999999977</v>
      </c>
      <c r="B1988">
        <v>41.346200000000003</v>
      </c>
      <c r="C1988">
        <f t="shared" si="93"/>
        <v>41.315399999999997</v>
      </c>
      <c r="D1988">
        <v>0.71249230769230765</v>
      </c>
      <c r="E1988">
        <f t="shared" si="94"/>
        <v>3.7212353118199433</v>
      </c>
      <c r="I1988" s="24">
        <f t="shared" si="95"/>
        <v>0.50491502573482205</v>
      </c>
      <c r="N1988" s="30">
        <v>35147.671641791043</v>
      </c>
    </row>
    <row r="1989" spans="1:14" x14ac:dyDescent="0.3">
      <c r="A1989">
        <v>30.269619999999769</v>
      </c>
      <c r="B1989">
        <v>40.769199999999998</v>
      </c>
      <c r="C1989">
        <f t="shared" si="93"/>
        <v>40.953859999999999</v>
      </c>
      <c r="D1989">
        <v>0.71252307692307693</v>
      </c>
      <c r="E1989">
        <f t="shared" si="94"/>
        <v>3.7124460671510229</v>
      </c>
      <c r="I1989" s="24">
        <f t="shared" si="95"/>
        <v>0.49904834433269823</v>
      </c>
      <c r="N1989" s="30">
        <v>35145.850746268661</v>
      </c>
    </row>
    <row r="1990" spans="1:14" x14ac:dyDescent="0.3">
      <c r="A1990">
        <v>30.284849999999768</v>
      </c>
      <c r="B1990">
        <v>40.615400000000001</v>
      </c>
      <c r="C1990">
        <f t="shared" si="93"/>
        <v>40.638479999999994</v>
      </c>
      <c r="D1990">
        <v>0.71255384615384609</v>
      </c>
      <c r="E1990">
        <f t="shared" si="94"/>
        <v>3.7047154009959669</v>
      </c>
      <c r="I1990" s="24">
        <f t="shared" si="95"/>
        <v>0.49394205088809495</v>
      </c>
      <c r="N1990" s="30">
        <v>35144.029850746272</v>
      </c>
    </row>
    <row r="1991" spans="1:14" x14ac:dyDescent="0.3">
      <c r="A1991">
        <v>30.300079999999767</v>
      </c>
      <c r="B1991">
        <v>40.230800000000002</v>
      </c>
      <c r="C1991">
        <f t="shared" si="93"/>
        <v>40.192320000000002</v>
      </c>
      <c r="D1991">
        <v>0.71258461538461537</v>
      </c>
      <c r="E1991">
        <f t="shared" si="94"/>
        <v>3.6936759325974782</v>
      </c>
      <c r="I1991" s="24">
        <f t="shared" si="95"/>
        <v>0.48674965525275371</v>
      </c>
      <c r="N1991" s="30">
        <v>35142.208955223883</v>
      </c>
    </row>
    <row r="1992" spans="1:14" x14ac:dyDescent="0.3">
      <c r="A1992">
        <v>30.315309999999766</v>
      </c>
      <c r="B1992">
        <v>40.230800000000002</v>
      </c>
      <c r="C1992">
        <f t="shared" si="93"/>
        <v>39.746180000000003</v>
      </c>
      <c r="D1992">
        <v>0.71261538461538465</v>
      </c>
      <c r="E1992">
        <f t="shared" si="94"/>
        <v>3.682513735853449</v>
      </c>
      <c r="I1992" s="24">
        <f t="shared" si="95"/>
        <v>0.47958400837084963</v>
      </c>
      <c r="N1992" s="30">
        <v>35140.388059701494</v>
      </c>
    </row>
    <row r="1993" spans="1:14" x14ac:dyDescent="0.3">
      <c r="A1993">
        <v>30.330539999999765</v>
      </c>
      <c r="B1993">
        <v>39.115400000000001</v>
      </c>
      <c r="C1993">
        <f t="shared" si="93"/>
        <v>39.184640000000002</v>
      </c>
      <c r="D1993">
        <v>0.71264615384615382</v>
      </c>
      <c r="E1993">
        <f t="shared" si="94"/>
        <v>3.66828483327365</v>
      </c>
      <c r="I1993" s="24">
        <f t="shared" si="95"/>
        <v>0.47060798874997617</v>
      </c>
      <c r="N1993" s="30">
        <v>35138.567164179105</v>
      </c>
    </row>
    <row r="1994" spans="1:14" x14ac:dyDescent="0.3">
      <c r="A1994">
        <v>30.345769999999764</v>
      </c>
      <c r="B1994">
        <v>38.538499999999999</v>
      </c>
      <c r="C1994">
        <f t="shared" si="93"/>
        <v>38.569240000000001</v>
      </c>
      <c r="D1994">
        <v>0.7126769230769231</v>
      </c>
      <c r="E1994">
        <f t="shared" si="94"/>
        <v>3.6524550675925038</v>
      </c>
      <c r="I1994" s="24">
        <f t="shared" si="95"/>
        <v>0.46082160915394854</v>
      </c>
      <c r="N1994" s="30">
        <v>35136.746268656716</v>
      </c>
    </row>
    <row r="1995" spans="1:14" x14ac:dyDescent="0.3">
      <c r="A1995">
        <v>30.360999999999763</v>
      </c>
      <c r="B1995">
        <v>37.807699999999997</v>
      </c>
      <c r="C1995">
        <f t="shared" si="93"/>
        <v>37.876919999999998</v>
      </c>
      <c r="D1995">
        <v>0.71270769230769226</v>
      </c>
      <c r="E1995">
        <f t="shared" si="94"/>
        <v>3.6343419556139898</v>
      </c>
      <c r="I1995" s="24">
        <f t="shared" si="95"/>
        <v>0.44987581551909472</v>
      </c>
      <c r="N1995" s="30">
        <v>35134.925373134327</v>
      </c>
    </row>
    <row r="1996" spans="1:14" x14ac:dyDescent="0.3">
      <c r="A1996">
        <v>30.376229999999762</v>
      </c>
      <c r="B1996">
        <v>37.153799999999997</v>
      </c>
      <c r="C1996">
        <f t="shared" si="93"/>
        <v>37.392299999999999</v>
      </c>
      <c r="D1996">
        <v>0.71273846153846154</v>
      </c>
      <c r="E1996">
        <f t="shared" si="94"/>
        <v>3.6214648008708639</v>
      </c>
      <c r="I1996" s="24">
        <f t="shared" si="95"/>
        <v>0.44224709007241902</v>
      </c>
      <c r="N1996" s="30">
        <v>35133.104477611938</v>
      </c>
    </row>
    <row r="1997" spans="1:14" x14ac:dyDescent="0.3">
      <c r="A1997">
        <v>30.391459999999761</v>
      </c>
      <c r="B1997">
        <v>36.769199999999998</v>
      </c>
      <c r="C1997">
        <f t="shared" si="93"/>
        <v>36.9923</v>
      </c>
      <c r="D1997">
        <v>0.71276923076923082</v>
      </c>
      <c r="E1997">
        <f t="shared" si="94"/>
        <v>3.6107097828786192</v>
      </c>
      <c r="I1997" s="24">
        <f t="shared" si="95"/>
        <v>0.43597170124975188</v>
      </c>
      <c r="N1997" s="30">
        <v>35131.283582089556</v>
      </c>
    </row>
    <row r="1998" spans="1:14" x14ac:dyDescent="0.3">
      <c r="A1998">
        <v>30.40668999999976</v>
      </c>
      <c r="B1998">
        <v>36.692300000000003</v>
      </c>
      <c r="C1998">
        <f t="shared" si="93"/>
        <v>36.676919999999996</v>
      </c>
      <c r="D1998">
        <v>0.71279999999999999</v>
      </c>
      <c r="E1998">
        <f t="shared" si="94"/>
        <v>3.6021476743969822</v>
      </c>
      <c r="I1998" s="24">
        <f t="shared" si="95"/>
        <v>0.43103577310114577</v>
      </c>
      <c r="N1998" s="30">
        <v>35129.462686567167</v>
      </c>
    </row>
    <row r="1999" spans="1:14" x14ac:dyDescent="0.3">
      <c r="A1999">
        <v>30.421919999999758</v>
      </c>
      <c r="B1999">
        <v>36.538499999999999</v>
      </c>
      <c r="C1999">
        <f t="shared" si="93"/>
        <v>36.369239999999998</v>
      </c>
      <c r="D1999">
        <v>0.71283076923076927</v>
      </c>
      <c r="E1999">
        <f t="shared" si="94"/>
        <v>3.5937233624374261</v>
      </c>
      <c r="I1999" s="24">
        <f t="shared" si="95"/>
        <v>0.42623353173770107</v>
      </c>
      <c r="N1999" s="30">
        <v>35127.641791044778</v>
      </c>
    </row>
    <row r="2000" spans="1:14" x14ac:dyDescent="0.3">
      <c r="A2000">
        <v>30.437149999999757</v>
      </c>
      <c r="B2000">
        <v>36.230800000000002</v>
      </c>
      <c r="C2000">
        <f t="shared" si="93"/>
        <v>36.07694</v>
      </c>
      <c r="D2000">
        <v>0.71286153846153844</v>
      </c>
      <c r="E2000">
        <f t="shared" si="94"/>
        <v>3.5856538800677882</v>
      </c>
      <c r="I2000" s="24">
        <f t="shared" si="95"/>
        <v>0.42168297113682801</v>
      </c>
      <c r="N2000" s="30">
        <v>35125.820895522389</v>
      </c>
    </row>
    <row r="2001" spans="1:18" x14ac:dyDescent="0.3">
      <c r="A2001">
        <v>30.452379999999756</v>
      </c>
      <c r="B2001">
        <v>35.615400000000001</v>
      </c>
      <c r="C2001">
        <f t="shared" si="93"/>
        <v>35.846180000000004</v>
      </c>
      <c r="D2001">
        <v>0.71289230769230771</v>
      </c>
      <c r="E2001">
        <f t="shared" si="94"/>
        <v>3.5792370062775771</v>
      </c>
      <c r="I2001" s="25">
        <f t="shared" si="95"/>
        <v>0.41809536064678293</v>
      </c>
      <c r="N2001" s="30">
        <v>35124</v>
      </c>
    </row>
    <row r="2002" spans="1:18" x14ac:dyDescent="0.3">
      <c r="A2002">
        <v>30.467609999999755</v>
      </c>
      <c r="B2002">
        <v>35.307699999999997</v>
      </c>
      <c r="C2002">
        <f t="shared" si="93"/>
        <v>35.861560000000004</v>
      </c>
      <c r="D2002">
        <v>0.71292307692307699</v>
      </c>
      <c r="E2002">
        <f t="shared" si="94"/>
        <v>3.5796659697405402</v>
      </c>
      <c r="I2002" s="24">
        <f t="shared" si="95"/>
        <v>0.41831497297470249</v>
      </c>
      <c r="N2002" s="30">
        <v>35111.157894736847</v>
      </c>
    </row>
    <row r="2003" spans="1:18" x14ac:dyDescent="0.3">
      <c r="A2003">
        <v>30.482839999999754</v>
      </c>
      <c r="B2003">
        <v>35.538499999999999</v>
      </c>
      <c r="C2003">
        <f t="shared" si="93"/>
        <v>36.092320000000001</v>
      </c>
      <c r="D2003">
        <v>0.71295384615384616</v>
      </c>
      <c r="E2003">
        <f t="shared" si="94"/>
        <v>3.5860801003236933</v>
      </c>
      <c r="I2003" s="24">
        <f t="shared" si="95"/>
        <v>0.42186651739173187</v>
      </c>
      <c r="N2003" s="30">
        <v>35098.315789473687</v>
      </c>
    </row>
    <row r="2004" spans="1:18" x14ac:dyDescent="0.3">
      <c r="A2004">
        <v>30.498069999999753</v>
      </c>
      <c r="B2004">
        <v>36.615400000000001</v>
      </c>
      <c r="C2004">
        <f t="shared" si="93"/>
        <v>36.646160000000002</v>
      </c>
      <c r="D2004">
        <v>0.71298461538461533</v>
      </c>
      <c r="E2004">
        <f t="shared" si="94"/>
        <v>3.6013086479457068</v>
      </c>
      <c r="I2004" s="24">
        <f t="shared" si="95"/>
        <v>0.43044543933033247</v>
      </c>
      <c r="N2004" s="30">
        <v>35085.473684210527</v>
      </c>
    </row>
    <row r="2005" spans="1:18" x14ac:dyDescent="0.3">
      <c r="A2005">
        <v>30.513299999999752</v>
      </c>
      <c r="B2005">
        <v>37.384599999999999</v>
      </c>
      <c r="C2005">
        <f t="shared" si="93"/>
        <v>37.561540000000001</v>
      </c>
      <c r="D2005">
        <v>0.71301538461538461</v>
      </c>
      <c r="E2005">
        <f t="shared" si="94"/>
        <v>3.6259806545645041</v>
      </c>
      <c r="I2005" s="24">
        <f t="shared" si="95"/>
        <v>0.44472801706159309</v>
      </c>
      <c r="N2005" s="30">
        <v>35072.631578947374</v>
      </c>
    </row>
    <row r="2006" spans="1:18" x14ac:dyDescent="0.3">
      <c r="A2006">
        <v>30.528529999999751</v>
      </c>
      <c r="B2006">
        <v>38.384599999999999</v>
      </c>
      <c r="C2006">
        <f t="shared" si="93"/>
        <v>38.815380000000005</v>
      </c>
      <c r="D2006">
        <v>0.71304615384615377</v>
      </c>
      <c r="E2006">
        <f t="shared" si="94"/>
        <v>3.6588165598393494</v>
      </c>
      <c r="I2006" s="24">
        <f t="shared" si="95"/>
        <v>0.46448104600414952</v>
      </c>
      <c r="N2006" s="30">
        <v>35059.789473684214</v>
      </c>
      <c r="O2006">
        <v>1995</v>
      </c>
      <c r="P2006" s="24">
        <f>AVERAGE(I2006:I2077)</f>
        <v>0.76493760761763485</v>
      </c>
      <c r="Q2006">
        <f>A2077-A2006</f>
        <v>1.0813299999999266</v>
      </c>
      <c r="R2006">
        <f>P2006*Q2006</f>
        <v>0.82714998324512101</v>
      </c>
    </row>
    <row r="2007" spans="1:18" x14ac:dyDescent="0.3">
      <c r="A2007">
        <v>30.54375999999975</v>
      </c>
      <c r="B2007">
        <v>39.884599999999999</v>
      </c>
      <c r="C2007">
        <f t="shared" si="93"/>
        <v>40.4</v>
      </c>
      <c r="D2007">
        <v>0.71307692307692305</v>
      </c>
      <c r="E2007">
        <f t="shared" si="94"/>
        <v>3.6988297849671046</v>
      </c>
      <c r="I2007" s="24">
        <f t="shared" si="95"/>
        <v>0.48974611395249451</v>
      </c>
      <c r="N2007" s="30">
        <v>35046.947368421053</v>
      </c>
    </row>
    <row r="2008" spans="1:18" x14ac:dyDescent="0.3">
      <c r="A2008">
        <v>30.558989999999749</v>
      </c>
      <c r="B2008">
        <v>41.807699999999997</v>
      </c>
      <c r="C2008">
        <f t="shared" si="93"/>
        <v>42.330779999999997</v>
      </c>
      <c r="D2008">
        <v>0.71310769230769222</v>
      </c>
      <c r="E2008">
        <f t="shared" si="94"/>
        <v>3.7455144810108312</v>
      </c>
      <c r="I2008" s="24">
        <f t="shared" si="95"/>
        <v>0.52096968732308957</v>
      </c>
      <c r="N2008" s="30">
        <v>35034.1052631579</v>
      </c>
    </row>
    <row r="2009" spans="1:18" x14ac:dyDescent="0.3">
      <c r="A2009">
        <v>30.574219999999748</v>
      </c>
      <c r="B2009">
        <v>44.538499999999999</v>
      </c>
      <c r="C2009">
        <f t="shared" si="93"/>
        <v>44.584619999999994</v>
      </c>
      <c r="D2009">
        <v>0.7131384615384615</v>
      </c>
      <c r="E2009">
        <f t="shared" si="94"/>
        <v>3.7973889565046539</v>
      </c>
      <c r="I2009" s="24">
        <f t="shared" si="95"/>
        <v>0.5580072841453716</v>
      </c>
      <c r="N2009" s="30">
        <v>35021.26315789474</v>
      </c>
    </row>
    <row r="2010" spans="1:18" x14ac:dyDescent="0.3">
      <c r="A2010">
        <v>30.589449999999747</v>
      </c>
      <c r="B2010">
        <v>47.038499999999999</v>
      </c>
      <c r="C2010">
        <f t="shared" si="93"/>
        <v>47.315399999999997</v>
      </c>
      <c r="D2010">
        <v>0.71316923076923078</v>
      </c>
      <c r="E2010">
        <f t="shared" si="94"/>
        <v>3.8568358239031149</v>
      </c>
      <c r="I2010" s="24">
        <f t="shared" si="95"/>
        <v>0.60370404187884241</v>
      </c>
      <c r="N2010" s="30">
        <v>35008.42105263158</v>
      </c>
    </row>
    <row r="2011" spans="1:18" x14ac:dyDescent="0.3">
      <c r="A2011">
        <v>30.604679999999746</v>
      </c>
      <c r="B2011">
        <v>49.653799999999997</v>
      </c>
      <c r="C2011">
        <f t="shared" si="93"/>
        <v>50.438479999999998</v>
      </c>
      <c r="D2011">
        <v>0.71319999999999995</v>
      </c>
      <c r="E2011">
        <f t="shared" si="94"/>
        <v>3.920754375829016</v>
      </c>
      <c r="I2011" s="24">
        <f t="shared" si="95"/>
        <v>0.65702379475958794</v>
      </c>
      <c r="N2011" s="30">
        <v>34995.57894736842</v>
      </c>
    </row>
    <row r="2012" spans="1:18" x14ac:dyDescent="0.3">
      <c r="A2012">
        <v>30.619909999999745</v>
      </c>
      <c r="B2012">
        <v>53.538499999999999</v>
      </c>
      <c r="C2012">
        <f t="shared" si="93"/>
        <v>53.538480000000007</v>
      </c>
      <c r="D2012">
        <v>0.71323076923076922</v>
      </c>
      <c r="E2012">
        <f t="shared" si="94"/>
        <v>3.9804006477004097</v>
      </c>
      <c r="I2012" s="24">
        <f t="shared" si="95"/>
        <v>0.71101709600272234</v>
      </c>
      <c r="N2012" s="30">
        <v>34982.736842105267</v>
      </c>
    </row>
    <row r="2013" spans="1:18" x14ac:dyDescent="0.3">
      <c r="A2013">
        <v>30.635139999999744</v>
      </c>
      <c r="B2013">
        <v>57.423099999999998</v>
      </c>
      <c r="C2013">
        <f t="shared" si="93"/>
        <v>56.523080000000007</v>
      </c>
      <c r="D2013">
        <v>0.71326153846153839</v>
      </c>
      <c r="E2013">
        <f t="shared" si="94"/>
        <v>4.0346490503160135</v>
      </c>
      <c r="I2013" s="24">
        <f t="shared" si="95"/>
        <v>0.76396472650318448</v>
      </c>
      <c r="N2013" s="30">
        <v>34969.894736842107</v>
      </c>
    </row>
    <row r="2014" spans="1:18" x14ac:dyDescent="0.3">
      <c r="A2014">
        <v>30.650369999999743</v>
      </c>
      <c r="B2014">
        <v>60.038499999999999</v>
      </c>
      <c r="C2014">
        <f t="shared" si="93"/>
        <v>59.269240000000003</v>
      </c>
      <c r="D2014">
        <v>0.71329230769230767</v>
      </c>
      <c r="E2014">
        <f t="shared" si="94"/>
        <v>4.082090453041646</v>
      </c>
      <c r="I2014" s="24">
        <f t="shared" si="95"/>
        <v>0.81348610914000641</v>
      </c>
      <c r="N2014" s="30">
        <v>34957.052631578947</v>
      </c>
    </row>
    <row r="2015" spans="1:18" x14ac:dyDescent="0.3">
      <c r="A2015">
        <v>30.665599999999742</v>
      </c>
      <c r="B2015">
        <v>61.961500000000001</v>
      </c>
      <c r="C2015">
        <f t="shared" si="93"/>
        <v>61.538460000000008</v>
      </c>
      <c r="D2015">
        <v>0.71332307692307695</v>
      </c>
      <c r="E2015">
        <f t="shared" si="94"/>
        <v>4.1196623452063905</v>
      </c>
      <c r="I2015" s="24">
        <f t="shared" si="95"/>
        <v>0.85496536371367915</v>
      </c>
      <c r="N2015" s="30">
        <v>34944.210526315794</v>
      </c>
    </row>
    <row r="2016" spans="1:18" x14ac:dyDescent="0.3">
      <c r="A2016">
        <v>30.680829999999741</v>
      </c>
      <c r="B2016">
        <v>63.384599999999999</v>
      </c>
      <c r="C2016">
        <f t="shared" si="93"/>
        <v>63.469219999999993</v>
      </c>
      <c r="D2016">
        <v>0.71335384615384612</v>
      </c>
      <c r="E2016">
        <f t="shared" si="94"/>
        <v>4.1505550639723436</v>
      </c>
      <c r="I2016" s="24">
        <f t="shared" si="95"/>
        <v>0.89064373367305028</v>
      </c>
      <c r="N2016" s="30">
        <v>34931.368421052633</v>
      </c>
    </row>
    <row r="2017" spans="1:14" x14ac:dyDescent="0.3">
      <c r="A2017">
        <v>30.69605999999974</v>
      </c>
      <c r="B2017">
        <v>64.884600000000006</v>
      </c>
      <c r="C2017">
        <f t="shared" si="93"/>
        <v>64.923059999999992</v>
      </c>
      <c r="D2017">
        <v>0.71338461538461539</v>
      </c>
      <c r="E2017">
        <f t="shared" si="94"/>
        <v>4.1732028764708788</v>
      </c>
      <c r="I2017" s="24">
        <f t="shared" si="95"/>
        <v>0.91773179650959891</v>
      </c>
      <c r="N2017" s="30">
        <v>34918.526315789473</v>
      </c>
    </row>
    <row r="2018" spans="1:14" x14ac:dyDescent="0.3">
      <c r="A2018">
        <v>30.711289999999739</v>
      </c>
      <c r="B2018">
        <v>67.076899999999995</v>
      </c>
      <c r="C2018">
        <f t="shared" si="93"/>
        <v>65.823059999999998</v>
      </c>
      <c r="D2018">
        <v>0.71341538461538456</v>
      </c>
      <c r="E2018">
        <f t="shared" si="94"/>
        <v>4.186970232862989</v>
      </c>
      <c r="I2018" s="24">
        <f t="shared" si="95"/>
        <v>0.93458357019930149</v>
      </c>
      <c r="N2018" s="30">
        <v>34905.68421052632</v>
      </c>
    </row>
    <row r="2019" spans="1:14" x14ac:dyDescent="0.3">
      <c r="A2019">
        <v>30.726519999999738</v>
      </c>
      <c r="B2019">
        <v>67.307699999999997</v>
      </c>
      <c r="C2019">
        <f t="shared" si="93"/>
        <v>66.284599999999998</v>
      </c>
      <c r="D2019">
        <v>0.71344615384615384</v>
      </c>
      <c r="E2019">
        <f t="shared" si="94"/>
        <v>4.1939575926848187</v>
      </c>
      <c r="I2019" s="24">
        <f t="shared" si="95"/>
        <v>0.94323435870043826</v>
      </c>
      <c r="N2019" s="30">
        <v>34892.84210526316</v>
      </c>
    </row>
    <row r="2020" spans="1:14" x14ac:dyDescent="0.3">
      <c r="A2020">
        <v>30.741749999999737</v>
      </c>
      <c r="B2020">
        <v>66.461500000000001</v>
      </c>
      <c r="C2020">
        <f t="shared" si="93"/>
        <v>66.338439999999991</v>
      </c>
      <c r="D2020">
        <v>0.71347692307692312</v>
      </c>
      <c r="E2020">
        <f t="shared" si="94"/>
        <v>4.1947695180178188</v>
      </c>
      <c r="I2020" s="24">
        <f t="shared" si="95"/>
        <v>0.94420876244653495</v>
      </c>
      <c r="J2020">
        <v>1995</v>
      </c>
      <c r="K2020">
        <f>AVERAGE(I2020:I2090)</f>
        <v>0.77974002807780207</v>
      </c>
      <c r="L2020">
        <f>A2090-A2020</f>
        <v>1.0660999999999277</v>
      </c>
      <c r="M2020">
        <f>K2020*L2020</f>
        <v>0.8312808439336884</v>
      </c>
      <c r="N2020" s="30">
        <v>34880</v>
      </c>
    </row>
    <row r="2021" spans="1:14" x14ac:dyDescent="0.3">
      <c r="A2021">
        <v>30.756979999999736</v>
      </c>
      <c r="B2021">
        <v>65.692300000000003</v>
      </c>
      <c r="C2021">
        <f t="shared" si="93"/>
        <v>65.784599999999998</v>
      </c>
      <c r="D2021">
        <v>0.71350769230769229</v>
      </c>
      <c r="E2021">
        <f t="shared" si="94"/>
        <v>4.1863857683858479</v>
      </c>
      <c r="I2021" s="24">
        <f t="shared" si="95"/>
        <v>0.93373938852506688</v>
      </c>
      <c r="N2021" s="30">
        <v>34877.740740740745</v>
      </c>
    </row>
    <row r="2022" spans="1:14" x14ac:dyDescent="0.3">
      <c r="A2022">
        <v>30.772209999999735</v>
      </c>
      <c r="B2022">
        <v>65.153800000000004</v>
      </c>
      <c r="C2022">
        <f t="shared" si="93"/>
        <v>65.115359999999995</v>
      </c>
      <c r="D2022">
        <v>0.71353846153846157</v>
      </c>
      <c r="E2022">
        <f t="shared" si="94"/>
        <v>4.1761604660844114</v>
      </c>
      <c r="I2022" s="24">
        <f t="shared" si="95"/>
        <v>0.92113607150742904</v>
      </c>
      <c r="N2022" s="30">
        <v>34875.481481481482</v>
      </c>
    </row>
    <row r="2023" spans="1:14" x14ac:dyDescent="0.3">
      <c r="A2023">
        <v>30.787439999999734</v>
      </c>
      <c r="B2023">
        <v>64.307699999999997</v>
      </c>
      <c r="C2023">
        <f t="shared" si="93"/>
        <v>64.561520000000002</v>
      </c>
      <c r="D2023">
        <v>0.71356923076923073</v>
      </c>
      <c r="E2023">
        <f t="shared" si="94"/>
        <v>4.1676185676746247</v>
      </c>
      <c r="I2023" s="24">
        <f t="shared" si="95"/>
        <v>0.9107316982589293</v>
      </c>
      <c r="N2023" s="30">
        <v>34873.222222222226</v>
      </c>
    </row>
    <row r="2024" spans="1:14" x14ac:dyDescent="0.3">
      <c r="A2024">
        <v>30.802669999999733</v>
      </c>
      <c r="B2024">
        <v>63.961500000000001</v>
      </c>
      <c r="C2024">
        <f t="shared" si="93"/>
        <v>63.9923</v>
      </c>
      <c r="D2024">
        <v>0.71360000000000001</v>
      </c>
      <c r="E2024">
        <f t="shared" si="94"/>
        <v>4.1587627636215423</v>
      </c>
      <c r="I2024" s="24">
        <f t="shared" si="95"/>
        <v>0.90007046255692813</v>
      </c>
      <c r="N2024" s="30">
        <v>34870.962962962964</v>
      </c>
    </row>
    <row r="2025" spans="1:14" x14ac:dyDescent="0.3">
      <c r="A2025">
        <v>30.817899999999732</v>
      </c>
      <c r="B2025">
        <v>63.692300000000003</v>
      </c>
      <c r="C2025">
        <f t="shared" si="93"/>
        <v>63.738459999999996</v>
      </c>
      <c r="D2025">
        <v>0.71363076923076929</v>
      </c>
      <c r="E2025">
        <f t="shared" si="94"/>
        <v>4.1547881480446653</v>
      </c>
      <c r="I2025" s="24">
        <f t="shared" si="95"/>
        <v>0.89530492975574361</v>
      </c>
      <c r="N2025" s="30">
        <v>34868.703703703708</v>
      </c>
    </row>
    <row r="2026" spans="1:14" x14ac:dyDescent="0.3">
      <c r="A2026">
        <v>30.833129999999731</v>
      </c>
      <c r="B2026">
        <v>62.846200000000003</v>
      </c>
      <c r="C2026">
        <f t="shared" si="93"/>
        <v>63.930759999999999</v>
      </c>
      <c r="D2026">
        <v>0.71366153846153835</v>
      </c>
      <c r="E2026">
        <f t="shared" si="94"/>
        <v>4.157800622710476</v>
      </c>
      <c r="I2026" s="24">
        <f t="shared" si="95"/>
        <v>0.898846410272647</v>
      </c>
      <c r="N2026" s="30">
        <v>34866.444444444445</v>
      </c>
    </row>
    <row r="2027" spans="1:14" x14ac:dyDescent="0.3">
      <c r="A2027">
        <v>30.84835999999973</v>
      </c>
      <c r="B2027">
        <v>63.884599999999999</v>
      </c>
      <c r="C2027">
        <f t="shared" si="93"/>
        <v>64.338459999999998</v>
      </c>
      <c r="D2027">
        <v>0.71369230769230763</v>
      </c>
      <c r="E2027">
        <f t="shared" si="94"/>
        <v>4.1641575861809379</v>
      </c>
      <c r="I2027" s="24">
        <f t="shared" si="95"/>
        <v>0.90640911536450863</v>
      </c>
      <c r="N2027" s="30">
        <v>34864.18518518519</v>
      </c>
    </row>
    <row r="2028" spans="1:14" x14ac:dyDescent="0.3">
      <c r="A2028">
        <v>30.863589999999729</v>
      </c>
      <c r="B2028">
        <v>65.269199999999998</v>
      </c>
      <c r="C2028">
        <f t="shared" si="93"/>
        <v>64.815380000000005</v>
      </c>
      <c r="D2028">
        <v>0.7137230769230769</v>
      </c>
      <c r="E2028">
        <f t="shared" si="94"/>
        <v>4.1715429208752122</v>
      </c>
      <c r="I2028" s="24">
        <f t="shared" si="95"/>
        <v>0.91528157110850694</v>
      </c>
      <c r="N2028" s="30">
        <v>34861.925925925927</v>
      </c>
    </row>
    <row r="2029" spans="1:14" x14ac:dyDescent="0.3">
      <c r="A2029">
        <v>30.878819999999727</v>
      </c>
      <c r="B2029">
        <v>66</v>
      </c>
      <c r="C2029">
        <f t="shared" si="93"/>
        <v>65.415379999999999</v>
      </c>
      <c r="D2029">
        <v>0.71375384615384607</v>
      </c>
      <c r="E2029">
        <f t="shared" si="94"/>
        <v>4.1807573990111662</v>
      </c>
      <c r="I2029" s="24">
        <f t="shared" si="95"/>
        <v>0.92648325911302465</v>
      </c>
      <c r="N2029" s="30">
        <v>34859.666666666672</v>
      </c>
    </row>
    <row r="2030" spans="1:14" x14ac:dyDescent="0.3">
      <c r="A2030">
        <v>30.894049999999726</v>
      </c>
      <c r="B2030">
        <v>66.076899999999995</v>
      </c>
      <c r="C2030">
        <f t="shared" si="93"/>
        <v>65.661539999999988</v>
      </c>
      <c r="D2030">
        <v>0.71378461538461535</v>
      </c>
      <c r="E2030">
        <f t="shared" si="94"/>
        <v>4.1845133659561844</v>
      </c>
      <c r="I2030" s="24">
        <f t="shared" si="95"/>
        <v>0.93106470325250612</v>
      </c>
      <c r="N2030" s="30">
        <v>34857.407407407409</v>
      </c>
    </row>
    <row r="2031" spans="1:14" x14ac:dyDescent="0.3">
      <c r="A2031">
        <v>30.909279999999725</v>
      </c>
      <c r="B2031">
        <v>65.846199999999996</v>
      </c>
      <c r="C2031">
        <f t="shared" si="93"/>
        <v>65.323080000000004</v>
      </c>
      <c r="D2031">
        <v>0.71381538461538452</v>
      </c>
      <c r="E2031">
        <f t="shared" si="94"/>
        <v>4.1793454194707191</v>
      </c>
      <c r="I2031" s="24">
        <f t="shared" si="95"/>
        <v>0.92467208483739083</v>
      </c>
      <c r="N2031" s="30">
        <v>34855.148148148153</v>
      </c>
    </row>
    <row r="2032" spans="1:14" x14ac:dyDescent="0.3">
      <c r="A2032">
        <v>30.924509999999724</v>
      </c>
      <c r="B2032">
        <v>65.115399999999994</v>
      </c>
      <c r="C2032">
        <f t="shared" si="93"/>
        <v>64.438459999999992</v>
      </c>
      <c r="D2032">
        <v>0.7138461538461538</v>
      </c>
      <c r="E2032">
        <f t="shared" si="94"/>
        <v>4.1657106598233309</v>
      </c>
      <c r="I2032" s="24">
        <f t="shared" si="95"/>
        <v>0.90808023371959801</v>
      </c>
      <c r="N2032" s="30">
        <v>34852.888888888891</v>
      </c>
    </row>
    <row r="2033" spans="1:14" x14ac:dyDescent="0.3">
      <c r="A2033">
        <v>30.939739999999723</v>
      </c>
      <c r="B2033">
        <v>63.576900000000002</v>
      </c>
      <c r="C2033">
        <f t="shared" si="93"/>
        <v>63.25383999999999</v>
      </c>
      <c r="D2033">
        <v>0.71387692307692308</v>
      </c>
      <c r="E2033">
        <f t="shared" si="94"/>
        <v>4.1471558372272135</v>
      </c>
      <c r="I2033" s="24">
        <f t="shared" si="95"/>
        <v>0.88599225260626358</v>
      </c>
      <c r="N2033" s="30">
        <v>34850.629629629635</v>
      </c>
    </row>
    <row r="2034" spans="1:14" x14ac:dyDescent="0.3">
      <c r="A2034">
        <v>30.954969999999722</v>
      </c>
      <c r="B2034">
        <v>61.576900000000002</v>
      </c>
      <c r="C2034">
        <f t="shared" si="93"/>
        <v>61.953839999999992</v>
      </c>
      <c r="D2034">
        <v>0.71390769230769224</v>
      </c>
      <c r="E2034">
        <f t="shared" si="94"/>
        <v>4.1263895916262863</v>
      </c>
      <c r="I2034" s="24">
        <f t="shared" si="95"/>
        <v>0.86191269488332667</v>
      </c>
      <c r="N2034" s="30">
        <v>34848.370370370372</v>
      </c>
    </row>
    <row r="2035" spans="1:14" x14ac:dyDescent="0.3">
      <c r="A2035">
        <v>30.970199999999721</v>
      </c>
      <c r="B2035">
        <v>60.153799999999997</v>
      </c>
      <c r="C2035">
        <f t="shared" si="93"/>
        <v>60.7</v>
      </c>
      <c r="D2035">
        <v>0.71393846153846152</v>
      </c>
      <c r="E2035">
        <f t="shared" si="94"/>
        <v>4.1059436980654525</v>
      </c>
      <c r="I2035" s="24">
        <f t="shared" si="95"/>
        <v>0.83884350622438997</v>
      </c>
      <c r="N2035" s="30">
        <v>34846.111111111117</v>
      </c>
    </row>
    <row r="2036" spans="1:14" x14ac:dyDescent="0.3">
      <c r="A2036">
        <v>30.98542999999972</v>
      </c>
      <c r="B2036">
        <v>59.346200000000003</v>
      </c>
      <c r="C2036">
        <f t="shared" si="93"/>
        <v>59.692319999999995</v>
      </c>
      <c r="D2036">
        <v>0.71396923076923069</v>
      </c>
      <c r="E2036">
        <f t="shared" si="94"/>
        <v>4.0892033689072278</v>
      </c>
      <c r="I2036" s="24">
        <f t="shared" si="95"/>
        <v>0.82040939666058088</v>
      </c>
      <c r="N2036" s="30">
        <v>34843.851851851854</v>
      </c>
    </row>
    <row r="2037" spans="1:14" x14ac:dyDescent="0.3">
      <c r="A2037">
        <v>31.000659999999719</v>
      </c>
      <c r="B2037">
        <v>58.846200000000003</v>
      </c>
      <c r="C2037">
        <f t="shared" si="93"/>
        <v>59.08464</v>
      </c>
      <c r="D2037" s="8">
        <v>0.71399999999999997</v>
      </c>
      <c r="E2037">
        <f t="shared" si="94"/>
        <v>4.0789709921554334</v>
      </c>
      <c r="I2037" s="24">
        <f t="shared" si="95"/>
        <v>0.80932820910915537</v>
      </c>
      <c r="N2037" s="30">
        <v>34841.592592592599</v>
      </c>
    </row>
    <row r="2038" spans="1:14" x14ac:dyDescent="0.3">
      <c r="A2038">
        <v>31.015889999999718</v>
      </c>
      <c r="B2038">
        <v>58.538499999999999</v>
      </c>
      <c r="C2038">
        <f t="shared" si="93"/>
        <v>58.77696000000001</v>
      </c>
      <c r="D2038">
        <v>0.7139545454545454</v>
      </c>
      <c r="E2038">
        <f t="shared" si="94"/>
        <v>4.0737499413818146</v>
      </c>
      <c r="I2038" s="24">
        <f t="shared" si="95"/>
        <v>0.80380069597244785</v>
      </c>
      <c r="N2038" s="30">
        <v>34839.333333333336</v>
      </c>
    </row>
    <row r="2039" spans="1:14" x14ac:dyDescent="0.3">
      <c r="A2039">
        <v>31.031119999999717</v>
      </c>
      <c r="B2039">
        <v>58.538499999999999</v>
      </c>
      <c r="C2039">
        <f t="shared" si="93"/>
        <v>58.746180000000003</v>
      </c>
      <c r="D2039">
        <v>0.71390909090909083</v>
      </c>
      <c r="E2039">
        <f t="shared" si="94"/>
        <v>4.0732261296336976</v>
      </c>
      <c r="I2039" s="24">
        <f t="shared" si="95"/>
        <v>0.80329423778270059</v>
      </c>
      <c r="N2039" s="30">
        <v>34837.07407407408</v>
      </c>
    </row>
    <row r="2040" spans="1:14" x14ac:dyDescent="0.3">
      <c r="A2040">
        <v>31.046349999999716</v>
      </c>
      <c r="B2040">
        <v>58.615400000000001</v>
      </c>
      <c r="C2040">
        <f t="shared" si="93"/>
        <v>58.853859999999997</v>
      </c>
      <c r="D2040">
        <v>0.71386363636363626</v>
      </c>
      <c r="E2040">
        <f t="shared" si="94"/>
        <v>4.0750574220396061</v>
      </c>
      <c r="I2040" s="24">
        <f t="shared" si="95"/>
        <v>0.80529674604029711</v>
      </c>
      <c r="N2040" s="30">
        <v>34834.814814814818</v>
      </c>
    </row>
    <row r="2041" spans="1:14" x14ac:dyDescent="0.3">
      <c r="A2041">
        <v>31.061579999999715</v>
      </c>
      <c r="B2041">
        <v>59.192300000000003</v>
      </c>
      <c r="C2041">
        <f t="shared" si="93"/>
        <v>58.984620000000007</v>
      </c>
      <c r="D2041">
        <v>0.7138181818181818</v>
      </c>
      <c r="E2041">
        <f t="shared" si="94"/>
        <v>4.0772767319572107</v>
      </c>
      <c r="I2041" s="24">
        <f t="shared" si="95"/>
        <v>0.80771934744156582</v>
      </c>
      <c r="N2041" s="30">
        <v>34832.555555555562</v>
      </c>
    </row>
    <row r="2042" spans="1:14" x14ac:dyDescent="0.3">
      <c r="A2042">
        <v>31.076809999999714</v>
      </c>
      <c r="B2042">
        <v>59.384599999999999</v>
      </c>
      <c r="C2042">
        <f t="shared" ref="C2042:C2105" si="96">AVERAGE(B2040:B2044)</f>
        <v>59.146160000000009</v>
      </c>
      <c r="D2042">
        <v>0.71377272727272723</v>
      </c>
      <c r="E2042">
        <f t="shared" ref="E2042:E2105" si="97">LN(C2042)</f>
        <v>4.0800116686213324</v>
      </c>
      <c r="I2042" s="24">
        <f t="shared" ref="I2042:I2105" si="98">(0.0026*(EXP(1.3248*E2042)))/D2042</f>
        <v>0.81070284400448389</v>
      </c>
      <c r="N2042" s="30">
        <v>34830.296296296299</v>
      </c>
    </row>
    <row r="2043" spans="1:14" x14ac:dyDescent="0.3">
      <c r="A2043">
        <v>31.092039999999713</v>
      </c>
      <c r="B2043">
        <v>59.192300000000003</v>
      </c>
      <c r="C2043">
        <f t="shared" si="96"/>
        <v>59.276920000000004</v>
      </c>
      <c r="D2043">
        <v>0.71372727272727265</v>
      </c>
      <c r="E2043">
        <f t="shared" si="97"/>
        <v>4.0822200228229146</v>
      </c>
      <c r="I2043" s="24">
        <f t="shared" si="98"/>
        <v>0.81312991338666318</v>
      </c>
      <c r="N2043" s="30">
        <v>34828.037037037044</v>
      </c>
    </row>
    <row r="2044" spans="1:14" x14ac:dyDescent="0.3">
      <c r="A2044">
        <v>31.107269999999712</v>
      </c>
      <c r="B2044">
        <v>59.346200000000003</v>
      </c>
      <c r="C2044">
        <f t="shared" si="96"/>
        <v>59.123079999999995</v>
      </c>
      <c r="D2044">
        <v>0.71368181818181808</v>
      </c>
      <c r="E2044">
        <f t="shared" si="97"/>
        <v>4.0796213727118804</v>
      </c>
      <c r="I2044" s="24">
        <f t="shared" si="98"/>
        <v>0.81038698137428045</v>
      </c>
      <c r="N2044" s="30">
        <v>34825.777777777781</v>
      </c>
    </row>
    <row r="2045" spans="1:14" x14ac:dyDescent="0.3">
      <c r="A2045">
        <v>31.122499999999711</v>
      </c>
      <c r="B2045">
        <v>59.269199999999998</v>
      </c>
      <c r="C2045">
        <f t="shared" si="96"/>
        <v>58.815399999999997</v>
      </c>
      <c r="D2045">
        <v>0.71363636363636362</v>
      </c>
      <c r="E2045">
        <f t="shared" si="97"/>
        <v>4.0744037253754213</v>
      </c>
      <c r="I2045" s="24">
        <f t="shared" si="98"/>
        <v>0.80485588891310111</v>
      </c>
      <c r="N2045" s="30">
        <v>34823.518518518526</v>
      </c>
    </row>
    <row r="2046" spans="1:14" x14ac:dyDescent="0.3">
      <c r="A2046">
        <v>31.13772999999971</v>
      </c>
      <c r="B2046">
        <v>58.423099999999998</v>
      </c>
      <c r="C2046">
        <f t="shared" si="96"/>
        <v>58.269240000000003</v>
      </c>
      <c r="D2046">
        <v>0.71359090909090894</v>
      </c>
      <c r="E2046">
        <f t="shared" si="97"/>
        <v>4.0650743383378165</v>
      </c>
      <c r="I2046" s="24">
        <f t="shared" si="98"/>
        <v>0.79502007488048265</v>
      </c>
      <c r="N2046" s="30">
        <v>34821.259259259263</v>
      </c>
    </row>
    <row r="2047" spans="1:14" x14ac:dyDescent="0.3">
      <c r="A2047">
        <v>31.152959999999709</v>
      </c>
      <c r="B2047">
        <v>57.846200000000003</v>
      </c>
      <c r="C2047">
        <f t="shared" si="96"/>
        <v>57.423080000000006</v>
      </c>
      <c r="D2047">
        <v>0.71354545454545448</v>
      </c>
      <c r="E2047">
        <f t="shared" si="97"/>
        <v>4.0504463131010962</v>
      </c>
      <c r="I2047" s="24">
        <f t="shared" si="98"/>
        <v>0.77981121495289218</v>
      </c>
      <c r="N2047" s="30">
        <v>34819</v>
      </c>
    </row>
    <row r="2048" spans="1:14" x14ac:dyDescent="0.3">
      <c r="A2048">
        <v>31.168189999999708</v>
      </c>
      <c r="B2048">
        <v>56.461500000000001</v>
      </c>
      <c r="C2048">
        <f t="shared" si="96"/>
        <v>56.346159999999998</v>
      </c>
      <c r="D2048">
        <v>0.71350000000000002</v>
      </c>
      <c r="E2048">
        <f t="shared" si="97"/>
        <v>4.0315140926446968</v>
      </c>
      <c r="I2048" s="24">
        <f t="shared" si="98"/>
        <v>0.76054414475391252</v>
      </c>
      <c r="N2048" s="30">
        <v>34816.740740740745</v>
      </c>
    </row>
    <row r="2049" spans="1:14" x14ac:dyDescent="0.3">
      <c r="A2049">
        <v>31.183419999999707</v>
      </c>
      <c r="B2049">
        <v>55.115400000000001</v>
      </c>
      <c r="C2049">
        <f t="shared" si="96"/>
        <v>55.169240000000002</v>
      </c>
      <c r="D2049">
        <v>0.71345454545454534</v>
      </c>
      <c r="E2049">
        <f t="shared" si="97"/>
        <v>4.0104055515867723</v>
      </c>
      <c r="I2049" s="24">
        <f t="shared" si="98"/>
        <v>0.73961758108666931</v>
      </c>
      <c r="N2049" s="30">
        <v>34814.481481481482</v>
      </c>
    </row>
    <row r="2050" spans="1:14" x14ac:dyDescent="0.3">
      <c r="A2050">
        <v>31.198649999999706</v>
      </c>
      <c r="B2050">
        <v>53.884599999999999</v>
      </c>
      <c r="C2050">
        <f t="shared" si="96"/>
        <v>54.069240000000001</v>
      </c>
      <c r="D2050">
        <v>0.71340909090909088</v>
      </c>
      <c r="E2050">
        <f t="shared" si="97"/>
        <v>3.9902654474416059</v>
      </c>
      <c r="I2050" s="24">
        <f t="shared" si="98"/>
        <v>0.72019022093706553</v>
      </c>
      <c r="N2050" s="30">
        <v>34812.222222222226</v>
      </c>
    </row>
    <row r="2051" spans="1:14" x14ac:dyDescent="0.3">
      <c r="A2051">
        <v>31.213879999999705</v>
      </c>
      <c r="B2051">
        <v>52.538499999999999</v>
      </c>
      <c r="C2051">
        <f t="shared" si="96"/>
        <v>53.323099999999997</v>
      </c>
      <c r="D2051">
        <v>0.71336363636363631</v>
      </c>
      <c r="E2051">
        <f t="shared" si="97"/>
        <v>3.9763696331553544</v>
      </c>
      <c r="I2051" s="24">
        <f t="shared" si="98"/>
        <v>0.70709845574795738</v>
      </c>
      <c r="N2051" s="30">
        <v>34809.962962962964</v>
      </c>
    </row>
    <row r="2052" spans="1:14" x14ac:dyDescent="0.3">
      <c r="A2052">
        <v>31.229109999999704</v>
      </c>
      <c r="B2052">
        <v>52.346200000000003</v>
      </c>
      <c r="C2052">
        <f t="shared" si="96"/>
        <v>52.784640000000003</v>
      </c>
      <c r="D2052">
        <v>0.71331818181818174</v>
      </c>
      <c r="E2052">
        <f t="shared" si="97"/>
        <v>3.9662202392990489</v>
      </c>
      <c r="I2052" s="24">
        <f t="shared" si="98"/>
        <v>0.69769895861889064</v>
      </c>
      <c r="N2052" s="30">
        <v>34807.703703703708</v>
      </c>
    </row>
    <row r="2053" spans="1:14" x14ac:dyDescent="0.3">
      <c r="A2053">
        <v>31.244339999999703</v>
      </c>
      <c r="B2053">
        <v>52.730800000000002</v>
      </c>
      <c r="C2053">
        <f t="shared" si="96"/>
        <v>52.430799999999998</v>
      </c>
      <c r="D2053">
        <v>0.71327272727272717</v>
      </c>
      <c r="E2053">
        <f t="shared" si="97"/>
        <v>3.9594942049078572</v>
      </c>
      <c r="I2053" s="24">
        <f t="shared" si="98"/>
        <v>0.69155369124764132</v>
      </c>
      <c r="N2053" s="30">
        <v>34805.444444444445</v>
      </c>
    </row>
    <row r="2054" spans="1:14" x14ac:dyDescent="0.3">
      <c r="A2054">
        <v>31.259569999999702</v>
      </c>
      <c r="B2054">
        <v>52.423099999999998</v>
      </c>
      <c r="C2054">
        <f t="shared" si="96"/>
        <v>52.323099999999997</v>
      </c>
      <c r="D2054">
        <v>0.71322727272727271</v>
      </c>
      <c r="E2054">
        <f t="shared" si="97"/>
        <v>3.9574379561582118</v>
      </c>
      <c r="I2054" s="24">
        <f t="shared" si="98"/>
        <v>0.68971633414469247</v>
      </c>
      <c r="N2054" s="30">
        <v>34803.18518518519</v>
      </c>
    </row>
    <row r="2055" spans="1:14" x14ac:dyDescent="0.3">
      <c r="A2055">
        <v>31.274799999999701</v>
      </c>
      <c r="B2055">
        <v>52.115400000000001</v>
      </c>
      <c r="C2055">
        <f t="shared" si="96"/>
        <v>52.246159999999996</v>
      </c>
      <c r="D2055">
        <v>0.71318181818181814</v>
      </c>
      <c r="E2055">
        <f t="shared" si="97"/>
        <v>3.9559663953212238</v>
      </c>
      <c r="I2055" s="24">
        <f t="shared" si="98"/>
        <v>0.68841689893013402</v>
      </c>
      <c r="N2055" s="30">
        <v>34800.925925925927</v>
      </c>
    </row>
    <row r="2056" spans="1:14" x14ac:dyDescent="0.3">
      <c r="A2056">
        <v>31.2900299999997</v>
      </c>
      <c r="B2056">
        <v>52</v>
      </c>
      <c r="C2056">
        <f t="shared" si="96"/>
        <v>52.04616</v>
      </c>
      <c r="D2056">
        <v>0.71313636363636357</v>
      </c>
      <c r="E2056">
        <f t="shared" si="97"/>
        <v>3.9521310171233144</v>
      </c>
      <c r="I2056" s="24">
        <f t="shared" si="98"/>
        <v>0.68497150579666632</v>
      </c>
      <c r="N2056" s="30">
        <v>34798.666666666672</v>
      </c>
    </row>
    <row r="2057" spans="1:14" x14ac:dyDescent="0.3">
      <c r="A2057">
        <v>31.305259999999699</v>
      </c>
      <c r="B2057">
        <v>51.961500000000001</v>
      </c>
      <c r="C2057">
        <f t="shared" si="96"/>
        <v>51.853840000000005</v>
      </c>
      <c r="D2057">
        <v>0.713090909090909</v>
      </c>
      <c r="E2057">
        <f t="shared" si="97"/>
        <v>3.9484289917210953</v>
      </c>
      <c r="I2057" s="24">
        <f t="shared" si="98"/>
        <v>0.68166377498487329</v>
      </c>
      <c r="N2057" s="30">
        <v>34796.407407407409</v>
      </c>
    </row>
    <row r="2058" spans="1:14" x14ac:dyDescent="0.3">
      <c r="A2058">
        <v>31.320489999999698</v>
      </c>
      <c r="B2058">
        <v>51.730800000000002</v>
      </c>
      <c r="C2058">
        <f t="shared" si="96"/>
        <v>51.707679999999996</v>
      </c>
      <c r="D2058">
        <v>0.71304545454545454</v>
      </c>
      <c r="E2058">
        <f t="shared" si="97"/>
        <v>3.9456063198050426</v>
      </c>
      <c r="I2058" s="24">
        <f t="shared" si="98"/>
        <v>0.67916276183798052</v>
      </c>
      <c r="N2058" s="30">
        <v>34794.148148148153</v>
      </c>
    </row>
    <row r="2059" spans="1:14" x14ac:dyDescent="0.3">
      <c r="A2059">
        <v>31.335719999999696</v>
      </c>
      <c r="B2059">
        <v>51.461500000000001</v>
      </c>
      <c r="C2059">
        <f t="shared" si="96"/>
        <v>51.707680000000003</v>
      </c>
      <c r="D2059">
        <v>0.71299999999999997</v>
      </c>
      <c r="E2059">
        <f t="shared" si="97"/>
        <v>3.9456063198050426</v>
      </c>
      <c r="I2059" s="24">
        <f t="shared" si="98"/>
        <v>0.67920605922175192</v>
      </c>
      <c r="N2059" s="30">
        <v>34791.888888888891</v>
      </c>
    </row>
    <row r="2060" spans="1:14" x14ac:dyDescent="0.3">
      <c r="A2060">
        <v>31.350949999999695</v>
      </c>
      <c r="B2060">
        <v>51.384599999999999</v>
      </c>
      <c r="C2060">
        <f t="shared" si="96"/>
        <v>51.892299999999999</v>
      </c>
      <c r="D2060">
        <v>0.7129545454545454</v>
      </c>
      <c r="E2060">
        <f t="shared" si="97"/>
        <v>3.9491704169300106</v>
      </c>
      <c r="I2060" s="24">
        <f t="shared" si="98"/>
        <v>0.68246416834806056</v>
      </c>
      <c r="N2060" s="30">
        <v>34789.629629629635</v>
      </c>
    </row>
    <row r="2061" spans="1:14" x14ac:dyDescent="0.3">
      <c r="A2061">
        <v>31.366179999999694</v>
      </c>
      <c r="B2061">
        <v>52</v>
      </c>
      <c r="C2061">
        <f t="shared" si="96"/>
        <v>52.184600000000003</v>
      </c>
      <c r="D2061">
        <v>0.71290909090909094</v>
      </c>
      <c r="E2061">
        <f t="shared" si="97"/>
        <v>3.9547874322047925</v>
      </c>
      <c r="I2061" s="24">
        <f t="shared" si="98"/>
        <v>0.68760545312410504</v>
      </c>
      <c r="N2061" s="30">
        <v>34787.370370370372</v>
      </c>
    </row>
    <row r="2062" spans="1:14" x14ac:dyDescent="0.3">
      <c r="A2062">
        <v>31.381409999999693</v>
      </c>
      <c r="B2062">
        <v>52.884599999999999</v>
      </c>
      <c r="C2062">
        <f t="shared" si="96"/>
        <v>52.553840000000001</v>
      </c>
      <c r="D2062">
        <v>0.71286363636363625</v>
      </c>
      <c r="E2062">
        <f t="shared" si="97"/>
        <v>3.961838167916798</v>
      </c>
      <c r="I2062" s="24">
        <f t="shared" si="98"/>
        <v>0.6941025943730289</v>
      </c>
      <c r="N2062" s="30">
        <v>34785.111111111117</v>
      </c>
    </row>
    <row r="2063" spans="1:14" x14ac:dyDescent="0.3">
      <c r="A2063">
        <v>31.396639999999692</v>
      </c>
      <c r="B2063">
        <v>53.192300000000003</v>
      </c>
      <c r="C2063">
        <f t="shared" si="96"/>
        <v>52.907680000000006</v>
      </c>
      <c r="D2063">
        <v>0.7128181818181818</v>
      </c>
      <c r="E2063">
        <f t="shared" si="97"/>
        <v>3.9685485079108389</v>
      </c>
      <c r="I2063" s="24">
        <f t="shared" si="98"/>
        <v>0.70034523327461384</v>
      </c>
      <c r="N2063" s="30">
        <v>34782.851851851854</v>
      </c>
    </row>
    <row r="2064" spans="1:14" x14ac:dyDescent="0.3">
      <c r="A2064">
        <v>31.411869999999691</v>
      </c>
      <c r="B2064">
        <v>53.307699999999997</v>
      </c>
      <c r="C2064">
        <f t="shared" si="96"/>
        <v>53.115379999999995</v>
      </c>
      <c r="D2064">
        <v>0.71277272727272722</v>
      </c>
      <c r="E2064">
        <f t="shared" si="97"/>
        <v>3.9724665284942509</v>
      </c>
      <c r="I2064" s="24">
        <f t="shared" si="98"/>
        <v>0.70403478604710679</v>
      </c>
      <c r="N2064" s="30">
        <v>34780.592592592599</v>
      </c>
    </row>
    <row r="2065" spans="1:18" x14ac:dyDescent="0.3">
      <c r="A2065">
        <v>31.42709999999969</v>
      </c>
      <c r="B2065">
        <v>53.153799999999997</v>
      </c>
      <c r="C2065">
        <f t="shared" si="96"/>
        <v>53.246159999999996</v>
      </c>
      <c r="D2065">
        <v>0.71272727272727265</v>
      </c>
      <c r="E2065">
        <f t="shared" si="97"/>
        <v>3.9749256893132339</v>
      </c>
      <c r="I2065" s="24">
        <f t="shared" si="98"/>
        <v>0.70637724536883961</v>
      </c>
      <c r="N2065" s="30">
        <v>34778.333333333336</v>
      </c>
    </row>
    <row r="2066" spans="1:18" x14ac:dyDescent="0.3">
      <c r="A2066">
        <v>31.442329999999689</v>
      </c>
      <c r="B2066">
        <v>53.038499999999999</v>
      </c>
      <c r="C2066">
        <f t="shared" si="96"/>
        <v>53.261540000000004</v>
      </c>
      <c r="D2066">
        <v>0.71268181818181808</v>
      </c>
      <c r="E2066">
        <f t="shared" si="97"/>
        <v>3.9752144947255545</v>
      </c>
      <c r="I2066" s="24">
        <f t="shared" si="98"/>
        <v>0.70669263334321109</v>
      </c>
      <c r="N2066" s="30">
        <v>34776.07407407408</v>
      </c>
    </row>
    <row r="2067" spans="1:18" x14ac:dyDescent="0.3">
      <c r="A2067">
        <v>31.457559999999688</v>
      </c>
      <c r="B2067">
        <v>53.538499999999999</v>
      </c>
      <c r="C2067">
        <f t="shared" si="96"/>
        <v>53.1</v>
      </c>
      <c r="D2067">
        <v>0.71263636363636362</v>
      </c>
      <c r="E2067">
        <f t="shared" si="97"/>
        <v>3.9721769282478934</v>
      </c>
      <c r="I2067" s="24">
        <f t="shared" si="98"/>
        <v>0.70389939221636078</v>
      </c>
      <c r="N2067" s="30">
        <v>34773.814814814818</v>
      </c>
    </row>
    <row r="2068" spans="1:18" x14ac:dyDescent="0.3">
      <c r="A2068">
        <v>31.472789999999687</v>
      </c>
      <c r="B2068">
        <v>53.269199999999998</v>
      </c>
      <c r="C2068">
        <f t="shared" si="96"/>
        <v>52.923080000000006</v>
      </c>
      <c r="D2068">
        <v>0.71259090909090905</v>
      </c>
      <c r="E2068">
        <f t="shared" si="97"/>
        <v>3.9688395386113404</v>
      </c>
      <c r="I2068" s="24">
        <f t="shared" si="98"/>
        <v>0.70083876192011985</v>
      </c>
      <c r="N2068" s="30">
        <v>34771.555555555562</v>
      </c>
    </row>
    <row r="2069" spans="1:18" x14ac:dyDescent="0.3">
      <c r="A2069">
        <v>31.488019999999686</v>
      </c>
      <c r="B2069">
        <v>52.5</v>
      </c>
      <c r="C2069">
        <f t="shared" si="96"/>
        <v>52.661540000000002</v>
      </c>
      <c r="D2069">
        <v>0.71254545454545448</v>
      </c>
      <c r="E2069">
        <f t="shared" si="97"/>
        <v>3.9638853978486877</v>
      </c>
      <c r="I2069" s="24">
        <f t="shared" si="98"/>
        <v>0.69629846199323575</v>
      </c>
      <c r="N2069" s="30">
        <v>34769.296296296299</v>
      </c>
    </row>
    <row r="2070" spans="1:18" x14ac:dyDescent="0.3">
      <c r="A2070">
        <v>31.503249999999685</v>
      </c>
      <c r="B2070">
        <v>52.269199999999998</v>
      </c>
      <c r="C2070">
        <f t="shared" si="96"/>
        <v>52.16922000000001</v>
      </c>
      <c r="D2070">
        <v>0.71250000000000002</v>
      </c>
      <c r="E2070">
        <f t="shared" si="97"/>
        <v>3.9544926658011983</v>
      </c>
      <c r="I2070" s="24">
        <f t="shared" si="98"/>
        <v>0.68773163437356455</v>
      </c>
      <c r="N2070" s="30">
        <v>34767.037037037044</v>
      </c>
    </row>
    <row r="2071" spans="1:18" x14ac:dyDescent="0.3">
      <c r="A2071">
        <v>31.518479999999684</v>
      </c>
      <c r="B2071">
        <v>51.730800000000002</v>
      </c>
      <c r="C2071">
        <f t="shared" si="96"/>
        <v>51.576919999999994</v>
      </c>
      <c r="D2071">
        <v>0.71245454545454545</v>
      </c>
      <c r="E2071">
        <f t="shared" si="97"/>
        <v>3.9430742856032222</v>
      </c>
      <c r="I2071" s="24">
        <f t="shared" si="98"/>
        <v>0.67744977917151605</v>
      </c>
      <c r="N2071" s="30">
        <v>34764.777777777781</v>
      </c>
    </row>
    <row r="2072" spans="1:18" x14ac:dyDescent="0.3">
      <c r="A2072">
        <v>31.533709999999683</v>
      </c>
      <c r="B2072">
        <v>51.076900000000002</v>
      </c>
      <c r="C2072">
        <f t="shared" si="96"/>
        <v>51.053839999999994</v>
      </c>
      <c r="D2072">
        <v>0.71240909090909088</v>
      </c>
      <c r="E2072">
        <f t="shared" si="97"/>
        <v>3.9328807621539483</v>
      </c>
      <c r="I2072" s="24">
        <f t="shared" si="98"/>
        <v>0.66840537976880832</v>
      </c>
      <c r="N2072" s="30">
        <v>34762.518518518526</v>
      </c>
    </row>
    <row r="2073" spans="1:18" x14ac:dyDescent="0.3">
      <c r="A2073">
        <v>31.548939999999682</v>
      </c>
      <c r="B2073">
        <v>50.307699999999997</v>
      </c>
      <c r="C2073">
        <f t="shared" si="96"/>
        <v>50.623080000000002</v>
      </c>
      <c r="D2073">
        <v>0.71236363636363631</v>
      </c>
      <c r="E2073">
        <f t="shared" si="97"/>
        <v>3.9244075987815714</v>
      </c>
      <c r="I2073" s="24">
        <f t="shared" si="98"/>
        <v>0.66098649244282337</v>
      </c>
      <c r="N2073" s="30">
        <v>34760.259259259263</v>
      </c>
    </row>
    <row r="2074" spans="1:18" x14ac:dyDescent="0.3">
      <c r="A2074">
        <v>31.564169999999681</v>
      </c>
      <c r="B2074">
        <v>49.884599999999999</v>
      </c>
      <c r="C2074">
        <f t="shared" si="96"/>
        <v>50.530760000000001</v>
      </c>
      <c r="D2074">
        <v>0.71231818181818185</v>
      </c>
      <c r="E2074">
        <f t="shared" si="97"/>
        <v>3.9225822597606674</v>
      </c>
      <c r="I2074" s="25">
        <f t="shared" si="98"/>
        <v>0.65943209703525485</v>
      </c>
      <c r="N2074" s="30">
        <v>34758</v>
      </c>
    </row>
    <row r="2075" spans="1:18" x14ac:dyDescent="0.3">
      <c r="A2075">
        <v>31.57939999999968</v>
      </c>
      <c r="B2075">
        <v>50.115400000000001</v>
      </c>
      <c r="C2075">
        <f t="shared" si="96"/>
        <v>50.792299999999997</v>
      </c>
      <c r="D2075">
        <v>0.71227272727272717</v>
      </c>
      <c r="E2075">
        <f t="shared" si="97"/>
        <v>3.9277447682926652</v>
      </c>
      <c r="I2075" s="24">
        <f t="shared" si="98"/>
        <v>0.6639999744861399</v>
      </c>
      <c r="N2075" s="30">
        <v>34742.8125</v>
      </c>
    </row>
    <row r="2076" spans="1:18" x14ac:dyDescent="0.3">
      <c r="A2076">
        <v>31.594629999999679</v>
      </c>
      <c r="B2076">
        <v>51.269199999999998</v>
      </c>
      <c r="C2076">
        <f t="shared" si="96"/>
        <v>51.407680000000006</v>
      </c>
      <c r="D2076">
        <v>0.71222727272727271</v>
      </c>
      <c r="E2076">
        <f t="shared" si="97"/>
        <v>3.9397875776420221</v>
      </c>
      <c r="I2076" s="24">
        <f t="shared" si="98"/>
        <v>0.6747216551747881</v>
      </c>
      <c r="N2076" s="30">
        <v>34727.625</v>
      </c>
    </row>
    <row r="2077" spans="1:18" x14ac:dyDescent="0.3">
      <c r="A2077">
        <v>31.609859999999678</v>
      </c>
      <c r="B2077">
        <v>52.384599999999999</v>
      </c>
      <c r="C2077">
        <f t="shared" si="96"/>
        <v>52.292299999999997</v>
      </c>
      <c r="D2077">
        <v>0.71218181818181814</v>
      </c>
      <c r="E2077">
        <f t="shared" si="97"/>
        <v>3.956849132698379</v>
      </c>
      <c r="I2077" s="24">
        <f t="shared" si="98"/>
        <v>0.69019020124292363</v>
      </c>
      <c r="N2077" s="30">
        <v>34712.4375</v>
      </c>
    </row>
    <row r="2078" spans="1:18" x14ac:dyDescent="0.3">
      <c r="A2078">
        <v>31.625089999999677</v>
      </c>
      <c r="B2078">
        <v>53.384599999999999</v>
      </c>
      <c r="C2078">
        <f t="shared" si="96"/>
        <v>53.338459999999998</v>
      </c>
      <c r="D2078">
        <v>0.71213636363636357</v>
      </c>
      <c r="E2078">
        <f t="shared" si="97"/>
        <v>3.9766576469460055</v>
      </c>
      <c r="I2078" s="24">
        <f t="shared" si="98"/>
        <v>0.70858736380270559</v>
      </c>
      <c r="N2078" s="30">
        <v>34697.25</v>
      </c>
      <c r="O2078">
        <v>1994</v>
      </c>
      <c r="P2078" s="24">
        <f>AVERAGE(I2078:I2162)</f>
        <v>0.76138875784810711</v>
      </c>
      <c r="Q2078">
        <f>A2162-A2078</f>
        <v>1.2793200000001228</v>
      </c>
      <c r="R2078">
        <f>P2078*Q2078</f>
        <v>0.97405986569033387</v>
      </c>
    </row>
    <row r="2079" spans="1:18" x14ac:dyDescent="0.3">
      <c r="A2079">
        <v>31.640319999999676</v>
      </c>
      <c r="B2079">
        <v>54.307699999999997</v>
      </c>
      <c r="C2079">
        <f t="shared" si="96"/>
        <v>54.223080000000003</v>
      </c>
      <c r="D2079">
        <v>0.712090909090909</v>
      </c>
      <c r="E2079">
        <f t="shared" si="97"/>
        <v>3.9931066480639292</v>
      </c>
      <c r="I2079" s="24">
        <f t="shared" si="98"/>
        <v>0.72424434373557345</v>
      </c>
      <c r="N2079" s="30">
        <v>34682.0625</v>
      </c>
    </row>
    <row r="2080" spans="1:18" x14ac:dyDescent="0.3">
      <c r="A2080">
        <v>31.655549999999675</v>
      </c>
      <c r="B2080">
        <v>55.346200000000003</v>
      </c>
      <c r="C2080">
        <f t="shared" si="96"/>
        <v>54.992319999999992</v>
      </c>
      <c r="D2080">
        <v>0.71204545454545454</v>
      </c>
      <c r="E2080">
        <f t="shared" si="97"/>
        <v>4.0071935391187701</v>
      </c>
      <c r="I2080" s="24">
        <f t="shared" si="98"/>
        <v>0.73793443161710348</v>
      </c>
      <c r="N2080" s="30">
        <v>34666.875</v>
      </c>
    </row>
    <row r="2081" spans="1:14" x14ac:dyDescent="0.3">
      <c r="A2081">
        <v>31.670779999999674</v>
      </c>
      <c r="B2081">
        <v>55.692300000000003</v>
      </c>
      <c r="C2081">
        <f t="shared" si="96"/>
        <v>55.630780000000001</v>
      </c>
      <c r="D2081">
        <v>0.71199999999999997</v>
      </c>
      <c r="E2081">
        <f t="shared" si="97"/>
        <v>4.018736645200482</v>
      </c>
      <c r="I2081" s="24">
        <f t="shared" si="98"/>
        <v>0.74935371383890204</v>
      </c>
      <c r="N2081" s="30">
        <v>34651.6875</v>
      </c>
    </row>
    <row r="2082" spans="1:14" x14ac:dyDescent="0.3">
      <c r="A2082">
        <v>31.686009999999673</v>
      </c>
      <c r="B2082">
        <v>56.230800000000002</v>
      </c>
      <c r="C2082">
        <f t="shared" si="96"/>
        <v>56.423079999999992</v>
      </c>
      <c r="D2082">
        <v>0.7119545454545454</v>
      </c>
      <c r="E2082">
        <f t="shared" si="97"/>
        <v>4.0328782946545587</v>
      </c>
      <c r="I2082" s="24">
        <f t="shared" si="98"/>
        <v>0.76357383049890171</v>
      </c>
      <c r="N2082" s="30">
        <v>34636.5</v>
      </c>
    </row>
    <row r="2083" spans="1:14" x14ac:dyDescent="0.3">
      <c r="A2083">
        <v>31.701239999999672</v>
      </c>
      <c r="B2083">
        <v>56.576900000000002</v>
      </c>
      <c r="C2083">
        <f t="shared" si="96"/>
        <v>57.307680000000005</v>
      </c>
      <c r="D2083">
        <v>0.71190909090909094</v>
      </c>
      <c r="E2083">
        <f t="shared" si="97"/>
        <v>4.0484346461528995</v>
      </c>
      <c r="I2083" s="24">
        <f t="shared" si="98"/>
        <v>0.77952341090553268</v>
      </c>
      <c r="N2083" s="30">
        <v>34621.3125</v>
      </c>
    </row>
    <row r="2084" spans="1:14" x14ac:dyDescent="0.3">
      <c r="A2084">
        <v>31.716469999999671</v>
      </c>
      <c r="B2084">
        <v>58.269199999999998</v>
      </c>
      <c r="C2084">
        <f t="shared" si="96"/>
        <v>58.330760000000012</v>
      </c>
      <c r="D2084">
        <v>0.71186363636363637</v>
      </c>
      <c r="E2084">
        <f t="shared" si="97"/>
        <v>4.0661295699966269</v>
      </c>
      <c r="I2084" s="24">
        <f t="shared" si="98"/>
        <v>0.79806400997405436</v>
      </c>
      <c r="N2084" s="30">
        <v>34606.125</v>
      </c>
    </row>
    <row r="2085" spans="1:14" x14ac:dyDescent="0.3">
      <c r="A2085">
        <v>31.73169999999967</v>
      </c>
      <c r="B2085">
        <v>59.769199999999998</v>
      </c>
      <c r="C2085">
        <f t="shared" si="96"/>
        <v>59.42306</v>
      </c>
      <c r="D2085">
        <v>0.71181818181818179</v>
      </c>
      <c r="E2085">
        <f t="shared" si="97"/>
        <v>4.0846823665206795</v>
      </c>
      <c r="I2085" s="24">
        <f t="shared" si="98"/>
        <v>0.81797469996778283</v>
      </c>
      <c r="N2085" s="30">
        <v>34590.9375</v>
      </c>
    </row>
    <row r="2086" spans="1:14" x14ac:dyDescent="0.3">
      <c r="A2086">
        <v>31.746929999999669</v>
      </c>
      <c r="B2086">
        <v>60.807699999999997</v>
      </c>
      <c r="C2086">
        <f t="shared" si="96"/>
        <v>60.569219999999994</v>
      </c>
      <c r="D2086">
        <v>0.71177272727272722</v>
      </c>
      <c r="E2086">
        <f t="shared" si="97"/>
        <v>4.1037868432477289</v>
      </c>
      <c r="I2086" s="24">
        <f t="shared" si="98"/>
        <v>0.83899510888742534</v>
      </c>
      <c r="N2086" s="30">
        <v>34575.75</v>
      </c>
    </row>
    <row r="2087" spans="1:14" x14ac:dyDescent="0.3">
      <c r="A2087">
        <v>31.762159999999668</v>
      </c>
      <c r="B2087">
        <v>61.692300000000003</v>
      </c>
      <c r="C2087">
        <f t="shared" si="96"/>
        <v>61.615380000000002</v>
      </c>
      <c r="D2087">
        <v>0.71172727272727276</v>
      </c>
      <c r="E2087">
        <f t="shared" si="97"/>
        <v>4.1209115147004525</v>
      </c>
      <c r="I2087" s="24">
        <f t="shared" si="98"/>
        <v>0.85830155854634138</v>
      </c>
      <c r="N2087" s="30">
        <v>34560.5625</v>
      </c>
    </row>
    <row r="2088" spans="1:14" x14ac:dyDescent="0.3">
      <c r="A2088">
        <v>31.777389999999667</v>
      </c>
      <c r="B2088">
        <v>62.307699999999997</v>
      </c>
      <c r="C2088">
        <f t="shared" si="96"/>
        <v>62.361540000000005</v>
      </c>
      <c r="D2088">
        <v>0.71168181818181808</v>
      </c>
      <c r="E2088">
        <f t="shared" si="97"/>
        <v>4.1329487392021624</v>
      </c>
      <c r="I2088" s="24">
        <f t="shared" si="98"/>
        <v>0.87215423803766956</v>
      </c>
      <c r="N2088" s="30">
        <v>34545.375</v>
      </c>
    </row>
    <row r="2089" spans="1:14" x14ac:dyDescent="0.3">
      <c r="A2089">
        <v>31.792619999999665</v>
      </c>
      <c r="B2089">
        <v>63.5</v>
      </c>
      <c r="C2089">
        <f t="shared" si="96"/>
        <v>62.784619999999997</v>
      </c>
      <c r="D2089">
        <v>0.71163636363636362</v>
      </c>
      <c r="E2089">
        <f t="shared" si="97"/>
        <v>4.1397101390215605</v>
      </c>
      <c r="I2089" s="24">
        <f t="shared" si="98"/>
        <v>0.88005786453839185</v>
      </c>
      <c r="N2089" s="30">
        <v>34530.1875</v>
      </c>
    </row>
    <row r="2090" spans="1:14" x14ac:dyDescent="0.3">
      <c r="A2090">
        <v>31.807849999999664</v>
      </c>
      <c r="B2090">
        <v>63.5</v>
      </c>
      <c r="C2090">
        <f t="shared" si="96"/>
        <v>62.823080000000004</v>
      </c>
      <c r="D2090">
        <v>0.71159090909090905</v>
      </c>
      <c r="E2090">
        <f t="shared" si="97"/>
        <v>4.140322521880285</v>
      </c>
      <c r="I2090" s="24">
        <f t="shared" si="98"/>
        <v>0.88082839320938111</v>
      </c>
      <c r="J2090">
        <v>1994</v>
      </c>
      <c r="K2090">
        <f>AVERAGE(I2090:I2182)</f>
        <v>0.74836419334761584</v>
      </c>
      <c r="L2090">
        <f>A2182-A2090</f>
        <v>1.4011600000001856</v>
      </c>
      <c r="M2090">
        <f>K2090*L2090</f>
        <v>1.0485779731510843</v>
      </c>
      <c r="N2090" s="30">
        <v>34515</v>
      </c>
    </row>
    <row r="2091" spans="1:14" x14ac:dyDescent="0.3">
      <c r="A2091">
        <v>31.823079999999663</v>
      </c>
      <c r="B2091">
        <v>62.923099999999998</v>
      </c>
      <c r="C2091">
        <f t="shared" si="96"/>
        <v>62.523080000000007</v>
      </c>
      <c r="D2091">
        <v>0.71154545454545448</v>
      </c>
      <c r="E2091">
        <f t="shared" si="97"/>
        <v>4.135535768575278</v>
      </c>
      <c r="I2091" s="24">
        <f t="shared" si="98"/>
        <v>0.87531621462161191</v>
      </c>
      <c r="N2091" s="30">
        <v>34513.15151515152</v>
      </c>
    </row>
    <row r="2092" spans="1:14" x14ac:dyDescent="0.3">
      <c r="A2092">
        <v>31.838309999999662</v>
      </c>
      <c r="B2092">
        <v>61.884599999999999</v>
      </c>
      <c r="C2092">
        <f t="shared" si="96"/>
        <v>61.776920000000004</v>
      </c>
      <c r="D2092">
        <v>0.71150000000000002</v>
      </c>
      <c r="E2092">
        <f t="shared" si="97"/>
        <v>4.1235298319258806</v>
      </c>
      <c r="I2092" s="24">
        <f t="shared" si="98"/>
        <v>0.86155907667174225</v>
      </c>
      <c r="N2092" s="30">
        <v>34511.303030303032</v>
      </c>
    </row>
    <row r="2093" spans="1:14" x14ac:dyDescent="0.3">
      <c r="A2093">
        <v>31.853539999999661</v>
      </c>
      <c r="B2093">
        <v>60.807699999999997</v>
      </c>
      <c r="C2093">
        <f t="shared" si="96"/>
        <v>60.9</v>
      </c>
      <c r="D2093">
        <v>0.71145454545454545</v>
      </c>
      <c r="E2093">
        <f t="shared" si="97"/>
        <v>4.1092331747158513</v>
      </c>
      <c r="I2093" s="24">
        <f t="shared" si="98"/>
        <v>0.84544854068413955</v>
      </c>
      <c r="N2093" s="30">
        <v>34509.454545454551</v>
      </c>
    </row>
    <row r="2094" spans="1:14" x14ac:dyDescent="0.3">
      <c r="A2094">
        <v>31.86876999999966</v>
      </c>
      <c r="B2094">
        <v>59.769199999999998</v>
      </c>
      <c r="C2094">
        <f t="shared" si="96"/>
        <v>60.1</v>
      </c>
      <c r="D2094">
        <v>0.71140909090909088</v>
      </c>
      <c r="E2094">
        <f t="shared" si="97"/>
        <v>4.0960098415411617</v>
      </c>
      <c r="I2094" s="24">
        <f t="shared" si="98"/>
        <v>0.83081979965313135</v>
      </c>
      <c r="N2094" s="30">
        <v>34507.606060606064</v>
      </c>
    </row>
    <row r="2095" spans="1:14" x14ac:dyDescent="0.3">
      <c r="A2095">
        <v>31.883999999999659</v>
      </c>
      <c r="B2095">
        <v>59.115400000000001</v>
      </c>
      <c r="C2095">
        <f t="shared" si="96"/>
        <v>59.561540000000001</v>
      </c>
      <c r="D2095">
        <v>0.71136363636363631</v>
      </c>
      <c r="E2095">
        <f t="shared" si="97"/>
        <v>4.0870100637609221</v>
      </c>
      <c r="I2095" s="24">
        <f t="shared" si="98"/>
        <v>0.82102529081640763</v>
      </c>
      <c r="N2095" s="30">
        <v>34505.757575757576</v>
      </c>
    </row>
    <row r="2096" spans="1:14" x14ac:dyDescent="0.3">
      <c r="A2096">
        <v>31.899229999999658</v>
      </c>
      <c r="B2096">
        <v>58.923099999999998</v>
      </c>
      <c r="C2096">
        <f t="shared" si="96"/>
        <v>59.276919999999997</v>
      </c>
      <c r="D2096">
        <v>0.71131818181818185</v>
      </c>
      <c r="E2096">
        <f t="shared" si="97"/>
        <v>4.0822200228229146</v>
      </c>
      <c r="I2096" s="24">
        <f t="shared" si="98"/>
        <v>0.81588382005223226</v>
      </c>
      <c r="N2096" s="30">
        <v>34503.909090909096</v>
      </c>
    </row>
    <row r="2097" spans="1:14" x14ac:dyDescent="0.3">
      <c r="A2097">
        <v>31.914459999999657</v>
      </c>
      <c r="B2097">
        <v>59.192300000000003</v>
      </c>
      <c r="C2097">
        <f t="shared" si="96"/>
        <v>59.146159999999995</v>
      </c>
      <c r="D2097">
        <v>0.71127272727272728</v>
      </c>
      <c r="E2097">
        <f t="shared" si="97"/>
        <v>4.0800116686213324</v>
      </c>
      <c r="I2097" s="24">
        <f t="shared" si="98"/>
        <v>0.81355232358144236</v>
      </c>
      <c r="N2097" s="30">
        <v>34502.060606060608</v>
      </c>
    </row>
    <row r="2098" spans="1:14" x14ac:dyDescent="0.3">
      <c r="A2098">
        <v>31.929689999999656</v>
      </c>
      <c r="B2098">
        <v>59.384599999999999</v>
      </c>
      <c r="C2098">
        <f t="shared" si="96"/>
        <v>58.984619999999993</v>
      </c>
      <c r="D2098">
        <v>0.71122727272727271</v>
      </c>
      <c r="E2098">
        <f t="shared" si="97"/>
        <v>4.0772767319572107</v>
      </c>
      <c r="I2098" s="24">
        <f t="shared" si="98"/>
        <v>0.81066176469753626</v>
      </c>
      <c r="N2098" s="30">
        <v>34500.212121212127</v>
      </c>
    </row>
    <row r="2099" spans="1:14" x14ac:dyDescent="0.3">
      <c r="A2099">
        <v>31.944919999999655</v>
      </c>
      <c r="B2099">
        <v>59.115400000000001</v>
      </c>
      <c r="C2099">
        <f t="shared" si="96"/>
        <v>58.669240000000002</v>
      </c>
      <c r="D2099">
        <v>0.71118181818181814</v>
      </c>
      <c r="E2099">
        <f t="shared" si="97"/>
        <v>4.0719155690444246</v>
      </c>
      <c r="I2099" s="24">
        <f t="shared" si="98"/>
        <v>0.80497590958782617</v>
      </c>
      <c r="N2099" s="30">
        <v>34498.36363636364</v>
      </c>
    </row>
    <row r="2100" spans="1:14" x14ac:dyDescent="0.3">
      <c r="A2100">
        <v>31.960149999999654</v>
      </c>
      <c r="B2100">
        <v>58.307699999999997</v>
      </c>
      <c r="C2100">
        <f t="shared" si="96"/>
        <v>58.07694</v>
      </c>
      <c r="D2100">
        <v>0.71113636363636368</v>
      </c>
      <c r="E2100">
        <f t="shared" si="97"/>
        <v>4.0617686831781743</v>
      </c>
      <c r="I2100" s="24">
        <f t="shared" si="98"/>
        <v>0.79427811662179593</v>
      </c>
      <c r="N2100" s="30">
        <v>34496.515151515152</v>
      </c>
    </row>
    <row r="2101" spans="1:14" x14ac:dyDescent="0.3">
      <c r="A2101">
        <v>31.975379999999653</v>
      </c>
      <c r="B2101">
        <v>57.346200000000003</v>
      </c>
      <c r="C2101">
        <f t="shared" si="96"/>
        <v>57.21540000000001</v>
      </c>
      <c r="D2101">
        <v>0.711090909090909</v>
      </c>
      <c r="E2101">
        <f t="shared" si="97"/>
        <v>4.0468230929188831</v>
      </c>
      <c r="I2101" s="24">
        <f t="shared" si="98"/>
        <v>0.77875592233041802</v>
      </c>
      <c r="N2101" s="30">
        <v>34494.666666666672</v>
      </c>
    </row>
    <row r="2102" spans="1:14" x14ac:dyDescent="0.3">
      <c r="A2102">
        <v>31.990609999999652</v>
      </c>
      <c r="B2102">
        <v>56.230800000000002</v>
      </c>
      <c r="C2102">
        <f t="shared" si="96"/>
        <v>56.384619999999998</v>
      </c>
      <c r="D2102">
        <v>0.71104545454545454</v>
      </c>
      <c r="E2102">
        <f t="shared" si="97"/>
        <v>4.0321964262805006</v>
      </c>
      <c r="I2102" s="24">
        <f t="shared" si="98"/>
        <v>0.76385974413819746</v>
      </c>
      <c r="N2102" s="30">
        <v>34492.818181818184</v>
      </c>
    </row>
    <row r="2103" spans="1:14" x14ac:dyDescent="0.3">
      <c r="A2103">
        <v>32.005839999999651</v>
      </c>
      <c r="B2103">
        <v>55.076900000000002</v>
      </c>
      <c r="C2103">
        <f t="shared" si="96"/>
        <v>55.907699999999998</v>
      </c>
      <c r="D2103" s="8">
        <v>0.71100000000000008</v>
      </c>
      <c r="E2103">
        <f t="shared" si="97"/>
        <v>4.0237021166499032</v>
      </c>
      <c r="I2103" s="24">
        <f t="shared" si="98"/>
        <v>0.75536030331195902</v>
      </c>
      <c r="N2103" s="30">
        <v>34490.969696969703</v>
      </c>
    </row>
    <row r="2104" spans="1:14" x14ac:dyDescent="0.3">
      <c r="A2104">
        <v>32.021069999999654</v>
      </c>
      <c r="B2104">
        <v>54.961500000000001</v>
      </c>
      <c r="C2104">
        <f t="shared" si="96"/>
        <v>55.807699999999997</v>
      </c>
      <c r="D2104">
        <v>0.71084848484848495</v>
      </c>
      <c r="E2104">
        <f t="shared" si="97"/>
        <v>4.021911852698671</v>
      </c>
      <c r="I2104" s="24">
        <f t="shared" si="98"/>
        <v>0.7537315279306871</v>
      </c>
      <c r="N2104" s="30">
        <v>34489.121212121216</v>
      </c>
    </row>
    <row r="2105" spans="1:14" x14ac:dyDescent="0.3">
      <c r="A2105">
        <v>32.036299999999656</v>
      </c>
      <c r="B2105">
        <v>55.923099999999998</v>
      </c>
      <c r="C2105">
        <f t="shared" si="96"/>
        <v>55.946159999999999</v>
      </c>
      <c r="D2105">
        <v>0.71069696969696972</v>
      </c>
      <c r="E2105">
        <f t="shared" si="97"/>
        <v>4.024389799694827</v>
      </c>
      <c r="I2105" s="24">
        <f t="shared" si="98"/>
        <v>0.75637114983995912</v>
      </c>
      <c r="N2105" s="30">
        <v>34487.272727272728</v>
      </c>
    </row>
    <row r="2106" spans="1:14" x14ac:dyDescent="0.3">
      <c r="A2106">
        <v>32.051529999999659</v>
      </c>
      <c r="B2106">
        <v>56.846200000000003</v>
      </c>
      <c r="C2106">
        <f t="shared" ref="C2106:C2169" si="99">AVERAGE(B2104:B2108)</f>
        <v>56.307699999999997</v>
      </c>
      <c r="D2106">
        <v>0.71054545454545459</v>
      </c>
      <c r="E2106">
        <f t="shared" ref="E2106:E2169" si="100">LN(C2106)</f>
        <v>4.0308312931117873</v>
      </c>
      <c r="I2106" s="24">
        <f t="shared" ref="I2106:I2169" si="101">(0.0026*(EXP(1.3248*E2106)))/D2106</f>
        <v>0.76301607575177122</v>
      </c>
      <c r="N2106" s="30">
        <v>34485.424242424247</v>
      </c>
    </row>
    <row r="2107" spans="1:14" x14ac:dyDescent="0.3">
      <c r="A2107">
        <v>32.066759999999661</v>
      </c>
      <c r="B2107">
        <v>56.923099999999998</v>
      </c>
      <c r="C2107">
        <f t="shared" si="99"/>
        <v>56.738480000000003</v>
      </c>
      <c r="D2107">
        <v>0.71039393939393947</v>
      </c>
      <c r="E2107">
        <f t="shared" si="100"/>
        <v>4.0384526401604042</v>
      </c>
      <c r="I2107" s="24">
        <f t="shared" si="101"/>
        <v>0.77092348031092262</v>
      </c>
      <c r="N2107" s="30">
        <v>34483.57575757576</v>
      </c>
    </row>
    <row r="2108" spans="1:14" x14ac:dyDescent="0.3">
      <c r="A2108">
        <v>32.081989999999664</v>
      </c>
      <c r="B2108">
        <v>56.884599999999999</v>
      </c>
      <c r="C2108">
        <f t="shared" si="99"/>
        <v>57.169240000000002</v>
      </c>
      <c r="D2108">
        <v>0.71024242424242434</v>
      </c>
      <c r="E2108">
        <f t="shared" si="100"/>
        <v>4.0460159915020188</v>
      </c>
      <c r="I2108" s="24">
        <f t="shared" si="101"/>
        <v>0.77885302383395616</v>
      </c>
      <c r="N2108" s="30">
        <v>34481.727272727272</v>
      </c>
    </row>
    <row r="2109" spans="1:14" x14ac:dyDescent="0.3">
      <c r="A2109">
        <v>32.097219999999666</v>
      </c>
      <c r="B2109">
        <v>57.115400000000001</v>
      </c>
      <c r="C2109">
        <f t="shared" si="99"/>
        <v>57.684619999999995</v>
      </c>
      <c r="D2109">
        <v>0.71009090909090911</v>
      </c>
      <c r="E2109">
        <f t="shared" si="100"/>
        <v>4.054990586856472</v>
      </c>
      <c r="I2109" s="24">
        <f t="shared" si="101"/>
        <v>0.78833667461807189</v>
      </c>
      <c r="N2109" s="30">
        <v>34479.878787878792</v>
      </c>
    </row>
    <row r="2110" spans="1:14" x14ac:dyDescent="0.3">
      <c r="A2110">
        <v>32.112449999999669</v>
      </c>
      <c r="B2110">
        <v>58.076900000000002</v>
      </c>
      <c r="C2110">
        <f t="shared" si="99"/>
        <v>58.430759999999999</v>
      </c>
      <c r="D2110">
        <v>0.70993939393939409</v>
      </c>
      <c r="E2110">
        <f t="shared" si="100"/>
        <v>4.0678424634986987</v>
      </c>
      <c r="I2110" s="24">
        <f t="shared" si="101"/>
        <v>0.80204507851327</v>
      </c>
      <c r="N2110" s="30">
        <v>34478.030303030304</v>
      </c>
    </row>
    <row r="2111" spans="1:14" x14ac:dyDescent="0.3">
      <c r="A2111">
        <v>32.127679999999671</v>
      </c>
      <c r="B2111">
        <v>59.423099999999998</v>
      </c>
      <c r="C2111">
        <f t="shared" si="99"/>
        <v>59.361539999999991</v>
      </c>
      <c r="D2111">
        <v>0.70978787878787886</v>
      </c>
      <c r="E2111">
        <f t="shared" si="100"/>
        <v>4.083646541918827</v>
      </c>
      <c r="I2111" s="24">
        <f t="shared" si="101"/>
        <v>0.81918955144257788</v>
      </c>
      <c r="N2111" s="30">
        <v>34476.181818181823</v>
      </c>
    </row>
    <row r="2112" spans="1:14" x14ac:dyDescent="0.3">
      <c r="A2112">
        <v>32.142909999999674</v>
      </c>
      <c r="B2112">
        <v>60.653799999999997</v>
      </c>
      <c r="C2112">
        <f t="shared" si="99"/>
        <v>60.276919999999997</v>
      </c>
      <c r="D2112">
        <v>0.70963636363636362</v>
      </c>
      <c r="E2112">
        <f t="shared" si="100"/>
        <v>4.0989492775623955</v>
      </c>
      <c r="I2112" s="24">
        <f t="shared" si="101"/>
        <v>0.83614500749278542</v>
      </c>
      <c r="N2112" s="30">
        <v>34474.333333333336</v>
      </c>
    </row>
    <row r="2113" spans="1:14" x14ac:dyDescent="0.3">
      <c r="A2113">
        <v>32.158139999999676</v>
      </c>
      <c r="B2113">
        <v>61.538499999999999</v>
      </c>
      <c r="C2113">
        <f t="shared" si="99"/>
        <v>60.961539999999999</v>
      </c>
      <c r="D2113">
        <v>0.70948484848484861</v>
      </c>
      <c r="E2113">
        <f t="shared" si="100"/>
        <v>4.1102431735264915</v>
      </c>
      <c r="I2113" s="24">
        <f t="shared" si="101"/>
        <v>0.84893085415593328</v>
      </c>
      <c r="N2113" s="30">
        <v>34472.484848484848</v>
      </c>
    </row>
    <row r="2114" spans="1:14" x14ac:dyDescent="0.3">
      <c r="A2114">
        <v>32.173369999999679</v>
      </c>
      <c r="B2114">
        <v>61.692300000000003</v>
      </c>
      <c r="C2114">
        <f t="shared" si="99"/>
        <v>61.353839999999991</v>
      </c>
      <c r="D2114">
        <v>0.70933333333333337</v>
      </c>
      <c r="E2114">
        <f t="shared" si="100"/>
        <v>4.1166577608851842</v>
      </c>
      <c r="I2114" s="24">
        <f t="shared" si="101"/>
        <v>0.85635872861319295</v>
      </c>
      <c r="N2114" s="30">
        <v>34470.636363636368</v>
      </c>
    </row>
    <row r="2115" spans="1:14" x14ac:dyDescent="0.3">
      <c r="A2115">
        <v>32.188599999999681</v>
      </c>
      <c r="B2115">
        <v>61.5</v>
      </c>
      <c r="C2115">
        <f t="shared" si="99"/>
        <v>61.423080000000006</v>
      </c>
      <c r="D2115">
        <v>0.70918181818181825</v>
      </c>
      <c r="E2115">
        <f t="shared" si="100"/>
        <v>4.1177856602874554</v>
      </c>
      <c r="I2115" s="24">
        <f t="shared" si="101"/>
        <v>0.85782252431004802</v>
      </c>
      <c r="N2115" s="30">
        <v>34468.78787878788</v>
      </c>
    </row>
    <row r="2116" spans="1:14" x14ac:dyDescent="0.3">
      <c r="A2116">
        <v>32.203829999999684</v>
      </c>
      <c r="B2116">
        <v>61.384599999999999</v>
      </c>
      <c r="C2116">
        <f t="shared" si="99"/>
        <v>61.253840000000004</v>
      </c>
      <c r="D2116">
        <v>0.70903030303030312</v>
      </c>
      <c r="E2116">
        <f t="shared" si="100"/>
        <v>4.1150265413372082</v>
      </c>
      <c r="I2116" s="24">
        <f t="shared" si="101"/>
        <v>0.85487530810878543</v>
      </c>
      <c r="N2116" s="30">
        <v>34466.939393939399</v>
      </c>
    </row>
    <row r="2117" spans="1:14" x14ac:dyDescent="0.3">
      <c r="A2117">
        <v>32.219059999999686</v>
      </c>
      <c r="B2117">
        <v>61</v>
      </c>
      <c r="C2117">
        <f t="shared" si="99"/>
        <v>61.123080000000002</v>
      </c>
      <c r="D2117">
        <v>0.708878787878788</v>
      </c>
      <c r="E2117">
        <f t="shared" si="100"/>
        <v>4.1128895362587539</v>
      </c>
      <c r="I2117" s="24">
        <f t="shared" si="101"/>
        <v>0.85264069342631277</v>
      </c>
      <c r="N2117" s="30">
        <v>34465.090909090912</v>
      </c>
    </row>
    <row r="2118" spans="1:14" x14ac:dyDescent="0.3">
      <c r="A2118">
        <v>32.234289999999689</v>
      </c>
      <c r="B2118">
        <v>60.692300000000003</v>
      </c>
      <c r="C2118">
        <f t="shared" si="99"/>
        <v>61.192320000000009</v>
      </c>
      <c r="D2118">
        <v>0.70872727272727276</v>
      </c>
      <c r="E2118">
        <f t="shared" si="100"/>
        <v>4.1140216914476486</v>
      </c>
      <c r="I2118" s="24">
        <f t="shared" si="101"/>
        <v>0.85410306627424337</v>
      </c>
      <c r="N2118" s="30">
        <v>34463.242424242424</v>
      </c>
    </row>
    <row r="2119" spans="1:14" x14ac:dyDescent="0.3">
      <c r="A2119">
        <v>32.249519999999691</v>
      </c>
      <c r="B2119">
        <v>61.038499999999999</v>
      </c>
      <c r="C2119">
        <f t="shared" si="99"/>
        <v>61.315399999999997</v>
      </c>
      <c r="D2119">
        <v>0.70857575757575764</v>
      </c>
      <c r="E2119">
        <f t="shared" si="100"/>
        <v>4.1160310348818561</v>
      </c>
      <c r="I2119" s="24">
        <f t="shared" si="101"/>
        <v>0.8565628189813973</v>
      </c>
      <c r="N2119" s="30">
        <v>34461.393939393944</v>
      </c>
    </row>
    <row r="2120" spans="1:14" x14ac:dyDescent="0.3">
      <c r="A2120">
        <v>32.264749999999694</v>
      </c>
      <c r="B2120">
        <v>61.846200000000003</v>
      </c>
      <c r="C2120">
        <f t="shared" si="99"/>
        <v>61.569240000000001</v>
      </c>
      <c r="D2120">
        <v>0.70842424242424251</v>
      </c>
      <c r="E2120">
        <f t="shared" si="100"/>
        <v>4.1201623951730681</v>
      </c>
      <c r="I2120" s="24">
        <f t="shared" si="101"/>
        <v>0.86144803801126946</v>
      </c>
      <c r="N2120" s="30">
        <v>34459.545454545456</v>
      </c>
    </row>
    <row r="2121" spans="1:14" x14ac:dyDescent="0.3">
      <c r="A2121">
        <v>32.279979999999696</v>
      </c>
      <c r="B2121">
        <v>62</v>
      </c>
      <c r="C2121">
        <f t="shared" si="99"/>
        <v>61.769240000000003</v>
      </c>
      <c r="D2121">
        <v>0.70827272727272728</v>
      </c>
      <c r="E2121">
        <f t="shared" si="100"/>
        <v>4.1234055059248149</v>
      </c>
      <c r="I2121" s="24">
        <f t="shared" si="101"/>
        <v>0.86534226497835509</v>
      </c>
      <c r="N2121" s="30">
        <v>34457.696969696975</v>
      </c>
    </row>
    <row r="2122" spans="1:14" x14ac:dyDescent="0.3">
      <c r="A2122">
        <v>32.295209999999699</v>
      </c>
      <c r="B2122">
        <v>62.269199999999998</v>
      </c>
      <c r="C2122">
        <f t="shared" si="99"/>
        <v>61.761540000000004</v>
      </c>
      <c r="D2122">
        <v>0.70812121212121215</v>
      </c>
      <c r="E2122">
        <f t="shared" si="100"/>
        <v>4.1232808406388033</v>
      </c>
      <c r="I2122" s="24">
        <f t="shared" si="101"/>
        <v>0.86538448463862538</v>
      </c>
      <c r="N2122" s="30">
        <v>34455.848484848488</v>
      </c>
    </row>
    <row r="2123" spans="1:14" x14ac:dyDescent="0.3">
      <c r="A2123">
        <v>32.310439999999701</v>
      </c>
      <c r="B2123">
        <v>61.692300000000003</v>
      </c>
      <c r="C2123">
        <f t="shared" si="99"/>
        <v>61.523060000000001</v>
      </c>
      <c r="D2123">
        <v>0.70796969696969703</v>
      </c>
      <c r="E2123">
        <f t="shared" si="100"/>
        <v>4.1194120638823764</v>
      </c>
      <c r="I2123" s="24">
        <f t="shared" si="101"/>
        <v>0.86114468592150195</v>
      </c>
      <c r="N2123" s="30">
        <v>34454</v>
      </c>
    </row>
    <row r="2124" spans="1:14" x14ac:dyDescent="0.3">
      <c r="A2124">
        <v>32.325669999999704</v>
      </c>
      <c r="B2124">
        <v>61</v>
      </c>
      <c r="C2124">
        <f t="shared" si="99"/>
        <v>61.238440000000004</v>
      </c>
      <c r="D2124">
        <v>0.7078181818181819</v>
      </c>
      <c r="E2124">
        <f t="shared" si="100"/>
        <v>4.1147750969183257</v>
      </c>
      <c r="I2124" s="24">
        <f t="shared" si="101"/>
        <v>0.85605405031095227</v>
      </c>
      <c r="N2124" s="30">
        <v>34452.15151515152</v>
      </c>
    </row>
    <row r="2125" spans="1:14" x14ac:dyDescent="0.3">
      <c r="A2125">
        <v>32.340899999999706</v>
      </c>
      <c r="B2125">
        <v>60.653799999999997</v>
      </c>
      <c r="C2125">
        <f t="shared" si="99"/>
        <v>60.92306</v>
      </c>
      <c r="D2125">
        <v>0.70766666666666667</v>
      </c>
      <c r="E2125">
        <f t="shared" si="100"/>
        <v>4.1096117565750729</v>
      </c>
      <c r="I2125" s="24">
        <f t="shared" si="101"/>
        <v>0.8504003223504274</v>
      </c>
      <c r="N2125" s="30">
        <v>34450.303030303032</v>
      </c>
    </row>
    <row r="2126" spans="1:14" x14ac:dyDescent="0.3">
      <c r="A2126">
        <v>32.356129999999709</v>
      </c>
      <c r="B2126">
        <v>60.576900000000002</v>
      </c>
      <c r="C2126">
        <f t="shared" si="99"/>
        <v>60.723059999999997</v>
      </c>
      <c r="D2126">
        <v>0.70751515151515165</v>
      </c>
      <c r="E2126">
        <f t="shared" si="100"/>
        <v>4.1063235270744931</v>
      </c>
      <c r="I2126" s="24">
        <f t="shared" si="101"/>
        <v>0.84688514880128829</v>
      </c>
      <c r="N2126" s="30">
        <v>34448.454545454551</v>
      </c>
    </row>
    <row r="2127" spans="1:14" x14ac:dyDescent="0.3">
      <c r="A2127">
        <v>32.371359999999711</v>
      </c>
      <c r="B2127">
        <v>60.692300000000003</v>
      </c>
      <c r="C2127">
        <f t="shared" si="99"/>
        <v>60.553819999999995</v>
      </c>
      <c r="D2127">
        <v>0.70736363636363642</v>
      </c>
      <c r="E2127">
        <f t="shared" si="100"/>
        <v>4.1035325563658445</v>
      </c>
      <c r="I2127" s="24">
        <f t="shared" si="101"/>
        <v>0.84394032225259008</v>
      </c>
      <c r="N2127" s="30">
        <v>34446.606060606064</v>
      </c>
    </row>
    <row r="2128" spans="1:14" x14ac:dyDescent="0.3">
      <c r="A2128">
        <v>32.386589999999714</v>
      </c>
      <c r="B2128">
        <v>60.692300000000003</v>
      </c>
      <c r="C2128">
        <f t="shared" si="99"/>
        <v>60.269219999999997</v>
      </c>
      <c r="D2128">
        <v>0.70721212121212118</v>
      </c>
      <c r="E2128">
        <f t="shared" si="100"/>
        <v>4.0988215256491367</v>
      </c>
      <c r="I2128" s="24">
        <f t="shared" si="101"/>
        <v>0.83886923007952707</v>
      </c>
      <c r="N2128" s="30">
        <v>34444.757575757576</v>
      </c>
    </row>
    <row r="2129" spans="1:14" x14ac:dyDescent="0.3">
      <c r="A2129">
        <v>32.401819999999717</v>
      </c>
      <c r="B2129">
        <v>60.153799999999997</v>
      </c>
      <c r="C2129">
        <f t="shared" si="99"/>
        <v>59.8</v>
      </c>
      <c r="D2129">
        <v>0.70706060606060617</v>
      </c>
      <c r="E2129">
        <f t="shared" si="100"/>
        <v>4.0910056609565864</v>
      </c>
      <c r="I2129" s="24">
        <f t="shared" si="101"/>
        <v>0.83040591757825</v>
      </c>
      <c r="N2129" s="30">
        <v>34442.909090909096</v>
      </c>
    </row>
    <row r="2130" spans="1:14" x14ac:dyDescent="0.3">
      <c r="A2130">
        <v>32.417049999999719</v>
      </c>
      <c r="B2130">
        <v>59.230800000000002</v>
      </c>
      <c r="C2130">
        <f t="shared" si="99"/>
        <v>59.246159999999996</v>
      </c>
      <c r="D2130">
        <v>0.70690909090909093</v>
      </c>
      <c r="E2130">
        <f t="shared" si="100"/>
        <v>4.0817009677883913</v>
      </c>
      <c r="I2130" s="24">
        <f t="shared" si="101"/>
        <v>0.82040825867652012</v>
      </c>
      <c r="N2130" s="30">
        <v>34441.060606060608</v>
      </c>
    </row>
    <row r="2131" spans="1:14" x14ac:dyDescent="0.3">
      <c r="A2131">
        <v>32.432279999999722</v>
      </c>
      <c r="B2131">
        <v>58.230800000000002</v>
      </c>
      <c r="C2131">
        <f t="shared" si="99"/>
        <v>58.661540000000002</v>
      </c>
      <c r="D2131">
        <v>0.70675757575757581</v>
      </c>
      <c r="E2131">
        <f t="shared" si="100"/>
        <v>4.071784316187995</v>
      </c>
      <c r="I2131" s="24">
        <f t="shared" si="101"/>
        <v>0.80987415421675346</v>
      </c>
      <c r="N2131" s="30">
        <v>34439.212121212127</v>
      </c>
    </row>
    <row r="2132" spans="1:14" x14ac:dyDescent="0.3">
      <c r="A2132">
        <v>32.447509999999724</v>
      </c>
      <c r="B2132">
        <v>57.923099999999998</v>
      </c>
      <c r="C2132">
        <f t="shared" si="99"/>
        <v>58.092320000000008</v>
      </c>
      <c r="D2132">
        <v>0.70660606060606068</v>
      </c>
      <c r="E2132">
        <f t="shared" si="100"/>
        <v>4.0620334692341391</v>
      </c>
      <c r="I2132" s="24">
        <f t="shared" si="101"/>
        <v>0.79965097564342402</v>
      </c>
      <c r="N2132" s="30">
        <v>34437.36363636364</v>
      </c>
    </row>
    <row r="2133" spans="1:14" x14ac:dyDescent="0.3">
      <c r="A2133">
        <v>32.462739999999727</v>
      </c>
      <c r="B2133">
        <v>57.769199999999998</v>
      </c>
      <c r="C2133">
        <f t="shared" si="99"/>
        <v>57.638459999999995</v>
      </c>
      <c r="D2133">
        <v>0.70645454545454556</v>
      </c>
      <c r="E2133">
        <f t="shared" si="100"/>
        <v>4.0541900532171491</v>
      </c>
      <c r="I2133" s="24">
        <f t="shared" si="101"/>
        <v>0.79155458750542929</v>
      </c>
      <c r="N2133" s="30">
        <v>34435.515151515152</v>
      </c>
    </row>
    <row r="2134" spans="1:14" x14ac:dyDescent="0.3">
      <c r="A2134">
        <v>32.477969999999729</v>
      </c>
      <c r="B2134">
        <v>57.307699999999997</v>
      </c>
      <c r="C2134">
        <f t="shared" si="99"/>
        <v>57.276919999999997</v>
      </c>
      <c r="D2134">
        <v>0.70630303030303032</v>
      </c>
      <c r="E2134">
        <f t="shared" si="100"/>
        <v>4.0478977502569604</v>
      </c>
      <c r="I2134" s="24">
        <f t="shared" si="101"/>
        <v>0.78515197420134519</v>
      </c>
      <c r="N2134" s="30">
        <v>34433.666666666672</v>
      </c>
    </row>
    <row r="2135" spans="1:14" x14ac:dyDescent="0.3">
      <c r="A2135">
        <v>32.493199999999732</v>
      </c>
      <c r="B2135">
        <v>56.961500000000001</v>
      </c>
      <c r="C2135">
        <f t="shared" si="99"/>
        <v>56.915380000000006</v>
      </c>
      <c r="D2135">
        <v>0.7061515151515152</v>
      </c>
      <c r="E2135">
        <f t="shared" si="100"/>
        <v>4.0415656033779257</v>
      </c>
      <c r="I2135" s="24">
        <f t="shared" si="101"/>
        <v>0.77876007716739604</v>
      </c>
      <c r="N2135" s="30">
        <v>34431.818181818184</v>
      </c>
    </row>
    <row r="2136" spans="1:14" x14ac:dyDescent="0.3">
      <c r="A2136">
        <v>32.508429999999734</v>
      </c>
      <c r="B2136">
        <v>56.423099999999998</v>
      </c>
      <c r="C2136">
        <f t="shared" si="99"/>
        <v>56.592300000000002</v>
      </c>
      <c r="D2136">
        <v>0.70600000000000007</v>
      </c>
      <c r="E2136">
        <f t="shared" si="100"/>
        <v>4.035872933551703</v>
      </c>
      <c r="I2136" s="24">
        <f t="shared" si="101"/>
        <v>0.77307490755973629</v>
      </c>
      <c r="N2136" s="30">
        <v>34429.969696969703</v>
      </c>
    </row>
    <row r="2137" spans="1:14" x14ac:dyDescent="0.3">
      <c r="A2137">
        <v>32.523659999999737</v>
      </c>
      <c r="B2137">
        <v>56.115400000000001</v>
      </c>
      <c r="C2137">
        <f t="shared" si="99"/>
        <v>56.269219999999997</v>
      </c>
      <c r="D2137">
        <v>0.70584848484848484</v>
      </c>
      <c r="E2137">
        <f t="shared" si="100"/>
        <v>4.030147671611064</v>
      </c>
      <c r="I2137" s="24">
        <f t="shared" si="101"/>
        <v>0.76739814119229932</v>
      </c>
      <c r="N2137" s="30">
        <v>34428.121212121216</v>
      </c>
    </row>
    <row r="2138" spans="1:14" x14ac:dyDescent="0.3">
      <c r="A2138">
        <v>32.538889999999739</v>
      </c>
      <c r="B2138">
        <v>56.153799999999997</v>
      </c>
      <c r="C2138">
        <f t="shared" si="99"/>
        <v>55.923079999999992</v>
      </c>
      <c r="D2138">
        <v>0.70569696969696971</v>
      </c>
      <c r="E2138">
        <f t="shared" si="100"/>
        <v>4.0239771750926137</v>
      </c>
      <c r="I2138" s="24">
        <f t="shared" si="101"/>
        <v>0.76131390397810983</v>
      </c>
      <c r="N2138" s="30">
        <v>34426.272727272728</v>
      </c>
    </row>
    <row r="2139" spans="1:14" x14ac:dyDescent="0.3">
      <c r="A2139">
        <v>32.554119999999742</v>
      </c>
      <c r="B2139">
        <v>55.692300000000003</v>
      </c>
      <c r="C2139">
        <f t="shared" si="99"/>
        <v>55.669219999999996</v>
      </c>
      <c r="D2139">
        <v>0.70554545454545459</v>
      </c>
      <c r="E2139">
        <f t="shared" si="100"/>
        <v>4.0194273909602014</v>
      </c>
      <c r="I2139" s="24">
        <f t="shared" si="101"/>
        <v>0.75690135423364058</v>
      </c>
      <c r="N2139" s="30">
        <v>34424.424242424247</v>
      </c>
    </row>
    <row r="2140" spans="1:14" x14ac:dyDescent="0.3">
      <c r="A2140">
        <v>32.569349999999744</v>
      </c>
      <c r="B2140">
        <v>55.230800000000002</v>
      </c>
      <c r="C2140">
        <f t="shared" si="99"/>
        <v>55.384599999999999</v>
      </c>
      <c r="D2140">
        <v>0.70539393939393946</v>
      </c>
      <c r="E2140">
        <f t="shared" si="100"/>
        <v>4.0143015767707482</v>
      </c>
      <c r="I2140" s="24">
        <f t="shared" si="101"/>
        <v>0.75194037096772992</v>
      </c>
      <c r="N2140" s="30">
        <v>34422.57575757576</v>
      </c>
    </row>
    <row r="2141" spans="1:14" x14ac:dyDescent="0.3">
      <c r="A2141">
        <v>32.584579999999747</v>
      </c>
      <c r="B2141">
        <v>55.153799999999997</v>
      </c>
      <c r="C2141">
        <f t="shared" si="99"/>
        <v>54.876920000000005</v>
      </c>
      <c r="D2141">
        <v>0.70524242424242423</v>
      </c>
      <c r="E2141">
        <f t="shared" si="100"/>
        <v>4.0050928593937272</v>
      </c>
      <c r="I2141" s="24">
        <f t="shared" si="101"/>
        <v>0.74298223622541371</v>
      </c>
      <c r="N2141" s="30">
        <v>34420.727272727272</v>
      </c>
    </row>
    <row r="2142" spans="1:14" x14ac:dyDescent="0.3">
      <c r="A2142">
        <v>32.599809999999749</v>
      </c>
      <c r="B2142">
        <v>54.692300000000003</v>
      </c>
      <c r="C2142">
        <f t="shared" si="99"/>
        <v>54.215380000000003</v>
      </c>
      <c r="D2142">
        <v>0.70509090909090921</v>
      </c>
      <c r="E2142">
        <f t="shared" si="100"/>
        <v>3.9929646320298962</v>
      </c>
      <c r="I2142" s="24">
        <f t="shared" si="101"/>
        <v>0.73129689394272479</v>
      </c>
      <c r="N2142" s="30">
        <v>34418.878787878792</v>
      </c>
    </row>
    <row r="2143" spans="1:14" x14ac:dyDescent="0.3">
      <c r="A2143">
        <v>32.615039999999752</v>
      </c>
      <c r="B2143">
        <v>53.615400000000001</v>
      </c>
      <c r="C2143">
        <f t="shared" si="99"/>
        <v>53.42306</v>
      </c>
      <c r="D2143">
        <v>0.70493939393939398</v>
      </c>
      <c r="E2143">
        <f t="shared" si="100"/>
        <v>3.9782424879581537</v>
      </c>
      <c r="I2143" s="24">
        <f t="shared" si="101"/>
        <v>0.71732609287219573</v>
      </c>
      <c r="N2143" s="30">
        <v>34417.030303030304</v>
      </c>
    </row>
    <row r="2144" spans="1:14" x14ac:dyDescent="0.3">
      <c r="A2144">
        <v>32.630269999999754</v>
      </c>
      <c r="B2144">
        <v>52.384599999999999</v>
      </c>
      <c r="C2144">
        <f t="shared" si="99"/>
        <v>52.438459999999999</v>
      </c>
      <c r="D2144">
        <v>0.70478787878787874</v>
      </c>
      <c r="E2144">
        <f t="shared" si="100"/>
        <v>3.9596402915687836</v>
      </c>
      <c r="I2144" s="24">
        <f t="shared" si="101"/>
        <v>0.70001467974891207</v>
      </c>
      <c r="N2144" s="30">
        <v>34415.181818181823</v>
      </c>
    </row>
    <row r="2145" spans="1:14" x14ac:dyDescent="0.3">
      <c r="A2145">
        <v>32.645499999999757</v>
      </c>
      <c r="B2145">
        <v>51.269199999999998</v>
      </c>
      <c r="C2145">
        <f t="shared" si="99"/>
        <v>51.369240000000005</v>
      </c>
      <c r="D2145">
        <v>0.70463636363636373</v>
      </c>
      <c r="E2145">
        <f t="shared" si="100"/>
        <v>3.9390395497425206</v>
      </c>
      <c r="I2145" s="24">
        <f t="shared" si="101"/>
        <v>0.68131478998832784</v>
      </c>
      <c r="N2145" s="30">
        <v>34413.333333333336</v>
      </c>
    </row>
    <row r="2146" spans="1:14" x14ac:dyDescent="0.3">
      <c r="A2146">
        <v>32.660729999999759</v>
      </c>
      <c r="B2146">
        <v>50.230800000000002</v>
      </c>
      <c r="C2146">
        <f t="shared" si="99"/>
        <v>50.415399999999998</v>
      </c>
      <c r="D2146">
        <v>0.70448484848484849</v>
      </c>
      <c r="E2146">
        <f t="shared" si="100"/>
        <v>3.9202966839602866</v>
      </c>
      <c r="I2146" s="24">
        <f t="shared" si="101"/>
        <v>0.6647486149638725</v>
      </c>
      <c r="N2146" s="30">
        <v>34411.484848484848</v>
      </c>
    </row>
    <row r="2147" spans="1:14" x14ac:dyDescent="0.3">
      <c r="A2147">
        <v>32.675959999999762</v>
      </c>
      <c r="B2147">
        <v>49.346200000000003</v>
      </c>
      <c r="C2147">
        <f t="shared" si="99"/>
        <v>49.653860000000002</v>
      </c>
      <c r="D2147">
        <v>0.70433333333333337</v>
      </c>
      <c r="E2147">
        <f t="shared" si="100"/>
        <v>3.9050761316787233</v>
      </c>
      <c r="I2147" s="24">
        <f t="shared" si="101"/>
        <v>0.65161888206581819</v>
      </c>
      <c r="N2147" s="30">
        <v>34409.636363636368</v>
      </c>
    </row>
    <row r="2148" spans="1:14" x14ac:dyDescent="0.3">
      <c r="A2148">
        <v>32.691189999999764</v>
      </c>
      <c r="B2148">
        <v>48.846200000000003</v>
      </c>
      <c r="C2148">
        <f t="shared" si="99"/>
        <v>49.007719999999999</v>
      </c>
      <c r="D2148">
        <v>0.70418181818181824</v>
      </c>
      <c r="E2148">
        <f t="shared" si="100"/>
        <v>3.8919778367211761</v>
      </c>
      <c r="I2148" s="24">
        <f t="shared" si="101"/>
        <v>0.64054692057545892</v>
      </c>
      <c r="N2148" s="30">
        <v>34407.78787878788</v>
      </c>
    </row>
    <row r="2149" spans="1:14" x14ac:dyDescent="0.3">
      <c r="A2149">
        <v>32.706419999999767</v>
      </c>
      <c r="B2149">
        <v>48.576900000000002</v>
      </c>
      <c r="C2149">
        <f t="shared" si="99"/>
        <v>48.392319999999998</v>
      </c>
      <c r="D2149">
        <v>0.70403030303030312</v>
      </c>
      <c r="E2149">
        <f t="shared" si="100"/>
        <v>3.8793411234459998</v>
      </c>
      <c r="I2149" s="24">
        <f t="shared" si="101"/>
        <v>0.63004827601312874</v>
      </c>
      <c r="N2149" s="30">
        <v>34405.939393939399</v>
      </c>
    </row>
    <row r="2150" spans="1:14" x14ac:dyDescent="0.3">
      <c r="A2150">
        <v>32.721649999999769</v>
      </c>
      <c r="B2150">
        <v>48.038499999999999</v>
      </c>
      <c r="C2150">
        <f t="shared" si="99"/>
        <v>47.723079999999996</v>
      </c>
      <c r="D2150">
        <v>0.70387878787878788</v>
      </c>
      <c r="E2150">
        <f t="shared" si="100"/>
        <v>3.8654151383153774</v>
      </c>
      <c r="I2150" s="24">
        <f t="shared" si="101"/>
        <v>0.6186641360444799</v>
      </c>
      <c r="N2150" s="30">
        <v>34404.090909090912</v>
      </c>
    </row>
    <row r="2151" spans="1:14" x14ac:dyDescent="0.3">
      <c r="A2151">
        <v>32.736879999999772</v>
      </c>
      <c r="B2151">
        <v>47.153799999999997</v>
      </c>
      <c r="C2151">
        <f t="shared" si="99"/>
        <v>46.907679999999992</v>
      </c>
      <c r="D2151">
        <v>0.70372727272727276</v>
      </c>
      <c r="E2151">
        <f t="shared" si="100"/>
        <v>3.8481814147114743</v>
      </c>
      <c r="I2151" s="24">
        <f t="shared" si="101"/>
        <v>0.60482948650152069</v>
      </c>
      <c r="N2151" s="30">
        <v>34402.242424242424</v>
      </c>
    </row>
    <row r="2152" spans="1:14" x14ac:dyDescent="0.3">
      <c r="A2152">
        <v>32.752109999999774</v>
      </c>
      <c r="B2152">
        <v>46</v>
      </c>
      <c r="C2152">
        <f t="shared" si="99"/>
        <v>46.030760000000001</v>
      </c>
      <c r="D2152">
        <v>0.70357575757575763</v>
      </c>
      <c r="E2152">
        <f t="shared" si="100"/>
        <v>3.8293098686639513</v>
      </c>
      <c r="I2152" s="24">
        <f t="shared" si="101"/>
        <v>0.59002262320746846</v>
      </c>
      <c r="N2152" s="30">
        <v>34400.393939393944</v>
      </c>
    </row>
    <row r="2153" spans="1:14" x14ac:dyDescent="0.3">
      <c r="A2153">
        <v>32.767339999999777</v>
      </c>
      <c r="B2153">
        <v>44.769199999999998</v>
      </c>
      <c r="C2153">
        <f t="shared" si="99"/>
        <v>45.146139999999995</v>
      </c>
      <c r="D2153">
        <v>0.7034242424242424</v>
      </c>
      <c r="E2153">
        <f t="shared" si="100"/>
        <v>3.8099047834065045</v>
      </c>
      <c r="I2153" s="24">
        <f t="shared" si="101"/>
        <v>0.57517158040297589</v>
      </c>
      <c r="N2153" s="30">
        <v>34398.545454545456</v>
      </c>
    </row>
    <row r="2154" spans="1:14" x14ac:dyDescent="0.3">
      <c r="A2154">
        <v>32.782569999999779</v>
      </c>
      <c r="B2154">
        <v>44.192300000000003</v>
      </c>
      <c r="C2154">
        <f t="shared" si="99"/>
        <v>44.353840000000005</v>
      </c>
      <c r="D2154">
        <v>0.70327272727272727</v>
      </c>
      <c r="E2154">
        <f t="shared" si="100"/>
        <v>3.792199288998392</v>
      </c>
      <c r="I2154" s="24">
        <f t="shared" si="101"/>
        <v>0.56195826059961662</v>
      </c>
      <c r="N2154" s="30">
        <v>34396.696969696975</v>
      </c>
    </row>
    <row r="2155" spans="1:14" x14ac:dyDescent="0.3">
      <c r="A2155">
        <v>32.797799999999782</v>
      </c>
      <c r="B2155">
        <v>43.615400000000001</v>
      </c>
      <c r="C2155">
        <f t="shared" si="99"/>
        <v>43.753840000000004</v>
      </c>
      <c r="D2155">
        <v>0.70312121212121215</v>
      </c>
      <c r="E2155">
        <f t="shared" si="100"/>
        <v>3.7785793803805086</v>
      </c>
      <c r="I2155" s="24">
        <f t="shared" si="101"/>
        <v>0.55202834189117245</v>
      </c>
      <c r="N2155" s="30">
        <v>34394.848484848488</v>
      </c>
    </row>
    <row r="2156" spans="1:14" x14ac:dyDescent="0.3">
      <c r="A2156">
        <v>32.813029999999785</v>
      </c>
      <c r="B2156">
        <v>43.192300000000003</v>
      </c>
      <c r="C2156">
        <f t="shared" si="99"/>
        <v>43.4923</v>
      </c>
      <c r="D2156">
        <v>0.70296969696969702</v>
      </c>
      <c r="E2156">
        <f t="shared" si="100"/>
        <v>3.7725839109320018</v>
      </c>
      <c r="I2156" s="25">
        <f t="shared" si="101"/>
        <v>0.54777910008010788</v>
      </c>
      <c r="N2156" s="30">
        <v>34393</v>
      </c>
    </row>
    <row r="2157" spans="1:14" x14ac:dyDescent="0.3">
      <c r="A2157">
        <v>32.828259999999787</v>
      </c>
      <c r="B2157">
        <v>43</v>
      </c>
      <c r="C2157">
        <f t="shared" si="99"/>
        <v>43.4923</v>
      </c>
      <c r="D2157">
        <v>0.70281818181818179</v>
      </c>
      <c r="E2157">
        <f t="shared" si="100"/>
        <v>3.7725839109320018</v>
      </c>
      <c r="I2157" s="24">
        <f t="shared" si="101"/>
        <v>0.54789719155168992</v>
      </c>
      <c r="N2157" s="30">
        <v>34383.653846153851</v>
      </c>
    </row>
    <row r="2158" spans="1:14" x14ac:dyDescent="0.3">
      <c r="A2158">
        <v>32.84348999999979</v>
      </c>
      <c r="B2158">
        <v>43.461500000000001</v>
      </c>
      <c r="C2158">
        <f t="shared" si="99"/>
        <v>43.638459999999995</v>
      </c>
      <c r="D2158">
        <v>0.70266666666666677</v>
      </c>
      <c r="E2158">
        <f t="shared" si="100"/>
        <v>3.7759388716162685</v>
      </c>
      <c r="I2158" s="24">
        <f t="shared" si="101"/>
        <v>0.55045649238535288</v>
      </c>
      <c r="N2158" s="30">
        <v>34374.307692307695</v>
      </c>
    </row>
    <row r="2159" spans="1:14" x14ac:dyDescent="0.3">
      <c r="A2159">
        <v>32.858719999999792</v>
      </c>
      <c r="B2159">
        <v>44.192300000000003</v>
      </c>
      <c r="C2159">
        <f t="shared" si="99"/>
        <v>43.884619999999998</v>
      </c>
      <c r="D2159">
        <v>0.70251515151515154</v>
      </c>
      <c r="E2159">
        <f t="shared" si="100"/>
        <v>3.7815639170114905</v>
      </c>
      <c r="I2159" s="24">
        <f t="shared" si="101"/>
        <v>0.55469345748343324</v>
      </c>
      <c r="N2159" s="30">
        <v>34364.961538461539</v>
      </c>
    </row>
    <row r="2160" spans="1:14" x14ac:dyDescent="0.3">
      <c r="A2160">
        <v>32.873949999999795</v>
      </c>
      <c r="B2160">
        <v>44.346200000000003</v>
      </c>
      <c r="C2160">
        <f t="shared" si="99"/>
        <v>44.269240000000003</v>
      </c>
      <c r="D2160">
        <v>0.7023636363636363</v>
      </c>
      <c r="E2160">
        <f t="shared" si="100"/>
        <v>3.7902900792147145</v>
      </c>
      <c r="I2160" s="24">
        <f t="shared" si="101"/>
        <v>0.5612642062417138</v>
      </c>
      <c r="N2160" s="30">
        <v>34355.61538461539</v>
      </c>
    </row>
    <row r="2161" spans="1:18" x14ac:dyDescent="0.3">
      <c r="A2161">
        <v>32.889179999999797</v>
      </c>
      <c r="B2161">
        <v>44.423099999999998</v>
      </c>
      <c r="C2161">
        <f t="shared" si="99"/>
        <v>44.715400000000002</v>
      </c>
      <c r="D2161">
        <v>0.70221212121212129</v>
      </c>
      <c r="E2161">
        <f t="shared" si="100"/>
        <v>3.8003179613021341</v>
      </c>
      <c r="I2161" s="24">
        <f t="shared" si="101"/>
        <v>0.56889303786410717</v>
      </c>
      <c r="N2161" s="30">
        <v>34346.269230769234</v>
      </c>
    </row>
    <row r="2162" spans="1:18" x14ac:dyDescent="0.3">
      <c r="A2162">
        <v>32.9044099999998</v>
      </c>
      <c r="B2162">
        <v>44.923099999999998</v>
      </c>
      <c r="C2162">
        <f t="shared" si="99"/>
        <v>45.223100000000002</v>
      </c>
      <c r="D2162">
        <v>0.70206060606060605</v>
      </c>
      <c r="E2162">
        <f t="shared" si="100"/>
        <v>3.8116080182374081</v>
      </c>
      <c r="I2162" s="24">
        <f t="shared" si="101"/>
        <v>0.57759058824231546</v>
      </c>
      <c r="N2162" s="30">
        <v>34336.923076923078</v>
      </c>
    </row>
    <row r="2163" spans="1:18" x14ac:dyDescent="0.3">
      <c r="A2163">
        <v>32.919639999999802</v>
      </c>
      <c r="B2163">
        <v>45.692300000000003</v>
      </c>
      <c r="C2163">
        <f t="shared" si="99"/>
        <v>45.823099999999997</v>
      </c>
      <c r="D2163">
        <v>0.70190909090909093</v>
      </c>
      <c r="E2163">
        <f t="shared" si="100"/>
        <v>3.8247883307821775</v>
      </c>
      <c r="I2163" s="24">
        <f t="shared" si="101"/>
        <v>0.58789150120921441</v>
      </c>
      <c r="N2163" s="30">
        <v>34327.576923076922</v>
      </c>
      <c r="O2163">
        <v>1993</v>
      </c>
      <c r="P2163" s="24">
        <f>AVERAGE(I2163:I2252)</f>
        <v>0.70068539995430679</v>
      </c>
      <c r="Q2163">
        <f>A2252-A2163</f>
        <v>1.3554700000002242</v>
      </c>
      <c r="R2163">
        <f>P2163*Q2163</f>
        <v>0.94975803907622136</v>
      </c>
    </row>
    <row r="2164" spans="1:18" x14ac:dyDescent="0.3">
      <c r="A2164">
        <v>32.934869999999805</v>
      </c>
      <c r="B2164">
        <v>46.730800000000002</v>
      </c>
      <c r="C2164">
        <f t="shared" si="99"/>
        <v>46.523100000000007</v>
      </c>
      <c r="D2164">
        <v>0.7017575757575758</v>
      </c>
      <c r="E2164">
        <f t="shared" si="100"/>
        <v>3.8399489634354098</v>
      </c>
      <c r="I2164" s="24">
        <f t="shared" si="101"/>
        <v>0.59994806915562504</v>
      </c>
      <c r="N2164" s="30">
        <v>34318.230769230773</v>
      </c>
    </row>
    <row r="2165" spans="1:18" x14ac:dyDescent="0.3">
      <c r="A2165">
        <v>32.950099999999807</v>
      </c>
      <c r="B2165">
        <v>47.346200000000003</v>
      </c>
      <c r="C2165">
        <f t="shared" si="99"/>
        <v>47.230780000000003</v>
      </c>
      <c r="D2165">
        <v>0.70160606060606068</v>
      </c>
      <c r="E2165">
        <f t="shared" si="100"/>
        <v>3.8550457986986091</v>
      </c>
      <c r="I2165" s="24">
        <f t="shared" si="101"/>
        <v>0.6122001789641216</v>
      </c>
      <c r="N2165" s="30">
        <v>34308.884615384617</v>
      </c>
    </row>
    <row r="2166" spans="1:18" x14ac:dyDescent="0.3">
      <c r="A2166">
        <v>32.96532999999981</v>
      </c>
      <c r="B2166">
        <v>47.923099999999998</v>
      </c>
      <c r="C2166">
        <f t="shared" si="99"/>
        <v>47.846159999999998</v>
      </c>
      <c r="D2166">
        <v>0.70145454545454544</v>
      </c>
      <c r="E2166">
        <f t="shared" si="100"/>
        <v>3.8679908638949976</v>
      </c>
      <c r="I2166" s="24">
        <f t="shared" si="101"/>
        <v>0.62292424810667668</v>
      </c>
      <c r="N2166" s="30">
        <v>34299.538461538461</v>
      </c>
    </row>
    <row r="2167" spans="1:18" x14ac:dyDescent="0.3">
      <c r="A2167">
        <v>32.980559999999812</v>
      </c>
      <c r="B2167">
        <v>48.461500000000001</v>
      </c>
      <c r="C2167">
        <f t="shared" si="99"/>
        <v>48.315379999999998</v>
      </c>
      <c r="D2167">
        <v>0.70130303030303032</v>
      </c>
      <c r="E2167">
        <f t="shared" si="100"/>
        <v>3.8777499364726036</v>
      </c>
      <c r="I2167" s="24">
        <f t="shared" si="101"/>
        <v>0.63116654337556477</v>
      </c>
      <c r="N2167" s="30">
        <v>34290.192307692312</v>
      </c>
    </row>
    <row r="2168" spans="1:18" x14ac:dyDescent="0.3">
      <c r="A2168">
        <v>32.995789999999815</v>
      </c>
      <c r="B2168">
        <v>48.769199999999998</v>
      </c>
      <c r="C2168">
        <f t="shared" si="99"/>
        <v>48.730759999999997</v>
      </c>
      <c r="D2168">
        <v>0.70115151515151519</v>
      </c>
      <c r="E2168">
        <f t="shared" si="100"/>
        <v>3.886310452875803</v>
      </c>
      <c r="I2168" s="24">
        <f t="shared" si="101"/>
        <v>0.63850327639740256</v>
      </c>
      <c r="N2168" s="30">
        <v>34280.846153846156</v>
      </c>
    </row>
    <row r="2169" spans="1:18" x14ac:dyDescent="0.3">
      <c r="A2169">
        <v>33.011019999999817</v>
      </c>
      <c r="B2169">
        <v>49.076900000000002</v>
      </c>
      <c r="C2169">
        <f t="shared" si="99"/>
        <v>49.215380000000003</v>
      </c>
      <c r="D2169" s="8">
        <v>0.70099999999999996</v>
      </c>
      <c r="E2169">
        <f t="shared" si="100"/>
        <v>3.8962061762745703</v>
      </c>
      <c r="I2169" s="24">
        <f t="shared" si="101"/>
        <v>0.64706889933560496</v>
      </c>
      <c r="N2169" s="30">
        <v>34271.5</v>
      </c>
    </row>
    <row r="2170" spans="1:18" x14ac:dyDescent="0.3">
      <c r="A2170">
        <v>33.02624999999982</v>
      </c>
      <c r="B2170">
        <v>49.423099999999998</v>
      </c>
      <c r="C2170">
        <f t="shared" ref="C2170:C2233" si="102">AVERAGE(B2168:B2172)</f>
        <v>49.746160000000003</v>
      </c>
      <c r="D2170">
        <v>0.70053846153846144</v>
      </c>
      <c r="E2170">
        <f t="shared" ref="E2170:E2233" si="103">LN(C2170)</f>
        <v>3.9069332746959664</v>
      </c>
      <c r="I2170" s="24">
        <f t="shared" ref="I2170:I2233" si="104">(0.0026*(EXP(1.3248*E2170)))/D2170</f>
        <v>0.65676262788373052</v>
      </c>
      <c r="N2170" s="30">
        <v>34262.153846153851</v>
      </c>
    </row>
    <row r="2171" spans="1:18" x14ac:dyDescent="0.3">
      <c r="A2171">
        <v>33.041479999999822</v>
      </c>
      <c r="B2171">
        <v>50.346200000000003</v>
      </c>
      <c r="C2171">
        <f t="shared" si="102"/>
        <v>50.323079999999997</v>
      </c>
      <c r="D2171">
        <v>0.70007692307692304</v>
      </c>
      <c r="E2171">
        <f t="shared" si="103"/>
        <v>3.918463818786126</v>
      </c>
      <c r="I2171" s="24">
        <f t="shared" si="104"/>
        <v>0.66731177935833796</v>
      </c>
      <c r="N2171" s="30">
        <v>34252.807692307695</v>
      </c>
    </row>
    <row r="2172" spans="1:18" x14ac:dyDescent="0.3">
      <c r="A2172">
        <v>33.056709999999825</v>
      </c>
      <c r="B2172">
        <v>51.115400000000001</v>
      </c>
      <c r="C2172">
        <f t="shared" si="102"/>
        <v>51.03078</v>
      </c>
      <c r="D2172">
        <v>0.69961538461538453</v>
      </c>
      <c r="E2172">
        <f t="shared" si="103"/>
        <v>3.9324289800854602</v>
      </c>
      <c r="I2172" s="24">
        <f t="shared" si="104"/>
        <v>0.68022110745248765</v>
      </c>
      <c r="N2172" s="30">
        <v>34243.461538461539</v>
      </c>
    </row>
    <row r="2173" spans="1:18" x14ac:dyDescent="0.3">
      <c r="A2173">
        <v>33.071939999999827</v>
      </c>
      <c r="B2173">
        <v>51.653799999999997</v>
      </c>
      <c r="C2173">
        <f t="shared" si="102"/>
        <v>51.930779999999992</v>
      </c>
      <c r="D2173">
        <v>0.69915384615384613</v>
      </c>
      <c r="E2173">
        <f t="shared" si="103"/>
        <v>3.9499116779629513</v>
      </c>
      <c r="I2173" s="24">
        <f t="shared" si="104"/>
        <v>0.69661918768337328</v>
      </c>
      <c r="N2173" s="30">
        <v>34234.11538461539</v>
      </c>
    </row>
    <row r="2174" spans="1:18" x14ac:dyDescent="0.3">
      <c r="A2174">
        <v>33.08716999999983</v>
      </c>
      <c r="B2174">
        <v>52.615400000000001</v>
      </c>
      <c r="C2174">
        <f t="shared" si="102"/>
        <v>52.946159999999999</v>
      </c>
      <c r="D2174">
        <v>0.69869230769230761</v>
      </c>
      <c r="E2174">
        <f t="shared" si="103"/>
        <v>3.9692755481711637</v>
      </c>
      <c r="I2174" s="24">
        <f t="shared" si="104"/>
        <v>0.71519305567540536</v>
      </c>
      <c r="N2174" s="30">
        <v>34224.769230769234</v>
      </c>
    </row>
    <row r="2175" spans="1:18" x14ac:dyDescent="0.3">
      <c r="A2175">
        <v>33.102399999999832</v>
      </c>
      <c r="B2175">
        <v>53.923099999999998</v>
      </c>
      <c r="C2175">
        <f t="shared" si="102"/>
        <v>54.192319999999995</v>
      </c>
      <c r="D2175">
        <v>0.69823076923076921</v>
      </c>
      <c r="E2175">
        <f t="shared" si="103"/>
        <v>3.9925392009885989</v>
      </c>
      <c r="I2175" s="24">
        <f t="shared" si="104"/>
        <v>0.73806581025661544</v>
      </c>
      <c r="N2175" s="30">
        <v>34215.423076923078</v>
      </c>
    </row>
    <row r="2176" spans="1:18" x14ac:dyDescent="0.3">
      <c r="A2176">
        <v>33.117629999999835</v>
      </c>
      <c r="B2176">
        <v>55.423099999999998</v>
      </c>
      <c r="C2176">
        <f t="shared" si="102"/>
        <v>55.700020000000009</v>
      </c>
      <c r="D2176">
        <v>0.6977692307692307</v>
      </c>
      <c r="E2176">
        <f t="shared" si="103"/>
        <v>4.0199805059996017</v>
      </c>
      <c r="I2176" s="24">
        <f t="shared" si="104"/>
        <v>0.76589758917185569</v>
      </c>
      <c r="N2176" s="30">
        <v>34206.076923076922</v>
      </c>
    </row>
    <row r="2177" spans="1:14" x14ac:dyDescent="0.3">
      <c r="A2177">
        <v>33.132859999999837</v>
      </c>
      <c r="B2177">
        <v>57.346200000000003</v>
      </c>
      <c r="C2177">
        <f t="shared" si="102"/>
        <v>57.315399999999997</v>
      </c>
      <c r="D2177">
        <v>0.69730769230769218</v>
      </c>
      <c r="E2177">
        <f t="shared" si="103"/>
        <v>4.0485693485184555</v>
      </c>
      <c r="I2177" s="24">
        <f t="shared" si="104"/>
        <v>0.7959884145869115</v>
      </c>
      <c r="N2177" s="30">
        <v>34196.730769230773</v>
      </c>
    </row>
    <row r="2178" spans="1:14" x14ac:dyDescent="0.3">
      <c r="A2178">
        <v>33.14808999999984</v>
      </c>
      <c r="B2178">
        <v>59.192300000000003</v>
      </c>
      <c r="C2178">
        <f t="shared" si="102"/>
        <v>58.976939999999999</v>
      </c>
      <c r="D2178">
        <v>0.69684615384615378</v>
      </c>
      <c r="E2178">
        <f t="shared" si="103"/>
        <v>4.0771465200473171</v>
      </c>
      <c r="I2178" s="24">
        <f t="shared" si="104"/>
        <v>0.8272490294367757</v>
      </c>
      <c r="N2178" s="30">
        <v>34187.384615384617</v>
      </c>
    </row>
    <row r="2179" spans="1:14" x14ac:dyDescent="0.3">
      <c r="A2179">
        <v>33.163319999999842</v>
      </c>
      <c r="B2179">
        <v>60.692300000000003</v>
      </c>
      <c r="C2179">
        <f t="shared" si="102"/>
        <v>60.530779999999993</v>
      </c>
      <c r="D2179">
        <v>0.69638461538461527</v>
      </c>
      <c r="E2179">
        <f t="shared" si="103"/>
        <v>4.1031519959927154</v>
      </c>
      <c r="I2179" s="24">
        <f t="shared" si="104"/>
        <v>0.85681358308939781</v>
      </c>
      <c r="N2179" s="30">
        <v>34178.038461538461</v>
      </c>
    </row>
    <row r="2180" spans="1:14" x14ac:dyDescent="0.3">
      <c r="A2180">
        <v>33.178549999999845</v>
      </c>
      <c r="B2180">
        <v>62.230800000000002</v>
      </c>
      <c r="C2180">
        <f t="shared" si="102"/>
        <v>61.769240000000003</v>
      </c>
      <c r="D2180">
        <v>0.69592307692307687</v>
      </c>
      <c r="E2180">
        <f t="shared" si="103"/>
        <v>4.1234055059248149</v>
      </c>
      <c r="I2180" s="24">
        <f t="shared" si="104"/>
        <v>0.8806983794105806</v>
      </c>
      <c r="N2180" s="30">
        <v>34168.692307692312</v>
      </c>
    </row>
    <row r="2181" spans="1:14" x14ac:dyDescent="0.3">
      <c r="A2181">
        <v>33.193779999999848</v>
      </c>
      <c r="B2181">
        <v>63.192300000000003</v>
      </c>
      <c r="C2181">
        <f t="shared" si="102"/>
        <v>62.338480000000004</v>
      </c>
      <c r="D2181">
        <v>0.69546153846153846</v>
      </c>
      <c r="E2181">
        <f t="shared" si="103"/>
        <v>4.1325788916229422</v>
      </c>
      <c r="I2181" s="24">
        <f t="shared" si="104"/>
        <v>0.89205833672354562</v>
      </c>
      <c r="N2181" s="30">
        <v>34159.346153846156</v>
      </c>
    </row>
    <row r="2182" spans="1:14" x14ac:dyDescent="0.3">
      <c r="A2182" s="16">
        <v>33.20900999999985</v>
      </c>
      <c r="B2182" s="16">
        <v>63.538499999999999</v>
      </c>
      <c r="C2182">
        <f t="shared" si="102"/>
        <v>62.5154</v>
      </c>
      <c r="D2182">
        <v>0.69499999999999995</v>
      </c>
      <c r="E2182">
        <f t="shared" si="103"/>
        <v>4.1354129263908614</v>
      </c>
      <c r="I2182" s="24">
        <f t="shared" si="104"/>
        <v>0.89600852131632835</v>
      </c>
      <c r="J2182">
        <v>1993</v>
      </c>
      <c r="K2182">
        <f>AVERAGE(I2182:I2277)</f>
        <v>0.6926167422409768</v>
      </c>
      <c r="L2182">
        <f>A2277-A2182</f>
        <v>1.4468500000002393</v>
      </c>
      <c r="M2182">
        <f>K2182*L2182</f>
        <v>1.0021125335115231</v>
      </c>
      <c r="N2182" s="30">
        <v>34150</v>
      </c>
    </row>
    <row r="2183" spans="1:14" x14ac:dyDescent="0.3">
      <c r="A2183" s="17">
        <v>33.224239999999853</v>
      </c>
      <c r="B2183" s="17">
        <v>62.038499999999999</v>
      </c>
      <c r="C2183">
        <f t="shared" si="102"/>
        <v>62.092319999999994</v>
      </c>
      <c r="D2183">
        <v>0.69453846153846155</v>
      </c>
      <c r="E2183">
        <f t="shared" si="103"/>
        <v>4.1286223097938981</v>
      </c>
      <c r="I2183" s="24">
        <f t="shared" si="104"/>
        <v>0.8885740787402665</v>
      </c>
      <c r="N2183" s="30">
        <v>34148.063492063491</v>
      </c>
    </row>
    <row r="2184" spans="1:14" x14ac:dyDescent="0.3">
      <c r="A2184">
        <v>33.239469999999855</v>
      </c>
      <c r="B2184">
        <v>61.576900000000002</v>
      </c>
      <c r="C2184">
        <f t="shared" si="102"/>
        <v>61.292319999999997</v>
      </c>
      <c r="D2184">
        <v>0.69407692307692304</v>
      </c>
      <c r="E2184">
        <f t="shared" si="103"/>
        <v>4.115654549612044</v>
      </c>
      <c r="I2184" s="24">
        <f t="shared" si="104"/>
        <v>0.87401984102778008</v>
      </c>
      <c r="N2184" s="30">
        <v>34146.126984126982</v>
      </c>
    </row>
    <row r="2185" spans="1:14" x14ac:dyDescent="0.3">
      <c r="A2185">
        <v>33.254699999999858</v>
      </c>
      <c r="B2185">
        <v>60.115400000000001</v>
      </c>
      <c r="C2185">
        <f t="shared" si="102"/>
        <v>60.31537999999999</v>
      </c>
      <c r="D2185">
        <v>0.69361538461538452</v>
      </c>
      <c r="E2185">
        <f t="shared" si="103"/>
        <v>4.0995871292544841</v>
      </c>
      <c r="I2185" s="24">
        <f t="shared" si="104"/>
        <v>0.85618129488571804</v>
      </c>
      <c r="N2185" s="30">
        <v>34144.190476190481</v>
      </c>
    </row>
    <row r="2186" spans="1:14" x14ac:dyDescent="0.3">
      <c r="A2186">
        <v>33.26992999999986</v>
      </c>
      <c r="B2186">
        <v>59.192300000000003</v>
      </c>
      <c r="C2186">
        <f t="shared" si="102"/>
        <v>59.615380000000002</v>
      </c>
      <c r="D2186">
        <v>0.69315384615384601</v>
      </c>
      <c r="E2186">
        <f t="shared" si="103"/>
        <v>4.0879135944724521</v>
      </c>
      <c r="I2186" s="24">
        <f t="shared" si="104"/>
        <v>0.84360356893205668</v>
      </c>
      <c r="N2186" s="30">
        <v>34142.253968253972</v>
      </c>
    </row>
    <row r="2187" spans="1:14" x14ac:dyDescent="0.3">
      <c r="A2187">
        <v>33.285159999999863</v>
      </c>
      <c r="B2187">
        <v>58.653799999999997</v>
      </c>
      <c r="C2187">
        <f t="shared" si="102"/>
        <v>59</v>
      </c>
      <c r="D2187">
        <v>0.69269230769230761</v>
      </c>
      <c r="E2187">
        <f t="shared" si="103"/>
        <v>4.0775374439057197</v>
      </c>
      <c r="I2187" s="24">
        <f t="shared" si="104"/>
        <v>0.83264087732264347</v>
      </c>
      <c r="N2187" s="30">
        <v>34140.317460317463</v>
      </c>
    </row>
    <row r="2188" spans="1:14" x14ac:dyDescent="0.3">
      <c r="A2188">
        <v>33.300389999999865</v>
      </c>
      <c r="B2188">
        <v>58.538499999999999</v>
      </c>
      <c r="C2188">
        <f t="shared" si="102"/>
        <v>58.723080000000003</v>
      </c>
      <c r="D2188">
        <v>0.69223076923076921</v>
      </c>
      <c r="E2188">
        <f t="shared" si="103"/>
        <v>4.0728328352467615</v>
      </c>
      <c r="I2188" s="24">
        <f t="shared" si="104"/>
        <v>0.8280191503601354</v>
      </c>
      <c r="N2188" s="30">
        <v>34138.380952380954</v>
      </c>
    </row>
    <row r="2189" spans="1:14" x14ac:dyDescent="0.3">
      <c r="A2189">
        <v>33.315619999999868</v>
      </c>
      <c r="B2189">
        <v>58.5</v>
      </c>
      <c r="C2189">
        <f t="shared" si="102"/>
        <v>58.592319999999994</v>
      </c>
      <c r="D2189">
        <v>0.69176923076923069</v>
      </c>
      <c r="E2189">
        <f t="shared" si="103"/>
        <v>4.0706036299736361</v>
      </c>
      <c r="I2189" s="24">
        <f t="shared" si="104"/>
        <v>0.82612822251755158</v>
      </c>
      <c r="N2189" s="30">
        <v>34136.444444444445</v>
      </c>
    </row>
    <row r="2190" spans="1:14" x14ac:dyDescent="0.3">
      <c r="A2190">
        <v>33.33084999999987</v>
      </c>
      <c r="B2190">
        <v>58.730800000000002</v>
      </c>
      <c r="C2190">
        <f t="shared" si="102"/>
        <v>58.376940000000005</v>
      </c>
      <c r="D2190">
        <v>0.69130769230769229</v>
      </c>
      <c r="E2190">
        <f t="shared" si="103"/>
        <v>4.0669209488415552</v>
      </c>
      <c r="I2190" s="24">
        <f t="shared" si="104"/>
        <v>0.82265637556662274</v>
      </c>
      <c r="N2190" s="30">
        <v>34134.507936507936</v>
      </c>
    </row>
    <row r="2191" spans="1:14" x14ac:dyDescent="0.3">
      <c r="A2191">
        <v>33.346079999999873</v>
      </c>
      <c r="B2191">
        <v>58.538499999999999</v>
      </c>
      <c r="C2191">
        <f t="shared" si="102"/>
        <v>58.0077</v>
      </c>
      <c r="D2191">
        <v>0.69084615384615378</v>
      </c>
      <c r="E2191">
        <f t="shared" si="103"/>
        <v>4.0605757603554631</v>
      </c>
      <c r="I2191" s="24">
        <f t="shared" si="104"/>
        <v>0.81631502059839467</v>
      </c>
      <c r="N2191" s="30">
        <v>34132.571428571428</v>
      </c>
    </row>
    <row r="2192" spans="1:14" x14ac:dyDescent="0.3">
      <c r="A2192">
        <v>33.361309999999875</v>
      </c>
      <c r="B2192">
        <v>57.576900000000002</v>
      </c>
      <c r="C2192">
        <f t="shared" si="102"/>
        <v>57.561540000000001</v>
      </c>
      <c r="D2192">
        <v>0.69038461538461537</v>
      </c>
      <c r="E2192">
        <f t="shared" si="103"/>
        <v>4.0528546363520244</v>
      </c>
      <c r="I2192" s="24">
        <f t="shared" si="104"/>
        <v>0.80854771207342857</v>
      </c>
      <c r="N2192" s="30">
        <v>34130.634920634919</v>
      </c>
    </row>
    <row r="2193" spans="1:14" x14ac:dyDescent="0.3">
      <c r="A2193">
        <v>33.376539999999878</v>
      </c>
      <c r="B2193">
        <v>56.692300000000003</v>
      </c>
      <c r="C2193">
        <f t="shared" si="102"/>
        <v>57.030760000000008</v>
      </c>
      <c r="D2193">
        <v>0.68992307692307686</v>
      </c>
      <c r="E2193">
        <f t="shared" si="103"/>
        <v>4.0435907713991339</v>
      </c>
      <c r="I2193" s="24">
        <f t="shared" si="104"/>
        <v>0.79921953425982051</v>
      </c>
      <c r="N2193" s="30">
        <v>34128.698412698417</v>
      </c>
    </row>
    <row r="2194" spans="1:14" x14ac:dyDescent="0.3">
      <c r="A2194">
        <v>33.39176999999988</v>
      </c>
      <c r="B2194">
        <v>56.269199999999998</v>
      </c>
      <c r="C2194">
        <f t="shared" si="102"/>
        <v>56.576900000000002</v>
      </c>
      <c r="D2194">
        <v>0.68946153846153835</v>
      </c>
      <c r="E2194">
        <f t="shared" si="103"/>
        <v>4.0356007746940801</v>
      </c>
      <c r="I2194" s="24">
        <f t="shared" si="104"/>
        <v>0.79133367354894224</v>
      </c>
      <c r="N2194" s="30">
        <v>34126.761904761908</v>
      </c>
    </row>
    <row r="2195" spans="1:14" x14ac:dyDescent="0.3">
      <c r="A2195">
        <v>33.406999999999883</v>
      </c>
      <c r="B2195">
        <v>56.076900000000002</v>
      </c>
      <c r="C2195">
        <f t="shared" si="102"/>
        <v>56.284599999999998</v>
      </c>
      <c r="D2195">
        <v>0.68899999999999995</v>
      </c>
      <c r="E2195">
        <f t="shared" si="103"/>
        <v>4.0304209630923431</v>
      </c>
      <c r="I2195" s="24">
        <f t="shared" si="104"/>
        <v>0.78644842491052747</v>
      </c>
      <c r="N2195" s="30">
        <v>34124.825396825399</v>
      </c>
    </row>
    <row r="2196" spans="1:14" x14ac:dyDescent="0.3">
      <c r="A2196">
        <v>33.422229999999885</v>
      </c>
      <c r="B2196">
        <v>56.269199999999998</v>
      </c>
      <c r="C2196">
        <f t="shared" si="102"/>
        <v>56.184600000000003</v>
      </c>
      <c r="D2196">
        <v>0.68853846153846143</v>
      </c>
      <c r="E2196">
        <f t="shared" si="103"/>
        <v>4.0286426979966219</v>
      </c>
      <c r="I2196" s="24">
        <f t="shared" si="104"/>
        <v>0.78512378316047693</v>
      </c>
      <c r="N2196" s="30">
        <v>34122.888888888891</v>
      </c>
    </row>
    <row r="2197" spans="1:14" x14ac:dyDescent="0.3">
      <c r="A2197">
        <v>33.437459999999888</v>
      </c>
      <c r="B2197">
        <v>56.115400000000001</v>
      </c>
      <c r="C2197">
        <f t="shared" si="102"/>
        <v>56.31537999999999</v>
      </c>
      <c r="D2197">
        <v>0.68807692307692303</v>
      </c>
      <c r="E2197">
        <f t="shared" si="103"/>
        <v>4.03096767723504</v>
      </c>
      <c r="I2197" s="24">
        <f t="shared" si="104"/>
        <v>0.78807405536305952</v>
      </c>
      <c r="N2197" s="30">
        <v>34120.952380952382</v>
      </c>
    </row>
    <row r="2198" spans="1:14" x14ac:dyDescent="0.3">
      <c r="A2198">
        <v>33.45268999999989</v>
      </c>
      <c r="B2198">
        <v>56.192300000000003</v>
      </c>
      <c r="C2198">
        <f t="shared" si="102"/>
        <v>56.661540000000002</v>
      </c>
      <c r="D2198">
        <v>0.68761538461538452</v>
      </c>
      <c r="E2198">
        <f t="shared" si="103"/>
        <v>4.0370956737012067</v>
      </c>
      <c r="I2198" s="24">
        <f t="shared" si="104"/>
        <v>0.79503125226164884</v>
      </c>
      <c r="N2198" s="30">
        <v>34119.015873015873</v>
      </c>
    </row>
    <row r="2199" spans="1:14" x14ac:dyDescent="0.3">
      <c r="A2199">
        <v>33.467919999999893</v>
      </c>
      <c r="B2199">
        <v>56.923099999999998</v>
      </c>
      <c r="C2199">
        <f t="shared" si="102"/>
        <v>56.976939999999999</v>
      </c>
      <c r="D2199">
        <v>0.68715384615384612</v>
      </c>
      <c r="E2199">
        <f t="shared" si="103"/>
        <v>4.0426466245739983</v>
      </c>
      <c r="I2199" s="24">
        <f t="shared" si="104"/>
        <v>0.80143732030616766</v>
      </c>
      <c r="N2199" s="30">
        <v>34117.079365079364</v>
      </c>
    </row>
    <row r="2200" spans="1:14" x14ac:dyDescent="0.3">
      <c r="A2200">
        <v>33.483149999999895</v>
      </c>
      <c r="B2200">
        <v>57.807699999999997</v>
      </c>
      <c r="C2200">
        <f t="shared" si="102"/>
        <v>57.33077999999999</v>
      </c>
      <c r="D2200">
        <v>0.68669230769230771</v>
      </c>
      <c r="E2200">
        <f t="shared" si="103"/>
        <v>4.0488376522699152</v>
      </c>
      <c r="I2200" s="24">
        <f t="shared" si="104"/>
        <v>0.80858073518268947</v>
      </c>
      <c r="N2200" s="30">
        <v>34115.142857142855</v>
      </c>
    </row>
    <row r="2201" spans="1:14" x14ac:dyDescent="0.3">
      <c r="A2201">
        <v>33.498379999999898</v>
      </c>
      <c r="B2201">
        <v>57.846200000000003</v>
      </c>
      <c r="C2201">
        <f t="shared" si="102"/>
        <v>57.623080000000002</v>
      </c>
      <c r="D2201">
        <v>0.6862307692307692</v>
      </c>
      <c r="E2201">
        <f t="shared" si="103"/>
        <v>4.0539231818897097</v>
      </c>
      <c r="I2201" s="24">
        <f t="shared" si="104"/>
        <v>0.81459429025278507</v>
      </c>
      <c r="N2201" s="30">
        <v>34113.206349206353</v>
      </c>
    </row>
    <row r="2202" spans="1:14" x14ac:dyDescent="0.3">
      <c r="A2202">
        <v>33.5136099999999</v>
      </c>
      <c r="B2202">
        <v>57.884599999999999</v>
      </c>
      <c r="C2202">
        <f t="shared" si="102"/>
        <v>57.838459999999998</v>
      </c>
      <c r="D2202">
        <v>0.68576923076923069</v>
      </c>
      <c r="E2202">
        <f t="shared" si="103"/>
        <v>4.0576539523231618</v>
      </c>
      <c r="I2202" s="24">
        <f t="shared" si="104"/>
        <v>0.81918136580920387</v>
      </c>
      <c r="N2202" s="30">
        <v>34111.269841269845</v>
      </c>
    </row>
    <row r="2203" spans="1:14" x14ac:dyDescent="0.3">
      <c r="A2203">
        <v>33.528839999999903</v>
      </c>
      <c r="B2203">
        <v>57.653799999999997</v>
      </c>
      <c r="C2203">
        <f t="shared" si="102"/>
        <v>57.9</v>
      </c>
      <c r="D2203">
        <v>0.68530769230769217</v>
      </c>
      <c r="E2203">
        <f t="shared" si="103"/>
        <v>4.0587173845789497</v>
      </c>
      <c r="I2203" s="24">
        <f t="shared" si="104"/>
        <v>0.8208887475792388</v>
      </c>
      <c r="N2203" s="30">
        <v>34109.333333333336</v>
      </c>
    </row>
    <row r="2204" spans="1:14" x14ac:dyDescent="0.3">
      <c r="A2204">
        <v>33.544069999999905</v>
      </c>
      <c r="B2204">
        <v>58</v>
      </c>
      <c r="C2204">
        <f t="shared" si="102"/>
        <v>57.9923</v>
      </c>
      <c r="D2204">
        <v>0.68484615384615377</v>
      </c>
      <c r="E2204">
        <f t="shared" si="103"/>
        <v>4.0603102431125242</v>
      </c>
      <c r="I2204" s="24">
        <f t="shared" si="104"/>
        <v>0.82317722192091058</v>
      </c>
      <c r="N2204" s="30">
        <v>34107.396825396827</v>
      </c>
    </row>
    <row r="2205" spans="1:14" x14ac:dyDescent="0.3">
      <c r="A2205">
        <v>33.559299999999908</v>
      </c>
      <c r="B2205">
        <v>58.115400000000001</v>
      </c>
      <c r="C2205">
        <f t="shared" si="102"/>
        <v>58.053839999999994</v>
      </c>
      <c r="D2205">
        <v>0.68438461538461537</v>
      </c>
      <c r="E2205">
        <f t="shared" si="103"/>
        <v>4.0613708558268948</v>
      </c>
      <c r="I2205" s="24">
        <f t="shared" si="104"/>
        <v>0.82489059962442646</v>
      </c>
      <c r="N2205" s="30">
        <v>34105.460317460318</v>
      </c>
    </row>
    <row r="2206" spans="1:14" x14ac:dyDescent="0.3">
      <c r="A2206">
        <v>33.574529999999911</v>
      </c>
      <c r="B2206">
        <v>58.307699999999997</v>
      </c>
      <c r="C2206">
        <f t="shared" si="102"/>
        <v>58.061539999999994</v>
      </c>
      <c r="D2206">
        <v>0.68392307692307686</v>
      </c>
      <c r="E2206">
        <f t="shared" si="103"/>
        <v>4.0615034825299432</v>
      </c>
      <c r="I2206" s="24">
        <f t="shared" si="104"/>
        <v>0.82559231558076118</v>
      </c>
      <c r="N2206" s="30">
        <v>34103.523809523809</v>
      </c>
    </row>
    <row r="2207" spans="1:14" x14ac:dyDescent="0.3">
      <c r="A2207">
        <v>33.589759999999913</v>
      </c>
      <c r="B2207">
        <v>58.192300000000003</v>
      </c>
      <c r="C2207">
        <f t="shared" si="102"/>
        <v>57.876920000000005</v>
      </c>
      <c r="D2207">
        <v>0.68346153846153845</v>
      </c>
      <c r="E2207">
        <f t="shared" si="103"/>
        <v>4.0583186868021262</v>
      </c>
      <c r="I2207" s="24">
        <f t="shared" si="104"/>
        <v>0.8226714717126975</v>
      </c>
      <c r="N2207" s="30">
        <v>34101.5873015873</v>
      </c>
    </row>
    <row r="2208" spans="1:14" x14ac:dyDescent="0.3">
      <c r="A2208">
        <v>33.604989999999916</v>
      </c>
      <c r="B2208">
        <v>57.692300000000003</v>
      </c>
      <c r="C2208">
        <f t="shared" si="102"/>
        <v>57.446139999999993</v>
      </c>
      <c r="D2208">
        <v>0.68299999999999994</v>
      </c>
      <c r="E2208">
        <f t="shared" si="103"/>
        <v>4.0508478131776142</v>
      </c>
      <c r="I2208" s="24">
        <f t="shared" si="104"/>
        <v>0.81511976008613807</v>
      </c>
      <c r="N2208" s="30">
        <v>34099.650793650791</v>
      </c>
    </row>
    <row r="2209" spans="1:14" x14ac:dyDescent="0.3">
      <c r="A2209">
        <v>33.620219999999918</v>
      </c>
      <c r="B2209">
        <v>57.076900000000002</v>
      </c>
      <c r="C2209">
        <f t="shared" si="102"/>
        <v>56.784599999999998</v>
      </c>
      <c r="D2209">
        <v>0.68253846153846154</v>
      </c>
      <c r="E2209">
        <f t="shared" si="103"/>
        <v>4.0392651622050373</v>
      </c>
      <c r="I2209" s="24">
        <f t="shared" si="104"/>
        <v>0.80325026790724419</v>
      </c>
      <c r="N2209" s="30">
        <v>34097.71428571429</v>
      </c>
    </row>
    <row r="2210" spans="1:14" x14ac:dyDescent="0.3">
      <c r="A2210">
        <v>33.635449999999921</v>
      </c>
      <c r="B2210">
        <v>55.961500000000001</v>
      </c>
      <c r="C2210">
        <f t="shared" si="102"/>
        <v>56.007680000000008</v>
      </c>
      <c r="D2210">
        <v>0.68207692307692303</v>
      </c>
      <c r="E2210">
        <f t="shared" si="103"/>
        <v>4.0254888241890701</v>
      </c>
      <c r="I2210" s="24">
        <f t="shared" si="104"/>
        <v>0.7892569051300613</v>
      </c>
      <c r="N2210" s="30">
        <v>34095.777777777781</v>
      </c>
    </row>
    <row r="2211" spans="1:14" x14ac:dyDescent="0.3">
      <c r="A2211">
        <v>33.650679999999923</v>
      </c>
      <c r="B2211">
        <v>55</v>
      </c>
      <c r="C2211">
        <f t="shared" si="102"/>
        <v>55.199979999999996</v>
      </c>
      <c r="D2211">
        <v>0.68161538461538451</v>
      </c>
      <c r="E2211">
        <f t="shared" si="103"/>
        <v>4.0109625909641435</v>
      </c>
      <c r="I2211" s="24">
        <f t="shared" si="104"/>
        <v>0.77473762057415463</v>
      </c>
      <c r="N2211" s="30">
        <v>34093.841269841272</v>
      </c>
    </row>
    <row r="2212" spans="1:14" x14ac:dyDescent="0.3">
      <c r="A2212">
        <v>33.665909999999926</v>
      </c>
      <c r="B2212">
        <v>54.307699999999997</v>
      </c>
      <c r="C2212">
        <f t="shared" si="102"/>
        <v>54.42306</v>
      </c>
      <c r="D2212">
        <v>0.68115384615384611</v>
      </c>
      <c r="E2212">
        <f t="shared" si="103"/>
        <v>3.9967879611017438</v>
      </c>
      <c r="I2212" s="24">
        <f t="shared" si="104"/>
        <v>0.76084010350249387</v>
      </c>
      <c r="N2212" s="30">
        <v>34091.904761904763</v>
      </c>
    </row>
    <row r="2213" spans="1:14" x14ac:dyDescent="0.3">
      <c r="A2213">
        <v>33.681139999999928</v>
      </c>
      <c r="B2213">
        <v>53.653799999999997</v>
      </c>
      <c r="C2213">
        <f t="shared" si="102"/>
        <v>53.784599999999998</v>
      </c>
      <c r="D2213">
        <v>0.6806923076923076</v>
      </c>
      <c r="E2213">
        <f t="shared" si="103"/>
        <v>3.9849871808385582</v>
      </c>
      <c r="I2213" s="24">
        <f t="shared" si="104"/>
        <v>0.74954575375158206</v>
      </c>
      <c r="N2213" s="30">
        <v>34089.968253968254</v>
      </c>
    </row>
    <row r="2214" spans="1:14" x14ac:dyDescent="0.3">
      <c r="A2214">
        <v>33.696369999999931</v>
      </c>
      <c r="B2214">
        <v>53.192300000000003</v>
      </c>
      <c r="C2214">
        <f t="shared" si="102"/>
        <v>53.230759999999997</v>
      </c>
      <c r="D2214">
        <v>0.68023076923076919</v>
      </c>
      <c r="E2214">
        <f t="shared" si="103"/>
        <v>3.9746364247457131</v>
      </c>
      <c r="I2214" s="24">
        <f t="shared" si="104"/>
        <v>0.73983926444743708</v>
      </c>
      <c r="N2214" s="30">
        <v>34088.031746031746</v>
      </c>
    </row>
    <row r="2215" spans="1:14" x14ac:dyDescent="0.3">
      <c r="A2215">
        <v>33.711599999999933</v>
      </c>
      <c r="B2215">
        <v>52.769199999999998</v>
      </c>
      <c r="C2215">
        <f t="shared" si="102"/>
        <v>52.630759999999995</v>
      </c>
      <c r="D2215">
        <v>0.67976923076923068</v>
      </c>
      <c r="E2215">
        <f t="shared" si="103"/>
        <v>3.9633007396946383</v>
      </c>
      <c r="I2215" s="24">
        <f t="shared" si="104"/>
        <v>0.72930656366417279</v>
      </c>
      <c r="N2215" s="30">
        <v>34086.095238095237</v>
      </c>
    </row>
    <row r="2216" spans="1:14" x14ac:dyDescent="0.3">
      <c r="A2216">
        <v>33.726829999999936</v>
      </c>
      <c r="B2216">
        <v>52.230800000000002</v>
      </c>
      <c r="C2216">
        <f t="shared" si="102"/>
        <v>51.9923</v>
      </c>
      <c r="D2216">
        <v>0.67930769230769228</v>
      </c>
      <c r="E2216">
        <f t="shared" si="103"/>
        <v>3.9510956306938803</v>
      </c>
      <c r="I2216" s="24">
        <f t="shared" si="104"/>
        <v>0.71809655343654344</v>
      </c>
      <c r="N2216" s="30">
        <v>34084.158730158728</v>
      </c>
    </row>
    <row r="2217" spans="1:14" x14ac:dyDescent="0.3">
      <c r="A2217">
        <v>33.742059999999938</v>
      </c>
      <c r="B2217">
        <v>51.307699999999997</v>
      </c>
      <c r="C2217">
        <f t="shared" si="102"/>
        <v>51.307680000000005</v>
      </c>
      <c r="D2217">
        <v>0.67884615384615388</v>
      </c>
      <c r="E2217">
        <f t="shared" si="103"/>
        <v>3.9378404485739984</v>
      </c>
      <c r="I2217" s="24">
        <f t="shared" si="104"/>
        <v>0.70607624396038482</v>
      </c>
      <c r="N2217" s="30">
        <v>34082.222222222226</v>
      </c>
    </row>
    <row r="2218" spans="1:14" x14ac:dyDescent="0.3">
      <c r="A2218">
        <v>33.757289999999941</v>
      </c>
      <c r="B2218">
        <v>50.461500000000001</v>
      </c>
      <c r="C2218">
        <f t="shared" si="102"/>
        <v>50.615380000000002</v>
      </c>
      <c r="D2218">
        <v>0.67838461538461536</v>
      </c>
      <c r="E2218">
        <f t="shared" si="103"/>
        <v>3.9242554826783662</v>
      </c>
      <c r="I2218" s="24">
        <f t="shared" si="104"/>
        <v>0.69395421175728489</v>
      </c>
      <c r="N2218" s="30">
        <v>34080.285714285717</v>
      </c>
    </row>
    <row r="2219" spans="1:14" x14ac:dyDescent="0.3">
      <c r="A2219">
        <v>33.772519999999943</v>
      </c>
      <c r="B2219">
        <v>49.769199999999998</v>
      </c>
      <c r="C2219">
        <f t="shared" si="102"/>
        <v>49.930759999999999</v>
      </c>
      <c r="D2219">
        <v>0.67792307692307685</v>
      </c>
      <c r="E2219">
        <f t="shared" si="103"/>
        <v>3.9106372457065088</v>
      </c>
      <c r="I2219" s="24">
        <f t="shared" si="104"/>
        <v>0.68201054628400148</v>
      </c>
      <c r="N2219" s="30">
        <v>34078.349206349209</v>
      </c>
    </row>
    <row r="2220" spans="1:14" x14ac:dyDescent="0.3">
      <c r="A2220">
        <v>33.787749999999946</v>
      </c>
      <c r="B2220">
        <v>49.307699999999997</v>
      </c>
      <c r="C2220">
        <f t="shared" si="102"/>
        <v>49.44614</v>
      </c>
      <c r="D2220">
        <v>0.67746153846153834</v>
      </c>
      <c r="E2220">
        <f t="shared" si="103"/>
        <v>3.9008839963768907</v>
      </c>
      <c r="I2220" s="24">
        <f t="shared" si="104"/>
        <v>0.67371357727970327</v>
      </c>
      <c r="N2220" s="30">
        <v>34076.4126984127</v>
      </c>
    </row>
    <row r="2221" spans="1:14" x14ac:dyDescent="0.3">
      <c r="A2221">
        <v>33.802979999999948</v>
      </c>
      <c r="B2221">
        <v>48.807699999999997</v>
      </c>
      <c r="C2221">
        <f t="shared" si="102"/>
        <v>49.138459999999995</v>
      </c>
      <c r="D2221">
        <v>0.67699999999999994</v>
      </c>
      <c r="E2221">
        <f t="shared" si="103"/>
        <v>3.8946420275706162</v>
      </c>
      <c r="I2221" s="24">
        <f t="shared" si="104"/>
        <v>0.66862088420551935</v>
      </c>
      <c r="N2221" s="30">
        <v>34074.476190476191</v>
      </c>
    </row>
    <row r="2222" spans="1:14" x14ac:dyDescent="0.3">
      <c r="A2222">
        <v>33.818209999999951</v>
      </c>
      <c r="B2222">
        <v>48.884599999999999</v>
      </c>
      <c r="C2222">
        <f t="shared" si="102"/>
        <v>48.938459999999999</v>
      </c>
      <c r="D2222">
        <v>0.67653846153846142</v>
      </c>
      <c r="E2222">
        <f t="shared" si="103"/>
        <v>3.8905635904168512</v>
      </c>
      <c r="I2222" s="24">
        <f t="shared" si="104"/>
        <v>0.6654716709657692</v>
      </c>
      <c r="N2222" s="30">
        <v>34072.539682539682</v>
      </c>
    </row>
    <row r="2223" spans="1:14" x14ac:dyDescent="0.3">
      <c r="A2223">
        <v>33.833439999999953</v>
      </c>
      <c r="B2223">
        <v>48.923099999999998</v>
      </c>
      <c r="C2223">
        <f t="shared" si="102"/>
        <v>48.715379999999996</v>
      </c>
      <c r="D2223">
        <v>0.67607692307692302</v>
      </c>
      <c r="E2223">
        <f t="shared" si="103"/>
        <v>3.8859947913190149</v>
      </c>
      <c r="I2223" s="24">
        <f t="shared" si="104"/>
        <v>0.66190746317705718</v>
      </c>
      <c r="N2223" s="30">
        <v>34070.603174603173</v>
      </c>
    </row>
    <row r="2224" spans="1:14" x14ac:dyDescent="0.3">
      <c r="A2224">
        <v>33.848669999999956</v>
      </c>
      <c r="B2224">
        <v>48.769199999999998</v>
      </c>
      <c r="C2224">
        <f t="shared" si="102"/>
        <v>48.461539999999999</v>
      </c>
      <c r="D2224">
        <v>0.67561538461538462</v>
      </c>
      <c r="E2224">
        <f t="shared" si="103"/>
        <v>3.8807704936700729</v>
      </c>
      <c r="I2224" s="24">
        <f t="shared" si="104"/>
        <v>0.65779117489148897</v>
      </c>
      <c r="N2224" s="30">
        <v>34068.666666666664</v>
      </c>
    </row>
    <row r="2225" spans="1:14" x14ac:dyDescent="0.3">
      <c r="A2225">
        <v>33.863899999999958</v>
      </c>
      <c r="B2225">
        <v>48.192300000000003</v>
      </c>
      <c r="C2225">
        <f t="shared" si="102"/>
        <v>48.076919999999994</v>
      </c>
      <c r="D2225">
        <v>0.6751538461538461</v>
      </c>
      <c r="E2225">
        <f t="shared" si="103"/>
        <v>3.8728022282748626</v>
      </c>
      <c r="I2225" s="24">
        <f t="shared" si="104"/>
        <v>0.65132876552452712</v>
      </c>
      <c r="N2225" s="30">
        <v>34066.730158730163</v>
      </c>
    </row>
    <row r="2226" spans="1:14" x14ac:dyDescent="0.3">
      <c r="A2226">
        <v>33.879129999999961</v>
      </c>
      <c r="B2226">
        <v>47.538499999999999</v>
      </c>
      <c r="C2226">
        <f t="shared" si="102"/>
        <v>47.653840000000002</v>
      </c>
      <c r="D2226">
        <v>0.6746923076923077</v>
      </c>
      <c r="E2226">
        <f t="shared" si="103"/>
        <v>3.8639632144712519</v>
      </c>
      <c r="I2226" s="24">
        <f t="shared" si="104"/>
        <v>0.64418660538795625</v>
      </c>
      <c r="N2226" s="30">
        <v>34064.793650793654</v>
      </c>
    </row>
    <row r="2227" spans="1:14" x14ac:dyDescent="0.3">
      <c r="A2227">
        <v>33.894359999999963</v>
      </c>
      <c r="B2227">
        <v>46.961500000000001</v>
      </c>
      <c r="C2227">
        <f t="shared" si="102"/>
        <v>47.253840000000004</v>
      </c>
      <c r="D2227">
        <v>0.67423076923076919</v>
      </c>
      <c r="E2227">
        <f t="shared" si="103"/>
        <v>3.8555339204788068</v>
      </c>
      <c r="I2227" s="24">
        <f t="shared" si="104"/>
        <v>0.63746898314968703</v>
      </c>
      <c r="N2227" s="30">
        <v>34062.857142857145</v>
      </c>
    </row>
    <row r="2228" spans="1:14" x14ac:dyDescent="0.3">
      <c r="A2228">
        <v>33.909589999999966</v>
      </c>
      <c r="B2228">
        <v>46.807699999999997</v>
      </c>
      <c r="C2228">
        <f t="shared" si="102"/>
        <v>46.861540000000005</v>
      </c>
      <c r="D2228">
        <v>0.67376923076923068</v>
      </c>
      <c r="E2228">
        <f t="shared" si="103"/>
        <v>3.8471972963894103</v>
      </c>
      <c r="I2228" s="24">
        <f t="shared" si="104"/>
        <v>0.6308991584985375</v>
      </c>
      <c r="N2228" s="30">
        <v>34060.920634920636</v>
      </c>
    </row>
    <row r="2229" spans="1:14" x14ac:dyDescent="0.3">
      <c r="A2229">
        <v>33.924819999999968</v>
      </c>
      <c r="B2229">
        <v>46.769199999999998</v>
      </c>
      <c r="C2229">
        <f t="shared" si="102"/>
        <v>46.5</v>
      </c>
      <c r="D2229">
        <v>0.67330769230769216</v>
      </c>
      <c r="E2229">
        <f t="shared" si="103"/>
        <v>3.8394523125933104</v>
      </c>
      <c r="I2229" s="24">
        <f t="shared" si="104"/>
        <v>0.62488693380708527</v>
      </c>
      <c r="N2229" s="30">
        <v>34058.984126984127</v>
      </c>
    </row>
    <row r="2230" spans="1:14" x14ac:dyDescent="0.3">
      <c r="A2230">
        <v>33.940049999999971</v>
      </c>
      <c r="B2230">
        <v>46.230800000000002</v>
      </c>
      <c r="C2230">
        <f t="shared" si="102"/>
        <v>46.361540000000005</v>
      </c>
      <c r="D2230">
        <v>0.67284615384615376</v>
      </c>
      <c r="E2230">
        <f t="shared" si="103"/>
        <v>3.8364702362114667</v>
      </c>
      <c r="I2230" s="24">
        <f t="shared" si="104"/>
        <v>0.62285004213711492</v>
      </c>
      <c r="N2230" s="30">
        <v>34057.047619047618</v>
      </c>
    </row>
    <row r="2231" spans="1:14" x14ac:dyDescent="0.3">
      <c r="A2231">
        <v>33.955279999999973</v>
      </c>
      <c r="B2231">
        <v>45.730800000000002</v>
      </c>
      <c r="C2231">
        <f t="shared" si="102"/>
        <v>46.3</v>
      </c>
      <c r="D2231">
        <v>0.67238461538461536</v>
      </c>
      <c r="E2231">
        <f t="shared" si="103"/>
        <v>3.8351419610921882</v>
      </c>
      <c r="I2231" s="24">
        <f t="shared" si="104"/>
        <v>0.62218176264079439</v>
      </c>
      <c r="N2231" s="30">
        <v>34055.111111111109</v>
      </c>
    </row>
    <row r="2232" spans="1:14" x14ac:dyDescent="0.3">
      <c r="A2232">
        <v>33.970509999999976</v>
      </c>
      <c r="B2232">
        <v>46.269199999999998</v>
      </c>
      <c r="C2232">
        <f t="shared" si="102"/>
        <v>46.292319999999997</v>
      </c>
      <c r="D2232">
        <v>0.67192307692307685</v>
      </c>
      <c r="E2232">
        <f t="shared" si="103"/>
        <v>3.8349760726034323</v>
      </c>
      <c r="I2232" s="24">
        <f t="shared" si="104"/>
        <v>0.6224723190047956</v>
      </c>
      <c r="N2232" s="30">
        <v>34053.174603174601</v>
      </c>
    </row>
    <row r="2233" spans="1:14" x14ac:dyDescent="0.3">
      <c r="A2233">
        <v>33.985739999999979</v>
      </c>
      <c r="B2233">
        <v>46.5</v>
      </c>
      <c r="C2233">
        <f t="shared" si="102"/>
        <v>46.384619999999998</v>
      </c>
      <c r="D2233">
        <v>0.67146153846153844</v>
      </c>
      <c r="E2233">
        <f t="shared" si="103"/>
        <v>3.8369679387681312</v>
      </c>
      <c r="I2233" s="24">
        <f t="shared" si="104"/>
        <v>0.62454607884000146</v>
      </c>
      <c r="N2233" s="30">
        <v>34051.238095238099</v>
      </c>
    </row>
    <row r="2234" spans="1:14" x14ac:dyDescent="0.3">
      <c r="A2234">
        <v>34.000969999999981</v>
      </c>
      <c r="B2234">
        <v>46.730800000000002</v>
      </c>
      <c r="C2234">
        <f t="shared" ref="C2234:C2297" si="105">AVERAGE(B2232:B2236)</f>
        <v>46.461539999999999</v>
      </c>
      <c r="D2234" s="8">
        <v>0.67099999999999993</v>
      </c>
      <c r="E2234">
        <f t="shared" ref="E2234:E2297" si="106">LN(C2234)</f>
        <v>3.8386248735858604</v>
      </c>
      <c r="I2234" s="24">
        <f t="shared" ref="I2234:I2297" si="107">(0.0026*(EXP(1.3248*E2234)))/D2234</f>
        <v>0.62634906002112467</v>
      </c>
      <c r="N2234" s="30">
        <v>34049.30158730159</v>
      </c>
    </row>
    <row r="2235" spans="1:14" x14ac:dyDescent="0.3">
      <c r="A2235">
        <v>34.016199999999984</v>
      </c>
      <c r="B2235">
        <v>46.692300000000003</v>
      </c>
      <c r="C2235">
        <f t="shared" si="105"/>
        <v>46.276940000000003</v>
      </c>
      <c r="D2235">
        <v>0.67142424242424237</v>
      </c>
      <c r="E2235">
        <f t="shared" si="106"/>
        <v>3.834643780865516</v>
      </c>
      <c r="I2235" s="24">
        <f t="shared" si="107"/>
        <v>0.62266061662434369</v>
      </c>
      <c r="N2235" s="30">
        <v>34047.365079365081</v>
      </c>
    </row>
    <row r="2236" spans="1:14" x14ac:dyDescent="0.3">
      <c r="A2236">
        <v>34.031429999999986</v>
      </c>
      <c r="B2236">
        <v>46.115400000000001</v>
      </c>
      <c r="C2236">
        <f t="shared" si="105"/>
        <v>45.869240000000005</v>
      </c>
      <c r="D2236">
        <v>0.67184848484848481</v>
      </c>
      <c r="E2236">
        <f t="shared" si="106"/>
        <v>3.8257947399084893</v>
      </c>
      <c r="I2236" s="24">
        <f t="shared" si="107"/>
        <v>0.61501505631177644</v>
      </c>
      <c r="N2236" s="30">
        <v>34045.428571428572</v>
      </c>
    </row>
    <row r="2237" spans="1:14" x14ac:dyDescent="0.3">
      <c r="A2237">
        <v>34.046659999999989</v>
      </c>
      <c r="B2237">
        <v>45.346200000000003</v>
      </c>
      <c r="C2237">
        <f t="shared" si="105"/>
        <v>45.17692000000001</v>
      </c>
      <c r="D2237">
        <v>0.67227272727272713</v>
      </c>
      <c r="E2237">
        <f t="shared" si="106"/>
        <v>3.8105863369586426</v>
      </c>
      <c r="I2237" s="24">
        <f t="shared" si="107"/>
        <v>0.60236730525388604</v>
      </c>
      <c r="N2237" s="30">
        <v>34043.492063492064</v>
      </c>
    </row>
    <row r="2238" spans="1:14" x14ac:dyDescent="0.3">
      <c r="A2238">
        <v>34.061889999999991</v>
      </c>
      <c r="B2238">
        <v>44.461500000000001</v>
      </c>
      <c r="C2238">
        <f t="shared" si="105"/>
        <v>44.153839999999995</v>
      </c>
      <c r="D2238">
        <v>0.67269696969696968</v>
      </c>
      <c r="E2238">
        <f t="shared" si="106"/>
        <v>3.7876798994851977</v>
      </c>
      <c r="I2238" s="24">
        <f t="shared" si="107"/>
        <v>0.58399364125868669</v>
      </c>
      <c r="N2238" s="30">
        <v>34041.555555555555</v>
      </c>
    </row>
    <row r="2239" spans="1:14" x14ac:dyDescent="0.3">
      <c r="A2239">
        <v>34.077119999999994</v>
      </c>
      <c r="B2239">
        <v>43.269199999999998</v>
      </c>
      <c r="C2239">
        <f t="shared" si="105"/>
        <v>43.000000000000007</v>
      </c>
      <c r="D2239">
        <v>0.67312121212121201</v>
      </c>
      <c r="E2239">
        <f t="shared" si="106"/>
        <v>3.7612001156935624</v>
      </c>
      <c r="I2239" s="24">
        <f t="shared" si="107"/>
        <v>0.56350669622830096</v>
      </c>
      <c r="N2239" s="30">
        <v>34039.619047619046</v>
      </c>
    </row>
    <row r="2240" spans="1:14" x14ac:dyDescent="0.3">
      <c r="A2240">
        <v>34.092349999999996</v>
      </c>
      <c r="B2240">
        <v>41.576900000000002</v>
      </c>
      <c r="C2240">
        <f t="shared" si="105"/>
        <v>41.707680000000003</v>
      </c>
      <c r="D2240">
        <v>0.67354545454545456</v>
      </c>
      <c r="E2240">
        <f t="shared" si="106"/>
        <v>3.7306852845089238</v>
      </c>
      <c r="I2240" s="24">
        <f t="shared" si="107"/>
        <v>0.54083979384164849</v>
      </c>
      <c r="N2240" s="30">
        <v>34037.682539682537</v>
      </c>
    </row>
    <row r="2241" spans="1:18" x14ac:dyDescent="0.3">
      <c r="A2241">
        <v>34.107579999999999</v>
      </c>
      <c r="B2241">
        <v>40.346200000000003</v>
      </c>
      <c r="C2241">
        <f t="shared" si="105"/>
        <v>40.492300000000007</v>
      </c>
      <c r="D2241">
        <v>0.67396969696969689</v>
      </c>
      <c r="E2241">
        <f t="shared" si="106"/>
        <v>3.7011118325799481</v>
      </c>
      <c r="I2241" s="24">
        <f t="shared" si="107"/>
        <v>0.5197326422809081</v>
      </c>
      <c r="N2241" s="30">
        <v>34035.746031746035</v>
      </c>
    </row>
    <row r="2242" spans="1:18" x14ac:dyDescent="0.3">
      <c r="A2242">
        <v>34.122810000000001</v>
      </c>
      <c r="B2242">
        <v>38.884599999999999</v>
      </c>
      <c r="C2242">
        <f t="shared" si="105"/>
        <v>39.423080000000006</v>
      </c>
      <c r="D2242">
        <v>0.67439393939393932</v>
      </c>
      <c r="E2242">
        <f t="shared" si="106"/>
        <v>3.674351431599804</v>
      </c>
      <c r="I2242" s="24">
        <f t="shared" si="107"/>
        <v>0.50131421523481801</v>
      </c>
      <c r="N2242" s="30">
        <v>34033.809523809527</v>
      </c>
    </row>
    <row r="2243" spans="1:18" x14ac:dyDescent="0.3">
      <c r="A2243">
        <v>34.138040000000004</v>
      </c>
      <c r="B2243">
        <v>38.384599999999999</v>
      </c>
      <c r="C2243">
        <f t="shared" si="105"/>
        <v>38.653859999999995</v>
      </c>
      <c r="D2243">
        <v>0.67481818181818176</v>
      </c>
      <c r="E2243">
        <f t="shared" si="106"/>
        <v>3.6546466406805851</v>
      </c>
      <c r="I2243" s="24">
        <f t="shared" si="107"/>
        <v>0.48808974823631562</v>
      </c>
      <c r="N2243" s="30">
        <v>34031.873015873018</v>
      </c>
    </row>
    <row r="2244" spans="1:18" x14ac:dyDescent="0.3">
      <c r="A2244">
        <v>34.153270000000006</v>
      </c>
      <c r="B2244">
        <v>37.923099999999998</v>
      </c>
      <c r="C2244">
        <f t="shared" si="105"/>
        <v>38.084619999999994</v>
      </c>
      <c r="D2244">
        <v>0.6752424242424242</v>
      </c>
      <c r="E2244">
        <f t="shared" si="106"/>
        <v>3.6398105260934721</v>
      </c>
      <c r="I2244" s="24">
        <f t="shared" si="107"/>
        <v>0.47828937462204496</v>
      </c>
      <c r="N2244" s="30">
        <v>34029.936507936509</v>
      </c>
    </row>
    <row r="2245" spans="1:18" x14ac:dyDescent="0.3">
      <c r="A2245">
        <v>34.168500000000009</v>
      </c>
      <c r="B2245">
        <v>37.730800000000002</v>
      </c>
      <c r="C2245">
        <f t="shared" si="105"/>
        <v>37.869240000000005</v>
      </c>
      <c r="D2245">
        <v>0.67566666666666664</v>
      </c>
      <c r="E2245">
        <f t="shared" si="106"/>
        <v>3.6341391730563974</v>
      </c>
      <c r="I2245" s="25">
        <f t="shared" si="107"/>
        <v>0.47441119360351108</v>
      </c>
      <c r="N2245" s="30">
        <v>34028</v>
      </c>
    </row>
    <row r="2246" spans="1:18" x14ac:dyDescent="0.3">
      <c r="A2246">
        <v>34.183730000000011</v>
      </c>
      <c r="B2246">
        <v>37.5</v>
      </c>
      <c r="C2246">
        <f t="shared" si="105"/>
        <v>37.930779999999992</v>
      </c>
      <c r="D2246">
        <v>0.67609090909090908</v>
      </c>
      <c r="E2246">
        <f t="shared" si="106"/>
        <v>3.6357629196865724</v>
      </c>
      <c r="I2246" s="24">
        <f t="shared" si="107"/>
        <v>0.4751344858683918</v>
      </c>
      <c r="N2246" s="30">
        <v>34020.40625</v>
      </c>
    </row>
    <row r="2247" spans="1:18" x14ac:dyDescent="0.3">
      <c r="A2247">
        <v>34.198960000000014</v>
      </c>
      <c r="B2247">
        <v>37.807699999999997</v>
      </c>
      <c r="C2247">
        <f t="shared" si="105"/>
        <v>38.307699999999997</v>
      </c>
      <c r="D2247">
        <v>0.67651515151515151</v>
      </c>
      <c r="E2247">
        <f t="shared" si="106"/>
        <v>3.6456509203663088</v>
      </c>
      <c r="I2247" s="24">
        <f t="shared" si="107"/>
        <v>0.48109762834027681</v>
      </c>
      <c r="N2247" s="30">
        <v>34012.8125</v>
      </c>
    </row>
    <row r="2248" spans="1:18" x14ac:dyDescent="0.3">
      <c r="A2248">
        <v>34.214190000000016</v>
      </c>
      <c r="B2248">
        <v>38.692300000000003</v>
      </c>
      <c r="C2248">
        <f t="shared" si="105"/>
        <v>38.923080000000006</v>
      </c>
      <c r="D2248">
        <v>0.67693939393939384</v>
      </c>
      <c r="E2248">
        <f t="shared" si="106"/>
        <v>3.6615873908773091</v>
      </c>
      <c r="I2248" s="24">
        <f t="shared" si="107"/>
        <v>0.49105490877767677</v>
      </c>
      <c r="N2248" s="30">
        <v>34005.21875</v>
      </c>
    </row>
    <row r="2249" spans="1:18" x14ac:dyDescent="0.3">
      <c r="A2249">
        <v>34.229420000000019</v>
      </c>
      <c r="B2249">
        <v>39.807699999999997</v>
      </c>
      <c r="C2249">
        <f t="shared" si="105"/>
        <v>39.853839999999998</v>
      </c>
      <c r="D2249">
        <v>0.67736363636363639</v>
      </c>
      <c r="E2249">
        <f t="shared" si="106"/>
        <v>3.6852187619488483</v>
      </c>
      <c r="I2249" s="24">
        <f t="shared" si="107"/>
        <v>0.50635412793684609</v>
      </c>
      <c r="N2249" s="30">
        <v>33997.625</v>
      </c>
    </row>
    <row r="2250" spans="1:18" x14ac:dyDescent="0.3">
      <c r="A2250">
        <v>34.244650000000021</v>
      </c>
      <c r="B2250">
        <v>40.807699999999997</v>
      </c>
      <c r="C2250">
        <f t="shared" si="105"/>
        <v>40.807679999999998</v>
      </c>
      <c r="D2250">
        <v>0.67778787878787872</v>
      </c>
      <c r="E2250">
        <f t="shared" si="106"/>
        <v>3.7088702989901936</v>
      </c>
      <c r="I2250" s="24">
        <f t="shared" si="107"/>
        <v>0.52214416100799987</v>
      </c>
      <c r="N2250" s="30">
        <v>33990.03125</v>
      </c>
    </row>
    <row r="2251" spans="1:18" x14ac:dyDescent="0.3">
      <c r="A2251">
        <v>34.259880000000024</v>
      </c>
      <c r="B2251">
        <v>42.153799999999997</v>
      </c>
      <c r="C2251">
        <f t="shared" si="105"/>
        <v>41.715379999999996</v>
      </c>
      <c r="D2251">
        <v>0.67821212121212127</v>
      </c>
      <c r="E2251">
        <f t="shared" si="106"/>
        <v>3.7308698857456046</v>
      </c>
      <c r="I2251" s="24">
        <f t="shared" si="107"/>
        <v>0.53724973726820302</v>
      </c>
      <c r="N2251" s="30">
        <v>33982.4375</v>
      </c>
    </row>
    <row r="2252" spans="1:18" x14ac:dyDescent="0.3">
      <c r="A2252">
        <v>34.275110000000026</v>
      </c>
      <c r="B2252">
        <v>42.576900000000002</v>
      </c>
      <c r="C2252">
        <f t="shared" si="105"/>
        <v>42.4923</v>
      </c>
      <c r="D2252">
        <v>0.67863636363636359</v>
      </c>
      <c r="E2252">
        <f t="shared" si="106"/>
        <v>3.7493228830453433</v>
      </c>
      <c r="I2252" s="24">
        <f t="shared" si="107"/>
        <v>0.55020131707179454</v>
      </c>
      <c r="N2252" s="30">
        <v>33974.84375</v>
      </c>
    </row>
    <row r="2253" spans="1:18" x14ac:dyDescent="0.3">
      <c r="A2253">
        <v>34.290340000000029</v>
      </c>
      <c r="B2253">
        <v>43.230800000000002</v>
      </c>
      <c r="C2253">
        <f t="shared" si="105"/>
        <v>43.092300000000002</v>
      </c>
      <c r="D2253">
        <v>0.67906060606060603</v>
      </c>
      <c r="E2253">
        <f t="shared" si="106"/>
        <v>3.7633443268567799</v>
      </c>
      <c r="I2253" s="24">
        <f t="shared" si="107"/>
        <v>0.56016697382614011</v>
      </c>
      <c r="N2253" s="30">
        <v>33967.25</v>
      </c>
      <c r="O2253">
        <v>1992</v>
      </c>
      <c r="P2253" s="24">
        <f>AVERAGE(I2253:I2343)</f>
        <v>0.72845399828482826</v>
      </c>
      <c r="Q2253">
        <f>A2343-A2253</f>
        <v>1.3707000000002267</v>
      </c>
      <c r="R2253">
        <f>P2253*Q2253</f>
        <v>0.99849189544917927</v>
      </c>
    </row>
    <row r="2254" spans="1:18" x14ac:dyDescent="0.3">
      <c r="A2254">
        <v>34.305570000000031</v>
      </c>
      <c r="B2254">
        <v>43.692300000000003</v>
      </c>
      <c r="C2254">
        <f t="shared" si="105"/>
        <v>43.48462</v>
      </c>
      <c r="D2254">
        <v>0.67948484848484847</v>
      </c>
      <c r="E2254">
        <f t="shared" si="106"/>
        <v>3.7724073123580362</v>
      </c>
      <c r="I2254" s="24">
        <f t="shared" si="107"/>
        <v>0.56657926775894962</v>
      </c>
      <c r="N2254" s="30">
        <v>33959.65625</v>
      </c>
    </row>
    <row r="2255" spans="1:18" x14ac:dyDescent="0.3">
      <c r="A2255">
        <v>34.320800000000034</v>
      </c>
      <c r="B2255">
        <v>43.807699999999997</v>
      </c>
      <c r="C2255">
        <f t="shared" si="105"/>
        <v>43.82307999999999</v>
      </c>
      <c r="D2255">
        <v>0.67990909090909091</v>
      </c>
      <c r="E2255">
        <f t="shared" si="106"/>
        <v>3.7801606192372028</v>
      </c>
      <c r="I2255" s="24">
        <f t="shared" si="107"/>
        <v>0.57207174565543428</v>
      </c>
      <c r="N2255" s="30">
        <v>33952.0625</v>
      </c>
    </row>
    <row r="2256" spans="1:18" x14ac:dyDescent="0.3">
      <c r="A2256">
        <v>34.336030000000036</v>
      </c>
      <c r="B2256">
        <v>44.115400000000001</v>
      </c>
      <c r="C2256">
        <f t="shared" si="105"/>
        <v>44.084619999999994</v>
      </c>
      <c r="D2256">
        <v>0.68033333333333323</v>
      </c>
      <c r="E2256">
        <f t="shared" si="106"/>
        <v>3.7861109687899202</v>
      </c>
      <c r="I2256" s="24">
        <f t="shared" si="107"/>
        <v>0.57623966620709344</v>
      </c>
      <c r="N2256" s="30">
        <v>33944.46875</v>
      </c>
    </row>
    <row r="2257" spans="1:14" x14ac:dyDescent="0.3">
      <c r="A2257">
        <v>34.351260000000039</v>
      </c>
      <c r="B2257">
        <v>44.269199999999998</v>
      </c>
      <c r="C2257">
        <f t="shared" si="105"/>
        <v>44.338459999999998</v>
      </c>
      <c r="D2257">
        <v>0.68075757575757578</v>
      </c>
      <c r="E2257">
        <f t="shared" si="106"/>
        <v>3.7918524719657034</v>
      </c>
      <c r="I2257" s="24">
        <f t="shared" si="107"/>
        <v>0.58027760528295458</v>
      </c>
      <c r="N2257" s="30">
        <v>33936.875</v>
      </c>
    </row>
    <row r="2258" spans="1:14" x14ac:dyDescent="0.3">
      <c r="A2258">
        <v>34.366490000000042</v>
      </c>
      <c r="B2258">
        <v>44.538499999999999</v>
      </c>
      <c r="C2258">
        <f t="shared" si="105"/>
        <v>44.669220000000003</v>
      </c>
      <c r="D2258">
        <v>0.68118181818181811</v>
      </c>
      <c r="E2258">
        <f t="shared" si="106"/>
        <v>3.799284673828097</v>
      </c>
      <c r="I2258" s="24">
        <f t="shared" si="107"/>
        <v>0.58565436944272908</v>
      </c>
      <c r="N2258" s="30">
        <v>33929.28125</v>
      </c>
    </row>
    <row r="2259" spans="1:14" x14ac:dyDescent="0.3">
      <c r="A2259">
        <v>34.381720000000044</v>
      </c>
      <c r="B2259">
        <v>44.961500000000001</v>
      </c>
      <c r="C2259">
        <f t="shared" si="105"/>
        <v>44.96152</v>
      </c>
      <c r="D2259">
        <v>0.68160606060606055</v>
      </c>
      <c r="E2259">
        <f t="shared" si="106"/>
        <v>3.8058070128431454</v>
      </c>
      <c r="I2259" s="24">
        <f t="shared" si="107"/>
        <v>0.59036913122823198</v>
      </c>
      <c r="N2259" s="30">
        <v>33921.6875</v>
      </c>
    </row>
    <row r="2260" spans="1:14" x14ac:dyDescent="0.3">
      <c r="A2260">
        <v>34.396950000000047</v>
      </c>
      <c r="B2260">
        <v>45.461500000000001</v>
      </c>
      <c r="C2260">
        <f t="shared" si="105"/>
        <v>45.215379999999996</v>
      </c>
      <c r="D2260">
        <v>0.68203030303030299</v>
      </c>
      <c r="E2260">
        <f t="shared" si="106"/>
        <v>3.8114372944477393</v>
      </c>
      <c r="I2260" s="24">
        <f t="shared" si="107"/>
        <v>0.59441918090694035</v>
      </c>
      <c r="N2260" s="30">
        <v>33914.09375</v>
      </c>
    </row>
    <row r="2261" spans="1:14" x14ac:dyDescent="0.3">
      <c r="A2261">
        <v>34.412180000000049</v>
      </c>
      <c r="B2261">
        <v>45.576900000000002</v>
      </c>
      <c r="C2261">
        <f t="shared" si="105"/>
        <v>45.461519999999993</v>
      </c>
      <c r="D2261">
        <v>0.68245454545454542</v>
      </c>
      <c r="E2261">
        <f t="shared" si="106"/>
        <v>3.8168662538531084</v>
      </c>
      <c r="I2261" s="24">
        <f t="shared" si="107"/>
        <v>0.59833764139986223</v>
      </c>
      <c r="N2261" s="30">
        <v>33906.5</v>
      </c>
    </row>
    <row r="2262" spans="1:14" x14ac:dyDescent="0.3">
      <c r="A2262">
        <v>34.427410000000052</v>
      </c>
      <c r="B2262">
        <v>45.538499999999999</v>
      </c>
      <c r="C2262">
        <f t="shared" si="105"/>
        <v>45.753839999999997</v>
      </c>
      <c r="D2262">
        <v>0.68287878787878786</v>
      </c>
      <c r="E2262">
        <f t="shared" si="106"/>
        <v>3.8232757226254628</v>
      </c>
      <c r="I2262" s="24">
        <f t="shared" si="107"/>
        <v>0.60306502557369646</v>
      </c>
      <c r="N2262" s="30">
        <v>33898.90625</v>
      </c>
    </row>
    <row r="2263" spans="1:14" x14ac:dyDescent="0.3">
      <c r="A2263">
        <v>34.442640000000054</v>
      </c>
      <c r="B2263">
        <v>45.769199999999998</v>
      </c>
      <c r="C2263">
        <f t="shared" si="105"/>
        <v>46.069239999999994</v>
      </c>
      <c r="D2263">
        <v>0.6833030303030303</v>
      </c>
      <c r="E2263">
        <f t="shared" si="106"/>
        <v>3.8301454821761998</v>
      </c>
      <c r="I2263" s="24">
        <f t="shared" si="107"/>
        <v>0.60820075840781351</v>
      </c>
      <c r="N2263" s="30">
        <v>33891.3125</v>
      </c>
    </row>
    <row r="2264" spans="1:14" x14ac:dyDescent="0.3">
      <c r="A2264">
        <v>34.457870000000057</v>
      </c>
      <c r="B2264">
        <v>46.423099999999998</v>
      </c>
      <c r="C2264">
        <f t="shared" si="105"/>
        <v>46.469239999999999</v>
      </c>
      <c r="D2264">
        <v>0.68372727272727274</v>
      </c>
      <c r="E2264">
        <f t="shared" si="106"/>
        <v>3.838790588325748</v>
      </c>
      <c r="I2264" s="24">
        <f t="shared" si="107"/>
        <v>0.61482481981163151</v>
      </c>
      <c r="N2264" s="30">
        <v>33883.71875</v>
      </c>
    </row>
    <row r="2265" spans="1:14" x14ac:dyDescent="0.3">
      <c r="A2265">
        <v>34.473100000000059</v>
      </c>
      <c r="B2265">
        <v>47.038499999999999</v>
      </c>
      <c r="C2265">
        <f t="shared" si="105"/>
        <v>46.992299999999993</v>
      </c>
      <c r="D2265">
        <v>0.68415151515151518</v>
      </c>
      <c r="E2265">
        <f t="shared" si="106"/>
        <v>3.8499837585012591</v>
      </c>
      <c r="I2265" s="24">
        <f t="shared" si="107"/>
        <v>0.62362286385064913</v>
      </c>
      <c r="N2265" s="30">
        <v>33876.125</v>
      </c>
    </row>
    <row r="2266" spans="1:14" x14ac:dyDescent="0.3">
      <c r="A2266">
        <v>34.488330000000062</v>
      </c>
      <c r="B2266">
        <v>47.576900000000002</v>
      </c>
      <c r="C2266">
        <f t="shared" si="105"/>
        <v>47.646159999999995</v>
      </c>
      <c r="D2266">
        <v>0.68457575757575762</v>
      </c>
      <c r="E2266">
        <f t="shared" si="106"/>
        <v>3.8638020392348063</v>
      </c>
      <c r="I2266" s="24">
        <f t="shared" si="107"/>
        <v>0.63475071765657221</v>
      </c>
      <c r="N2266" s="30">
        <v>33868.53125</v>
      </c>
    </row>
    <row r="2267" spans="1:14" x14ac:dyDescent="0.3">
      <c r="A2267">
        <v>34.503560000000064</v>
      </c>
      <c r="B2267">
        <v>48.153799999999997</v>
      </c>
      <c r="C2267">
        <f t="shared" si="105"/>
        <v>48.384619999999998</v>
      </c>
      <c r="D2267">
        <v>0.68499999999999994</v>
      </c>
      <c r="E2267">
        <f t="shared" si="106"/>
        <v>3.8791819946284063</v>
      </c>
      <c r="I2267" s="24">
        <f t="shared" si="107"/>
        <v>0.64741544115251537</v>
      </c>
      <c r="N2267" s="30">
        <v>33860.9375</v>
      </c>
    </row>
    <row r="2268" spans="1:14" x14ac:dyDescent="0.3">
      <c r="A2268">
        <v>34.518790000000067</v>
      </c>
      <c r="B2268">
        <v>49.038499999999999</v>
      </c>
      <c r="C2268">
        <f t="shared" si="105"/>
        <v>49.407679999999999</v>
      </c>
      <c r="D2268">
        <v>0.68542424242424249</v>
      </c>
      <c r="E2268">
        <f t="shared" si="106"/>
        <v>3.9001058776973991</v>
      </c>
      <c r="I2268" s="24">
        <f t="shared" si="107"/>
        <v>0.6652008414138838</v>
      </c>
      <c r="N2268" s="30">
        <v>33853.34375</v>
      </c>
    </row>
    <row r="2269" spans="1:14" x14ac:dyDescent="0.3">
      <c r="A2269">
        <v>34.534020000000069</v>
      </c>
      <c r="B2269">
        <v>50.115400000000001</v>
      </c>
      <c r="C2269">
        <f t="shared" si="105"/>
        <v>50.684599999999996</v>
      </c>
      <c r="D2269">
        <v>0.68584848484848482</v>
      </c>
      <c r="E2269">
        <f t="shared" si="106"/>
        <v>3.9256221169219945</v>
      </c>
      <c r="I2269" s="24">
        <f t="shared" si="107"/>
        <v>0.68764599870272891</v>
      </c>
      <c r="N2269" s="30">
        <v>33845.75</v>
      </c>
    </row>
    <row r="2270" spans="1:14" x14ac:dyDescent="0.3">
      <c r="A2270">
        <v>34.549250000000072</v>
      </c>
      <c r="B2270">
        <v>52.153799999999997</v>
      </c>
      <c r="C2270">
        <f t="shared" si="105"/>
        <v>52.230759999999997</v>
      </c>
      <c r="D2270">
        <v>0.68627272727272726</v>
      </c>
      <c r="E2270">
        <f t="shared" si="106"/>
        <v>3.9556715933666577</v>
      </c>
      <c r="I2270" s="24">
        <f t="shared" si="107"/>
        <v>0.71513071242113035</v>
      </c>
      <c r="N2270" s="30">
        <v>33838.15625</v>
      </c>
    </row>
    <row r="2271" spans="1:14" x14ac:dyDescent="0.3">
      <c r="A2271">
        <v>34.564480000000074</v>
      </c>
      <c r="B2271">
        <v>53.961500000000001</v>
      </c>
      <c r="C2271">
        <f t="shared" si="105"/>
        <v>53.999980000000008</v>
      </c>
      <c r="D2271">
        <v>0.68669696969696969</v>
      </c>
      <c r="E2271">
        <f t="shared" si="106"/>
        <v>3.9889836761938358</v>
      </c>
      <c r="I2271" s="24">
        <f t="shared" si="107"/>
        <v>0.7469357684781025</v>
      </c>
      <c r="N2271" s="30">
        <v>33830.5625</v>
      </c>
    </row>
    <row r="2272" spans="1:14" x14ac:dyDescent="0.3">
      <c r="A2272">
        <v>34.579710000000077</v>
      </c>
      <c r="B2272">
        <v>55.884599999999999</v>
      </c>
      <c r="C2272">
        <f t="shared" si="105"/>
        <v>55.899980000000006</v>
      </c>
      <c r="D2272">
        <v>0.68712121212121213</v>
      </c>
      <c r="E2272">
        <f t="shared" si="106"/>
        <v>4.0235640223792366</v>
      </c>
      <c r="I2272" s="24">
        <f t="shared" si="107"/>
        <v>0.78146755082368324</v>
      </c>
      <c r="N2272" s="30">
        <v>33822.96875</v>
      </c>
    </row>
    <row r="2273" spans="1:14" x14ac:dyDescent="0.3">
      <c r="A2273">
        <v>34.594940000000079</v>
      </c>
      <c r="B2273">
        <v>57.884599999999999</v>
      </c>
      <c r="C2273">
        <f t="shared" si="105"/>
        <v>57.776919999999997</v>
      </c>
      <c r="D2273">
        <v>0.68754545454545457</v>
      </c>
      <c r="E2273">
        <f t="shared" si="106"/>
        <v>4.056589387975202</v>
      </c>
      <c r="I2273" s="24">
        <f t="shared" si="107"/>
        <v>0.81591354707676766</v>
      </c>
      <c r="N2273" s="30">
        <v>33815.375</v>
      </c>
    </row>
    <row r="2274" spans="1:14" x14ac:dyDescent="0.3">
      <c r="A2274">
        <v>34.610170000000082</v>
      </c>
      <c r="B2274">
        <v>59.615400000000001</v>
      </c>
      <c r="C2274">
        <f t="shared" si="105"/>
        <v>59.730780000000003</v>
      </c>
      <c r="D2274">
        <v>0.68796969696969701</v>
      </c>
      <c r="E2274">
        <f t="shared" si="106"/>
        <v>4.0898474654233894</v>
      </c>
      <c r="I2274" s="24">
        <f t="shared" si="107"/>
        <v>0.85214087068481914</v>
      </c>
      <c r="N2274" s="30">
        <v>33807.78125</v>
      </c>
    </row>
    <row r="2275" spans="1:14" x14ac:dyDescent="0.3">
      <c r="A2275">
        <v>34.625400000000084</v>
      </c>
      <c r="B2275">
        <v>61.538499999999999</v>
      </c>
      <c r="C2275">
        <f t="shared" si="105"/>
        <v>61.538480000000007</v>
      </c>
      <c r="D2275">
        <v>0.68839393939393934</v>
      </c>
      <c r="E2275">
        <f t="shared" si="106"/>
        <v>4.1196626702063455</v>
      </c>
      <c r="I2275" s="24">
        <f t="shared" si="107"/>
        <v>0.88592701299487764</v>
      </c>
      <c r="N2275" s="30">
        <v>33800.1875</v>
      </c>
    </row>
    <row r="2276" spans="1:14" x14ac:dyDescent="0.3">
      <c r="A2276">
        <v>34.640630000000087</v>
      </c>
      <c r="B2276">
        <v>63.730800000000002</v>
      </c>
      <c r="C2276">
        <f t="shared" si="105"/>
        <v>62.876940000000005</v>
      </c>
      <c r="D2276">
        <v>0.68881818181818188</v>
      </c>
      <c r="E2276">
        <f t="shared" si="106"/>
        <v>4.1411794828146773</v>
      </c>
      <c r="I2276" s="24">
        <f t="shared" si="107"/>
        <v>0.91098274258895018</v>
      </c>
      <c r="N2276" s="30">
        <v>33792.59375</v>
      </c>
    </row>
    <row r="2277" spans="1:14" x14ac:dyDescent="0.3">
      <c r="A2277">
        <v>34.655860000000089</v>
      </c>
      <c r="B2277">
        <v>64.923100000000005</v>
      </c>
      <c r="C2277">
        <f t="shared" si="105"/>
        <v>63.623100000000001</v>
      </c>
      <c r="D2277">
        <v>0.68924242424242421</v>
      </c>
      <c r="E2277">
        <f t="shared" si="106"/>
        <v>4.1529766119493523</v>
      </c>
      <c r="I2277" s="24">
        <f t="shared" si="107"/>
        <v>0.92476262317323321</v>
      </c>
      <c r="J2277">
        <v>1992</v>
      </c>
      <c r="K2277">
        <f>AVERAGE(I2277:I2354)</f>
        <v>0.76029312857435793</v>
      </c>
      <c r="L2277">
        <f>A2354-A2277</f>
        <v>1.172710000000194</v>
      </c>
      <c r="M2277">
        <f>K2277*L2277</f>
        <v>0.89160335481058273</v>
      </c>
      <c r="N2277" s="30">
        <v>33785</v>
      </c>
    </row>
    <row r="2278" spans="1:14" x14ac:dyDescent="0.3">
      <c r="A2278">
        <v>34.671090000000092</v>
      </c>
      <c r="B2278">
        <v>64.576899999999995</v>
      </c>
      <c r="C2278">
        <f t="shared" si="105"/>
        <v>63.500019999999992</v>
      </c>
      <c r="D2278">
        <v>0.68966666666666665</v>
      </c>
      <c r="E2278">
        <f t="shared" si="106"/>
        <v>4.1510402208592261</v>
      </c>
      <c r="I2278" s="24">
        <f t="shared" si="107"/>
        <v>0.92182593911641586</v>
      </c>
      <c r="N2278" s="30">
        <v>33783.063492063491</v>
      </c>
    </row>
    <row r="2279" spans="1:14" x14ac:dyDescent="0.3">
      <c r="A2279">
        <v>34.686320000000094</v>
      </c>
      <c r="B2279">
        <v>63.346200000000003</v>
      </c>
      <c r="C2279">
        <f t="shared" si="105"/>
        <v>62.392320000000005</v>
      </c>
      <c r="D2279">
        <v>0.69009090909090909</v>
      </c>
      <c r="E2279">
        <f t="shared" si="106"/>
        <v>4.1334421908777195</v>
      </c>
      <c r="I2279" s="24">
        <f t="shared" si="107"/>
        <v>0.90002955103263682</v>
      </c>
      <c r="N2279" s="30">
        <v>33781.126984126982</v>
      </c>
    </row>
    <row r="2280" spans="1:14" x14ac:dyDescent="0.3">
      <c r="A2280">
        <v>34.701550000000097</v>
      </c>
      <c r="B2280">
        <v>60.923099999999998</v>
      </c>
      <c r="C2280">
        <f t="shared" si="105"/>
        <v>60.561540000000001</v>
      </c>
      <c r="D2280">
        <v>0.69051515151515153</v>
      </c>
      <c r="E2280">
        <f t="shared" si="106"/>
        <v>4.1036600381321611</v>
      </c>
      <c r="I2280" s="24">
        <f t="shared" si="107"/>
        <v>0.86467838375166961</v>
      </c>
      <c r="N2280" s="30">
        <v>33779.190476190481</v>
      </c>
    </row>
    <row r="2281" spans="1:14" x14ac:dyDescent="0.3">
      <c r="A2281">
        <v>34.716780000000099</v>
      </c>
      <c r="B2281">
        <v>58.192300000000003</v>
      </c>
      <c r="C2281">
        <f t="shared" si="105"/>
        <v>58.5</v>
      </c>
      <c r="D2281">
        <v>0.69093939393939396</v>
      </c>
      <c r="E2281">
        <f t="shared" si="106"/>
        <v>4.0690267542378109</v>
      </c>
      <c r="I2281" s="24">
        <f t="shared" si="107"/>
        <v>0.82539433657197625</v>
      </c>
      <c r="N2281" s="30">
        <v>33777.253968253972</v>
      </c>
    </row>
    <row r="2282" spans="1:14" x14ac:dyDescent="0.3">
      <c r="A2282">
        <v>34.732010000000102</v>
      </c>
      <c r="B2282">
        <v>55.769199999999998</v>
      </c>
      <c r="C2282">
        <f t="shared" si="105"/>
        <v>56.5</v>
      </c>
      <c r="D2282">
        <v>0.6913636363636364</v>
      </c>
      <c r="E2282">
        <f t="shared" si="106"/>
        <v>4.0342406381523954</v>
      </c>
      <c r="I2282" s="24">
        <f t="shared" si="107"/>
        <v>0.78773582763961347</v>
      </c>
      <c r="N2282" s="30">
        <v>33775.317460317463</v>
      </c>
    </row>
    <row r="2283" spans="1:14" x14ac:dyDescent="0.3">
      <c r="A2283">
        <v>34.747240000000104</v>
      </c>
      <c r="B2283">
        <v>54.269199999999998</v>
      </c>
      <c r="C2283">
        <f t="shared" si="105"/>
        <v>54.815380000000005</v>
      </c>
      <c r="D2283">
        <v>0.69178787878787884</v>
      </c>
      <c r="E2283">
        <f t="shared" si="106"/>
        <v>4.0039708115114863</v>
      </c>
      <c r="I2283" s="24">
        <f t="shared" si="107"/>
        <v>0.75630737937223202</v>
      </c>
      <c r="N2283" s="30">
        <v>33773.380952380954</v>
      </c>
    </row>
    <row r="2284" spans="1:14" x14ac:dyDescent="0.3">
      <c r="A2284">
        <v>34.762470000000107</v>
      </c>
      <c r="B2284">
        <v>53.346200000000003</v>
      </c>
      <c r="C2284">
        <f t="shared" si="105"/>
        <v>53.361540000000005</v>
      </c>
      <c r="D2284">
        <v>0.69221212121212128</v>
      </c>
      <c r="E2284">
        <f t="shared" si="106"/>
        <v>3.9770902617606252</v>
      </c>
      <c r="I2284" s="24">
        <f t="shared" si="107"/>
        <v>0.72940086231621259</v>
      </c>
      <c r="N2284" s="30">
        <v>33771.444444444445</v>
      </c>
    </row>
    <row r="2285" spans="1:14" x14ac:dyDescent="0.3">
      <c r="A2285">
        <v>34.77770000000011</v>
      </c>
      <c r="B2285">
        <v>52.5</v>
      </c>
      <c r="C2285">
        <f t="shared" si="105"/>
        <v>52.023080000000007</v>
      </c>
      <c r="D2285">
        <v>0.69263636363636372</v>
      </c>
      <c r="E2285">
        <f t="shared" si="106"/>
        <v>3.9516874662647057</v>
      </c>
      <c r="I2285" s="24">
        <f t="shared" si="107"/>
        <v>0.70483035710896169</v>
      </c>
      <c r="N2285" s="30">
        <v>33769.507936507936</v>
      </c>
    </row>
    <row r="2286" spans="1:14" x14ac:dyDescent="0.3">
      <c r="A2286">
        <v>34.792930000000112</v>
      </c>
      <c r="B2286">
        <v>50.923099999999998</v>
      </c>
      <c r="C2286">
        <f t="shared" si="105"/>
        <v>50.8</v>
      </c>
      <c r="D2286">
        <v>0.69306060606060604</v>
      </c>
      <c r="E2286">
        <f t="shared" si="106"/>
        <v>3.9278963545844361</v>
      </c>
      <c r="I2286" s="24">
        <f t="shared" si="107"/>
        <v>0.68254357048789083</v>
      </c>
      <c r="N2286" s="30">
        <v>33767.571428571428</v>
      </c>
    </row>
    <row r="2287" spans="1:14" x14ac:dyDescent="0.3">
      <c r="A2287">
        <v>34.808160000000115</v>
      </c>
      <c r="B2287">
        <v>49.076900000000002</v>
      </c>
      <c r="C2287">
        <f t="shared" si="105"/>
        <v>49.7</v>
      </c>
      <c r="D2287">
        <v>0.69348484848484859</v>
      </c>
      <c r="E2287">
        <f t="shared" si="106"/>
        <v>3.906004933102583</v>
      </c>
      <c r="I2287" s="24">
        <f t="shared" si="107"/>
        <v>0.66262728503619783</v>
      </c>
      <c r="N2287" s="30">
        <v>33765.634920634919</v>
      </c>
    </row>
    <row r="2288" spans="1:14" x14ac:dyDescent="0.3">
      <c r="A2288">
        <v>34.823390000000117</v>
      </c>
      <c r="B2288">
        <v>48.153799999999997</v>
      </c>
      <c r="C2288">
        <f t="shared" si="105"/>
        <v>48.723079999999996</v>
      </c>
      <c r="D2288">
        <v>0.69390909090909092</v>
      </c>
      <c r="E2288">
        <f t="shared" si="106"/>
        <v>3.886152839794248</v>
      </c>
      <c r="I2288" s="24">
        <f t="shared" si="107"/>
        <v>0.64503272192065364</v>
      </c>
      <c r="N2288" s="30">
        <v>33763.698412698417</v>
      </c>
    </row>
    <row r="2289" spans="1:14" x14ac:dyDescent="0.3">
      <c r="A2289">
        <v>34.83862000000012</v>
      </c>
      <c r="B2289">
        <v>47.846200000000003</v>
      </c>
      <c r="C2289">
        <f t="shared" si="105"/>
        <v>48.084619999999994</v>
      </c>
      <c r="D2289">
        <v>0.69433333333333336</v>
      </c>
      <c r="E2289">
        <f t="shared" si="106"/>
        <v>3.8729623754608675</v>
      </c>
      <c r="I2289" s="24">
        <f t="shared" si="107"/>
        <v>0.63347157338076143</v>
      </c>
      <c r="N2289" s="30">
        <v>33761.761904761908</v>
      </c>
    </row>
    <row r="2290" spans="1:14" x14ac:dyDescent="0.3">
      <c r="A2290">
        <v>34.853850000000122</v>
      </c>
      <c r="B2290">
        <v>47.615400000000001</v>
      </c>
      <c r="C2290">
        <f t="shared" si="105"/>
        <v>47.892319999999998</v>
      </c>
      <c r="D2290">
        <v>0.6947575757575758</v>
      </c>
      <c r="E2290">
        <f t="shared" si="106"/>
        <v>3.8689551575327674</v>
      </c>
      <c r="I2290" s="24">
        <f t="shared" si="107"/>
        <v>0.62973276310939641</v>
      </c>
      <c r="N2290" s="30">
        <v>33759.825396825399</v>
      </c>
    </row>
    <row r="2291" spans="1:14" x14ac:dyDescent="0.3">
      <c r="A2291">
        <v>34.869080000000125</v>
      </c>
      <c r="B2291">
        <v>47.730800000000002</v>
      </c>
      <c r="C2291">
        <f t="shared" si="105"/>
        <v>47.992319999999999</v>
      </c>
      <c r="D2291">
        <v>0.69518181818181823</v>
      </c>
      <c r="E2291">
        <f t="shared" si="106"/>
        <v>3.8710409981065252</v>
      </c>
      <c r="I2291" s="24">
        <f t="shared" si="107"/>
        <v>0.63108995894127229</v>
      </c>
      <c r="N2291" s="30">
        <v>33757.888888888891</v>
      </c>
    </row>
    <row r="2292" spans="1:14" x14ac:dyDescent="0.3">
      <c r="A2292">
        <v>34.884310000000127</v>
      </c>
      <c r="B2292">
        <v>48.115400000000001</v>
      </c>
      <c r="C2292">
        <f t="shared" si="105"/>
        <v>48.323079999999997</v>
      </c>
      <c r="D2292">
        <v>0.69560606060606056</v>
      </c>
      <c r="E2292">
        <f t="shared" si="106"/>
        <v>3.8779092933169967</v>
      </c>
      <c r="I2292" s="24">
        <f t="shared" si="107"/>
        <v>0.63647011230493578</v>
      </c>
      <c r="N2292" s="30">
        <v>33755.952380952382</v>
      </c>
    </row>
    <row r="2293" spans="1:14" x14ac:dyDescent="0.3">
      <c r="A2293">
        <v>34.89954000000013</v>
      </c>
      <c r="B2293">
        <v>48.653799999999997</v>
      </c>
      <c r="C2293">
        <f t="shared" si="105"/>
        <v>48.907699999999998</v>
      </c>
      <c r="D2293">
        <v>0.69603030303030311</v>
      </c>
      <c r="E2293">
        <f t="shared" si="106"/>
        <v>3.8899348482973175</v>
      </c>
      <c r="I2293" s="24">
        <f t="shared" si="107"/>
        <v>0.64629704030290058</v>
      </c>
      <c r="N2293" s="30">
        <v>33754.015873015873</v>
      </c>
    </row>
    <row r="2294" spans="1:14" x14ac:dyDescent="0.3">
      <c r="A2294">
        <v>34.914770000000132</v>
      </c>
      <c r="B2294">
        <v>49.5</v>
      </c>
      <c r="C2294">
        <f t="shared" si="105"/>
        <v>49.553840000000001</v>
      </c>
      <c r="D2294">
        <v>0.69645454545454544</v>
      </c>
      <c r="E2294">
        <f t="shared" si="106"/>
        <v>3.9030597552505184</v>
      </c>
      <c r="I2294" s="24">
        <f t="shared" si="107"/>
        <v>0.65723244800309999</v>
      </c>
      <c r="N2294" s="30">
        <v>33752.079365079364</v>
      </c>
    </row>
    <row r="2295" spans="1:14" x14ac:dyDescent="0.3">
      <c r="A2295">
        <v>34.930000000000135</v>
      </c>
      <c r="B2295">
        <v>50.538499999999999</v>
      </c>
      <c r="C2295">
        <f t="shared" si="105"/>
        <v>50.184600000000003</v>
      </c>
      <c r="D2295">
        <v>0.69687878787878788</v>
      </c>
      <c r="E2295">
        <f t="shared" si="106"/>
        <v>3.915708206724883</v>
      </c>
      <c r="I2295" s="24">
        <f t="shared" si="107"/>
        <v>0.66793139497143938</v>
      </c>
      <c r="N2295" s="30">
        <v>33750.142857142855</v>
      </c>
    </row>
    <row r="2296" spans="1:14" x14ac:dyDescent="0.3">
      <c r="A2296">
        <v>34.945230000000137</v>
      </c>
      <c r="B2296">
        <v>50.961500000000001</v>
      </c>
      <c r="C2296">
        <f t="shared" si="105"/>
        <v>50.830760000000005</v>
      </c>
      <c r="D2296">
        <v>0.69730303030303031</v>
      </c>
      <c r="E2296">
        <f t="shared" si="106"/>
        <v>3.9285016831471524</v>
      </c>
      <c r="I2296" s="24">
        <f t="shared" si="107"/>
        <v>0.67893519003101377</v>
      </c>
      <c r="N2296" s="30">
        <v>33748.206349206353</v>
      </c>
    </row>
    <row r="2297" spans="1:14" x14ac:dyDescent="0.3">
      <c r="A2297">
        <v>34.96046000000014</v>
      </c>
      <c r="B2297">
        <v>51.269199999999998</v>
      </c>
      <c r="C2297">
        <f t="shared" si="105"/>
        <v>51.3</v>
      </c>
      <c r="D2297">
        <v>0.69772727272727275</v>
      </c>
      <c r="E2297">
        <f t="shared" si="106"/>
        <v>3.9376907521767239</v>
      </c>
      <c r="I2297" s="24">
        <f t="shared" si="107"/>
        <v>0.6868329698100657</v>
      </c>
      <c r="N2297" s="30">
        <v>33746.269841269845</v>
      </c>
    </row>
    <row r="2298" spans="1:14" x14ac:dyDescent="0.3">
      <c r="A2298">
        <v>34.975690000000142</v>
      </c>
      <c r="B2298">
        <v>51.884599999999999</v>
      </c>
      <c r="C2298">
        <f t="shared" ref="C2298:C2361" si="108">AVERAGE(B2296:B2300)</f>
        <v>51.676919999999996</v>
      </c>
      <c r="D2298">
        <v>0.69815151515151519</v>
      </c>
      <c r="E2298">
        <f t="shared" ref="E2298:E2361" si="109">LN(C2298)</f>
        <v>3.9450112601751237</v>
      </c>
      <c r="I2298" s="24">
        <f t="shared" ref="I2298:I2361" si="110">(0.0026*(EXP(1.3248*E2298)))/D2298</f>
        <v>0.69310499237707779</v>
      </c>
      <c r="N2298" s="30">
        <v>33744.333333333336</v>
      </c>
    </row>
    <row r="2299" spans="1:14" x14ac:dyDescent="0.3">
      <c r="A2299">
        <v>34.990920000000145</v>
      </c>
      <c r="B2299">
        <v>51.846200000000003</v>
      </c>
      <c r="C2299">
        <f t="shared" si="108"/>
        <v>52.230780000000003</v>
      </c>
      <c r="D2299">
        <v>0.69857575757575763</v>
      </c>
      <c r="E2299">
        <f t="shared" si="109"/>
        <v>3.9556719762827051</v>
      </c>
      <c r="I2299" s="24">
        <f t="shared" si="110"/>
        <v>0.70253647941725728</v>
      </c>
      <c r="N2299" s="30">
        <v>33742.396825396827</v>
      </c>
    </row>
    <row r="2300" spans="1:14" x14ac:dyDescent="0.3">
      <c r="A2300">
        <v>35.006150000000147</v>
      </c>
      <c r="B2300">
        <v>52.423099999999998</v>
      </c>
      <c r="C2300">
        <f t="shared" si="108"/>
        <v>52.830780000000004</v>
      </c>
      <c r="D2300" s="8">
        <v>0.69900000000000007</v>
      </c>
      <c r="E2300">
        <f t="shared" si="109"/>
        <v>3.9670939754056769</v>
      </c>
      <c r="I2300" s="24">
        <f t="shared" si="110"/>
        <v>0.71281511454009705</v>
      </c>
      <c r="N2300" s="30">
        <v>33740.460317460318</v>
      </c>
    </row>
    <row r="2301" spans="1:14" x14ac:dyDescent="0.3">
      <c r="A2301">
        <v>35.02138000000015</v>
      </c>
      <c r="B2301">
        <v>53.730800000000002</v>
      </c>
      <c r="C2301">
        <f t="shared" si="108"/>
        <v>53.261559999999996</v>
      </c>
      <c r="D2301">
        <v>0.6988939393939394</v>
      </c>
      <c r="E2301">
        <f t="shared" si="109"/>
        <v>3.9752148702309613</v>
      </c>
      <c r="I2301" s="24">
        <f t="shared" si="110"/>
        <v>0.72063472436546783</v>
      </c>
      <c r="N2301" s="30">
        <v>33738.523809523809</v>
      </c>
    </row>
    <row r="2302" spans="1:14" x14ac:dyDescent="0.3">
      <c r="A2302">
        <v>35.036610000000152</v>
      </c>
      <c r="B2302">
        <v>54.269199999999998</v>
      </c>
      <c r="C2302">
        <f t="shared" si="108"/>
        <v>53.753859999999996</v>
      </c>
      <c r="D2302">
        <v>0.69878787878787885</v>
      </c>
      <c r="E2302">
        <f t="shared" si="109"/>
        <v>3.9844154783827621</v>
      </c>
      <c r="I2302" s="24">
        <f t="shared" si="110"/>
        <v>0.72958298494463247</v>
      </c>
      <c r="N2302" s="30">
        <v>33736.5873015873</v>
      </c>
    </row>
    <row r="2303" spans="1:14" x14ac:dyDescent="0.3">
      <c r="A2303">
        <v>35.051840000000155</v>
      </c>
      <c r="B2303">
        <v>54.038499999999999</v>
      </c>
      <c r="C2303">
        <f t="shared" si="108"/>
        <v>54.215400000000002</v>
      </c>
      <c r="D2303">
        <v>0.69868181818181818</v>
      </c>
      <c r="E2303">
        <f t="shared" si="109"/>
        <v>3.9929650009288378</v>
      </c>
      <c r="I2303" s="24">
        <f t="shared" si="110"/>
        <v>0.73800552747318027</v>
      </c>
      <c r="N2303" s="30">
        <v>33734.650793650791</v>
      </c>
    </row>
    <row r="2304" spans="1:14" x14ac:dyDescent="0.3">
      <c r="A2304">
        <v>35.067070000000157</v>
      </c>
      <c r="B2304">
        <v>54.307699999999997</v>
      </c>
      <c r="C2304">
        <f t="shared" si="108"/>
        <v>54.723080000000003</v>
      </c>
      <c r="D2304">
        <v>0.69857575757575763</v>
      </c>
      <c r="E2304">
        <f t="shared" si="109"/>
        <v>4.0022855582799739</v>
      </c>
      <c r="I2304" s="24">
        <f t="shared" si="110"/>
        <v>0.74728826027041217</v>
      </c>
      <c r="N2304" s="30">
        <v>33732.71428571429</v>
      </c>
    </row>
    <row r="2305" spans="1:14" x14ac:dyDescent="0.3">
      <c r="A2305">
        <v>35.08230000000016</v>
      </c>
      <c r="B2305">
        <v>54.730800000000002</v>
      </c>
      <c r="C2305">
        <f t="shared" si="108"/>
        <v>55.346159999999998</v>
      </c>
      <c r="D2305">
        <v>0.69846969696969696</v>
      </c>
      <c r="E2305">
        <f t="shared" si="109"/>
        <v>4.0136072800542051</v>
      </c>
      <c r="I2305" s="24">
        <f t="shared" si="110"/>
        <v>0.75869651873753075</v>
      </c>
      <c r="N2305" s="30">
        <v>33730.777777777781</v>
      </c>
    </row>
    <row r="2306" spans="1:14" x14ac:dyDescent="0.3">
      <c r="A2306">
        <v>35.097530000000162</v>
      </c>
      <c r="B2306">
        <v>56.269199999999998</v>
      </c>
      <c r="C2306">
        <f t="shared" si="108"/>
        <v>56.138460000000009</v>
      </c>
      <c r="D2306">
        <v>0.6983636363636363</v>
      </c>
      <c r="E2306">
        <f t="shared" si="109"/>
        <v>4.0278211391360417</v>
      </c>
      <c r="I2306" s="24">
        <f t="shared" si="110"/>
        <v>0.77323594357506586</v>
      </c>
      <c r="N2306" s="30">
        <v>33728.841269841272</v>
      </c>
    </row>
    <row r="2307" spans="1:14" x14ac:dyDescent="0.3">
      <c r="A2307">
        <v>35.112760000000165</v>
      </c>
      <c r="B2307">
        <v>57.384599999999999</v>
      </c>
      <c r="C2307">
        <f t="shared" si="108"/>
        <v>57.023080000000007</v>
      </c>
      <c r="D2307">
        <v>0.69825757575757574</v>
      </c>
      <c r="E2307">
        <f t="shared" si="109"/>
        <v>4.0434560981603971</v>
      </c>
      <c r="I2307" s="24">
        <f t="shared" si="110"/>
        <v>0.78953906128567908</v>
      </c>
      <c r="N2307" s="30">
        <v>33726.904761904763</v>
      </c>
    </row>
    <row r="2308" spans="1:14" x14ac:dyDescent="0.3">
      <c r="A2308">
        <v>35.127990000000167</v>
      </c>
      <c r="B2308">
        <v>58</v>
      </c>
      <c r="C2308">
        <f t="shared" si="108"/>
        <v>57.923079999999992</v>
      </c>
      <c r="D2308">
        <v>0.69815151515151519</v>
      </c>
      <c r="E2308">
        <f t="shared" si="109"/>
        <v>4.0591159234592054</v>
      </c>
      <c r="I2308" s="24">
        <f t="shared" si="110"/>
        <v>0.80621249547256113</v>
      </c>
      <c r="N2308" s="30">
        <v>33724.968253968254</v>
      </c>
    </row>
    <row r="2309" spans="1:14" x14ac:dyDescent="0.3">
      <c r="A2309">
        <v>35.14322000000017</v>
      </c>
      <c r="B2309">
        <v>58.730800000000002</v>
      </c>
      <c r="C2309">
        <f t="shared" si="108"/>
        <v>58.438480000000006</v>
      </c>
      <c r="D2309">
        <v>0.69804545454545452</v>
      </c>
      <c r="E2309">
        <f t="shared" si="109"/>
        <v>4.0679745769617659</v>
      </c>
      <c r="I2309" s="24">
        <f t="shared" si="110"/>
        <v>0.81585384043042575</v>
      </c>
      <c r="N2309" s="30">
        <v>33723.031746031746</v>
      </c>
    </row>
    <row r="2310" spans="1:14" x14ac:dyDescent="0.3">
      <c r="A2310">
        <v>35.158450000000173</v>
      </c>
      <c r="B2310">
        <v>59.230800000000002</v>
      </c>
      <c r="C2310">
        <f t="shared" si="108"/>
        <v>58.684640000000002</v>
      </c>
      <c r="D2310">
        <v>0.69793939393939397</v>
      </c>
      <c r="E2310">
        <f t="shared" si="109"/>
        <v>4.07217802308665</v>
      </c>
      <c r="I2310" s="24">
        <f t="shared" si="110"/>
        <v>0.82053445158113869</v>
      </c>
      <c r="N2310" s="30">
        <v>33721.095238095237</v>
      </c>
    </row>
    <row r="2311" spans="1:14" x14ac:dyDescent="0.3">
      <c r="A2311">
        <v>35.173680000000175</v>
      </c>
      <c r="B2311">
        <v>58.846200000000003</v>
      </c>
      <c r="C2311">
        <f t="shared" si="108"/>
        <v>58.776940000000003</v>
      </c>
      <c r="D2311">
        <v>0.69783333333333331</v>
      </c>
      <c r="E2311">
        <f t="shared" si="109"/>
        <v>4.0737496011123717</v>
      </c>
      <c r="I2311" s="24">
        <f t="shared" si="110"/>
        <v>0.82236957511100151</v>
      </c>
      <c r="N2311" s="30">
        <v>33719.158730158728</v>
      </c>
    </row>
    <row r="2312" spans="1:14" x14ac:dyDescent="0.3">
      <c r="A2312">
        <v>35.188910000000178</v>
      </c>
      <c r="B2312">
        <v>58.615400000000001</v>
      </c>
      <c r="C2312">
        <f t="shared" si="108"/>
        <v>58.646159999999995</v>
      </c>
      <c r="D2312">
        <v>0.69772727272727275</v>
      </c>
      <c r="E2312">
        <f t="shared" si="109"/>
        <v>4.0715220998102444</v>
      </c>
      <c r="I2312" s="24">
        <f t="shared" si="110"/>
        <v>0.82007098384894939</v>
      </c>
      <c r="N2312" s="30">
        <v>33717.222222222226</v>
      </c>
    </row>
    <row r="2313" spans="1:14" x14ac:dyDescent="0.3">
      <c r="A2313">
        <v>35.20414000000018</v>
      </c>
      <c r="B2313">
        <v>58.461500000000001</v>
      </c>
      <c r="C2313">
        <f t="shared" si="108"/>
        <v>58.284619999999997</v>
      </c>
      <c r="D2313">
        <v>0.6976212121212122</v>
      </c>
      <c r="E2313">
        <f t="shared" si="109"/>
        <v>4.0653382506628013</v>
      </c>
      <c r="I2313" s="24">
        <f t="shared" si="110"/>
        <v>0.81350376847608108</v>
      </c>
      <c r="N2313" s="30">
        <v>33715.285714285717</v>
      </c>
    </row>
    <row r="2314" spans="1:14" x14ac:dyDescent="0.3">
      <c r="A2314">
        <v>35.219370000000183</v>
      </c>
      <c r="B2314">
        <v>58.076900000000002</v>
      </c>
      <c r="C2314">
        <f t="shared" si="108"/>
        <v>57.838459999999998</v>
      </c>
      <c r="D2314">
        <v>0.69751515151515153</v>
      </c>
      <c r="E2314">
        <f t="shared" si="109"/>
        <v>4.0576539523231618</v>
      </c>
      <c r="I2314" s="24">
        <f t="shared" si="110"/>
        <v>0.8053866269014841</v>
      </c>
      <c r="N2314" s="30">
        <v>33713.349206349209</v>
      </c>
    </row>
    <row r="2315" spans="1:14" x14ac:dyDescent="0.3">
      <c r="A2315">
        <v>35.234600000000185</v>
      </c>
      <c r="B2315">
        <v>57.423099999999998</v>
      </c>
      <c r="C2315">
        <f t="shared" si="108"/>
        <v>57.315380000000005</v>
      </c>
      <c r="D2315">
        <v>0.69740909090909098</v>
      </c>
      <c r="E2315">
        <f t="shared" si="109"/>
        <v>4.048568999572038</v>
      </c>
      <c r="I2315" s="24">
        <f t="shared" si="110"/>
        <v>0.79587231529413771</v>
      </c>
      <c r="N2315" s="30">
        <v>33711.4126984127</v>
      </c>
    </row>
    <row r="2316" spans="1:14" x14ac:dyDescent="0.3">
      <c r="A2316">
        <v>35.249830000000188</v>
      </c>
      <c r="B2316">
        <v>56.615400000000001</v>
      </c>
      <c r="C2316">
        <f t="shared" si="108"/>
        <v>56.792319999999997</v>
      </c>
      <c r="D2316">
        <v>0.69730303030303031</v>
      </c>
      <c r="E2316">
        <f t="shared" si="109"/>
        <v>4.0394011053176326</v>
      </c>
      <c r="I2316" s="24">
        <f t="shared" si="110"/>
        <v>0.7863840044071021</v>
      </c>
      <c r="N2316" s="30">
        <v>33709.476190476191</v>
      </c>
    </row>
    <row r="2317" spans="1:14" x14ac:dyDescent="0.3">
      <c r="A2317">
        <v>35.26506000000019</v>
      </c>
      <c r="B2317">
        <v>56</v>
      </c>
      <c r="C2317">
        <f t="shared" si="108"/>
        <v>56.230780000000003</v>
      </c>
      <c r="D2317">
        <v>0.69719696969696965</v>
      </c>
      <c r="E2317">
        <f t="shared" si="109"/>
        <v>4.0294642938066909</v>
      </c>
      <c r="I2317" s="24">
        <f t="shared" si="110"/>
        <v>0.77621772415756252</v>
      </c>
      <c r="N2317" s="30">
        <v>33707.539682539682</v>
      </c>
    </row>
    <row r="2318" spans="1:14" x14ac:dyDescent="0.3">
      <c r="A2318">
        <v>35.280290000000193</v>
      </c>
      <c r="B2318">
        <v>55.846200000000003</v>
      </c>
      <c r="C2318">
        <f t="shared" si="108"/>
        <v>55.761540000000004</v>
      </c>
      <c r="D2318">
        <v>0.69709090909090909</v>
      </c>
      <c r="E2318">
        <f t="shared" si="109"/>
        <v>4.0210843844353077</v>
      </c>
      <c r="I2318" s="24">
        <f t="shared" si="110"/>
        <v>0.76776483754273184</v>
      </c>
      <c r="N2318" s="30">
        <v>33705.603174603173</v>
      </c>
    </row>
    <row r="2319" spans="1:14" x14ac:dyDescent="0.3">
      <c r="A2319">
        <v>35.295520000000195</v>
      </c>
      <c r="B2319">
        <v>55.269199999999998</v>
      </c>
      <c r="C2319">
        <f t="shared" si="108"/>
        <v>55.423080000000006</v>
      </c>
      <c r="D2319">
        <v>0.69698484848484843</v>
      </c>
      <c r="E2319">
        <f t="shared" si="109"/>
        <v>4.0149961134950409</v>
      </c>
      <c r="I2319" s="24">
        <f t="shared" si="110"/>
        <v>0.7617130445670468</v>
      </c>
      <c r="N2319" s="30">
        <v>33703.666666666664</v>
      </c>
    </row>
    <row r="2320" spans="1:14" x14ac:dyDescent="0.3">
      <c r="A2320">
        <v>35.310750000000198</v>
      </c>
      <c r="B2320">
        <v>55.076900000000002</v>
      </c>
      <c r="C2320">
        <f t="shared" si="108"/>
        <v>55.138459999999995</v>
      </c>
      <c r="D2320">
        <v>0.69687878787878788</v>
      </c>
      <c r="E2320">
        <f t="shared" si="109"/>
        <v>4.0098474762973977</v>
      </c>
      <c r="I2320" s="24">
        <f t="shared" si="110"/>
        <v>0.75665028398630108</v>
      </c>
      <c r="N2320" s="30">
        <v>33701.730158730163</v>
      </c>
    </row>
    <row r="2321" spans="1:14" x14ac:dyDescent="0.3">
      <c r="A2321">
        <v>35.3259800000002</v>
      </c>
      <c r="B2321">
        <v>54.923099999999998</v>
      </c>
      <c r="C2321">
        <f t="shared" si="108"/>
        <v>54.907680000000006</v>
      </c>
      <c r="D2321">
        <v>0.69677272727272732</v>
      </c>
      <c r="E2321">
        <f t="shared" si="109"/>
        <v>4.0056532294420748</v>
      </c>
      <c r="I2321" s="24">
        <f t="shared" si="110"/>
        <v>0.7525721237662174</v>
      </c>
      <c r="N2321" s="30">
        <v>33699.793650793654</v>
      </c>
    </row>
    <row r="2322" spans="1:14" x14ac:dyDescent="0.3">
      <c r="A2322">
        <v>35.341210000000203</v>
      </c>
      <c r="B2322">
        <v>54.576900000000002</v>
      </c>
      <c r="C2322">
        <f t="shared" si="108"/>
        <v>54.746140000000004</v>
      </c>
      <c r="D2322">
        <v>0.69666666666666666</v>
      </c>
      <c r="E2322">
        <f t="shared" si="109"/>
        <v>4.0027068639281023</v>
      </c>
      <c r="I2322" s="24">
        <f t="shared" si="110"/>
        <v>0.74975442610345244</v>
      </c>
      <c r="N2322" s="30">
        <v>33697.857142857145</v>
      </c>
    </row>
    <row r="2323" spans="1:14" x14ac:dyDescent="0.3">
      <c r="A2323">
        <v>35.356440000000205</v>
      </c>
      <c r="B2323">
        <v>54.692300000000003</v>
      </c>
      <c r="C2323">
        <f t="shared" si="108"/>
        <v>54.623059999999995</v>
      </c>
      <c r="D2323">
        <v>0.6965606060606061</v>
      </c>
      <c r="E2323">
        <f t="shared" si="109"/>
        <v>4.0004561379109438</v>
      </c>
      <c r="I2323" s="24">
        <f t="shared" si="110"/>
        <v>0.74763598684325416</v>
      </c>
      <c r="N2323" s="30">
        <v>33695.920634920636</v>
      </c>
    </row>
    <row r="2324" spans="1:14" x14ac:dyDescent="0.3">
      <c r="A2324">
        <v>35.371670000000208</v>
      </c>
      <c r="B2324">
        <v>54.461500000000001</v>
      </c>
      <c r="C2324">
        <f t="shared" si="108"/>
        <v>54.66152000000001</v>
      </c>
      <c r="D2324">
        <v>0.69645454545454544</v>
      </c>
      <c r="E2324">
        <f t="shared" si="109"/>
        <v>4.0011599883825806</v>
      </c>
      <c r="I2324" s="24">
        <f t="shared" si="110"/>
        <v>0.74844741451322117</v>
      </c>
      <c r="N2324" s="30">
        <v>33693.984126984127</v>
      </c>
    </row>
    <row r="2325" spans="1:14" x14ac:dyDescent="0.3">
      <c r="A2325">
        <v>35.38690000000021</v>
      </c>
      <c r="B2325">
        <v>54.461500000000001</v>
      </c>
      <c r="C2325">
        <f t="shared" si="108"/>
        <v>54.976900000000001</v>
      </c>
      <c r="D2325">
        <v>0.69634848484848488</v>
      </c>
      <c r="E2325">
        <f t="shared" si="109"/>
        <v>4.0069130970077671</v>
      </c>
      <c r="I2325" s="24">
        <f t="shared" si="110"/>
        <v>0.75428853202436941</v>
      </c>
      <c r="N2325" s="30">
        <v>33692.047619047618</v>
      </c>
    </row>
    <row r="2326" spans="1:14" x14ac:dyDescent="0.3">
      <c r="A2326">
        <v>35.402130000000213</v>
      </c>
      <c r="B2326">
        <v>55.115400000000001</v>
      </c>
      <c r="C2326">
        <f t="shared" si="108"/>
        <v>55.515360000000001</v>
      </c>
      <c r="D2326">
        <v>0.69624242424242433</v>
      </c>
      <c r="E2326">
        <f t="shared" si="109"/>
        <v>4.0166597392190591</v>
      </c>
      <c r="I2326" s="24">
        <f t="shared" si="110"/>
        <v>0.76420771932460552</v>
      </c>
      <c r="N2326" s="30">
        <v>33690.111111111109</v>
      </c>
    </row>
    <row r="2327" spans="1:14" x14ac:dyDescent="0.3">
      <c r="A2327">
        <v>35.417360000000215</v>
      </c>
      <c r="B2327">
        <v>56.153799999999997</v>
      </c>
      <c r="C2327">
        <f t="shared" si="108"/>
        <v>56.253819999999997</v>
      </c>
      <c r="D2327">
        <v>0.69613636363636355</v>
      </c>
      <c r="E2327">
        <f t="shared" si="109"/>
        <v>4.0298739498897858</v>
      </c>
      <c r="I2327" s="24">
        <f t="shared" si="110"/>
        <v>0.77782235833273716</v>
      </c>
      <c r="N2327" s="30">
        <v>33688.174603174601</v>
      </c>
    </row>
    <row r="2328" spans="1:14" x14ac:dyDescent="0.3">
      <c r="A2328">
        <v>35.432590000000218</v>
      </c>
      <c r="B2328">
        <v>57.384599999999999</v>
      </c>
      <c r="C2328">
        <f t="shared" si="108"/>
        <v>56.938439999999993</v>
      </c>
      <c r="D2328">
        <v>0.696030303030303</v>
      </c>
      <c r="E2328">
        <f t="shared" si="109"/>
        <v>4.0419706842143057</v>
      </c>
      <c r="I2328" s="24">
        <f t="shared" si="110"/>
        <v>0.79050840431173619</v>
      </c>
      <c r="N2328" s="30">
        <v>33686.238095238099</v>
      </c>
    </row>
    <row r="2329" spans="1:14" x14ac:dyDescent="0.3">
      <c r="A2329">
        <v>35.44782000000022</v>
      </c>
      <c r="B2329">
        <v>58.153799999999997</v>
      </c>
      <c r="C2329">
        <f t="shared" si="108"/>
        <v>57.207659999999997</v>
      </c>
      <c r="D2329">
        <v>0.69592424242424245</v>
      </c>
      <c r="E2329">
        <f t="shared" si="109"/>
        <v>4.0466878055037103</v>
      </c>
      <c r="I2329" s="24">
        <f t="shared" si="110"/>
        <v>0.79558518164447944</v>
      </c>
      <c r="N2329" s="30">
        <v>33684.30158730159</v>
      </c>
    </row>
    <row r="2330" spans="1:14" x14ac:dyDescent="0.3">
      <c r="A2330">
        <v>35.463050000000223</v>
      </c>
      <c r="B2330">
        <v>57.884599999999999</v>
      </c>
      <c r="C2330">
        <f t="shared" si="108"/>
        <v>57.015360000000001</v>
      </c>
      <c r="D2330">
        <v>0.69581818181818178</v>
      </c>
      <c r="E2330">
        <f t="shared" si="109"/>
        <v>4.0433207052172486</v>
      </c>
      <c r="I2330" s="24">
        <f t="shared" si="110"/>
        <v>0.79216491891773655</v>
      </c>
      <c r="N2330" s="30">
        <v>33682.365079365081</v>
      </c>
    </row>
    <row r="2331" spans="1:14" x14ac:dyDescent="0.3">
      <c r="A2331">
        <v>35.478280000000225</v>
      </c>
      <c r="B2331">
        <v>56.461500000000001</v>
      </c>
      <c r="C2331">
        <f t="shared" si="108"/>
        <v>56.399980000000006</v>
      </c>
      <c r="D2331">
        <v>0.69571212121212123</v>
      </c>
      <c r="E2331">
        <f t="shared" si="109"/>
        <v>4.0324688038940213</v>
      </c>
      <c r="I2331" s="24">
        <f t="shared" si="110"/>
        <v>0.78097679663653563</v>
      </c>
      <c r="N2331" s="30">
        <v>33680.428571428572</v>
      </c>
    </row>
    <row r="2332" spans="1:14" x14ac:dyDescent="0.3">
      <c r="A2332">
        <v>35.493510000000228</v>
      </c>
      <c r="B2332">
        <v>55.192300000000003</v>
      </c>
      <c r="C2332">
        <f t="shared" si="108"/>
        <v>55.615380000000002</v>
      </c>
      <c r="D2332">
        <v>0.69560606060606056</v>
      </c>
      <c r="E2332">
        <f t="shared" si="109"/>
        <v>4.018459781709673</v>
      </c>
      <c r="I2332" s="24">
        <f t="shared" si="110"/>
        <v>0.76673308921416972</v>
      </c>
      <c r="N2332" s="30">
        <v>33678.492063492064</v>
      </c>
    </row>
    <row r="2333" spans="1:14" x14ac:dyDescent="0.3">
      <c r="A2333">
        <v>35.50874000000023</v>
      </c>
      <c r="B2333">
        <v>54.307699999999997</v>
      </c>
      <c r="C2333">
        <f t="shared" si="108"/>
        <v>54.892299999999999</v>
      </c>
      <c r="D2333">
        <v>0.69550000000000001</v>
      </c>
      <c r="E2333">
        <f t="shared" si="109"/>
        <v>4.0053730836697241</v>
      </c>
      <c r="I2333" s="24">
        <f t="shared" si="110"/>
        <v>0.75366952328117987</v>
      </c>
      <c r="N2333" s="30">
        <v>33676.555555555555</v>
      </c>
    </row>
    <row r="2334" spans="1:14" x14ac:dyDescent="0.3">
      <c r="A2334">
        <v>35.523970000000233</v>
      </c>
      <c r="B2334">
        <v>54.230800000000002</v>
      </c>
      <c r="C2334">
        <f t="shared" si="108"/>
        <v>54.438459999999999</v>
      </c>
      <c r="D2334">
        <v>0.69539393939393945</v>
      </c>
      <c r="E2334">
        <f t="shared" si="109"/>
        <v>3.9970708893596396</v>
      </c>
      <c r="I2334" s="24">
        <f t="shared" si="110"/>
        <v>0.7455392141622017</v>
      </c>
      <c r="N2334" s="30">
        <v>33674.619047619046</v>
      </c>
    </row>
    <row r="2335" spans="1:14" x14ac:dyDescent="0.3">
      <c r="A2335">
        <v>35.539200000000235</v>
      </c>
      <c r="B2335">
        <v>54.269199999999998</v>
      </c>
      <c r="C2335">
        <f t="shared" si="108"/>
        <v>54.176919999999996</v>
      </c>
      <c r="D2335">
        <v>0.69528787878787879</v>
      </c>
      <c r="E2335">
        <f t="shared" si="109"/>
        <v>3.9922549874958464</v>
      </c>
      <c r="I2335" s="24">
        <f t="shared" si="110"/>
        <v>0.74091073878345315</v>
      </c>
      <c r="N2335" s="30">
        <v>33672.682539682537</v>
      </c>
    </row>
    <row r="2336" spans="1:14" x14ac:dyDescent="0.3">
      <c r="A2336">
        <v>35.554430000000238</v>
      </c>
      <c r="B2336">
        <v>54.192300000000003</v>
      </c>
      <c r="C2336">
        <f t="shared" si="108"/>
        <v>54.061540000000001</v>
      </c>
      <c r="D2336">
        <v>0.69518181818181823</v>
      </c>
      <c r="E2336">
        <f t="shared" si="109"/>
        <v>3.9901230273090031</v>
      </c>
      <c r="I2336" s="24">
        <f t="shared" si="110"/>
        <v>0.73893376595086713</v>
      </c>
      <c r="N2336" s="30">
        <v>33670.746031746035</v>
      </c>
    </row>
    <row r="2337" spans="1:18" x14ac:dyDescent="0.3">
      <c r="A2337">
        <v>35.569660000000241</v>
      </c>
      <c r="B2337">
        <v>53.884599999999999</v>
      </c>
      <c r="C2337">
        <f t="shared" si="108"/>
        <v>53.838460000000012</v>
      </c>
      <c r="D2337">
        <v>0.69507575757575757</v>
      </c>
      <c r="E2337">
        <f t="shared" si="109"/>
        <v>3.9859880816584461</v>
      </c>
      <c r="I2337" s="24">
        <f t="shared" si="110"/>
        <v>0.7350091082112733</v>
      </c>
      <c r="N2337" s="30">
        <v>33668.809523809527</v>
      </c>
    </row>
    <row r="2338" spans="1:18" x14ac:dyDescent="0.3">
      <c r="A2338">
        <v>35.584890000000243</v>
      </c>
      <c r="B2338">
        <v>53.730800000000002</v>
      </c>
      <c r="C2338">
        <f t="shared" si="108"/>
        <v>53.430780000000006</v>
      </c>
      <c r="D2338">
        <v>0.6949696969696969</v>
      </c>
      <c r="E2338">
        <f t="shared" si="109"/>
        <v>3.9783869844032682</v>
      </c>
      <c r="I2338" s="24">
        <f t="shared" si="110"/>
        <v>0.72775580396731798</v>
      </c>
      <c r="N2338" s="30">
        <v>33666.873015873018</v>
      </c>
    </row>
    <row r="2339" spans="1:18" x14ac:dyDescent="0.3">
      <c r="A2339">
        <v>35.600120000000246</v>
      </c>
      <c r="B2339">
        <v>53.115400000000001</v>
      </c>
      <c r="C2339">
        <f t="shared" si="108"/>
        <v>53.04616</v>
      </c>
      <c r="D2339">
        <v>0.69486363636363635</v>
      </c>
      <c r="E2339">
        <f t="shared" si="109"/>
        <v>3.9711624778972205</v>
      </c>
      <c r="I2339" s="24">
        <f t="shared" si="110"/>
        <v>0.72093368388390178</v>
      </c>
      <c r="N2339" s="30">
        <v>33664.936507936509</v>
      </c>
    </row>
    <row r="2340" spans="1:18" x14ac:dyDescent="0.3">
      <c r="A2340">
        <v>35.615350000000248</v>
      </c>
      <c r="B2340">
        <v>52.230800000000002</v>
      </c>
      <c r="C2340">
        <f t="shared" si="108"/>
        <v>52.861540000000005</v>
      </c>
      <c r="D2340">
        <v>0.69475757575757568</v>
      </c>
      <c r="E2340">
        <f t="shared" si="109"/>
        <v>3.9676760423121173</v>
      </c>
      <c r="I2340" s="25">
        <f t="shared" si="110"/>
        <v>0.71772104153019511</v>
      </c>
      <c r="N2340" s="30">
        <v>33663</v>
      </c>
    </row>
    <row r="2341" spans="1:18" x14ac:dyDescent="0.3">
      <c r="A2341">
        <v>35.630580000000251</v>
      </c>
      <c r="B2341">
        <v>52.269199999999998</v>
      </c>
      <c r="C2341">
        <f t="shared" si="108"/>
        <v>52.892299999999999</v>
      </c>
      <c r="D2341">
        <v>0.69465151515151513</v>
      </c>
      <c r="E2341">
        <f t="shared" si="109"/>
        <v>3.9682577706137554</v>
      </c>
      <c r="I2341" s="24">
        <f t="shared" si="110"/>
        <v>0.71838405081028223</v>
      </c>
      <c r="N2341" s="30">
        <v>33645.571428571428</v>
      </c>
    </row>
    <row r="2342" spans="1:18" x14ac:dyDescent="0.3">
      <c r="A2342">
        <v>35.645810000000253</v>
      </c>
      <c r="B2342">
        <v>52.961500000000001</v>
      </c>
      <c r="C2342">
        <f t="shared" si="108"/>
        <v>53.299980000000005</v>
      </c>
      <c r="D2342">
        <v>0.69454545454545458</v>
      </c>
      <c r="E2342">
        <f t="shared" si="109"/>
        <v>3.9759359559372069</v>
      </c>
      <c r="I2342" s="24">
        <f t="shared" si="110"/>
        <v>0.72583961110346373</v>
      </c>
      <c r="N2342" s="30">
        <v>33628.142857142855</v>
      </c>
    </row>
    <row r="2343" spans="1:18" x14ac:dyDescent="0.3">
      <c r="A2343">
        <v>35.661040000000256</v>
      </c>
      <c r="B2343">
        <v>53.884599999999999</v>
      </c>
      <c r="C2343">
        <f t="shared" si="108"/>
        <v>54.046119999999995</v>
      </c>
      <c r="D2343">
        <v>0.69443939393939391</v>
      </c>
      <c r="E2343">
        <f t="shared" si="109"/>
        <v>3.9898377561246194</v>
      </c>
      <c r="I2343" s="24">
        <f t="shared" si="110"/>
        <v>0.73944425011105208</v>
      </c>
      <c r="N2343" s="30">
        <v>33610.71428571429</v>
      </c>
    </row>
    <row r="2344" spans="1:18" x14ac:dyDescent="0.3">
      <c r="A2344">
        <v>35.676270000000258</v>
      </c>
      <c r="B2344">
        <v>55.153799999999997</v>
      </c>
      <c r="C2344">
        <f t="shared" si="108"/>
        <v>54.815359999999998</v>
      </c>
      <c r="D2344">
        <v>0.69433333333333336</v>
      </c>
      <c r="E2344">
        <f t="shared" si="109"/>
        <v>4.0039704466503174</v>
      </c>
      <c r="I2344" s="24">
        <f t="shared" si="110"/>
        <v>0.75353436119157746</v>
      </c>
      <c r="N2344" s="30">
        <v>33593.285714285717</v>
      </c>
      <c r="O2344">
        <v>1991</v>
      </c>
      <c r="P2344" s="24">
        <f>AVERAGE(I2344:I2420)</f>
        <v>0.78127200406874742</v>
      </c>
      <c r="Q2344">
        <f>A2420-A2344</f>
        <v>1.1574800000001915</v>
      </c>
      <c r="R2344">
        <f>P2344*Q2344</f>
        <v>0.90430671926964334</v>
      </c>
    </row>
    <row r="2345" spans="1:18" x14ac:dyDescent="0.3">
      <c r="A2345">
        <v>35.691500000000261</v>
      </c>
      <c r="B2345">
        <v>55.961500000000001</v>
      </c>
      <c r="C2345">
        <f t="shared" si="108"/>
        <v>55.476900000000001</v>
      </c>
      <c r="D2345">
        <v>0.69422727272727269</v>
      </c>
      <c r="E2345">
        <f t="shared" si="109"/>
        <v>4.0159667178941616</v>
      </c>
      <c r="I2345" s="24">
        <f t="shared" si="110"/>
        <v>0.76572266087808005</v>
      </c>
      <c r="N2345" s="30">
        <v>33575.857142857145</v>
      </c>
    </row>
    <row r="2346" spans="1:18" x14ac:dyDescent="0.3">
      <c r="A2346">
        <v>35.706730000000263</v>
      </c>
      <c r="B2346">
        <v>56.115400000000001</v>
      </c>
      <c r="C2346">
        <f t="shared" si="108"/>
        <v>56.015360000000001</v>
      </c>
      <c r="D2346">
        <v>0.69412121212121214</v>
      </c>
      <c r="E2346">
        <f t="shared" si="109"/>
        <v>4.0256259388399851</v>
      </c>
      <c r="I2346" s="24">
        <f t="shared" si="110"/>
        <v>0.77570272875976054</v>
      </c>
      <c r="N2346" s="30">
        <v>33558.428571428572</v>
      </c>
    </row>
    <row r="2347" spans="1:18" x14ac:dyDescent="0.3">
      <c r="A2347">
        <v>35.721960000000266</v>
      </c>
      <c r="B2347">
        <v>56.269199999999998</v>
      </c>
      <c r="C2347">
        <f t="shared" si="108"/>
        <v>56.330759999999998</v>
      </c>
      <c r="D2347">
        <v>0.69401515151515158</v>
      </c>
      <c r="E2347">
        <f t="shared" si="109"/>
        <v>4.0312407447382066</v>
      </c>
      <c r="I2347" s="24">
        <f t="shared" si="110"/>
        <v>0.78161373243190346</v>
      </c>
      <c r="N2347" s="30">
        <v>33541</v>
      </c>
    </row>
    <row r="2348" spans="1:18" x14ac:dyDescent="0.3">
      <c r="A2348">
        <v>35.737190000000268</v>
      </c>
      <c r="B2348">
        <v>56.576900000000002</v>
      </c>
      <c r="C2348">
        <f t="shared" si="108"/>
        <v>56.707700000000003</v>
      </c>
      <c r="D2348">
        <v>0.69390909090909092</v>
      </c>
      <c r="E2348">
        <f t="shared" si="109"/>
        <v>4.037910003982522</v>
      </c>
      <c r="I2348" s="24">
        <f t="shared" si="110"/>
        <v>0.78867075387545427</v>
      </c>
      <c r="N2348" s="30">
        <v>33523.571428571428</v>
      </c>
    </row>
    <row r="2349" spans="1:18" x14ac:dyDescent="0.3">
      <c r="A2349">
        <v>35.752420000000271</v>
      </c>
      <c r="B2349">
        <v>56.730800000000002</v>
      </c>
      <c r="C2349">
        <f t="shared" si="108"/>
        <v>57.492320000000007</v>
      </c>
      <c r="D2349">
        <v>0.69380303030303025</v>
      </c>
      <c r="E2349">
        <f t="shared" si="109"/>
        <v>4.0516513736652859</v>
      </c>
      <c r="I2349" s="24">
        <f t="shared" si="110"/>
        <v>0.80328242273989048</v>
      </c>
      <c r="N2349" s="30">
        <v>33506.142857142855</v>
      </c>
    </row>
    <row r="2350" spans="1:18" x14ac:dyDescent="0.3">
      <c r="A2350">
        <v>35.767650000000273</v>
      </c>
      <c r="B2350">
        <v>57.846200000000003</v>
      </c>
      <c r="C2350">
        <f t="shared" si="108"/>
        <v>58.58464</v>
      </c>
      <c r="D2350">
        <v>0.6936969696969697</v>
      </c>
      <c r="E2350">
        <f t="shared" si="109"/>
        <v>4.0704725461835976</v>
      </c>
      <c r="I2350" s="24">
        <f t="shared" si="110"/>
        <v>0.82368941155602471</v>
      </c>
      <c r="N2350" s="30">
        <v>33488.71428571429</v>
      </c>
    </row>
    <row r="2351" spans="1:18" x14ac:dyDescent="0.3">
      <c r="A2351">
        <v>35.782880000000276</v>
      </c>
      <c r="B2351">
        <v>60.038499999999999</v>
      </c>
      <c r="C2351">
        <f t="shared" si="108"/>
        <v>59.969259999999998</v>
      </c>
      <c r="D2351">
        <v>0.69359090909090904</v>
      </c>
      <c r="E2351">
        <f t="shared" si="109"/>
        <v>4.0938320976012008</v>
      </c>
      <c r="I2351" s="24">
        <f t="shared" si="110"/>
        <v>0.84970834610769774</v>
      </c>
      <c r="N2351" s="30">
        <v>33471.285714285717</v>
      </c>
    </row>
    <row r="2352" spans="1:18" x14ac:dyDescent="0.3">
      <c r="A2352">
        <v>35.798110000000278</v>
      </c>
      <c r="B2352">
        <v>61.730800000000002</v>
      </c>
      <c r="C2352">
        <f t="shared" si="108"/>
        <v>61.500019999999992</v>
      </c>
      <c r="D2352">
        <v>0.69348484848484848</v>
      </c>
      <c r="E2352">
        <f t="shared" si="109"/>
        <v>4.1190375000156711</v>
      </c>
      <c r="I2352" s="24">
        <f t="shared" si="110"/>
        <v>0.87869531646000421</v>
      </c>
      <c r="N2352" s="30">
        <v>33453.857142857145</v>
      </c>
    </row>
    <row r="2353" spans="1:14" x14ac:dyDescent="0.3">
      <c r="A2353">
        <v>35.813340000000281</v>
      </c>
      <c r="B2353">
        <v>63.5</v>
      </c>
      <c r="C2353">
        <f t="shared" si="108"/>
        <v>62.692319999999995</v>
      </c>
      <c r="D2353">
        <v>0.69337878787878782</v>
      </c>
      <c r="E2353">
        <f t="shared" si="109"/>
        <v>4.1382389520983249</v>
      </c>
      <c r="I2353" s="24">
        <f t="shared" si="110"/>
        <v>0.90147223764162832</v>
      </c>
      <c r="N2353" s="30">
        <v>33436.428571428572</v>
      </c>
    </row>
    <row r="2354" spans="1:14" x14ac:dyDescent="0.3">
      <c r="A2354">
        <v>35.828570000000283</v>
      </c>
      <c r="B2354">
        <v>64.384600000000006</v>
      </c>
      <c r="C2354">
        <f t="shared" si="108"/>
        <v>63.069240000000001</v>
      </c>
      <c r="D2354">
        <v>0.69327272727272726</v>
      </c>
      <c r="E2354">
        <f t="shared" si="109"/>
        <v>4.1442331704998967</v>
      </c>
      <c r="I2354" s="24">
        <f t="shared" si="110"/>
        <v>0.9087984665846992</v>
      </c>
      <c r="J2354">
        <v>1991</v>
      </c>
      <c r="K2354">
        <f>AVERAGE(I2354:I2433)</f>
        <v>0.77965686134251722</v>
      </c>
      <c r="L2354">
        <f>A2433-A2354</f>
        <v>1.203170000000199</v>
      </c>
      <c r="M2354">
        <f>K2354*L2354</f>
        <v>0.93805974586163166</v>
      </c>
      <c r="N2354" s="30">
        <v>33419</v>
      </c>
    </row>
    <row r="2355" spans="1:14" x14ac:dyDescent="0.3">
      <c r="A2355">
        <v>35.843800000000286</v>
      </c>
      <c r="B2355">
        <v>63.807699999999997</v>
      </c>
      <c r="C2355">
        <f t="shared" si="108"/>
        <v>62.615380000000002</v>
      </c>
      <c r="D2355">
        <v>0.69316666666666671</v>
      </c>
      <c r="E2355">
        <f t="shared" si="109"/>
        <v>4.1370109348309274</v>
      </c>
      <c r="I2355" s="24">
        <f t="shared" si="110"/>
        <v>0.90028226322423954</v>
      </c>
      <c r="N2355" s="30">
        <v>33417.063492063491</v>
      </c>
    </row>
    <row r="2356" spans="1:14" x14ac:dyDescent="0.3">
      <c r="A2356">
        <v>35.859030000000288</v>
      </c>
      <c r="B2356">
        <v>61.923099999999998</v>
      </c>
      <c r="C2356">
        <f t="shared" si="108"/>
        <v>61.423080000000006</v>
      </c>
      <c r="D2356">
        <v>0.69306060606060604</v>
      </c>
      <c r="E2356">
        <f t="shared" si="109"/>
        <v>4.1177856602874554</v>
      </c>
      <c r="I2356" s="24">
        <f t="shared" si="110"/>
        <v>0.8777762466192145</v>
      </c>
      <c r="N2356" s="30">
        <v>33415.126984126982</v>
      </c>
    </row>
    <row r="2357" spans="1:14" x14ac:dyDescent="0.3">
      <c r="A2357">
        <v>35.874260000000291</v>
      </c>
      <c r="B2357">
        <v>59.461500000000001</v>
      </c>
      <c r="C2357">
        <f t="shared" si="108"/>
        <v>59.853859999999997</v>
      </c>
      <c r="D2357">
        <v>0.69295454545454549</v>
      </c>
      <c r="E2357">
        <f t="shared" si="109"/>
        <v>4.0919059244940543</v>
      </c>
      <c r="I2357" s="24">
        <f t="shared" si="110"/>
        <v>0.84832115678232356</v>
      </c>
      <c r="N2357" s="30">
        <v>33413.190476190481</v>
      </c>
    </row>
    <row r="2358" spans="1:14" x14ac:dyDescent="0.3">
      <c r="A2358">
        <v>35.889490000000293</v>
      </c>
      <c r="B2358">
        <v>57.538499999999999</v>
      </c>
      <c r="C2358">
        <f t="shared" si="108"/>
        <v>58.330780000000004</v>
      </c>
      <c r="D2358">
        <v>0.69284848484848482</v>
      </c>
      <c r="E2358">
        <f t="shared" si="109"/>
        <v>4.0661299128688357</v>
      </c>
      <c r="I2358" s="24">
        <f t="shared" si="110"/>
        <v>0.81996716262324043</v>
      </c>
      <c r="N2358" s="30">
        <v>33411.253968253972</v>
      </c>
    </row>
    <row r="2359" spans="1:14" x14ac:dyDescent="0.3">
      <c r="A2359">
        <v>35.904720000000296</v>
      </c>
      <c r="B2359">
        <v>56.538499999999999</v>
      </c>
      <c r="C2359">
        <f t="shared" si="108"/>
        <v>57.092319999999994</v>
      </c>
      <c r="D2359">
        <v>0.69274242424242427</v>
      </c>
      <c r="E2359">
        <f t="shared" si="109"/>
        <v>4.0446696067402534</v>
      </c>
      <c r="I2359" s="24">
        <f t="shared" si="110"/>
        <v>0.79710528453232887</v>
      </c>
      <c r="N2359" s="30">
        <v>33409.317460317463</v>
      </c>
    </row>
    <row r="2360" spans="1:14" x14ac:dyDescent="0.3">
      <c r="A2360">
        <v>35.919950000000298</v>
      </c>
      <c r="B2360">
        <v>56.192300000000003</v>
      </c>
      <c r="C2360">
        <f t="shared" si="108"/>
        <v>56.253859999999996</v>
      </c>
      <c r="D2360">
        <v>0.69263636363636361</v>
      </c>
      <c r="E2360">
        <f t="shared" si="109"/>
        <v>4.0298746609523546</v>
      </c>
      <c r="I2360" s="24">
        <f t="shared" si="110"/>
        <v>0.78175355292631754</v>
      </c>
      <c r="N2360" s="30">
        <v>33407.380952380954</v>
      </c>
    </row>
    <row r="2361" spans="1:14" x14ac:dyDescent="0.3">
      <c r="A2361">
        <v>35.935180000000301</v>
      </c>
      <c r="B2361">
        <v>55.730800000000002</v>
      </c>
      <c r="C2361">
        <f t="shared" si="108"/>
        <v>55.776919999999997</v>
      </c>
      <c r="D2361">
        <v>0.69253030303030294</v>
      </c>
      <c r="E2361">
        <f t="shared" si="109"/>
        <v>4.0213601637512042</v>
      </c>
      <c r="I2361" s="24">
        <f t="shared" si="110"/>
        <v>0.7731032985372317</v>
      </c>
      <c r="N2361" s="30">
        <v>33405.444444444445</v>
      </c>
    </row>
    <row r="2362" spans="1:14" x14ac:dyDescent="0.3">
      <c r="A2362">
        <v>35.950410000000304</v>
      </c>
      <c r="B2362">
        <v>55.269199999999998</v>
      </c>
      <c r="C2362">
        <f t="shared" ref="C2362:C2425" si="111">AVERAGE(B2360:B2364)</f>
        <v>55.523060000000001</v>
      </c>
      <c r="D2362">
        <v>0.69242424242424239</v>
      </c>
      <c r="E2362">
        <f t="shared" ref="E2362:E2425" si="112">LN(C2362)</f>
        <v>4.0167984299535338</v>
      </c>
      <c r="I2362" s="24">
        <f t="shared" ref="I2362:I2425" si="113">(0.0026*(EXP(1.3248*E2362)))/D2362</f>
        <v>0.76856293210400317</v>
      </c>
      <c r="N2362" s="30">
        <v>33403.507936507936</v>
      </c>
    </row>
    <row r="2363" spans="1:14" x14ac:dyDescent="0.3">
      <c r="A2363">
        <v>35.965640000000306</v>
      </c>
      <c r="B2363">
        <v>55.153799999999997</v>
      </c>
      <c r="C2363">
        <f t="shared" si="111"/>
        <v>55.330759999999998</v>
      </c>
      <c r="D2363">
        <v>0.69231818181818183</v>
      </c>
      <c r="E2363">
        <f t="shared" si="112"/>
        <v>4.0133289925828981</v>
      </c>
      <c r="I2363" s="24">
        <f t="shared" si="113"/>
        <v>0.76515568515384402</v>
      </c>
      <c r="N2363" s="30">
        <v>33401.571428571428</v>
      </c>
    </row>
    <row r="2364" spans="1:14" x14ac:dyDescent="0.3">
      <c r="A2364">
        <v>35.980870000000309</v>
      </c>
      <c r="B2364">
        <v>55.269199999999998</v>
      </c>
      <c r="C2364">
        <f t="shared" si="111"/>
        <v>55.069219999999994</v>
      </c>
      <c r="D2364">
        <v>0.69221212121212117</v>
      </c>
      <c r="E2364">
        <f t="shared" si="112"/>
        <v>4.008590939382545</v>
      </c>
      <c r="I2364" s="24">
        <f t="shared" si="113"/>
        <v>0.76048436931121222</v>
      </c>
      <c r="N2364" s="30">
        <v>33399.634920634919</v>
      </c>
    </row>
    <row r="2365" spans="1:14" x14ac:dyDescent="0.3">
      <c r="A2365">
        <v>35.996100000000311</v>
      </c>
      <c r="B2365">
        <v>55.230800000000002</v>
      </c>
      <c r="C2365">
        <f t="shared" si="111"/>
        <v>54.738459999999996</v>
      </c>
      <c r="D2365">
        <v>0.69210606060606061</v>
      </c>
      <c r="E2365">
        <f t="shared" si="112"/>
        <v>4.0025665702244657</v>
      </c>
      <c r="I2365" s="24">
        <f t="shared" si="113"/>
        <v>0.75455464844457243</v>
      </c>
      <c r="N2365" s="30">
        <v>33397.698412698417</v>
      </c>
    </row>
    <row r="2366" spans="1:14" x14ac:dyDescent="0.3">
      <c r="A2366">
        <v>36.011330000000314</v>
      </c>
      <c r="B2366">
        <v>54.423099999999998</v>
      </c>
      <c r="C2366">
        <f t="shared" si="111"/>
        <v>54.276940000000003</v>
      </c>
      <c r="D2366" s="8">
        <v>0.69199999999999995</v>
      </c>
      <c r="E2366">
        <f t="shared" si="112"/>
        <v>3.9940994590223795</v>
      </c>
      <c r="I2366" s="24">
        <f t="shared" si="113"/>
        <v>0.74625228875072303</v>
      </c>
      <c r="N2366" s="30">
        <v>33395.761904761908</v>
      </c>
    </row>
    <row r="2367" spans="1:14" x14ac:dyDescent="0.3">
      <c r="A2367">
        <v>36.026560000000316</v>
      </c>
      <c r="B2367">
        <v>53.615400000000001</v>
      </c>
      <c r="C2367">
        <f t="shared" si="111"/>
        <v>53.638480000000001</v>
      </c>
      <c r="D2367">
        <v>0.69206153846153851</v>
      </c>
      <c r="E2367">
        <f t="shared" si="112"/>
        <v>3.9822667209500815</v>
      </c>
      <c r="I2367" s="24">
        <f t="shared" si="113"/>
        <v>0.73457991811928181</v>
      </c>
      <c r="N2367" s="30">
        <v>33393.825396825399</v>
      </c>
    </row>
    <row r="2368" spans="1:14" x14ac:dyDescent="0.3">
      <c r="A2368">
        <v>36.041790000000319</v>
      </c>
      <c r="B2368">
        <v>52.846200000000003</v>
      </c>
      <c r="C2368">
        <f t="shared" si="111"/>
        <v>52.861559999999997</v>
      </c>
      <c r="D2368">
        <v>0.69212307692307695</v>
      </c>
      <c r="E2368">
        <f t="shared" si="112"/>
        <v>3.9676764206589499</v>
      </c>
      <c r="I2368" s="24">
        <f t="shared" si="113"/>
        <v>0.72045333763020103</v>
      </c>
      <c r="N2368" s="30">
        <v>33391.888888888891</v>
      </c>
    </row>
    <row r="2369" spans="1:14" x14ac:dyDescent="0.3">
      <c r="A2369">
        <v>36.057020000000321</v>
      </c>
      <c r="B2369">
        <v>52.076900000000002</v>
      </c>
      <c r="C2369">
        <f t="shared" si="111"/>
        <v>52.107700000000001</v>
      </c>
      <c r="D2369">
        <v>0.6921846153846154</v>
      </c>
      <c r="E2369">
        <f t="shared" si="112"/>
        <v>3.953312730545389</v>
      </c>
      <c r="I2369" s="24">
        <f t="shared" si="113"/>
        <v>0.70681059056971529</v>
      </c>
      <c r="N2369" s="30">
        <v>33389.952380952382</v>
      </c>
    </row>
    <row r="2370" spans="1:14" x14ac:dyDescent="0.3">
      <c r="A2370">
        <v>36.072250000000324</v>
      </c>
      <c r="B2370">
        <v>51.346200000000003</v>
      </c>
      <c r="C2370">
        <f t="shared" si="111"/>
        <v>51.369240000000005</v>
      </c>
      <c r="D2370">
        <v>0.69224615384615384</v>
      </c>
      <c r="E2370">
        <f t="shared" si="112"/>
        <v>3.9390395497425206</v>
      </c>
      <c r="I2370" s="24">
        <f t="shared" si="113"/>
        <v>0.69350934409921172</v>
      </c>
      <c r="N2370" s="30">
        <v>33388.015873015873</v>
      </c>
    </row>
    <row r="2371" spans="1:14" x14ac:dyDescent="0.3">
      <c r="A2371">
        <v>36.087480000000326</v>
      </c>
      <c r="B2371">
        <v>50.653799999999997</v>
      </c>
      <c r="C2371">
        <f t="shared" si="111"/>
        <v>50.646159999999995</v>
      </c>
      <c r="D2371">
        <v>0.69230769230769229</v>
      </c>
      <c r="E2371">
        <f t="shared" si="112"/>
        <v>3.9248634134079987</v>
      </c>
      <c r="I2371" s="24">
        <f t="shared" si="113"/>
        <v>0.68054590341274135</v>
      </c>
      <c r="N2371" s="30">
        <v>33386.079365079364</v>
      </c>
    </row>
    <row r="2372" spans="1:14" x14ac:dyDescent="0.3">
      <c r="A2372">
        <v>36.102710000000329</v>
      </c>
      <c r="B2372">
        <v>49.923099999999998</v>
      </c>
      <c r="C2372">
        <f t="shared" si="111"/>
        <v>50.069240000000001</v>
      </c>
      <c r="D2372">
        <v>0.69236923076923074</v>
      </c>
      <c r="E2372">
        <f t="shared" si="112"/>
        <v>3.9134068474769048</v>
      </c>
      <c r="I2372" s="24">
        <f t="shared" si="113"/>
        <v>0.67023522425736815</v>
      </c>
      <c r="N2372" s="30">
        <v>33384.142857142855</v>
      </c>
    </row>
    <row r="2373" spans="1:14" x14ac:dyDescent="0.3">
      <c r="A2373">
        <v>36.117940000000331</v>
      </c>
      <c r="B2373">
        <v>49.230800000000002</v>
      </c>
      <c r="C2373">
        <f t="shared" si="111"/>
        <v>49.753840000000004</v>
      </c>
      <c r="D2373">
        <v>0.69243076923076918</v>
      </c>
      <c r="E2373">
        <f t="shared" si="112"/>
        <v>3.9070876465555693</v>
      </c>
      <c r="I2373" s="24">
        <f t="shared" si="113"/>
        <v>0.66458858320840919</v>
      </c>
      <c r="N2373" s="30">
        <v>33382.206349206353</v>
      </c>
    </row>
    <row r="2374" spans="1:14" x14ac:dyDescent="0.3">
      <c r="A2374">
        <v>36.133170000000334</v>
      </c>
      <c r="B2374">
        <v>49.192300000000003</v>
      </c>
      <c r="C2374">
        <f t="shared" si="111"/>
        <v>49.815380000000005</v>
      </c>
      <c r="D2374">
        <v>0.69249230769230763</v>
      </c>
      <c r="E2374">
        <f t="shared" si="112"/>
        <v>3.9083237716921553</v>
      </c>
      <c r="I2374" s="24">
        <f t="shared" si="113"/>
        <v>0.665618661865923</v>
      </c>
      <c r="N2374" s="30">
        <v>33380.269841269845</v>
      </c>
    </row>
    <row r="2375" spans="1:14" x14ac:dyDescent="0.3">
      <c r="A2375">
        <v>36.148400000000336</v>
      </c>
      <c r="B2375">
        <v>49.769199999999998</v>
      </c>
      <c r="C2375">
        <f t="shared" si="111"/>
        <v>50.2</v>
      </c>
      <c r="D2375">
        <v>0.69255384615384608</v>
      </c>
      <c r="E2375">
        <f t="shared" si="112"/>
        <v>3.9160150266976834</v>
      </c>
      <c r="I2375" s="24">
        <f t="shared" si="113"/>
        <v>0.67237582000738616</v>
      </c>
      <c r="N2375" s="30">
        <v>33378.333333333336</v>
      </c>
    </row>
    <row r="2376" spans="1:14" x14ac:dyDescent="0.3">
      <c r="A2376">
        <v>36.163630000000339</v>
      </c>
      <c r="B2376">
        <v>50.961500000000001</v>
      </c>
      <c r="C2376">
        <f t="shared" si="111"/>
        <v>50.938460000000006</v>
      </c>
      <c r="D2376">
        <v>0.69261538461538463</v>
      </c>
      <c r="E2376">
        <f t="shared" si="112"/>
        <v>3.9306182374492531</v>
      </c>
      <c r="I2376" s="24">
        <f t="shared" si="113"/>
        <v>0.68544956373544341</v>
      </c>
      <c r="N2376" s="30">
        <v>33376.396825396827</v>
      </c>
    </row>
    <row r="2377" spans="1:14" x14ac:dyDescent="0.3">
      <c r="A2377">
        <v>36.178860000000341</v>
      </c>
      <c r="B2377">
        <v>51.846200000000003</v>
      </c>
      <c r="C2377">
        <f t="shared" si="111"/>
        <v>51.869240000000005</v>
      </c>
      <c r="D2377">
        <v>0.69267692307692308</v>
      </c>
      <c r="E2377">
        <f t="shared" si="112"/>
        <v>3.9487259362413152</v>
      </c>
      <c r="I2377" s="24">
        <f t="shared" si="113"/>
        <v>0.70202930932087204</v>
      </c>
      <c r="N2377" s="30">
        <v>33374.460317460318</v>
      </c>
    </row>
    <row r="2378" spans="1:14" x14ac:dyDescent="0.3">
      <c r="A2378">
        <v>36.194090000000344</v>
      </c>
      <c r="B2378">
        <v>52.923099999999998</v>
      </c>
      <c r="C2378">
        <f t="shared" si="111"/>
        <v>52.869240000000005</v>
      </c>
      <c r="D2378">
        <v>0.69273846153846153</v>
      </c>
      <c r="E2378">
        <f t="shared" si="112"/>
        <v>3.9678216952622538</v>
      </c>
      <c r="I2378" s="24">
        <f t="shared" si="113"/>
        <v>0.71995188134676258</v>
      </c>
      <c r="N2378" s="30">
        <v>33372.523809523809</v>
      </c>
    </row>
    <row r="2379" spans="1:14" x14ac:dyDescent="0.3">
      <c r="A2379">
        <v>36.209320000000346</v>
      </c>
      <c r="B2379">
        <v>53.846200000000003</v>
      </c>
      <c r="C2379">
        <f t="shared" si="111"/>
        <v>53.815399999999997</v>
      </c>
      <c r="D2379">
        <v>0.69279999999999997</v>
      </c>
      <c r="E2379">
        <f t="shared" si="112"/>
        <v>3.9855596715605137</v>
      </c>
      <c r="I2379" s="24">
        <f t="shared" si="113"/>
        <v>0.73700510555229914</v>
      </c>
      <c r="N2379" s="30">
        <v>33370.5873015873</v>
      </c>
    </row>
    <row r="2380" spans="1:14" x14ac:dyDescent="0.3">
      <c r="A2380">
        <v>36.224550000000349</v>
      </c>
      <c r="B2380">
        <v>54.769199999999998</v>
      </c>
      <c r="C2380">
        <f t="shared" si="111"/>
        <v>54.676919999999996</v>
      </c>
      <c r="D2380">
        <v>0.69286153846153842</v>
      </c>
      <c r="E2380">
        <f t="shared" si="112"/>
        <v>4.0014416825443373</v>
      </c>
      <c r="I2380" s="24">
        <f t="shared" si="113"/>
        <v>0.75260948873343836</v>
      </c>
      <c r="N2380" s="30">
        <v>33368.650793650791</v>
      </c>
    </row>
    <row r="2381" spans="1:14" x14ac:dyDescent="0.3">
      <c r="A2381">
        <v>36.239780000000351</v>
      </c>
      <c r="B2381">
        <v>55.692300000000003</v>
      </c>
      <c r="C2381">
        <f t="shared" si="111"/>
        <v>55.315380000000005</v>
      </c>
      <c r="D2381">
        <v>0.69292307692307697</v>
      </c>
      <c r="E2381">
        <f t="shared" si="112"/>
        <v>4.0130509892092778</v>
      </c>
      <c r="I2381" s="24">
        <f t="shared" si="113"/>
        <v>0.76420622564430885</v>
      </c>
      <c r="N2381" s="30">
        <v>33366.71428571429</v>
      </c>
    </row>
    <row r="2382" spans="1:14" x14ac:dyDescent="0.3">
      <c r="A2382">
        <v>36.255010000000354</v>
      </c>
      <c r="B2382">
        <v>56.153799999999997</v>
      </c>
      <c r="C2382">
        <f t="shared" si="111"/>
        <v>55.630759999999995</v>
      </c>
      <c r="D2382">
        <v>0.69298461538461542</v>
      </c>
      <c r="E2382">
        <f t="shared" si="112"/>
        <v>4.0187362856872122</v>
      </c>
      <c r="I2382" s="24">
        <f t="shared" si="113"/>
        <v>0.7699154906075133</v>
      </c>
      <c r="N2382" s="30">
        <v>33364.777777777781</v>
      </c>
    </row>
    <row r="2383" spans="1:14" x14ac:dyDescent="0.3">
      <c r="A2383">
        <v>36.270240000000356</v>
      </c>
      <c r="B2383">
        <v>56.115400000000001</v>
      </c>
      <c r="C2383">
        <f t="shared" si="111"/>
        <v>55.538460000000001</v>
      </c>
      <c r="D2383">
        <v>0.69304615384615387</v>
      </c>
      <c r="E2383">
        <f t="shared" si="112"/>
        <v>4.0170757537304578</v>
      </c>
      <c r="I2383" s="24">
        <f t="shared" si="113"/>
        <v>0.76815542234097811</v>
      </c>
      <c r="N2383" s="30">
        <v>33362.841269841272</v>
      </c>
    </row>
    <row r="2384" spans="1:14" x14ac:dyDescent="0.3">
      <c r="A2384">
        <v>36.285470000000359</v>
      </c>
      <c r="B2384">
        <v>55.423099999999998</v>
      </c>
      <c r="C2384">
        <f t="shared" si="111"/>
        <v>55.161540000000002</v>
      </c>
      <c r="D2384">
        <v>0.69310769230769231</v>
      </c>
      <c r="E2384">
        <f t="shared" si="112"/>
        <v>4.0102659713171054</v>
      </c>
      <c r="I2384" s="24">
        <f t="shared" si="113"/>
        <v>0.76118900844006132</v>
      </c>
      <c r="N2384" s="30">
        <v>33360.904761904763</v>
      </c>
    </row>
    <row r="2385" spans="1:14" x14ac:dyDescent="0.3">
      <c r="A2385">
        <v>36.300700000000361</v>
      </c>
      <c r="B2385">
        <v>54.307699999999997</v>
      </c>
      <c r="C2385">
        <f t="shared" si="111"/>
        <v>54.776940000000003</v>
      </c>
      <c r="D2385">
        <v>0.69316923076923076</v>
      </c>
      <c r="E2385">
        <f t="shared" si="112"/>
        <v>4.0032693024718675</v>
      </c>
      <c r="I2385" s="24">
        <f t="shared" si="113"/>
        <v>0.75409905065930005</v>
      </c>
      <c r="N2385" s="30">
        <v>33358.968253968254</v>
      </c>
    </row>
    <row r="2386" spans="1:14" x14ac:dyDescent="0.3">
      <c r="A2386">
        <v>36.315930000000364</v>
      </c>
      <c r="B2386">
        <v>53.807699999999997</v>
      </c>
      <c r="C2386">
        <f t="shared" si="111"/>
        <v>54.607700000000001</v>
      </c>
      <c r="D2386">
        <v>0.69323076923076921</v>
      </c>
      <c r="E2386">
        <f t="shared" si="112"/>
        <v>4.0001748984487042</v>
      </c>
      <c r="I2386" s="24">
        <f t="shared" si="113"/>
        <v>0.75094730689704614</v>
      </c>
      <c r="N2386" s="30">
        <v>33357.031746031746</v>
      </c>
    </row>
    <row r="2387" spans="1:14" x14ac:dyDescent="0.3">
      <c r="A2387">
        <v>36.331160000000366</v>
      </c>
      <c r="B2387">
        <v>54.230800000000002</v>
      </c>
      <c r="C2387">
        <f t="shared" si="111"/>
        <v>54.653840000000002</v>
      </c>
      <c r="D2387">
        <v>0.69329230769230765</v>
      </c>
      <c r="E2387">
        <f t="shared" si="112"/>
        <v>4.0010194774788497</v>
      </c>
      <c r="I2387" s="24">
        <f t="shared" si="113"/>
        <v>0.75172128010976869</v>
      </c>
      <c r="N2387" s="30">
        <v>33355.095238095237</v>
      </c>
    </row>
    <row r="2388" spans="1:14" x14ac:dyDescent="0.3">
      <c r="A2388">
        <v>36.346390000000369</v>
      </c>
      <c r="B2388">
        <v>55.269199999999998</v>
      </c>
      <c r="C2388">
        <f t="shared" si="111"/>
        <v>55.061540000000001</v>
      </c>
      <c r="D2388">
        <v>0.6933538461538461</v>
      </c>
      <c r="E2388">
        <f t="shared" si="112"/>
        <v>4.0084514688111543</v>
      </c>
      <c r="I2388" s="24">
        <f t="shared" si="113"/>
        <v>0.75909183173279693</v>
      </c>
      <c r="N2388" s="30">
        <v>33353.158730158728</v>
      </c>
    </row>
    <row r="2389" spans="1:14" x14ac:dyDescent="0.3">
      <c r="A2389">
        <v>36.361620000000372</v>
      </c>
      <c r="B2389">
        <v>55.653799999999997</v>
      </c>
      <c r="C2389">
        <f t="shared" si="111"/>
        <v>55.576919999999994</v>
      </c>
      <c r="D2389">
        <v>0.69341538461538454</v>
      </c>
      <c r="E2389">
        <f t="shared" si="112"/>
        <v>4.0177680071617274</v>
      </c>
      <c r="I2389" s="24">
        <f t="shared" si="113"/>
        <v>0.76845081503663171</v>
      </c>
      <c r="N2389" s="30">
        <v>33351.222222222226</v>
      </c>
    </row>
    <row r="2390" spans="1:14" x14ac:dyDescent="0.3">
      <c r="A2390">
        <v>36.376850000000374</v>
      </c>
      <c r="B2390">
        <v>56.346200000000003</v>
      </c>
      <c r="C2390">
        <f t="shared" si="111"/>
        <v>56.015380000000007</v>
      </c>
      <c r="D2390">
        <v>0.6934769230769231</v>
      </c>
      <c r="E2390">
        <f t="shared" si="112"/>
        <v>4.0256262958848463</v>
      </c>
      <c r="I2390" s="24">
        <f t="shared" si="113"/>
        <v>0.7764237786439101</v>
      </c>
      <c r="N2390" s="30">
        <v>33349.285714285717</v>
      </c>
    </row>
    <row r="2391" spans="1:14" x14ac:dyDescent="0.3">
      <c r="A2391">
        <v>36.392080000000377</v>
      </c>
      <c r="B2391">
        <v>56.384599999999999</v>
      </c>
      <c r="C2391">
        <f t="shared" si="111"/>
        <v>56.353840000000005</v>
      </c>
      <c r="D2391">
        <v>0.69353846153846155</v>
      </c>
      <c r="E2391">
        <f t="shared" si="112"/>
        <v>4.0316503836830622</v>
      </c>
      <c r="I2391" s="24">
        <f t="shared" si="113"/>
        <v>0.7825755396546239</v>
      </c>
      <c r="N2391" s="30">
        <v>33347.349206349209</v>
      </c>
    </row>
    <row r="2392" spans="1:14" x14ac:dyDescent="0.3">
      <c r="A2392">
        <v>36.407310000000379</v>
      </c>
      <c r="B2392">
        <v>56.423099999999998</v>
      </c>
      <c r="C2392">
        <f t="shared" si="111"/>
        <v>56.769240000000003</v>
      </c>
      <c r="D2392">
        <v>0.69359999999999999</v>
      </c>
      <c r="E2392">
        <f t="shared" si="112"/>
        <v>4.0389946297405483</v>
      </c>
      <c r="I2392" s="24">
        <f t="shared" si="113"/>
        <v>0.79015678201962192</v>
      </c>
      <c r="N2392" s="30">
        <v>33345.4126984127</v>
      </c>
    </row>
    <row r="2393" spans="1:14" x14ac:dyDescent="0.3">
      <c r="A2393">
        <v>36.422540000000382</v>
      </c>
      <c r="B2393">
        <v>56.961500000000001</v>
      </c>
      <c r="C2393">
        <f t="shared" si="111"/>
        <v>57.107700000000001</v>
      </c>
      <c r="D2393">
        <v>0.69366153846153844</v>
      </c>
      <c r="E2393">
        <f t="shared" si="112"/>
        <v>4.0449389587087206</v>
      </c>
      <c r="I2393" s="24">
        <f t="shared" si="113"/>
        <v>0.79633321630930509</v>
      </c>
      <c r="N2393" s="30">
        <v>33343.476190476191</v>
      </c>
    </row>
    <row r="2394" spans="1:14" x14ac:dyDescent="0.3">
      <c r="A2394">
        <v>36.437770000000384</v>
      </c>
      <c r="B2394">
        <v>57.730800000000002</v>
      </c>
      <c r="C2394">
        <f t="shared" si="111"/>
        <v>57.423080000000006</v>
      </c>
      <c r="D2394">
        <v>0.69372307692307689</v>
      </c>
      <c r="E2394">
        <f t="shared" si="112"/>
        <v>4.0504463131010962</v>
      </c>
      <c r="I2394" s="24">
        <f t="shared" si="113"/>
        <v>0.80209346689342453</v>
      </c>
      <c r="N2394" s="30">
        <v>33341.539682539682</v>
      </c>
    </row>
    <row r="2395" spans="1:14" x14ac:dyDescent="0.3">
      <c r="A2395">
        <v>36.453000000000387</v>
      </c>
      <c r="B2395">
        <v>58.038499999999999</v>
      </c>
      <c r="C2395">
        <f t="shared" si="111"/>
        <v>57.792299999999997</v>
      </c>
      <c r="D2395">
        <v>0.69378461538461544</v>
      </c>
      <c r="E2395">
        <f t="shared" si="112"/>
        <v>4.0568555488109475</v>
      </c>
      <c r="I2395" s="24">
        <f t="shared" si="113"/>
        <v>0.80886125072299775</v>
      </c>
      <c r="N2395" s="30">
        <v>33339.603174603173</v>
      </c>
    </row>
    <row r="2396" spans="1:14" x14ac:dyDescent="0.3">
      <c r="A2396">
        <v>36.468230000000389</v>
      </c>
      <c r="B2396">
        <v>57.961500000000001</v>
      </c>
      <c r="C2396">
        <f t="shared" si="111"/>
        <v>58.069240000000001</v>
      </c>
      <c r="D2396">
        <v>0.69384615384615389</v>
      </c>
      <c r="E2396">
        <f t="shared" si="112"/>
        <v>4.0616360916454815</v>
      </c>
      <c r="I2396" s="24">
        <f t="shared" si="113"/>
        <v>0.81392804283247633</v>
      </c>
      <c r="N2396" s="30">
        <v>33337.666666666664</v>
      </c>
    </row>
    <row r="2397" spans="1:14" x14ac:dyDescent="0.3">
      <c r="A2397">
        <v>36.483460000000392</v>
      </c>
      <c r="B2397">
        <v>58.269199999999998</v>
      </c>
      <c r="C2397">
        <f t="shared" si="111"/>
        <v>58.161540000000002</v>
      </c>
      <c r="D2397">
        <v>0.69390769230769234</v>
      </c>
      <c r="E2397">
        <f t="shared" si="112"/>
        <v>4.0632243115542144</v>
      </c>
      <c r="I2397" s="24">
        <f t="shared" si="113"/>
        <v>0.81557007602024301</v>
      </c>
      <c r="N2397" s="30">
        <v>33335.730158730163</v>
      </c>
    </row>
    <row r="2398" spans="1:14" x14ac:dyDescent="0.3">
      <c r="A2398">
        <v>36.498690000000394</v>
      </c>
      <c r="B2398">
        <v>58.346200000000003</v>
      </c>
      <c r="C2398">
        <f t="shared" si="111"/>
        <v>58.3</v>
      </c>
      <c r="D2398">
        <v>0.69396923076923067</v>
      </c>
      <c r="E2398">
        <f t="shared" si="112"/>
        <v>4.0656020933564463</v>
      </c>
      <c r="I2398" s="24">
        <f t="shared" si="113"/>
        <v>0.81807069234771868</v>
      </c>
      <c r="N2398" s="30">
        <v>33333.793650793654</v>
      </c>
    </row>
    <row r="2399" spans="1:14" x14ac:dyDescent="0.3">
      <c r="A2399">
        <v>36.513920000000397</v>
      </c>
      <c r="B2399">
        <v>58.192300000000003</v>
      </c>
      <c r="C2399">
        <f t="shared" si="111"/>
        <v>58.530780000000007</v>
      </c>
      <c r="D2399">
        <v>0.69403076923076923</v>
      </c>
      <c r="E2399">
        <f t="shared" si="112"/>
        <v>4.0695527697135638</v>
      </c>
      <c r="I2399" s="24">
        <f t="shared" si="113"/>
        <v>0.82229066345970292</v>
      </c>
      <c r="N2399" s="30">
        <v>33331.857142857145</v>
      </c>
    </row>
    <row r="2400" spans="1:14" x14ac:dyDescent="0.3">
      <c r="A2400">
        <v>36.529150000000399</v>
      </c>
      <c r="B2400">
        <v>58.730800000000002</v>
      </c>
      <c r="C2400">
        <f t="shared" si="111"/>
        <v>58.807699999999997</v>
      </c>
      <c r="D2400">
        <v>0.69409230769230768</v>
      </c>
      <c r="E2400">
        <f t="shared" si="112"/>
        <v>4.0742727987120189</v>
      </c>
      <c r="I2400" s="24">
        <f t="shared" si="113"/>
        <v>0.82737527257046395</v>
      </c>
      <c r="N2400" s="30">
        <v>33329.920634920636</v>
      </c>
    </row>
    <row r="2401" spans="1:14" x14ac:dyDescent="0.3">
      <c r="A2401">
        <v>36.544380000000402</v>
      </c>
      <c r="B2401">
        <v>59.115400000000001</v>
      </c>
      <c r="C2401">
        <f t="shared" si="111"/>
        <v>59.130759999999995</v>
      </c>
      <c r="D2401">
        <v>0.69415384615384612</v>
      </c>
      <c r="E2401">
        <f t="shared" si="112"/>
        <v>4.0797512627858232</v>
      </c>
      <c r="I2401" s="24">
        <f t="shared" si="113"/>
        <v>0.83332821541883739</v>
      </c>
      <c r="N2401" s="30">
        <v>33327.984126984127</v>
      </c>
    </row>
    <row r="2402" spans="1:14" x14ac:dyDescent="0.3">
      <c r="A2402">
        <v>36.559610000000404</v>
      </c>
      <c r="B2402">
        <v>59.653799999999997</v>
      </c>
      <c r="C2402">
        <f t="shared" si="111"/>
        <v>59.6</v>
      </c>
      <c r="D2402">
        <v>0.69421538461538457</v>
      </c>
      <c r="E2402">
        <f t="shared" si="112"/>
        <v>4.0876555740713041</v>
      </c>
      <c r="I2402" s="24">
        <f t="shared" si="113"/>
        <v>0.84202572304474466</v>
      </c>
      <c r="N2402" s="30">
        <v>33326.047619047618</v>
      </c>
    </row>
    <row r="2403" spans="1:14" x14ac:dyDescent="0.3">
      <c r="A2403">
        <v>36.574840000000407</v>
      </c>
      <c r="B2403">
        <v>59.961500000000001</v>
      </c>
      <c r="C2403">
        <f t="shared" si="111"/>
        <v>60.084600000000002</v>
      </c>
      <c r="D2403">
        <v>0.69427692307692301</v>
      </c>
      <c r="E2403">
        <f t="shared" si="112"/>
        <v>4.0957535691055211</v>
      </c>
      <c r="I2403" s="24">
        <f t="shared" si="113"/>
        <v>0.8510323541568493</v>
      </c>
      <c r="N2403" s="30">
        <v>33324.111111111109</v>
      </c>
    </row>
    <row r="2404" spans="1:14" x14ac:dyDescent="0.3">
      <c r="A2404">
        <v>36.590070000000409</v>
      </c>
      <c r="B2404">
        <v>60.538499999999999</v>
      </c>
      <c r="C2404">
        <f t="shared" si="111"/>
        <v>60.530760000000001</v>
      </c>
      <c r="D2404">
        <v>0.69433846153846157</v>
      </c>
      <c r="E2404">
        <f t="shared" si="112"/>
        <v>4.1031516655822484</v>
      </c>
      <c r="I2404" s="24">
        <f t="shared" si="113"/>
        <v>0.85933816054809509</v>
      </c>
      <c r="N2404" s="30">
        <v>33322.174603174601</v>
      </c>
    </row>
    <row r="2405" spans="1:14" x14ac:dyDescent="0.3">
      <c r="A2405">
        <v>36.605300000000412</v>
      </c>
      <c r="B2405">
        <v>61.153799999999997</v>
      </c>
      <c r="C2405">
        <f t="shared" si="111"/>
        <v>60.853840000000005</v>
      </c>
      <c r="D2405">
        <v>0.69440000000000002</v>
      </c>
      <c r="E2405">
        <f t="shared" si="112"/>
        <v>4.1084749234407933</v>
      </c>
      <c r="I2405" s="24">
        <f t="shared" si="113"/>
        <v>0.86534315499329706</v>
      </c>
      <c r="N2405" s="30">
        <v>33320.238095238099</v>
      </c>
    </row>
    <row r="2406" spans="1:14" x14ac:dyDescent="0.3">
      <c r="A2406">
        <v>36.620530000000414</v>
      </c>
      <c r="B2406">
        <v>61.346200000000003</v>
      </c>
      <c r="C2406">
        <f t="shared" si="111"/>
        <v>60.9923</v>
      </c>
      <c r="D2406">
        <v>0.69446153846153846</v>
      </c>
      <c r="E2406">
        <f t="shared" si="112"/>
        <v>4.1107476266975</v>
      </c>
      <c r="I2406" s="24">
        <f t="shared" si="113"/>
        <v>0.86787561125247081</v>
      </c>
      <c r="N2406" s="30">
        <v>33318.30158730159</v>
      </c>
    </row>
    <row r="2407" spans="1:14" x14ac:dyDescent="0.3">
      <c r="A2407">
        <v>36.635760000000417</v>
      </c>
      <c r="B2407">
        <v>61.269199999999998</v>
      </c>
      <c r="C2407">
        <f t="shared" si="111"/>
        <v>60.823059999999998</v>
      </c>
      <c r="D2407">
        <v>0.69452307692307691</v>
      </c>
      <c r="E2407">
        <f t="shared" si="112"/>
        <v>4.1079689933808297</v>
      </c>
      <c r="I2407" s="24">
        <f t="shared" si="113"/>
        <v>0.86461010243762593</v>
      </c>
      <c r="N2407" s="30">
        <v>33316.365079365081</v>
      </c>
    </row>
    <row r="2408" spans="1:14" x14ac:dyDescent="0.3">
      <c r="A2408">
        <v>36.650990000000419</v>
      </c>
      <c r="B2408">
        <v>60.653799999999997</v>
      </c>
      <c r="C2408">
        <f t="shared" si="111"/>
        <v>60.261540000000004</v>
      </c>
      <c r="D2408">
        <v>0.69458461538461536</v>
      </c>
      <c r="E2408">
        <f t="shared" si="112"/>
        <v>4.0986940892999364</v>
      </c>
      <c r="I2408" s="24">
        <f t="shared" si="113"/>
        <v>0.85397563448560365</v>
      </c>
      <c r="N2408" s="30">
        <v>33314.428571428572</v>
      </c>
    </row>
    <row r="2409" spans="1:14" x14ac:dyDescent="0.3">
      <c r="A2409">
        <v>36.666220000000422</v>
      </c>
      <c r="B2409">
        <v>59.692300000000003</v>
      </c>
      <c r="C2409">
        <f t="shared" si="111"/>
        <v>59.44614</v>
      </c>
      <c r="D2409">
        <v>0.69464615384615391</v>
      </c>
      <c r="E2409">
        <f t="shared" si="112"/>
        <v>4.0850706925174896</v>
      </c>
      <c r="I2409" s="24">
        <f t="shared" si="113"/>
        <v>0.83862680037616155</v>
      </c>
      <c r="N2409" s="30">
        <v>33312.492063492064</v>
      </c>
    </row>
    <row r="2410" spans="1:14" x14ac:dyDescent="0.3">
      <c r="A2410">
        <v>36.681450000000424</v>
      </c>
      <c r="B2410">
        <v>58.346200000000003</v>
      </c>
      <c r="C2410">
        <f t="shared" si="111"/>
        <v>58.507680000000008</v>
      </c>
      <c r="D2410">
        <v>0.69470769230769236</v>
      </c>
      <c r="E2410">
        <f t="shared" si="112"/>
        <v>4.0691580276723585</v>
      </c>
      <c r="I2410" s="24">
        <f t="shared" si="113"/>
        <v>0.82105993447466918</v>
      </c>
      <c r="N2410" s="30">
        <v>33310.555555555555</v>
      </c>
    </row>
    <row r="2411" spans="1:14" x14ac:dyDescent="0.3">
      <c r="A2411">
        <v>36.696680000000427</v>
      </c>
      <c r="B2411">
        <v>57.269199999999998</v>
      </c>
      <c r="C2411">
        <f t="shared" si="111"/>
        <v>57.561540000000001</v>
      </c>
      <c r="D2411">
        <v>0.69476923076923069</v>
      </c>
      <c r="E2411">
        <f t="shared" si="112"/>
        <v>4.0528546363520244</v>
      </c>
      <c r="I2411" s="24">
        <f t="shared" si="113"/>
        <v>0.80344505268589705</v>
      </c>
      <c r="N2411" s="30">
        <v>33308.619047619046</v>
      </c>
    </row>
    <row r="2412" spans="1:14" x14ac:dyDescent="0.3">
      <c r="A2412">
        <v>36.711910000000429</v>
      </c>
      <c r="B2412">
        <v>56.576900000000002</v>
      </c>
      <c r="C2412">
        <f t="shared" si="111"/>
        <v>56.607700000000001</v>
      </c>
      <c r="D2412">
        <v>0.69483076923076914</v>
      </c>
      <c r="E2412">
        <f t="shared" si="112"/>
        <v>4.0361450183590355</v>
      </c>
      <c r="I2412" s="24">
        <f t="shared" si="113"/>
        <v>0.78578508471655106</v>
      </c>
      <c r="N2412" s="30">
        <v>33306.682539682537</v>
      </c>
    </row>
    <row r="2413" spans="1:14" x14ac:dyDescent="0.3">
      <c r="A2413">
        <v>36.727140000000432</v>
      </c>
      <c r="B2413">
        <v>55.923099999999998</v>
      </c>
      <c r="C2413">
        <f t="shared" si="111"/>
        <v>55.761540000000004</v>
      </c>
      <c r="D2413">
        <v>0.6948923076923077</v>
      </c>
      <c r="E2413">
        <f t="shared" si="112"/>
        <v>4.0210843844353077</v>
      </c>
      <c r="I2413" s="24">
        <f t="shared" si="113"/>
        <v>0.77019400365513879</v>
      </c>
      <c r="N2413" s="30">
        <v>33304.746031746035</v>
      </c>
    </row>
    <row r="2414" spans="1:14" x14ac:dyDescent="0.3">
      <c r="A2414">
        <v>36.742370000000435</v>
      </c>
      <c r="B2414">
        <v>54.923099999999998</v>
      </c>
      <c r="C2414">
        <f t="shared" si="111"/>
        <v>54.976939999999999</v>
      </c>
      <c r="D2414">
        <v>0.69495384615384614</v>
      </c>
      <c r="E2414">
        <f t="shared" si="112"/>
        <v>4.0069138245858129</v>
      </c>
      <c r="I2414" s="24">
        <f t="shared" si="113"/>
        <v>0.75580297253515871</v>
      </c>
      <c r="N2414" s="30">
        <v>33302.809523809527</v>
      </c>
    </row>
    <row r="2415" spans="1:14" x14ac:dyDescent="0.3">
      <c r="A2415">
        <v>36.757600000000437</v>
      </c>
      <c r="B2415">
        <v>54.115400000000001</v>
      </c>
      <c r="C2415">
        <f t="shared" si="111"/>
        <v>54.338480000000004</v>
      </c>
      <c r="D2415">
        <v>0.69501538461538459</v>
      </c>
      <c r="E2415">
        <f t="shared" si="112"/>
        <v>3.9952326315790052</v>
      </c>
      <c r="I2415" s="24">
        <f t="shared" si="113"/>
        <v>0.7441308796486712</v>
      </c>
      <c r="N2415" s="30">
        <v>33300.873015873018</v>
      </c>
    </row>
    <row r="2416" spans="1:14" x14ac:dyDescent="0.3">
      <c r="A2416">
        <v>36.77283000000044</v>
      </c>
      <c r="B2416">
        <v>53.346200000000003</v>
      </c>
      <c r="C2416">
        <f t="shared" si="111"/>
        <v>53.846160000000012</v>
      </c>
      <c r="D2416">
        <v>0.69507692307692304</v>
      </c>
      <c r="E2416">
        <f t="shared" si="112"/>
        <v>3.9861310918675761</v>
      </c>
      <c r="I2416" s="24">
        <f t="shared" si="113"/>
        <v>0.73514714348150512</v>
      </c>
      <c r="N2416" s="30">
        <v>33298.936507936509</v>
      </c>
    </row>
    <row r="2417" spans="1:18" x14ac:dyDescent="0.3">
      <c r="A2417">
        <v>36.788060000000442</v>
      </c>
      <c r="B2417">
        <v>53.384599999999999</v>
      </c>
      <c r="C2417">
        <f t="shared" si="111"/>
        <v>53.630780000000001</v>
      </c>
      <c r="D2417">
        <v>0.69513846153846148</v>
      </c>
      <c r="E2417">
        <f t="shared" si="112"/>
        <v>3.9821231569875217</v>
      </c>
      <c r="I2417" s="25">
        <f t="shared" si="113"/>
        <v>0.73118933281263787</v>
      </c>
      <c r="N2417" s="30">
        <v>33297</v>
      </c>
    </row>
    <row r="2418" spans="1:18" x14ac:dyDescent="0.3">
      <c r="A2418">
        <v>36.803290000000445</v>
      </c>
      <c r="B2418">
        <v>53.461500000000001</v>
      </c>
      <c r="C2418">
        <f t="shared" si="111"/>
        <v>53.646159999999995</v>
      </c>
      <c r="D2418">
        <v>0.69520000000000004</v>
      </c>
      <c r="E2418">
        <f t="shared" si="112"/>
        <v>3.9824098914917938</v>
      </c>
      <c r="I2418" s="24">
        <f t="shared" si="113"/>
        <v>0.731402390651685</v>
      </c>
      <c r="N2418" s="30">
        <v>33281.8125</v>
      </c>
    </row>
    <row r="2419" spans="1:18" x14ac:dyDescent="0.3">
      <c r="A2419">
        <v>36.818520000000447</v>
      </c>
      <c r="B2419">
        <v>53.846200000000003</v>
      </c>
      <c r="C2419">
        <f t="shared" si="111"/>
        <v>53.815380000000005</v>
      </c>
      <c r="D2419">
        <v>0.69526153846153849</v>
      </c>
      <c r="E2419">
        <f t="shared" si="112"/>
        <v>3.9855592999196134</v>
      </c>
      <c r="I2419" s="24">
        <f t="shared" si="113"/>
        <v>0.73439541451423052</v>
      </c>
      <c r="N2419" s="30">
        <v>33266.625</v>
      </c>
    </row>
    <row r="2420" spans="1:18" x14ac:dyDescent="0.3">
      <c r="A2420">
        <v>36.83375000000045</v>
      </c>
      <c r="B2420">
        <v>54.192300000000003</v>
      </c>
      <c r="C2420">
        <f t="shared" si="111"/>
        <v>54.0077</v>
      </c>
      <c r="D2420">
        <v>0.69532307692307693</v>
      </c>
      <c r="E2420">
        <f t="shared" si="112"/>
        <v>3.9891266289915097</v>
      </c>
      <c r="I2420" s="24">
        <f t="shared" si="113"/>
        <v>0.73780907536578566</v>
      </c>
      <c r="N2420" s="30">
        <v>33251.4375</v>
      </c>
    </row>
    <row r="2421" spans="1:18" x14ac:dyDescent="0.3">
      <c r="A2421">
        <v>36.848980000000452</v>
      </c>
      <c r="B2421">
        <v>54.192300000000003</v>
      </c>
      <c r="C2421">
        <f t="shared" si="111"/>
        <v>54.238480000000003</v>
      </c>
      <c r="D2421">
        <v>0.69538461538461538</v>
      </c>
      <c r="E2421">
        <f t="shared" si="112"/>
        <v>3.9933906196406519</v>
      </c>
      <c r="I2421" s="24">
        <f t="shared" si="113"/>
        <v>0.74192304213173033</v>
      </c>
      <c r="N2421" s="30">
        <v>33236.25</v>
      </c>
      <c r="O2421">
        <v>1990</v>
      </c>
      <c r="P2421" s="24">
        <f>AVERAGE(I2421:I2496)</f>
        <v>0.75557288227660302</v>
      </c>
      <c r="Q2421">
        <f>A2496-A2421</f>
        <v>1.1422500000001889</v>
      </c>
      <c r="R2421">
        <f>P2421*Q2421</f>
        <v>0.8630531247805926</v>
      </c>
    </row>
    <row r="2422" spans="1:18" x14ac:dyDescent="0.3">
      <c r="A2422">
        <v>36.864210000000455</v>
      </c>
      <c r="B2422">
        <v>54.346200000000003</v>
      </c>
      <c r="C2422">
        <f t="shared" si="111"/>
        <v>54.438480000000006</v>
      </c>
      <c r="D2422">
        <v>0.69544615384615383</v>
      </c>
      <c r="E2422">
        <f t="shared" si="112"/>
        <v>3.9970712567468936</v>
      </c>
      <c r="I2422" s="24">
        <f t="shared" si="113"/>
        <v>0.74548360153513904</v>
      </c>
      <c r="N2422" s="30">
        <v>33221.0625</v>
      </c>
    </row>
    <row r="2423" spans="1:18" x14ac:dyDescent="0.3">
      <c r="A2423">
        <v>36.879440000000457</v>
      </c>
      <c r="B2423">
        <v>54.615400000000001</v>
      </c>
      <c r="C2423">
        <f t="shared" si="111"/>
        <v>54.630780000000001</v>
      </c>
      <c r="D2423">
        <v>0.69550769230769238</v>
      </c>
      <c r="E2423">
        <f t="shared" si="112"/>
        <v>4.0005974601750012</v>
      </c>
      <c r="I2423" s="24">
        <f t="shared" si="113"/>
        <v>0.74890801670290796</v>
      </c>
      <c r="N2423" s="30">
        <v>33205.875</v>
      </c>
    </row>
    <row r="2424" spans="1:18" x14ac:dyDescent="0.3">
      <c r="A2424">
        <v>36.89467000000046</v>
      </c>
      <c r="B2424">
        <v>54.846200000000003</v>
      </c>
      <c r="C2424">
        <f t="shared" si="111"/>
        <v>54.830780000000004</v>
      </c>
      <c r="D2424">
        <v>0.69556923076923072</v>
      </c>
      <c r="E2424">
        <f t="shared" si="112"/>
        <v>4.0042517151035737</v>
      </c>
      <c r="I2424" s="24">
        <f t="shared" si="113"/>
        <v>0.75247580912477607</v>
      </c>
      <c r="N2424" s="30">
        <v>33190.6875</v>
      </c>
    </row>
    <row r="2425" spans="1:18" x14ac:dyDescent="0.3">
      <c r="A2425">
        <v>36.909900000000462</v>
      </c>
      <c r="B2425">
        <v>55.153799999999997</v>
      </c>
      <c r="C2425">
        <f t="shared" si="111"/>
        <v>55.069240000000001</v>
      </c>
      <c r="D2425">
        <v>0.69563076923076916</v>
      </c>
      <c r="E2425">
        <f t="shared" si="112"/>
        <v>4.008591302561765</v>
      </c>
      <c r="I2425" s="24">
        <f t="shared" si="113"/>
        <v>0.75674736511683538</v>
      </c>
      <c r="N2425" s="30">
        <v>33175.5</v>
      </c>
    </row>
    <row r="2426" spans="1:18" x14ac:dyDescent="0.3">
      <c r="A2426">
        <v>36.925130000000465</v>
      </c>
      <c r="B2426">
        <v>55.192300000000003</v>
      </c>
      <c r="C2426">
        <f t="shared" ref="C2426:C2489" si="114">AVERAGE(B2424:B2428)</f>
        <v>55.346159999999998</v>
      </c>
      <c r="D2426">
        <v>0.69569230769230761</v>
      </c>
      <c r="E2426">
        <f t="shared" ref="E2426:E2489" si="115">LN(C2426)</f>
        <v>4.0136072800542051</v>
      </c>
      <c r="I2426" s="24">
        <f t="shared" ref="I2426:I2489" si="116">(0.0026*(EXP(1.3248*E2426)))/D2426</f>
        <v>0.76172543763261535</v>
      </c>
      <c r="N2426" s="30">
        <v>33160.3125</v>
      </c>
    </row>
    <row r="2427" spans="1:18" x14ac:dyDescent="0.3">
      <c r="A2427">
        <v>36.940360000000467</v>
      </c>
      <c r="B2427">
        <v>55.538499999999999</v>
      </c>
      <c r="C2427">
        <f t="shared" si="114"/>
        <v>55.807680000000005</v>
      </c>
      <c r="D2427">
        <v>0.69575384615384617</v>
      </c>
      <c r="E2427">
        <f t="shared" si="115"/>
        <v>4.0219114943251215</v>
      </c>
      <c r="I2427" s="24">
        <f t="shared" si="116"/>
        <v>0.7700836483991047</v>
      </c>
      <c r="N2427" s="30">
        <v>33145.125</v>
      </c>
    </row>
    <row r="2428" spans="1:18" x14ac:dyDescent="0.3">
      <c r="A2428">
        <v>36.95559000000047</v>
      </c>
      <c r="B2428">
        <v>56</v>
      </c>
      <c r="C2428">
        <f t="shared" si="114"/>
        <v>56.576919999999994</v>
      </c>
      <c r="D2428">
        <v>0.69581538461538461</v>
      </c>
      <c r="E2428">
        <f t="shared" si="115"/>
        <v>4.0356011281951814</v>
      </c>
      <c r="I2428" s="24">
        <f t="shared" si="116"/>
        <v>0.78410796825771345</v>
      </c>
      <c r="N2428" s="30">
        <v>33129.9375</v>
      </c>
    </row>
    <row r="2429" spans="1:18" x14ac:dyDescent="0.3">
      <c r="A2429">
        <v>36.970820000000472</v>
      </c>
      <c r="B2429">
        <v>57.153799999999997</v>
      </c>
      <c r="C2429">
        <f t="shared" si="114"/>
        <v>57.684619999999995</v>
      </c>
      <c r="D2429">
        <v>0.69587692307692306</v>
      </c>
      <c r="E2429">
        <f t="shared" si="115"/>
        <v>4.054990586856472</v>
      </c>
      <c r="I2429" s="24">
        <f t="shared" si="116"/>
        <v>0.80443924404627931</v>
      </c>
      <c r="N2429" s="30">
        <v>33114.75</v>
      </c>
    </row>
    <row r="2430" spans="1:18" x14ac:dyDescent="0.3">
      <c r="A2430">
        <v>36.986050000000475</v>
      </c>
      <c r="B2430">
        <v>59</v>
      </c>
      <c r="C2430">
        <f t="shared" si="114"/>
        <v>59.061539999999994</v>
      </c>
      <c r="D2430">
        <v>0.69593846153846151</v>
      </c>
      <c r="E2430">
        <f t="shared" si="115"/>
        <v>4.0785799511536105</v>
      </c>
      <c r="I2430" s="24">
        <f t="shared" si="116"/>
        <v>0.82990248356070784</v>
      </c>
      <c r="N2430" s="30">
        <v>33099.5625</v>
      </c>
    </row>
    <row r="2431" spans="1:18" x14ac:dyDescent="0.3">
      <c r="A2431">
        <v>37.001280000000477</v>
      </c>
      <c r="B2431">
        <v>60.730800000000002</v>
      </c>
      <c r="C2431">
        <f t="shared" si="114"/>
        <v>60.676919999999996</v>
      </c>
      <c r="D2431" s="8">
        <v>0.69599999999999995</v>
      </c>
      <c r="E2431">
        <f t="shared" si="115"/>
        <v>4.1055633951169481</v>
      </c>
      <c r="I2431" s="24">
        <f t="shared" si="116"/>
        <v>0.86003015236811053</v>
      </c>
      <c r="N2431" s="30">
        <v>33084.375</v>
      </c>
    </row>
    <row r="2432" spans="1:18" x14ac:dyDescent="0.3">
      <c r="A2432">
        <v>37.01651000000048</v>
      </c>
      <c r="B2432">
        <v>62.423099999999998</v>
      </c>
      <c r="C2432">
        <f t="shared" si="114"/>
        <v>62.261539999999989</v>
      </c>
      <c r="D2432">
        <v>0.69587878787878787</v>
      </c>
      <c r="E2432">
        <f t="shared" si="115"/>
        <v>4.1313438996898899</v>
      </c>
      <c r="I2432" s="24">
        <f t="shared" si="116"/>
        <v>0.89006601354471548</v>
      </c>
      <c r="N2432" s="30">
        <v>33069.1875</v>
      </c>
    </row>
    <row r="2433" spans="1:14" x14ac:dyDescent="0.3">
      <c r="A2433">
        <v>37.031740000000482</v>
      </c>
      <c r="B2433">
        <v>64.076899999999995</v>
      </c>
      <c r="C2433">
        <f t="shared" si="114"/>
        <v>62.292299999999997</v>
      </c>
      <c r="D2433">
        <v>0.69575757575757569</v>
      </c>
      <c r="E2433">
        <f t="shared" si="115"/>
        <v>4.1318378226492358</v>
      </c>
      <c r="I2433" s="24">
        <f t="shared" si="116"/>
        <v>0.89080378332920929</v>
      </c>
      <c r="J2433">
        <v>1990</v>
      </c>
      <c r="K2433">
        <f>AVERAGE(I2433:I2505)</f>
        <v>0.75156958786229133</v>
      </c>
      <c r="L2433">
        <f>A2505-A2433</f>
        <v>1.0965600000001814</v>
      </c>
      <c r="M2433">
        <f>K2433*L2433</f>
        <v>0.82414114726641052</v>
      </c>
      <c r="N2433" s="30">
        <v>33054</v>
      </c>
    </row>
    <row r="2434" spans="1:14" x14ac:dyDescent="0.3">
      <c r="A2434" s="16">
        <v>37.046970000000485</v>
      </c>
      <c r="B2434" s="16">
        <v>65.076899999999995</v>
      </c>
      <c r="C2434">
        <f t="shared" si="114"/>
        <v>61.807679999999991</v>
      </c>
      <c r="D2434">
        <v>0.69563636363636361</v>
      </c>
      <c r="E2434">
        <f t="shared" si="115"/>
        <v>4.1240276285871991</v>
      </c>
      <c r="I2434" s="24">
        <f t="shared" si="116"/>
        <v>0.88178782743136463</v>
      </c>
      <c r="N2434" s="30">
        <v>33052</v>
      </c>
    </row>
    <row r="2435" spans="1:14" x14ac:dyDescent="0.3">
      <c r="A2435" s="17">
        <v>37.062200000000487</v>
      </c>
      <c r="B2435" s="17">
        <v>59.153799999999997</v>
      </c>
      <c r="C2435">
        <f t="shared" si="114"/>
        <v>60.769219999999997</v>
      </c>
      <c r="D2435">
        <v>0.69551515151515153</v>
      </c>
      <c r="E2435">
        <f t="shared" si="115"/>
        <v>4.107083410784325</v>
      </c>
      <c r="I2435" s="24">
        <f t="shared" si="116"/>
        <v>0.86236449595327913</v>
      </c>
      <c r="N2435" s="30">
        <v>33050</v>
      </c>
    </row>
    <row r="2436" spans="1:14" x14ac:dyDescent="0.3">
      <c r="A2436">
        <v>37.07743000000049</v>
      </c>
      <c r="B2436">
        <v>58.307699999999997</v>
      </c>
      <c r="C2436">
        <f t="shared" si="114"/>
        <v>59.099999999999987</v>
      </c>
      <c r="D2436">
        <v>0.69539393939393945</v>
      </c>
      <c r="E2436">
        <f t="shared" si="115"/>
        <v>4.0792309244120526</v>
      </c>
      <c r="I2436" s="24">
        <f t="shared" si="116"/>
        <v>0.83126891651040347</v>
      </c>
      <c r="N2436" s="30">
        <v>33048</v>
      </c>
    </row>
    <row r="2437" spans="1:14" x14ac:dyDescent="0.3">
      <c r="A2437">
        <v>37.092660000000492</v>
      </c>
      <c r="B2437">
        <v>57.230800000000002</v>
      </c>
      <c r="C2437">
        <f t="shared" si="114"/>
        <v>57.092319999999994</v>
      </c>
      <c r="D2437">
        <v>0.69527272727272726</v>
      </c>
      <c r="E2437">
        <f t="shared" si="115"/>
        <v>4.0446696067402534</v>
      </c>
      <c r="I2437" s="24">
        <f t="shared" si="116"/>
        <v>0.79420438271667126</v>
      </c>
      <c r="N2437" s="30">
        <v>33046</v>
      </c>
    </row>
    <row r="2438" spans="1:14" x14ac:dyDescent="0.3">
      <c r="A2438">
        <v>37.107890000000495</v>
      </c>
      <c r="B2438">
        <v>55.730800000000002</v>
      </c>
      <c r="C2438">
        <f t="shared" si="114"/>
        <v>56.200019999999995</v>
      </c>
      <c r="D2438">
        <v>0.69515151515151508</v>
      </c>
      <c r="E2438">
        <f t="shared" si="115"/>
        <v>4.0289171127714685</v>
      </c>
      <c r="I2438" s="24">
        <f t="shared" si="116"/>
        <v>0.77793757704003907</v>
      </c>
      <c r="N2438" s="30">
        <v>33044</v>
      </c>
    </row>
    <row r="2439" spans="1:14" x14ac:dyDescent="0.3">
      <c r="A2439">
        <v>37.123120000000497</v>
      </c>
      <c r="B2439">
        <v>55.038499999999999</v>
      </c>
      <c r="C2439">
        <f t="shared" si="114"/>
        <v>55.569240000000001</v>
      </c>
      <c r="D2439">
        <v>0.695030303030303</v>
      </c>
      <c r="E2439">
        <f t="shared" si="115"/>
        <v>4.0176298107541824</v>
      </c>
      <c r="I2439" s="24">
        <f t="shared" si="116"/>
        <v>0.76652495219487493</v>
      </c>
      <c r="N2439" s="30">
        <v>33042</v>
      </c>
    </row>
    <row r="2440" spans="1:14" x14ac:dyDescent="0.3">
      <c r="A2440">
        <v>37.1383500000005</v>
      </c>
      <c r="B2440">
        <v>54.692300000000003</v>
      </c>
      <c r="C2440">
        <f t="shared" si="114"/>
        <v>55.292319999999997</v>
      </c>
      <c r="D2440">
        <v>0.69490909090909092</v>
      </c>
      <c r="E2440">
        <f t="shared" si="115"/>
        <v>4.0126340200410535</v>
      </c>
      <c r="I2440" s="24">
        <f t="shared" si="116"/>
        <v>0.76160133868149926</v>
      </c>
      <c r="N2440" s="30">
        <v>33040</v>
      </c>
    </row>
    <row r="2441" spans="1:14" x14ac:dyDescent="0.3">
      <c r="A2441">
        <v>37.153580000000503</v>
      </c>
      <c r="B2441">
        <v>55.153799999999997</v>
      </c>
      <c r="C2441">
        <f t="shared" si="114"/>
        <v>55.453860000000006</v>
      </c>
      <c r="D2441">
        <v>0.69478787878787873</v>
      </c>
      <c r="E2441">
        <f t="shared" si="115"/>
        <v>4.0155513236368554</v>
      </c>
      <c r="I2441" s="24">
        <f t="shared" si="116"/>
        <v>0.76468388710878576</v>
      </c>
      <c r="N2441" s="30">
        <v>33038</v>
      </c>
    </row>
    <row r="2442" spans="1:14" x14ac:dyDescent="0.3">
      <c r="A2442">
        <v>37.168810000000505</v>
      </c>
      <c r="B2442">
        <v>55.846200000000003</v>
      </c>
      <c r="C2442">
        <f t="shared" si="114"/>
        <v>55.961539999999999</v>
      </c>
      <c r="D2442">
        <v>0.69466666666666665</v>
      </c>
      <c r="E2442">
        <f t="shared" si="115"/>
        <v>4.024664669075519</v>
      </c>
      <c r="I2442" s="24">
        <f t="shared" si="116"/>
        <v>0.7741071985325827</v>
      </c>
      <c r="N2442" s="30">
        <v>33036</v>
      </c>
    </row>
    <row r="2443" spans="1:14" x14ac:dyDescent="0.3">
      <c r="A2443">
        <v>37.184040000000508</v>
      </c>
      <c r="B2443">
        <v>56.538499999999999</v>
      </c>
      <c r="C2443">
        <f t="shared" si="114"/>
        <v>56.746159999999996</v>
      </c>
      <c r="D2443">
        <v>0.69454545454545458</v>
      </c>
      <c r="E2443">
        <f t="shared" si="115"/>
        <v>4.0385879888738812</v>
      </c>
      <c r="I2443" s="24">
        <f t="shared" si="116"/>
        <v>0.78865619831967204</v>
      </c>
      <c r="N2443" s="30">
        <v>33034</v>
      </c>
    </row>
    <row r="2444" spans="1:14" x14ac:dyDescent="0.3">
      <c r="A2444">
        <v>37.19927000000051</v>
      </c>
      <c r="B2444">
        <v>57.576900000000002</v>
      </c>
      <c r="C2444">
        <f t="shared" si="114"/>
        <v>57.58464</v>
      </c>
      <c r="D2444">
        <v>0.69442424242424239</v>
      </c>
      <c r="E2444">
        <f t="shared" si="115"/>
        <v>4.0532558654733011</v>
      </c>
      <c r="I2444" s="24">
        <f t="shared" si="116"/>
        <v>0.80427159794721326</v>
      </c>
      <c r="N2444" s="30">
        <v>33032</v>
      </c>
    </row>
    <row r="2445" spans="1:14" x14ac:dyDescent="0.3">
      <c r="A2445">
        <v>37.214500000000513</v>
      </c>
      <c r="B2445">
        <v>58.615400000000001</v>
      </c>
      <c r="C2445">
        <f t="shared" si="114"/>
        <v>58.423099999999998</v>
      </c>
      <c r="D2445">
        <v>0.6943030303030302</v>
      </c>
      <c r="E2445">
        <f t="shared" si="115"/>
        <v>4.0677113595709216</v>
      </c>
      <c r="I2445" s="24">
        <f t="shared" si="116"/>
        <v>0.81996546611309951</v>
      </c>
      <c r="N2445" s="30">
        <v>33030</v>
      </c>
    </row>
    <row r="2446" spans="1:14" x14ac:dyDescent="0.3">
      <c r="A2446">
        <v>37.229730000000515</v>
      </c>
      <c r="B2446">
        <v>59.346200000000003</v>
      </c>
      <c r="C2446">
        <f t="shared" si="114"/>
        <v>59.330780000000004</v>
      </c>
      <c r="D2446">
        <v>0.69418181818181812</v>
      </c>
      <c r="E2446">
        <f t="shared" si="115"/>
        <v>4.0831282269901337</v>
      </c>
      <c r="I2446" s="24">
        <f t="shared" si="116"/>
        <v>0.83703098345874127</v>
      </c>
      <c r="N2446" s="30">
        <v>33028</v>
      </c>
    </row>
    <row r="2447" spans="1:14" x14ac:dyDescent="0.3">
      <c r="A2447">
        <v>37.244960000000518</v>
      </c>
      <c r="B2447">
        <v>60.038499999999999</v>
      </c>
      <c r="C2447">
        <f t="shared" si="114"/>
        <v>60.230780000000003</v>
      </c>
      <c r="D2447">
        <v>0.69406060606060604</v>
      </c>
      <c r="E2447">
        <f t="shared" si="115"/>
        <v>4.0981835173287395</v>
      </c>
      <c r="I2447" s="24">
        <f t="shared" si="116"/>
        <v>0.85404250349897903</v>
      </c>
      <c r="N2447" s="30">
        <v>33026</v>
      </c>
    </row>
    <row r="2448" spans="1:14" x14ac:dyDescent="0.3">
      <c r="A2448">
        <v>37.26019000000052</v>
      </c>
      <c r="B2448">
        <v>61.076900000000002</v>
      </c>
      <c r="C2448">
        <f t="shared" si="114"/>
        <v>61.07694</v>
      </c>
      <c r="D2448">
        <v>0.69393939393939397</v>
      </c>
      <c r="E2448">
        <f t="shared" si="115"/>
        <v>4.1121343808636466</v>
      </c>
      <c r="I2448" s="24">
        <f t="shared" si="116"/>
        <v>0.87012573457119124</v>
      </c>
      <c r="N2448" s="30">
        <v>33024</v>
      </c>
    </row>
    <row r="2449" spans="1:14" x14ac:dyDescent="0.3">
      <c r="A2449">
        <v>37.275420000000523</v>
      </c>
      <c r="B2449">
        <v>62.076900000000002</v>
      </c>
      <c r="C2449">
        <f t="shared" si="114"/>
        <v>61.846159999999998</v>
      </c>
      <c r="D2449">
        <v>0.69381818181818178</v>
      </c>
      <c r="E2449">
        <f t="shared" si="115"/>
        <v>4.124650011219912</v>
      </c>
      <c r="I2449" s="24">
        <f t="shared" si="116"/>
        <v>0.88482786082274334</v>
      </c>
      <c r="N2449" s="30">
        <v>33022</v>
      </c>
    </row>
    <row r="2450" spans="1:14" x14ac:dyDescent="0.3">
      <c r="A2450">
        <v>37.290650000000525</v>
      </c>
      <c r="B2450">
        <v>62.846200000000003</v>
      </c>
      <c r="C2450">
        <f t="shared" si="114"/>
        <v>62.630759999999995</v>
      </c>
      <c r="D2450">
        <v>0.6936969696969697</v>
      </c>
      <c r="E2450">
        <f t="shared" si="115"/>
        <v>4.1372565312233958</v>
      </c>
      <c r="I2450" s="24">
        <f t="shared" si="116"/>
        <v>0.89988677919099092</v>
      </c>
      <c r="N2450" s="30">
        <v>33020</v>
      </c>
    </row>
    <row r="2451" spans="1:14" x14ac:dyDescent="0.3">
      <c r="A2451">
        <v>37.305880000000528</v>
      </c>
      <c r="B2451">
        <v>63.192300000000003</v>
      </c>
      <c r="C2451">
        <f t="shared" si="114"/>
        <v>63.18462000000001</v>
      </c>
      <c r="D2451">
        <v>0.69357575757575751</v>
      </c>
      <c r="E2451">
        <f t="shared" si="115"/>
        <v>4.1460609171069382</v>
      </c>
      <c r="I2451" s="24">
        <f t="shared" si="116"/>
        <v>0.91060367048000912</v>
      </c>
      <c r="N2451" s="30">
        <v>33018</v>
      </c>
    </row>
    <row r="2452" spans="1:14" x14ac:dyDescent="0.3">
      <c r="A2452">
        <v>37.32111000000053</v>
      </c>
      <c r="B2452">
        <v>63.961500000000001</v>
      </c>
      <c r="C2452">
        <f t="shared" si="114"/>
        <v>63.530780000000007</v>
      </c>
      <c r="D2452">
        <v>0.69345454545454543</v>
      </c>
      <c r="E2452">
        <f t="shared" si="115"/>
        <v>4.1515245128671676</v>
      </c>
      <c r="I2452" s="24">
        <f t="shared" si="116"/>
        <v>0.91737901248669373</v>
      </c>
      <c r="N2452" s="30">
        <v>33016</v>
      </c>
    </row>
    <row r="2453" spans="1:14" x14ac:dyDescent="0.3">
      <c r="A2453">
        <v>37.336340000000533</v>
      </c>
      <c r="B2453">
        <v>63.846200000000003</v>
      </c>
      <c r="C2453">
        <f t="shared" si="114"/>
        <v>63.561540000000001</v>
      </c>
      <c r="D2453">
        <v>0.69333333333333325</v>
      </c>
      <c r="E2453">
        <f t="shared" si="115"/>
        <v>4.1520085704498859</v>
      </c>
      <c r="I2453" s="24">
        <f t="shared" si="116"/>
        <v>0.91812798132765838</v>
      </c>
      <c r="N2453" s="30">
        <v>33014</v>
      </c>
    </row>
    <row r="2454" spans="1:14" x14ac:dyDescent="0.3">
      <c r="A2454">
        <v>37.351570000000535</v>
      </c>
      <c r="B2454">
        <v>63.807699999999997</v>
      </c>
      <c r="C2454">
        <f t="shared" si="114"/>
        <v>63.169240000000002</v>
      </c>
      <c r="D2454">
        <v>0.69321212121212117</v>
      </c>
      <c r="E2454">
        <f t="shared" si="115"/>
        <v>4.1458174738108493</v>
      </c>
      <c r="I2454" s="24">
        <f t="shared" si="116"/>
        <v>0.9107875545093217</v>
      </c>
      <c r="N2454" s="30">
        <v>33012</v>
      </c>
    </row>
    <row r="2455" spans="1:14" x14ac:dyDescent="0.3">
      <c r="A2455">
        <v>37.366800000000538</v>
      </c>
      <c r="B2455">
        <v>63</v>
      </c>
      <c r="C2455">
        <f t="shared" si="114"/>
        <v>62.223100000000002</v>
      </c>
      <c r="D2455">
        <v>0.69309090909090909</v>
      </c>
      <c r="E2455">
        <f t="shared" si="115"/>
        <v>4.1307263134363277</v>
      </c>
      <c r="I2455" s="24">
        <f t="shared" si="116"/>
        <v>0.89291533925298217</v>
      </c>
      <c r="N2455" s="30">
        <v>33010</v>
      </c>
    </row>
    <row r="2456" spans="1:14" x14ac:dyDescent="0.3">
      <c r="A2456">
        <v>37.38203000000054</v>
      </c>
      <c r="B2456">
        <v>61.230800000000002</v>
      </c>
      <c r="C2456">
        <f t="shared" si="114"/>
        <v>60.984619999999993</v>
      </c>
      <c r="D2456">
        <v>0.69296969696969701</v>
      </c>
      <c r="E2456">
        <f t="shared" si="115"/>
        <v>4.1106217012353685</v>
      </c>
      <c r="I2456" s="24">
        <f t="shared" si="116"/>
        <v>0.86959891046302296</v>
      </c>
      <c r="N2456" s="30">
        <v>33008</v>
      </c>
    </row>
    <row r="2457" spans="1:14" x14ac:dyDescent="0.3">
      <c r="A2457">
        <v>37.397260000000543</v>
      </c>
      <c r="B2457">
        <v>59.230800000000002</v>
      </c>
      <c r="C2457">
        <f t="shared" si="114"/>
        <v>59.469239999999999</v>
      </c>
      <c r="D2457">
        <v>0.69284848484848482</v>
      </c>
      <c r="E2457">
        <f t="shared" si="115"/>
        <v>4.0854592040841275</v>
      </c>
      <c r="I2457" s="24">
        <f t="shared" si="116"/>
        <v>0.84123557934721849</v>
      </c>
      <c r="N2457" s="30">
        <v>33006</v>
      </c>
    </row>
    <row r="2458" spans="1:14" x14ac:dyDescent="0.3">
      <c r="A2458">
        <v>37.412490000000545</v>
      </c>
      <c r="B2458">
        <v>57.653799999999997</v>
      </c>
      <c r="C2458">
        <f t="shared" si="114"/>
        <v>57.784620000000004</v>
      </c>
      <c r="D2458">
        <v>0.69272727272727264</v>
      </c>
      <c r="E2458">
        <f t="shared" si="115"/>
        <v>4.0567226503047173</v>
      </c>
      <c r="I2458" s="24">
        <f t="shared" si="116"/>
        <v>0.80995323809326203</v>
      </c>
      <c r="N2458" s="30">
        <v>33004</v>
      </c>
    </row>
    <row r="2459" spans="1:14" x14ac:dyDescent="0.3">
      <c r="A2459">
        <v>37.427720000000548</v>
      </c>
      <c r="B2459">
        <v>56.230800000000002</v>
      </c>
      <c r="C2459">
        <f t="shared" si="114"/>
        <v>56.1</v>
      </c>
      <c r="D2459">
        <v>0.69260606060606056</v>
      </c>
      <c r="E2459">
        <f t="shared" si="115"/>
        <v>4.0271358125286509</v>
      </c>
      <c r="I2459" s="24">
        <f t="shared" si="116"/>
        <v>0.77895623711264483</v>
      </c>
      <c r="N2459" s="30">
        <v>33002</v>
      </c>
    </row>
    <row r="2460" spans="1:14" x14ac:dyDescent="0.3">
      <c r="A2460">
        <v>37.44295000000055</v>
      </c>
      <c r="B2460">
        <v>54.576900000000002</v>
      </c>
      <c r="C2460">
        <f t="shared" si="114"/>
        <v>54.430759999999999</v>
      </c>
      <c r="D2460">
        <v>0.69248484848484848</v>
      </c>
      <c r="E2460">
        <f t="shared" si="115"/>
        <v>3.9969294352367415</v>
      </c>
      <c r="I2460" s="24">
        <f t="shared" si="116"/>
        <v>0.74853089690154884</v>
      </c>
      <c r="N2460" s="30">
        <v>33000</v>
      </c>
    </row>
    <row r="2461" spans="1:14" x14ac:dyDescent="0.3">
      <c r="A2461">
        <v>37.458180000000553</v>
      </c>
      <c r="B2461">
        <v>52.807699999999997</v>
      </c>
      <c r="C2461">
        <f t="shared" si="114"/>
        <v>52.807699999999997</v>
      </c>
      <c r="D2461">
        <v>0.69236363636363629</v>
      </c>
      <c r="E2461">
        <f t="shared" si="115"/>
        <v>3.9666570134129024</v>
      </c>
      <c r="I2461" s="24">
        <f t="shared" si="116"/>
        <v>0.7192310331057693</v>
      </c>
      <c r="N2461" s="30">
        <v>32998</v>
      </c>
    </row>
    <row r="2462" spans="1:14" x14ac:dyDescent="0.3">
      <c r="A2462">
        <v>37.473410000000555</v>
      </c>
      <c r="B2462">
        <v>50.884599999999999</v>
      </c>
      <c r="C2462">
        <f t="shared" si="114"/>
        <v>51.3</v>
      </c>
      <c r="D2462">
        <v>0.69224242424242421</v>
      </c>
      <c r="E2462">
        <f t="shared" si="115"/>
        <v>3.9376907521767239</v>
      </c>
      <c r="I2462" s="24">
        <f t="shared" si="116"/>
        <v>0.69227495753268964</v>
      </c>
      <c r="N2462" s="30">
        <v>32996</v>
      </c>
    </row>
    <row r="2463" spans="1:14" x14ac:dyDescent="0.3">
      <c r="A2463">
        <v>37.488640000000558</v>
      </c>
      <c r="B2463">
        <v>49.538499999999999</v>
      </c>
      <c r="C2463">
        <f t="shared" si="114"/>
        <v>50.038460000000001</v>
      </c>
      <c r="D2463">
        <v>0.69212121212121214</v>
      </c>
      <c r="E2463">
        <f t="shared" si="115"/>
        <v>3.9127919097454424</v>
      </c>
      <c r="I2463" s="24">
        <f t="shared" si="116"/>
        <v>0.66992940672496859</v>
      </c>
      <c r="N2463" s="30">
        <v>32994</v>
      </c>
    </row>
    <row r="2464" spans="1:14" x14ac:dyDescent="0.3">
      <c r="A2464">
        <v>37.50387000000056</v>
      </c>
      <c r="B2464">
        <v>48.692300000000003</v>
      </c>
      <c r="C2464">
        <f t="shared" si="114"/>
        <v>49.015380000000007</v>
      </c>
      <c r="D2464">
        <v>0.69199999999999995</v>
      </c>
      <c r="E2464">
        <f t="shared" si="115"/>
        <v>3.8921341264123939</v>
      </c>
      <c r="I2464" s="24">
        <f t="shared" si="116"/>
        <v>0.65195794548925923</v>
      </c>
      <c r="N2464" s="30">
        <v>32992</v>
      </c>
    </row>
    <row r="2465" spans="1:14" x14ac:dyDescent="0.3">
      <c r="A2465">
        <v>37.519100000000563</v>
      </c>
      <c r="B2465">
        <v>48.269199999999998</v>
      </c>
      <c r="C2465">
        <f t="shared" si="114"/>
        <v>48.261539999999997</v>
      </c>
      <c r="D2465">
        <v>0.69187878787878787</v>
      </c>
      <c r="E2465">
        <f t="shared" si="115"/>
        <v>3.8766349701726304</v>
      </c>
      <c r="I2465" s="24">
        <f t="shared" si="116"/>
        <v>0.63881950791047837</v>
      </c>
      <c r="N2465" s="30">
        <v>32990</v>
      </c>
    </row>
    <row r="2466" spans="1:14" x14ac:dyDescent="0.3">
      <c r="A2466">
        <v>37.534330000000566</v>
      </c>
      <c r="B2466">
        <v>47.692300000000003</v>
      </c>
      <c r="C2466">
        <f t="shared" si="114"/>
        <v>47.838459999999998</v>
      </c>
      <c r="D2466">
        <v>0.69175757575757568</v>
      </c>
      <c r="E2466">
        <f t="shared" si="115"/>
        <v>3.8678299184887952</v>
      </c>
      <c r="I2466" s="24">
        <f t="shared" si="116"/>
        <v>0.63152165327029108</v>
      </c>
      <c r="N2466" s="30">
        <v>32988</v>
      </c>
    </row>
    <row r="2467" spans="1:14" x14ac:dyDescent="0.3">
      <c r="A2467">
        <v>37.549560000000568</v>
      </c>
      <c r="B2467">
        <v>47.115400000000001</v>
      </c>
      <c r="C2467">
        <f t="shared" si="114"/>
        <v>47.746159999999996</v>
      </c>
      <c r="D2467">
        <v>0.6916363636363636</v>
      </c>
      <c r="E2467">
        <f t="shared" si="115"/>
        <v>3.8658986448448025</v>
      </c>
      <c r="I2467" s="24">
        <f t="shared" si="116"/>
        <v>0.6300183319358551</v>
      </c>
      <c r="N2467" s="30">
        <v>32986</v>
      </c>
    </row>
    <row r="2468" spans="1:14" x14ac:dyDescent="0.3">
      <c r="A2468">
        <v>37.564790000000571</v>
      </c>
      <c r="B2468">
        <v>47.423099999999998</v>
      </c>
      <c r="C2468">
        <f t="shared" si="114"/>
        <v>47.823080000000004</v>
      </c>
      <c r="D2468">
        <v>0.69151515151515153</v>
      </c>
      <c r="E2468">
        <f t="shared" si="115"/>
        <v>3.8675083681534668</v>
      </c>
      <c r="I2468" s="24">
        <f t="shared" si="116"/>
        <v>0.63147398677685851</v>
      </c>
      <c r="N2468" s="30">
        <v>32984</v>
      </c>
    </row>
    <row r="2469" spans="1:14" x14ac:dyDescent="0.3">
      <c r="A2469">
        <v>37.580020000000573</v>
      </c>
      <c r="B2469">
        <v>48.230800000000002</v>
      </c>
      <c r="C2469">
        <f t="shared" si="114"/>
        <v>48.007699999999993</v>
      </c>
      <c r="D2469">
        <v>0.69139393939393945</v>
      </c>
      <c r="E2469">
        <f t="shared" si="115"/>
        <v>3.8713614147091797</v>
      </c>
      <c r="I2469" s="24">
        <f t="shared" si="116"/>
        <v>0.6348168705524867</v>
      </c>
      <c r="N2469" s="30">
        <v>32982</v>
      </c>
    </row>
    <row r="2470" spans="1:14" x14ac:dyDescent="0.3">
      <c r="A2470">
        <v>37.595250000000576</v>
      </c>
      <c r="B2470">
        <v>48.653799999999997</v>
      </c>
      <c r="C2470">
        <f t="shared" si="114"/>
        <v>48.246159999999996</v>
      </c>
      <c r="D2470">
        <v>0.69127272727272726</v>
      </c>
      <c r="E2470">
        <f t="shared" si="115"/>
        <v>3.8763162391256736</v>
      </c>
      <c r="I2470" s="24">
        <f t="shared" si="116"/>
        <v>0.63910965696156674</v>
      </c>
      <c r="N2470" s="30">
        <v>32980</v>
      </c>
    </row>
    <row r="2471" spans="1:14" x14ac:dyDescent="0.3">
      <c r="A2471">
        <v>37.610480000000578</v>
      </c>
      <c r="B2471">
        <v>48.615400000000001</v>
      </c>
      <c r="C2471">
        <f t="shared" si="114"/>
        <v>48.369240000000005</v>
      </c>
      <c r="D2471">
        <v>0.69115151515151507</v>
      </c>
      <c r="E2471">
        <f t="shared" si="115"/>
        <v>3.8788640744931366</v>
      </c>
      <c r="I2471" s="24">
        <f t="shared" si="116"/>
        <v>0.64138299896455742</v>
      </c>
      <c r="N2471" s="30">
        <v>32978</v>
      </c>
    </row>
    <row r="2472" spans="1:14" x14ac:dyDescent="0.3">
      <c r="A2472">
        <v>37.625710000000581</v>
      </c>
      <c r="B2472">
        <v>48.307699999999997</v>
      </c>
      <c r="C2472">
        <f t="shared" si="114"/>
        <v>48.184619999999995</v>
      </c>
      <c r="D2472">
        <v>0.69103030303030299</v>
      </c>
      <c r="E2472">
        <f t="shared" si="115"/>
        <v>3.8750398830004924</v>
      </c>
      <c r="I2472" s="24">
        <f t="shared" si="116"/>
        <v>0.63825371986079205</v>
      </c>
      <c r="N2472" s="30">
        <v>32976</v>
      </c>
    </row>
    <row r="2473" spans="1:14" x14ac:dyDescent="0.3">
      <c r="A2473">
        <v>37.640940000000583</v>
      </c>
      <c r="B2473">
        <v>48.038499999999999</v>
      </c>
      <c r="C2473">
        <f t="shared" si="114"/>
        <v>47.723100000000002</v>
      </c>
      <c r="D2473">
        <v>0.69090909090909092</v>
      </c>
      <c r="E2473">
        <f t="shared" si="115"/>
        <v>3.8654155573997242</v>
      </c>
      <c r="I2473" s="24">
        <f t="shared" si="116"/>
        <v>0.63027800572338577</v>
      </c>
      <c r="N2473" s="30">
        <v>32974</v>
      </c>
    </row>
    <row r="2474" spans="1:14" x14ac:dyDescent="0.3">
      <c r="A2474">
        <v>37.656170000000586</v>
      </c>
      <c r="B2474">
        <v>47.307699999999997</v>
      </c>
      <c r="C2474">
        <f t="shared" si="114"/>
        <v>47.192320000000002</v>
      </c>
      <c r="D2474">
        <v>0.69078787878787873</v>
      </c>
      <c r="E2474">
        <f t="shared" si="115"/>
        <v>3.8542311674880914</v>
      </c>
      <c r="I2474" s="24">
        <f t="shared" si="116"/>
        <v>0.62111694113360771</v>
      </c>
      <c r="N2474" s="30">
        <v>32972</v>
      </c>
    </row>
    <row r="2475" spans="1:14" x14ac:dyDescent="0.3">
      <c r="A2475">
        <v>37.671400000000588</v>
      </c>
      <c r="B2475">
        <v>46.346200000000003</v>
      </c>
      <c r="C2475">
        <f t="shared" si="114"/>
        <v>46.776940000000003</v>
      </c>
      <c r="D2475">
        <v>0.69066666666666665</v>
      </c>
      <c r="E2475">
        <f t="shared" si="115"/>
        <v>3.8453903464470636</v>
      </c>
      <c r="I2475" s="24">
        <f t="shared" si="116"/>
        <v>0.61399239389139315</v>
      </c>
      <c r="N2475" s="30">
        <v>32970</v>
      </c>
    </row>
    <row r="2476" spans="1:14" x14ac:dyDescent="0.3">
      <c r="A2476">
        <v>37.686630000000591</v>
      </c>
      <c r="B2476">
        <v>45.961500000000001</v>
      </c>
      <c r="C2476">
        <f t="shared" si="114"/>
        <v>46.538480000000007</v>
      </c>
      <c r="D2476">
        <v>0.69054545454545457</v>
      </c>
      <c r="E2476">
        <f t="shared" si="115"/>
        <v>3.8402794972634409</v>
      </c>
      <c r="I2476" s="24">
        <f t="shared" si="116"/>
        <v>0.60995623143695077</v>
      </c>
      <c r="N2476" s="30">
        <v>32968</v>
      </c>
    </row>
    <row r="2477" spans="1:14" x14ac:dyDescent="0.3">
      <c r="A2477">
        <v>37.701860000000593</v>
      </c>
      <c r="B2477">
        <v>46.230800000000002</v>
      </c>
      <c r="C2477">
        <f t="shared" si="114"/>
        <v>46.600020000000001</v>
      </c>
      <c r="D2477">
        <v>0.69042424242424238</v>
      </c>
      <c r="E2477">
        <f t="shared" si="115"/>
        <v>3.8416009703160574</v>
      </c>
      <c r="I2477" s="24">
        <f t="shared" si="116"/>
        <v>0.61113228211126158</v>
      </c>
      <c r="N2477" s="30">
        <v>32966</v>
      </c>
    </row>
    <row r="2478" spans="1:14" x14ac:dyDescent="0.3">
      <c r="A2478">
        <v>37.717090000000596</v>
      </c>
      <c r="B2478">
        <v>46.846200000000003</v>
      </c>
      <c r="C2478">
        <f t="shared" si="114"/>
        <v>47.061539999999994</v>
      </c>
      <c r="D2478">
        <v>0.6903030303030302</v>
      </c>
      <c r="E2478">
        <f t="shared" si="115"/>
        <v>3.8514561069456872</v>
      </c>
      <c r="I2478" s="24">
        <f t="shared" si="116"/>
        <v>0.61927231234299662</v>
      </c>
      <c r="N2478" s="30">
        <v>32964</v>
      </c>
    </row>
    <row r="2479" spans="1:14" x14ac:dyDescent="0.3">
      <c r="A2479">
        <v>37.732320000000598</v>
      </c>
      <c r="B2479">
        <v>47.615400000000001</v>
      </c>
      <c r="C2479">
        <f t="shared" si="114"/>
        <v>47.923079999999992</v>
      </c>
      <c r="D2479">
        <v>0.69018181818181812</v>
      </c>
      <c r="E2479">
        <f t="shared" si="115"/>
        <v>3.8695972255313715</v>
      </c>
      <c r="I2479" s="24">
        <f t="shared" si="116"/>
        <v>0.63444719514032066</v>
      </c>
      <c r="N2479" s="30">
        <v>32962</v>
      </c>
    </row>
    <row r="2480" spans="1:14" x14ac:dyDescent="0.3">
      <c r="A2480">
        <v>37.747550000000601</v>
      </c>
      <c r="B2480">
        <v>48.653799999999997</v>
      </c>
      <c r="C2480">
        <f t="shared" si="114"/>
        <v>49.092299999999994</v>
      </c>
      <c r="D2480">
        <v>0.69006060606060604</v>
      </c>
      <c r="E2480">
        <f t="shared" si="115"/>
        <v>3.8937021996919015</v>
      </c>
      <c r="I2480" s="24">
        <f t="shared" si="116"/>
        <v>0.65514983785453407</v>
      </c>
      <c r="N2480" s="30">
        <v>32960</v>
      </c>
    </row>
    <row r="2481" spans="1:14" x14ac:dyDescent="0.3">
      <c r="A2481">
        <v>37.762780000000603</v>
      </c>
      <c r="B2481">
        <v>50.269199999999998</v>
      </c>
      <c r="C2481">
        <f t="shared" si="114"/>
        <v>50.4846</v>
      </c>
      <c r="D2481">
        <v>0.68993939393939396</v>
      </c>
      <c r="E2481">
        <f t="shared" si="115"/>
        <v>3.9216683392794072</v>
      </c>
      <c r="I2481" s="24">
        <f t="shared" si="116"/>
        <v>0.67999754034491389</v>
      </c>
      <c r="N2481" s="30">
        <v>32958</v>
      </c>
    </row>
    <row r="2482" spans="1:14" x14ac:dyDescent="0.3">
      <c r="A2482">
        <v>37.778010000000606</v>
      </c>
      <c r="B2482">
        <v>52.076900000000002</v>
      </c>
      <c r="C2482">
        <f t="shared" si="114"/>
        <v>51.946139999999993</v>
      </c>
      <c r="D2482">
        <v>0.68981818181818177</v>
      </c>
      <c r="E2482">
        <f t="shared" si="115"/>
        <v>3.9502074125710229</v>
      </c>
      <c r="I2482" s="24">
        <f t="shared" si="116"/>
        <v>0.70632356927975015</v>
      </c>
      <c r="N2482" s="30">
        <v>32956</v>
      </c>
    </row>
    <row r="2483" spans="1:14" x14ac:dyDescent="0.3">
      <c r="A2483">
        <v>37.793240000000608</v>
      </c>
      <c r="B2483">
        <v>53.807699999999997</v>
      </c>
      <c r="C2483">
        <f t="shared" si="114"/>
        <v>53.330759999999998</v>
      </c>
      <c r="D2483">
        <v>0.6896969696969697</v>
      </c>
      <c r="E2483">
        <f t="shared" si="115"/>
        <v>3.9765132754016483</v>
      </c>
      <c r="I2483" s="24">
        <f t="shared" si="116"/>
        <v>0.73150143668768131</v>
      </c>
      <c r="N2483" s="30">
        <v>32954</v>
      </c>
    </row>
    <row r="2484" spans="1:14" x14ac:dyDescent="0.3">
      <c r="A2484">
        <v>37.808470000000611</v>
      </c>
      <c r="B2484">
        <v>54.923099999999998</v>
      </c>
      <c r="C2484">
        <f t="shared" si="114"/>
        <v>54.407680000000006</v>
      </c>
      <c r="D2484">
        <v>0.68957575757575751</v>
      </c>
      <c r="E2484">
        <f t="shared" si="115"/>
        <v>3.996505320368025</v>
      </c>
      <c r="I2484" s="24">
        <f t="shared" si="116"/>
        <v>0.75126646921798779</v>
      </c>
      <c r="N2484" s="30">
        <v>32952</v>
      </c>
    </row>
    <row r="2485" spans="1:14" x14ac:dyDescent="0.3">
      <c r="A2485">
        <v>37.823700000000613</v>
      </c>
      <c r="B2485">
        <v>55.576900000000002</v>
      </c>
      <c r="C2485">
        <f t="shared" si="114"/>
        <v>55.061539999999994</v>
      </c>
      <c r="D2485">
        <v>0.68945454545454543</v>
      </c>
      <c r="E2485">
        <f t="shared" si="115"/>
        <v>4.0084514688111534</v>
      </c>
      <c r="I2485" s="24">
        <f t="shared" si="116"/>
        <v>0.76338497524722126</v>
      </c>
      <c r="N2485" s="30">
        <v>32950</v>
      </c>
    </row>
    <row r="2486" spans="1:14" x14ac:dyDescent="0.3">
      <c r="A2486">
        <v>37.838930000000616</v>
      </c>
      <c r="B2486">
        <v>55.653799999999997</v>
      </c>
      <c r="C2486">
        <f t="shared" si="114"/>
        <v>55.269240000000003</v>
      </c>
      <c r="D2486">
        <v>0.68933333333333324</v>
      </c>
      <c r="E2486">
        <f t="shared" si="115"/>
        <v>4.0122165150721427</v>
      </c>
      <c r="I2486" s="24">
        <f t="shared" si="116"/>
        <v>0.7673371052488076</v>
      </c>
      <c r="N2486" s="30">
        <v>32948</v>
      </c>
    </row>
    <row r="2487" spans="1:14" x14ac:dyDescent="0.3">
      <c r="A2487">
        <v>37.854160000000618</v>
      </c>
      <c r="B2487">
        <v>55.346200000000003</v>
      </c>
      <c r="C2487">
        <f t="shared" si="114"/>
        <v>55.107700000000001</v>
      </c>
      <c r="D2487">
        <v>0.68921212121212116</v>
      </c>
      <c r="E2487">
        <f t="shared" si="115"/>
        <v>4.0092894523118332</v>
      </c>
      <c r="I2487" s="24">
        <f t="shared" si="116"/>
        <v>0.76450173786247133</v>
      </c>
      <c r="N2487" s="30">
        <v>32946</v>
      </c>
    </row>
    <row r="2488" spans="1:14" x14ac:dyDescent="0.3">
      <c r="A2488">
        <v>37.869390000000621</v>
      </c>
      <c r="B2488">
        <v>54.846200000000003</v>
      </c>
      <c r="C2488">
        <f t="shared" si="114"/>
        <v>54.623080000000002</v>
      </c>
      <c r="D2488">
        <v>0.68909090909090909</v>
      </c>
      <c r="E2488">
        <f t="shared" si="115"/>
        <v>4.0004565040566042</v>
      </c>
      <c r="I2488" s="24">
        <f t="shared" si="116"/>
        <v>0.75574067492338715</v>
      </c>
      <c r="N2488" s="30">
        <v>32944</v>
      </c>
    </row>
    <row r="2489" spans="1:14" x14ac:dyDescent="0.3">
      <c r="A2489">
        <v>37.884620000000623</v>
      </c>
      <c r="B2489">
        <v>54.115400000000001</v>
      </c>
      <c r="C2489">
        <f t="shared" si="114"/>
        <v>54.038480000000007</v>
      </c>
      <c r="D2489">
        <v>0.68896969696969701</v>
      </c>
      <c r="E2489">
        <f t="shared" si="115"/>
        <v>3.9896963853833167</v>
      </c>
      <c r="I2489" s="24">
        <f t="shared" si="116"/>
        <v>0.74517508671683863</v>
      </c>
      <c r="N2489" s="30">
        <v>32942</v>
      </c>
    </row>
    <row r="2490" spans="1:14" x14ac:dyDescent="0.3">
      <c r="A2490">
        <v>37.899850000000626</v>
      </c>
      <c r="B2490">
        <v>53.153799999999997</v>
      </c>
      <c r="C2490">
        <f t="shared" ref="C2490:C2553" si="117">AVERAGE(B2488:B2492)</f>
        <v>53.430780000000006</v>
      </c>
      <c r="D2490">
        <v>0.68884848484848482</v>
      </c>
      <c r="E2490">
        <f t="shared" ref="E2490:E2553" si="118">LN(C2490)</f>
        <v>3.9783869844032682</v>
      </c>
      <c r="I2490" s="24">
        <f t="shared" ref="I2490:I2553" si="119">(0.0026*(EXP(1.3248*E2490)))/D2490</f>
        <v>0.73422275242769963</v>
      </c>
      <c r="N2490" s="30">
        <v>32940</v>
      </c>
    </row>
    <row r="2491" spans="1:14" x14ac:dyDescent="0.3">
      <c r="A2491">
        <v>37.915080000000629</v>
      </c>
      <c r="B2491">
        <v>52.730800000000002</v>
      </c>
      <c r="C2491">
        <f t="shared" si="117"/>
        <v>52.853840000000005</v>
      </c>
      <c r="D2491">
        <v>0.68872727272727263</v>
      </c>
      <c r="E2491">
        <f t="shared" si="118"/>
        <v>3.9675303681441085</v>
      </c>
      <c r="I2491" s="24">
        <f t="shared" si="119"/>
        <v>0.7238654942179954</v>
      </c>
      <c r="N2491" s="30">
        <v>32938</v>
      </c>
    </row>
    <row r="2492" spans="1:14" x14ac:dyDescent="0.3">
      <c r="A2492">
        <v>37.930310000000631</v>
      </c>
      <c r="B2492">
        <v>52.307699999999997</v>
      </c>
      <c r="C2492">
        <f t="shared" si="117"/>
        <v>52.461519999999993</v>
      </c>
      <c r="D2492">
        <v>0.68860606060606055</v>
      </c>
      <c r="E2492">
        <f t="shared" si="118"/>
        <v>3.960079948475705</v>
      </c>
      <c r="I2492" s="24">
        <f t="shared" si="119"/>
        <v>0.71688202516282773</v>
      </c>
      <c r="N2492" s="30">
        <v>32936</v>
      </c>
    </row>
    <row r="2493" spans="1:14" x14ac:dyDescent="0.3">
      <c r="A2493">
        <v>37.945540000000634</v>
      </c>
      <c r="B2493">
        <v>51.961500000000001</v>
      </c>
      <c r="C2493">
        <f t="shared" si="117"/>
        <v>52.353840000000005</v>
      </c>
      <c r="D2493">
        <v>0.68848484848484848</v>
      </c>
      <c r="E2493">
        <f t="shared" si="118"/>
        <v>3.9580252870619179</v>
      </c>
      <c r="I2493" s="24">
        <f t="shared" si="119"/>
        <v>0.71505918317557915</v>
      </c>
      <c r="N2493" s="30">
        <v>32934</v>
      </c>
    </row>
    <row r="2494" spans="1:14" x14ac:dyDescent="0.3">
      <c r="A2494">
        <v>37.960770000000636</v>
      </c>
      <c r="B2494">
        <v>52.153799999999997</v>
      </c>
      <c r="C2494">
        <f t="shared" si="117"/>
        <v>52.330759999999998</v>
      </c>
      <c r="D2494">
        <v>0.68836363636363629</v>
      </c>
      <c r="E2494">
        <f t="shared" si="118"/>
        <v>3.9575843434966949</v>
      </c>
      <c r="I2494" s="25">
        <f t="shared" si="119"/>
        <v>0.71476743406635845</v>
      </c>
      <c r="N2494" s="30">
        <v>32932</v>
      </c>
    </row>
    <row r="2495" spans="1:14" x14ac:dyDescent="0.3">
      <c r="A2495">
        <v>37.976000000000639</v>
      </c>
      <c r="B2495">
        <v>52.615400000000001</v>
      </c>
      <c r="C2495">
        <f t="shared" si="117"/>
        <v>52.330759999999998</v>
      </c>
      <c r="D2495">
        <v>0.68824242424242421</v>
      </c>
      <c r="E2495">
        <f t="shared" si="118"/>
        <v>3.9575843434966949</v>
      </c>
      <c r="I2495" s="24">
        <f t="shared" si="119"/>
        <v>0.71489331772857512</v>
      </c>
      <c r="N2495" s="30">
        <v>32909.909090909096</v>
      </c>
    </row>
    <row r="2496" spans="1:14" x14ac:dyDescent="0.3">
      <c r="A2496">
        <v>37.991230000000641</v>
      </c>
      <c r="B2496">
        <v>52.615400000000001</v>
      </c>
      <c r="C2496">
        <f t="shared" si="117"/>
        <v>52.407699999999998</v>
      </c>
      <c r="D2496">
        <v>0.68812121212121213</v>
      </c>
      <c r="E2496">
        <f t="shared" si="118"/>
        <v>3.9590535270962932</v>
      </c>
      <c r="I2496" s="24">
        <f t="shared" si="119"/>
        <v>0.71641229617737301</v>
      </c>
      <c r="N2496" s="30">
        <v>32887.818181818184</v>
      </c>
    </row>
    <row r="2497" spans="1:18" x14ac:dyDescent="0.3">
      <c r="A2497">
        <v>38.006460000000644</v>
      </c>
      <c r="B2497">
        <v>52.307699999999997</v>
      </c>
      <c r="C2497">
        <f t="shared" si="117"/>
        <v>52.5154</v>
      </c>
      <c r="D2497" s="8">
        <v>0.68799999999999994</v>
      </c>
      <c r="E2497">
        <f t="shared" si="118"/>
        <v>3.9611064599171004</v>
      </c>
      <c r="I2497" s="24">
        <f t="shared" si="119"/>
        <v>0.71848995447407604</v>
      </c>
      <c r="N2497" s="30">
        <v>32865.727272727272</v>
      </c>
      <c r="O2497">
        <v>1989</v>
      </c>
      <c r="P2497" s="24">
        <f>AVERAGE(I2497:I2550)</f>
        <v>0.60147413784412451</v>
      </c>
      <c r="Q2497">
        <f>A2550-A2497</f>
        <v>0.80719000000013352</v>
      </c>
      <c r="R2497">
        <f>P2497*Q2497</f>
        <v>0.48550390932647919</v>
      </c>
    </row>
    <row r="2498" spans="1:18" x14ac:dyDescent="0.3">
      <c r="A2498">
        <v>38.021690000000646</v>
      </c>
      <c r="B2498">
        <v>52.346200000000003</v>
      </c>
      <c r="C2498">
        <f t="shared" si="117"/>
        <v>52.70770000000001</v>
      </c>
      <c r="D2498">
        <v>0.68821212121212105</v>
      </c>
      <c r="E2498">
        <f t="shared" si="118"/>
        <v>3.9647615549312079</v>
      </c>
      <c r="I2498" s="24">
        <f t="shared" si="119"/>
        <v>0.72175498536841265</v>
      </c>
      <c r="N2498" s="30">
        <v>32843.636363636368</v>
      </c>
    </row>
    <row r="2499" spans="1:18" x14ac:dyDescent="0.3">
      <c r="A2499">
        <v>38.036920000000649</v>
      </c>
      <c r="B2499">
        <v>52.692300000000003</v>
      </c>
      <c r="C2499">
        <f t="shared" si="117"/>
        <v>53.176919999999996</v>
      </c>
      <c r="D2499">
        <v>0.68842424242424227</v>
      </c>
      <c r="E2499">
        <f t="shared" si="118"/>
        <v>3.9736244676276815</v>
      </c>
      <c r="I2499" s="24">
        <f t="shared" si="119"/>
        <v>0.73005446386806394</v>
      </c>
      <c r="N2499" s="30">
        <v>32821.545454545456</v>
      </c>
    </row>
    <row r="2500" spans="1:18" x14ac:dyDescent="0.3">
      <c r="A2500">
        <v>38.052150000000651</v>
      </c>
      <c r="B2500">
        <v>53.576900000000002</v>
      </c>
      <c r="C2500">
        <f t="shared" si="117"/>
        <v>54.007680000000008</v>
      </c>
      <c r="D2500">
        <v>0.6886363636363636</v>
      </c>
      <c r="E2500">
        <f t="shared" si="118"/>
        <v>3.9891262586738754</v>
      </c>
      <c r="I2500" s="24">
        <f t="shared" si="119"/>
        <v>0.74497289407188416</v>
      </c>
      <c r="N2500" s="30">
        <v>32799.454545454551</v>
      </c>
    </row>
    <row r="2501" spans="1:18" x14ac:dyDescent="0.3">
      <c r="A2501">
        <v>38.067380000000654</v>
      </c>
      <c r="B2501">
        <v>54.961500000000001</v>
      </c>
      <c r="C2501">
        <f t="shared" si="117"/>
        <v>55.084600000000002</v>
      </c>
      <c r="D2501">
        <v>0.68884848484848482</v>
      </c>
      <c r="E2501">
        <f t="shared" si="118"/>
        <v>4.0088701852607169</v>
      </c>
      <c r="I2501" s="24">
        <f t="shared" si="119"/>
        <v>0.76448056598679603</v>
      </c>
      <c r="N2501" s="30">
        <v>32777.36363636364</v>
      </c>
    </row>
    <row r="2502" spans="1:18" x14ac:dyDescent="0.3">
      <c r="A2502">
        <v>38.082610000000656</v>
      </c>
      <c r="B2502">
        <v>56.461500000000001</v>
      </c>
      <c r="C2502">
        <f t="shared" si="117"/>
        <v>56.199980000000004</v>
      </c>
      <c r="D2502">
        <v>0.68906060606060593</v>
      </c>
      <c r="E2502">
        <f t="shared" si="118"/>
        <v>4.0289164010276961</v>
      </c>
      <c r="I2502" s="24">
        <f t="shared" si="119"/>
        <v>0.78481336866593598</v>
      </c>
      <c r="N2502" s="30">
        <v>32755.272727272732</v>
      </c>
    </row>
    <row r="2503" spans="1:18" x14ac:dyDescent="0.3">
      <c r="A2503">
        <v>38.097840000000659</v>
      </c>
      <c r="B2503">
        <v>57.730800000000002</v>
      </c>
      <c r="C2503">
        <f t="shared" si="117"/>
        <v>57.084600000000002</v>
      </c>
      <c r="D2503">
        <v>0.68927272727272715</v>
      </c>
      <c r="E2503">
        <f t="shared" si="118"/>
        <v>4.0445343780090575</v>
      </c>
      <c r="I2503" s="24">
        <f t="shared" si="119"/>
        <v>0.80097428643014845</v>
      </c>
      <c r="N2503" s="30">
        <v>32733.18181818182</v>
      </c>
    </row>
    <row r="2504" spans="1:18" x14ac:dyDescent="0.3">
      <c r="A2504">
        <v>38.113070000000661</v>
      </c>
      <c r="B2504">
        <v>58.269199999999998</v>
      </c>
      <c r="C2504">
        <f t="shared" si="117"/>
        <v>57.546140000000001</v>
      </c>
      <c r="D2504">
        <v>0.68948484848484837</v>
      </c>
      <c r="E2504">
        <f t="shared" si="118"/>
        <v>4.052587060807249</v>
      </c>
      <c r="I2504" s="24">
        <f t="shared" si="119"/>
        <v>0.80931591367705524</v>
      </c>
      <c r="N2504" s="30">
        <v>32711.090909090912</v>
      </c>
    </row>
    <row r="2505" spans="1:18" x14ac:dyDescent="0.3">
      <c r="A2505">
        <v>38.128300000000664</v>
      </c>
      <c r="B2505">
        <v>58</v>
      </c>
      <c r="C2505">
        <f t="shared" si="117"/>
        <v>57.707680000000003</v>
      </c>
      <c r="D2505">
        <v>0.6896969696969697</v>
      </c>
      <c r="E2505">
        <f t="shared" si="118"/>
        <v>4.0553902669097681</v>
      </c>
      <c r="I2505" s="24">
        <f t="shared" si="119"/>
        <v>0.81207721080369588</v>
      </c>
      <c r="J2505">
        <v>1989</v>
      </c>
      <c r="K2505">
        <f>AVERAGE(I2505:I2589)</f>
        <v>0.63648634860109421</v>
      </c>
      <c r="L2505">
        <f>A2589-A2505</f>
        <v>1.2793200000002116</v>
      </c>
      <c r="M2505">
        <f>K2505*L2505</f>
        <v>0.8142697154924865</v>
      </c>
      <c r="N2505" s="30">
        <v>32689.000000000004</v>
      </c>
    </row>
    <row r="2506" spans="1:18" x14ac:dyDescent="0.3">
      <c r="A2506">
        <v>38.143530000000666</v>
      </c>
      <c r="B2506">
        <v>57.269199999999998</v>
      </c>
      <c r="C2506">
        <f t="shared" si="117"/>
        <v>57.569219999999994</v>
      </c>
      <c r="D2506">
        <v>0.68990909090909081</v>
      </c>
      <c r="E2506">
        <f t="shared" si="118"/>
        <v>4.0529880498726403</v>
      </c>
      <c r="I2506" s="24">
        <f t="shared" si="119"/>
        <v>0.80924802791595174</v>
      </c>
      <c r="N2506" s="30">
        <v>32685.303030303032</v>
      </c>
    </row>
    <row r="2507" spans="1:18" x14ac:dyDescent="0.3">
      <c r="A2507">
        <v>38.158760000000669</v>
      </c>
      <c r="B2507">
        <v>57.269199999999998</v>
      </c>
      <c r="C2507">
        <f t="shared" si="117"/>
        <v>57.138459999999995</v>
      </c>
      <c r="D2507">
        <v>0.69012121212121202</v>
      </c>
      <c r="E2507">
        <f t="shared" si="118"/>
        <v>4.0454774450918656</v>
      </c>
      <c r="I2507" s="24">
        <f t="shared" si="119"/>
        <v>0.80098962254739636</v>
      </c>
      <c r="N2507" s="30">
        <v>32681.606060606064</v>
      </c>
    </row>
    <row r="2508" spans="1:18" x14ac:dyDescent="0.3">
      <c r="A2508">
        <v>38.173990000000671</v>
      </c>
      <c r="B2508">
        <v>57.038499999999999</v>
      </c>
      <c r="C2508">
        <f t="shared" si="117"/>
        <v>56.515379999999993</v>
      </c>
      <c r="D2508">
        <v>0.69033333333333324</v>
      </c>
      <c r="E2508">
        <f t="shared" si="118"/>
        <v>4.0345128134987052</v>
      </c>
      <c r="I2508" s="24">
        <f t="shared" si="119"/>
        <v>0.78919601648889959</v>
      </c>
      <c r="N2508" s="30">
        <v>32677.909090909092</v>
      </c>
    </row>
    <row r="2509" spans="1:18" x14ac:dyDescent="0.3">
      <c r="A2509">
        <v>38.189220000000674</v>
      </c>
      <c r="B2509">
        <v>56.115400000000001</v>
      </c>
      <c r="C2509">
        <f t="shared" si="117"/>
        <v>55.792299999999997</v>
      </c>
      <c r="D2509">
        <v>0.69054545454545446</v>
      </c>
      <c r="E2509">
        <f t="shared" si="118"/>
        <v>4.0216358670338375</v>
      </c>
      <c r="I2509" s="24">
        <f t="shared" si="119"/>
        <v>0.77560868533663851</v>
      </c>
      <c r="N2509" s="30">
        <v>32674.212121212124</v>
      </c>
    </row>
    <row r="2510" spans="1:18" x14ac:dyDescent="0.3">
      <c r="A2510">
        <v>38.204450000000676</v>
      </c>
      <c r="B2510">
        <v>54.884599999999999</v>
      </c>
      <c r="C2510">
        <f t="shared" si="117"/>
        <v>54.769219999999997</v>
      </c>
      <c r="D2510">
        <v>0.69075757575757568</v>
      </c>
      <c r="E2510">
        <f t="shared" si="118"/>
        <v>4.0031283573212058</v>
      </c>
      <c r="I2510" s="24">
        <f t="shared" si="119"/>
        <v>0.75659056405287539</v>
      </c>
      <c r="N2510" s="30">
        <v>32670.515151515152</v>
      </c>
    </row>
    <row r="2511" spans="1:18" x14ac:dyDescent="0.3">
      <c r="A2511">
        <v>38.219680000000679</v>
      </c>
      <c r="B2511">
        <v>53.653799999999997</v>
      </c>
      <c r="C2511">
        <f t="shared" si="117"/>
        <v>53.623059999999995</v>
      </c>
      <c r="D2511">
        <v>0.69096969696969679</v>
      </c>
      <c r="E2511">
        <f t="shared" si="118"/>
        <v>3.9819791994375948</v>
      </c>
      <c r="I2511" s="24">
        <f t="shared" si="119"/>
        <v>0.73546047415635674</v>
      </c>
      <c r="N2511" s="30">
        <v>32666.818181818184</v>
      </c>
    </row>
    <row r="2512" spans="1:18" x14ac:dyDescent="0.3">
      <c r="A2512">
        <v>38.234910000000681</v>
      </c>
      <c r="B2512">
        <v>52.153799999999997</v>
      </c>
      <c r="C2512">
        <f t="shared" si="117"/>
        <v>52.438439999999993</v>
      </c>
      <c r="D2512">
        <v>0.69118181818181812</v>
      </c>
      <c r="E2512">
        <f t="shared" si="118"/>
        <v>3.959639910169257</v>
      </c>
      <c r="I2512" s="24">
        <f t="shared" si="119"/>
        <v>0.71379425644259953</v>
      </c>
      <c r="N2512" s="30">
        <v>32663.121212121212</v>
      </c>
    </row>
    <row r="2513" spans="1:14" x14ac:dyDescent="0.3">
      <c r="A2513">
        <v>38.250140000000684</v>
      </c>
      <c r="B2513">
        <v>51.307699999999997</v>
      </c>
      <c r="C2513">
        <f t="shared" si="117"/>
        <v>51.253819999999997</v>
      </c>
      <c r="D2513">
        <v>0.69139393939393934</v>
      </c>
      <c r="E2513">
        <f t="shared" si="118"/>
        <v>3.9367901518261701</v>
      </c>
      <c r="I2513" s="24">
        <f t="shared" si="119"/>
        <v>0.6922980392135063</v>
      </c>
      <c r="N2513" s="30">
        <v>32659.424242424244</v>
      </c>
    </row>
    <row r="2514" spans="1:14" x14ac:dyDescent="0.3">
      <c r="A2514">
        <v>38.265370000000686</v>
      </c>
      <c r="B2514">
        <v>50.192300000000003</v>
      </c>
      <c r="C2514">
        <f t="shared" si="117"/>
        <v>49.999980000000001</v>
      </c>
      <c r="D2514">
        <v>0.69160606060606056</v>
      </c>
      <c r="E2514">
        <f t="shared" si="118"/>
        <v>3.9120226054280662</v>
      </c>
      <c r="I2514" s="24">
        <f t="shared" si="119"/>
        <v>0.66974547673713047</v>
      </c>
      <c r="N2514" s="30">
        <v>32655.727272727272</v>
      </c>
    </row>
    <row r="2515" spans="1:14" x14ac:dyDescent="0.3">
      <c r="A2515">
        <v>38.280600000000689</v>
      </c>
      <c r="B2515">
        <v>48.961500000000001</v>
      </c>
      <c r="C2515">
        <f t="shared" si="117"/>
        <v>48.792299999999997</v>
      </c>
      <c r="D2515">
        <v>0.69181818181818167</v>
      </c>
      <c r="E2515">
        <f t="shared" si="118"/>
        <v>3.8875725135241952</v>
      </c>
      <c r="I2515" s="24">
        <f t="shared" si="119"/>
        <v>0.6482002081769952</v>
      </c>
      <c r="N2515" s="30">
        <v>32652.030303030304</v>
      </c>
    </row>
    <row r="2516" spans="1:14" x14ac:dyDescent="0.3">
      <c r="A2516">
        <v>38.295830000000691</v>
      </c>
      <c r="B2516">
        <v>47.384599999999999</v>
      </c>
      <c r="C2516">
        <f t="shared" si="117"/>
        <v>47.392299999999999</v>
      </c>
      <c r="D2516">
        <v>0.69203030303030288</v>
      </c>
      <c r="E2516">
        <f t="shared" si="118"/>
        <v>3.8584597682476618</v>
      </c>
      <c r="I2516" s="24">
        <f t="shared" si="119"/>
        <v>0.62348485829860878</v>
      </c>
      <c r="N2516" s="30">
        <v>32648.333333333336</v>
      </c>
    </row>
    <row r="2517" spans="1:14" x14ac:dyDescent="0.3">
      <c r="A2517">
        <v>38.311060000000694</v>
      </c>
      <c r="B2517">
        <v>46.115400000000001</v>
      </c>
      <c r="C2517">
        <f t="shared" si="117"/>
        <v>45.9</v>
      </c>
      <c r="D2517">
        <v>0.69224242424242421</v>
      </c>
      <c r="E2517">
        <f t="shared" si="118"/>
        <v>3.8264651170664994</v>
      </c>
      <c r="I2517" s="24">
        <f t="shared" si="119"/>
        <v>0.59742663686702047</v>
      </c>
      <c r="N2517" s="30">
        <v>32644.636363636364</v>
      </c>
    </row>
    <row r="2518" spans="1:14" x14ac:dyDescent="0.3">
      <c r="A2518">
        <v>38.326290000000697</v>
      </c>
      <c r="B2518">
        <v>44.307699999999997</v>
      </c>
      <c r="C2518">
        <f t="shared" si="117"/>
        <v>44.5077</v>
      </c>
      <c r="D2518">
        <v>0.69245454545454543</v>
      </c>
      <c r="E2518">
        <f t="shared" si="118"/>
        <v>3.7956622079114544</v>
      </c>
      <c r="I2518" s="24">
        <f t="shared" si="119"/>
        <v>0.57336208003378364</v>
      </c>
      <c r="N2518" s="30">
        <v>32640.939393939396</v>
      </c>
    </row>
    <row r="2519" spans="1:14" x14ac:dyDescent="0.3">
      <c r="A2519">
        <v>38.341520000000699</v>
      </c>
      <c r="B2519">
        <v>42.730800000000002</v>
      </c>
      <c r="C2519">
        <f t="shared" si="117"/>
        <v>43.523080000000007</v>
      </c>
      <c r="D2519">
        <v>0.69266666666666654</v>
      </c>
      <c r="E2519">
        <f t="shared" si="118"/>
        <v>3.7732913721022867</v>
      </c>
      <c r="I2519" s="24">
        <f t="shared" si="119"/>
        <v>0.55644829245799543</v>
      </c>
      <c r="N2519" s="30">
        <v>32637.242424242424</v>
      </c>
    </row>
    <row r="2520" spans="1:14" x14ac:dyDescent="0.3">
      <c r="A2520">
        <v>38.356750000000702</v>
      </c>
      <c r="B2520">
        <v>42</v>
      </c>
      <c r="C2520">
        <f t="shared" si="117"/>
        <v>42.95384</v>
      </c>
      <c r="D2520">
        <v>0.69287878787878776</v>
      </c>
      <c r="E2520">
        <f t="shared" si="118"/>
        <v>3.7601260507201402</v>
      </c>
      <c r="I2520" s="24">
        <f t="shared" si="119"/>
        <v>0.54665978375453095</v>
      </c>
      <c r="N2520" s="30">
        <v>32633.545454545456</v>
      </c>
    </row>
    <row r="2521" spans="1:14" x14ac:dyDescent="0.3">
      <c r="A2521">
        <v>38.371980000000704</v>
      </c>
      <c r="B2521">
        <v>42.461500000000001</v>
      </c>
      <c r="C2521">
        <f t="shared" si="117"/>
        <v>42.838459999999998</v>
      </c>
      <c r="D2521">
        <v>0.69309090909090898</v>
      </c>
      <c r="E2521">
        <f t="shared" si="118"/>
        <v>3.7574362972209951</v>
      </c>
      <c r="I2521" s="24">
        <f t="shared" si="119"/>
        <v>0.54454858009349028</v>
      </c>
      <c r="N2521" s="30">
        <v>32629.848484848484</v>
      </c>
    </row>
    <row r="2522" spans="1:14" x14ac:dyDescent="0.3">
      <c r="A2522">
        <v>38.387210000000707</v>
      </c>
      <c r="B2522">
        <v>43.269199999999998</v>
      </c>
      <c r="C2522">
        <f t="shared" si="117"/>
        <v>43.123059999999995</v>
      </c>
      <c r="D2522">
        <v>0.6933030303030302</v>
      </c>
      <c r="E2522">
        <f t="shared" si="118"/>
        <v>3.764057888832399</v>
      </c>
      <c r="I2522" s="24">
        <f t="shared" si="119"/>
        <v>0.54917845226553696</v>
      </c>
      <c r="N2522" s="30">
        <v>32626.151515151516</v>
      </c>
    </row>
    <row r="2523" spans="1:14" x14ac:dyDescent="0.3">
      <c r="A2523">
        <v>38.402440000000709</v>
      </c>
      <c r="B2523">
        <v>43.730800000000002</v>
      </c>
      <c r="C2523">
        <f t="shared" si="117"/>
        <v>43.546139999999994</v>
      </c>
      <c r="D2523">
        <v>0.69351515151515142</v>
      </c>
      <c r="E2523">
        <f t="shared" si="118"/>
        <v>3.7738210656160032</v>
      </c>
      <c r="I2523" s="24">
        <f t="shared" si="119"/>
        <v>0.55615764282622859</v>
      </c>
      <c r="N2523" s="30">
        <v>32622.454545454544</v>
      </c>
    </row>
    <row r="2524" spans="1:14" x14ac:dyDescent="0.3">
      <c r="A2524">
        <v>38.417670000000712</v>
      </c>
      <c r="B2524">
        <v>44.153799999999997</v>
      </c>
      <c r="C2524">
        <f t="shared" si="117"/>
        <v>43.9</v>
      </c>
      <c r="D2524">
        <v>0.69372727272727264</v>
      </c>
      <c r="E2524">
        <f t="shared" si="118"/>
        <v>3.7819143200811256</v>
      </c>
      <c r="I2524" s="24">
        <f t="shared" si="119"/>
        <v>0.56198092653153953</v>
      </c>
      <c r="N2524" s="30">
        <v>32618.757575757576</v>
      </c>
    </row>
    <row r="2525" spans="1:14" x14ac:dyDescent="0.3">
      <c r="A2525">
        <v>38.432900000000714</v>
      </c>
      <c r="B2525">
        <v>44.115400000000001</v>
      </c>
      <c r="C2525">
        <f t="shared" si="117"/>
        <v>44.115400000000001</v>
      </c>
      <c r="D2525">
        <v>0.69393939393939386</v>
      </c>
      <c r="E2525">
        <f t="shared" si="118"/>
        <v>3.7868089278436603</v>
      </c>
      <c r="I2525" s="24">
        <f t="shared" si="119"/>
        <v>0.56546396069386162</v>
      </c>
      <c r="N2525" s="30">
        <v>32615.060606060604</v>
      </c>
    </row>
    <row r="2526" spans="1:14" x14ac:dyDescent="0.3">
      <c r="A2526">
        <v>38.448130000000717</v>
      </c>
      <c r="B2526">
        <v>44.230800000000002</v>
      </c>
      <c r="C2526">
        <f t="shared" si="117"/>
        <v>44.223080000000003</v>
      </c>
      <c r="D2526">
        <v>0.69415151515151507</v>
      </c>
      <c r="E2526">
        <f t="shared" si="118"/>
        <v>3.7892468247450237</v>
      </c>
      <c r="I2526" s="24">
        <f t="shared" si="119"/>
        <v>0.56711985122341735</v>
      </c>
      <c r="N2526" s="30">
        <v>32611.363636363636</v>
      </c>
    </row>
    <row r="2527" spans="1:14" x14ac:dyDescent="0.3">
      <c r="A2527">
        <v>38.463360000000719</v>
      </c>
      <c r="B2527">
        <v>44.346200000000003</v>
      </c>
      <c r="C2527">
        <f t="shared" si="117"/>
        <v>44.161560000000009</v>
      </c>
      <c r="D2527">
        <v>0.69436363636363629</v>
      </c>
      <c r="E2527">
        <f t="shared" si="118"/>
        <v>3.7878547274318453</v>
      </c>
      <c r="I2527" s="24">
        <f t="shared" si="119"/>
        <v>0.56590197373571816</v>
      </c>
      <c r="N2527" s="30">
        <v>32607.666666666668</v>
      </c>
    </row>
    <row r="2528" spans="1:14" x14ac:dyDescent="0.3">
      <c r="A2528">
        <v>38.478590000000722</v>
      </c>
      <c r="B2528">
        <v>44.269199999999998</v>
      </c>
      <c r="C2528">
        <f t="shared" si="117"/>
        <v>44.023100000000007</v>
      </c>
      <c r="D2528">
        <v>0.6945757575757574</v>
      </c>
      <c r="E2528">
        <f t="shared" si="118"/>
        <v>3.7847144961539767</v>
      </c>
      <c r="I2528" s="24">
        <f t="shared" si="119"/>
        <v>0.56338050367988468</v>
      </c>
      <c r="N2528" s="30">
        <v>32603.969696969696</v>
      </c>
    </row>
    <row r="2529" spans="1:14" x14ac:dyDescent="0.3">
      <c r="A2529">
        <v>38.493820000000724</v>
      </c>
      <c r="B2529">
        <v>43.846200000000003</v>
      </c>
      <c r="C2529">
        <f t="shared" si="117"/>
        <v>43.769240000000003</v>
      </c>
      <c r="D2529">
        <v>0.69478787878787873</v>
      </c>
      <c r="E2529">
        <f t="shared" si="118"/>
        <v>3.7789312875610812</v>
      </c>
      <c r="I2529" s="24">
        <f t="shared" si="119"/>
        <v>0.55890991435543791</v>
      </c>
      <c r="N2529" s="30">
        <v>32600.272727272728</v>
      </c>
    </row>
    <row r="2530" spans="1:14" x14ac:dyDescent="0.3">
      <c r="A2530">
        <v>38.509050000000727</v>
      </c>
      <c r="B2530">
        <v>43.423099999999998</v>
      </c>
      <c r="C2530">
        <f t="shared" si="117"/>
        <v>43.353840000000005</v>
      </c>
      <c r="D2530">
        <v>0.69499999999999995</v>
      </c>
      <c r="E2530">
        <f t="shared" si="118"/>
        <v>3.7693952806183368</v>
      </c>
      <c r="I2530" s="24">
        <f t="shared" si="119"/>
        <v>0.55172500688206905</v>
      </c>
      <c r="N2530" s="30">
        <v>32596.575757575756</v>
      </c>
    </row>
    <row r="2531" spans="1:14" x14ac:dyDescent="0.3">
      <c r="A2531">
        <v>38.524280000000729</v>
      </c>
      <c r="B2531">
        <v>42.961500000000001</v>
      </c>
      <c r="C2531">
        <f t="shared" si="117"/>
        <v>42.715379999999996</v>
      </c>
      <c r="D2531">
        <v>0.69521212121212117</v>
      </c>
      <c r="E2531">
        <f t="shared" si="118"/>
        <v>3.7545590427363158</v>
      </c>
      <c r="I2531" s="24">
        <f t="shared" si="119"/>
        <v>0.54082163769113978</v>
      </c>
      <c r="N2531" s="30">
        <v>32592.878787878788</v>
      </c>
    </row>
    <row r="2532" spans="1:14" x14ac:dyDescent="0.3">
      <c r="A2532">
        <v>38.539510000000732</v>
      </c>
      <c r="B2532">
        <v>42.269199999999998</v>
      </c>
      <c r="C2532">
        <f t="shared" si="117"/>
        <v>41.907679999999992</v>
      </c>
      <c r="D2532">
        <v>0.69542424242424228</v>
      </c>
      <c r="E2532">
        <f t="shared" si="118"/>
        <v>3.7354691036879664</v>
      </c>
      <c r="I2532" s="24">
        <f t="shared" si="119"/>
        <v>0.52715473091008491</v>
      </c>
      <c r="N2532" s="30">
        <v>32589.181818181816</v>
      </c>
    </row>
    <row r="2533" spans="1:14" x14ac:dyDescent="0.3">
      <c r="A2533">
        <v>38.554740000000734</v>
      </c>
      <c r="B2533">
        <v>41.076900000000002</v>
      </c>
      <c r="C2533">
        <f t="shared" si="117"/>
        <v>40.953819999999993</v>
      </c>
      <c r="D2533">
        <v>0.6956363636363635</v>
      </c>
      <c r="E2533">
        <f t="shared" si="118"/>
        <v>3.7124450904416348</v>
      </c>
      <c r="I2533" s="24">
        <f t="shared" si="119"/>
        <v>0.51116218231250643</v>
      </c>
      <c r="N2533" s="30">
        <v>32585.484848484848</v>
      </c>
    </row>
    <row r="2534" spans="1:14" x14ac:dyDescent="0.3">
      <c r="A2534">
        <v>38.569970000000737</v>
      </c>
      <c r="B2534">
        <v>39.807699999999997</v>
      </c>
      <c r="C2534">
        <f t="shared" si="117"/>
        <v>39.95382</v>
      </c>
      <c r="D2534">
        <v>0.69584848484848472</v>
      </c>
      <c r="E2534">
        <f t="shared" si="118"/>
        <v>3.6877242871654339</v>
      </c>
      <c r="I2534" s="24">
        <f t="shared" si="119"/>
        <v>0.49454191862848507</v>
      </c>
      <c r="N2534" s="30">
        <v>32581.787878787876</v>
      </c>
    </row>
    <row r="2535" spans="1:14" x14ac:dyDescent="0.3">
      <c r="A2535">
        <v>38.585200000000739</v>
      </c>
      <c r="B2535">
        <v>38.653799999999997</v>
      </c>
      <c r="C2535">
        <f t="shared" si="117"/>
        <v>39.030739999999994</v>
      </c>
      <c r="D2535">
        <v>0.69606060606060594</v>
      </c>
      <c r="E2535">
        <f t="shared" si="118"/>
        <v>3.6643495407873217</v>
      </c>
      <c r="I2535" s="24">
        <f t="shared" si="119"/>
        <v>0.47931608330709136</v>
      </c>
      <c r="N2535" s="30">
        <v>32578.090909090908</v>
      </c>
    </row>
    <row r="2536" spans="1:14" x14ac:dyDescent="0.3">
      <c r="A2536">
        <v>38.600430000000742</v>
      </c>
      <c r="B2536">
        <v>37.961500000000001</v>
      </c>
      <c r="C2536">
        <f t="shared" si="117"/>
        <v>38.369199999999999</v>
      </c>
      <c r="D2536">
        <v>0.69627272727272715</v>
      </c>
      <c r="E2536">
        <f t="shared" si="118"/>
        <v>3.647255054419404</v>
      </c>
      <c r="I2536" s="24">
        <f t="shared" si="119"/>
        <v>0.46844035686674074</v>
      </c>
      <c r="N2536" s="30">
        <v>32574.393939393936</v>
      </c>
    </row>
    <row r="2537" spans="1:14" x14ac:dyDescent="0.3">
      <c r="A2537">
        <v>38.615660000000744</v>
      </c>
      <c r="B2537">
        <v>37.653799999999997</v>
      </c>
      <c r="C2537">
        <f t="shared" si="117"/>
        <v>38.030739999999994</v>
      </c>
      <c r="D2537">
        <v>0.69648484848484837</v>
      </c>
      <c r="E2537">
        <f t="shared" si="118"/>
        <v>3.6383947800732344</v>
      </c>
      <c r="I2537" s="24">
        <f t="shared" si="119"/>
        <v>0.46283290353687451</v>
      </c>
      <c r="N2537" s="30">
        <v>32570.696969696968</v>
      </c>
    </row>
    <row r="2538" spans="1:14" x14ac:dyDescent="0.3">
      <c r="A2538">
        <v>38.630890000000747</v>
      </c>
      <c r="B2538">
        <v>37.769199999999998</v>
      </c>
      <c r="C2538">
        <f t="shared" si="117"/>
        <v>38.030739999999994</v>
      </c>
      <c r="D2538">
        <v>0.69669696969696959</v>
      </c>
      <c r="E2538">
        <f t="shared" si="118"/>
        <v>3.6383947800732344</v>
      </c>
      <c r="I2538" s="25">
        <f t="shared" si="119"/>
        <v>0.46269198620727775</v>
      </c>
      <c r="N2538" s="30">
        <v>32567</v>
      </c>
    </row>
    <row r="2539" spans="1:14" x14ac:dyDescent="0.3">
      <c r="A2539">
        <v>38.646120000000749</v>
      </c>
      <c r="B2539">
        <v>38.115400000000001</v>
      </c>
      <c r="C2539">
        <f t="shared" si="117"/>
        <v>38.215359999999997</v>
      </c>
      <c r="D2539">
        <v>0.69690909090909081</v>
      </c>
      <c r="E2539">
        <f t="shared" si="118"/>
        <v>3.6432375290351415</v>
      </c>
      <c r="I2539" s="24">
        <f t="shared" si="119"/>
        <v>0.46552827189128837</v>
      </c>
      <c r="N2539" s="30">
        <v>32562.235294117647</v>
      </c>
    </row>
    <row r="2540" spans="1:14" x14ac:dyDescent="0.3">
      <c r="A2540">
        <v>38.661350000000752</v>
      </c>
      <c r="B2540">
        <v>38.653799999999997</v>
      </c>
      <c r="C2540">
        <f t="shared" si="117"/>
        <v>38.45384</v>
      </c>
      <c r="D2540">
        <v>0.69712121212121203</v>
      </c>
      <c r="E2540">
        <f t="shared" si="118"/>
        <v>3.6494585609259689</v>
      </c>
      <c r="I2540" s="24">
        <f t="shared" si="119"/>
        <v>0.46923801031573165</v>
      </c>
      <c r="N2540" s="30">
        <v>32557.470588235294</v>
      </c>
    </row>
    <row r="2541" spans="1:14" x14ac:dyDescent="0.3">
      <c r="A2541">
        <v>38.676580000000754</v>
      </c>
      <c r="B2541">
        <v>38.884599999999999</v>
      </c>
      <c r="C2541">
        <f t="shared" si="117"/>
        <v>38.584620000000001</v>
      </c>
      <c r="D2541">
        <v>0.69733333333333325</v>
      </c>
      <c r="E2541">
        <f t="shared" si="118"/>
        <v>3.652853751474392</v>
      </c>
      <c r="I2541" s="24">
        <f t="shared" si="119"/>
        <v>0.4712099919531908</v>
      </c>
      <c r="N2541" s="30">
        <v>32552.705882352941</v>
      </c>
    </row>
    <row r="2542" spans="1:14" x14ac:dyDescent="0.3">
      <c r="A2542">
        <v>38.691810000000757</v>
      </c>
      <c r="B2542">
        <v>38.846200000000003</v>
      </c>
      <c r="C2542">
        <f t="shared" si="117"/>
        <v>38.623080000000002</v>
      </c>
      <c r="D2542">
        <v>0.69754545454545447</v>
      </c>
      <c r="E2542">
        <f t="shared" si="118"/>
        <v>3.6538500252445254</v>
      </c>
      <c r="I2542" s="24">
        <f t="shared" si="119"/>
        <v>0.47168885281543438</v>
      </c>
      <c r="N2542" s="30">
        <v>32547.941176470587</v>
      </c>
    </row>
    <row r="2543" spans="1:14" x14ac:dyDescent="0.3">
      <c r="A2543">
        <v>38.70704000000076</v>
      </c>
      <c r="B2543">
        <v>38.423099999999998</v>
      </c>
      <c r="C2543">
        <f t="shared" si="117"/>
        <v>38.607699999999994</v>
      </c>
      <c r="D2543">
        <v>0.69775757575757569</v>
      </c>
      <c r="E2543">
        <f t="shared" si="118"/>
        <v>3.6534517384422083</v>
      </c>
      <c r="I2543" s="24">
        <f t="shared" si="119"/>
        <v>0.47129671194035938</v>
      </c>
      <c r="N2543" s="30">
        <v>32543.176470588234</v>
      </c>
    </row>
    <row r="2544" spans="1:14" x14ac:dyDescent="0.3">
      <c r="A2544">
        <v>38.722270000000762</v>
      </c>
      <c r="B2544">
        <v>38.307699999999997</v>
      </c>
      <c r="C2544">
        <f t="shared" si="117"/>
        <v>38.730779999999996</v>
      </c>
      <c r="D2544">
        <v>0.69796969696969691</v>
      </c>
      <c r="E2544">
        <f t="shared" si="118"/>
        <v>3.656634632750666</v>
      </c>
      <c r="I2544" s="24">
        <f t="shared" si="119"/>
        <v>0.47314438600776959</v>
      </c>
      <c r="N2544" s="30">
        <v>32538.411764705881</v>
      </c>
    </row>
    <row r="2545" spans="1:18" x14ac:dyDescent="0.3">
      <c r="A2545">
        <v>38.737500000000765</v>
      </c>
      <c r="B2545">
        <v>38.576900000000002</v>
      </c>
      <c r="C2545">
        <f t="shared" si="117"/>
        <v>38.946159999999999</v>
      </c>
      <c r="D2545">
        <v>0.69818181818181801</v>
      </c>
      <c r="E2545">
        <f t="shared" si="118"/>
        <v>3.6621801795233999</v>
      </c>
      <c r="I2545" s="24">
        <f t="shared" si="119"/>
        <v>0.47648844473138902</v>
      </c>
      <c r="N2545" s="30">
        <v>32533.647058823528</v>
      </c>
    </row>
    <row r="2546" spans="1:18" x14ac:dyDescent="0.3">
      <c r="A2546">
        <v>38.752730000000767</v>
      </c>
      <c r="B2546">
        <v>39.5</v>
      </c>
      <c r="C2546">
        <f t="shared" si="117"/>
        <v>39.299999999999997</v>
      </c>
      <c r="D2546">
        <v>0.69839393939393923</v>
      </c>
      <c r="E2546">
        <f t="shared" si="118"/>
        <v>3.6712245188752153</v>
      </c>
      <c r="I2546" s="24">
        <f t="shared" si="119"/>
        <v>0.48208557508952254</v>
      </c>
      <c r="N2546" s="30">
        <v>32528.882352941178</v>
      </c>
    </row>
    <row r="2547" spans="1:18" x14ac:dyDescent="0.3">
      <c r="A2547">
        <v>38.76796000000077</v>
      </c>
      <c r="B2547">
        <v>39.923099999999998</v>
      </c>
      <c r="C2547">
        <f t="shared" si="117"/>
        <v>39.676919999999996</v>
      </c>
      <c r="D2547">
        <v>0.69860606060606045</v>
      </c>
      <c r="E2547">
        <f t="shared" si="118"/>
        <v>3.6807696584362666</v>
      </c>
      <c r="I2547" s="24">
        <f t="shared" si="119"/>
        <v>0.48807220687317204</v>
      </c>
      <c r="N2547" s="30">
        <v>32524.117647058825</v>
      </c>
    </row>
    <row r="2548" spans="1:18" x14ac:dyDescent="0.3">
      <c r="A2548">
        <v>38.783190000000772</v>
      </c>
      <c r="B2548">
        <v>40.192300000000003</v>
      </c>
      <c r="C2548">
        <f t="shared" si="117"/>
        <v>40.084620000000001</v>
      </c>
      <c r="D2548">
        <v>0.69881818181818178</v>
      </c>
      <c r="E2548">
        <f t="shared" si="118"/>
        <v>3.6909927195946732</v>
      </c>
      <c r="I2548" s="24">
        <f t="shared" si="119"/>
        <v>0.49457721296282503</v>
      </c>
      <c r="N2548" s="30">
        <v>32519.352941176472</v>
      </c>
    </row>
    <row r="2549" spans="1:18" x14ac:dyDescent="0.3">
      <c r="A2549">
        <v>38.798420000000775</v>
      </c>
      <c r="B2549">
        <v>40.192300000000003</v>
      </c>
      <c r="C2549">
        <f t="shared" si="117"/>
        <v>40.51538</v>
      </c>
      <c r="D2549">
        <v>0.69903030303030289</v>
      </c>
      <c r="E2549">
        <f t="shared" si="118"/>
        <v>3.7016816551109599</v>
      </c>
      <c r="I2549" s="24">
        <f t="shared" si="119"/>
        <v>0.50147837580114552</v>
      </c>
      <c r="N2549" s="30">
        <v>32514.588235294119</v>
      </c>
    </row>
    <row r="2550" spans="1:18" x14ac:dyDescent="0.3">
      <c r="A2550">
        <v>38.813650000000777</v>
      </c>
      <c r="B2550">
        <v>40.615400000000001</v>
      </c>
      <c r="C2550">
        <f t="shared" si="117"/>
        <v>40.92306</v>
      </c>
      <c r="D2550">
        <v>0.69924242424242411</v>
      </c>
      <c r="E2550">
        <f t="shared" si="118"/>
        <v>3.7116937183461873</v>
      </c>
      <c r="I2550" s="24">
        <f t="shared" si="119"/>
        <v>0.50802012562715815</v>
      </c>
      <c r="N2550" s="30">
        <v>32509.823529411766</v>
      </c>
    </row>
    <row r="2551" spans="1:18" x14ac:dyDescent="0.3">
      <c r="A2551">
        <v>38.82888000000078</v>
      </c>
      <c r="B2551">
        <v>41.653799999999997</v>
      </c>
      <c r="C2551">
        <f t="shared" si="117"/>
        <v>41.353840000000005</v>
      </c>
      <c r="D2551">
        <v>0.69945454545454533</v>
      </c>
      <c r="E2551">
        <f t="shared" si="118"/>
        <v>3.7221652829378682</v>
      </c>
      <c r="I2551" s="24">
        <f t="shared" si="119"/>
        <v>0.51496064503282757</v>
      </c>
      <c r="N2551" s="30">
        <v>32505.058823529413</v>
      </c>
      <c r="O2551">
        <v>1988</v>
      </c>
      <c r="P2551" s="24">
        <f>AVERAGE(I2551:I2665)</f>
        <v>0.76226637929128449</v>
      </c>
      <c r="Q2551">
        <f>A2665-A2551</f>
        <v>1.7362200000002872</v>
      </c>
      <c r="R2551">
        <f>P2551*Q2551</f>
        <v>1.3234621330533329</v>
      </c>
    </row>
    <row r="2552" spans="1:18" x14ac:dyDescent="0.3">
      <c r="A2552">
        <v>38.844110000000782</v>
      </c>
      <c r="B2552">
        <v>41.961500000000001</v>
      </c>
      <c r="C2552">
        <f t="shared" si="117"/>
        <v>41.846139999999998</v>
      </c>
      <c r="D2552">
        <v>0.69966666666666655</v>
      </c>
      <c r="E2552">
        <f t="shared" si="118"/>
        <v>3.7339995585119983</v>
      </c>
      <c r="I2552" s="24">
        <f t="shared" si="119"/>
        <v>0.5229392538923977</v>
      </c>
      <c r="N2552" s="30">
        <v>32500.294117647059</v>
      </c>
    </row>
    <row r="2553" spans="1:18" x14ac:dyDescent="0.3">
      <c r="A2553">
        <v>38.859340000000785</v>
      </c>
      <c r="B2553">
        <v>42.346200000000003</v>
      </c>
      <c r="C2553">
        <f t="shared" si="117"/>
        <v>42.307679999999998</v>
      </c>
      <c r="D2553">
        <v>0.69987878787878777</v>
      </c>
      <c r="E2553">
        <f t="shared" si="118"/>
        <v>3.7449686298558467</v>
      </c>
      <c r="I2553" s="24">
        <f t="shared" si="119"/>
        <v>0.53043318609475698</v>
      </c>
      <c r="N2553" s="30">
        <v>32495.529411764706</v>
      </c>
    </row>
    <row r="2554" spans="1:18" x14ac:dyDescent="0.3">
      <c r="A2554">
        <v>38.874570000000787</v>
      </c>
      <c r="B2554">
        <v>42.653799999999997</v>
      </c>
      <c r="C2554">
        <f t="shared" ref="C2554:C2617" si="120">AVERAGE(B2552:B2556)</f>
        <v>42.653840000000002</v>
      </c>
      <c r="D2554">
        <v>0.70009090909090899</v>
      </c>
      <c r="E2554">
        <f t="shared" ref="E2554:E2617" si="121">LN(C2554)</f>
        <v>3.7531173050547539</v>
      </c>
      <c r="I2554" s="24">
        <f t="shared" ref="I2554:I2617" si="122">(0.0026*(EXP(1.3248*E2554)))/D2554</f>
        <v>0.53602796488633908</v>
      </c>
      <c r="N2554" s="30">
        <v>32490.764705882353</v>
      </c>
    </row>
    <row r="2555" spans="1:18" x14ac:dyDescent="0.3">
      <c r="A2555">
        <v>38.88980000000079</v>
      </c>
      <c r="B2555">
        <v>42.923099999999998</v>
      </c>
      <c r="C2555">
        <f t="shared" si="120"/>
        <v>43.084620000000001</v>
      </c>
      <c r="D2555">
        <v>0.70030303030303021</v>
      </c>
      <c r="E2555">
        <f t="shared" si="121"/>
        <v>3.7631660888779721</v>
      </c>
      <c r="I2555" s="24">
        <f t="shared" si="122"/>
        <v>0.54304707841358635</v>
      </c>
      <c r="N2555" s="30">
        <v>32486</v>
      </c>
    </row>
    <row r="2556" spans="1:18" x14ac:dyDescent="0.3">
      <c r="A2556">
        <v>38.905030000000792</v>
      </c>
      <c r="B2556">
        <v>43.384599999999999</v>
      </c>
      <c r="C2556">
        <f t="shared" si="120"/>
        <v>43.646139999999995</v>
      </c>
      <c r="D2556">
        <v>0.70051515151515142</v>
      </c>
      <c r="E2556">
        <f t="shared" si="121"/>
        <v>3.7761148476766464</v>
      </c>
      <c r="I2556" s="24">
        <f t="shared" si="122"/>
        <v>0.5522758662264815</v>
      </c>
      <c r="N2556" s="30">
        <v>32481.235294117647</v>
      </c>
    </row>
    <row r="2557" spans="1:18" x14ac:dyDescent="0.3">
      <c r="A2557">
        <v>38.920260000000795</v>
      </c>
      <c r="B2557">
        <v>44.115400000000001</v>
      </c>
      <c r="C2557">
        <f t="shared" si="120"/>
        <v>44.330759999999998</v>
      </c>
      <c r="D2557">
        <v>0.70072727272727264</v>
      </c>
      <c r="E2557">
        <f t="shared" si="121"/>
        <v>3.7916787927561795</v>
      </c>
      <c r="I2557" s="24">
        <f t="shared" si="122"/>
        <v>0.56361085047108594</v>
      </c>
      <c r="N2557" s="30">
        <v>32476.470588235294</v>
      </c>
    </row>
    <row r="2558" spans="1:18" x14ac:dyDescent="0.3">
      <c r="A2558">
        <v>38.935490000000797</v>
      </c>
      <c r="B2558">
        <v>45.153799999999997</v>
      </c>
      <c r="C2558">
        <f t="shared" si="120"/>
        <v>45.161519999999996</v>
      </c>
      <c r="D2558">
        <v>0.70093939393939375</v>
      </c>
      <c r="E2558">
        <f t="shared" si="121"/>
        <v>3.8102453968195573</v>
      </c>
      <c r="I2558" s="24">
        <f t="shared" si="122"/>
        <v>0.57747110065982099</v>
      </c>
      <c r="N2558" s="30">
        <v>32471.705882352941</v>
      </c>
    </row>
    <row r="2559" spans="1:18" x14ac:dyDescent="0.3">
      <c r="A2559">
        <v>38.9507200000008</v>
      </c>
      <c r="B2559">
        <v>46.076900000000002</v>
      </c>
      <c r="C2559">
        <f t="shared" si="120"/>
        <v>46.069220000000001</v>
      </c>
      <c r="D2559">
        <v>0.70115151515151497</v>
      </c>
      <c r="E2559">
        <f t="shared" si="121"/>
        <v>3.8301450480469557</v>
      </c>
      <c r="I2559" s="24">
        <f t="shared" si="122"/>
        <v>0.59271808340233312</v>
      </c>
      <c r="N2559" s="30">
        <v>32466.941176470587</v>
      </c>
    </row>
    <row r="2560" spans="1:18" x14ac:dyDescent="0.3">
      <c r="A2560">
        <v>38.965950000000802</v>
      </c>
      <c r="B2560">
        <v>47.076900000000002</v>
      </c>
      <c r="C2560">
        <f t="shared" si="120"/>
        <v>46.892299999999999</v>
      </c>
      <c r="D2560">
        <v>0.7013636363636363</v>
      </c>
      <c r="E2560">
        <f t="shared" si="121"/>
        <v>3.8478534828688917</v>
      </c>
      <c r="I2560" s="24">
        <f t="shared" si="122"/>
        <v>0.60660420427479722</v>
      </c>
      <c r="N2560" s="30">
        <v>32462.176470588234</v>
      </c>
    </row>
    <row r="2561" spans="1:14" x14ac:dyDescent="0.3">
      <c r="A2561">
        <v>38.981180000000805</v>
      </c>
      <c r="B2561">
        <v>47.923099999999998</v>
      </c>
      <c r="C2561">
        <f t="shared" si="120"/>
        <v>47.646160000000002</v>
      </c>
      <c r="D2561">
        <v>0.70157575757575752</v>
      </c>
      <c r="E2561">
        <f t="shared" si="121"/>
        <v>3.8638020392348063</v>
      </c>
      <c r="I2561" s="24">
        <f t="shared" si="122"/>
        <v>0.61936996642102737</v>
      </c>
      <c r="N2561" s="30">
        <v>32457.411764705881</v>
      </c>
    </row>
    <row r="2562" spans="1:14" x14ac:dyDescent="0.3">
      <c r="A2562">
        <v>38.996410000000807</v>
      </c>
      <c r="B2562">
        <v>48.230800000000002</v>
      </c>
      <c r="C2562">
        <f t="shared" si="120"/>
        <v>48.407699999999998</v>
      </c>
      <c r="D2562">
        <v>0.70178787878787863</v>
      </c>
      <c r="E2562">
        <f t="shared" si="121"/>
        <v>3.8796588919780604</v>
      </c>
      <c r="I2562" s="24">
        <f t="shared" si="122"/>
        <v>0.63232761165302631</v>
      </c>
      <c r="N2562" s="30">
        <v>32452.647058823528</v>
      </c>
    </row>
    <row r="2563" spans="1:14" x14ac:dyDescent="0.3">
      <c r="A2563">
        <v>39.01164000000081</v>
      </c>
      <c r="B2563">
        <v>48.923099999999998</v>
      </c>
      <c r="C2563">
        <f t="shared" si="120"/>
        <v>49.123080000000002</v>
      </c>
      <c r="D2563" s="8">
        <v>0.70199999999999996</v>
      </c>
      <c r="E2563">
        <f t="shared" si="121"/>
        <v>3.8943289854561614</v>
      </c>
      <c r="I2563" s="24">
        <f t="shared" si="122"/>
        <v>0.64454224032664365</v>
      </c>
      <c r="N2563" s="30">
        <v>32447.882352941178</v>
      </c>
    </row>
    <row r="2564" spans="1:14" x14ac:dyDescent="0.3">
      <c r="A2564">
        <v>39.026870000000812</v>
      </c>
      <c r="B2564">
        <v>49.884599999999999</v>
      </c>
      <c r="C2564">
        <f t="shared" si="120"/>
        <v>49.638459999999995</v>
      </c>
      <c r="D2564">
        <v>0.70186153846153831</v>
      </c>
      <c r="E2564">
        <f t="shared" si="121"/>
        <v>3.9047659364869203</v>
      </c>
      <c r="I2564" s="24">
        <f t="shared" si="122"/>
        <v>0.65364506544917067</v>
      </c>
      <c r="N2564" s="30">
        <v>32443.117647058825</v>
      </c>
    </row>
    <row r="2565" spans="1:14" x14ac:dyDescent="0.3">
      <c r="A2565">
        <v>39.042100000000815</v>
      </c>
      <c r="B2565">
        <v>50.653799999999997</v>
      </c>
      <c r="C2565">
        <f t="shared" si="120"/>
        <v>50.046140000000001</v>
      </c>
      <c r="D2565">
        <v>0.70172307692307689</v>
      </c>
      <c r="E2565">
        <f t="shared" si="121"/>
        <v>3.9129453799099849</v>
      </c>
      <c r="I2565" s="24">
        <f t="shared" si="122"/>
        <v>0.66089694133299781</v>
      </c>
      <c r="N2565" s="30">
        <v>32438.352941176472</v>
      </c>
    </row>
    <row r="2566" spans="1:14" x14ac:dyDescent="0.3">
      <c r="A2566">
        <v>39.057330000000817</v>
      </c>
      <c r="B2566">
        <v>50.5</v>
      </c>
      <c r="C2566">
        <f t="shared" si="120"/>
        <v>50.338439999999999</v>
      </c>
      <c r="D2566">
        <v>0.70158461538461536</v>
      </c>
      <c r="E2566">
        <f t="shared" si="121"/>
        <v>3.9187689999540485</v>
      </c>
      <c r="I2566" s="24">
        <f t="shared" si="122"/>
        <v>0.66614701020958833</v>
      </c>
      <c r="N2566" s="30">
        <v>32433.588235294119</v>
      </c>
    </row>
    <row r="2567" spans="1:14" x14ac:dyDescent="0.3">
      <c r="A2567">
        <v>39.07256000000082</v>
      </c>
      <c r="B2567">
        <v>50.269199999999998</v>
      </c>
      <c r="C2567">
        <f t="shared" si="120"/>
        <v>50.44614</v>
      </c>
      <c r="D2567">
        <v>0.70144615384615372</v>
      </c>
      <c r="E2567">
        <f t="shared" si="121"/>
        <v>3.9209062324750485</v>
      </c>
      <c r="I2567" s="24">
        <f t="shared" si="122"/>
        <v>0.66816768186374398</v>
      </c>
      <c r="N2567" s="30">
        <v>32428.823529411766</v>
      </c>
    </row>
    <row r="2568" spans="1:14" x14ac:dyDescent="0.3">
      <c r="A2568">
        <v>39.087790000000822</v>
      </c>
      <c r="B2568">
        <v>50.384599999999999</v>
      </c>
      <c r="C2568">
        <f t="shared" si="120"/>
        <v>50.44614</v>
      </c>
      <c r="D2568">
        <v>0.70130769230769219</v>
      </c>
      <c r="E2568">
        <f t="shared" si="121"/>
        <v>3.9209062324750485</v>
      </c>
      <c r="I2568" s="24">
        <f t="shared" si="122"/>
        <v>0.66829960045838632</v>
      </c>
      <c r="N2568" s="30">
        <v>32424.058823529413</v>
      </c>
    </row>
    <row r="2569" spans="1:14" x14ac:dyDescent="0.3">
      <c r="A2569">
        <v>39.103020000000825</v>
      </c>
      <c r="B2569">
        <v>50.423099999999998</v>
      </c>
      <c r="C2569">
        <f t="shared" si="120"/>
        <v>50.523060000000001</v>
      </c>
      <c r="D2569">
        <v>0.70116923076923077</v>
      </c>
      <c r="E2569">
        <f t="shared" si="121"/>
        <v>3.9224298657192564</v>
      </c>
      <c r="I2569" s="24">
        <f t="shared" si="122"/>
        <v>0.66978216914977484</v>
      </c>
      <c r="N2569" s="30">
        <v>32419.294117647059</v>
      </c>
    </row>
    <row r="2570" spans="1:14" x14ac:dyDescent="0.3">
      <c r="A2570">
        <v>39.118250000000828</v>
      </c>
      <c r="B2570">
        <v>50.653799999999997</v>
      </c>
      <c r="C2570">
        <f t="shared" si="120"/>
        <v>50.746140000000004</v>
      </c>
      <c r="D2570">
        <v>0.70103076923076924</v>
      </c>
      <c r="E2570">
        <f t="shared" si="121"/>
        <v>3.9268355559159551</v>
      </c>
      <c r="I2570" s="24">
        <f t="shared" si="122"/>
        <v>0.67383595364973425</v>
      </c>
      <c r="N2570" s="30">
        <v>32414.529411764706</v>
      </c>
    </row>
    <row r="2571" spans="1:14" x14ac:dyDescent="0.3">
      <c r="A2571">
        <v>39.13348000000083</v>
      </c>
      <c r="B2571">
        <v>50.884599999999999</v>
      </c>
      <c r="C2571">
        <f t="shared" si="120"/>
        <v>51.099980000000002</v>
      </c>
      <c r="D2571">
        <v>0.70089230769230759</v>
      </c>
      <c r="E2571">
        <f t="shared" si="121"/>
        <v>3.9337841058201497</v>
      </c>
      <c r="I2571" s="24">
        <f t="shared" si="122"/>
        <v>0.6802018952312221</v>
      </c>
      <c r="N2571" s="30">
        <v>32409.764705882353</v>
      </c>
    </row>
    <row r="2572" spans="1:14" x14ac:dyDescent="0.3">
      <c r="A2572">
        <v>39.148710000000833</v>
      </c>
      <c r="B2572">
        <v>51.384599999999999</v>
      </c>
      <c r="C2572">
        <f t="shared" si="120"/>
        <v>51.530740000000002</v>
      </c>
      <c r="D2572">
        <v>0.70075384615384606</v>
      </c>
      <c r="E2572">
        <f t="shared" si="121"/>
        <v>3.942178522803681</v>
      </c>
      <c r="I2572" s="24">
        <f t="shared" si="122"/>
        <v>0.68794449056857288</v>
      </c>
      <c r="N2572" s="30">
        <v>32405</v>
      </c>
    </row>
    <row r="2573" spans="1:14" x14ac:dyDescent="0.3">
      <c r="A2573">
        <v>39.163940000000835</v>
      </c>
      <c r="B2573">
        <v>52.153799999999997</v>
      </c>
      <c r="C2573">
        <f t="shared" si="120"/>
        <v>51.992280000000008</v>
      </c>
      <c r="D2573">
        <v>0.70061538461538464</v>
      </c>
      <c r="E2573">
        <f t="shared" si="121"/>
        <v>3.951095246021461</v>
      </c>
      <c r="I2573" s="24">
        <f t="shared" si="122"/>
        <v>0.69625685459773701</v>
      </c>
      <c r="N2573" s="30">
        <v>32400.235294117647</v>
      </c>
    </row>
    <row r="2574" spans="1:14" x14ac:dyDescent="0.3">
      <c r="A2574">
        <v>39.179170000000838</v>
      </c>
      <c r="B2574">
        <v>52.576900000000002</v>
      </c>
      <c r="C2574">
        <f t="shared" si="120"/>
        <v>52.546119999999995</v>
      </c>
      <c r="D2574">
        <v>0.700476923076923</v>
      </c>
      <c r="E2574">
        <f t="shared" si="121"/>
        <v>3.961691260153676</v>
      </c>
      <c r="I2574" s="24">
        <f t="shared" si="122"/>
        <v>0.70623912472925376</v>
      </c>
      <c r="N2574" s="30">
        <v>32395.470588235294</v>
      </c>
    </row>
    <row r="2575" spans="1:14" x14ac:dyDescent="0.3">
      <c r="A2575">
        <v>39.19440000000084</v>
      </c>
      <c r="B2575">
        <v>52.961500000000001</v>
      </c>
      <c r="C2575">
        <f t="shared" si="120"/>
        <v>53.238440000000004</v>
      </c>
      <c r="D2575">
        <v>0.70033846153846147</v>
      </c>
      <c r="E2575">
        <f t="shared" si="121"/>
        <v>3.974780691820385</v>
      </c>
      <c r="I2575" s="24">
        <f t="shared" si="122"/>
        <v>0.71873480416928837</v>
      </c>
      <c r="N2575" s="30">
        <v>32390.705882352941</v>
      </c>
    </row>
    <row r="2576" spans="1:14" x14ac:dyDescent="0.3">
      <c r="A2576">
        <v>39.209630000000843</v>
      </c>
      <c r="B2576">
        <v>53.653799999999997</v>
      </c>
      <c r="C2576">
        <f t="shared" si="120"/>
        <v>54.046140000000001</v>
      </c>
      <c r="D2576">
        <v>0.70019999999999993</v>
      </c>
      <c r="E2576">
        <f t="shared" si="121"/>
        <v>3.9898381261788676</v>
      </c>
      <c r="I2576" s="24">
        <f t="shared" si="122"/>
        <v>0.73336113773357081</v>
      </c>
      <c r="N2576" s="30">
        <v>32385.941176470587</v>
      </c>
    </row>
    <row r="2577" spans="1:14" x14ac:dyDescent="0.3">
      <c r="A2577">
        <v>39.224860000000845</v>
      </c>
      <c r="B2577">
        <v>54.846200000000003</v>
      </c>
      <c r="C2577">
        <f t="shared" si="120"/>
        <v>55.138459999999995</v>
      </c>
      <c r="D2577">
        <v>0.7000615384615384</v>
      </c>
      <c r="E2577">
        <f t="shared" si="121"/>
        <v>4.0098474762973977</v>
      </c>
      <c r="I2577" s="24">
        <f t="shared" si="122"/>
        <v>0.75321025907422245</v>
      </c>
      <c r="N2577" s="30">
        <v>32381.176470588234</v>
      </c>
    </row>
    <row r="2578" spans="1:14" x14ac:dyDescent="0.3">
      <c r="A2578">
        <v>39.240090000000848</v>
      </c>
      <c r="B2578">
        <v>56.192300000000003</v>
      </c>
      <c r="C2578">
        <f t="shared" si="120"/>
        <v>56.5</v>
      </c>
      <c r="D2578">
        <v>0.69992307692307687</v>
      </c>
      <c r="E2578">
        <f t="shared" si="121"/>
        <v>4.0342406381523954</v>
      </c>
      <c r="I2578" s="24">
        <f t="shared" si="122"/>
        <v>0.77810251475776959</v>
      </c>
      <c r="N2578" s="30">
        <v>32376.411764705881</v>
      </c>
    </row>
    <row r="2579" spans="1:14" x14ac:dyDescent="0.3">
      <c r="A2579">
        <v>39.25532000000085</v>
      </c>
      <c r="B2579">
        <v>58.038499999999999</v>
      </c>
      <c r="C2579">
        <f t="shared" si="120"/>
        <v>58.084620000000008</v>
      </c>
      <c r="D2579">
        <v>0.69978461538461534</v>
      </c>
      <c r="E2579">
        <f t="shared" si="121"/>
        <v>4.0619009128075145</v>
      </c>
      <c r="I2579" s="24">
        <f t="shared" si="122"/>
        <v>0.8073041265303712</v>
      </c>
      <c r="N2579" s="30">
        <v>32371.647058823528</v>
      </c>
    </row>
    <row r="2580" spans="1:14" x14ac:dyDescent="0.3">
      <c r="A2580">
        <v>39.270550000000853</v>
      </c>
      <c r="B2580">
        <v>59.769199999999998</v>
      </c>
      <c r="C2580">
        <f t="shared" si="120"/>
        <v>59.723080000000003</v>
      </c>
      <c r="D2580">
        <v>0.69964615384615381</v>
      </c>
      <c r="E2580">
        <f t="shared" si="121"/>
        <v>4.0897185453531524</v>
      </c>
      <c r="I2580" s="24">
        <f t="shared" si="122"/>
        <v>0.83777631710943745</v>
      </c>
      <c r="N2580" s="30">
        <v>32366.882352941178</v>
      </c>
    </row>
    <row r="2581" spans="1:14" x14ac:dyDescent="0.3">
      <c r="A2581">
        <v>39.285780000000855</v>
      </c>
      <c r="B2581">
        <v>61.576900000000002</v>
      </c>
      <c r="C2581">
        <f t="shared" si="120"/>
        <v>61.184619999999995</v>
      </c>
      <c r="D2581">
        <v>0.69950769230769227</v>
      </c>
      <c r="E2581">
        <f t="shared" si="121"/>
        <v>4.113895850745795</v>
      </c>
      <c r="I2581" s="24">
        <f t="shared" si="122"/>
        <v>0.86521597354576019</v>
      </c>
      <c r="N2581" s="30">
        <v>32362.117647058825</v>
      </c>
    </row>
    <row r="2582" spans="1:14" x14ac:dyDescent="0.3">
      <c r="A2582">
        <v>39.301010000000858</v>
      </c>
      <c r="B2582">
        <v>63.038499999999999</v>
      </c>
      <c r="C2582">
        <f t="shared" si="120"/>
        <v>62.246159999999996</v>
      </c>
      <c r="D2582">
        <v>0.69936923076923074</v>
      </c>
      <c r="E2582">
        <f t="shared" si="121"/>
        <v>4.1310968466951232</v>
      </c>
      <c r="I2582" s="24">
        <f t="shared" si="122"/>
        <v>0.88533401917868815</v>
      </c>
      <c r="N2582" s="30">
        <v>32357.352941176472</v>
      </c>
    </row>
    <row r="2583" spans="1:14" x14ac:dyDescent="0.3">
      <c r="A2583">
        <v>39.31624000000086</v>
      </c>
      <c r="B2583">
        <v>63.5</v>
      </c>
      <c r="C2583">
        <f t="shared" si="120"/>
        <v>62.946159999999999</v>
      </c>
      <c r="D2583">
        <v>0.69923076923076921</v>
      </c>
      <c r="E2583">
        <f t="shared" si="121"/>
        <v>4.1422797578354507</v>
      </c>
      <c r="I2583" s="24">
        <f t="shared" si="122"/>
        <v>0.8987259214122576</v>
      </c>
      <c r="N2583" s="30">
        <v>32352.588235294119</v>
      </c>
    </row>
    <row r="2584" spans="1:14" x14ac:dyDescent="0.3">
      <c r="A2584">
        <v>39.331470000000863</v>
      </c>
      <c r="B2584">
        <v>63.346200000000003</v>
      </c>
      <c r="C2584">
        <f t="shared" si="120"/>
        <v>63.446160000000006</v>
      </c>
      <c r="D2584">
        <v>0.69909230769230768</v>
      </c>
      <c r="E2584">
        <f t="shared" si="121"/>
        <v>4.1501916722344196</v>
      </c>
      <c r="I2584" s="24">
        <f t="shared" si="122"/>
        <v>0.90837551972639152</v>
      </c>
      <c r="N2584" s="30">
        <v>32347.823529411766</v>
      </c>
    </row>
    <row r="2585" spans="1:14" x14ac:dyDescent="0.3">
      <c r="A2585">
        <v>39.346700000000865</v>
      </c>
      <c r="B2585">
        <v>63.269199999999998</v>
      </c>
      <c r="C2585">
        <f t="shared" si="120"/>
        <v>63.807699999999997</v>
      </c>
      <c r="D2585">
        <v>0.69895384615384615</v>
      </c>
      <c r="E2585">
        <f t="shared" si="121"/>
        <v>4.1558738727235065</v>
      </c>
      <c r="I2585" s="24">
        <f t="shared" si="122"/>
        <v>0.91542067977180874</v>
      </c>
      <c r="N2585" s="30">
        <v>32343.058823529413</v>
      </c>
    </row>
    <row r="2586" spans="1:14" x14ac:dyDescent="0.3">
      <c r="A2586">
        <v>39.361930000000868</v>
      </c>
      <c r="B2586">
        <v>64.076899999999995</v>
      </c>
      <c r="C2586">
        <f t="shared" si="120"/>
        <v>64.169240000000002</v>
      </c>
      <c r="D2586">
        <v>0.69881538461538462</v>
      </c>
      <c r="E2586">
        <f t="shared" si="121"/>
        <v>4.1615239681516938</v>
      </c>
      <c r="I2586" s="24">
        <f t="shared" si="122"/>
        <v>0.92248128019393916</v>
      </c>
      <c r="N2586" s="30">
        <v>32338.294117647059</v>
      </c>
    </row>
    <row r="2587" spans="1:14" x14ac:dyDescent="0.3">
      <c r="A2587">
        <v>39.37716000000087</v>
      </c>
      <c r="B2587">
        <v>64.846199999999996</v>
      </c>
      <c r="C2587">
        <f t="shared" si="120"/>
        <v>64.54616</v>
      </c>
      <c r="D2587">
        <v>0.69867692307692297</v>
      </c>
      <c r="E2587">
        <f t="shared" si="121"/>
        <v>4.1673806267547278</v>
      </c>
      <c r="I2587" s="24">
        <f t="shared" si="122"/>
        <v>0.92985079862676223</v>
      </c>
      <c r="N2587" s="30">
        <v>32333.529411764706</v>
      </c>
    </row>
    <row r="2588" spans="1:14" x14ac:dyDescent="0.3">
      <c r="A2588">
        <v>39.392390000000873</v>
      </c>
      <c r="B2588">
        <v>65.307699999999997</v>
      </c>
      <c r="C2588">
        <f t="shared" si="120"/>
        <v>64.892319999999998</v>
      </c>
      <c r="D2588">
        <v>0.69853846153846155</v>
      </c>
      <c r="E2588">
        <f t="shared" si="121"/>
        <v>4.1727292808064123</v>
      </c>
      <c r="I2588" s="24">
        <f t="shared" si="122"/>
        <v>0.93664864662279335</v>
      </c>
      <c r="N2588" s="30">
        <v>32328.764705882353</v>
      </c>
    </row>
    <row r="2589" spans="1:14" x14ac:dyDescent="0.3">
      <c r="A2589">
        <v>39.407620000000875</v>
      </c>
      <c r="B2589">
        <v>65.230800000000002</v>
      </c>
      <c r="C2589">
        <f t="shared" si="120"/>
        <v>64.969239999999999</v>
      </c>
      <c r="D2589">
        <v>0.69840000000000002</v>
      </c>
      <c r="E2589">
        <f t="shared" si="121"/>
        <v>4.1739139271173871</v>
      </c>
      <c r="I2589" s="24">
        <f t="shared" si="122"/>
        <v>0.93830578260429587</v>
      </c>
      <c r="J2589">
        <v>1988</v>
      </c>
      <c r="K2589">
        <f>AVERAGE(I2589:I2673)</f>
        <v>0.79895615330901004</v>
      </c>
      <c r="L2589">
        <f>A2673-A2589</f>
        <v>1.2793200000002116</v>
      </c>
      <c r="M2589">
        <f>K2589*L2589</f>
        <v>1.0221205860514517</v>
      </c>
      <c r="N2589" s="30">
        <v>32324</v>
      </c>
    </row>
    <row r="2590" spans="1:14" x14ac:dyDescent="0.3">
      <c r="A2590">
        <v>39.422850000000878</v>
      </c>
      <c r="B2590">
        <v>65</v>
      </c>
      <c r="C2590">
        <f t="shared" si="120"/>
        <v>64.930759999999992</v>
      </c>
      <c r="D2590">
        <v>0.69826153846153838</v>
      </c>
      <c r="E2590">
        <f t="shared" si="121"/>
        <v>4.1733214713648765</v>
      </c>
      <c r="I2590" s="24">
        <f t="shared" si="122"/>
        <v>0.93775552410877305</v>
      </c>
      <c r="N2590" s="30">
        <v>32322.351351351354</v>
      </c>
    </row>
    <row r="2591" spans="1:14" x14ac:dyDescent="0.3">
      <c r="A2591">
        <v>39.43808000000088</v>
      </c>
      <c r="B2591">
        <v>64.461500000000001</v>
      </c>
      <c r="C2591">
        <f t="shared" si="120"/>
        <v>64.823059999999998</v>
      </c>
      <c r="D2591">
        <v>0.69812307692307685</v>
      </c>
      <c r="E2591">
        <f t="shared" si="121"/>
        <v>4.1716614042511146</v>
      </c>
      <c r="I2591" s="24">
        <f t="shared" si="122"/>
        <v>0.93588100517552408</v>
      </c>
      <c r="N2591" s="30">
        <v>32320.702702702703</v>
      </c>
    </row>
    <row r="2592" spans="1:14" x14ac:dyDescent="0.3">
      <c r="A2592">
        <v>39.453310000000883</v>
      </c>
      <c r="B2592">
        <v>64.653800000000004</v>
      </c>
      <c r="C2592">
        <f t="shared" si="120"/>
        <v>64.738439999999997</v>
      </c>
      <c r="D2592">
        <v>0.69798461538461543</v>
      </c>
      <c r="E2592">
        <f t="shared" si="121"/>
        <v>4.1703551518222337</v>
      </c>
      <c r="I2592" s="24">
        <f t="shared" si="122"/>
        <v>0.93444817474446962</v>
      </c>
      <c r="N2592" s="30">
        <v>32319.054054054057</v>
      </c>
    </row>
    <row r="2593" spans="1:14" x14ac:dyDescent="0.3">
      <c r="A2593">
        <v>39.468540000000885</v>
      </c>
      <c r="B2593">
        <v>64.769199999999998</v>
      </c>
      <c r="C2593">
        <f t="shared" si="120"/>
        <v>64.730739999999997</v>
      </c>
      <c r="D2593">
        <v>0.69784615384615378</v>
      </c>
      <c r="E2593">
        <f t="shared" si="121"/>
        <v>4.1702362045946524</v>
      </c>
      <c r="I2593" s="24">
        <f t="shared" si="122"/>
        <v>0.93448631196940313</v>
      </c>
      <c r="N2593" s="30">
        <v>32317.405405405407</v>
      </c>
    </row>
    <row r="2594" spans="1:14" x14ac:dyDescent="0.3">
      <c r="A2594">
        <v>39.483770000000888</v>
      </c>
      <c r="B2594">
        <v>64.807699999999997</v>
      </c>
      <c r="C2594">
        <f t="shared" si="120"/>
        <v>64.76151999999999</v>
      </c>
      <c r="D2594">
        <v>0.69770769230769225</v>
      </c>
      <c r="E2594">
        <f t="shared" si="121"/>
        <v>4.170711599812555</v>
      </c>
      <c r="I2594" s="24">
        <f t="shared" si="122"/>
        <v>0.93526060775152275</v>
      </c>
      <c r="N2594" s="30">
        <v>32315.756756756757</v>
      </c>
    </row>
    <row r="2595" spans="1:14" x14ac:dyDescent="0.3">
      <c r="A2595">
        <v>39.499000000000891</v>
      </c>
      <c r="B2595">
        <v>64.961500000000001</v>
      </c>
      <c r="C2595">
        <f t="shared" si="120"/>
        <v>64.538460000000001</v>
      </c>
      <c r="D2595">
        <v>0.69756923076923072</v>
      </c>
      <c r="E2595">
        <f t="shared" si="121"/>
        <v>4.1672613251677673</v>
      </c>
      <c r="I2595" s="24">
        <f t="shared" si="122"/>
        <v>0.93118015285823685</v>
      </c>
      <c r="N2595" s="30">
        <v>32314.10810810811</v>
      </c>
    </row>
    <row r="2596" spans="1:14" x14ac:dyDescent="0.3">
      <c r="A2596">
        <v>39.514230000000893</v>
      </c>
      <c r="B2596">
        <v>64.615399999999994</v>
      </c>
      <c r="C2596">
        <f t="shared" si="120"/>
        <v>64.038460000000001</v>
      </c>
      <c r="D2596">
        <v>0.6974307692307693</v>
      </c>
      <c r="E2596">
        <f t="shared" si="121"/>
        <v>4.1594838403690382</v>
      </c>
      <c r="I2596" s="24">
        <f t="shared" si="122"/>
        <v>0.9218178667384197</v>
      </c>
      <c r="N2596" s="30">
        <v>32312.45945945946</v>
      </c>
    </row>
    <row r="2597" spans="1:14" x14ac:dyDescent="0.3">
      <c r="A2597">
        <v>39.529460000000896</v>
      </c>
      <c r="B2597">
        <v>63.538499999999999</v>
      </c>
      <c r="C2597">
        <f t="shared" si="120"/>
        <v>63.176919999999996</v>
      </c>
      <c r="D2597">
        <v>0.69729230769230766</v>
      </c>
      <c r="E2597">
        <f t="shared" si="121"/>
        <v>4.1459390445813336</v>
      </c>
      <c r="I2597" s="24">
        <f t="shared" si="122"/>
        <v>0.90560394862129134</v>
      </c>
      <c r="N2597" s="30">
        <v>32310.810810810814</v>
      </c>
    </row>
    <row r="2598" spans="1:14" x14ac:dyDescent="0.3">
      <c r="A2598">
        <v>39.544690000000898</v>
      </c>
      <c r="B2598">
        <v>62.269199999999998</v>
      </c>
      <c r="C2598">
        <f t="shared" si="120"/>
        <v>61.876919999999998</v>
      </c>
      <c r="D2598">
        <v>0.69715384615384612</v>
      </c>
      <c r="E2598">
        <f t="shared" si="121"/>
        <v>4.1251472507104552</v>
      </c>
      <c r="I2598" s="24">
        <f t="shared" si="122"/>
        <v>0.88117451097955091</v>
      </c>
      <c r="N2598" s="30">
        <v>32309.162162162163</v>
      </c>
    </row>
    <row r="2599" spans="1:14" x14ac:dyDescent="0.3">
      <c r="A2599">
        <v>39.559920000000901</v>
      </c>
      <c r="B2599">
        <v>60.5</v>
      </c>
      <c r="C2599">
        <f t="shared" si="120"/>
        <v>60.307680000000005</v>
      </c>
      <c r="D2599">
        <v>0.69701538461538459</v>
      </c>
      <c r="E2599">
        <f t="shared" si="121"/>
        <v>4.0994594588072175</v>
      </c>
      <c r="I2599" s="24">
        <f t="shared" si="122"/>
        <v>0.85186079889421518</v>
      </c>
      <c r="N2599" s="30">
        <v>32307.513513513513</v>
      </c>
    </row>
    <row r="2600" spans="1:14" x14ac:dyDescent="0.3">
      <c r="A2600">
        <v>39.575150000000903</v>
      </c>
      <c r="B2600">
        <v>58.461500000000001</v>
      </c>
      <c r="C2600">
        <f t="shared" si="120"/>
        <v>58.676900000000003</v>
      </c>
      <c r="D2600">
        <v>0.69687692307692306</v>
      </c>
      <c r="E2600">
        <f t="shared" si="121"/>
        <v>4.0720461229767633</v>
      </c>
      <c r="I2600" s="24">
        <f t="shared" si="122"/>
        <v>0.82164186561073316</v>
      </c>
      <c r="N2600" s="30">
        <v>32305.864864864867</v>
      </c>
    </row>
    <row r="2601" spans="1:14" x14ac:dyDescent="0.3">
      <c r="A2601">
        <v>39.590380000000906</v>
      </c>
      <c r="B2601">
        <v>56.769199999999998</v>
      </c>
      <c r="C2601">
        <f t="shared" si="120"/>
        <v>57.146140000000003</v>
      </c>
      <c r="D2601">
        <v>0.69673846153846153</v>
      </c>
      <c r="E2601">
        <f t="shared" si="121"/>
        <v>4.0456118464024806</v>
      </c>
      <c r="I2601" s="24">
        <f t="shared" si="122"/>
        <v>0.79352352947767058</v>
      </c>
      <c r="N2601" s="30">
        <v>32304.216216216217</v>
      </c>
    </row>
    <row r="2602" spans="1:14" x14ac:dyDescent="0.3">
      <c r="A2602">
        <v>39.605610000000908</v>
      </c>
      <c r="B2602">
        <v>55.384599999999999</v>
      </c>
      <c r="C2602">
        <f t="shared" si="120"/>
        <v>55.876899999999999</v>
      </c>
      <c r="D2602">
        <v>0.6966</v>
      </c>
      <c r="E2602">
        <f t="shared" si="121"/>
        <v>4.0231510568298665</v>
      </c>
      <c r="I2602" s="24">
        <f t="shared" si="122"/>
        <v>0.77041234628431332</v>
      </c>
      <c r="N2602" s="30">
        <v>32302.56756756757</v>
      </c>
    </row>
    <row r="2603" spans="1:14" x14ac:dyDescent="0.3">
      <c r="A2603">
        <v>39.620840000000911</v>
      </c>
      <c r="B2603">
        <v>54.615400000000001</v>
      </c>
      <c r="C2603">
        <f t="shared" si="120"/>
        <v>55.084600000000002</v>
      </c>
      <c r="D2603">
        <v>0.69646153846153847</v>
      </c>
      <c r="E2603">
        <f t="shared" si="121"/>
        <v>4.0088701852607169</v>
      </c>
      <c r="I2603" s="24">
        <f t="shared" si="122"/>
        <v>0.75612399320626411</v>
      </c>
      <c r="N2603" s="30">
        <v>32300.91891891892</v>
      </c>
    </row>
    <row r="2604" spans="1:14" x14ac:dyDescent="0.3">
      <c r="A2604">
        <v>39.636070000000913</v>
      </c>
      <c r="B2604">
        <v>54.153799999999997</v>
      </c>
      <c r="C2604">
        <f t="shared" si="120"/>
        <v>54.784599999999998</v>
      </c>
      <c r="D2604">
        <v>0.69632307692307693</v>
      </c>
      <c r="E2604">
        <f t="shared" si="121"/>
        <v>4.0034091325621066</v>
      </c>
      <c r="I2604" s="24">
        <f t="shared" si="122"/>
        <v>0.75082259529281092</v>
      </c>
      <c r="N2604" s="30">
        <v>32299.27027027027</v>
      </c>
    </row>
    <row r="2605" spans="1:14" x14ac:dyDescent="0.3">
      <c r="A2605">
        <v>39.651300000000916</v>
      </c>
      <c r="B2605">
        <v>54.5</v>
      </c>
      <c r="C2605">
        <f t="shared" si="120"/>
        <v>54.815380000000005</v>
      </c>
      <c r="D2605">
        <v>0.6961846153846154</v>
      </c>
      <c r="E2605">
        <f t="shared" si="121"/>
        <v>4.0039708115114863</v>
      </c>
      <c r="I2605" s="24">
        <f t="shared" si="122"/>
        <v>0.7515309389571696</v>
      </c>
      <c r="N2605" s="30">
        <v>32297.621621621623</v>
      </c>
    </row>
    <row r="2606" spans="1:14" x14ac:dyDescent="0.3">
      <c r="A2606">
        <v>39.666530000000918</v>
      </c>
      <c r="B2606">
        <v>55.269199999999998</v>
      </c>
      <c r="C2606">
        <f t="shared" si="120"/>
        <v>55.030760000000001</v>
      </c>
      <c r="D2606">
        <v>0.69604615384615376</v>
      </c>
      <c r="E2606">
        <f t="shared" si="121"/>
        <v>4.0078923016250387</v>
      </c>
      <c r="I2606" s="24">
        <f t="shared" si="122"/>
        <v>0.7555957221388192</v>
      </c>
      <c r="N2606" s="30">
        <v>32295.972972972973</v>
      </c>
    </row>
    <row r="2607" spans="1:14" x14ac:dyDescent="0.3">
      <c r="A2607">
        <v>39.681760000000921</v>
      </c>
      <c r="B2607">
        <v>55.538499999999999</v>
      </c>
      <c r="C2607">
        <f t="shared" si="120"/>
        <v>55.338459999999998</v>
      </c>
      <c r="D2607">
        <v>0.69590769230769234</v>
      </c>
      <c r="E2607">
        <f t="shared" si="121"/>
        <v>4.0134681459990409</v>
      </c>
      <c r="I2607" s="24">
        <f t="shared" si="122"/>
        <v>0.76134933381770231</v>
      </c>
      <c r="N2607" s="30">
        <v>32294.324324324327</v>
      </c>
    </row>
    <row r="2608" spans="1:14" x14ac:dyDescent="0.3">
      <c r="A2608">
        <v>39.696990000000923</v>
      </c>
      <c r="B2608">
        <v>55.692300000000003</v>
      </c>
      <c r="C2608">
        <f t="shared" si="120"/>
        <v>55.438459999999999</v>
      </c>
      <c r="D2608">
        <v>0.69576923076923081</v>
      </c>
      <c r="E2608">
        <f t="shared" si="121"/>
        <v>4.0152735767180605</v>
      </c>
      <c r="I2608" s="24">
        <f t="shared" si="122"/>
        <v>0.76332441016967578</v>
      </c>
      <c r="N2608" s="30">
        <v>32292.675675675677</v>
      </c>
    </row>
    <row r="2609" spans="1:14" x14ac:dyDescent="0.3">
      <c r="A2609">
        <v>39.712220000000926</v>
      </c>
      <c r="B2609">
        <v>55.692300000000003</v>
      </c>
      <c r="C2609">
        <f t="shared" si="120"/>
        <v>55.161540000000002</v>
      </c>
      <c r="D2609">
        <v>0.69563076923076927</v>
      </c>
      <c r="E2609">
        <f t="shared" si="121"/>
        <v>4.0102659713171054</v>
      </c>
      <c r="I2609" s="24">
        <f t="shared" si="122"/>
        <v>0.7584281495099443</v>
      </c>
      <c r="N2609" s="30">
        <v>32291.02702702703</v>
      </c>
    </row>
    <row r="2610" spans="1:14" x14ac:dyDescent="0.3">
      <c r="A2610">
        <v>39.727450000000928</v>
      </c>
      <c r="B2610">
        <v>55</v>
      </c>
      <c r="C2610">
        <f t="shared" si="120"/>
        <v>54.776920000000004</v>
      </c>
      <c r="D2610">
        <v>0.69549230769230763</v>
      </c>
      <c r="E2610">
        <f t="shared" si="121"/>
        <v>4.0032689373546546</v>
      </c>
      <c r="I2610" s="24">
        <f t="shared" si="122"/>
        <v>0.75157985249493442</v>
      </c>
      <c r="N2610" s="30">
        <v>32289.37837837838</v>
      </c>
    </row>
    <row r="2611" spans="1:14" x14ac:dyDescent="0.3">
      <c r="A2611">
        <v>39.742680000000931</v>
      </c>
      <c r="B2611">
        <v>53.884599999999999</v>
      </c>
      <c r="C2611">
        <f t="shared" si="120"/>
        <v>54.31537999999999</v>
      </c>
      <c r="D2611">
        <v>0.69535384615384621</v>
      </c>
      <c r="E2611">
        <f t="shared" si="121"/>
        <v>3.9948074280869608</v>
      </c>
      <c r="I2611" s="24">
        <f t="shared" si="122"/>
        <v>0.74334982198383215</v>
      </c>
      <c r="N2611" s="30">
        <v>32287.72972972973</v>
      </c>
    </row>
    <row r="2612" spans="1:14" x14ac:dyDescent="0.3">
      <c r="A2612">
        <v>39.757910000000933</v>
      </c>
      <c r="B2612">
        <v>53.615400000000001</v>
      </c>
      <c r="C2612">
        <f t="shared" si="120"/>
        <v>53.830759999999998</v>
      </c>
      <c r="D2612">
        <v>0.69521538461538468</v>
      </c>
      <c r="E2612">
        <f t="shared" si="121"/>
        <v>3.9858450509944712</v>
      </c>
      <c r="I2612" s="24">
        <f t="shared" si="122"/>
        <v>0.73472225547679804</v>
      </c>
      <c r="N2612" s="30">
        <v>32286.081081081084</v>
      </c>
    </row>
    <row r="2613" spans="1:14" x14ac:dyDescent="0.3">
      <c r="A2613">
        <v>39.773140000000936</v>
      </c>
      <c r="B2613">
        <v>53.384599999999999</v>
      </c>
      <c r="C2613">
        <f t="shared" si="120"/>
        <v>53.5</v>
      </c>
      <c r="D2613">
        <v>0.69507692307692304</v>
      </c>
      <c r="E2613">
        <f t="shared" si="121"/>
        <v>3.9796816539019608</v>
      </c>
      <c r="I2613" s="24">
        <f t="shared" si="122"/>
        <v>0.72889264586204416</v>
      </c>
      <c r="N2613" s="30">
        <v>32284.432432432433</v>
      </c>
    </row>
    <row r="2614" spans="1:14" x14ac:dyDescent="0.3">
      <c r="A2614">
        <v>39.788370000000938</v>
      </c>
      <c r="B2614">
        <v>53.269199999999998</v>
      </c>
      <c r="C2614">
        <f t="shared" si="120"/>
        <v>53.323080000000004</v>
      </c>
      <c r="D2614">
        <v>0.6949384615384615</v>
      </c>
      <c r="E2614">
        <f t="shared" si="121"/>
        <v>3.976369258083317</v>
      </c>
      <c r="I2614" s="24">
        <f t="shared" si="122"/>
        <v>0.72584567257896182</v>
      </c>
      <c r="N2614" s="30">
        <v>32282.783783783787</v>
      </c>
    </row>
    <row r="2615" spans="1:14" x14ac:dyDescent="0.3">
      <c r="A2615">
        <v>39.803600000000941</v>
      </c>
      <c r="B2615">
        <v>53.346200000000003</v>
      </c>
      <c r="C2615">
        <f t="shared" si="120"/>
        <v>53.130759999999995</v>
      </c>
      <c r="D2615">
        <v>0.69480000000000008</v>
      </c>
      <c r="E2615">
        <f t="shared" si="121"/>
        <v>3.9727560448965864</v>
      </c>
      <c r="I2615" s="24">
        <f t="shared" si="122"/>
        <v>0.72252346568911818</v>
      </c>
      <c r="N2615" s="30">
        <v>32281.135135135137</v>
      </c>
    </row>
    <row r="2616" spans="1:14" x14ac:dyDescent="0.3">
      <c r="A2616">
        <v>39.818830000000943</v>
      </c>
      <c r="B2616">
        <v>53</v>
      </c>
      <c r="C2616">
        <f t="shared" si="120"/>
        <v>52.930759999999999</v>
      </c>
      <c r="D2616">
        <v>0.69466153846153844</v>
      </c>
      <c r="E2616">
        <f t="shared" si="121"/>
        <v>3.9689846443536254</v>
      </c>
      <c r="I2616" s="24">
        <f t="shared" si="122"/>
        <v>0.71906578518456321</v>
      </c>
      <c r="N2616" s="30">
        <v>32279.486486486487</v>
      </c>
    </row>
    <row r="2617" spans="1:14" x14ac:dyDescent="0.3">
      <c r="A2617">
        <v>39.834060000000946</v>
      </c>
      <c r="B2617">
        <v>52.653799999999997</v>
      </c>
      <c r="C2617">
        <f t="shared" si="120"/>
        <v>52.823080000000004</v>
      </c>
      <c r="D2617">
        <v>0.69452307692307691</v>
      </c>
      <c r="E2617">
        <f t="shared" si="121"/>
        <v>3.9669482164146919</v>
      </c>
      <c r="I2617" s="24">
        <f t="shared" si="122"/>
        <v>0.71727142924041609</v>
      </c>
      <c r="N2617" s="30">
        <v>32277.83783783784</v>
      </c>
    </row>
    <row r="2618" spans="1:14" x14ac:dyDescent="0.3">
      <c r="A2618">
        <v>39.849290000000948</v>
      </c>
      <c r="B2618">
        <v>52.384599999999999</v>
      </c>
      <c r="C2618">
        <f t="shared" ref="C2618:C2681" si="123">AVERAGE(B2616:B2620)</f>
        <v>52.815380000000005</v>
      </c>
      <c r="D2618">
        <v>0.69438461538461538</v>
      </c>
      <c r="E2618">
        <f t="shared" ref="E2618:E2681" si="124">LN(C2618)</f>
        <v>3.9668024361749263</v>
      </c>
      <c r="I2618" s="24">
        <f t="shared" ref="I2618:I2681" si="125">(0.0026*(EXP(1.3248*E2618)))/D2618</f>
        <v>0.71727591381837186</v>
      </c>
      <c r="N2618" s="30">
        <v>32276.18918918919</v>
      </c>
    </row>
    <row r="2619" spans="1:14" x14ac:dyDescent="0.3">
      <c r="A2619">
        <v>39.864520000000951</v>
      </c>
      <c r="B2619">
        <v>52.730800000000002</v>
      </c>
      <c r="C2619">
        <f t="shared" si="123"/>
        <v>53.061540000000001</v>
      </c>
      <c r="D2619">
        <v>0.69424615384615385</v>
      </c>
      <c r="E2619">
        <f t="shared" si="124"/>
        <v>3.9714523720351145</v>
      </c>
      <c r="I2619" s="24">
        <f t="shared" si="125"/>
        <v>0.72185207838747401</v>
      </c>
      <c r="N2619" s="30">
        <v>32274.540540540544</v>
      </c>
    </row>
    <row r="2620" spans="1:14" x14ac:dyDescent="0.3">
      <c r="A2620">
        <v>39.879750000000953</v>
      </c>
      <c r="B2620">
        <v>53.307699999999997</v>
      </c>
      <c r="C2620">
        <f t="shared" si="123"/>
        <v>53.584619999999994</v>
      </c>
      <c r="D2620">
        <v>0.69410769230769231</v>
      </c>
      <c r="E2620">
        <f t="shared" si="124"/>
        <v>3.9812620866030044</v>
      </c>
      <c r="I2620" s="24">
        <f t="shared" si="125"/>
        <v>0.73144030558178152</v>
      </c>
      <c r="N2620" s="30">
        <v>32272.891891891893</v>
      </c>
    </row>
    <row r="2621" spans="1:14" x14ac:dyDescent="0.3">
      <c r="A2621">
        <v>39.894980000000956</v>
      </c>
      <c r="B2621">
        <v>54.230800000000002</v>
      </c>
      <c r="C2621">
        <f t="shared" si="123"/>
        <v>54.315399999999997</v>
      </c>
      <c r="D2621">
        <v>0.69396923076923078</v>
      </c>
      <c r="E2621">
        <f t="shared" si="124"/>
        <v>3.9948077963067234</v>
      </c>
      <c r="I2621" s="24">
        <f t="shared" si="125"/>
        <v>0.74483332543421388</v>
      </c>
      <c r="N2621" s="30">
        <v>32271.243243243243</v>
      </c>
    </row>
    <row r="2622" spans="1:14" x14ac:dyDescent="0.3">
      <c r="A2622">
        <v>39.910210000000959</v>
      </c>
      <c r="B2622">
        <v>55.269199999999998</v>
      </c>
      <c r="C2622">
        <f t="shared" si="123"/>
        <v>55.084620000000008</v>
      </c>
      <c r="D2622">
        <v>0.69383076923076925</v>
      </c>
      <c r="E2622">
        <f t="shared" si="124"/>
        <v>4.0088705483385345</v>
      </c>
      <c r="I2622" s="24">
        <f t="shared" si="125"/>
        <v>0.75899132213887643</v>
      </c>
      <c r="N2622" s="30">
        <v>32269.594594594597</v>
      </c>
    </row>
    <row r="2623" spans="1:14" x14ac:dyDescent="0.3">
      <c r="A2623">
        <v>39.925440000000961</v>
      </c>
      <c r="B2623">
        <v>56.038499999999999</v>
      </c>
      <c r="C2623">
        <f t="shared" si="123"/>
        <v>55.869240000000005</v>
      </c>
      <c r="D2623">
        <v>0.69369230769230772</v>
      </c>
      <c r="E2623">
        <f t="shared" si="124"/>
        <v>4.0230139603715553</v>
      </c>
      <c r="I2623" s="24">
        <f t="shared" si="125"/>
        <v>0.77350111939237121</v>
      </c>
      <c r="N2623" s="30">
        <v>32267.945945945947</v>
      </c>
    </row>
    <row r="2624" spans="1:14" x14ac:dyDescent="0.3">
      <c r="A2624">
        <v>39.940670000000964</v>
      </c>
      <c r="B2624">
        <v>56.576900000000002</v>
      </c>
      <c r="C2624">
        <f t="shared" si="123"/>
        <v>56.5</v>
      </c>
      <c r="D2624">
        <v>0.69355384615384619</v>
      </c>
      <c r="E2624">
        <f t="shared" si="124"/>
        <v>4.0342406381523954</v>
      </c>
      <c r="I2624" s="24">
        <f t="shared" si="125"/>
        <v>0.78524819566790272</v>
      </c>
      <c r="N2624" s="30">
        <v>32266.2972972973</v>
      </c>
    </row>
    <row r="2625" spans="1:14" x14ac:dyDescent="0.3">
      <c r="A2625">
        <v>39.955900000000966</v>
      </c>
      <c r="B2625">
        <v>57.230800000000002</v>
      </c>
      <c r="C2625">
        <f t="shared" si="123"/>
        <v>56.846160000000012</v>
      </c>
      <c r="D2625">
        <v>0.69341538461538466</v>
      </c>
      <c r="E2625">
        <f t="shared" si="124"/>
        <v>4.0403486717410573</v>
      </c>
      <c r="I2625" s="24">
        <f t="shared" si="125"/>
        <v>0.79178621443826613</v>
      </c>
      <c r="N2625" s="30">
        <v>32264.64864864865</v>
      </c>
    </row>
    <row r="2626" spans="1:14" x14ac:dyDescent="0.3">
      <c r="A2626">
        <v>39.971130000000969</v>
      </c>
      <c r="B2626">
        <v>57.384599999999999</v>
      </c>
      <c r="C2626">
        <f t="shared" si="123"/>
        <v>56.884620000000005</v>
      </c>
      <c r="D2626">
        <v>0.69327692307692312</v>
      </c>
      <c r="E2626">
        <f t="shared" si="124"/>
        <v>4.0410250058252171</v>
      </c>
      <c r="I2626" s="24">
        <f t="shared" si="125"/>
        <v>0.79265425627801978</v>
      </c>
      <c r="N2626" s="30">
        <v>32263</v>
      </c>
    </row>
    <row r="2627" spans="1:14" x14ac:dyDescent="0.3">
      <c r="A2627">
        <v>39.986360000000971</v>
      </c>
      <c r="B2627">
        <v>57</v>
      </c>
      <c r="C2627">
        <f t="shared" si="123"/>
        <v>56.776940000000003</v>
      </c>
      <c r="D2627">
        <v>0.69313846153846159</v>
      </c>
      <c r="E2627">
        <f t="shared" si="124"/>
        <v>4.0391302573770185</v>
      </c>
      <c r="I2627" s="24">
        <f t="shared" si="125"/>
        <v>0.79082500411046264</v>
      </c>
      <c r="N2627" s="30">
        <v>32261.351351351354</v>
      </c>
    </row>
    <row r="2628" spans="1:14" x14ac:dyDescent="0.3">
      <c r="A2628">
        <v>40.001590000000974</v>
      </c>
      <c r="B2628">
        <v>56.230800000000002</v>
      </c>
      <c r="C2628">
        <f t="shared" si="123"/>
        <v>56.492320000000007</v>
      </c>
      <c r="D2628" s="8">
        <v>0.69300000000000017</v>
      </c>
      <c r="E2628">
        <f t="shared" si="124"/>
        <v>4.0341046997096441</v>
      </c>
      <c r="I2628" s="24">
        <f t="shared" si="125"/>
        <v>0.78573425004844377</v>
      </c>
      <c r="N2628" s="30">
        <v>32259.702702702703</v>
      </c>
    </row>
    <row r="2629" spans="1:14" x14ac:dyDescent="0.3">
      <c r="A2629">
        <v>40.016820000000976</v>
      </c>
      <c r="B2629">
        <v>56.038499999999999</v>
      </c>
      <c r="C2629">
        <f t="shared" si="123"/>
        <v>56.184640000000002</v>
      </c>
      <c r="D2629">
        <v>0.6930909090909092</v>
      </c>
      <c r="E2629">
        <f t="shared" si="124"/>
        <v>4.0286434099352268</v>
      </c>
      <c r="I2629" s="24">
        <f t="shared" si="125"/>
        <v>0.77996756926673538</v>
      </c>
      <c r="N2629" s="30">
        <v>32258.054054054057</v>
      </c>
    </row>
    <row r="2630" spans="1:14" x14ac:dyDescent="0.3">
      <c r="A2630">
        <v>40.032050000000979</v>
      </c>
      <c r="B2630">
        <v>55.807699999999997</v>
      </c>
      <c r="C2630">
        <f t="shared" si="123"/>
        <v>55.823099999999997</v>
      </c>
      <c r="D2630">
        <v>0.69318181818181834</v>
      </c>
      <c r="E2630">
        <f t="shared" si="124"/>
        <v>4.0221877622164337</v>
      </c>
      <c r="I2630" s="24">
        <f t="shared" si="125"/>
        <v>0.77322396600115428</v>
      </c>
      <c r="N2630" s="30">
        <v>32256.405405405407</v>
      </c>
    </row>
    <row r="2631" spans="1:14" x14ac:dyDescent="0.3">
      <c r="A2631">
        <v>40.047280000000981</v>
      </c>
      <c r="B2631">
        <v>55.846200000000003</v>
      </c>
      <c r="C2631">
        <f t="shared" si="123"/>
        <v>55.384640000000005</v>
      </c>
      <c r="D2631">
        <v>0.69327272727272748</v>
      </c>
      <c r="E2631">
        <f t="shared" si="124"/>
        <v>4.0143022989929102</v>
      </c>
      <c r="I2631" s="24">
        <f t="shared" si="125"/>
        <v>0.76508806289461173</v>
      </c>
      <c r="N2631" s="30">
        <v>32254.756756756757</v>
      </c>
    </row>
    <row r="2632" spans="1:14" x14ac:dyDescent="0.3">
      <c r="A2632">
        <v>40.062510000000984</v>
      </c>
      <c r="B2632">
        <v>55.192300000000003</v>
      </c>
      <c r="C2632">
        <f t="shared" si="123"/>
        <v>54.607700000000001</v>
      </c>
      <c r="D2632">
        <v>0.69336363636363652</v>
      </c>
      <c r="E2632">
        <f t="shared" si="124"/>
        <v>4.0001748984487042</v>
      </c>
      <c r="I2632" s="24">
        <f t="shared" si="125"/>
        <v>0.75080340518318478</v>
      </c>
      <c r="N2632" s="30">
        <v>32253.10810810811</v>
      </c>
    </row>
    <row r="2633" spans="1:14" x14ac:dyDescent="0.3">
      <c r="A2633">
        <v>40.077740000000986</v>
      </c>
      <c r="B2633">
        <v>54.038499999999999</v>
      </c>
      <c r="C2633">
        <f t="shared" si="123"/>
        <v>53.530779999999993</v>
      </c>
      <c r="D2633">
        <v>0.69345454545454566</v>
      </c>
      <c r="E2633">
        <f t="shared" si="124"/>
        <v>3.9802568155675773</v>
      </c>
      <c r="I2633" s="24">
        <f t="shared" si="125"/>
        <v>0.73115484190605085</v>
      </c>
      <c r="N2633" s="30">
        <v>32251.45945945946</v>
      </c>
    </row>
    <row r="2634" spans="1:14" x14ac:dyDescent="0.3">
      <c r="A2634">
        <v>40.092970000000989</v>
      </c>
      <c r="B2634">
        <v>52.153799999999997</v>
      </c>
      <c r="C2634">
        <f t="shared" si="123"/>
        <v>52.192300000000003</v>
      </c>
      <c r="D2634">
        <v>0.69354545454545469</v>
      </c>
      <c r="E2634">
        <f t="shared" si="124"/>
        <v>3.9549349744294413</v>
      </c>
      <c r="I2634" s="24">
        <f t="shared" si="125"/>
        <v>0.706941414005819</v>
      </c>
      <c r="N2634" s="30">
        <v>32249.810810810814</v>
      </c>
    </row>
    <row r="2635" spans="1:14" x14ac:dyDescent="0.3">
      <c r="A2635">
        <v>40.108200000000991</v>
      </c>
      <c r="B2635">
        <v>50.423099999999998</v>
      </c>
      <c r="C2635">
        <f t="shared" si="123"/>
        <v>50.853839999999998</v>
      </c>
      <c r="D2635">
        <v>0.69363636363636372</v>
      </c>
      <c r="E2635">
        <f t="shared" si="124"/>
        <v>3.9289556358675513</v>
      </c>
      <c r="I2635" s="24">
        <f t="shared" si="125"/>
        <v>0.68293473519855885</v>
      </c>
      <c r="N2635" s="30">
        <v>32248.162162162163</v>
      </c>
    </row>
    <row r="2636" spans="1:14" x14ac:dyDescent="0.3">
      <c r="A2636">
        <v>40.123430000000994</v>
      </c>
      <c r="B2636">
        <v>49.153799999999997</v>
      </c>
      <c r="C2636">
        <f t="shared" si="123"/>
        <v>49.799979999999991</v>
      </c>
      <c r="D2636">
        <v>0.69372727272727286</v>
      </c>
      <c r="E2636">
        <f t="shared" si="124"/>
        <v>3.9080145824241006</v>
      </c>
      <c r="I2636" s="24">
        <f t="shared" si="125"/>
        <v>0.66416162985663763</v>
      </c>
      <c r="N2636" s="30">
        <v>32246.513513513513</v>
      </c>
    </row>
    <row r="2637" spans="1:14" x14ac:dyDescent="0.3">
      <c r="A2637">
        <v>40.138660000000996</v>
      </c>
      <c r="B2637">
        <v>48.5</v>
      </c>
      <c r="C2637">
        <f t="shared" si="123"/>
        <v>49.284599999999998</v>
      </c>
      <c r="D2637">
        <v>0.69381818181818189</v>
      </c>
      <c r="E2637">
        <f t="shared" si="124"/>
        <v>3.8976116590248138</v>
      </c>
      <c r="I2637" s="24">
        <f t="shared" si="125"/>
        <v>0.65498524558420113</v>
      </c>
      <c r="N2637" s="30">
        <v>32244.864864864867</v>
      </c>
    </row>
    <row r="2638" spans="1:14" x14ac:dyDescent="0.3">
      <c r="A2638">
        <v>40.153890000000999</v>
      </c>
      <c r="B2638">
        <v>48.769199999999998</v>
      </c>
      <c r="C2638">
        <f t="shared" si="123"/>
        <v>49.276899999999998</v>
      </c>
      <c r="D2638">
        <v>0.69390909090909103</v>
      </c>
      <c r="E2638">
        <f t="shared" si="124"/>
        <v>3.8974554114024529</v>
      </c>
      <c r="I2638" s="24">
        <f t="shared" si="125"/>
        <v>0.65476388781881434</v>
      </c>
      <c r="N2638" s="30">
        <v>32243.216216216217</v>
      </c>
    </row>
    <row r="2639" spans="1:14" x14ac:dyDescent="0.3">
      <c r="A2639">
        <v>40.169120000001001</v>
      </c>
      <c r="B2639">
        <v>49.576900000000002</v>
      </c>
      <c r="C2639">
        <f t="shared" si="123"/>
        <v>49.692300000000003</v>
      </c>
      <c r="D2639">
        <v>0.69400000000000017</v>
      </c>
      <c r="E2639">
        <f t="shared" si="124"/>
        <v>3.9058499915222917</v>
      </c>
      <c r="I2639" s="24">
        <f t="shared" si="125"/>
        <v>0.66199952093360759</v>
      </c>
      <c r="N2639" s="30">
        <v>32241.56756756757</v>
      </c>
    </row>
    <row r="2640" spans="1:14" x14ac:dyDescent="0.3">
      <c r="A2640">
        <v>40.184350000001004</v>
      </c>
      <c r="B2640">
        <v>50.384599999999999</v>
      </c>
      <c r="C2640">
        <f t="shared" si="123"/>
        <v>50.392299999999999</v>
      </c>
      <c r="D2640">
        <v>0.6940909090909092</v>
      </c>
      <c r="E2640">
        <f t="shared" si="124"/>
        <v>3.9198383856278318</v>
      </c>
      <c r="I2640" s="24">
        <f t="shared" si="125"/>
        <v>0.67429363240911699</v>
      </c>
      <c r="N2640" s="30">
        <v>32239.91891891892</v>
      </c>
    </row>
    <row r="2641" spans="1:14" x14ac:dyDescent="0.3">
      <c r="A2641">
        <v>40.199580000001006</v>
      </c>
      <c r="B2641">
        <v>51.230800000000002</v>
      </c>
      <c r="C2641">
        <f t="shared" si="123"/>
        <v>51.292299999999997</v>
      </c>
      <c r="D2641">
        <v>0.69418181818181834</v>
      </c>
      <c r="E2641">
        <f t="shared" si="124"/>
        <v>3.937540643445085</v>
      </c>
      <c r="I2641" s="24">
        <f t="shared" si="125"/>
        <v>0.69020362061541451</v>
      </c>
      <c r="N2641" s="30">
        <v>32238.27027027027</v>
      </c>
    </row>
    <row r="2642" spans="1:14" x14ac:dyDescent="0.3">
      <c r="A2642">
        <v>40.214810000001009</v>
      </c>
      <c r="B2642">
        <v>52</v>
      </c>
      <c r="C2642">
        <f t="shared" si="123"/>
        <v>52.269219999999997</v>
      </c>
      <c r="D2642">
        <v>0.69427272727272737</v>
      </c>
      <c r="E2642">
        <f t="shared" si="124"/>
        <v>3.9564076700957918</v>
      </c>
      <c r="I2642" s="24">
        <f t="shared" si="125"/>
        <v>0.7075800325009407</v>
      </c>
      <c r="N2642" s="30">
        <v>32236.621621621623</v>
      </c>
    </row>
    <row r="2643" spans="1:14" x14ac:dyDescent="0.3">
      <c r="A2643">
        <v>40.230040000001011</v>
      </c>
      <c r="B2643">
        <v>53.269199999999998</v>
      </c>
      <c r="C2643">
        <f t="shared" si="123"/>
        <v>53.376919999999998</v>
      </c>
      <c r="D2643">
        <v>0.69436363636363652</v>
      </c>
      <c r="E2643">
        <f t="shared" si="124"/>
        <v>3.9773784427987708</v>
      </c>
      <c r="I2643" s="24">
        <f t="shared" si="125"/>
        <v>0.72741844527165522</v>
      </c>
      <c r="N2643" s="30">
        <v>32234.972972972973</v>
      </c>
    </row>
    <row r="2644" spans="1:14" x14ac:dyDescent="0.3">
      <c r="A2644">
        <v>40.245270000001014</v>
      </c>
      <c r="B2644">
        <v>54.461500000000001</v>
      </c>
      <c r="C2644">
        <f t="shared" si="123"/>
        <v>54.646140000000003</v>
      </c>
      <c r="D2644">
        <v>0.69445454545454566</v>
      </c>
      <c r="E2644">
        <f t="shared" si="124"/>
        <v>4.0008785808380134</v>
      </c>
      <c r="I2644" s="24">
        <f t="shared" si="125"/>
        <v>0.75032313256260208</v>
      </c>
      <c r="N2644" s="30">
        <v>32233.324324324327</v>
      </c>
    </row>
    <row r="2645" spans="1:14" x14ac:dyDescent="0.3">
      <c r="A2645">
        <v>40.260500000001016</v>
      </c>
      <c r="B2645">
        <v>55.923099999999998</v>
      </c>
      <c r="C2645">
        <f t="shared" si="123"/>
        <v>56.038439999999994</v>
      </c>
      <c r="D2645">
        <v>0.69454545454545469</v>
      </c>
      <c r="E2645">
        <f t="shared" si="124"/>
        <v>4.0260378838222417</v>
      </c>
      <c r="I2645" s="24">
        <f t="shared" si="125"/>
        <v>0.77565210637719173</v>
      </c>
      <c r="N2645" s="30">
        <v>32231.675675675677</v>
      </c>
    </row>
    <row r="2646" spans="1:14" x14ac:dyDescent="0.3">
      <c r="A2646">
        <v>40.275730000001019</v>
      </c>
      <c r="B2646">
        <v>57.576900000000002</v>
      </c>
      <c r="C2646">
        <f t="shared" si="123"/>
        <v>57.399980000000006</v>
      </c>
      <c r="D2646">
        <v>0.69463636363636383</v>
      </c>
      <c r="E2646">
        <f t="shared" si="124"/>
        <v>4.050043954893404</v>
      </c>
      <c r="I2646" s="24">
        <f t="shared" si="125"/>
        <v>0.80061202353685945</v>
      </c>
      <c r="N2646" s="30">
        <v>32230.02702702703</v>
      </c>
    </row>
    <row r="2647" spans="1:14" x14ac:dyDescent="0.3">
      <c r="A2647">
        <v>40.290960000001022</v>
      </c>
      <c r="B2647">
        <v>58.961500000000001</v>
      </c>
      <c r="C2647">
        <f t="shared" si="123"/>
        <v>58.784599999999998</v>
      </c>
      <c r="D2647">
        <v>0.69472727272727286</v>
      </c>
      <c r="E2647">
        <f t="shared" si="124"/>
        <v>4.073879915839635</v>
      </c>
      <c r="I2647" s="24">
        <f t="shared" si="125"/>
        <v>0.82618893423451256</v>
      </c>
      <c r="N2647" s="30">
        <v>32228.37837837838</v>
      </c>
    </row>
    <row r="2648" spans="1:14" x14ac:dyDescent="0.3">
      <c r="A2648">
        <v>40.306190000001024</v>
      </c>
      <c r="B2648">
        <v>60.076900000000002</v>
      </c>
      <c r="C2648">
        <f t="shared" si="123"/>
        <v>60.123059999999995</v>
      </c>
      <c r="D2648">
        <v>0.69481818181818189</v>
      </c>
      <c r="E2648">
        <f t="shared" si="124"/>
        <v>4.096393461793097</v>
      </c>
      <c r="I2648" s="24">
        <f t="shared" si="125"/>
        <v>0.85109059477195281</v>
      </c>
      <c r="N2648" s="30">
        <v>32226.72972972973</v>
      </c>
    </row>
    <row r="2649" spans="1:14" x14ac:dyDescent="0.3">
      <c r="A2649">
        <v>40.321420000001027</v>
      </c>
      <c r="B2649">
        <v>61.384599999999999</v>
      </c>
      <c r="C2649">
        <f t="shared" si="123"/>
        <v>61.238440000000004</v>
      </c>
      <c r="D2649">
        <v>0.69490909090909103</v>
      </c>
      <c r="E2649">
        <f t="shared" si="124"/>
        <v>4.1147750969183257</v>
      </c>
      <c r="I2649" s="24">
        <f t="shared" si="125"/>
        <v>0.87195667657261566</v>
      </c>
      <c r="N2649" s="30">
        <v>32225.081081081084</v>
      </c>
    </row>
    <row r="2650" spans="1:14" x14ac:dyDescent="0.3">
      <c r="A2650">
        <v>40.336650000001029</v>
      </c>
      <c r="B2650">
        <v>62.615400000000001</v>
      </c>
      <c r="C2650">
        <f t="shared" si="123"/>
        <v>62.015379999999993</v>
      </c>
      <c r="D2650">
        <v>0.69500000000000006</v>
      </c>
      <c r="E2650">
        <f t="shared" si="124"/>
        <v>4.1273824187983061</v>
      </c>
      <c r="I2650" s="24">
        <f t="shared" si="125"/>
        <v>0.8865265788692106</v>
      </c>
      <c r="N2650" s="30">
        <v>32223.432432432433</v>
      </c>
    </row>
    <row r="2651" spans="1:14" x14ac:dyDescent="0.3">
      <c r="A2651">
        <v>40.351880000001032</v>
      </c>
      <c r="B2651">
        <v>63.153799999999997</v>
      </c>
      <c r="C2651">
        <f t="shared" si="123"/>
        <v>62.5</v>
      </c>
      <c r="D2651">
        <v>0.6950909090909092</v>
      </c>
      <c r="E2651">
        <f t="shared" si="124"/>
        <v>4.1351665567423561</v>
      </c>
      <c r="I2651" s="24">
        <f t="shared" si="125"/>
        <v>0.89559897203024674</v>
      </c>
      <c r="N2651" s="30">
        <v>32221.783783783787</v>
      </c>
    </row>
    <row r="2652" spans="1:14" x14ac:dyDescent="0.3">
      <c r="A2652">
        <v>40.367110000001034</v>
      </c>
      <c r="B2652">
        <v>62.846200000000003</v>
      </c>
      <c r="C2652">
        <f t="shared" si="123"/>
        <v>62.530780000000007</v>
      </c>
      <c r="D2652">
        <v>0.69518181818181835</v>
      </c>
      <c r="E2652">
        <f t="shared" si="124"/>
        <v>4.135658915513881</v>
      </c>
      <c r="I2652" s="24">
        <f t="shared" si="125"/>
        <v>0.89606614700869747</v>
      </c>
      <c r="N2652" s="30">
        <v>32220.135135135137</v>
      </c>
    </row>
    <row r="2653" spans="1:14" x14ac:dyDescent="0.3">
      <c r="A2653">
        <v>40.382340000001037</v>
      </c>
      <c r="B2653">
        <v>62.5</v>
      </c>
      <c r="C2653">
        <f t="shared" si="123"/>
        <v>62.123080000000002</v>
      </c>
      <c r="D2653">
        <v>0.69527272727272738</v>
      </c>
      <c r="E2653">
        <f t="shared" si="124"/>
        <v>4.1291175785066141</v>
      </c>
      <c r="I2653" s="24">
        <f t="shared" si="125"/>
        <v>0.88821826799645454</v>
      </c>
      <c r="N2653" s="30">
        <v>32218.486486486487</v>
      </c>
    </row>
    <row r="2654" spans="1:14" x14ac:dyDescent="0.3">
      <c r="A2654">
        <v>40.397570000001039</v>
      </c>
      <c r="B2654">
        <v>61.538499999999999</v>
      </c>
      <c r="C2654">
        <f t="shared" si="123"/>
        <v>61.469239999999999</v>
      </c>
      <c r="D2654">
        <v>0.69536363636363652</v>
      </c>
      <c r="E2654">
        <f t="shared" si="124"/>
        <v>4.1185368870878092</v>
      </c>
      <c r="I2654" s="24">
        <f t="shared" si="125"/>
        <v>0.87574019465206954</v>
      </c>
      <c r="N2654" s="30">
        <v>32216.83783783784</v>
      </c>
    </row>
    <row r="2655" spans="1:14" x14ac:dyDescent="0.3">
      <c r="A2655">
        <v>40.412800000001042</v>
      </c>
      <c r="B2655">
        <v>60.576900000000002</v>
      </c>
      <c r="C2655">
        <f t="shared" si="123"/>
        <v>60.776919999999997</v>
      </c>
      <c r="D2655">
        <v>0.69545454545454555</v>
      </c>
      <c r="E2655">
        <f t="shared" si="124"/>
        <v>4.1072101116406463</v>
      </c>
      <c r="I2655" s="24">
        <f t="shared" si="125"/>
        <v>0.86258442302962957</v>
      </c>
      <c r="N2655" s="30">
        <v>32215.18918918919</v>
      </c>
    </row>
    <row r="2656" spans="1:14" x14ac:dyDescent="0.3">
      <c r="A2656">
        <v>40.428030000001044</v>
      </c>
      <c r="B2656">
        <v>59.884599999999999</v>
      </c>
      <c r="C2656">
        <f t="shared" si="123"/>
        <v>60.092300000000002</v>
      </c>
      <c r="D2656">
        <v>0.69554545454545469</v>
      </c>
      <c r="E2656">
        <f t="shared" si="124"/>
        <v>4.0958817135327861</v>
      </c>
      <c r="I2656" s="24">
        <f t="shared" si="125"/>
        <v>0.8496244715313106</v>
      </c>
      <c r="N2656" s="30">
        <v>32213.540540540544</v>
      </c>
    </row>
    <row r="2657" spans="1:18" x14ac:dyDescent="0.3">
      <c r="A2657">
        <v>40.443260000001047</v>
      </c>
      <c r="B2657">
        <v>59.384599999999999</v>
      </c>
      <c r="C2657">
        <f t="shared" si="123"/>
        <v>59.44614</v>
      </c>
      <c r="D2657">
        <v>0.69563636363636383</v>
      </c>
      <c r="E2657">
        <f t="shared" si="124"/>
        <v>4.0850706925174896</v>
      </c>
      <c r="I2657" s="24">
        <f t="shared" si="125"/>
        <v>0.83743304957261822</v>
      </c>
      <c r="N2657" s="30">
        <v>32211.891891891893</v>
      </c>
    </row>
    <row r="2658" spans="1:18" x14ac:dyDescent="0.3">
      <c r="A2658">
        <v>40.458490000001049</v>
      </c>
      <c r="B2658">
        <v>59.076900000000002</v>
      </c>
      <c r="C2658">
        <f t="shared" si="123"/>
        <v>58.846140000000005</v>
      </c>
      <c r="D2658">
        <v>0.69572727272727286</v>
      </c>
      <c r="E2658">
        <f t="shared" si="124"/>
        <v>4.0749262410708535</v>
      </c>
      <c r="I2658" s="24">
        <f t="shared" si="125"/>
        <v>0.82614580240174029</v>
      </c>
      <c r="N2658" s="30">
        <v>32210.243243243243</v>
      </c>
    </row>
    <row r="2659" spans="1:18" x14ac:dyDescent="0.3">
      <c r="A2659">
        <v>40.473720000001052</v>
      </c>
      <c r="B2659">
        <v>58.307699999999997</v>
      </c>
      <c r="C2659">
        <f t="shared" si="123"/>
        <v>58.207680000000003</v>
      </c>
      <c r="D2659">
        <v>0.695818181818182</v>
      </c>
      <c r="E2659">
        <f t="shared" si="124"/>
        <v>4.0640173047944872</v>
      </c>
      <c r="I2659" s="24">
        <f t="shared" si="125"/>
        <v>0.81418568660799884</v>
      </c>
      <c r="N2659" s="30">
        <v>32208.594594594597</v>
      </c>
    </row>
    <row r="2660" spans="1:18" x14ac:dyDescent="0.3">
      <c r="A2660">
        <v>40.488950000001054</v>
      </c>
      <c r="B2660">
        <v>57.576900000000002</v>
      </c>
      <c r="C2660">
        <f t="shared" si="123"/>
        <v>57.546140000000001</v>
      </c>
      <c r="D2660">
        <v>0.69590909090909103</v>
      </c>
      <c r="E2660">
        <f t="shared" si="124"/>
        <v>4.052587060807249</v>
      </c>
      <c r="I2660" s="24">
        <f t="shared" si="125"/>
        <v>0.80184476306962904</v>
      </c>
      <c r="N2660" s="30">
        <v>32206.945945945947</v>
      </c>
    </row>
    <row r="2661" spans="1:18" x14ac:dyDescent="0.3">
      <c r="A2661">
        <v>40.504180000001057</v>
      </c>
      <c r="B2661">
        <v>56.692300000000003</v>
      </c>
      <c r="C2661">
        <f t="shared" si="123"/>
        <v>56.961520000000007</v>
      </c>
      <c r="D2661">
        <v>0.69600000000000006</v>
      </c>
      <c r="E2661">
        <f t="shared" si="124"/>
        <v>4.0423759521409304</v>
      </c>
      <c r="I2661" s="24">
        <f t="shared" si="125"/>
        <v>0.79096737770002967</v>
      </c>
      <c r="N2661" s="30">
        <v>32205.2972972973</v>
      </c>
    </row>
    <row r="2662" spans="1:18" x14ac:dyDescent="0.3">
      <c r="A2662">
        <v>40.519410000001059</v>
      </c>
      <c r="B2662">
        <v>56.076900000000002</v>
      </c>
      <c r="C2662">
        <f t="shared" si="123"/>
        <v>56.630740000000003</v>
      </c>
      <c r="D2662">
        <v>0.6960909090909092</v>
      </c>
      <c r="E2662">
        <f t="shared" si="124"/>
        <v>4.0365519473191647</v>
      </c>
      <c r="I2662" s="24">
        <f t="shared" si="125"/>
        <v>0.78478553411276852</v>
      </c>
      <c r="N2662" s="30">
        <v>32203.64864864865</v>
      </c>
    </row>
    <row r="2663" spans="1:18" x14ac:dyDescent="0.3">
      <c r="A2663">
        <v>40.534640000001062</v>
      </c>
      <c r="B2663">
        <v>56.153799999999997</v>
      </c>
      <c r="C2663">
        <f t="shared" si="123"/>
        <v>56.499979999999994</v>
      </c>
      <c r="D2663">
        <v>0.69618181818181823</v>
      </c>
      <c r="E2663">
        <f t="shared" si="124"/>
        <v>4.034240284170032</v>
      </c>
      <c r="I2663" s="25">
        <f t="shared" si="125"/>
        <v>0.7822836458359459</v>
      </c>
      <c r="N2663" s="30">
        <v>32202</v>
      </c>
    </row>
    <row r="2664" spans="1:18" x14ac:dyDescent="0.3">
      <c r="A2664">
        <v>40.549870000001064</v>
      </c>
      <c r="B2664">
        <v>56.653799999999997</v>
      </c>
      <c r="C2664">
        <f t="shared" si="123"/>
        <v>56.676900000000003</v>
      </c>
      <c r="D2664">
        <v>0.69627272727272738</v>
      </c>
      <c r="E2664">
        <f t="shared" si="124"/>
        <v>4.0373667203133534</v>
      </c>
      <c r="I2664" s="24">
        <f t="shared" si="125"/>
        <v>0.78542794489213796</v>
      </c>
      <c r="N2664" s="30">
        <v>32177.600000000002</v>
      </c>
    </row>
    <row r="2665" spans="1:18" x14ac:dyDescent="0.3">
      <c r="A2665">
        <v>40.565100000001067</v>
      </c>
      <c r="B2665">
        <v>56.923099999999998</v>
      </c>
      <c r="C2665">
        <f t="shared" si="123"/>
        <v>57.23843999999999</v>
      </c>
      <c r="D2665">
        <v>0.69636363636363652</v>
      </c>
      <c r="E2665">
        <f t="shared" si="124"/>
        <v>4.0472257006480987</v>
      </c>
      <c r="I2665" s="24">
        <f t="shared" si="125"/>
        <v>0.79564996151895717</v>
      </c>
      <c r="N2665" s="30">
        <v>32153.200000000001</v>
      </c>
    </row>
    <row r="2666" spans="1:18" x14ac:dyDescent="0.3">
      <c r="A2666">
        <v>40.580330000001069</v>
      </c>
      <c r="B2666">
        <v>57.576900000000002</v>
      </c>
      <c r="C2666">
        <f t="shared" si="123"/>
        <v>58.092300000000002</v>
      </c>
      <c r="D2666">
        <v>0.69645454545454555</v>
      </c>
      <c r="E2666">
        <f t="shared" si="124"/>
        <v>4.0620331249544916</v>
      </c>
      <c r="I2666" s="24">
        <f t="shared" si="125"/>
        <v>0.81130631098917427</v>
      </c>
      <c r="N2666" s="30">
        <v>32128.800000000003</v>
      </c>
      <c r="O2666">
        <v>1987</v>
      </c>
      <c r="P2666" s="24">
        <f>AVERAGE(I2666:I2707)</f>
        <v>0.79306361067364506</v>
      </c>
      <c r="Q2666">
        <f>A2707-A2666</f>
        <v>0.62443000000010329</v>
      </c>
      <c r="R2666">
        <f>P2666*Q2666</f>
        <v>0.49521271041302611</v>
      </c>
    </row>
    <row r="2667" spans="1:18" x14ac:dyDescent="0.3">
      <c r="A2667">
        <v>40.595560000001072</v>
      </c>
      <c r="B2667">
        <v>58.884599999999999</v>
      </c>
      <c r="C2667">
        <f t="shared" si="123"/>
        <v>59.107700000000001</v>
      </c>
      <c r="D2667">
        <v>0.69654545454545469</v>
      </c>
      <c r="E2667">
        <f t="shared" si="124"/>
        <v>4.0793612035734084</v>
      </c>
      <c r="I2667" s="24">
        <f t="shared" si="125"/>
        <v>0.83003792626460893</v>
      </c>
      <c r="N2667" s="30">
        <v>32104.400000000001</v>
      </c>
    </row>
    <row r="2668" spans="1:18" x14ac:dyDescent="0.3">
      <c r="A2668">
        <v>40.610790000001074</v>
      </c>
      <c r="B2668">
        <v>60.423099999999998</v>
      </c>
      <c r="C2668">
        <f t="shared" si="123"/>
        <v>60.276920000000004</v>
      </c>
      <c r="D2668">
        <v>0.69663636363636372</v>
      </c>
      <c r="E2668">
        <f t="shared" si="124"/>
        <v>4.0989492775623955</v>
      </c>
      <c r="I2668" s="24">
        <f t="shared" si="125"/>
        <v>0.85174839207734332</v>
      </c>
      <c r="N2668" s="30">
        <v>32080</v>
      </c>
    </row>
    <row r="2669" spans="1:18" x14ac:dyDescent="0.3">
      <c r="A2669">
        <v>40.626020000001077</v>
      </c>
      <c r="B2669">
        <v>61.730800000000002</v>
      </c>
      <c r="C2669">
        <f t="shared" si="123"/>
        <v>61.392299999999999</v>
      </c>
      <c r="D2669">
        <v>0.69672727272727286</v>
      </c>
      <c r="E2669">
        <f t="shared" si="124"/>
        <v>4.1172844201228367</v>
      </c>
      <c r="I2669" s="24">
        <f t="shared" si="125"/>
        <v>0.87257715235579159</v>
      </c>
      <c r="N2669" s="30">
        <v>32055.600000000002</v>
      </c>
    </row>
    <row r="2670" spans="1:18" x14ac:dyDescent="0.3">
      <c r="A2670">
        <v>40.641250000001079</v>
      </c>
      <c r="B2670">
        <v>62.769199999999998</v>
      </c>
      <c r="C2670">
        <f t="shared" si="123"/>
        <v>62.423079999999992</v>
      </c>
      <c r="D2670">
        <v>0.696818181818182</v>
      </c>
      <c r="E2670">
        <f t="shared" si="124"/>
        <v>4.1339350787845435</v>
      </c>
      <c r="I2670" s="24">
        <f t="shared" si="125"/>
        <v>0.89192263599895893</v>
      </c>
      <c r="N2670" s="30">
        <v>32031.200000000001</v>
      </c>
    </row>
    <row r="2671" spans="1:18" x14ac:dyDescent="0.3">
      <c r="A2671">
        <v>40.656480000001082</v>
      </c>
      <c r="B2671">
        <v>63.153799999999997</v>
      </c>
      <c r="C2671">
        <f t="shared" si="123"/>
        <v>63.323080000000004</v>
      </c>
      <c r="D2671">
        <v>0.69690909090909103</v>
      </c>
      <c r="E2671">
        <f t="shared" si="124"/>
        <v>4.1482498756491673</v>
      </c>
      <c r="I2671" s="24">
        <f t="shared" si="125"/>
        <v>0.90888010349036452</v>
      </c>
      <c r="N2671" s="30">
        <v>32006.800000000003</v>
      </c>
    </row>
    <row r="2672" spans="1:18" x14ac:dyDescent="0.3">
      <c r="A2672">
        <v>40.671710000001084</v>
      </c>
      <c r="B2672">
        <v>64.038499999999999</v>
      </c>
      <c r="C2672">
        <f t="shared" si="123"/>
        <v>63.938459999999999</v>
      </c>
      <c r="D2672">
        <v>0.69700000000000017</v>
      </c>
      <c r="E2672">
        <f t="shared" si="124"/>
        <v>4.1579210582618833</v>
      </c>
      <c r="I2672" s="24">
        <f t="shared" si="125"/>
        <v>0.92047986940176252</v>
      </c>
      <c r="N2672" s="30">
        <v>31982.400000000001</v>
      </c>
    </row>
    <row r="2673" spans="1:14" x14ac:dyDescent="0.3">
      <c r="A2673">
        <v>40.686940000001087</v>
      </c>
      <c r="B2673">
        <v>64.923100000000005</v>
      </c>
      <c r="C2673">
        <f t="shared" si="123"/>
        <v>64.023079999999993</v>
      </c>
      <c r="D2673">
        <v>0.69709090909090921</v>
      </c>
      <c r="E2673">
        <f t="shared" si="124"/>
        <v>4.1592436433501057</v>
      </c>
      <c r="I2673" s="24">
        <f t="shared" si="125"/>
        <v>0.92197385963851453</v>
      </c>
      <c r="J2673">
        <v>1987</v>
      </c>
      <c r="K2673">
        <f>AVERAGE(I2673:I2727)</f>
        <v>0.75134206356880939</v>
      </c>
      <c r="L2673">
        <f>A2727-A2673</f>
        <v>0.82242000000013604</v>
      </c>
      <c r="M2673">
        <f>K2673*L2673</f>
        <v>0.61791873992036239</v>
      </c>
      <c r="N2673" s="30">
        <v>31958</v>
      </c>
    </row>
    <row r="2674" spans="1:14" x14ac:dyDescent="0.3">
      <c r="A2674">
        <v>40.70217000000109</v>
      </c>
      <c r="B2674">
        <v>64.807699999999997</v>
      </c>
      <c r="C2674">
        <f t="shared" si="123"/>
        <v>63.784619999999997</v>
      </c>
      <c r="D2674">
        <v>0.69718181818181824</v>
      </c>
      <c r="E2674">
        <f t="shared" si="124"/>
        <v>4.1555120954589855</v>
      </c>
      <c r="I2674" s="24">
        <f t="shared" si="125"/>
        <v>0.91730765085652444</v>
      </c>
      <c r="N2674" s="30">
        <v>31953.642857142855</v>
      </c>
    </row>
    <row r="2675" spans="1:14" x14ac:dyDescent="0.3">
      <c r="A2675">
        <v>40.717400000001092</v>
      </c>
      <c r="B2675">
        <v>63.192300000000003</v>
      </c>
      <c r="C2675">
        <f t="shared" si="123"/>
        <v>63.153839999999988</v>
      </c>
      <c r="D2675">
        <v>0.69727272727272738</v>
      </c>
      <c r="E2675">
        <f t="shared" si="124"/>
        <v>4.1455736545487429</v>
      </c>
      <c r="I2675" s="24">
        <f t="shared" si="125"/>
        <v>0.90519109851827195</v>
      </c>
      <c r="N2675" s="30">
        <v>31949.285714285714</v>
      </c>
    </row>
    <row r="2676" spans="1:14" x14ac:dyDescent="0.3">
      <c r="A2676">
        <v>40.732630000001095</v>
      </c>
      <c r="B2676">
        <v>61.961500000000001</v>
      </c>
      <c r="C2676">
        <f t="shared" si="123"/>
        <v>62.261519999999997</v>
      </c>
      <c r="D2676">
        <v>0.69736363636363641</v>
      </c>
      <c r="E2676">
        <f t="shared" si="124"/>
        <v>4.1313435784642465</v>
      </c>
      <c r="I2676" s="24">
        <f t="shared" si="125"/>
        <v>0.88817047915633718</v>
      </c>
      <c r="N2676" s="30">
        <v>31944.928571428569</v>
      </c>
    </row>
    <row r="2677" spans="1:14" x14ac:dyDescent="0.3">
      <c r="A2677">
        <v>40.747860000001097</v>
      </c>
      <c r="B2677">
        <v>60.884599999999999</v>
      </c>
      <c r="C2677">
        <f t="shared" si="123"/>
        <v>61.42306</v>
      </c>
      <c r="D2677">
        <v>0.69745454545454555</v>
      </c>
      <c r="E2677">
        <f t="shared" si="124"/>
        <v>4.1177853346768991</v>
      </c>
      <c r="I2677" s="24">
        <f t="shared" si="125"/>
        <v>0.87224591051582712</v>
      </c>
      <c r="N2677" s="30">
        <v>31940.571428571428</v>
      </c>
    </row>
    <row r="2678" spans="1:14" x14ac:dyDescent="0.3">
      <c r="A2678">
        <v>40.7630900000011</v>
      </c>
      <c r="B2678">
        <v>60.461500000000001</v>
      </c>
      <c r="C2678">
        <f t="shared" si="123"/>
        <v>60.93844</v>
      </c>
      <c r="D2678">
        <v>0.69754545454545469</v>
      </c>
      <c r="E2678">
        <f t="shared" si="124"/>
        <v>4.1098641742801174</v>
      </c>
      <c r="I2678" s="24">
        <f t="shared" si="125"/>
        <v>0.86302797169270973</v>
      </c>
      <c r="N2678" s="30">
        <v>31936.214285714283</v>
      </c>
    </row>
    <row r="2679" spans="1:14" x14ac:dyDescent="0.3">
      <c r="A2679">
        <v>40.778320000001102</v>
      </c>
      <c r="B2679">
        <v>60.615400000000001</v>
      </c>
      <c r="C2679">
        <f t="shared" si="123"/>
        <v>60.838440000000006</v>
      </c>
      <c r="D2679">
        <v>0.69763636363636372</v>
      </c>
      <c r="E2679">
        <f t="shared" si="124"/>
        <v>4.108221826036714</v>
      </c>
      <c r="I2679" s="24">
        <f t="shared" si="125"/>
        <v>0.86104003459524658</v>
      </c>
      <c r="N2679" s="30">
        <v>31931.857142857141</v>
      </c>
    </row>
    <row r="2680" spans="1:14" x14ac:dyDescent="0.3">
      <c r="A2680">
        <v>40.793550000001105</v>
      </c>
      <c r="B2680">
        <v>60.769199999999998</v>
      </c>
      <c r="C2680">
        <f t="shared" si="123"/>
        <v>61.115359999999995</v>
      </c>
      <c r="D2680">
        <v>0.69772727272727286</v>
      </c>
      <c r="E2680">
        <f t="shared" si="124"/>
        <v>4.1127632257461153</v>
      </c>
      <c r="I2680" s="24">
        <f t="shared" si="125"/>
        <v>0.86612318622654472</v>
      </c>
      <c r="N2680" s="30">
        <v>31927.5</v>
      </c>
    </row>
    <row r="2681" spans="1:14" x14ac:dyDescent="0.3">
      <c r="A2681">
        <v>40.808780000001107</v>
      </c>
      <c r="B2681">
        <v>61.461500000000001</v>
      </c>
      <c r="C2681">
        <f t="shared" si="123"/>
        <v>61.699979999999996</v>
      </c>
      <c r="D2681">
        <v>0.69781818181818189</v>
      </c>
      <c r="E2681">
        <f t="shared" si="124"/>
        <v>4.1222836067621813</v>
      </c>
      <c r="I2681" s="24">
        <f t="shared" si="125"/>
        <v>0.87700216579513746</v>
      </c>
      <c r="N2681" s="30">
        <v>31923.142857142855</v>
      </c>
    </row>
    <row r="2682" spans="1:14" x14ac:dyDescent="0.3">
      <c r="A2682">
        <v>40.82401000000111</v>
      </c>
      <c r="B2682">
        <v>62.269199999999998</v>
      </c>
      <c r="C2682">
        <f t="shared" ref="C2682:C2745" si="126">AVERAGE(B2680:B2684)</f>
        <v>62.453819999999993</v>
      </c>
      <c r="D2682">
        <v>0.69790909090909103</v>
      </c>
      <c r="E2682">
        <f t="shared" ref="E2682:E2745" si="127">LN(C2682)</f>
        <v>4.1344274036359918</v>
      </c>
      <c r="I2682" s="24">
        <f t="shared" ref="I2682:I2745" si="128">(0.0026*(EXP(1.3248*E2682)))/D2682</f>
        <v>0.89110948286784131</v>
      </c>
      <c r="N2682" s="30">
        <v>31918.785714285714</v>
      </c>
    </row>
    <row r="2683" spans="1:14" x14ac:dyDescent="0.3">
      <c r="A2683">
        <v>40.839240000001112</v>
      </c>
      <c r="B2683">
        <v>63.384599999999999</v>
      </c>
      <c r="C2683">
        <f t="shared" si="126"/>
        <v>63.276899999999998</v>
      </c>
      <c r="D2683">
        <v>0.69800000000000018</v>
      </c>
      <c r="E2683">
        <f t="shared" si="127"/>
        <v>4.1475203336374191</v>
      </c>
      <c r="I2683" s="24">
        <f t="shared" si="128"/>
        <v>0.90658297488574002</v>
      </c>
      <c r="N2683" s="30">
        <v>31914.428571428569</v>
      </c>
    </row>
    <row r="2684" spans="1:14" x14ac:dyDescent="0.3">
      <c r="A2684">
        <v>40.854470000001115</v>
      </c>
      <c r="B2684">
        <v>64.384600000000006</v>
      </c>
      <c r="C2684">
        <f t="shared" si="126"/>
        <v>63.869219999999999</v>
      </c>
      <c r="D2684">
        <v>0.69809090909090921</v>
      </c>
      <c r="E2684">
        <f t="shared" si="127"/>
        <v>4.1568375551926797</v>
      </c>
      <c r="I2684" s="24">
        <f t="shared" si="128"/>
        <v>0.91772316374851826</v>
      </c>
      <c r="N2684" s="30">
        <v>31910.071428571428</v>
      </c>
    </row>
    <row r="2685" spans="1:14" x14ac:dyDescent="0.3">
      <c r="A2685">
        <v>40.869700000001117</v>
      </c>
      <c r="B2685">
        <v>64.884600000000006</v>
      </c>
      <c r="C2685">
        <f t="shared" si="126"/>
        <v>64.076920000000001</v>
      </c>
      <c r="D2685">
        <v>0.69818181818181835</v>
      </c>
      <c r="E2685">
        <f t="shared" si="127"/>
        <v>4.1600842366860968</v>
      </c>
      <c r="I2685" s="24">
        <f t="shared" si="128"/>
        <v>0.92155896896482048</v>
      </c>
      <c r="N2685" s="30">
        <v>31905.714285714283</v>
      </c>
    </row>
    <row r="2686" spans="1:14" x14ac:dyDescent="0.3">
      <c r="A2686">
        <v>40.88493000000112</v>
      </c>
      <c r="B2686">
        <v>64.423100000000005</v>
      </c>
      <c r="C2686">
        <f t="shared" si="126"/>
        <v>63.769240000000003</v>
      </c>
      <c r="D2686">
        <v>0.69827272727272738</v>
      </c>
      <c r="E2686">
        <f t="shared" si="127"/>
        <v>4.155270942426462</v>
      </c>
      <c r="I2686" s="24">
        <f t="shared" si="128"/>
        <v>0.91558198781407485</v>
      </c>
      <c r="N2686" s="30">
        <v>31901.357142857141</v>
      </c>
    </row>
    <row r="2687" spans="1:14" x14ac:dyDescent="0.3">
      <c r="A2687">
        <v>40.900160000001122</v>
      </c>
      <c r="B2687">
        <v>63.307699999999997</v>
      </c>
      <c r="C2687">
        <f t="shared" si="126"/>
        <v>62.938480000000006</v>
      </c>
      <c r="D2687">
        <v>0.69836363636363641</v>
      </c>
      <c r="E2687">
        <f t="shared" si="127"/>
        <v>4.1421577413605331</v>
      </c>
      <c r="I2687" s="24">
        <f t="shared" si="128"/>
        <v>0.89969639152057546</v>
      </c>
      <c r="N2687" s="30">
        <v>31897</v>
      </c>
    </row>
    <row r="2688" spans="1:14" x14ac:dyDescent="0.3">
      <c r="A2688">
        <v>40.915390000001125</v>
      </c>
      <c r="B2688">
        <v>61.846200000000003</v>
      </c>
      <c r="C2688">
        <f t="shared" si="126"/>
        <v>61.715400000000002</v>
      </c>
      <c r="D2688">
        <v>0.69845454545454555</v>
      </c>
      <c r="E2688">
        <f t="shared" si="127"/>
        <v>4.1225334945813534</v>
      </c>
      <c r="I2688" s="24">
        <f t="shared" si="128"/>
        <v>0.87649324326319045</v>
      </c>
      <c r="N2688" s="30">
        <v>31892.642857142855</v>
      </c>
    </row>
    <row r="2689" spans="1:14" x14ac:dyDescent="0.3">
      <c r="A2689">
        <v>40.930620000001127</v>
      </c>
      <c r="B2689">
        <v>60.230800000000002</v>
      </c>
      <c r="C2689">
        <f t="shared" si="126"/>
        <v>60.269240000000003</v>
      </c>
      <c r="D2689">
        <v>0.69854545454545458</v>
      </c>
      <c r="E2689">
        <f t="shared" si="127"/>
        <v>4.0988218574934292</v>
      </c>
      <c r="I2689" s="24">
        <f t="shared" si="128"/>
        <v>0.84927722967269514</v>
      </c>
      <c r="N2689" s="30">
        <v>31888.285714285714</v>
      </c>
    </row>
    <row r="2690" spans="1:14" x14ac:dyDescent="0.3">
      <c r="A2690">
        <v>40.94585000000113</v>
      </c>
      <c r="B2690">
        <v>58.769199999999998</v>
      </c>
      <c r="C2690">
        <f t="shared" si="126"/>
        <v>58.584619999999994</v>
      </c>
      <c r="D2690">
        <v>0.69863636363636372</v>
      </c>
      <c r="E2690">
        <f t="shared" si="127"/>
        <v>4.0704722047971282</v>
      </c>
      <c r="I2690" s="24">
        <f t="shared" si="128"/>
        <v>0.81786551643496752</v>
      </c>
      <c r="N2690" s="30">
        <v>31883.928571428569</v>
      </c>
    </row>
    <row r="2691" spans="1:14" x14ac:dyDescent="0.3">
      <c r="A2691">
        <v>40.961080000001132</v>
      </c>
      <c r="B2691">
        <v>57.192300000000003</v>
      </c>
      <c r="C2691">
        <f t="shared" si="126"/>
        <v>56.807680000000005</v>
      </c>
      <c r="D2691">
        <v>0.69872727272727286</v>
      </c>
      <c r="E2691">
        <f t="shared" si="127"/>
        <v>4.0396715278544919</v>
      </c>
      <c r="I2691" s="24">
        <f t="shared" si="128"/>
        <v>0.78506229065315269</v>
      </c>
      <c r="N2691" s="30">
        <v>31879.571428571428</v>
      </c>
    </row>
    <row r="2692" spans="1:14" x14ac:dyDescent="0.3">
      <c r="A2692">
        <v>40.976310000001135</v>
      </c>
      <c r="B2692">
        <v>54.884599999999999</v>
      </c>
      <c r="C2692">
        <f t="shared" si="126"/>
        <v>55.084600000000002</v>
      </c>
      <c r="D2692">
        <v>0.69881818181818189</v>
      </c>
      <c r="E2692">
        <f t="shared" si="127"/>
        <v>4.0088701852607169</v>
      </c>
      <c r="I2692" s="24">
        <f t="shared" si="128"/>
        <v>0.75357409592003133</v>
      </c>
      <c r="N2692" s="30">
        <v>31875.214285714283</v>
      </c>
    </row>
    <row r="2693" spans="1:14" x14ac:dyDescent="0.3">
      <c r="A2693">
        <v>40.991540000001137</v>
      </c>
      <c r="B2693">
        <v>52.961500000000001</v>
      </c>
      <c r="C2693">
        <f t="shared" si="126"/>
        <v>53.538460000000001</v>
      </c>
      <c r="D2693">
        <v>0.69890909090909104</v>
      </c>
      <c r="E2693">
        <f t="shared" si="127"/>
        <v>3.9804002741372502</v>
      </c>
      <c r="I2693" s="24">
        <f t="shared" si="128"/>
        <v>0.72558652612051222</v>
      </c>
      <c r="N2693" s="30">
        <v>31870.857142857141</v>
      </c>
    </row>
    <row r="2694" spans="1:14" x14ac:dyDescent="0.3">
      <c r="A2694">
        <v>41.00677000000114</v>
      </c>
      <c r="B2694">
        <v>51.615400000000001</v>
      </c>
      <c r="C2694">
        <f t="shared" si="126"/>
        <v>52.215380000000003</v>
      </c>
      <c r="D2694" s="8">
        <v>0.69900000000000007</v>
      </c>
      <c r="E2694">
        <f t="shared" si="127"/>
        <v>3.955377087507252</v>
      </c>
      <c r="I2694" s="24">
        <f t="shared" si="128"/>
        <v>0.70183585177658125</v>
      </c>
      <c r="N2694" s="30">
        <v>31866.5</v>
      </c>
    </row>
    <row r="2695" spans="1:14" x14ac:dyDescent="0.3">
      <c r="A2695">
        <v>41.022000000001142</v>
      </c>
      <c r="B2695">
        <v>51.038499999999999</v>
      </c>
      <c r="C2695">
        <f t="shared" si="126"/>
        <v>51.161539999999995</v>
      </c>
      <c r="D2695">
        <v>0.69930303030303032</v>
      </c>
      <c r="E2695">
        <f t="shared" si="127"/>
        <v>3.9349880778995043</v>
      </c>
      <c r="I2695" s="24">
        <f t="shared" si="128"/>
        <v>0.68283603275222204</v>
      </c>
      <c r="N2695" s="30">
        <v>31862.142857142855</v>
      </c>
    </row>
    <row r="2696" spans="1:14" x14ac:dyDescent="0.3">
      <c r="A2696">
        <v>41.037230000001145</v>
      </c>
      <c r="B2696">
        <v>50.576900000000002</v>
      </c>
      <c r="C2696">
        <f t="shared" si="126"/>
        <v>50.307699999999997</v>
      </c>
      <c r="D2696">
        <v>0.69960606060606056</v>
      </c>
      <c r="E2696">
        <f t="shared" si="127"/>
        <v>3.9181581469008488</v>
      </c>
      <c r="I2696" s="24">
        <f t="shared" si="128"/>
        <v>0.66749054872319424</v>
      </c>
      <c r="N2696" s="30">
        <v>31857.785714285714</v>
      </c>
    </row>
    <row r="2697" spans="1:14" x14ac:dyDescent="0.3">
      <c r="A2697">
        <v>41.052460000001147</v>
      </c>
      <c r="B2697">
        <v>49.615400000000001</v>
      </c>
      <c r="C2697">
        <f t="shared" si="126"/>
        <v>49.599999999999994</v>
      </c>
      <c r="D2697">
        <v>0.69990909090909093</v>
      </c>
      <c r="E2697">
        <f t="shared" si="127"/>
        <v>3.9039908337308815</v>
      </c>
      <c r="I2697" s="24">
        <f t="shared" si="128"/>
        <v>0.65479572977474121</v>
      </c>
      <c r="N2697" s="30">
        <v>31853.428571428569</v>
      </c>
    </row>
    <row r="2698" spans="1:14" x14ac:dyDescent="0.3">
      <c r="A2698">
        <v>41.06769000000115</v>
      </c>
      <c r="B2698">
        <v>48.692300000000003</v>
      </c>
      <c r="C2698">
        <f t="shared" si="126"/>
        <v>48.96922</v>
      </c>
      <c r="D2698">
        <v>0.70021212121212117</v>
      </c>
      <c r="E2698">
        <f t="shared" si="127"/>
        <v>3.8911919374681156</v>
      </c>
      <c r="I2698" s="24">
        <f t="shared" si="128"/>
        <v>0.64350801567197502</v>
      </c>
      <c r="N2698" s="30">
        <v>31849.071428571428</v>
      </c>
    </row>
    <row r="2699" spans="1:14" x14ac:dyDescent="0.3">
      <c r="A2699">
        <v>41.082920000001153</v>
      </c>
      <c r="B2699">
        <v>48.076900000000002</v>
      </c>
      <c r="C2699">
        <f t="shared" si="126"/>
        <v>48.323080000000004</v>
      </c>
      <c r="D2699">
        <v>0.70051515151515154</v>
      </c>
      <c r="E2699">
        <f t="shared" si="127"/>
        <v>3.8779092933169967</v>
      </c>
      <c r="I2699" s="24">
        <f t="shared" si="128"/>
        <v>0.63200983812604572</v>
      </c>
      <c r="N2699" s="30">
        <v>31844.714285714283</v>
      </c>
    </row>
    <row r="2700" spans="1:14" x14ac:dyDescent="0.3">
      <c r="A2700">
        <v>41.098150000001155</v>
      </c>
      <c r="B2700">
        <v>47.884599999999999</v>
      </c>
      <c r="C2700">
        <f t="shared" si="126"/>
        <v>47.969240000000006</v>
      </c>
      <c r="D2700">
        <v>0.7008181818181819</v>
      </c>
      <c r="E2700">
        <f t="shared" si="127"/>
        <v>3.8705599721531119</v>
      </c>
      <c r="I2700" s="24">
        <f t="shared" si="128"/>
        <v>0.6256155790265755</v>
      </c>
      <c r="N2700" s="30">
        <v>31840.357142857141</v>
      </c>
    </row>
    <row r="2701" spans="1:14" x14ac:dyDescent="0.3">
      <c r="A2701" s="16">
        <v>41.113380000001158</v>
      </c>
      <c r="B2701" s="16">
        <v>47.346200000000003</v>
      </c>
      <c r="C2701">
        <f t="shared" si="126"/>
        <v>47.823080000000004</v>
      </c>
      <c r="D2701">
        <v>0.70112121212121215</v>
      </c>
      <c r="E2701">
        <f t="shared" si="127"/>
        <v>3.8675083681534668</v>
      </c>
      <c r="I2701" s="25">
        <f t="shared" si="128"/>
        <v>0.62282216269386304</v>
      </c>
      <c r="N2701" s="30">
        <v>31836</v>
      </c>
    </row>
    <row r="2702" spans="1:14" x14ac:dyDescent="0.3">
      <c r="A2702" s="17">
        <v>41.12861000000116</v>
      </c>
      <c r="B2702" s="17">
        <v>47.846200000000003</v>
      </c>
      <c r="C2702">
        <f t="shared" si="126"/>
        <v>47.846159999999998</v>
      </c>
      <c r="D2702">
        <v>0.70142424242424251</v>
      </c>
      <c r="E2702">
        <f t="shared" si="127"/>
        <v>3.8679908638949976</v>
      </c>
      <c r="I2702" s="24">
        <f t="shared" si="128"/>
        <v>0.62295115976901327</v>
      </c>
      <c r="N2702" s="30">
        <v>31826.653846153844</v>
      </c>
    </row>
    <row r="2703" spans="1:14" x14ac:dyDescent="0.3">
      <c r="A2703">
        <v>41.143840000001163</v>
      </c>
      <c r="B2703">
        <v>47.961500000000001</v>
      </c>
      <c r="C2703">
        <f t="shared" si="126"/>
        <v>47.953860000000006</v>
      </c>
      <c r="D2703">
        <v>0.70172727272727276</v>
      </c>
      <c r="E2703">
        <f t="shared" si="127"/>
        <v>3.8702392986108305</v>
      </c>
      <c r="I2703" s="24">
        <f t="shared" si="128"/>
        <v>0.62453971265063968</v>
      </c>
      <c r="N2703" s="30">
        <v>31817.307692307691</v>
      </c>
    </row>
    <row r="2704" spans="1:14" x14ac:dyDescent="0.3">
      <c r="A2704">
        <v>41.159070000001165</v>
      </c>
      <c r="B2704">
        <v>48.192300000000003</v>
      </c>
      <c r="C2704">
        <f t="shared" si="126"/>
        <v>48.130780000000001</v>
      </c>
      <c r="D2704">
        <v>0.702030303030303</v>
      </c>
      <c r="E2704">
        <f t="shared" si="127"/>
        <v>3.8739218892921565</v>
      </c>
      <c r="I2704" s="24">
        <f t="shared" si="128"/>
        <v>0.62732319675157766</v>
      </c>
      <c r="N2704" s="30">
        <v>31807.961538461535</v>
      </c>
    </row>
    <row r="2705" spans="1:18" x14ac:dyDescent="0.3">
      <c r="A2705">
        <v>41.174300000001168</v>
      </c>
      <c r="B2705">
        <v>48.423099999999998</v>
      </c>
      <c r="C2705">
        <f t="shared" si="126"/>
        <v>48.176920000000003</v>
      </c>
      <c r="D2705">
        <v>0.70233333333333337</v>
      </c>
      <c r="E2705">
        <f t="shared" si="127"/>
        <v>3.8748800682026721</v>
      </c>
      <c r="I2705" s="24">
        <f t="shared" si="128"/>
        <v>0.62784901351872457</v>
      </c>
      <c r="N2705" s="30">
        <v>31798.615384615383</v>
      </c>
    </row>
    <row r="2706" spans="1:18" x14ac:dyDescent="0.3">
      <c r="A2706">
        <v>41.18953000000117</v>
      </c>
      <c r="B2706">
        <v>48.230800000000002</v>
      </c>
      <c r="C2706">
        <f t="shared" si="126"/>
        <v>48.207700000000003</v>
      </c>
      <c r="D2706">
        <v>0.70263636363636361</v>
      </c>
      <c r="E2706">
        <f t="shared" si="127"/>
        <v>3.8755187593350611</v>
      </c>
      <c r="I2706" s="24">
        <f t="shared" si="128"/>
        <v>0.62810947973851261</v>
      </c>
      <c r="N2706" s="30">
        <v>31789.26923076923</v>
      </c>
    </row>
    <row r="2707" spans="1:18" x14ac:dyDescent="0.3">
      <c r="A2707">
        <v>41.204760000001173</v>
      </c>
      <c r="B2707">
        <v>48.076900000000002</v>
      </c>
      <c r="C2707">
        <f t="shared" si="126"/>
        <v>48.207700000000003</v>
      </c>
      <c r="D2707">
        <v>0.70293939393939397</v>
      </c>
      <c r="E2707">
        <f t="shared" si="127"/>
        <v>3.8755187593350611</v>
      </c>
      <c r="I2707" s="24">
        <f t="shared" si="128"/>
        <v>0.62783870788019525</v>
      </c>
      <c r="N2707" s="30">
        <v>31779.923076923074</v>
      </c>
    </row>
    <row r="2708" spans="1:18" x14ac:dyDescent="0.3">
      <c r="A2708">
        <v>41.219990000001175</v>
      </c>
      <c r="B2708">
        <v>48.115400000000001</v>
      </c>
      <c r="C2708">
        <f t="shared" si="126"/>
        <v>48.246160000000003</v>
      </c>
      <c r="D2708">
        <v>0.70324242424242422</v>
      </c>
      <c r="E2708">
        <f t="shared" si="127"/>
        <v>3.8763162391256736</v>
      </c>
      <c r="I2708" s="24">
        <f t="shared" si="128"/>
        <v>0.62823154628376188</v>
      </c>
      <c r="N2708" s="30">
        <v>31770.576923076922</v>
      </c>
      <c r="O2708">
        <v>1986</v>
      </c>
      <c r="P2708" s="24">
        <f>AVERAGE(I2708:I2829)</f>
        <v>0.74093721810166024</v>
      </c>
      <c r="Q2708">
        <f>A2829-A2708</f>
        <v>1.8428300000003048</v>
      </c>
      <c r="R2708">
        <f>P2708*Q2708</f>
        <v>1.3654213336345085</v>
      </c>
    </row>
    <row r="2709" spans="1:18" x14ac:dyDescent="0.3">
      <c r="A2709">
        <v>41.235220000001178</v>
      </c>
      <c r="B2709">
        <v>48.192300000000003</v>
      </c>
      <c r="C2709">
        <f t="shared" si="126"/>
        <v>48.430759999999999</v>
      </c>
      <c r="D2709">
        <v>0.70354545454545447</v>
      </c>
      <c r="E2709">
        <f t="shared" si="127"/>
        <v>3.8801351490444338</v>
      </c>
      <c r="I2709" s="24">
        <f t="shared" si="128"/>
        <v>0.6311460432022028</v>
      </c>
      <c r="N2709" s="30">
        <v>31761.23076923077</v>
      </c>
    </row>
    <row r="2710" spans="1:18" x14ac:dyDescent="0.3">
      <c r="A2710">
        <v>41.25045000000118</v>
      </c>
      <c r="B2710">
        <v>48.615400000000001</v>
      </c>
      <c r="C2710">
        <f t="shared" si="126"/>
        <v>48.715379999999996</v>
      </c>
      <c r="D2710">
        <v>0.70384848484848483</v>
      </c>
      <c r="E2710">
        <f t="shared" si="127"/>
        <v>3.8859947913190149</v>
      </c>
      <c r="I2710" s="24">
        <f t="shared" si="128"/>
        <v>0.63579075710126509</v>
      </c>
      <c r="N2710" s="30">
        <v>31751.884615384613</v>
      </c>
    </row>
    <row r="2711" spans="1:18" x14ac:dyDescent="0.3">
      <c r="A2711">
        <v>41.265680000001183</v>
      </c>
      <c r="B2711">
        <v>49.153799999999997</v>
      </c>
      <c r="C2711">
        <f t="shared" si="126"/>
        <v>49.038460000000001</v>
      </c>
      <c r="D2711">
        <v>0.70415151515151508</v>
      </c>
      <c r="E2711">
        <f t="shared" si="127"/>
        <v>3.8926048881984951</v>
      </c>
      <c r="I2711" s="24">
        <f t="shared" si="128"/>
        <v>0.64110684410893926</v>
      </c>
      <c r="N2711" s="30">
        <v>31742.538461538461</v>
      </c>
    </row>
    <row r="2712" spans="1:18" x14ac:dyDescent="0.3">
      <c r="A2712">
        <v>41.280910000001185</v>
      </c>
      <c r="B2712">
        <v>49.5</v>
      </c>
      <c r="C2712">
        <f t="shared" si="126"/>
        <v>49.361540000000005</v>
      </c>
      <c r="D2712">
        <v>0.70445454545454544</v>
      </c>
      <c r="E2712">
        <f t="shared" si="127"/>
        <v>3.8991715784621448</v>
      </c>
      <c r="I2712" s="24">
        <f t="shared" si="128"/>
        <v>0.64643032655688004</v>
      </c>
      <c r="N2712" s="30">
        <v>31733.192307692305</v>
      </c>
    </row>
    <row r="2713" spans="1:18" x14ac:dyDescent="0.3">
      <c r="A2713">
        <v>41.296140000001188</v>
      </c>
      <c r="B2713">
        <v>49.730800000000002</v>
      </c>
      <c r="C2713">
        <f t="shared" si="126"/>
        <v>49.653839999999995</v>
      </c>
      <c r="D2713">
        <v>0.7047575757575758</v>
      </c>
      <c r="E2713">
        <f t="shared" si="127"/>
        <v>3.9050757288902185</v>
      </c>
      <c r="I2713" s="24">
        <f t="shared" si="128"/>
        <v>0.65122628000010718</v>
      </c>
      <c r="N2713" s="30">
        <v>31723.846153846152</v>
      </c>
    </row>
    <row r="2714" spans="1:18" x14ac:dyDescent="0.3">
      <c r="A2714">
        <v>41.31137000000119</v>
      </c>
      <c r="B2714">
        <v>49.807699999999997</v>
      </c>
      <c r="C2714">
        <f t="shared" si="126"/>
        <v>49.938459999999999</v>
      </c>
      <c r="D2714">
        <v>0.70506060606060605</v>
      </c>
      <c r="E2714">
        <f t="shared" si="127"/>
        <v>3.9107914473717518</v>
      </c>
      <c r="I2714" s="24">
        <f t="shared" si="128"/>
        <v>0.6558941822106209</v>
      </c>
      <c r="N2714" s="30">
        <v>31714.5</v>
      </c>
    </row>
    <row r="2715" spans="1:18" x14ac:dyDescent="0.3">
      <c r="A2715">
        <v>41.326600000001193</v>
      </c>
      <c r="B2715">
        <v>50.076900000000002</v>
      </c>
      <c r="C2715">
        <f t="shared" si="126"/>
        <v>50.346159999999998</v>
      </c>
      <c r="D2715">
        <v>0.70536363636363641</v>
      </c>
      <c r="E2715">
        <f t="shared" si="127"/>
        <v>3.918922350119121</v>
      </c>
      <c r="I2715" s="24">
        <f t="shared" si="128"/>
        <v>0.66271271618032801</v>
      </c>
      <c r="N2715" s="30">
        <v>31705.153846153844</v>
      </c>
    </row>
    <row r="2716" spans="1:18" x14ac:dyDescent="0.3">
      <c r="A2716">
        <v>41.341830000001195</v>
      </c>
      <c r="B2716">
        <v>50.576900000000002</v>
      </c>
      <c r="C2716">
        <f t="shared" si="126"/>
        <v>50.884619999999998</v>
      </c>
      <c r="D2716">
        <v>0.70566666666666666</v>
      </c>
      <c r="E2716">
        <f t="shared" si="127"/>
        <v>3.9295607167964173</v>
      </c>
      <c r="I2716" s="24">
        <f t="shared" si="128"/>
        <v>0.67183030019111989</v>
      </c>
      <c r="N2716" s="30">
        <v>31695.807692307691</v>
      </c>
    </row>
    <row r="2717" spans="1:18" x14ac:dyDescent="0.3">
      <c r="A2717">
        <v>41.357060000001198</v>
      </c>
      <c r="B2717">
        <v>51.538499999999999</v>
      </c>
      <c r="C2717">
        <f t="shared" si="126"/>
        <v>51.623080000000002</v>
      </c>
      <c r="D2717">
        <v>0.70596969696969691</v>
      </c>
      <c r="E2717">
        <f t="shared" si="127"/>
        <v>3.9439688593062909</v>
      </c>
      <c r="I2717" s="24">
        <f t="shared" si="128"/>
        <v>0.68448337346230181</v>
      </c>
      <c r="N2717" s="30">
        <v>31686.461538461535</v>
      </c>
    </row>
    <row r="2718" spans="1:18" x14ac:dyDescent="0.3">
      <c r="A2718">
        <v>41.3722900000012</v>
      </c>
      <c r="B2718">
        <v>52.423099999999998</v>
      </c>
      <c r="C2718">
        <f t="shared" si="126"/>
        <v>52.423080000000006</v>
      </c>
      <c r="D2718">
        <v>0.70627272727272727</v>
      </c>
      <c r="E2718">
        <f t="shared" si="127"/>
        <v>3.9593469523691063</v>
      </c>
      <c r="I2718" s="24">
        <f t="shared" si="128"/>
        <v>0.69827157593074252</v>
      </c>
      <c r="N2718" s="30">
        <v>31677.115384615383</v>
      </c>
    </row>
    <row r="2719" spans="1:18" x14ac:dyDescent="0.3">
      <c r="A2719">
        <v>41.387520000001203</v>
      </c>
      <c r="B2719">
        <v>53.5</v>
      </c>
      <c r="C2719">
        <f t="shared" si="126"/>
        <v>53.330780000000004</v>
      </c>
      <c r="D2719">
        <v>0.70657575757575752</v>
      </c>
      <c r="E2719">
        <f t="shared" si="127"/>
        <v>3.976513650419673</v>
      </c>
      <c r="I2719" s="24">
        <f t="shared" si="128"/>
        <v>0.71402757518638249</v>
      </c>
      <c r="N2719" s="30">
        <v>31667.76923076923</v>
      </c>
    </row>
    <row r="2720" spans="1:18" x14ac:dyDescent="0.3">
      <c r="A2720">
        <v>41.402750000001205</v>
      </c>
      <c r="B2720">
        <v>54.076900000000002</v>
      </c>
      <c r="C2720">
        <f t="shared" si="126"/>
        <v>54.169240000000002</v>
      </c>
      <c r="D2720">
        <v>0.70687878787878788</v>
      </c>
      <c r="E2720">
        <f t="shared" si="127"/>
        <v>3.9921132196655353</v>
      </c>
      <c r="I2720" s="24">
        <f t="shared" si="128"/>
        <v>0.7286249384856075</v>
      </c>
      <c r="N2720" s="30">
        <v>31658.423076923074</v>
      </c>
    </row>
    <row r="2721" spans="1:14" x14ac:dyDescent="0.3">
      <c r="A2721">
        <v>41.417980000001208</v>
      </c>
      <c r="B2721">
        <v>55.115400000000001</v>
      </c>
      <c r="C2721">
        <f t="shared" si="126"/>
        <v>54.923079999999992</v>
      </c>
      <c r="D2721">
        <v>0.70718181818181813</v>
      </c>
      <c r="E2721">
        <f t="shared" si="127"/>
        <v>4.005933660900455</v>
      </c>
      <c r="I2721" s="24">
        <f t="shared" si="128"/>
        <v>0.74177045581195178</v>
      </c>
      <c r="N2721" s="30">
        <v>31649.076923076922</v>
      </c>
    </row>
    <row r="2722" spans="1:14" x14ac:dyDescent="0.3">
      <c r="A2722">
        <v>41.43321000000121</v>
      </c>
      <c r="B2722">
        <v>55.730800000000002</v>
      </c>
      <c r="C2722">
        <f t="shared" si="126"/>
        <v>55.661540000000002</v>
      </c>
      <c r="D2722">
        <v>0.70748484848484838</v>
      </c>
      <c r="E2722">
        <f t="shared" si="127"/>
        <v>4.019289423699183</v>
      </c>
      <c r="I2722" s="24">
        <f t="shared" si="128"/>
        <v>0.7546885433760393</v>
      </c>
      <c r="N2722" s="30">
        <v>31639.73076923077</v>
      </c>
    </row>
    <row r="2723" spans="1:14" x14ac:dyDescent="0.3">
      <c r="A2723">
        <v>41.448440000001213</v>
      </c>
      <c r="B2723">
        <v>56.192300000000003</v>
      </c>
      <c r="C2723">
        <f t="shared" si="126"/>
        <v>56.453859999999999</v>
      </c>
      <c r="D2723">
        <v>0.70778787878787874</v>
      </c>
      <c r="E2723">
        <f t="shared" si="127"/>
        <v>4.033423667354473</v>
      </c>
      <c r="I2723" s="24">
        <f t="shared" si="128"/>
        <v>0.76862404050767852</v>
      </c>
      <c r="N2723" s="30">
        <v>31630.384615384613</v>
      </c>
    </row>
    <row r="2724" spans="1:14" x14ac:dyDescent="0.3">
      <c r="A2724">
        <v>41.463670000001215</v>
      </c>
      <c r="B2724">
        <v>57.192300000000003</v>
      </c>
      <c r="C2724">
        <f t="shared" si="126"/>
        <v>57.223080000000003</v>
      </c>
      <c r="D2724">
        <v>0.70809090909090899</v>
      </c>
      <c r="E2724">
        <f t="shared" si="127"/>
        <v>4.0469573135064261</v>
      </c>
      <c r="I2724" s="24">
        <f t="shared" si="128"/>
        <v>0.78219438577956613</v>
      </c>
      <c r="N2724" s="30">
        <v>31621.038461538461</v>
      </c>
    </row>
    <row r="2725" spans="1:14" x14ac:dyDescent="0.3">
      <c r="A2725">
        <v>41.478900000001218</v>
      </c>
      <c r="B2725">
        <v>58.038499999999999</v>
      </c>
      <c r="C2725">
        <f t="shared" si="126"/>
        <v>57.892299999999999</v>
      </c>
      <c r="D2725">
        <v>0.70839393939393935</v>
      </c>
      <c r="E2725">
        <f t="shared" si="127"/>
        <v>4.0585843878250829</v>
      </c>
      <c r="I2725" s="24">
        <f t="shared" si="128"/>
        <v>0.79399643433309264</v>
      </c>
      <c r="N2725" s="30">
        <v>31611.692307692305</v>
      </c>
    </row>
    <row r="2726" spans="1:14" x14ac:dyDescent="0.3">
      <c r="A2726">
        <v>41.494130000001221</v>
      </c>
      <c r="B2726">
        <v>58.961500000000001</v>
      </c>
      <c r="C2726">
        <f t="shared" si="126"/>
        <v>58.453839999999992</v>
      </c>
      <c r="D2726">
        <v>0.7086969696969696</v>
      </c>
      <c r="E2726">
        <f t="shared" si="127"/>
        <v>4.0682373829371867</v>
      </c>
      <c r="I2726" s="24">
        <f t="shared" si="128"/>
        <v>0.80387161933020335</v>
      </c>
      <c r="N2726" s="30">
        <v>31602.346153846152</v>
      </c>
    </row>
    <row r="2727" spans="1:14" x14ac:dyDescent="0.3">
      <c r="A2727">
        <v>41.509360000001223</v>
      </c>
      <c r="B2727">
        <v>59.076900000000002</v>
      </c>
      <c r="C2727">
        <f t="shared" si="126"/>
        <v>58.653840000000002</v>
      </c>
      <c r="D2727">
        <v>0.70899999999999996</v>
      </c>
      <c r="E2727">
        <f t="shared" si="127"/>
        <v>4.071653046101992</v>
      </c>
      <c r="I2727" s="24">
        <f t="shared" si="128"/>
        <v>0.80717230053062439</v>
      </c>
      <c r="J2727">
        <v>1986</v>
      </c>
      <c r="K2727">
        <f>AVERAGE(I2727:I2848)</f>
        <v>0.78466399897105932</v>
      </c>
      <c r="L2727">
        <f>A2848-A2727</f>
        <v>1.8428300000003048</v>
      </c>
      <c r="M2727">
        <f>K2727*L2727</f>
        <v>1.4460023572240763</v>
      </c>
      <c r="N2727" s="30">
        <v>31593</v>
      </c>
    </row>
    <row r="2728" spans="1:14" x14ac:dyDescent="0.3">
      <c r="A2728">
        <v>41.524590000001226</v>
      </c>
      <c r="B2728">
        <v>59</v>
      </c>
      <c r="C2728">
        <f t="shared" si="126"/>
        <v>58.599980000000002</v>
      </c>
      <c r="D2728">
        <v>0.70930303030303032</v>
      </c>
      <c r="E2728">
        <f t="shared" si="127"/>
        <v>4.07073435528598</v>
      </c>
      <c r="I2728" s="24">
        <f t="shared" si="128"/>
        <v>0.80584608074217079</v>
      </c>
      <c r="N2728" s="30">
        <v>31591.742268041235</v>
      </c>
    </row>
    <row r="2729" spans="1:14" x14ac:dyDescent="0.3">
      <c r="A2729">
        <v>41.539820000001228</v>
      </c>
      <c r="B2729">
        <v>58.192300000000003</v>
      </c>
      <c r="C2729">
        <f t="shared" si="126"/>
        <v>58.384599999999999</v>
      </c>
      <c r="D2729">
        <v>0.70960606060606057</v>
      </c>
      <c r="E2729">
        <f t="shared" si="127"/>
        <v>4.0670521564294475</v>
      </c>
      <c r="I2729" s="24">
        <f t="shared" si="128"/>
        <v>0.80158213949380686</v>
      </c>
      <c r="N2729" s="30">
        <v>31590.484536082473</v>
      </c>
    </row>
    <row r="2730" spans="1:14" x14ac:dyDescent="0.3">
      <c r="A2730">
        <v>41.555050000001231</v>
      </c>
      <c r="B2730">
        <v>57.769199999999998</v>
      </c>
      <c r="C2730">
        <f t="shared" si="126"/>
        <v>58.307680000000005</v>
      </c>
      <c r="D2730">
        <v>0.70990909090909082</v>
      </c>
      <c r="E2730">
        <f t="shared" si="127"/>
        <v>4.0657338170990185</v>
      </c>
      <c r="I2730" s="24">
        <f t="shared" si="128"/>
        <v>0.79984180473924726</v>
      </c>
      <c r="N2730" s="30">
        <v>31589.226804123711</v>
      </c>
    </row>
    <row r="2731" spans="1:14" x14ac:dyDescent="0.3">
      <c r="A2731">
        <v>41.570280000001233</v>
      </c>
      <c r="B2731">
        <v>57.884599999999999</v>
      </c>
      <c r="C2731">
        <f t="shared" si="126"/>
        <v>58.361520000000006</v>
      </c>
      <c r="D2731">
        <v>0.71021212121212118</v>
      </c>
      <c r="E2731">
        <f t="shared" si="127"/>
        <v>4.0666567685518773</v>
      </c>
      <c r="I2731" s="24">
        <f t="shared" si="128"/>
        <v>0.8004786996707749</v>
      </c>
      <c r="N2731" s="30">
        <v>31587.969072164946</v>
      </c>
    </row>
    <row r="2732" spans="1:14" x14ac:dyDescent="0.3">
      <c r="A2732">
        <v>41.585510000001236</v>
      </c>
      <c r="B2732">
        <v>58.692300000000003</v>
      </c>
      <c r="C2732">
        <f t="shared" si="126"/>
        <v>58.530760000000001</v>
      </c>
      <c r="D2732">
        <v>0.71051515151515143</v>
      </c>
      <c r="E2732">
        <f t="shared" si="127"/>
        <v>4.0695524280129503</v>
      </c>
      <c r="I2732" s="24">
        <f t="shared" si="128"/>
        <v>0.8032126579288652</v>
      </c>
      <c r="N2732" s="30">
        <v>31586.711340206184</v>
      </c>
    </row>
    <row r="2733" spans="1:14" x14ac:dyDescent="0.3">
      <c r="A2733">
        <v>41.600740000001238</v>
      </c>
      <c r="B2733">
        <v>59.269199999999998</v>
      </c>
      <c r="C2733">
        <f t="shared" si="126"/>
        <v>58.523079999999993</v>
      </c>
      <c r="D2733">
        <v>0.71081818181818179</v>
      </c>
      <c r="E2733">
        <f t="shared" si="127"/>
        <v>4.0694212063458775</v>
      </c>
      <c r="I2733" s="24">
        <f t="shared" si="128"/>
        <v>0.80273067794437503</v>
      </c>
      <c r="N2733" s="30">
        <v>31585.453608247422</v>
      </c>
    </row>
    <row r="2734" spans="1:14" x14ac:dyDescent="0.3">
      <c r="A2734">
        <v>41.615970000001241</v>
      </c>
      <c r="B2734">
        <v>59.038499999999999</v>
      </c>
      <c r="C2734">
        <f t="shared" si="126"/>
        <v>58.230779999999996</v>
      </c>
      <c r="D2734">
        <v>0.71112121212121204</v>
      </c>
      <c r="E2734">
        <f t="shared" si="127"/>
        <v>4.0644140809164497</v>
      </c>
      <c r="I2734" s="24">
        <f t="shared" si="128"/>
        <v>0.79708362814678879</v>
      </c>
      <c r="N2734" s="30">
        <v>31584.195876288657</v>
      </c>
    </row>
    <row r="2735" spans="1:14" x14ac:dyDescent="0.3">
      <c r="A2735">
        <v>41.631200000001243</v>
      </c>
      <c r="B2735">
        <v>57.730800000000002</v>
      </c>
      <c r="C2735">
        <f t="shared" si="126"/>
        <v>57.500019999999992</v>
      </c>
      <c r="D2735">
        <v>0.71142424242424229</v>
      </c>
      <c r="E2735">
        <f t="shared" si="127"/>
        <v>4.0517852956293314</v>
      </c>
      <c r="I2735" s="24">
        <f t="shared" si="128"/>
        <v>0.78352498297290707</v>
      </c>
      <c r="N2735" s="30">
        <v>31582.938144329895</v>
      </c>
    </row>
    <row r="2736" spans="1:14" x14ac:dyDescent="0.3">
      <c r="A2736">
        <v>41.646430000001246</v>
      </c>
      <c r="B2736">
        <v>56.423099999999998</v>
      </c>
      <c r="C2736">
        <f t="shared" si="126"/>
        <v>56.538480000000007</v>
      </c>
      <c r="D2736">
        <v>0.71172727272727265</v>
      </c>
      <c r="E2736">
        <f t="shared" si="127"/>
        <v>4.0349214682818593</v>
      </c>
      <c r="I2736" s="24">
        <f t="shared" si="128"/>
        <v>0.76588795874068483</v>
      </c>
      <c r="N2736" s="30">
        <v>31581.680412371134</v>
      </c>
    </row>
    <row r="2737" spans="1:14" x14ac:dyDescent="0.3">
      <c r="A2737">
        <v>41.661660000001248</v>
      </c>
      <c r="B2737">
        <v>55.038499999999999</v>
      </c>
      <c r="C2737">
        <f t="shared" si="126"/>
        <v>55.57694</v>
      </c>
      <c r="D2737">
        <v>0.7120303030303029</v>
      </c>
      <c r="E2737">
        <f t="shared" si="127"/>
        <v>4.0177683670232742</v>
      </c>
      <c r="I2737" s="24">
        <f t="shared" si="128"/>
        <v>0.74836122737326927</v>
      </c>
      <c r="N2737" s="30">
        <v>31580.422680412368</v>
      </c>
    </row>
    <row r="2738" spans="1:14" x14ac:dyDescent="0.3">
      <c r="A2738">
        <v>41.676890000001251</v>
      </c>
      <c r="B2738">
        <v>54.461500000000001</v>
      </c>
      <c r="C2738">
        <f t="shared" si="126"/>
        <v>54.846160000000012</v>
      </c>
      <c r="D2738">
        <v>0.71233333333333326</v>
      </c>
      <c r="E2738">
        <f t="shared" si="127"/>
        <v>4.0045321751547167</v>
      </c>
      <c r="I2738" s="24">
        <f t="shared" si="128"/>
        <v>0.7350400466770779</v>
      </c>
      <c r="N2738" s="30">
        <v>31579.164948453606</v>
      </c>
    </row>
    <row r="2739" spans="1:14" x14ac:dyDescent="0.3">
      <c r="A2739">
        <v>41.692120000001253</v>
      </c>
      <c r="B2739">
        <v>54.230800000000002</v>
      </c>
      <c r="C2739">
        <f t="shared" si="126"/>
        <v>54.33077999999999</v>
      </c>
      <c r="D2739">
        <v>0.71263636363636351</v>
      </c>
      <c r="E2739">
        <f t="shared" si="127"/>
        <v>3.9950909171693754</v>
      </c>
      <c r="I2739" s="24">
        <f t="shared" si="128"/>
        <v>0.72559491420345945</v>
      </c>
      <c r="N2739" s="30">
        <v>31577.907216494845</v>
      </c>
    </row>
    <row r="2740" spans="1:14" x14ac:dyDescent="0.3">
      <c r="A2740">
        <v>41.707350000001256</v>
      </c>
      <c r="B2740">
        <v>54.076900000000002</v>
      </c>
      <c r="C2740">
        <f t="shared" si="126"/>
        <v>54.053840000000001</v>
      </c>
      <c r="D2740">
        <v>0.71293939393939387</v>
      </c>
      <c r="E2740">
        <f t="shared" si="127"/>
        <v>3.9899805868900171</v>
      </c>
      <c r="I2740" s="24">
        <f t="shared" si="128"/>
        <v>0.72039277939907309</v>
      </c>
      <c r="N2740" s="30">
        <v>31576.649484536083</v>
      </c>
    </row>
    <row r="2741" spans="1:14" x14ac:dyDescent="0.3">
      <c r="A2741">
        <v>41.722580000001258</v>
      </c>
      <c r="B2741">
        <v>53.846200000000003</v>
      </c>
      <c r="C2741">
        <f t="shared" si="126"/>
        <v>53.8</v>
      </c>
      <c r="D2741">
        <v>0.71324242424242423</v>
      </c>
      <c r="E2741">
        <f t="shared" si="127"/>
        <v>3.9852734671677386</v>
      </c>
      <c r="I2741" s="24">
        <f t="shared" si="128"/>
        <v>0.7156102282178558</v>
      </c>
      <c r="N2741" s="30">
        <v>31575.391752577318</v>
      </c>
    </row>
    <row r="2742" spans="1:14" x14ac:dyDescent="0.3">
      <c r="A2742">
        <v>41.737810000001261</v>
      </c>
      <c r="B2742">
        <v>53.653799999999997</v>
      </c>
      <c r="C2742">
        <f t="shared" si="126"/>
        <v>53.561540000000001</v>
      </c>
      <c r="D2742">
        <v>0.71354545454545448</v>
      </c>
      <c r="E2742">
        <f t="shared" si="127"/>
        <v>3.9808312732102156</v>
      </c>
      <c r="I2742" s="24">
        <f t="shared" si="128"/>
        <v>0.71110909256711763</v>
      </c>
      <c r="N2742" s="30">
        <v>31574.134020618556</v>
      </c>
    </row>
    <row r="2743" spans="1:14" x14ac:dyDescent="0.3">
      <c r="A2743">
        <v>41.753040000001263</v>
      </c>
      <c r="B2743">
        <v>53.192300000000003</v>
      </c>
      <c r="C2743">
        <f t="shared" si="126"/>
        <v>53.292319999999997</v>
      </c>
      <c r="D2743">
        <v>0.71384848484848473</v>
      </c>
      <c r="E2743">
        <f t="shared" si="127"/>
        <v>3.975792230733544</v>
      </c>
      <c r="I2743" s="24">
        <f t="shared" si="128"/>
        <v>0.70607787614139161</v>
      </c>
      <c r="N2743" s="30">
        <v>31572.876288659794</v>
      </c>
    </row>
    <row r="2744" spans="1:14" x14ac:dyDescent="0.3">
      <c r="A2744">
        <v>41.768270000001266</v>
      </c>
      <c r="B2744">
        <v>53.038499999999999</v>
      </c>
      <c r="C2744">
        <f t="shared" si="126"/>
        <v>53.084620000000008</v>
      </c>
      <c r="D2744">
        <v>0.71415151515151509</v>
      </c>
      <c r="E2744">
        <f t="shared" si="127"/>
        <v>3.9718872441089368</v>
      </c>
      <c r="I2744" s="24">
        <f t="shared" si="128"/>
        <v>0.70213647859543438</v>
      </c>
      <c r="N2744" s="30">
        <v>31571.618556701029</v>
      </c>
    </row>
    <row r="2745" spans="1:14" x14ac:dyDescent="0.3">
      <c r="A2745">
        <v>41.783500000001268</v>
      </c>
      <c r="B2745">
        <v>52.730800000000002</v>
      </c>
      <c r="C2745">
        <f t="shared" si="126"/>
        <v>52.938479999999991</v>
      </c>
      <c r="D2745">
        <v>0.71445454545454534</v>
      </c>
      <c r="E2745">
        <f t="shared" si="127"/>
        <v>3.9691304846376148</v>
      </c>
      <c r="I2745" s="24">
        <f t="shared" si="128"/>
        <v>0.69928012427426856</v>
      </c>
      <c r="N2745" s="30">
        <v>31570.360824742267</v>
      </c>
    </row>
    <row r="2746" spans="1:14" x14ac:dyDescent="0.3">
      <c r="A2746">
        <v>41.798730000001271</v>
      </c>
      <c r="B2746">
        <v>52.807699999999997</v>
      </c>
      <c r="C2746">
        <f t="shared" ref="C2746:C2809" si="129">AVERAGE(B2744:B2748)</f>
        <v>52.876940000000005</v>
      </c>
      <c r="D2746">
        <v>0.7147575757575757</v>
      </c>
      <c r="E2746">
        <f t="shared" ref="E2746:E2809" si="130">LN(C2746)</f>
        <v>3.9679673270006979</v>
      </c>
      <c r="I2746" s="24">
        <f t="shared" ref="I2746:I2809" si="131">(0.0026*(EXP(1.3248*E2746)))/D2746</f>
        <v>0.69790738555158893</v>
      </c>
      <c r="N2746" s="30">
        <v>31569.103092783505</v>
      </c>
    </row>
    <row r="2747" spans="1:14" x14ac:dyDescent="0.3">
      <c r="A2747">
        <v>41.813960000001273</v>
      </c>
      <c r="B2747">
        <v>52.923099999999998</v>
      </c>
      <c r="C2747">
        <f t="shared" si="129"/>
        <v>52.876940000000005</v>
      </c>
      <c r="D2747">
        <v>0.71506060606060595</v>
      </c>
      <c r="E2747">
        <f t="shared" si="130"/>
        <v>3.9679673270006979</v>
      </c>
      <c r="I2747" s="24">
        <f t="shared" si="131"/>
        <v>0.69761162448638936</v>
      </c>
      <c r="N2747" s="30">
        <v>31567.84536082474</v>
      </c>
    </row>
    <row r="2748" spans="1:14" x14ac:dyDescent="0.3">
      <c r="A2748">
        <v>41.829190000001276</v>
      </c>
      <c r="B2748">
        <v>52.884599999999999</v>
      </c>
      <c r="C2748">
        <f t="shared" si="129"/>
        <v>53.038480000000007</v>
      </c>
      <c r="D2748">
        <v>0.7153636363636362</v>
      </c>
      <c r="E2748">
        <f t="shared" si="130"/>
        <v>3.9710176878500771</v>
      </c>
      <c r="I2748" s="24">
        <f t="shared" si="131"/>
        <v>0.70013975221396674</v>
      </c>
      <c r="N2748" s="30">
        <v>31566.587628865978</v>
      </c>
    </row>
    <row r="2749" spans="1:14" x14ac:dyDescent="0.3">
      <c r="A2749">
        <v>41.844420000001278</v>
      </c>
      <c r="B2749">
        <v>53.038499999999999</v>
      </c>
      <c r="C2749">
        <f t="shared" si="129"/>
        <v>53.307699999999997</v>
      </c>
      <c r="D2749">
        <v>0.71566666666666656</v>
      </c>
      <c r="E2749">
        <f t="shared" si="130"/>
        <v>3.9760807860285001</v>
      </c>
      <c r="I2749" s="24">
        <f t="shared" si="131"/>
        <v>0.70455333886214988</v>
      </c>
      <c r="N2749" s="30">
        <v>31565.329896907217</v>
      </c>
    </row>
    <row r="2750" spans="1:14" x14ac:dyDescent="0.3">
      <c r="A2750">
        <v>41.859650000001281</v>
      </c>
      <c r="B2750">
        <v>53.538499999999999</v>
      </c>
      <c r="C2750">
        <f t="shared" si="129"/>
        <v>53.723080000000003</v>
      </c>
      <c r="D2750">
        <v>0.71596969696969681</v>
      </c>
      <c r="E2750">
        <f t="shared" si="130"/>
        <v>3.9838427043376226</v>
      </c>
      <c r="I2750" s="24">
        <f t="shared" si="131"/>
        <v>0.71153435047615821</v>
      </c>
      <c r="N2750" s="30">
        <v>31564.072164948451</v>
      </c>
    </row>
    <row r="2751" spans="1:14" x14ac:dyDescent="0.3">
      <c r="A2751">
        <v>41.874880000001284</v>
      </c>
      <c r="B2751">
        <v>54.153799999999997</v>
      </c>
      <c r="C2751">
        <f t="shared" si="129"/>
        <v>54.246159999999996</v>
      </c>
      <c r="D2751">
        <v>0.71627272727272717</v>
      </c>
      <c r="E2751">
        <f t="shared" si="130"/>
        <v>3.9935322065051668</v>
      </c>
      <c r="I2751" s="24">
        <f t="shared" si="131"/>
        <v>0.72042202976432268</v>
      </c>
      <c r="N2751" s="30">
        <v>31562.81443298969</v>
      </c>
    </row>
    <row r="2752" spans="1:14" x14ac:dyDescent="0.3">
      <c r="A2752">
        <v>41.890110000001286</v>
      </c>
      <c r="B2752">
        <v>55</v>
      </c>
      <c r="C2752">
        <f t="shared" si="129"/>
        <v>54.661540000000002</v>
      </c>
      <c r="D2752">
        <v>0.71657575757575742</v>
      </c>
      <c r="E2752">
        <f t="shared" si="130"/>
        <v>4.0011603542706187</v>
      </c>
      <c r="I2752" s="24">
        <f t="shared" si="131"/>
        <v>0.72743160933093609</v>
      </c>
      <c r="N2752" s="30">
        <v>31561.556701030928</v>
      </c>
    </row>
    <row r="2753" spans="1:14" x14ac:dyDescent="0.3">
      <c r="A2753">
        <v>41.905340000001289</v>
      </c>
      <c r="B2753">
        <v>55.5</v>
      </c>
      <c r="C2753">
        <f t="shared" si="129"/>
        <v>54.892299999999999</v>
      </c>
      <c r="D2753">
        <v>0.71687878787878778</v>
      </c>
      <c r="E2753">
        <f t="shared" si="130"/>
        <v>4.0053730836697241</v>
      </c>
      <c r="I2753" s="24">
        <f t="shared" si="131"/>
        <v>0.73119356062002805</v>
      </c>
      <c r="N2753" s="30">
        <v>31560.298969072162</v>
      </c>
    </row>
    <row r="2754" spans="1:14" x14ac:dyDescent="0.3">
      <c r="A2754">
        <v>41.920570000001291</v>
      </c>
      <c r="B2754">
        <v>55.115400000000001</v>
      </c>
      <c r="C2754">
        <f t="shared" si="129"/>
        <v>54.984620000000007</v>
      </c>
      <c r="D2754">
        <v>0.71718181818181814</v>
      </c>
      <c r="E2754">
        <f t="shared" si="130"/>
        <v>4.0070535097632964</v>
      </c>
      <c r="I2754" s="24">
        <f t="shared" si="131"/>
        <v>0.73251353859741808</v>
      </c>
      <c r="N2754" s="30">
        <v>31559.041237113401</v>
      </c>
    </row>
    <row r="2755" spans="1:14" x14ac:dyDescent="0.3">
      <c r="A2755">
        <v>41.935800000001294</v>
      </c>
      <c r="B2755">
        <v>54.692300000000003</v>
      </c>
      <c r="C2755">
        <f t="shared" si="129"/>
        <v>54.969239999999999</v>
      </c>
      <c r="D2755">
        <v>0.71748484848484839</v>
      </c>
      <c r="E2755">
        <f t="shared" si="130"/>
        <v>4.006773756053871</v>
      </c>
      <c r="I2755" s="24">
        <f t="shared" si="131"/>
        <v>0.73193284336319753</v>
      </c>
      <c r="N2755" s="30">
        <v>31557.783505154639</v>
      </c>
    </row>
    <row r="2756" spans="1:14" x14ac:dyDescent="0.3">
      <c r="A2756">
        <v>41.951030000001296</v>
      </c>
      <c r="B2756">
        <v>54.615400000000001</v>
      </c>
      <c r="C2756">
        <f t="shared" si="129"/>
        <v>54.876940000000005</v>
      </c>
      <c r="D2756">
        <v>0.71778787878787864</v>
      </c>
      <c r="E2756">
        <f t="shared" si="130"/>
        <v>4.0050932238456012</v>
      </c>
      <c r="I2756" s="24">
        <f t="shared" si="131"/>
        <v>0.72999678863609552</v>
      </c>
      <c r="N2756" s="30">
        <v>31556.525773195874</v>
      </c>
    </row>
    <row r="2757" spans="1:14" x14ac:dyDescent="0.3">
      <c r="A2757">
        <v>41.966260000001299</v>
      </c>
      <c r="B2757">
        <v>54.923099999999998</v>
      </c>
      <c r="C2757">
        <f t="shared" si="129"/>
        <v>54.74616000000001</v>
      </c>
      <c r="D2757">
        <v>0.718090909090909</v>
      </c>
      <c r="E2757">
        <f t="shared" si="130"/>
        <v>4.0027072292505954</v>
      </c>
      <c r="I2757" s="24">
        <f t="shared" si="131"/>
        <v>0.7273858546820271</v>
      </c>
      <c r="N2757" s="30">
        <v>31555.268041237112</v>
      </c>
    </row>
    <row r="2758" spans="1:14" x14ac:dyDescent="0.3">
      <c r="A2758">
        <v>41.981490000001301</v>
      </c>
      <c r="B2758">
        <v>55.038499999999999</v>
      </c>
      <c r="C2758">
        <f t="shared" si="129"/>
        <v>54.638459999999995</v>
      </c>
      <c r="D2758">
        <v>0.71839393939393925</v>
      </c>
      <c r="E2758">
        <f t="shared" si="130"/>
        <v>4.0007380303851106</v>
      </c>
      <c r="I2758" s="24">
        <f t="shared" si="131"/>
        <v>0.72518470358032294</v>
      </c>
      <c r="N2758" s="30">
        <v>31554.01030927835</v>
      </c>
    </row>
    <row r="2759" spans="1:14" x14ac:dyDescent="0.3">
      <c r="A2759">
        <v>41.996720000001304</v>
      </c>
      <c r="B2759">
        <v>54.461500000000001</v>
      </c>
      <c r="C2759">
        <f t="shared" si="129"/>
        <v>54.615380000000002</v>
      </c>
      <c r="D2759">
        <v>0.71869696969696961</v>
      </c>
      <c r="E2759">
        <f t="shared" si="130"/>
        <v>4.0003155280667784</v>
      </c>
      <c r="I2759" s="24">
        <f t="shared" si="131"/>
        <v>0.72447331406524995</v>
      </c>
      <c r="N2759" s="30">
        <v>31552.752577319585</v>
      </c>
    </row>
    <row r="2760" spans="1:14" x14ac:dyDescent="0.3">
      <c r="A2760">
        <v>42.011950000001306</v>
      </c>
      <c r="B2760">
        <v>54.153799999999997</v>
      </c>
      <c r="C2760">
        <f t="shared" si="129"/>
        <v>54.561519999999994</v>
      </c>
      <c r="D2760" s="8">
        <v>0.71899999999999986</v>
      </c>
      <c r="E2760">
        <f t="shared" si="130"/>
        <v>3.999328872384682</v>
      </c>
      <c r="I2760" s="24">
        <f t="shared" si="131"/>
        <v>0.72322201985569434</v>
      </c>
      <c r="N2760" s="30">
        <v>31551.494845360823</v>
      </c>
    </row>
    <row r="2761" spans="1:14" x14ac:dyDescent="0.3">
      <c r="A2761">
        <v>42.027180000001309</v>
      </c>
      <c r="B2761">
        <v>54.5</v>
      </c>
      <c r="C2761">
        <f t="shared" si="129"/>
        <v>54.476900000000001</v>
      </c>
      <c r="D2761">
        <v>0.71896923076923058</v>
      </c>
      <c r="E2761">
        <f t="shared" si="130"/>
        <v>3.997776758607027</v>
      </c>
      <c r="I2761" s="24">
        <f t="shared" si="131"/>
        <v>0.72176731711456543</v>
      </c>
      <c r="N2761" s="30">
        <v>31550.237113402061</v>
      </c>
    </row>
    <row r="2762" spans="1:14" x14ac:dyDescent="0.3">
      <c r="A2762">
        <v>42.042410000001311</v>
      </c>
      <c r="B2762">
        <v>54.653799999999997</v>
      </c>
      <c r="C2762">
        <f t="shared" si="129"/>
        <v>54.476900000000001</v>
      </c>
      <c r="D2762">
        <v>0.71893846153846142</v>
      </c>
      <c r="E2762">
        <f t="shared" si="130"/>
        <v>3.997776758607027</v>
      </c>
      <c r="I2762" s="24">
        <f t="shared" si="131"/>
        <v>0.72179820741509892</v>
      </c>
      <c r="N2762" s="30">
        <v>31548.979381443296</v>
      </c>
    </row>
    <row r="2763" spans="1:14" x14ac:dyDescent="0.3">
      <c r="A2763">
        <v>42.057640000001314</v>
      </c>
      <c r="B2763">
        <v>54.615400000000001</v>
      </c>
      <c r="C2763">
        <f t="shared" si="129"/>
        <v>54.569219999999994</v>
      </c>
      <c r="D2763">
        <v>0.71890769230769214</v>
      </c>
      <c r="E2763">
        <f t="shared" si="130"/>
        <v>3.9994699875280921</v>
      </c>
      <c r="I2763" s="24">
        <f t="shared" si="131"/>
        <v>0.72345011738921161</v>
      </c>
      <c r="N2763" s="30">
        <v>31547.721649484534</v>
      </c>
    </row>
    <row r="2764" spans="1:14" x14ac:dyDescent="0.3">
      <c r="A2764">
        <v>42.072870000001316</v>
      </c>
      <c r="B2764">
        <v>54.461500000000001</v>
      </c>
      <c r="C2764">
        <f t="shared" si="129"/>
        <v>54.692300000000003</v>
      </c>
      <c r="D2764">
        <v>0.71887692307692297</v>
      </c>
      <c r="E2764">
        <f t="shared" si="130"/>
        <v>4.0017229316947178</v>
      </c>
      <c r="I2764" s="24">
        <f t="shared" si="131"/>
        <v>0.72564368241118837</v>
      </c>
      <c r="N2764" s="30">
        <v>31546.463917525773</v>
      </c>
    </row>
    <row r="2765" spans="1:14" x14ac:dyDescent="0.3">
      <c r="A2765">
        <v>42.088100000001319</v>
      </c>
      <c r="B2765">
        <v>54.615400000000001</v>
      </c>
      <c r="C2765">
        <f t="shared" si="129"/>
        <v>54.984619999999993</v>
      </c>
      <c r="D2765">
        <v>0.71884615384615369</v>
      </c>
      <c r="E2765">
        <f t="shared" si="130"/>
        <v>4.0070535097632964</v>
      </c>
      <c r="I2765" s="24">
        <f t="shared" si="131"/>
        <v>0.73081755900515999</v>
      </c>
      <c r="N2765" s="30">
        <v>31545.206185567011</v>
      </c>
    </row>
    <row r="2766" spans="1:14" x14ac:dyDescent="0.3">
      <c r="A2766">
        <v>42.103330000001321</v>
      </c>
      <c r="B2766">
        <v>55.115400000000001</v>
      </c>
      <c r="C2766">
        <f t="shared" si="129"/>
        <v>55.438459999999999</v>
      </c>
      <c r="D2766">
        <v>0.71881538461538441</v>
      </c>
      <c r="E2766">
        <f t="shared" si="130"/>
        <v>4.0152735767180605</v>
      </c>
      <c r="I2766" s="24">
        <f t="shared" si="131"/>
        <v>0.7388512392167369</v>
      </c>
      <c r="N2766" s="30">
        <v>31543.948453608245</v>
      </c>
    </row>
    <row r="2767" spans="1:14" x14ac:dyDescent="0.3">
      <c r="A2767">
        <v>42.118560000001324</v>
      </c>
      <c r="B2767">
        <v>56.115400000000001</v>
      </c>
      <c r="C2767">
        <f t="shared" si="129"/>
        <v>55.946160000000006</v>
      </c>
      <c r="D2767">
        <v>0.71878461538461524</v>
      </c>
      <c r="E2767">
        <f t="shared" si="130"/>
        <v>4.0243897996948279</v>
      </c>
      <c r="I2767" s="24">
        <f t="shared" si="131"/>
        <v>0.74786058667913113</v>
      </c>
      <c r="N2767" s="30">
        <v>31542.690721649484</v>
      </c>
    </row>
    <row r="2768" spans="1:14" x14ac:dyDescent="0.3">
      <c r="A2768">
        <v>42.133790000001326</v>
      </c>
      <c r="B2768">
        <v>56.884599999999999</v>
      </c>
      <c r="C2768">
        <f t="shared" si="129"/>
        <v>56.276919999999997</v>
      </c>
      <c r="D2768">
        <v>0.71875384615384608</v>
      </c>
      <c r="E2768">
        <f t="shared" si="130"/>
        <v>4.0302845043804867</v>
      </c>
      <c r="I2768" s="24">
        <f t="shared" si="131"/>
        <v>0.75375598789189924</v>
      </c>
      <c r="N2768" s="30">
        <v>31541.432989690722</v>
      </c>
    </row>
    <row r="2769" spans="1:14" x14ac:dyDescent="0.3">
      <c r="A2769">
        <v>42.149020000001329</v>
      </c>
      <c r="B2769">
        <v>57</v>
      </c>
      <c r="C2769">
        <f t="shared" si="129"/>
        <v>56.253840000000004</v>
      </c>
      <c r="D2769">
        <v>0.7187230769230768</v>
      </c>
      <c r="E2769">
        <f t="shared" si="130"/>
        <v>4.0298743054211332</v>
      </c>
      <c r="I2769" s="24">
        <f t="shared" si="131"/>
        <v>0.75337873585446291</v>
      </c>
      <c r="N2769" s="30">
        <v>31540.175257731957</v>
      </c>
    </row>
    <row r="2770" spans="1:14" x14ac:dyDescent="0.3">
      <c r="A2770">
        <v>42.164250000001331</v>
      </c>
      <c r="B2770">
        <v>56.269199999999998</v>
      </c>
      <c r="C2770">
        <f t="shared" si="129"/>
        <v>55.776919999999997</v>
      </c>
      <c r="D2770">
        <v>0.71869230769230763</v>
      </c>
      <c r="E2770">
        <f t="shared" si="130"/>
        <v>4.0213601637512042</v>
      </c>
      <c r="I2770" s="24">
        <f t="shared" si="131"/>
        <v>0.74496061232219912</v>
      </c>
      <c r="N2770" s="30">
        <v>31538.917525773195</v>
      </c>
    </row>
    <row r="2771" spans="1:14" x14ac:dyDescent="0.3">
      <c r="A2771">
        <v>42.179480000001334</v>
      </c>
      <c r="B2771">
        <v>55</v>
      </c>
      <c r="C2771">
        <f t="shared" si="129"/>
        <v>54.95384</v>
      </c>
      <c r="D2771">
        <v>0.71866153846153835</v>
      </c>
      <c r="E2771">
        <f t="shared" si="130"/>
        <v>4.0064935601186633</v>
      </c>
      <c r="I2771" s="24">
        <f t="shared" si="131"/>
        <v>0.73046322291722132</v>
      </c>
      <c r="N2771" s="30">
        <v>31537.659793814433</v>
      </c>
    </row>
    <row r="2772" spans="1:14" x14ac:dyDescent="0.3">
      <c r="A2772">
        <v>42.194710000001336</v>
      </c>
      <c r="B2772">
        <v>53.730800000000002</v>
      </c>
      <c r="C2772">
        <f t="shared" si="129"/>
        <v>53.9</v>
      </c>
      <c r="D2772">
        <v>0.71863076923076918</v>
      </c>
      <c r="E2772">
        <f t="shared" si="130"/>
        <v>3.9871304779149512</v>
      </c>
      <c r="I2772" s="24">
        <f t="shared" si="131"/>
        <v>0.71199400333059537</v>
      </c>
      <c r="N2772" s="30">
        <v>31536.402061855668</v>
      </c>
    </row>
    <row r="2773" spans="1:14" x14ac:dyDescent="0.3">
      <c r="A2773">
        <v>42.209940000001339</v>
      </c>
      <c r="B2773">
        <v>52.769199999999998</v>
      </c>
      <c r="C2773">
        <f t="shared" si="129"/>
        <v>52.807699999999997</v>
      </c>
      <c r="D2773">
        <v>0.71859999999999991</v>
      </c>
      <c r="E2773">
        <f t="shared" si="130"/>
        <v>3.9666570134129024</v>
      </c>
      <c r="I2773" s="24">
        <f t="shared" si="131"/>
        <v>0.69297163020690977</v>
      </c>
      <c r="N2773" s="30">
        <v>31535.144329896906</v>
      </c>
    </row>
    <row r="2774" spans="1:14" x14ac:dyDescent="0.3">
      <c r="A2774">
        <v>42.225170000001341</v>
      </c>
      <c r="B2774">
        <v>51.730800000000002</v>
      </c>
      <c r="C2774">
        <f t="shared" si="129"/>
        <v>51.884619999999998</v>
      </c>
      <c r="D2774">
        <v>0.71856923076923063</v>
      </c>
      <c r="E2774">
        <f t="shared" si="130"/>
        <v>3.9490224071410513</v>
      </c>
      <c r="I2774" s="24">
        <f t="shared" si="131"/>
        <v>0.67699883597777255</v>
      </c>
      <c r="N2774" s="30">
        <v>31533.886597938144</v>
      </c>
    </row>
    <row r="2775" spans="1:14" x14ac:dyDescent="0.3">
      <c r="A2775">
        <v>42.240400000001344</v>
      </c>
      <c r="B2775">
        <v>50.807699999999997</v>
      </c>
      <c r="C2775">
        <f t="shared" si="129"/>
        <v>51.153840000000002</v>
      </c>
      <c r="D2775">
        <v>0.71853846153846146</v>
      </c>
      <c r="E2775">
        <f t="shared" si="130"/>
        <v>3.9348375628935583</v>
      </c>
      <c r="I2775" s="24">
        <f t="shared" si="131"/>
        <v>0.66442386247443941</v>
      </c>
      <c r="N2775" s="30">
        <v>31532.628865979379</v>
      </c>
    </row>
    <row r="2776" spans="1:14" x14ac:dyDescent="0.3">
      <c r="A2776">
        <v>42.255630000001347</v>
      </c>
      <c r="B2776">
        <v>50.384599999999999</v>
      </c>
      <c r="C2776">
        <f t="shared" si="129"/>
        <v>50.630759999999995</v>
      </c>
      <c r="D2776">
        <v>0.71850769230769218</v>
      </c>
      <c r="E2776">
        <f t="shared" si="130"/>
        <v>3.9245592967322804</v>
      </c>
      <c r="I2776" s="24">
        <f t="shared" si="131"/>
        <v>0.65546602342482274</v>
      </c>
      <c r="N2776" s="30">
        <v>31531.371134020617</v>
      </c>
    </row>
    <row r="2777" spans="1:14" x14ac:dyDescent="0.3">
      <c r="A2777">
        <v>42.270860000001349</v>
      </c>
      <c r="B2777">
        <v>50.076900000000002</v>
      </c>
      <c r="C2777">
        <f t="shared" si="129"/>
        <v>50.323059999999998</v>
      </c>
      <c r="D2777">
        <v>0.71847692307692301</v>
      </c>
      <c r="E2777">
        <f t="shared" si="130"/>
        <v>3.9184634213540934</v>
      </c>
      <c r="I2777" s="24">
        <f t="shared" si="131"/>
        <v>0.6502217625200587</v>
      </c>
      <c r="N2777" s="30">
        <v>31530.113402061856</v>
      </c>
    </row>
    <row r="2778" spans="1:14" x14ac:dyDescent="0.3">
      <c r="A2778">
        <v>42.286090000001352</v>
      </c>
      <c r="B2778">
        <v>50.153799999999997</v>
      </c>
      <c r="C2778">
        <f t="shared" si="129"/>
        <v>50.253819999999997</v>
      </c>
      <c r="D2778">
        <v>0.71844615384615373</v>
      </c>
      <c r="E2778">
        <f t="shared" si="130"/>
        <v>3.9170865639503165</v>
      </c>
      <c r="I2778" s="24">
        <f t="shared" si="131"/>
        <v>0.6490645962186653</v>
      </c>
      <c r="N2778" s="30">
        <v>31528.85567010309</v>
      </c>
    </row>
    <row r="2779" spans="1:14" x14ac:dyDescent="0.3">
      <c r="A2779">
        <v>42.301320000001354</v>
      </c>
      <c r="B2779">
        <v>50.192300000000003</v>
      </c>
      <c r="C2779">
        <f t="shared" si="129"/>
        <v>50.238440000000004</v>
      </c>
      <c r="D2779">
        <v>0.71841538461538446</v>
      </c>
      <c r="E2779">
        <f t="shared" si="130"/>
        <v>3.9167804707224385</v>
      </c>
      <c r="I2779" s="24">
        <f t="shared" si="131"/>
        <v>0.6488292336092133</v>
      </c>
      <c r="N2779" s="30">
        <v>31527.597938144329</v>
      </c>
    </row>
    <row r="2780" spans="1:14" x14ac:dyDescent="0.3">
      <c r="A2780">
        <v>42.316550000001357</v>
      </c>
      <c r="B2780">
        <v>50.461500000000001</v>
      </c>
      <c r="C2780">
        <f t="shared" si="129"/>
        <v>50.284599999999998</v>
      </c>
      <c r="D2780">
        <v>0.71838461538461529</v>
      </c>
      <c r="E2780">
        <f t="shared" si="130"/>
        <v>3.9176988672063584</v>
      </c>
      <c r="I2780" s="24">
        <f t="shared" si="131"/>
        <v>0.64964696309320025</v>
      </c>
      <c r="N2780" s="30">
        <v>31526.340206185567</v>
      </c>
    </row>
    <row r="2781" spans="1:14" x14ac:dyDescent="0.3">
      <c r="A2781">
        <v>42.331780000001359</v>
      </c>
      <c r="B2781">
        <v>50.307699999999997</v>
      </c>
      <c r="C2781">
        <f t="shared" si="129"/>
        <v>50.276920000000004</v>
      </c>
      <c r="D2781">
        <v>0.71835384615384601</v>
      </c>
      <c r="E2781">
        <f t="shared" si="130"/>
        <v>3.9175461248847441</v>
      </c>
      <c r="I2781" s="24">
        <f t="shared" si="131"/>
        <v>0.64954333904341266</v>
      </c>
      <c r="N2781" s="30">
        <v>31525.082474226801</v>
      </c>
    </row>
    <row r="2782" spans="1:14" x14ac:dyDescent="0.3">
      <c r="A2782">
        <v>42.347010000001362</v>
      </c>
      <c r="B2782">
        <v>50.307699999999997</v>
      </c>
      <c r="C2782">
        <f t="shared" si="129"/>
        <v>50.261539999999997</v>
      </c>
      <c r="D2782">
        <v>0.71832307692307684</v>
      </c>
      <c r="E2782">
        <f t="shared" si="130"/>
        <v>3.9172401723145542</v>
      </c>
      <c r="I2782" s="24">
        <f t="shared" si="131"/>
        <v>0.64930792740077115</v>
      </c>
      <c r="N2782" s="30">
        <v>31523.82474226804</v>
      </c>
    </row>
    <row r="2783" spans="1:14" x14ac:dyDescent="0.3">
      <c r="A2783">
        <v>42.362240000001364</v>
      </c>
      <c r="B2783">
        <v>50.115400000000001</v>
      </c>
      <c r="C2783">
        <f t="shared" si="129"/>
        <v>50.115400000000001</v>
      </c>
      <c r="D2783">
        <v>0.71829230769230756</v>
      </c>
      <c r="E2783">
        <f t="shared" si="130"/>
        <v>3.9143283460871992</v>
      </c>
      <c r="I2783" s="24">
        <f t="shared" si="131"/>
        <v>0.64683569737607394</v>
      </c>
      <c r="N2783" s="30">
        <v>31522.567010309278</v>
      </c>
    </row>
    <row r="2784" spans="1:14" x14ac:dyDescent="0.3">
      <c r="A2784">
        <v>42.377470000001367</v>
      </c>
      <c r="B2784">
        <v>50.115400000000001</v>
      </c>
      <c r="C2784">
        <f t="shared" si="129"/>
        <v>49.923099999999998</v>
      </c>
      <c r="D2784">
        <v>0.7182615384615384</v>
      </c>
      <c r="E2784">
        <f t="shared" si="130"/>
        <v>3.9104838214920612</v>
      </c>
      <c r="I2784" s="24">
        <f t="shared" si="131"/>
        <v>0.64357716109208962</v>
      </c>
      <c r="N2784" s="30">
        <v>31521.309278350513</v>
      </c>
    </row>
    <row r="2785" spans="1:14" x14ac:dyDescent="0.3">
      <c r="A2785">
        <v>42.392700000001369</v>
      </c>
      <c r="B2785">
        <v>49.730800000000002</v>
      </c>
      <c r="C2785">
        <f t="shared" si="129"/>
        <v>49.692320000000002</v>
      </c>
      <c r="D2785">
        <v>0.71823076923076923</v>
      </c>
      <c r="E2785">
        <f t="shared" si="130"/>
        <v>3.905850393999053</v>
      </c>
      <c r="I2785" s="24">
        <f t="shared" si="131"/>
        <v>0.63966615213022626</v>
      </c>
      <c r="N2785" s="30">
        <v>31520.051546391751</v>
      </c>
    </row>
    <row r="2786" spans="1:14" x14ac:dyDescent="0.3">
      <c r="A2786">
        <v>42.407930000001372</v>
      </c>
      <c r="B2786">
        <v>49.346200000000003</v>
      </c>
      <c r="C2786">
        <f t="shared" si="129"/>
        <v>49.48462</v>
      </c>
      <c r="D2786">
        <v>0.71819999999999995</v>
      </c>
      <c r="E2786">
        <f t="shared" si="130"/>
        <v>3.901661914224495</v>
      </c>
      <c r="I2786" s="24">
        <f t="shared" si="131"/>
        <v>0.63615379247900505</v>
      </c>
      <c r="N2786" s="30">
        <v>31518.793814432989</v>
      </c>
    </row>
    <row r="2787" spans="1:14" x14ac:dyDescent="0.3">
      <c r="A2787">
        <v>42.423160000001374</v>
      </c>
      <c r="B2787">
        <v>49.153799999999997</v>
      </c>
      <c r="C2787">
        <f t="shared" si="129"/>
        <v>49.253839999999997</v>
      </c>
      <c r="D2787">
        <v>0.71816923076923067</v>
      </c>
      <c r="E2787">
        <f t="shared" si="130"/>
        <v>3.896987334121778</v>
      </c>
      <c r="I2787" s="24">
        <f t="shared" si="131"/>
        <v>0.6322534267903166</v>
      </c>
      <c r="N2787" s="30">
        <v>31517.536082474227</v>
      </c>
    </row>
    <row r="2788" spans="1:14" x14ac:dyDescent="0.3">
      <c r="A2788">
        <v>42.438390000001377</v>
      </c>
      <c r="B2788">
        <v>49.076900000000002</v>
      </c>
      <c r="C2788">
        <f t="shared" si="129"/>
        <v>49.01538</v>
      </c>
      <c r="D2788">
        <v>0.7181384615384615</v>
      </c>
      <c r="E2788">
        <f t="shared" si="130"/>
        <v>3.8921341264123939</v>
      </c>
      <c r="I2788" s="24">
        <f t="shared" si="131"/>
        <v>0.62822829083971121</v>
      </c>
      <c r="N2788" s="30">
        <v>31516.278350515462</v>
      </c>
    </row>
    <row r="2789" spans="1:14" x14ac:dyDescent="0.3">
      <c r="A2789">
        <v>42.453620000001379</v>
      </c>
      <c r="B2789">
        <v>48.961500000000001</v>
      </c>
      <c r="C2789">
        <f t="shared" si="129"/>
        <v>48.738440000000004</v>
      </c>
      <c r="D2789">
        <v>0.71810769230769222</v>
      </c>
      <c r="E2789">
        <f t="shared" si="130"/>
        <v>3.8864680411193899</v>
      </c>
      <c r="I2789" s="24">
        <f t="shared" si="131"/>
        <v>0.62355691111129408</v>
      </c>
      <c r="N2789" s="30">
        <v>31515.0206185567</v>
      </c>
    </row>
    <row r="2790" spans="1:14" x14ac:dyDescent="0.3">
      <c r="A2790">
        <v>42.468850000001382</v>
      </c>
      <c r="B2790">
        <v>48.538499999999999</v>
      </c>
      <c r="C2790">
        <f t="shared" si="129"/>
        <v>48.47692</v>
      </c>
      <c r="D2790">
        <v>0.71807692307692306</v>
      </c>
      <c r="E2790">
        <f t="shared" si="130"/>
        <v>3.8810878083897218</v>
      </c>
      <c r="I2790" s="24">
        <f t="shared" si="131"/>
        <v>0.61915469589218453</v>
      </c>
      <c r="N2790" s="30">
        <v>31513.762886597939</v>
      </c>
    </row>
    <row r="2791" spans="1:14" x14ac:dyDescent="0.3">
      <c r="A2791">
        <v>42.484080000001384</v>
      </c>
      <c r="B2791">
        <v>47.961500000000001</v>
      </c>
      <c r="C2791">
        <f t="shared" si="129"/>
        <v>48.230780000000003</v>
      </c>
      <c r="D2791">
        <v>0.71804615384615378</v>
      </c>
      <c r="E2791">
        <f t="shared" si="130"/>
        <v>3.8759974064568454</v>
      </c>
      <c r="I2791" s="24">
        <f t="shared" si="131"/>
        <v>0.61501966320013213</v>
      </c>
      <c r="N2791" s="30">
        <v>31512.505154639173</v>
      </c>
    </row>
    <row r="2792" spans="1:14" x14ac:dyDescent="0.3">
      <c r="A2792">
        <v>42.499310000001387</v>
      </c>
      <c r="B2792">
        <v>47.846200000000003</v>
      </c>
      <c r="C2792">
        <f t="shared" si="129"/>
        <v>48.092320000000008</v>
      </c>
      <c r="D2792">
        <v>0.7180153846153845</v>
      </c>
      <c r="E2792">
        <f t="shared" si="130"/>
        <v>3.8731224970038585</v>
      </c>
      <c r="I2792" s="24">
        <f t="shared" si="131"/>
        <v>0.6127079605252661</v>
      </c>
      <c r="N2792" s="30">
        <v>31511.247422680412</v>
      </c>
    </row>
    <row r="2793" spans="1:14" x14ac:dyDescent="0.3">
      <c r="A2793">
        <v>42.514540000001389</v>
      </c>
      <c r="B2793">
        <v>47.846200000000003</v>
      </c>
      <c r="C2793">
        <f t="shared" si="129"/>
        <v>48.223080000000003</v>
      </c>
      <c r="D2793">
        <v>0.71798461538461533</v>
      </c>
      <c r="E2793">
        <f t="shared" si="130"/>
        <v>3.8758377446244139</v>
      </c>
      <c r="I2793" s="24">
        <f t="shared" si="131"/>
        <v>0.61494229018763158</v>
      </c>
      <c r="N2793" s="30">
        <v>31509.98969072165</v>
      </c>
    </row>
    <row r="2794" spans="1:14" x14ac:dyDescent="0.3">
      <c r="A2794">
        <v>42.529770000001392</v>
      </c>
      <c r="B2794">
        <v>48.269199999999998</v>
      </c>
      <c r="C2794">
        <f t="shared" si="129"/>
        <v>48.68462000000001</v>
      </c>
      <c r="D2794">
        <v>0.71795384615384605</v>
      </c>
      <c r="E2794">
        <f t="shared" si="130"/>
        <v>3.8853631691214252</v>
      </c>
      <c r="I2794" s="24">
        <f t="shared" si="131"/>
        <v>0.62277828000607682</v>
      </c>
      <c r="N2794" s="30">
        <v>31508.731958762884</v>
      </c>
    </row>
    <row r="2795" spans="1:14" x14ac:dyDescent="0.3">
      <c r="A2795">
        <v>42.545000000001394</v>
      </c>
      <c r="B2795">
        <v>49.192300000000003</v>
      </c>
      <c r="C2795">
        <f t="shared" si="129"/>
        <v>49.353840000000005</v>
      </c>
      <c r="D2795">
        <v>0.71792307692307689</v>
      </c>
      <c r="E2795">
        <f t="shared" si="130"/>
        <v>3.899015574402481</v>
      </c>
      <c r="I2795" s="24">
        <f t="shared" si="131"/>
        <v>0.63417194790565345</v>
      </c>
      <c r="N2795" s="30">
        <v>31507.474226804123</v>
      </c>
    </row>
    <row r="2796" spans="1:14" x14ac:dyDescent="0.3">
      <c r="A2796">
        <v>42.560230000001397</v>
      </c>
      <c r="B2796">
        <v>50.269199999999998</v>
      </c>
      <c r="C2796">
        <f t="shared" si="129"/>
        <v>50.261520000000004</v>
      </c>
      <c r="D2796">
        <v>0.71789230769230761</v>
      </c>
      <c r="E2796">
        <f t="shared" si="130"/>
        <v>3.9172397743959073</v>
      </c>
      <c r="I2796" s="24">
        <f t="shared" si="131"/>
        <v>0.64969720027367661</v>
      </c>
      <c r="N2796" s="30">
        <v>31506.216494845361</v>
      </c>
    </row>
    <row r="2797" spans="1:14" x14ac:dyDescent="0.3">
      <c r="A2797">
        <v>42.575460000001399</v>
      </c>
      <c r="B2797">
        <v>51.192300000000003</v>
      </c>
      <c r="C2797">
        <f t="shared" si="129"/>
        <v>51.269219999999997</v>
      </c>
      <c r="D2797">
        <v>0.71786153846153833</v>
      </c>
      <c r="E2797">
        <f t="shared" si="130"/>
        <v>3.9370905721046916</v>
      </c>
      <c r="I2797" s="24">
        <f t="shared" si="131"/>
        <v>0.6670383942486553</v>
      </c>
      <c r="N2797" s="30">
        <v>31504.958762886596</v>
      </c>
    </row>
    <row r="2798" spans="1:14" x14ac:dyDescent="0.3">
      <c r="A2798">
        <v>42.590690000001402</v>
      </c>
      <c r="B2798">
        <v>52.384599999999999</v>
      </c>
      <c r="C2798">
        <f t="shared" si="129"/>
        <v>52.361519999999999</v>
      </c>
      <c r="D2798">
        <v>0.71783076923076916</v>
      </c>
      <c r="E2798">
        <f t="shared" si="130"/>
        <v>3.9581719704140785</v>
      </c>
      <c r="I2798" s="24">
        <f t="shared" si="131"/>
        <v>0.6859598556803187</v>
      </c>
      <c r="N2798" s="30">
        <v>31503.701030927834</v>
      </c>
    </row>
    <row r="2799" spans="1:14" x14ac:dyDescent="0.3">
      <c r="A2799">
        <v>42.605920000001404</v>
      </c>
      <c r="B2799">
        <v>53.307699999999997</v>
      </c>
      <c r="C2799">
        <f t="shared" si="129"/>
        <v>53.507679999999993</v>
      </c>
      <c r="D2799">
        <v>0.71779999999999988</v>
      </c>
      <c r="E2799">
        <f t="shared" si="130"/>
        <v>3.9798251950013133</v>
      </c>
      <c r="I2799" s="24">
        <f t="shared" si="131"/>
        <v>0.70595264744331576</v>
      </c>
      <c r="N2799" s="30">
        <v>31502.443298969072</v>
      </c>
    </row>
    <row r="2800" spans="1:14" x14ac:dyDescent="0.3">
      <c r="A2800">
        <v>42.621150000001407</v>
      </c>
      <c r="B2800">
        <v>54.653799999999997</v>
      </c>
      <c r="C2800">
        <f t="shared" si="129"/>
        <v>54.707679999999996</v>
      </c>
      <c r="D2800">
        <v>0.71776923076923071</v>
      </c>
      <c r="E2800">
        <f t="shared" si="130"/>
        <v>4.0020041017662544</v>
      </c>
      <c r="I2800" s="24">
        <f t="shared" si="131"/>
        <v>0.72703429247074636</v>
      </c>
      <c r="N2800" s="30">
        <v>31501.185567010307</v>
      </c>
    </row>
    <row r="2801" spans="1:14" x14ac:dyDescent="0.3">
      <c r="A2801">
        <v>42.636380000001409</v>
      </c>
      <c r="B2801">
        <v>56</v>
      </c>
      <c r="C2801">
        <f t="shared" si="129"/>
        <v>55.838459999999998</v>
      </c>
      <c r="D2801">
        <v>0.71773846153846155</v>
      </c>
      <c r="E2801">
        <f t="shared" si="130"/>
        <v>4.0224628792772537</v>
      </c>
      <c r="I2801" s="24">
        <f t="shared" si="131"/>
        <v>0.74704117454176622</v>
      </c>
      <c r="N2801" s="30">
        <v>31499.927835051545</v>
      </c>
    </row>
    <row r="2802" spans="1:14" x14ac:dyDescent="0.3">
      <c r="A2802">
        <v>42.651610000001412</v>
      </c>
      <c r="B2802">
        <v>57.192300000000003</v>
      </c>
      <c r="C2802">
        <f t="shared" si="129"/>
        <v>56.915379999999992</v>
      </c>
      <c r="D2802">
        <v>0.71770769230769227</v>
      </c>
      <c r="E2802">
        <f t="shared" si="130"/>
        <v>4.0415656033779257</v>
      </c>
      <c r="I2802" s="24">
        <f t="shared" si="131"/>
        <v>0.76622086446233517</v>
      </c>
      <c r="N2802" s="30">
        <v>31498.670103092783</v>
      </c>
    </row>
    <row r="2803" spans="1:14" x14ac:dyDescent="0.3">
      <c r="A2803">
        <v>42.666840000001415</v>
      </c>
      <c r="B2803">
        <v>58.038499999999999</v>
      </c>
      <c r="C2803">
        <f t="shared" si="129"/>
        <v>57.861539999999991</v>
      </c>
      <c r="D2803">
        <v>0.7176769230769231</v>
      </c>
      <c r="E2803">
        <f t="shared" si="130"/>
        <v>4.0580529151633717</v>
      </c>
      <c r="I2803" s="24">
        <f t="shared" si="131"/>
        <v>0.78317465204730308</v>
      </c>
      <c r="N2803" s="30">
        <v>31497.412371134018</v>
      </c>
    </row>
    <row r="2804" spans="1:14" x14ac:dyDescent="0.3">
      <c r="A2804">
        <v>42.682070000001417</v>
      </c>
      <c r="B2804">
        <v>58.692300000000003</v>
      </c>
      <c r="C2804">
        <f t="shared" si="129"/>
        <v>58.715380000000003</v>
      </c>
      <c r="D2804">
        <v>0.71764615384615382</v>
      </c>
      <c r="E2804">
        <f t="shared" si="130"/>
        <v>4.0727017027368326</v>
      </c>
      <c r="I2804" s="24">
        <f t="shared" si="131"/>
        <v>0.79855617366400133</v>
      </c>
      <c r="N2804" s="30">
        <v>31496.154639175256</v>
      </c>
    </row>
    <row r="2805" spans="1:14" x14ac:dyDescent="0.3">
      <c r="A2805">
        <v>42.69730000000142</v>
      </c>
      <c r="B2805">
        <v>59.384599999999999</v>
      </c>
      <c r="C2805">
        <f t="shared" si="129"/>
        <v>59.4923</v>
      </c>
      <c r="D2805">
        <v>0.71761538461538454</v>
      </c>
      <c r="E2805">
        <f t="shared" si="130"/>
        <v>4.0858468924124534</v>
      </c>
      <c r="I2805" s="24">
        <f t="shared" si="131"/>
        <v>0.81261946527347695</v>
      </c>
      <c r="N2805" s="30">
        <v>31494.896907216495</v>
      </c>
    </row>
    <row r="2806" spans="1:14" x14ac:dyDescent="0.3">
      <c r="A2806">
        <v>42.712530000001422</v>
      </c>
      <c r="B2806">
        <v>60.269199999999998</v>
      </c>
      <c r="C2806">
        <f t="shared" si="129"/>
        <v>60.215359999999997</v>
      </c>
      <c r="D2806">
        <v>0.71758461538461538</v>
      </c>
      <c r="E2806">
        <f t="shared" si="130"/>
        <v>4.0979274692713386</v>
      </c>
      <c r="I2806" s="24">
        <f t="shared" si="131"/>
        <v>0.82576494579674087</v>
      </c>
      <c r="N2806" s="30">
        <v>31493.639175257729</v>
      </c>
    </row>
    <row r="2807" spans="1:14" x14ac:dyDescent="0.3">
      <c r="A2807">
        <v>42.727760000001425</v>
      </c>
      <c r="B2807">
        <v>61.076900000000002</v>
      </c>
      <c r="C2807">
        <f t="shared" si="129"/>
        <v>60.938439999999993</v>
      </c>
      <c r="D2807">
        <v>0.7175538461538461</v>
      </c>
      <c r="E2807">
        <f t="shared" si="130"/>
        <v>4.1098641742801174</v>
      </c>
      <c r="I2807" s="24">
        <f t="shared" si="131"/>
        <v>0.83896315520655973</v>
      </c>
      <c r="N2807" s="30">
        <v>31492.381443298967</v>
      </c>
    </row>
    <row r="2808" spans="1:14" x14ac:dyDescent="0.3">
      <c r="A2808">
        <v>42.742990000001427</v>
      </c>
      <c r="B2808">
        <v>61.653799999999997</v>
      </c>
      <c r="C2808">
        <f t="shared" si="129"/>
        <v>61.676900000000003</v>
      </c>
      <c r="D2808">
        <v>0.71752307692307693</v>
      </c>
      <c r="E2808">
        <f t="shared" si="130"/>
        <v>4.1219094685886555</v>
      </c>
      <c r="I2808" s="24">
        <f t="shared" si="131"/>
        <v>0.85249494363511236</v>
      </c>
      <c r="N2808" s="30">
        <v>31491.123711340206</v>
      </c>
    </row>
    <row r="2809" spans="1:14" x14ac:dyDescent="0.3">
      <c r="A2809">
        <v>42.75822000000143</v>
      </c>
      <c r="B2809">
        <v>62.307699999999997</v>
      </c>
      <c r="C2809">
        <f t="shared" si="129"/>
        <v>62.476900000000001</v>
      </c>
      <c r="D2809">
        <v>0.71749230769230765</v>
      </c>
      <c r="E2809">
        <f t="shared" si="130"/>
        <v>4.1347968884234412</v>
      </c>
      <c r="I2809" s="24">
        <f t="shared" si="131"/>
        <v>0.86721195401604478</v>
      </c>
      <c r="N2809" s="30">
        <v>31489.86597938144</v>
      </c>
    </row>
    <row r="2810" spans="1:14" x14ac:dyDescent="0.3">
      <c r="A2810">
        <v>42.773450000001432</v>
      </c>
      <c r="B2810">
        <v>63.076900000000002</v>
      </c>
      <c r="C2810">
        <f t="shared" ref="C2810:C2873" si="132">AVERAGE(B2808:B2812)</f>
        <v>63.346139999999991</v>
      </c>
      <c r="D2810">
        <v>0.71746153846153837</v>
      </c>
      <c r="E2810">
        <f t="shared" ref="E2810:E2873" si="133">LN(C2810)</f>
        <v>4.1486139735768992</v>
      </c>
      <c r="I2810" s="24">
        <f t="shared" ref="I2810:I2873" si="134">(0.0026*(EXP(1.3248*E2810)))/D2810</f>
        <v>0.88327021667534744</v>
      </c>
      <c r="N2810" s="30">
        <v>31488.608247422679</v>
      </c>
    </row>
    <row r="2811" spans="1:14" x14ac:dyDescent="0.3">
      <c r="A2811">
        <v>42.788680000001435</v>
      </c>
      <c r="B2811">
        <v>64.269199999999998</v>
      </c>
      <c r="C2811">
        <f t="shared" si="132"/>
        <v>64.27691999999999</v>
      </c>
      <c r="D2811">
        <v>0.71743076923076921</v>
      </c>
      <c r="E2811">
        <f t="shared" si="133"/>
        <v>4.1632006243510782</v>
      </c>
      <c r="I2811" s="24">
        <f t="shared" si="134"/>
        <v>0.90054348838546816</v>
      </c>
      <c r="N2811" s="30">
        <v>31487.350515463917</v>
      </c>
    </row>
    <row r="2812" spans="1:14" x14ac:dyDescent="0.3">
      <c r="A2812">
        <v>42.803910000001437</v>
      </c>
      <c r="B2812">
        <v>65.423100000000005</v>
      </c>
      <c r="C2812">
        <f t="shared" si="132"/>
        <v>65.261539999999997</v>
      </c>
      <c r="D2812">
        <v>0.71739999999999993</v>
      </c>
      <c r="E2812">
        <f t="shared" si="133"/>
        <v>4.1784028888027764</v>
      </c>
      <c r="I2812" s="24">
        <f t="shared" si="134"/>
        <v>0.91890367881475699</v>
      </c>
      <c r="N2812" s="30">
        <v>31486.092783505155</v>
      </c>
    </row>
    <row r="2813" spans="1:14" x14ac:dyDescent="0.3">
      <c r="A2813">
        <v>42.81914000000144</v>
      </c>
      <c r="B2813">
        <v>66.307699999999997</v>
      </c>
      <c r="C2813">
        <f t="shared" si="132"/>
        <v>66.153859999999995</v>
      </c>
      <c r="D2813">
        <v>0.71736923076923076</v>
      </c>
      <c r="E2813">
        <f t="shared" si="133"/>
        <v>4.1919832410883204</v>
      </c>
      <c r="I2813" s="24">
        <f t="shared" si="134"/>
        <v>0.93562564780275725</v>
      </c>
      <c r="N2813" s="30">
        <v>31484.83505154639</v>
      </c>
    </row>
    <row r="2814" spans="1:14" x14ac:dyDescent="0.3">
      <c r="A2814">
        <v>42.834370000001442</v>
      </c>
      <c r="B2814">
        <v>67.230800000000002</v>
      </c>
      <c r="C2814">
        <f t="shared" si="132"/>
        <v>66.823099999999997</v>
      </c>
      <c r="D2814">
        <v>0.71733846153846148</v>
      </c>
      <c r="E2814">
        <f t="shared" si="133"/>
        <v>4.2020488291478957</v>
      </c>
      <c r="I2814" s="24">
        <f t="shared" si="134"/>
        <v>0.9482263421430589</v>
      </c>
      <c r="N2814" s="30">
        <v>31483.577319587628</v>
      </c>
    </row>
    <row r="2815" spans="1:14" x14ac:dyDescent="0.3">
      <c r="A2815">
        <v>42.849600000001445</v>
      </c>
      <c r="B2815">
        <v>67.538499999999999</v>
      </c>
      <c r="C2815">
        <f t="shared" si="132"/>
        <v>67.053860000000014</v>
      </c>
      <c r="D2815">
        <v>0.7173076923076922</v>
      </c>
      <c r="E2815">
        <f t="shared" si="133"/>
        <v>4.2054961770490324</v>
      </c>
      <c r="I2815" s="24">
        <f t="shared" si="134"/>
        <v>0.9526077007989362</v>
      </c>
      <c r="N2815" s="30">
        <v>31482.319587628866</v>
      </c>
    </row>
    <row r="2816" spans="1:14" x14ac:dyDescent="0.3">
      <c r="A2816">
        <v>42.864830000001447</v>
      </c>
      <c r="B2816">
        <v>67.615399999999994</v>
      </c>
      <c r="C2816">
        <f t="shared" si="132"/>
        <v>66.869239999999991</v>
      </c>
      <c r="D2816">
        <v>0.71727692307692315</v>
      </c>
      <c r="E2816">
        <f t="shared" si="133"/>
        <v>4.2027390706655749</v>
      </c>
      <c r="I2816" s="24">
        <f t="shared" si="134"/>
        <v>0.94917525427765692</v>
      </c>
      <c r="N2816" s="30">
        <v>31481.061855670101</v>
      </c>
    </row>
    <row r="2817" spans="1:18" x14ac:dyDescent="0.3">
      <c r="A2817">
        <v>42.88006000000145</v>
      </c>
      <c r="B2817">
        <v>66.576899999999995</v>
      </c>
      <c r="C2817">
        <f t="shared" si="132"/>
        <v>66.269239999999996</v>
      </c>
      <c r="D2817">
        <v>0.71724615384615387</v>
      </c>
      <c r="E2817">
        <f t="shared" si="133"/>
        <v>4.1937258377983708</v>
      </c>
      <c r="I2817" s="24">
        <f t="shared" si="134"/>
        <v>0.93794904212648533</v>
      </c>
      <c r="N2817" s="30">
        <v>31479.804123711339</v>
      </c>
    </row>
    <row r="2818" spans="1:18" x14ac:dyDescent="0.3">
      <c r="A2818">
        <v>42.895290000001452</v>
      </c>
      <c r="B2818">
        <v>65.384600000000006</v>
      </c>
      <c r="C2818">
        <f t="shared" si="132"/>
        <v>65.269239999999996</v>
      </c>
      <c r="D2818">
        <v>0.71721538461538459</v>
      </c>
      <c r="E2818">
        <f t="shared" si="133"/>
        <v>4.1785208686387803</v>
      </c>
      <c r="I2818" s="24">
        <f t="shared" si="134"/>
        <v>0.91928388248638337</v>
      </c>
      <c r="N2818" s="30">
        <v>31478.546391752578</v>
      </c>
    </row>
    <row r="2819" spans="1:18" x14ac:dyDescent="0.3">
      <c r="A2819">
        <v>42.910520000001455</v>
      </c>
      <c r="B2819">
        <v>64.230800000000002</v>
      </c>
      <c r="C2819">
        <f t="shared" si="132"/>
        <v>63.923079999999992</v>
      </c>
      <c r="D2819">
        <v>0.71718461538461542</v>
      </c>
      <c r="E2819">
        <f t="shared" si="133"/>
        <v>4.1576804855286875</v>
      </c>
      <c r="I2819" s="24">
        <f t="shared" si="134"/>
        <v>0.89428859893408486</v>
      </c>
      <c r="N2819" s="30">
        <v>31477.288659793812</v>
      </c>
    </row>
    <row r="2820" spans="1:18" x14ac:dyDescent="0.3">
      <c r="A2820">
        <v>42.925750000001457</v>
      </c>
      <c r="B2820">
        <v>62.538499999999999</v>
      </c>
      <c r="C2820">
        <f t="shared" si="132"/>
        <v>62.6</v>
      </c>
      <c r="D2820">
        <v>0.71715384615384614</v>
      </c>
      <c r="E2820">
        <f t="shared" si="133"/>
        <v>4.1367652781060524</v>
      </c>
      <c r="I2820" s="24">
        <f t="shared" si="134"/>
        <v>0.86988670376346966</v>
      </c>
      <c r="N2820" s="30">
        <v>31476.030927835051</v>
      </c>
    </row>
    <row r="2821" spans="1:18" x14ac:dyDescent="0.3">
      <c r="A2821">
        <v>42.94098000000146</v>
      </c>
      <c r="B2821">
        <v>60.884599999999999</v>
      </c>
      <c r="C2821">
        <f t="shared" si="132"/>
        <v>61.376919999999998</v>
      </c>
      <c r="D2821">
        <v>0.71712307692307697</v>
      </c>
      <c r="E2821">
        <f t="shared" si="133"/>
        <v>4.1170338687211014</v>
      </c>
      <c r="I2821" s="24">
        <f t="shared" si="134"/>
        <v>0.84747870493705513</v>
      </c>
      <c r="N2821" s="30">
        <v>31474.773195876289</v>
      </c>
    </row>
    <row r="2822" spans="1:18" x14ac:dyDescent="0.3">
      <c r="A2822">
        <v>42.956210000001462</v>
      </c>
      <c r="B2822">
        <v>59.961500000000001</v>
      </c>
      <c r="C2822">
        <f t="shared" si="132"/>
        <v>60.346140000000005</v>
      </c>
      <c r="D2822">
        <v>0.7170923076923077</v>
      </c>
      <c r="E2822">
        <f t="shared" si="133"/>
        <v>4.1000969852660178</v>
      </c>
      <c r="I2822" s="24">
        <f t="shared" si="134"/>
        <v>0.82871029945465535</v>
      </c>
      <c r="N2822" s="30">
        <v>31473.515463917523</v>
      </c>
    </row>
    <row r="2823" spans="1:18" x14ac:dyDescent="0.3">
      <c r="A2823">
        <v>42.971440000001465</v>
      </c>
      <c r="B2823">
        <v>59.269199999999998</v>
      </c>
      <c r="C2823">
        <f t="shared" si="132"/>
        <v>59.74613999999999</v>
      </c>
      <c r="D2823">
        <v>0.71706153846153842</v>
      </c>
      <c r="E2823">
        <f t="shared" si="133"/>
        <v>4.0901045862143279</v>
      </c>
      <c r="I2823" s="24">
        <f t="shared" si="134"/>
        <v>0.81784727615859187</v>
      </c>
      <c r="N2823" s="30">
        <v>31472.257731958762</v>
      </c>
    </row>
    <row r="2824" spans="1:18" x14ac:dyDescent="0.3">
      <c r="A2824">
        <v>42.986670000001467</v>
      </c>
      <c r="B2824">
        <v>59.076900000000002</v>
      </c>
      <c r="C2824">
        <f t="shared" si="132"/>
        <v>59.553840000000001</v>
      </c>
      <c r="D2824">
        <v>0.71703076923076925</v>
      </c>
      <c r="E2824">
        <f t="shared" si="133"/>
        <v>4.086880777349533</v>
      </c>
      <c r="I2824" s="25">
        <f t="shared" si="134"/>
        <v>0.81439672491057269</v>
      </c>
      <c r="N2824" s="30">
        <v>31471</v>
      </c>
    </row>
    <row r="2825" spans="1:18" x14ac:dyDescent="0.3">
      <c r="A2825">
        <v>43.00190000000147</v>
      </c>
      <c r="B2825">
        <v>59.538499999999999</v>
      </c>
      <c r="C2825">
        <f t="shared" si="132"/>
        <v>59.68462000000001</v>
      </c>
      <c r="D2825" s="8">
        <v>0.71699999999999997</v>
      </c>
      <c r="E2825">
        <f t="shared" si="133"/>
        <v>4.0890743657679165</v>
      </c>
      <c r="I2825" s="24">
        <f t="shared" si="134"/>
        <v>0.81680190831562005</v>
      </c>
      <c r="N2825" s="30">
        <v>31460.875</v>
      </c>
    </row>
    <row r="2826" spans="1:18" x14ac:dyDescent="0.3">
      <c r="A2826">
        <v>43.017130000001472</v>
      </c>
      <c r="B2826">
        <v>59.923099999999998</v>
      </c>
      <c r="C2826">
        <f t="shared" si="132"/>
        <v>60.107700000000001</v>
      </c>
      <c r="D2826">
        <v>0.71721212121212119</v>
      </c>
      <c r="E2826">
        <f t="shared" si="133"/>
        <v>4.0961379531348543</v>
      </c>
      <c r="I2826" s="24">
        <f t="shared" si="134"/>
        <v>0.82423743855925191</v>
      </c>
      <c r="N2826" s="30">
        <v>31450.75</v>
      </c>
    </row>
    <row r="2827" spans="1:18" x14ac:dyDescent="0.3">
      <c r="A2827">
        <v>43.032360000001475</v>
      </c>
      <c r="B2827">
        <v>60.615400000000001</v>
      </c>
      <c r="C2827">
        <f t="shared" si="132"/>
        <v>60.684619999999995</v>
      </c>
      <c r="D2827">
        <v>0.71742424242424241</v>
      </c>
      <c r="E2827">
        <f t="shared" si="133"/>
        <v>4.1056902886947713</v>
      </c>
      <c r="I2827" s="24">
        <f t="shared" si="134"/>
        <v>0.83448758171657755</v>
      </c>
      <c r="N2827" s="30">
        <v>31440.625</v>
      </c>
    </row>
    <row r="2828" spans="1:18" x14ac:dyDescent="0.3">
      <c r="A2828">
        <v>43.047590000001478</v>
      </c>
      <c r="B2828">
        <v>61.384599999999999</v>
      </c>
      <c r="C2828">
        <f t="shared" si="132"/>
        <v>61.253840000000004</v>
      </c>
      <c r="D2828">
        <v>0.71763636363636363</v>
      </c>
      <c r="E2828">
        <f t="shared" si="133"/>
        <v>4.1150265413372082</v>
      </c>
      <c r="I2828" s="24">
        <f t="shared" si="134"/>
        <v>0.8446234464626875</v>
      </c>
      <c r="N2828" s="30">
        <v>31430.5</v>
      </c>
    </row>
    <row r="2829" spans="1:18" x14ac:dyDescent="0.3">
      <c r="A2829">
        <v>43.06282000000148</v>
      </c>
      <c r="B2829">
        <v>61.961500000000001</v>
      </c>
      <c r="C2829">
        <f t="shared" si="132"/>
        <v>61.92306</v>
      </c>
      <c r="D2829">
        <v>0.71784848484848485</v>
      </c>
      <c r="E2829">
        <f t="shared" si="133"/>
        <v>4.1258926466650641</v>
      </c>
      <c r="I2829" s="24">
        <f t="shared" si="134"/>
        <v>0.85661688738318786</v>
      </c>
      <c r="N2829" s="30">
        <v>31420.375</v>
      </c>
    </row>
    <row r="2830" spans="1:18" x14ac:dyDescent="0.3">
      <c r="A2830">
        <v>43.078050000001483</v>
      </c>
      <c r="B2830">
        <v>62.384599999999999</v>
      </c>
      <c r="C2830">
        <f t="shared" si="132"/>
        <v>62.630740000000003</v>
      </c>
      <c r="D2830">
        <v>0.71806060606060607</v>
      </c>
      <c r="E2830">
        <f t="shared" si="133"/>
        <v>4.1372562118914384</v>
      </c>
      <c r="I2830" s="24">
        <f t="shared" si="134"/>
        <v>0.86935345350708282</v>
      </c>
      <c r="N2830" s="30">
        <v>31410.25</v>
      </c>
      <c r="O2830">
        <v>1985</v>
      </c>
      <c r="P2830" s="24">
        <f>AVERAGE(I2830:I2915)</f>
        <v>0.91683388290840029</v>
      </c>
      <c r="Q2830">
        <f>A2915-A2830</f>
        <v>1.2945500000002141</v>
      </c>
      <c r="R2830">
        <f>P2830*Q2830</f>
        <v>1.1868873031192659</v>
      </c>
    </row>
    <row r="2831" spans="1:18" x14ac:dyDescent="0.3">
      <c r="A2831">
        <v>43.093280000001485</v>
      </c>
      <c r="B2831">
        <v>63.269199999999998</v>
      </c>
      <c r="C2831">
        <f t="shared" si="132"/>
        <v>63.376899999999999</v>
      </c>
      <c r="D2831">
        <v>0.71827272727272728</v>
      </c>
      <c r="E2831">
        <f t="shared" si="133"/>
        <v>4.1490994417380822</v>
      </c>
      <c r="I2831" s="24">
        <f t="shared" si="134"/>
        <v>0.88284030084336163</v>
      </c>
      <c r="N2831" s="30">
        <v>31400.125</v>
      </c>
    </row>
    <row r="2832" spans="1:18" x14ac:dyDescent="0.3">
      <c r="A2832">
        <v>43.108510000001488</v>
      </c>
      <c r="B2832">
        <v>64.153800000000004</v>
      </c>
      <c r="C2832">
        <f t="shared" si="132"/>
        <v>64.092299999999994</v>
      </c>
      <c r="D2832">
        <v>0.7184848484848485</v>
      </c>
      <c r="E2832">
        <f t="shared" si="133"/>
        <v>4.1603242319060696</v>
      </c>
      <c r="I2832" s="24">
        <f t="shared" si="134"/>
        <v>0.89580221717274655</v>
      </c>
      <c r="N2832" s="30">
        <v>31390</v>
      </c>
    </row>
    <row r="2833" spans="1:14" x14ac:dyDescent="0.3">
      <c r="A2833">
        <v>43.12374000000149</v>
      </c>
      <c r="B2833">
        <v>65.115399999999994</v>
      </c>
      <c r="C2833">
        <f t="shared" si="132"/>
        <v>64.738460000000003</v>
      </c>
      <c r="D2833">
        <v>0.71869696969696972</v>
      </c>
      <c r="E2833">
        <f t="shared" si="133"/>
        <v>4.1703554607576496</v>
      </c>
      <c r="I2833" s="24">
        <f t="shared" si="134"/>
        <v>0.90751838993320588</v>
      </c>
      <c r="N2833" s="30">
        <v>31379.875</v>
      </c>
    </row>
    <row r="2834" spans="1:14" x14ac:dyDescent="0.3">
      <c r="A2834">
        <v>43.138970000001493</v>
      </c>
      <c r="B2834">
        <v>65.538499999999999</v>
      </c>
      <c r="C2834">
        <f t="shared" si="132"/>
        <v>65.207700000000003</v>
      </c>
      <c r="D2834">
        <v>0.71890909090909094</v>
      </c>
      <c r="E2834">
        <f t="shared" si="133"/>
        <v>4.1775775601190777</v>
      </c>
      <c r="I2834" s="24">
        <f t="shared" si="134"/>
        <v>0.91597270313871115</v>
      </c>
      <c r="N2834" s="30">
        <v>31369.75</v>
      </c>
    </row>
    <row r="2835" spans="1:14" x14ac:dyDescent="0.3">
      <c r="A2835">
        <v>43.154200000001495</v>
      </c>
      <c r="B2835">
        <v>65.615399999999994</v>
      </c>
      <c r="C2835">
        <f t="shared" si="132"/>
        <v>65.584639999999993</v>
      </c>
      <c r="D2835">
        <v>0.71912121212121216</v>
      </c>
      <c r="E2835">
        <f t="shared" si="133"/>
        <v>4.1833415221920456</v>
      </c>
      <c r="I2835" s="24">
        <f t="shared" si="134"/>
        <v>0.92272167466169264</v>
      </c>
      <c r="N2835" s="30">
        <v>31359.625</v>
      </c>
    </row>
    <row r="2836" spans="1:14" x14ac:dyDescent="0.3">
      <c r="A2836">
        <v>43.169430000001498</v>
      </c>
      <c r="B2836">
        <v>65.615399999999994</v>
      </c>
      <c r="C2836">
        <f t="shared" si="132"/>
        <v>65.838480000000004</v>
      </c>
      <c r="D2836">
        <v>0.71933333333333338</v>
      </c>
      <c r="E2836">
        <f t="shared" si="133"/>
        <v>4.1872044698325777</v>
      </c>
      <c r="I2836" s="24">
        <f t="shared" si="134"/>
        <v>0.92718243572373582</v>
      </c>
      <c r="N2836" s="30">
        <v>31349.5</v>
      </c>
    </row>
    <row r="2837" spans="1:14" x14ac:dyDescent="0.3">
      <c r="A2837">
        <v>43.1846600000015</v>
      </c>
      <c r="B2837">
        <v>66.038499999999999</v>
      </c>
      <c r="C2837">
        <f t="shared" si="132"/>
        <v>66.115399999999994</v>
      </c>
      <c r="D2837">
        <v>0.71954545454545449</v>
      </c>
      <c r="E2837">
        <f t="shared" si="133"/>
        <v>4.1914017000547661</v>
      </c>
      <c r="I2837" s="24">
        <f t="shared" si="134"/>
        <v>0.93207752888554929</v>
      </c>
      <c r="N2837" s="30">
        <v>31339.375</v>
      </c>
    </row>
    <row r="2838" spans="1:14" x14ac:dyDescent="0.3">
      <c r="A2838">
        <v>43.199890000001503</v>
      </c>
      <c r="B2838">
        <v>66.384600000000006</v>
      </c>
      <c r="C2838">
        <f t="shared" si="132"/>
        <v>66.584620000000001</v>
      </c>
      <c r="D2838">
        <v>0.71975757575757571</v>
      </c>
      <c r="E2838">
        <f t="shared" si="133"/>
        <v>4.1984736199467596</v>
      </c>
      <c r="I2838" s="24">
        <f t="shared" si="134"/>
        <v>0.94057380580883443</v>
      </c>
      <c r="N2838" s="30">
        <v>31329.25</v>
      </c>
    </row>
    <row r="2839" spans="1:14" x14ac:dyDescent="0.3">
      <c r="A2839">
        <v>43.215120000001505</v>
      </c>
      <c r="B2839">
        <v>66.923100000000005</v>
      </c>
      <c r="C2839">
        <f t="shared" si="132"/>
        <v>67.27691999999999</v>
      </c>
      <c r="D2839">
        <v>0.71996969696969693</v>
      </c>
      <c r="E2839">
        <f t="shared" si="133"/>
        <v>4.2088172357820888</v>
      </c>
      <c r="I2839" s="24">
        <f t="shared" si="134"/>
        <v>0.95327047188671543</v>
      </c>
      <c r="N2839" s="30">
        <v>31319.125</v>
      </c>
    </row>
    <row r="2840" spans="1:14" x14ac:dyDescent="0.3">
      <c r="A2840">
        <v>43.230350000001508</v>
      </c>
      <c r="B2840">
        <v>67.961500000000001</v>
      </c>
      <c r="C2840">
        <f t="shared" si="132"/>
        <v>68.169219999999996</v>
      </c>
      <c r="D2840">
        <v>0.72018181818181826</v>
      </c>
      <c r="E2840">
        <f t="shared" si="133"/>
        <v>4.2219931433259568</v>
      </c>
      <c r="I2840" s="24">
        <f t="shared" si="134"/>
        <v>0.96977058663807192</v>
      </c>
      <c r="N2840" s="30">
        <v>31309</v>
      </c>
    </row>
    <row r="2841" spans="1:14" x14ac:dyDescent="0.3">
      <c r="A2841">
        <v>43.24558000000151</v>
      </c>
      <c r="B2841">
        <v>69.076899999999995</v>
      </c>
      <c r="C2841">
        <f t="shared" si="132"/>
        <v>69.161540000000002</v>
      </c>
      <c r="D2841">
        <v>0.72039393939393936</v>
      </c>
      <c r="E2841">
        <f t="shared" si="133"/>
        <v>4.2364449277736567</v>
      </c>
      <c r="I2841" s="24">
        <f t="shared" si="134"/>
        <v>0.98822535504767173</v>
      </c>
      <c r="N2841" s="30">
        <v>31298.875</v>
      </c>
    </row>
    <row r="2842" spans="1:14" x14ac:dyDescent="0.3">
      <c r="A2842">
        <v>43.260810000001513</v>
      </c>
      <c r="B2842">
        <v>70.5</v>
      </c>
      <c r="C2842">
        <f t="shared" si="132"/>
        <v>70.26921999999999</v>
      </c>
      <c r="D2842">
        <v>0.72060606060606058</v>
      </c>
      <c r="E2842">
        <f t="shared" si="133"/>
        <v>4.2523338650998079</v>
      </c>
      <c r="I2842" s="24">
        <f t="shared" si="134"/>
        <v>1.0089505595674706</v>
      </c>
      <c r="N2842" s="30">
        <v>31288.75</v>
      </c>
    </row>
    <row r="2843" spans="1:14" x14ac:dyDescent="0.3">
      <c r="A2843">
        <v>43.276040000001515</v>
      </c>
      <c r="B2843">
        <v>71.346199999999996</v>
      </c>
      <c r="C2843">
        <f t="shared" si="132"/>
        <v>71.523079999999993</v>
      </c>
      <c r="D2843">
        <v>0.7208181818181818</v>
      </c>
      <c r="E2843">
        <f t="shared" si="133"/>
        <v>4.2700201948149505</v>
      </c>
      <c r="I2843" s="24">
        <f t="shared" si="134"/>
        <v>1.0325663121612711</v>
      </c>
      <c r="N2843" s="30">
        <v>31278.625</v>
      </c>
    </row>
    <row r="2844" spans="1:14" x14ac:dyDescent="0.3">
      <c r="A2844">
        <v>43.291270000001518</v>
      </c>
      <c r="B2844">
        <v>72.461500000000001</v>
      </c>
      <c r="C2844">
        <f t="shared" si="132"/>
        <v>72.853859999999997</v>
      </c>
      <c r="D2844">
        <v>0.72103030303030302</v>
      </c>
      <c r="E2844">
        <f t="shared" si="133"/>
        <v>4.2884555168243494</v>
      </c>
      <c r="I2844" s="24">
        <f t="shared" si="134"/>
        <v>1.0577839940168019</v>
      </c>
      <c r="N2844" s="30">
        <v>31268.5</v>
      </c>
    </row>
    <row r="2845" spans="1:14" x14ac:dyDescent="0.3">
      <c r="A2845">
        <v>43.30650000000152</v>
      </c>
      <c r="B2845">
        <v>74.230800000000002</v>
      </c>
      <c r="C2845">
        <f t="shared" si="132"/>
        <v>74.138480000000001</v>
      </c>
      <c r="D2845">
        <v>0.72124242424242424</v>
      </c>
      <c r="E2845">
        <f t="shared" si="133"/>
        <v>4.3059346957589826</v>
      </c>
      <c r="I2845" s="24">
        <f t="shared" si="134"/>
        <v>1.0822458966697357</v>
      </c>
      <c r="N2845" s="30">
        <v>31258.375</v>
      </c>
    </row>
    <row r="2846" spans="1:14" x14ac:dyDescent="0.3">
      <c r="A2846">
        <v>43.321730000001523</v>
      </c>
      <c r="B2846">
        <v>75.730800000000002</v>
      </c>
      <c r="C2846">
        <f t="shared" si="132"/>
        <v>75.223079999999996</v>
      </c>
      <c r="D2846">
        <v>0.72145454545454546</v>
      </c>
      <c r="E2846">
        <f t="shared" si="133"/>
        <v>4.3204580987606693</v>
      </c>
      <c r="I2846" s="24">
        <f t="shared" si="134"/>
        <v>1.1029461945765209</v>
      </c>
      <c r="N2846" s="30">
        <v>31248.25</v>
      </c>
    </row>
    <row r="2847" spans="1:14" x14ac:dyDescent="0.3">
      <c r="A2847">
        <v>43.336960000001525</v>
      </c>
      <c r="B2847">
        <v>76.923100000000005</v>
      </c>
      <c r="C2847">
        <f t="shared" si="132"/>
        <v>76.0154</v>
      </c>
      <c r="D2847">
        <v>0.72166666666666668</v>
      </c>
      <c r="E2847">
        <f t="shared" si="133"/>
        <v>4.3309359513382732</v>
      </c>
      <c r="I2847" s="24">
        <f t="shared" si="134"/>
        <v>1.1180342860740735</v>
      </c>
      <c r="N2847" s="30">
        <v>31238.125</v>
      </c>
    </row>
    <row r="2848" spans="1:14" x14ac:dyDescent="0.3">
      <c r="A2848">
        <v>43.352190000001528</v>
      </c>
      <c r="B2848">
        <v>76.769199999999998</v>
      </c>
      <c r="C2848">
        <f t="shared" si="132"/>
        <v>76.22308000000001</v>
      </c>
      <c r="D2848">
        <v>0.7218787878787879</v>
      </c>
      <c r="E2848">
        <f t="shared" si="133"/>
        <v>4.333664303970659</v>
      </c>
      <c r="I2848" s="24">
        <f t="shared" si="134"/>
        <v>1.1217530377922296</v>
      </c>
      <c r="J2848">
        <v>1985</v>
      </c>
      <c r="K2848">
        <f>AVERAGE(I2848:I2927)</f>
        <v>0.89453814705639556</v>
      </c>
      <c r="L2848">
        <f>A2927-A2848</f>
        <v>1.203170000000199</v>
      </c>
      <c r="M2848">
        <f>K2848*L2848</f>
        <v>1.0762814623940216</v>
      </c>
      <c r="N2848" s="30">
        <v>31228</v>
      </c>
    </row>
    <row r="2849" spans="1:14" x14ac:dyDescent="0.3">
      <c r="A2849">
        <v>43.36742000000153</v>
      </c>
      <c r="B2849">
        <v>76.423100000000005</v>
      </c>
      <c r="C2849">
        <f t="shared" si="132"/>
        <v>75.869219999999999</v>
      </c>
      <c r="D2849">
        <v>0.72209090909090912</v>
      </c>
      <c r="E2849">
        <f t="shared" si="133"/>
        <v>4.3290110685537595</v>
      </c>
      <c r="I2849" s="24">
        <f t="shared" si="134"/>
        <v>1.114531642184023</v>
      </c>
      <c r="N2849" s="30">
        <v>31226.09375</v>
      </c>
    </row>
    <row r="2850" spans="1:14" x14ac:dyDescent="0.3">
      <c r="A2850">
        <v>43.382650000001533</v>
      </c>
      <c r="B2850">
        <v>75.269199999999998</v>
      </c>
      <c r="C2850">
        <f t="shared" si="132"/>
        <v>75.092299999999994</v>
      </c>
      <c r="D2850">
        <v>0.72230303030303022</v>
      </c>
      <c r="E2850">
        <f t="shared" si="133"/>
        <v>4.3187180235534797</v>
      </c>
      <c r="I2850" s="24">
        <f t="shared" si="134"/>
        <v>1.0991139137466208</v>
      </c>
      <c r="N2850" s="30">
        <v>31224.1875</v>
      </c>
    </row>
    <row r="2851" spans="1:14" x14ac:dyDescent="0.3">
      <c r="A2851">
        <v>43.397880000001535</v>
      </c>
      <c r="B2851">
        <v>73.961500000000001</v>
      </c>
      <c r="C2851">
        <f t="shared" si="132"/>
        <v>74.169219999999996</v>
      </c>
      <c r="D2851">
        <v>0.72251515151515144</v>
      </c>
      <c r="E2851">
        <f t="shared" si="133"/>
        <v>4.3063492393118832</v>
      </c>
      <c r="I2851" s="24">
        <f t="shared" si="134"/>
        <v>1.0809329669862664</v>
      </c>
      <c r="N2851" s="30">
        <v>31222.28125</v>
      </c>
    </row>
    <row r="2852" spans="1:14" x14ac:dyDescent="0.3">
      <c r="A2852">
        <v>43.413110000001538</v>
      </c>
      <c r="B2852">
        <v>73.038499999999999</v>
      </c>
      <c r="C2852">
        <f t="shared" si="132"/>
        <v>73.192300000000003</v>
      </c>
      <c r="D2852">
        <v>0.72272727272727277</v>
      </c>
      <c r="E2852">
        <f t="shared" si="133"/>
        <v>4.2930902241774467</v>
      </c>
      <c r="I2852" s="24">
        <f t="shared" si="134"/>
        <v>1.0617998492247038</v>
      </c>
      <c r="N2852" s="30">
        <v>31220.375</v>
      </c>
    </row>
    <row r="2853" spans="1:14" x14ac:dyDescent="0.3">
      <c r="A2853">
        <v>43.42834000000154</v>
      </c>
      <c r="B2853">
        <v>72.153800000000004</v>
      </c>
      <c r="C2853">
        <f t="shared" si="132"/>
        <v>72.3</v>
      </c>
      <c r="D2853">
        <v>0.72293939393939399</v>
      </c>
      <c r="E2853">
        <f t="shared" si="133"/>
        <v>4.2808241291647189</v>
      </c>
      <c r="I2853" s="24">
        <f t="shared" si="134"/>
        <v>1.044378381840148</v>
      </c>
      <c r="N2853" s="30">
        <v>31218.46875</v>
      </c>
    </row>
    <row r="2854" spans="1:14" x14ac:dyDescent="0.3">
      <c r="A2854">
        <v>43.443570000001543</v>
      </c>
      <c r="B2854">
        <v>71.538499999999999</v>
      </c>
      <c r="C2854">
        <f t="shared" si="132"/>
        <v>71.423079999999999</v>
      </c>
      <c r="D2854">
        <v>0.7231515151515151</v>
      </c>
      <c r="E2854">
        <f t="shared" si="133"/>
        <v>4.2686210664114599</v>
      </c>
      <c r="I2854" s="24">
        <f t="shared" si="134"/>
        <v>1.0273286290321297</v>
      </c>
      <c r="N2854" s="30">
        <v>31216.5625</v>
      </c>
    </row>
    <row r="2855" spans="1:14" x14ac:dyDescent="0.3">
      <c r="A2855">
        <v>43.458800000001546</v>
      </c>
      <c r="B2855">
        <v>70.807699999999997</v>
      </c>
      <c r="C2855">
        <f t="shared" si="132"/>
        <v>70.515380000000007</v>
      </c>
      <c r="D2855">
        <v>0.72336363636363632</v>
      </c>
      <c r="E2855">
        <f t="shared" si="133"/>
        <v>4.2558308420540261</v>
      </c>
      <c r="I2855" s="24">
        <f t="shared" si="134"/>
        <v>1.0097715266252838</v>
      </c>
      <c r="N2855" s="30">
        <v>31214.65625</v>
      </c>
    </row>
    <row r="2856" spans="1:14" x14ac:dyDescent="0.3">
      <c r="A2856">
        <v>43.474030000001548</v>
      </c>
      <c r="B2856">
        <v>69.576899999999995</v>
      </c>
      <c r="C2856">
        <f t="shared" si="132"/>
        <v>69.523079999999993</v>
      </c>
      <c r="D2856">
        <v>0.72357575757575754</v>
      </c>
      <c r="E2856">
        <f t="shared" si="133"/>
        <v>4.2416587837732207</v>
      </c>
      <c r="I2856" s="24">
        <f t="shared" si="134"/>
        <v>0.99069927315785389</v>
      </c>
      <c r="N2856" s="30">
        <v>31212.75</v>
      </c>
    </row>
    <row r="2857" spans="1:14" x14ac:dyDescent="0.3">
      <c r="A2857">
        <v>43.489260000001551</v>
      </c>
      <c r="B2857">
        <v>68.5</v>
      </c>
      <c r="C2857">
        <f t="shared" si="132"/>
        <v>68.376919999999998</v>
      </c>
      <c r="D2857">
        <v>0.72378787878787887</v>
      </c>
      <c r="E2857">
        <f t="shared" si="133"/>
        <v>4.2250353407866541</v>
      </c>
      <c r="I2857" s="24">
        <f t="shared" si="134"/>
        <v>0.96883583355906733</v>
      </c>
      <c r="N2857" s="30">
        <v>31210.84375</v>
      </c>
    </row>
    <row r="2858" spans="1:14" x14ac:dyDescent="0.3">
      <c r="A2858">
        <v>43.504490000001553</v>
      </c>
      <c r="B2858">
        <v>67.192300000000003</v>
      </c>
      <c r="C2858">
        <f t="shared" si="132"/>
        <v>67.153840000000002</v>
      </c>
      <c r="D2858">
        <v>0.72399999999999998</v>
      </c>
      <c r="E2858">
        <f t="shared" si="133"/>
        <v>4.2069861067400316</v>
      </c>
      <c r="I2858" s="24">
        <f t="shared" si="134"/>
        <v>0.94566702572909489</v>
      </c>
      <c r="N2858" s="30">
        <v>31208.9375</v>
      </c>
    </row>
    <row r="2859" spans="1:14" x14ac:dyDescent="0.3">
      <c r="A2859">
        <v>43.519720000001556</v>
      </c>
      <c r="B2859">
        <v>65.807699999999997</v>
      </c>
      <c r="C2859">
        <f t="shared" si="132"/>
        <v>65.961539999999999</v>
      </c>
      <c r="D2859">
        <v>0.7242121212121212</v>
      </c>
      <c r="E2859">
        <f t="shared" si="133"/>
        <v>4.1890718449021733</v>
      </c>
      <c r="I2859" s="24">
        <f t="shared" si="134"/>
        <v>0.92321742446449451</v>
      </c>
      <c r="N2859" s="30">
        <v>31207.03125</v>
      </c>
    </row>
    <row r="2860" spans="1:14" x14ac:dyDescent="0.3">
      <c r="A2860">
        <v>43.534950000001558</v>
      </c>
      <c r="B2860">
        <v>64.692300000000003</v>
      </c>
      <c r="C2860">
        <f t="shared" si="132"/>
        <v>64.830780000000004</v>
      </c>
      <c r="D2860">
        <v>0.72442424242424241</v>
      </c>
      <c r="E2860">
        <f t="shared" si="133"/>
        <v>4.1717804905814404</v>
      </c>
      <c r="I2860" s="24">
        <f t="shared" si="134"/>
        <v>0.9020449269406382</v>
      </c>
      <c r="N2860" s="30">
        <v>31205.125</v>
      </c>
    </row>
    <row r="2861" spans="1:14" x14ac:dyDescent="0.3">
      <c r="A2861">
        <v>43.550180000001561</v>
      </c>
      <c r="B2861">
        <v>63.615400000000001</v>
      </c>
      <c r="C2861">
        <f t="shared" si="132"/>
        <v>63.746159999999996</v>
      </c>
      <c r="D2861">
        <v>0.72463636363636363</v>
      </c>
      <c r="E2861">
        <f t="shared" si="133"/>
        <v>4.1549089469301999</v>
      </c>
      <c r="I2861" s="24">
        <f t="shared" si="134"/>
        <v>0.88184837894670298</v>
      </c>
      <c r="N2861" s="30">
        <v>31203.21875</v>
      </c>
    </row>
    <row r="2862" spans="1:14" x14ac:dyDescent="0.3">
      <c r="A2862">
        <v>43.565410000001563</v>
      </c>
      <c r="B2862">
        <v>62.846200000000003</v>
      </c>
      <c r="C2862">
        <f t="shared" si="132"/>
        <v>62.900000000000013</v>
      </c>
      <c r="D2862">
        <v>0.72484848484848485</v>
      </c>
      <c r="E2862">
        <f t="shared" si="133"/>
        <v>4.1415461637063951</v>
      </c>
      <c r="I2862" s="24">
        <f t="shared" si="134"/>
        <v>0.86612083840251175</v>
      </c>
      <c r="N2862" s="30">
        <v>31201.3125</v>
      </c>
    </row>
    <row r="2863" spans="1:14" x14ac:dyDescent="0.3">
      <c r="A2863">
        <v>43.580640000001566</v>
      </c>
      <c r="B2863">
        <v>61.769199999999998</v>
      </c>
      <c r="C2863">
        <f t="shared" si="132"/>
        <v>62.215379999999996</v>
      </c>
      <c r="D2863">
        <v>0.72506060606060596</v>
      </c>
      <c r="E2863">
        <f t="shared" si="133"/>
        <v>4.1306022360607457</v>
      </c>
      <c r="I2863" s="24">
        <f t="shared" si="134"/>
        <v>0.85340422405179406</v>
      </c>
      <c r="N2863" s="30">
        <v>31199.40625</v>
      </c>
    </row>
    <row r="2864" spans="1:14" x14ac:dyDescent="0.3">
      <c r="A2864">
        <v>43.595870000001568</v>
      </c>
      <c r="B2864">
        <v>61.576900000000002</v>
      </c>
      <c r="C2864">
        <f t="shared" si="132"/>
        <v>61.9</v>
      </c>
      <c r="D2864">
        <v>0.72527272727272729</v>
      </c>
      <c r="E2864">
        <f t="shared" si="133"/>
        <v>4.1255201796905503</v>
      </c>
      <c r="I2864" s="24">
        <f t="shared" si="134"/>
        <v>0.8474298800238016</v>
      </c>
      <c r="N2864" s="30">
        <v>31197.5</v>
      </c>
    </row>
    <row r="2865" spans="1:14" x14ac:dyDescent="0.3">
      <c r="A2865">
        <v>43.611100000001571</v>
      </c>
      <c r="B2865">
        <v>61.269199999999998</v>
      </c>
      <c r="C2865">
        <f t="shared" si="132"/>
        <v>61.907679999999992</v>
      </c>
      <c r="D2865">
        <v>0.72548484848484851</v>
      </c>
      <c r="E2865">
        <f t="shared" si="133"/>
        <v>4.1256442430767608</v>
      </c>
      <c r="I2865" s="24">
        <f t="shared" si="134"/>
        <v>0.84732135745340764</v>
      </c>
      <c r="N2865" s="30">
        <v>31195.59375</v>
      </c>
    </row>
    <row r="2866" spans="1:14" x14ac:dyDescent="0.3">
      <c r="A2866">
        <v>43.626330000001573</v>
      </c>
      <c r="B2866">
        <v>62.038499999999999</v>
      </c>
      <c r="C2866">
        <f t="shared" si="132"/>
        <v>62.330759999999998</v>
      </c>
      <c r="D2866">
        <v>0.72569696969696973</v>
      </c>
      <c r="E2866">
        <f t="shared" si="133"/>
        <v>4.1324550439118335</v>
      </c>
      <c r="I2866" s="24">
        <f t="shared" si="134"/>
        <v>0.85475137365768916</v>
      </c>
      <c r="N2866" s="30">
        <v>31193.6875</v>
      </c>
    </row>
    <row r="2867" spans="1:14" x14ac:dyDescent="0.3">
      <c r="A2867">
        <v>43.641560000001576</v>
      </c>
      <c r="B2867">
        <v>62.884599999999999</v>
      </c>
      <c r="C2867">
        <f t="shared" si="132"/>
        <v>62.984619999999993</v>
      </c>
      <c r="D2867">
        <v>0.72590909090909084</v>
      </c>
      <c r="E2867">
        <f t="shared" si="133"/>
        <v>4.1428905696035629</v>
      </c>
      <c r="I2867" s="24">
        <f t="shared" si="134"/>
        <v>0.86639711236539407</v>
      </c>
      <c r="N2867" s="30">
        <v>31191.78125</v>
      </c>
    </row>
    <row r="2868" spans="1:14" x14ac:dyDescent="0.3">
      <c r="A2868">
        <v>43.656790000001578</v>
      </c>
      <c r="B2868">
        <v>63.884599999999999</v>
      </c>
      <c r="C2868">
        <f t="shared" si="132"/>
        <v>63.884620000000005</v>
      </c>
      <c r="D2868">
        <v>0.72612121212121206</v>
      </c>
      <c r="E2868">
        <f t="shared" si="133"/>
        <v>4.1570786438374459</v>
      </c>
      <c r="I2868" s="24">
        <f t="shared" si="134"/>
        <v>0.88257833666935537</v>
      </c>
      <c r="N2868" s="30">
        <v>31189.875</v>
      </c>
    </row>
    <row r="2869" spans="1:14" x14ac:dyDescent="0.3">
      <c r="A2869">
        <v>43.672020000001581</v>
      </c>
      <c r="B2869">
        <v>64.846199999999996</v>
      </c>
      <c r="C2869">
        <f t="shared" si="132"/>
        <v>64.669219999999996</v>
      </c>
      <c r="D2869">
        <v>0.72633333333333339</v>
      </c>
      <c r="E2869">
        <f t="shared" si="133"/>
        <v>4.1692853541518069</v>
      </c>
      <c r="I2869" s="24">
        <f t="shared" si="134"/>
        <v>0.89670498293572987</v>
      </c>
      <c r="N2869" s="30">
        <v>31187.96875</v>
      </c>
    </row>
    <row r="2870" spans="1:14" x14ac:dyDescent="0.3">
      <c r="A2870">
        <v>43.687250000001583</v>
      </c>
      <c r="B2870">
        <v>65.769199999999998</v>
      </c>
      <c r="C2870">
        <f t="shared" si="132"/>
        <v>65.323059999999998</v>
      </c>
      <c r="D2870">
        <v>0.72654545454545461</v>
      </c>
      <c r="E2870">
        <f t="shared" si="133"/>
        <v>4.1793451133001733</v>
      </c>
      <c r="I2870" s="24">
        <f t="shared" si="134"/>
        <v>0.90847019691322906</v>
      </c>
      <c r="N2870" s="30">
        <v>31186.0625</v>
      </c>
    </row>
    <row r="2871" spans="1:14" x14ac:dyDescent="0.3">
      <c r="A2871">
        <v>43.702480000001586</v>
      </c>
      <c r="B2871">
        <v>65.961500000000001</v>
      </c>
      <c r="C2871">
        <f t="shared" si="132"/>
        <v>65.815380000000005</v>
      </c>
      <c r="D2871">
        <v>0.72675757575757571</v>
      </c>
      <c r="E2871">
        <f t="shared" si="133"/>
        <v>4.1868535496204844</v>
      </c>
      <c r="I2871" s="24">
        <f t="shared" si="134"/>
        <v>0.91728419550433249</v>
      </c>
      <c r="N2871" s="30">
        <v>31184.15625</v>
      </c>
    </row>
    <row r="2872" spans="1:14" x14ac:dyDescent="0.3">
      <c r="A2872">
        <v>43.717710000001588</v>
      </c>
      <c r="B2872">
        <v>66.153800000000004</v>
      </c>
      <c r="C2872">
        <f t="shared" si="132"/>
        <v>66.146140000000003</v>
      </c>
      <c r="D2872">
        <v>0.72696969696969693</v>
      </c>
      <c r="E2872">
        <f t="shared" si="133"/>
        <v>4.1918665366286261</v>
      </c>
      <c r="I2872" s="24">
        <f t="shared" si="134"/>
        <v>0.9231269054079142</v>
      </c>
      <c r="N2872" s="30">
        <v>31182.25</v>
      </c>
    </row>
    <row r="2873" spans="1:14" x14ac:dyDescent="0.3">
      <c r="A2873">
        <v>43.732940000001591</v>
      </c>
      <c r="B2873">
        <v>66.346199999999996</v>
      </c>
      <c r="C2873">
        <f t="shared" si="132"/>
        <v>66.26921999999999</v>
      </c>
      <c r="D2873">
        <v>0.72718181818181815</v>
      </c>
      <c r="E2873">
        <f t="shared" si="133"/>
        <v>4.1937255359991799</v>
      </c>
      <c r="I2873" s="24">
        <f t="shared" si="134"/>
        <v>0.92513324339375769</v>
      </c>
      <c r="N2873" s="30">
        <v>31180.34375</v>
      </c>
    </row>
    <row r="2874" spans="1:14" x14ac:dyDescent="0.3">
      <c r="A2874">
        <v>43.748170000001593</v>
      </c>
      <c r="B2874">
        <v>66.5</v>
      </c>
      <c r="C2874">
        <f t="shared" ref="C2874:C2937" si="135">AVERAGE(B2872:B2876)</f>
        <v>66.384619999999998</v>
      </c>
      <c r="D2874">
        <v>0.72739393939393937</v>
      </c>
      <c r="E2874">
        <f t="shared" ref="E2874:E2937" si="136">LN(C2874)</f>
        <v>4.1954654031468017</v>
      </c>
      <c r="I2874" s="24">
        <f t="shared" ref="I2874:I2937" si="137">(0.0026*(EXP(1.3248*E2874)))/D2874</f>
        <v>0.92699770464857345</v>
      </c>
      <c r="N2874" s="30">
        <v>31178.4375</v>
      </c>
    </row>
    <row r="2875" spans="1:14" x14ac:dyDescent="0.3">
      <c r="A2875">
        <v>43.763400000001596</v>
      </c>
      <c r="B2875">
        <v>66.384600000000006</v>
      </c>
      <c r="C2875">
        <f t="shared" si="135"/>
        <v>66.430779999999999</v>
      </c>
      <c r="D2875">
        <v>0.72760606060606059</v>
      </c>
      <c r="E2875">
        <f t="shared" si="136"/>
        <v>4.1961605032911917</v>
      </c>
      <c r="I2875" s="24">
        <f t="shared" si="137"/>
        <v>0.92758124151489552</v>
      </c>
      <c r="N2875" s="30">
        <v>31176.53125</v>
      </c>
    </row>
    <row r="2876" spans="1:14" x14ac:dyDescent="0.3">
      <c r="A2876">
        <v>43.778630000001598</v>
      </c>
      <c r="B2876">
        <v>66.538499999999999</v>
      </c>
      <c r="C2876">
        <f t="shared" si="135"/>
        <v>66.446160000000006</v>
      </c>
      <c r="D2876">
        <v>0.72781818181818181</v>
      </c>
      <c r="E2876">
        <f t="shared" si="136"/>
        <v>4.1963919956790905</v>
      </c>
      <c r="I2876" s="24">
        <f t="shared" si="137"/>
        <v>0.92759533209637379</v>
      </c>
      <c r="N2876" s="30">
        <v>31174.625</v>
      </c>
    </row>
    <row r="2877" spans="1:14" x14ac:dyDescent="0.3">
      <c r="A2877">
        <v>43.793860000001601</v>
      </c>
      <c r="B2877">
        <v>66.384600000000006</v>
      </c>
      <c r="C2877">
        <f t="shared" si="135"/>
        <v>66.415400000000005</v>
      </c>
      <c r="D2877">
        <v>0.72803030303030303</v>
      </c>
      <c r="E2877">
        <f t="shared" si="136"/>
        <v>4.1959289573021579</v>
      </c>
      <c r="I2877" s="24">
        <f t="shared" si="137"/>
        <v>0.9267563874060043</v>
      </c>
      <c r="N2877" s="30">
        <v>31172.71875</v>
      </c>
    </row>
    <row r="2878" spans="1:14" x14ac:dyDescent="0.3">
      <c r="A2878">
        <v>43.809090000001603</v>
      </c>
      <c r="B2878">
        <v>66.423100000000005</v>
      </c>
      <c r="C2878">
        <f t="shared" si="135"/>
        <v>66.284639999999996</v>
      </c>
      <c r="D2878">
        <v>0.72824242424242425</v>
      </c>
      <c r="E2878">
        <f t="shared" si="136"/>
        <v>4.1939581961430568</v>
      </c>
      <c r="I2878" s="24">
        <f t="shared" si="137"/>
        <v>0.92407066793146608</v>
      </c>
      <c r="N2878" s="30">
        <v>31170.8125</v>
      </c>
    </row>
    <row r="2879" spans="1:14" x14ac:dyDescent="0.3">
      <c r="A2879">
        <v>43.824320000001606</v>
      </c>
      <c r="B2879">
        <v>66.346199999999996</v>
      </c>
      <c r="C2879">
        <f t="shared" si="135"/>
        <v>65.969239999999999</v>
      </c>
      <c r="D2879">
        <v>0.72845454545454547</v>
      </c>
      <c r="E2879">
        <f t="shared" si="136"/>
        <v>4.1891885727803642</v>
      </c>
      <c r="I2879" s="24">
        <f t="shared" si="137"/>
        <v>0.91798267349076079</v>
      </c>
      <c r="N2879" s="30">
        <v>31168.90625</v>
      </c>
    </row>
    <row r="2880" spans="1:14" x14ac:dyDescent="0.3">
      <c r="A2880">
        <v>43.839550000001609</v>
      </c>
      <c r="B2880">
        <v>65.730800000000002</v>
      </c>
      <c r="C2880">
        <f t="shared" si="135"/>
        <v>65.700019999999995</v>
      </c>
      <c r="D2880">
        <v>0.72866666666666657</v>
      </c>
      <c r="E2880">
        <f t="shared" si="136"/>
        <v>4.1850992299045213</v>
      </c>
      <c r="I2880" s="24">
        <f t="shared" si="137"/>
        <v>0.91275710412789579</v>
      </c>
      <c r="N2880" s="30">
        <v>31167</v>
      </c>
    </row>
    <row r="2881" spans="1:14" x14ac:dyDescent="0.3">
      <c r="A2881">
        <v>43.854780000001611</v>
      </c>
      <c r="B2881">
        <v>64.961500000000001</v>
      </c>
      <c r="C2881">
        <f t="shared" si="135"/>
        <v>65.438479999999998</v>
      </c>
      <c r="D2881">
        <v>0.72887878787878779</v>
      </c>
      <c r="E2881">
        <f t="shared" si="136"/>
        <v>4.1811104646408683</v>
      </c>
      <c r="I2881" s="24">
        <f t="shared" si="137"/>
        <v>0.90768229423197</v>
      </c>
      <c r="N2881" s="30">
        <v>31165.09375</v>
      </c>
    </row>
    <row r="2882" spans="1:14" x14ac:dyDescent="0.3">
      <c r="A2882">
        <v>43.870010000001614</v>
      </c>
      <c r="B2882">
        <v>65.038499999999999</v>
      </c>
      <c r="C2882">
        <f t="shared" si="135"/>
        <v>65.161539999999988</v>
      </c>
      <c r="D2882">
        <v>0.72909090909090912</v>
      </c>
      <c r="E2882">
        <f t="shared" si="136"/>
        <v>4.1768694175859311</v>
      </c>
      <c r="I2882" s="24">
        <f t="shared" si="137"/>
        <v>0.90233414490947306</v>
      </c>
      <c r="N2882" s="30">
        <v>31163.1875</v>
      </c>
    </row>
    <row r="2883" spans="1:14" x14ac:dyDescent="0.3">
      <c r="A2883">
        <v>43.885240000001616</v>
      </c>
      <c r="B2883">
        <v>65.115399999999994</v>
      </c>
      <c r="C2883">
        <f t="shared" si="135"/>
        <v>64.907679999999999</v>
      </c>
      <c r="D2883">
        <v>0.72930303030303034</v>
      </c>
      <c r="E2883">
        <f t="shared" si="136"/>
        <v>4.1729659526102907</v>
      </c>
      <c r="I2883" s="24">
        <f t="shared" si="137"/>
        <v>0.89741884507726666</v>
      </c>
      <c r="N2883" s="30">
        <v>31161.28125</v>
      </c>
    </row>
    <row r="2884" spans="1:14" x14ac:dyDescent="0.3">
      <c r="A2884">
        <v>43.900470000001619</v>
      </c>
      <c r="B2884">
        <v>64.961500000000001</v>
      </c>
      <c r="C2884">
        <f t="shared" si="135"/>
        <v>64.67692000000001</v>
      </c>
      <c r="D2884">
        <v>0.72951515151515145</v>
      </c>
      <c r="E2884">
        <f t="shared" si="136"/>
        <v>4.169404414527464</v>
      </c>
      <c r="I2884" s="24">
        <f t="shared" si="137"/>
        <v>0.89293479018612576</v>
      </c>
      <c r="N2884" s="30">
        <v>31159.375</v>
      </c>
    </row>
    <row r="2885" spans="1:14" x14ac:dyDescent="0.3">
      <c r="A2885">
        <v>43.915700000001621</v>
      </c>
      <c r="B2885">
        <v>64.461500000000001</v>
      </c>
      <c r="C2885">
        <f t="shared" si="135"/>
        <v>64.323059999999998</v>
      </c>
      <c r="D2885">
        <v>0.72972727272727267</v>
      </c>
      <c r="E2885">
        <f t="shared" si="136"/>
        <v>4.1639181983659395</v>
      </c>
      <c r="I2885" s="24">
        <f t="shared" si="137"/>
        <v>0.88621066025800832</v>
      </c>
      <c r="N2885" s="30">
        <v>31157.46875</v>
      </c>
    </row>
    <row r="2886" spans="1:14" x14ac:dyDescent="0.3">
      <c r="A2886">
        <v>43.930930000001624</v>
      </c>
      <c r="B2886">
        <v>63.807699999999997</v>
      </c>
      <c r="C2886">
        <f t="shared" si="135"/>
        <v>63.869220000000006</v>
      </c>
      <c r="D2886">
        <v>0.72993939393939389</v>
      </c>
      <c r="E2886">
        <f t="shared" si="136"/>
        <v>4.1568375551926797</v>
      </c>
      <c r="I2886" s="24">
        <f t="shared" si="137"/>
        <v>0.87768135682807291</v>
      </c>
      <c r="N2886" s="30">
        <v>31155.5625</v>
      </c>
    </row>
    <row r="2887" spans="1:14" x14ac:dyDescent="0.3">
      <c r="A2887">
        <v>43.946160000001626</v>
      </c>
      <c r="B2887">
        <v>63.269199999999998</v>
      </c>
      <c r="C2887">
        <f t="shared" si="135"/>
        <v>63.338460000000012</v>
      </c>
      <c r="D2887">
        <v>0.73015151515151511</v>
      </c>
      <c r="E2887">
        <f t="shared" si="136"/>
        <v>4.1484927275847365</v>
      </c>
      <c r="I2887" s="24">
        <f t="shared" si="137"/>
        <v>0.86777964906305605</v>
      </c>
      <c r="N2887" s="30">
        <v>31153.65625</v>
      </c>
    </row>
    <row r="2888" spans="1:14" x14ac:dyDescent="0.3">
      <c r="A2888">
        <v>43.961390000001629</v>
      </c>
      <c r="B2888">
        <v>62.846200000000003</v>
      </c>
      <c r="C2888">
        <f t="shared" si="135"/>
        <v>62.876919999999998</v>
      </c>
      <c r="D2888">
        <v>0.73036363636363633</v>
      </c>
      <c r="E2888">
        <f t="shared" si="136"/>
        <v>4.1411791647329892</v>
      </c>
      <c r="I2888" s="24">
        <f t="shared" si="137"/>
        <v>0.85916272490837398</v>
      </c>
      <c r="N2888" s="30">
        <v>31151.75</v>
      </c>
    </row>
    <row r="2889" spans="1:14" x14ac:dyDescent="0.3">
      <c r="A2889">
        <v>43.976620000001631</v>
      </c>
      <c r="B2889">
        <v>62.307699999999997</v>
      </c>
      <c r="C2889">
        <f t="shared" si="135"/>
        <v>62.561539999999994</v>
      </c>
      <c r="D2889">
        <v>0.73057575757575755</v>
      </c>
      <c r="E2889">
        <f t="shared" si="136"/>
        <v>4.1361507123023644</v>
      </c>
      <c r="I2889" s="24">
        <f t="shared" si="137"/>
        <v>0.8532104677939053</v>
      </c>
      <c r="N2889" s="30">
        <v>31149.84375</v>
      </c>
    </row>
    <row r="2890" spans="1:14" x14ac:dyDescent="0.3">
      <c r="A2890">
        <v>43.991850000001634</v>
      </c>
      <c r="B2890">
        <v>62.153799999999997</v>
      </c>
      <c r="C2890">
        <f t="shared" si="135"/>
        <v>62.392319999999998</v>
      </c>
      <c r="D2890">
        <v>0.73078787878787876</v>
      </c>
      <c r="E2890">
        <f t="shared" si="136"/>
        <v>4.1334421908777186</v>
      </c>
      <c r="I2890" s="24">
        <f t="shared" si="137"/>
        <v>0.84990765324540629</v>
      </c>
      <c r="N2890" s="30">
        <v>31147.9375</v>
      </c>
    </row>
    <row r="2891" spans="1:14" x14ac:dyDescent="0.3">
      <c r="A2891">
        <v>44.007080000001636</v>
      </c>
      <c r="B2891">
        <v>62.230800000000002</v>
      </c>
      <c r="C2891">
        <f t="shared" si="135"/>
        <v>62.369240000000005</v>
      </c>
      <c r="D2891" s="8">
        <v>0.73099999999999998</v>
      </c>
      <c r="E2891">
        <f t="shared" si="136"/>
        <v>4.1330722051182711</v>
      </c>
      <c r="I2891" s="24">
        <f t="shared" si="137"/>
        <v>0.84924466210667471</v>
      </c>
      <c r="N2891" s="30">
        <v>31146.03125</v>
      </c>
    </row>
    <row r="2892" spans="1:14" x14ac:dyDescent="0.3">
      <c r="A2892">
        <v>44.022310000001639</v>
      </c>
      <c r="B2892">
        <v>62.423099999999998</v>
      </c>
      <c r="C2892">
        <f t="shared" si="135"/>
        <v>62.484619999999993</v>
      </c>
      <c r="D2892">
        <v>0.73080303030303029</v>
      </c>
      <c r="E2892">
        <f t="shared" si="136"/>
        <v>4.134920446459704</v>
      </c>
      <c r="I2892" s="24">
        <f t="shared" si="137"/>
        <v>0.85155608191394705</v>
      </c>
      <c r="N2892" s="30">
        <v>31144.125</v>
      </c>
    </row>
    <row r="2893" spans="1:14" x14ac:dyDescent="0.3">
      <c r="A2893">
        <v>44.037540000001641</v>
      </c>
      <c r="B2893">
        <v>62.730800000000002</v>
      </c>
      <c r="C2893">
        <f t="shared" si="135"/>
        <v>62.723100000000002</v>
      </c>
      <c r="D2893">
        <v>0.73060606060606059</v>
      </c>
      <c r="E2893">
        <f t="shared" si="136"/>
        <v>4.1387298008411353</v>
      </c>
      <c r="I2893" s="24">
        <f t="shared" si="137"/>
        <v>0.85609517392683743</v>
      </c>
      <c r="N2893" s="30">
        <v>31142.21875</v>
      </c>
    </row>
    <row r="2894" spans="1:14" x14ac:dyDescent="0.3">
      <c r="A2894">
        <v>44.052770000001644</v>
      </c>
      <c r="B2894">
        <v>62.884599999999999</v>
      </c>
      <c r="C2894">
        <f t="shared" si="135"/>
        <v>63.069240000000001</v>
      </c>
      <c r="D2894">
        <v>0.7304090909090909</v>
      </c>
      <c r="E2894">
        <f t="shared" si="136"/>
        <v>4.1442331704998967</v>
      </c>
      <c r="I2894" s="24">
        <f t="shared" si="137"/>
        <v>0.86259220936896086</v>
      </c>
      <c r="N2894" s="30">
        <v>31140.3125</v>
      </c>
    </row>
    <row r="2895" spans="1:14" x14ac:dyDescent="0.3">
      <c r="A2895">
        <v>44.068000000001646</v>
      </c>
      <c r="B2895">
        <v>63.346200000000003</v>
      </c>
      <c r="C2895">
        <f t="shared" si="135"/>
        <v>63.55386</v>
      </c>
      <c r="D2895">
        <v>0.7302121212121212</v>
      </c>
      <c r="E2895">
        <f t="shared" si="136"/>
        <v>4.1518877353660271</v>
      </c>
      <c r="I2895" s="24">
        <f t="shared" si="137"/>
        <v>0.87161910900749551</v>
      </c>
      <c r="N2895" s="30">
        <v>31138.40625</v>
      </c>
    </row>
    <row r="2896" spans="1:14" x14ac:dyDescent="0.3">
      <c r="A2896">
        <v>44.083230000001649</v>
      </c>
      <c r="B2896">
        <v>63.961500000000001</v>
      </c>
      <c r="C2896">
        <f t="shared" si="135"/>
        <v>64.069240000000008</v>
      </c>
      <c r="D2896">
        <v>0.73001515151515151</v>
      </c>
      <c r="E2896">
        <f t="shared" si="136"/>
        <v>4.1599643735546668</v>
      </c>
      <c r="I2896" s="24">
        <f t="shared" si="137"/>
        <v>0.8812331529003512</v>
      </c>
      <c r="N2896" s="30">
        <v>31136.5</v>
      </c>
    </row>
    <row r="2897" spans="1:14" x14ac:dyDescent="0.3">
      <c r="A2897">
        <v>44.098460000001651</v>
      </c>
      <c r="B2897">
        <v>64.846199999999996</v>
      </c>
      <c r="C2897">
        <f t="shared" si="135"/>
        <v>64.607699999999994</v>
      </c>
      <c r="D2897">
        <v>0.72981818181818181</v>
      </c>
      <c r="E2897">
        <f t="shared" si="136"/>
        <v>4.1683335987318308</v>
      </c>
      <c r="I2897" s="24">
        <f t="shared" si="137"/>
        <v>0.89129872308440228</v>
      </c>
      <c r="N2897" s="30">
        <v>31134.59375</v>
      </c>
    </row>
    <row r="2898" spans="1:14" x14ac:dyDescent="0.3">
      <c r="A2898">
        <v>44.113690000001654</v>
      </c>
      <c r="B2898">
        <v>65.307699999999997</v>
      </c>
      <c r="C2898">
        <f t="shared" si="135"/>
        <v>65.084620000000001</v>
      </c>
      <c r="D2898">
        <v>0.72962121212121211</v>
      </c>
      <c r="E2898">
        <f t="shared" si="136"/>
        <v>4.1756882693825199</v>
      </c>
      <c r="I2898" s="24">
        <f t="shared" si="137"/>
        <v>0.90026848123290626</v>
      </c>
      <c r="N2898" s="30">
        <v>31132.6875</v>
      </c>
    </row>
    <row r="2899" spans="1:14" x14ac:dyDescent="0.3">
      <c r="A2899">
        <v>44.128920000001656</v>
      </c>
      <c r="B2899">
        <v>65.576899999999995</v>
      </c>
      <c r="C2899">
        <f t="shared" si="135"/>
        <v>65.446159999999992</v>
      </c>
      <c r="D2899">
        <v>0.72942424242424242</v>
      </c>
      <c r="E2899">
        <f t="shared" si="136"/>
        <v>4.1812278198936896</v>
      </c>
      <c r="I2899" s="24">
        <f t="shared" si="137"/>
        <v>0.90714456532471677</v>
      </c>
      <c r="N2899" s="30">
        <v>31130.78125</v>
      </c>
    </row>
    <row r="2900" spans="1:14" x14ac:dyDescent="0.3">
      <c r="A2900">
        <v>44.144150000001659</v>
      </c>
      <c r="B2900">
        <v>65.730800000000002</v>
      </c>
      <c r="C2900">
        <f t="shared" si="135"/>
        <v>65.538460000000001</v>
      </c>
      <c r="D2900">
        <v>0.72922727272727272</v>
      </c>
      <c r="E2900">
        <f t="shared" si="136"/>
        <v>4.1826371458936</v>
      </c>
      <c r="I2900" s="24">
        <f t="shared" si="137"/>
        <v>0.90908533885237675</v>
      </c>
      <c r="N2900" s="30">
        <v>31128.875</v>
      </c>
    </row>
    <row r="2901" spans="1:14" x14ac:dyDescent="0.3">
      <c r="A2901">
        <v>44.159380000001661</v>
      </c>
      <c r="B2901">
        <v>65.769199999999998</v>
      </c>
      <c r="C2901">
        <f t="shared" si="135"/>
        <v>65.430760000000006</v>
      </c>
      <c r="D2901">
        <v>0.72903030303030303</v>
      </c>
      <c r="E2901">
        <f t="shared" si="136"/>
        <v>4.1809924842810995</v>
      </c>
      <c r="I2901" s="24">
        <f t="shared" si="137"/>
        <v>0.90735181912660967</v>
      </c>
      <c r="N2901" s="30">
        <v>31126.96875</v>
      </c>
    </row>
    <row r="2902" spans="1:14" x14ac:dyDescent="0.3">
      <c r="A2902">
        <v>44.174610000001664</v>
      </c>
      <c r="B2902">
        <v>65.307699999999997</v>
      </c>
      <c r="C2902">
        <f t="shared" si="135"/>
        <v>65.18462000000001</v>
      </c>
      <c r="D2902">
        <v>0.72883333333333333</v>
      </c>
      <c r="E2902">
        <f t="shared" si="136"/>
        <v>4.1772235515357341</v>
      </c>
      <c r="I2902" s="24">
        <f t="shared" si="137"/>
        <v>0.90307662233312014</v>
      </c>
      <c r="N2902" s="30">
        <v>31125.0625</v>
      </c>
    </row>
    <row r="2903" spans="1:14" x14ac:dyDescent="0.3">
      <c r="A2903">
        <v>44.189840000001666</v>
      </c>
      <c r="B2903">
        <v>64.769199999999998</v>
      </c>
      <c r="C2903">
        <f t="shared" si="135"/>
        <v>64.738460000000003</v>
      </c>
      <c r="D2903">
        <v>0.72863636363636364</v>
      </c>
      <c r="E2903">
        <f t="shared" si="136"/>
        <v>4.1703554607576496</v>
      </c>
      <c r="I2903" s="24">
        <f t="shared" si="137"/>
        <v>0.89513885024104156</v>
      </c>
      <c r="N2903" s="30">
        <v>31123.15625</v>
      </c>
    </row>
    <row r="2904" spans="1:14" x14ac:dyDescent="0.3">
      <c r="A2904">
        <v>44.205070000001669</v>
      </c>
      <c r="B2904">
        <v>64.346199999999996</v>
      </c>
      <c r="C2904">
        <f t="shared" si="135"/>
        <v>64.076920000000001</v>
      </c>
      <c r="D2904">
        <v>0.72843939393939394</v>
      </c>
      <c r="E2904">
        <f t="shared" si="136"/>
        <v>4.1600842366860968</v>
      </c>
      <c r="I2904" s="24">
        <f t="shared" si="137"/>
        <v>0.88327968238240606</v>
      </c>
      <c r="N2904" s="30">
        <v>31121.25</v>
      </c>
    </row>
    <row r="2905" spans="1:14" x14ac:dyDescent="0.3">
      <c r="A2905">
        <v>44.220300000001671</v>
      </c>
      <c r="B2905">
        <v>63.5</v>
      </c>
      <c r="C2905">
        <f t="shared" si="135"/>
        <v>63.338459999999998</v>
      </c>
      <c r="D2905">
        <v>0.72824242424242425</v>
      </c>
      <c r="E2905">
        <f t="shared" si="136"/>
        <v>4.1484927275847356</v>
      </c>
      <c r="I2905" s="24">
        <f t="shared" si="137"/>
        <v>0.87005453745732009</v>
      </c>
      <c r="N2905" s="30">
        <v>31119.34375</v>
      </c>
    </row>
    <row r="2906" spans="1:14" x14ac:dyDescent="0.3">
      <c r="A2906">
        <v>44.235530000001674</v>
      </c>
      <c r="B2906">
        <v>62.461500000000001</v>
      </c>
      <c r="C2906">
        <f t="shared" si="135"/>
        <v>62.569240000000001</v>
      </c>
      <c r="D2906">
        <v>0.72804545454545455</v>
      </c>
      <c r="E2906">
        <f t="shared" si="136"/>
        <v>4.1362737835404673</v>
      </c>
      <c r="I2906" s="24">
        <f t="shared" si="137"/>
        <v>0.85631538493937787</v>
      </c>
      <c r="N2906" s="30">
        <v>31117.4375</v>
      </c>
    </row>
    <row r="2907" spans="1:14" x14ac:dyDescent="0.3">
      <c r="A2907">
        <v>44.250760000001677</v>
      </c>
      <c r="B2907">
        <v>61.615400000000001</v>
      </c>
      <c r="C2907">
        <f t="shared" si="135"/>
        <v>61.684619999999995</v>
      </c>
      <c r="D2907">
        <v>0.72784848484848486</v>
      </c>
      <c r="E2907">
        <f t="shared" si="136"/>
        <v>4.1220346291737409</v>
      </c>
      <c r="I2907" s="24">
        <f t="shared" si="137"/>
        <v>0.84054063626831266</v>
      </c>
      <c r="N2907" s="30">
        <v>31115.53125</v>
      </c>
    </row>
    <row r="2908" spans="1:14" x14ac:dyDescent="0.3">
      <c r="A2908">
        <v>44.265990000001679</v>
      </c>
      <c r="B2908">
        <v>60.923099999999998</v>
      </c>
      <c r="C2908">
        <f t="shared" si="135"/>
        <v>60.769240000000003</v>
      </c>
      <c r="D2908">
        <v>0.72765151515151516</v>
      </c>
      <c r="E2908">
        <f t="shared" si="136"/>
        <v>4.1070837398982531</v>
      </c>
      <c r="I2908" s="24">
        <f t="shared" si="137"/>
        <v>0.82427896058576522</v>
      </c>
      <c r="N2908" s="30">
        <v>31113.625</v>
      </c>
    </row>
    <row r="2909" spans="1:14" x14ac:dyDescent="0.3">
      <c r="A2909">
        <v>44.281220000001682</v>
      </c>
      <c r="B2909">
        <v>59.923099999999998</v>
      </c>
      <c r="C2909">
        <f t="shared" si="135"/>
        <v>59.876940000000005</v>
      </c>
      <c r="D2909">
        <v>0.72745454545454546</v>
      </c>
      <c r="E2909">
        <f t="shared" si="136"/>
        <v>4.0922914560412567</v>
      </c>
      <c r="I2909" s="24">
        <f t="shared" si="137"/>
        <v>0.8085018185910573</v>
      </c>
      <c r="N2909" s="30">
        <v>31111.71875</v>
      </c>
    </row>
    <row r="2910" spans="1:14" x14ac:dyDescent="0.3">
      <c r="A2910">
        <v>44.296450000001684</v>
      </c>
      <c r="B2910">
        <v>58.923099999999998</v>
      </c>
      <c r="C2910">
        <f t="shared" si="135"/>
        <v>59.115400000000001</v>
      </c>
      <c r="D2910">
        <v>0.72725757575757577</v>
      </c>
      <c r="E2910">
        <f t="shared" si="136"/>
        <v>4.0794914657643151</v>
      </c>
      <c r="I2910" s="24">
        <f t="shared" si="137"/>
        <v>0.79512258961554572</v>
      </c>
      <c r="N2910" s="30">
        <v>31109.8125</v>
      </c>
    </row>
    <row r="2911" spans="1:14" x14ac:dyDescent="0.3">
      <c r="A2911">
        <v>44.311680000001687</v>
      </c>
      <c r="B2911">
        <v>58</v>
      </c>
      <c r="C2911">
        <f t="shared" si="135"/>
        <v>58.600020000000008</v>
      </c>
      <c r="D2911">
        <v>0.72706060606060607</v>
      </c>
      <c r="E2911">
        <f t="shared" si="136"/>
        <v>4.070735037879837</v>
      </c>
      <c r="I2911" s="24">
        <f t="shared" si="137"/>
        <v>0.78616497600341495</v>
      </c>
      <c r="N2911" s="30">
        <v>31107.90625</v>
      </c>
    </row>
    <row r="2912" spans="1:14" x14ac:dyDescent="0.3">
      <c r="A2912">
        <v>44.326910000001689</v>
      </c>
      <c r="B2912">
        <v>57.807699999999997</v>
      </c>
      <c r="C2912">
        <f t="shared" si="135"/>
        <v>58.469239999999999</v>
      </c>
      <c r="D2912">
        <v>0.72686363636363638</v>
      </c>
      <c r="E2912">
        <f t="shared" si="136"/>
        <v>4.0685008039844099</v>
      </c>
      <c r="I2912" s="25">
        <f t="shared" si="137"/>
        <v>0.78405384632348241</v>
      </c>
      <c r="N2912" s="30">
        <v>31106</v>
      </c>
    </row>
    <row r="2913" spans="1:18" x14ac:dyDescent="0.3">
      <c r="A2913">
        <v>44.342140000001692</v>
      </c>
      <c r="B2913">
        <v>58.346200000000003</v>
      </c>
      <c r="C2913">
        <f t="shared" si="135"/>
        <v>58.676919999999996</v>
      </c>
      <c r="D2913">
        <v>0.72666666666666668</v>
      </c>
      <c r="E2913">
        <f t="shared" si="136"/>
        <v>4.0720464638263412</v>
      </c>
      <c r="I2913" s="24">
        <f t="shared" si="137"/>
        <v>0.7879589638518224</v>
      </c>
      <c r="N2913" s="30">
        <v>31089.8</v>
      </c>
    </row>
    <row r="2914" spans="1:18" x14ac:dyDescent="0.3">
      <c r="A2914">
        <v>44.357370000001694</v>
      </c>
      <c r="B2914">
        <v>59.269199999999998</v>
      </c>
      <c r="C2914">
        <f t="shared" si="135"/>
        <v>59.115379999999995</v>
      </c>
      <c r="D2914">
        <v>0.72646969696969699</v>
      </c>
      <c r="E2914">
        <f t="shared" si="136"/>
        <v>4.0794911274429406</v>
      </c>
      <c r="I2914" s="24">
        <f t="shared" si="137"/>
        <v>0.79598456781563276</v>
      </c>
      <c r="N2914" s="30">
        <v>31073.600000000002</v>
      </c>
    </row>
    <row r="2915" spans="1:18" x14ac:dyDescent="0.3">
      <c r="A2915">
        <v>44.372600000001697</v>
      </c>
      <c r="B2915">
        <v>59.961500000000001</v>
      </c>
      <c r="C2915">
        <f t="shared" si="135"/>
        <v>59.507680000000008</v>
      </c>
      <c r="D2915">
        <v>0.72627272727272729</v>
      </c>
      <c r="E2915">
        <f t="shared" si="136"/>
        <v>4.0861053798522935</v>
      </c>
      <c r="I2915" s="24">
        <f t="shared" si="137"/>
        <v>0.8032078558297957</v>
      </c>
      <c r="N2915" s="30">
        <v>31057.4</v>
      </c>
    </row>
    <row r="2916" spans="1:18" x14ac:dyDescent="0.3">
      <c r="A2916">
        <v>44.387830000001699</v>
      </c>
      <c r="B2916">
        <v>60.192300000000003</v>
      </c>
      <c r="C2916">
        <f t="shared" si="135"/>
        <v>59.838440000000006</v>
      </c>
      <c r="D2916">
        <v>0.7260757575757576</v>
      </c>
      <c r="E2916">
        <f t="shared" si="136"/>
        <v>4.0916482638076896</v>
      </c>
      <c r="I2916" s="24">
        <f t="shared" si="137"/>
        <v>0.80934719064041916</v>
      </c>
      <c r="N2916" s="30">
        <v>31041.200000000001</v>
      </c>
      <c r="O2916">
        <v>1984</v>
      </c>
      <c r="P2916" s="24">
        <f>AVERAGE(I2916:I2988)</f>
        <v>0.80486669348556328</v>
      </c>
      <c r="Q2916">
        <f>A2988-A2916</f>
        <v>1.0965600000001814</v>
      </c>
      <c r="R2916">
        <f>P2916*Q2916</f>
        <v>0.88258462140867522</v>
      </c>
    </row>
    <row r="2917" spans="1:18" x14ac:dyDescent="0.3">
      <c r="A2917">
        <v>44.403060000001702</v>
      </c>
      <c r="B2917">
        <v>59.769199999999998</v>
      </c>
      <c r="C2917">
        <f t="shared" si="135"/>
        <v>60.130759999999995</v>
      </c>
      <c r="D2917">
        <v>0.7258787878787879</v>
      </c>
      <c r="E2917">
        <f t="shared" si="136"/>
        <v>4.0965215242531592</v>
      </c>
      <c r="I2917" s="24">
        <f t="shared" si="137"/>
        <v>0.81481035857468176</v>
      </c>
      <c r="N2917" s="30">
        <v>31025</v>
      </c>
    </row>
    <row r="2918" spans="1:18" x14ac:dyDescent="0.3">
      <c r="A2918">
        <v>44.418290000001704</v>
      </c>
      <c r="B2918">
        <v>60</v>
      </c>
      <c r="C2918">
        <f t="shared" si="135"/>
        <v>60.45384</v>
      </c>
      <c r="D2918">
        <v>0.72568181818181821</v>
      </c>
      <c r="E2918">
        <f t="shared" si="136"/>
        <v>4.1018800986164656</v>
      </c>
      <c r="I2918" s="24">
        <f t="shared" si="137"/>
        <v>0.82083804697240592</v>
      </c>
      <c r="N2918" s="30">
        <v>31008.799999999999</v>
      </c>
    </row>
    <row r="2919" spans="1:18" x14ac:dyDescent="0.3">
      <c r="A2919">
        <v>44.433520000001707</v>
      </c>
      <c r="B2919">
        <v>60.730800000000002</v>
      </c>
      <c r="C2919">
        <f t="shared" si="135"/>
        <v>60.846140000000005</v>
      </c>
      <c r="D2919">
        <v>0.72548484848484851</v>
      </c>
      <c r="E2919">
        <f t="shared" si="136"/>
        <v>4.1083483827460405</v>
      </c>
      <c r="I2919" s="24">
        <f t="shared" si="137"/>
        <v>0.82812695804544689</v>
      </c>
      <c r="N2919" s="30">
        <v>30992.600000000002</v>
      </c>
    </row>
    <row r="2920" spans="1:18" x14ac:dyDescent="0.3">
      <c r="A2920">
        <v>44.448750000001709</v>
      </c>
      <c r="B2920">
        <v>61.576900000000002</v>
      </c>
      <c r="C2920">
        <f t="shared" si="135"/>
        <v>61.376919999999998</v>
      </c>
      <c r="D2920">
        <v>0.72528787878787881</v>
      </c>
      <c r="E2920">
        <f t="shared" si="136"/>
        <v>4.1170338687211014</v>
      </c>
      <c r="I2920" s="24">
        <f t="shared" si="137"/>
        <v>0.83793836114692588</v>
      </c>
      <c r="N2920" s="30">
        <v>30976.400000000001</v>
      </c>
    </row>
    <row r="2921" spans="1:18" x14ac:dyDescent="0.3">
      <c r="A2921">
        <v>44.463980000001712</v>
      </c>
      <c r="B2921">
        <v>62.153799999999997</v>
      </c>
      <c r="C2921">
        <f t="shared" si="135"/>
        <v>61.915380000000006</v>
      </c>
      <c r="D2921">
        <v>0.72509090909090912</v>
      </c>
      <c r="E2921">
        <f t="shared" si="136"/>
        <v>4.1257686140947269</v>
      </c>
      <c r="I2921" s="24">
        <f t="shared" si="137"/>
        <v>0.84792140195205701</v>
      </c>
      <c r="N2921" s="30">
        <v>30960.2</v>
      </c>
    </row>
    <row r="2922" spans="1:18" x14ac:dyDescent="0.3">
      <c r="A2922">
        <v>44.479210000001714</v>
      </c>
      <c r="B2922">
        <v>62.423099999999998</v>
      </c>
      <c r="C2922">
        <f t="shared" si="135"/>
        <v>62.461519999999993</v>
      </c>
      <c r="D2922">
        <v>0.72489393939393942</v>
      </c>
      <c r="E2922">
        <f t="shared" si="136"/>
        <v>4.1345506871335953</v>
      </c>
      <c r="I2922" s="24">
        <f t="shared" si="137"/>
        <v>0.85807724164405075</v>
      </c>
      <c r="N2922" s="30">
        <v>30944</v>
      </c>
    </row>
    <row r="2923" spans="1:18" x14ac:dyDescent="0.3">
      <c r="A2923">
        <v>44.494440000001717</v>
      </c>
      <c r="B2923">
        <v>62.692300000000003</v>
      </c>
      <c r="C2923">
        <f t="shared" si="135"/>
        <v>62.969219999999993</v>
      </c>
      <c r="D2923">
        <v>0.72469696969696962</v>
      </c>
      <c r="E2923">
        <f t="shared" si="136"/>
        <v>4.1426460355730521</v>
      </c>
      <c r="I2923" s="24">
        <f t="shared" si="137"/>
        <v>0.86756513908880384</v>
      </c>
      <c r="N2923" s="30">
        <v>30927.8</v>
      </c>
    </row>
    <row r="2924" spans="1:18" x14ac:dyDescent="0.3">
      <c r="A2924">
        <v>44.509670000001719</v>
      </c>
      <c r="B2924">
        <v>63.461500000000001</v>
      </c>
      <c r="C2924">
        <f t="shared" si="135"/>
        <v>63.415380000000006</v>
      </c>
      <c r="D2924">
        <v>0.72449999999999992</v>
      </c>
      <c r="E2924">
        <f t="shared" si="136"/>
        <v>4.1497064187745609</v>
      </c>
      <c r="I2924" s="24">
        <f t="shared" si="137"/>
        <v>0.87595614407459965</v>
      </c>
      <c r="N2924" s="30">
        <v>30911.600000000002</v>
      </c>
    </row>
    <row r="2925" spans="1:18" x14ac:dyDescent="0.3">
      <c r="A2925">
        <v>44.524900000001722</v>
      </c>
      <c r="B2925">
        <v>64.115399999999994</v>
      </c>
      <c r="C2925">
        <f t="shared" si="135"/>
        <v>63.815380000000005</v>
      </c>
      <c r="D2925">
        <v>0.72430303030303023</v>
      </c>
      <c r="E2925">
        <f t="shared" si="136"/>
        <v>4.1559942271297663</v>
      </c>
      <c r="I2925" s="24">
        <f t="shared" si="137"/>
        <v>0.88352361573255545</v>
      </c>
      <c r="N2925" s="30">
        <v>30895.4</v>
      </c>
    </row>
    <row r="2926" spans="1:18" x14ac:dyDescent="0.3">
      <c r="A2926">
        <v>44.540130000001724</v>
      </c>
      <c r="B2926">
        <v>64.384600000000006</v>
      </c>
      <c r="C2926">
        <f t="shared" si="135"/>
        <v>64.099999999999994</v>
      </c>
      <c r="D2926">
        <v>0.72410606060606053</v>
      </c>
      <c r="E2926">
        <f t="shared" si="136"/>
        <v>4.160444363926624</v>
      </c>
      <c r="I2926" s="24">
        <f t="shared" si="137"/>
        <v>0.88898960553416817</v>
      </c>
      <c r="N2926" s="30">
        <v>30879.200000000001</v>
      </c>
    </row>
    <row r="2927" spans="1:18" x14ac:dyDescent="0.3">
      <c r="A2927">
        <v>44.555360000001727</v>
      </c>
      <c r="B2927">
        <v>64.423100000000005</v>
      </c>
      <c r="C2927">
        <f t="shared" si="135"/>
        <v>64.146159999999995</v>
      </c>
      <c r="D2927">
        <v>0.72390909090909084</v>
      </c>
      <c r="E2927">
        <f t="shared" si="136"/>
        <v>4.1611642295661628</v>
      </c>
      <c r="I2927" s="24">
        <f t="shared" si="137"/>
        <v>0.89007993729632995</v>
      </c>
      <c r="J2927">
        <v>1984</v>
      </c>
      <c r="K2927">
        <f>AVERAGE(I2927:I2997)</f>
        <v>0.81286400177038853</v>
      </c>
      <c r="L2927">
        <f>A2997-A2927</f>
        <v>1.0661000000001764</v>
      </c>
      <c r="M2927">
        <f>K2927*L2927</f>
        <v>0.86659431228755457</v>
      </c>
      <c r="N2927" s="30">
        <v>30863</v>
      </c>
    </row>
    <row r="2928" spans="1:18" x14ac:dyDescent="0.3">
      <c r="A2928">
        <v>44.570590000001729</v>
      </c>
      <c r="B2928">
        <v>64.115399999999994</v>
      </c>
      <c r="C2928">
        <f t="shared" si="135"/>
        <v>64.023080000000007</v>
      </c>
      <c r="D2928">
        <v>0.72371212121212114</v>
      </c>
      <c r="E2928">
        <f t="shared" si="136"/>
        <v>4.1592436433501057</v>
      </c>
      <c r="I2928" s="24">
        <f t="shared" si="137"/>
        <v>0.88805973692554763</v>
      </c>
      <c r="N2928" s="30">
        <v>30860.932203389828</v>
      </c>
    </row>
    <row r="2929" spans="1:14" x14ac:dyDescent="0.3">
      <c r="A2929">
        <v>44.585820000001732</v>
      </c>
      <c r="B2929">
        <v>63.692300000000003</v>
      </c>
      <c r="C2929">
        <f t="shared" si="135"/>
        <v>63.846159999999998</v>
      </c>
      <c r="D2929">
        <v>0.72351515151515144</v>
      </c>
      <c r="E2929">
        <f t="shared" si="136"/>
        <v>4.1564764397146448</v>
      </c>
      <c r="I2929" s="24">
        <f t="shared" si="137"/>
        <v>0.88505095845152892</v>
      </c>
      <c r="N2929" s="30">
        <v>30858.864406779659</v>
      </c>
    </row>
    <row r="2930" spans="1:14" x14ac:dyDescent="0.3">
      <c r="A2930">
        <v>44.601050000001734</v>
      </c>
      <c r="B2930">
        <v>63.5</v>
      </c>
      <c r="C2930">
        <f t="shared" si="135"/>
        <v>63.68462000000001</v>
      </c>
      <c r="D2930">
        <v>0.72331818181818175</v>
      </c>
      <c r="E2930">
        <f t="shared" si="136"/>
        <v>4.1539430891557414</v>
      </c>
      <c r="I2930" s="24">
        <f t="shared" si="137"/>
        <v>0.88232574892763016</v>
      </c>
      <c r="N2930" s="30">
        <v>30856.796610169491</v>
      </c>
    </row>
    <row r="2931" spans="1:14" x14ac:dyDescent="0.3">
      <c r="A2931">
        <v>44.616280000001737</v>
      </c>
      <c r="B2931">
        <v>63.5</v>
      </c>
      <c r="C2931">
        <f t="shared" si="135"/>
        <v>63.569239999999994</v>
      </c>
      <c r="D2931">
        <v>0.72312121212121205</v>
      </c>
      <c r="E2931">
        <f t="shared" si="136"/>
        <v>4.1521297055520128</v>
      </c>
      <c r="I2931" s="24">
        <f t="shared" si="137"/>
        <v>0.88044837802889364</v>
      </c>
      <c r="N2931" s="30">
        <v>30854.728813559323</v>
      </c>
    </row>
    <row r="2932" spans="1:14" x14ac:dyDescent="0.3">
      <c r="A2932">
        <v>44.63151000000174</v>
      </c>
      <c r="B2932">
        <v>63.615400000000001</v>
      </c>
      <c r="C2932">
        <f t="shared" si="135"/>
        <v>63.461539999999999</v>
      </c>
      <c r="D2932">
        <v>0.72292424242424236</v>
      </c>
      <c r="E2932">
        <f t="shared" si="136"/>
        <v>4.1504340531155686</v>
      </c>
      <c r="I2932" s="24">
        <f t="shared" si="137"/>
        <v>0.87871210915730391</v>
      </c>
      <c r="N2932" s="30">
        <v>30852.661016949151</v>
      </c>
    </row>
    <row r="2933" spans="1:14" x14ac:dyDescent="0.3">
      <c r="A2933">
        <v>44.646740000001742</v>
      </c>
      <c r="B2933">
        <v>63.538499999999999</v>
      </c>
      <c r="C2933">
        <f t="shared" si="135"/>
        <v>63.384619999999998</v>
      </c>
      <c r="D2933">
        <v>0.72272727272727266</v>
      </c>
      <c r="E2933">
        <f t="shared" si="136"/>
        <v>4.1492212452634663</v>
      </c>
      <c r="I2933" s="24">
        <f t="shared" si="137"/>
        <v>0.87754048838442467</v>
      </c>
      <c r="N2933" s="30">
        <v>30850.593220338982</v>
      </c>
    </row>
    <row r="2934" spans="1:14" x14ac:dyDescent="0.3">
      <c r="A2934">
        <v>44.661970000001745</v>
      </c>
      <c r="B2934">
        <v>63.153799999999997</v>
      </c>
      <c r="C2934">
        <f t="shared" si="135"/>
        <v>63.3</v>
      </c>
      <c r="D2934">
        <v>0.72253030303030297</v>
      </c>
      <c r="E2934">
        <f t="shared" si="136"/>
        <v>4.1478853291501308</v>
      </c>
      <c r="I2934" s="24">
        <f t="shared" si="137"/>
        <v>0.87622757591150091</v>
      </c>
      <c r="N2934" s="30">
        <v>30848.525423728814</v>
      </c>
    </row>
    <row r="2935" spans="1:14" x14ac:dyDescent="0.3">
      <c r="A2935">
        <v>44.677200000001747</v>
      </c>
      <c r="B2935">
        <v>63.115400000000001</v>
      </c>
      <c r="C2935">
        <f t="shared" si="135"/>
        <v>63.207679999999996</v>
      </c>
      <c r="D2935">
        <v>0.72233333333333327</v>
      </c>
      <c r="E2935">
        <f t="shared" si="136"/>
        <v>4.146425812757319</v>
      </c>
      <c r="I2935" s="24">
        <f t="shared" si="137"/>
        <v>0.87477344067002538</v>
      </c>
      <c r="N2935" s="30">
        <v>30846.457627118642</v>
      </c>
    </row>
    <row r="2936" spans="1:14" x14ac:dyDescent="0.3">
      <c r="A2936">
        <v>44.69243000000175</v>
      </c>
      <c r="B2936">
        <v>63.076900000000002</v>
      </c>
      <c r="C2936">
        <f t="shared" si="135"/>
        <v>63.069219999999994</v>
      </c>
      <c r="D2936">
        <v>0.72213636363636358</v>
      </c>
      <c r="E2936">
        <f t="shared" si="136"/>
        <v>4.1442328533880497</v>
      </c>
      <c r="I2936" s="24">
        <f t="shared" si="137"/>
        <v>0.87247361926178035</v>
      </c>
      <c r="N2936" s="30">
        <v>30844.389830508473</v>
      </c>
    </row>
    <row r="2937" spans="1:14" x14ac:dyDescent="0.3">
      <c r="A2937">
        <v>44.707660000001752</v>
      </c>
      <c r="B2937">
        <v>63.153799999999997</v>
      </c>
      <c r="C2937">
        <f t="shared" si="135"/>
        <v>62.923080000000006</v>
      </c>
      <c r="D2937">
        <v>0.72193939393939388</v>
      </c>
      <c r="E2937">
        <f t="shared" si="136"/>
        <v>4.1419130280409648</v>
      </c>
      <c r="I2937" s="24">
        <f t="shared" si="137"/>
        <v>0.87003366830495632</v>
      </c>
      <c r="N2937" s="30">
        <v>30842.322033898305</v>
      </c>
    </row>
    <row r="2938" spans="1:14" x14ac:dyDescent="0.3">
      <c r="A2938">
        <v>44.722890000001755</v>
      </c>
      <c r="B2938">
        <v>62.846200000000003</v>
      </c>
      <c r="C2938">
        <f t="shared" ref="C2938:C3001" si="138">AVERAGE(B2936:B2940)</f>
        <v>62.576919999999994</v>
      </c>
      <c r="D2938">
        <v>0.72174242424242419</v>
      </c>
      <c r="E2938">
        <f t="shared" ref="E2938:E3001" si="139">LN(C2938)</f>
        <v>4.1363965200273025</v>
      </c>
      <c r="I2938" s="24">
        <f t="shared" ref="I2938:I3001" si="140">(0.0026*(EXP(1.3248*E2938)))/D2938</f>
        <v>0.86393411631135819</v>
      </c>
      <c r="N2938" s="30">
        <v>30840.254237288136</v>
      </c>
    </row>
    <row r="2939" spans="1:14" x14ac:dyDescent="0.3">
      <c r="A2939">
        <v>44.738120000001757</v>
      </c>
      <c r="B2939">
        <v>62.423099999999998</v>
      </c>
      <c r="C2939">
        <f t="shared" si="138"/>
        <v>61.976920000000007</v>
      </c>
      <c r="D2939">
        <v>0.72154545454545449</v>
      </c>
      <c r="E2939">
        <f t="shared" si="139"/>
        <v>4.1267620576753421</v>
      </c>
      <c r="I2939" s="24">
        <f t="shared" si="140"/>
        <v>0.85321001247010009</v>
      </c>
      <c r="N2939" s="30">
        <v>30838.186440677964</v>
      </c>
    </row>
    <row r="2940" spans="1:14" x14ac:dyDescent="0.3">
      <c r="A2940">
        <v>44.75335000000176</v>
      </c>
      <c r="B2940">
        <v>61.384599999999999</v>
      </c>
      <c r="C2940">
        <f t="shared" si="138"/>
        <v>61.2</v>
      </c>
      <c r="D2940">
        <v>0.72134848484848479</v>
      </c>
      <c r="E2940">
        <f t="shared" si="139"/>
        <v>4.1141471895182802</v>
      </c>
      <c r="I2940" s="24">
        <f t="shared" si="140"/>
        <v>0.83929861821439145</v>
      </c>
      <c r="N2940" s="30">
        <v>30836.118644067796</v>
      </c>
    </row>
    <row r="2941" spans="1:14" x14ac:dyDescent="0.3">
      <c r="A2941">
        <v>44.768580000001762</v>
      </c>
      <c r="B2941">
        <v>60.076900000000002</v>
      </c>
      <c r="C2941">
        <f t="shared" si="138"/>
        <v>60.353840000000005</v>
      </c>
      <c r="D2941">
        <v>0.7211515151515151</v>
      </c>
      <c r="E2941">
        <f t="shared" si="139"/>
        <v>4.1002245743511265</v>
      </c>
      <c r="I2941" s="24">
        <f t="shared" si="140"/>
        <v>0.82418496685817932</v>
      </c>
      <c r="N2941" s="30">
        <v>30834.050847457627</v>
      </c>
    </row>
    <row r="2942" spans="1:14" x14ac:dyDescent="0.3">
      <c r="A2942">
        <v>44.783810000001765</v>
      </c>
      <c r="B2942">
        <v>59.269199999999998</v>
      </c>
      <c r="C2942">
        <f t="shared" si="138"/>
        <v>59.515380000000007</v>
      </c>
      <c r="D2942">
        <v>0.7209545454545454</v>
      </c>
      <c r="E2942">
        <f t="shared" si="139"/>
        <v>4.0862347665444316</v>
      </c>
      <c r="I2942" s="24">
        <f t="shared" si="140"/>
        <v>0.80927149265121312</v>
      </c>
      <c r="N2942" s="30">
        <v>30831.983050847455</v>
      </c>
    </row>
    <row r="2943" spans="1:14" x14ac:dyDescent="0.3">
      <c r="A2943">
        <v>44.799040000001767</v>
      </c>
      <c r="B2943">
        <v>58.615400000000001</v>
      </c>
      <c r="C2943">
        <f t="shared" si="138"/>
        <v>58.81537999999999</v>
      </c>
      <c r="D2943">
        <v>0.72075757575757571</v>
      </c>
      <c r="E2943">
        <f t="shared" si="139"/>
        <v>4.0744033853283685</v>
      </c>
      <c r="I2943" s="24">
        <f t="shared" si="140"/>
        <v>0.79690341160711997</v>
      </c>
      <c r="N2943" s="30">
        <v>30829.915254237287</v>
      </c>
    </row>
    <row r="2944" spans="1:14" x14ac:dyDescent="0.3">
      <c r="A2944">
        <v>44.81427000000177</v>
      </c>
      <c r="B2944">
        <v>58.230800000000002</v>
      </c>
      <c r="C2944">
        <f t="shared" si="138"/>
        <v>58.338460000000012</v>
      </c>
      <c r="D2944">
        <v>0.72056060606060601</v>
      </c>
      <c r="E2944">
        <f t="shared" si="139"/>
        <v>4.0662615671079667</v>
      </c>
      <c r="I2944" s="24">
        <f t="shared" si="140"/>
        <v>0.78856948027137586</v>
      </c>
      <c r="N2944" s="30">
        <v>30827.847457627118</v>
      </c>
    </row>
    <row r="2945" spans="1:14" x14ac:dyDescent="0.3">
      <c r="A2945">
        <v>44.829500000001772</v>
      </c>
      <c r="B2945">
        <v>57.884599999999999</v>
      </c>
      <c r="C2945">
        <f t="shared" si="138"/>
        <v>57.984620000000007</v>
      </c>
      <c r="D2945">
        <v>0.72036363636363632</v>
      </c>
      <c r="E2945">
        <f t="shared" si="139"/>
        <v>4.0601778029682052</v>
      </c>
      <c r="I2945" s="24">
        <f t="shared" si="140"/>
        <v>0.78245322350706159</v>
      </c>
      <c r="N2945" s="30">
        <v>30825.77966101695</v>
      </c>
    </row>
    <row r="2946" spans="1:14" x14ac:dyDescent="0.3">
      <c r="A2946">
        <v>44.844730000001775</v>
      </c>
      <c r="B2946">
        <v>57.692300000000003</v>
      </c>
      <c r="C2946">
        <f t="shared" si="138"/>
        <v>57.761540000000004</v>
      </c>
      <c r="D2946">
        <v>0.72016666666666662</v>
      </c>
      <c r="E2946">
        <f t="shared" si="139"/>
        <v>4.0563231562790065</v>
      </c>
      <c r="I2946" s="24">
        <f t="shared" si="140"/>
        <v>0.7786806200810763</v>
      </c>
      <c r="N2946" s="30">
        <v>30823.711864406778</v>
      </c>
    </row>
    <row r="2947" spans="1:14" x14ac:dyDescent="0.3">
      <c r="A2947">
        <v>44.859960000001777</v>
      </c>
      <c r="B2947">
        <v>57.5</v>
      </c>
      <c r="C2947">
        <f t="shared" si="138"/>
        <v>57.5</v>
      </c>
      <c r="D2947">
        <v>0.71996969696969693</v>
      </c>
      <c r="E2947">
        <f t="shared" si="139"/>
        <v>4.0517849478033048</v>
      </c>
      <c r="I2947" s="24">
        <f t="shared" si="140"/>
        <v>0.77422482212749444</v>
      </c>
      <c r="N2947" s="30">
        <v>30821.644067796609</v>
      </c>
    </row>
    <row r="2948" spans="1:14" x14ac:dyDescent="0.3">
      <c r="A2948">
        <v>44.87519000000178</v>
      </c>
      <c r="B2948">
        <v>57.5</v>
      </c>
      <c r="C2948">
        <f t="shared" si="138"/>
        <v>57.169240000000002</v>
      </c>
      <c r="D2948">
        <v>0.71977272727272723</v>
      </c>
      <c r="E2948">
        <f t="shared" si="139"/>
        <v>4.0460159915020188</v>
      </c>
      <c r="I2948" s="24">
        <f t="shared" si="140"/>
        <v>0.76854045564131213</v>
      </c>
      <c r="N2948" s="30">
        <v>30819.576271186441</v>
      </c>
    </row>
    <row r="2949" spans="1:14" x14ac:dyDescent="0.3">
      <c r="A2949">
        <v>44.890420000001782</v>
      </c>
      <c r="B2949">
        <v>56.923099999999998</v>
      </c>
      <c r="C2949">
        <f t="shared" si="138"/>
        <v>56.669240000000002</v>
      </c>
      <c r="D2949">
        <v>0.71957575757575754</v>
      </c>
      <c r="E2949">
        <f t="shared" si="139"/>
        <v>4.0372315591157752</v>
      </c>
      <c r="I2949" s="24">
        <f t="shared" si="140"/>
        <v>0.75985625768479292</v>
      </c>
      <c r="N2949" s="30">
        <v>30817.508474576269</v>
      </c>
    </row>
    <row r="2950" spans="1:14" x14ac:dyDescent="0.3">
      <c r="A2950">
        <v>44.905650000001785</v>
      </c>
      <c r="B2950">
        <v>56.230800000000002</v>
      </c>
      <c r="C2950">
        <f t="shared" si="138"/>
        <v>56.05386</v>
      </c>
      <c r="D2950">
        <v>0.71937878787878784</v>
      </c>
      <c r="E2950">
        <f t="shared" si="139"/>
        <v>4.0263130142299017</v>
      </c>
      <c r="I2950" s="24">
        <f t="shared" si="140"/>
        <v>0.74914919825739468</v>
      </c>
      <c r="N2950" s="30">
        <v>30815.4406779661</v>
      </c>
    </row>
    <row r="2951" spans="1:14" x14ac:dyDescent="0.3">
      <c r="A2951">
        <v>44.920880000001787</v>
      </c>
      <c r="B2951">
        <v>55.192300000000003</v>
      </c>
      <c r="C2951">
        <f t="shared" si="138"/>
        <v>55.361560000000011</v>
      </c>
      <c r="D2951">
        <v>0.71918181818181814</v>
      </c>
      <c r="E2951">
        <f t="shared" si="139"/>
        <v>4.0138854901031396</v>
      </c>
      <c r="I2951" s="24">
        <f t="shared" si="140"/>
        <v>0.73711802296394446</v>
      </c>
      <c r="N2951" s="30">
        <v>30813.372881355932</v>
      </c>
    </row>
    <row r="2952" spans="1:14" x14ac:dyDescent="0.3">
      <c r="A2952">
        <v>44.93611000000179</v>
      </c>
      <c r="B2952">
        <v>54.423099999999998</v>
      </c>
      <c r="C2952">
        <f t="shared" si="138"/>
        <v>54.800020000000004</v>
      </c>
      <c r="D2952">
        <v>0.71898484848484845</v>
      </c>
      <c r="E2952">
        <f t="shared" si="139"/>
        <v>4.0036905589174072</v>
      </c>
      <c r="I2952" s="24">
        <f t="shared" si="140"/>
        <v>0.7274284851421029</v>
      </c>
      <c r="N2952" s="30">
        <v>30811.305084745763</v>
      </c>
    </row>
    <row r="2953" spans="1:14" x14ac:dyDescent="0.3">
      <c r="A2953">
        <v>44.951340000001792</v>
      </c>
      <c r="B2953">
        <v>54.038499999999999</v>
      </c>
      <c r="C2953">
        <f t="shared" si="138"/>
        <v>54.384619999999998</v>
      </c>
      <c r="D2953">
        <v>0.71878787878787875</v>
      </c>
      <c r="E2953">
        <f t="shared" si="139"/>
        <v>3.9960813933006616</v>
      </c>
      <c r="I2953" s="24">
        <f t="shared" si="140"/>
        <v>0.72032972762045366</v>
      </c>
      <c r="N2953" s="30">
        <v>30809.237288135591</v>
      </c>
    </row>
    <row r="2954" spans="1:14" x14ac:dyDescent="0.3">
      <c r="A2954">
        <v>44.966570000001795</v>
      </c>
      <c r="B2954">
        <v>54.115400000000001</v>
      </c>
      <c r="C2954">
        <f t="shared" si="138"/>
        <v>54.161540000000002</v>
      </c>
      <c r="D2954">
        <v>0.71859090909090906</v>
      </c>
      <c r="E2954">
        <f t="shared" si="139"/>
        <v>3.9919710624686067</v>
      </c>
      <c r="I2954" s="24">
        <f t="shared" si="140"/>
        <v>0.71661430273293747</v>
      </c>
      <c r="N2954" s="30">
        <v>30807.169491525423</v>
      </c>
    </row>
    <row r="2955" spans="1:14" x14ac:dyDescent="0.3">
      <c r="A2955">
        <v>44.981800000001797</v>
      </c>
      <c r="B2955">
        <v>54.153799999999997</v>
      </c>
      <c r="C2955">
        <f t="shared" si="138"/>
        <v>54.1</v>
      </c>
      <c r="D2955">
        <v>0.71839393939393936</v>
      </c>
      <c r="E2955">
        <f t="shared" si="139"/>
        <v>3.9908341858524357</v>
      </c>
      <c r="I2955" s="24">
        <f t="shared" si="140"/>
        <v>0.71573198390591986</v>
      </c>
      <c r="N2955" s="30">
        <v>30805.101694915254</v>
      </c>
    </row>
    <row r="2956" spans="1:14" x14ac:dyDescent="0.3">
      <c r="A2956">
        <v>44.9970300000018</v>
      </c>
      <c r="B2956">
        <v>54.076900000000002</v>
      </c>
      <c r="C2956">
        <f t="shared" si="138"/>
        <v>54.061540000000001</v>
      </c>
      <c r="D2956">
        <v>0.71819696969696967</v>
      </c>
      <c r="E2956">
        <f t="shared" si="139"/>
        <v>3.9901230273090031</v>
      </c>
      <c r="I2956" s="24">
        <f t="shared" si="140"/>
        <v>0.71525408850778871</v>
      </c>
      <c r="N2956" s="30">
        <v>30803.033898305082</v>
      </c>
    </row>
    <row r="2957" spans="1:14" x14ac:dyDescent="0.3">
      <c r="A2957">
        <v>45.012260000001802</v>
      </c>
      <c r="B2957">
        <v>54.115400000000001</v>
      </c>
      <c r="C2957">
        <f t="shared" si="138"/>
        <v>53.9923</v>
      </c>
      <c r="D2957" s="8">
        <v>0.71799999999999997</v>
      </c>
      <c r="E2957">
        <f t="shared" si="139"/>
        <v>3.9888414438043913</v>
      </c>
      <c r="I2957" s="24">
        <f t="shared" si="140"/>
        <v>0.714236614082289</v>
      </c>
      <c r="N2957" s="30">
        <v>30800.966101694914</v>
      </c>
    </row>
    <row r="2958" spans="1:14" x14ac:dyDescent="0.3">
      <c r="A2958">
        <v>45.027490000001805</v>
      </c>
      <c r="B2958">
        <v>53.846200000000003</v>
      </c>
      <c r="C2958">
        <f t="shared" si="138"/>
        <v>53.876920000000005</v>
      </c>
      <c r="D2958">
        <v>0.71801538461538461</v>
      </c>
      <c r="E2958">
        <f t="shared" si="139"/>
        <v>3.9867021858399356</v>
      </c>
      <c r="I2958" s="24">
        <f t="shared" si="140"/>
        <v>0.71220000933484007</v>
      </c>
      <c r="N2958" s="30">
        <v>30798.898305084746</v>
      </c>
    </row>
    <row r="2959" spans="1:14" x14ac:dyDescent="0.3">
      <c r="A2959">
        <v>45.042720000001808</v>
      </c>
      <c r="B2959">
        <v>53.769199999999998</v>
      </c>
      <c r="C2959">
        <f t="shared" si="138"/>
        <v>53.976919999999993</v>
      </c>
      <c r="D2959">
        <v>0.71803076923076925</v>
      </c>
      <c r="E2959">
        <f t="shared" si="139"/>
        <v>3.9885565477922866</v>
      </c>
      <c r="I2959" s="24">
        <f t="shared" si="140"/>
        <v>0.71393649536125248</v>
      </c>
      <c r="N2959" s="30">
        <v>30796.830508474573</v>
      </c>
    </row>
    <row r="2960" spans="1:14" x14ac:dyDescent="0.3">
      <c r="A2960">
        <v>45.05795000000181</v>
      </c>
      <c r="B2960">
        <v>53.576900000000002</v>
      </c>
      <c r="C2960">
        <f t="shared" si="138"/>
        <v>54.146139999999988</v>
      </c>
      <c r="D2960">
        <v>0.71804615384615389</v>
      </c>
      <c r="E2960">
        <f t="shared" si="139"/>
        <v>3.9916866874343744</v>
      </c>
      <c r="I2960" s="24">
        <f t="shared" si="140"/>
        <v>0.71688784044588816</v>
      </c>
      <c r="N2960" s="30">
        <v>30794.762711864405</v>
      </c>
    </row>
    <row r="2961" spans="1:14" x14ac:dyDescent="0.3">
      <c r="A2961">
        <v>45.073180000001813</v>
      </c>
      <c r="B2961">
        <v>54.576900000000002</v>
      </c>
      <c r="C2961">
        <f t="shared" si="138"/>
        <v>54.43074</v>
      </c>
      <c r="D2961">
        <v>0.71806153846153842</v>
      </c>
      <c r="E2961">
        <f t="shared" si="139"/>
        <v>3.9969290677973808</v>
      </c>
      <c r="I2961" s="24">
        <f t="shared" si="140"/>
        <v>0.72186856507481423</v>
      </c>
      <c r="N2961" s="30">
        <v>30792.694915254237</v>
      </c>
    </row>
    <row r="2962" spans="1:14" x14ac:dyDescent="0.3">
      <c r="A2962">
        <v>45.088410000001815</v>
      </c>
      <c r="B2962">
        <v>54.961500000000001</v>
      </c>
      <c r="C2962">
        <f t="shared" si="138"/>
        <v>54.807659999999998</v>
      </c>
      <c r="D2962">
        <v>0.71807692307692306</v>
      </c>
      <c r="E2962">
        <f t="shared" si="139"/>
        <v>4.0038299652074105</v>
      </c>
      <c r="I2962" s="24">
        <f t="shared" si="140"/>
        <v>0.72848276226705988</v>
      </c>
      <c r="N2962" s="30">
        <v>30790.627118644068</v>
      </c>
    </row>
    <row r="2963" spans="1:14" x14ac:dyDescent="0.3">
      <c r="A2963">
        <v>45.103640000001818</v>
      </c>
      <c r="B2963">
        <v>55.269199999999998</v>
      </c>
      <c r="C2963">
        <f t="shared" si="138"/>
        <v>55.269199999999991</v>
      </c>
      <c r="D2963">
        <v>0.7180923076923077</v>
      </c>
      <c r="E2963">
        <f t="shared" si="139"/>
        <v>4.0122157913420082</v>
      </c>
      <c r="I2963" s="24">
        <f t="shared" si="140"/>
        <v>0.73660521318572147</v>
      </c>
      <c r="N2963" s="30">
        <v>30788.559322033896</v>
      </c>
    </row>
    <row r="2964" spans="1:14" x14ac:dyDescent="0.3">
      <c r="A2964">
        <v>45.11887000000182</v>
      </c>
      <c r="B2964">
        <v>55.653799999999997</v>
      </c>
      <c r="C2964">
        <f t="shared" si="138"/>
        <v>55.615359999999995</v>
      </c>
      <c r="D2964">
        <v>0.71810769230769234</v>
      </c>
      <c r="E2964">
        <f t="shared" si="139"/>
        <v>4.0184594220968535</v>
      </c>
      <c r="I2964" s="24">
        <f t="shared" si="140"/>
        <v>0.74270744533803934</v>
      </c>
      <c r="N2964" s="30">
        <v>30786.491525423728</v>
      </c>
    </row>
    <row r="2965" spans="1:14" x14ac:dyDescent="0.3">
      <c r="A2965">
        <v>45.134100000001823</v>
      </c>
      <c r="B2965">
        <v>55.884599999999999</v>
      </c>
      <c r="C2965">
        <f t="shared" si="138"/>
        <v>55.884599999999999</v>
      </c>
      <c r="D2965">
        <v>0.71812307692307686</v>
      </c>
      <c r="E2965">
        <f t="shared" si="139"/>
        <v>4.0232888502562645</v>
      </c>
      <c r="I2965" s="24">
        <f t="shared" si="140"/>
        <v>0.74745852751735131</v>
      </c>
      <c r="N2965" s="30">
        <v>30784.423728813559</v>
      </c>
    </row>
    <row r="2966" spans="1:14" x14ac:dyDescent="0.3">
      <c r="A2966">
        <v>45.149330000001825</v>
      </c>
      <c r="B2966">
        <v>56.307699999999997</v>
      </c>
      <c r="C2966">
        <f t="shared" si="138"/>
        <v>56.2</v>
      </c>
      <c r="D2966">
        <v>0.71813846153846161</v>
      </c>
      <c r="E2966">
        <f t="shared" si="139"/>
        <v>4.0289167568996458</v>
      </c>
      <c r="I2966" s="24">
        <f t="shared" si="140"/>
        <v>0.7530361613782901</v>
      </c>
      <c r="N2966" s="30">
        <v>30782.355932203387</v>
      </c>
    </row>
    <row r="2967" spans="1:14" x14ac:dyDescent="0.3">
      <c r="A2967">
        <v>45.164560000001828</v>
      </c>
      <c r="B2967">
        <v>56.307699999999997</v>
      </c>
      <c r="C2967">
        <f t="shared" si="138"/>
        <v>56.561540000000001</v>
      </c>
      <c r="D2967">
        <v>0.71815384615384614</v>
      </c>
      <c r="E2967">
        <f t="shared" si="139"/>
        <v>4.035329248940422</v>
      </c>
      <c r="I2967" s="24">
        <f t="shared" si="140"/>
        <v>0.759444387242452</v>
      </c>
      <c r="N2967" s="30">
        <v>30780.288135593219</v>
      </c>
    </row>
    <row r="2968" spans="1:14" x14ac:dyDescent="0.3">
      <c r="A2968">
        <v>45.17979000000183</v>
      </c>
      <c r="B2968">
        <v>56.846200000000003</v>
      </c>
      <c r="C2968">
        <f t="shared" si="138"/>
        <v>57.0077</v>
      </c>
      <c r="D2968">
        <v>0.71816923076923078</v>
      </c>
      <c r="E2968">
        <f t="shared" si="139"/>
        <v>4.0431863464303239</v>
      </c>
      <c r="I2968" s="24">
        <f t="shared" si="140"/>
        <v>0.76737435332313819</v>
      </c>
      <c r="N2968" s="30">
        <v>30778.22033898305</v>
      </c>
    </row>
    <row r="2969" spans="1:14" x14ac:dyDescent="0.3">
      <c r="A2969">
        <v>45.195020000001833</v>
      </c>
      <c r="B2969">
        <v>57.461500000000001</v>
      </c>
      <c r="C2969">
        <f t="shared" si="138"/>
        <v>57.476919999999993</v>
      </c>
      <c r="D2969">
        <v>0.71818461538461542</v>
      </c>
      <c r="E2969">
        <f t="shared" si="139"/>
        <v>4.0513834759199039</v>
      </c>
      <c r="I2969" s="24">
        <f t="shared" si="140"/>
        <v>0.77573649360513741</v>
      </c>
      <c r="N2969" s="30">
        <v>30776.152542372882</v>
      </c>
    </row>
    <row r="2970" spans="1:14" x14ac:dyDescent="0.3">
      <c r="A2970">
        <v>45.210250000001835</v>
      </c>
      <c r="B2970">
        <v>58.115400000000001</v>
      </c>
      <c r="C2970">
        <f t="shared" si="138"/>
        <v>58.069219999999994</v>
      </c>
      <c r="D2970">
        <v>0.71820000000000006</v>
      </c>
      <c r="E2970">
        <f t="shared" si="139"/>
        <v>4.0616357472289977</v>
      </c>
      <c r="I2970" s="24">
        <f t="shared" si="140"/>
        <v>0.78632774205691736</v>
      </c>
      <c r="N2970" s="30">
        <v>30774.08474576271</v>
      </c>
    </row>
    <row r="2971" spans="1:14" x14ac:dyDescent="0.3">
      <c r="A2971">
        <v>45.225480000001838</v>
      </c>
      <c r="B2971">
        <v>58.653799999999997</v>
      </c>
      <c r="C2971">
        <f t="shared" si="138"/>
        <v>58.630739999999989</v>
      </c>
      <c r="D2971">
        <v>0.71821538461538459</v>
      </c>
      <c r="E2971">
        <f t="shared" si="139"/>
        <v>4.0712591324212895</v>
      </c>
      <c r="I2971" s="24">
        <f t="shared" si="140"/>
        <v>0.79639979915961168</v>
      </c>
      <c r="N2971" s="30">
        <v>30772.016949152541</v>
      </c>
    </row>
    <row r="2972" spans="1:14" x14ac:dyDescent="0.3">
      <c r="A2972">
        <v>45.24071000000184</v>
      </c>
      <c r="B2972">
        <v>59.269199999999998</v>
      </c>
      <c r="C2972">
        <f t="shared" si="138"/>
        <v>59.130739999999989</v>
      </c>
      <c r="D2972">
        <v>0.71823076923076923</v>
      </c>
      <c r="E2972">
        <f t="shared" si="139"/>
        <v>4.0797509245523322</v>
      </c>
      <c r="I2972" s="24">
        <f t="shared" si="140"/>
        <v>0.80539257216571014</v>
      </c>
      <c r="N2972" s="30">
        <v>30769.949152542373</v>
      </c>
    </row>
    <row r="2973" spans="1:14" x14ac:dyDescent="0.3">
      <c r="A2973">
        <v>45.255940000001843</v>
      </c>
      <c r="B2973">
        <v>59.653799999999997</v>
      </c>
      <c r="C2973">
        <f t="shared" si="138"/>
        <v>59.530740000000002</v>
      </c>
      <c r="D2973">
        <v>0.71824615384615387</v>
      </c>
      <c r="E2973">
        <f t="shared" si="139"/>
        <v>4.0864928177952446</v>
      </c>
      <c r="I2973" s="24">
        <f t="shared" si="140"/>
        <v>0.81260087965764161</v>
      </c>
      <c r="N2973" s="30">
        <v>30767.881355932201</v>
      </c>
    </row>
    <row r="2974" spans="1:14" x14ac:dyDescent="0.3">
      <c r="A2974">
        <v>45.271170000001845</v>
      </c>
      <c r="B2974">
        <v>59.961500000000001</v>
      </c>
      <c r="C2974">
        <f t="shared" si="138"/>
        <v>59.93074</v>
      </c>
      <c r="D2974">
        <v>0.71826153846153851</v>
      </c>
      <c r="E2974">
        <f t="shared" si="139"/>
        <v>4.0931895621328902</v>
      </c>
      <c r="I2974" s="24">
        <f t="shared" si="140"/>
        <v>0.81982466441102886</v>
      </c>
      <c r="N2974" s="30">
        <v>30765.813559322032</v>
      </c>
    </row>
    <row r="2975" spans="1:14" x14ac:dyDescent="0.3">
      <c r="A2975">
        <v>45.286400000001848</v>
      </c>
      <c r="B2975">
        <v>60.115400000000001</v>
      </c>
      <c r="C2975">
        <f t="shared" si="138"/>
        <v>60.261519999999997</v>
      </c>
      <c r="D2975">
        <v>0.71827692307692304</v>
      </c>
      <c r="E2975">
        <f t="shared" si="139"/>
        <v>4.0986937574132414</v>
      </c>
      <c r="I2975" s="24">
        <f t="shared" si="140"/>
        <v>0.82580695239963842</v>
      </c>
      <c r="N2975" s="30">
        <v>30763.745762711864</v>
      </c>
    </row>
    <row r="2976" spans="1:14" x14ac:dyDescent="0.3">
      <c r="A2976">
        <v>45.30163000000185</v>
      </c>
      <c r="B2976">
        <v>60.653799999999997</v>
      </c>
      <c r="C2976">
        <f t="shared" si="138"/>
        <v>60.530760000000001</v>
      </c>
      <c r="D2976">
        <v>0.71829230769230779</v>
      </c>
      <c r="E2976">
        <f t="shared" si="139"/>
        <v>4.1031516655822484</v>
      </c>
      <c r="I2976" s="24">
        <f t="shared" si="140"/>
        <v>0.83068067128995315</v>
      </c>
      <c r="N2976" s="30">
        <v>30761.677966101695</v>
      </c>
    </row>
    <row r="2977" spans="1:18" x14ac:dyDescent="0.3">
      <c r="A2977">
        <v>45.316860000001853</v>
      </c>
      <c r="B2977">
        <v>60.923099999999998</v>
      </c>
      <c r="C2977">
        <f t="shared" si="138"/>
        <v>60.753840000000004</v>
      </c>
      <c r="D2977">
        <v>0.71830769230769231</v>
      </c>
      <c r="E2977">
        <f t="shared" si="139"/>
        <v>4.1068302900995413</v>
      </c>
      <c r="I2977" s="24">
        <f t="shared" si="140"/>
        <v>0.83472094739940472</v>
      </c>
      <c r="N2977" s="30">
        <v>30759.610169491523</v>
      </c>
    </row>
    <row r="2978" spans="1:18" x14ac:dyDescent="0.3">
      <c r="A2978">
        <v>45.332090000001855</v>
      </c>
      <c r="B2978">
        <v>61</v>
      </c>
      <c r="C2978">
        <f t="shared" si="138"/>
        <v>60.892299999999999</v>
      </c>
      <c r="D2978">
        <v>0.71832307692307695</v>
      </c>
      <c r="E2978">
        <f t="shared" si="139"/>
        <v>4.1091067299404385</v>
      </c>
      <c r="I2978" s="24">
        <f t="shared" si="140"/>
        <v>0.83722419003818127</v>
      </c>
      <c r="N2978" s="30">
        <v>30757.542372881355</v>
      </c>
    </row>
    <row r="2979" spans="1:18" x14ac:dyDescent="0.3">
      <c r="A2979">
        <v>45.347320000001858</v>
      </c>
      <c r="B2979">
        <v>61.076900000000002</v>
      </c>
      <c r="C2979">
        <f t="shared" si="138"/>
        <v>60.8</v>
      </c>
      <c r="D2979">
        <v>0.71833846153846159</v>
      </c>
      <c r="E2979">
        <f t="shared" si="139"/>
        <v>4.1075897889721213</v>
      </c>
      <c r="I2979" s="24">
        <f t="shared" si="140"/>
        <v>0.83552546269119743</v>
      </c>
      <c r="N2979" s="30">
        <v>30755.474576271186</v>
      </c>
    </row>
    <row r="2980" spans="1:18" x14ac:dyDescent="0.3">
      <c r="A2980">
        <v>45.36255000000186</v>
      </c>
      <c r="B2980">
        <v>60.807699999999997</v>
      </c>
      <c r="C2980">
        <f t="shared" si="138"/>
        <v>60.499999999999986</v>
      </c>
      <c r="D2980">
        <v>0.71835384615384623</v>
      </c>
      <c r="E2980">
        <f t="shared" si="139"/>
        <v>4.1026433650367959</v>
      </c>
      <c r="I2980" s="24">
        <f t="shared" si="140"/>
        <v>0.83005036893869011</v>
      </c>
      <c r="N2980" s="30">
        <v>30753.406779661014</v>
      </c>
    </row>
    <row r="2981" spans="1:18" x14ac:dyDescent="0.3">
      <c r="A2981">
        <v>45.377780000001863</v>
      </c>
      <c r="B2981">
        <v>60.192300000000003</v>
      </c>
      <c r="C2981">
        <f t="shared" si="138"/>
        <v>60.084620000000008</v>
      </c>
      <c r="D2981">
        <v>0.71836923076923076</v>
      </c>
      <c r="E2981">
        <f t="shared" si="139"/>
        <v>4.0957539019694602</v>
      </c>
      <c r="I2981" s="24">
        <f t="shared" si="140"/>
        <v>0.82249121973553074</v>
      </c>
      <c r="N2981" s="30">
        <v>30751.338983050846</v>
      </c>
    </row>
    <row r="2982" spans="1:18" x14ac:dyDescent="0.3">
      <c r="A2982">
        <v>45.393010000001865</v>
      </c>
      <c r="B2982">
        <v>59.423099999999998</v>
      </c>
      <c r="C2982">
        <f t="shared" si="138"/>
        <v>59.569240000000001</v>
      </c>
      <c r="D2982">
        <v>0.7183846153846154</v>
      </c>
      <c r="E2982">
        <f t="shared" si="139"/>
        <v>4.0871393334594961</v>
      </c>
      <c r="I2982" s="24">
        <f t="shared" si="140"/>
        <v>0.81314041867265541</v>
      </c>
      <c r="N2982" s="30">
        <v>30749.271186440677</v>
      </c>
    </row>
    <row r="2983" spans="1:18" x14ac:dyDescent="0.3">
      <c r="A2983">
        <v>45.408240000001868</v>
      </c>
      <c r="B2983">
        <v>58.923099999999998</v>
      </c>
      <c r="C2983">
        <f t="shared" si="138"/>
        <v>59</v>
      </c>
      <c r="D2983">
        <v>0.71840000000000004</v>
      </c>
      <c r="E2983">
        <f t="shared" si="139"/>
        <v>4.0775374439057197</v>
      </c>
      <c r="I2983" s="24">
        <f t="shared" si="140"/>
        <v>0.80284511524438962</v>
      </c>
      <c r="N2983" s="30">
        <v>30747.203389830509</v>
      </c>
    </row>
    <row r="2984" spans="1:18" x14ac:dyDescent="0.3">
      <c r="A2984">
        <v>45.423470000001871</v>
      </c>
      <c r="B2984">
        <v>58.5</v>
      </c>
      <c r="C2984">
        <f t="shared" si="138"/>
        <v>58.584620000000008</v>
      </c>
      <c r="D2984">
        <v>0.71841538461538468</v>
      </c>
      <c r="E2984">
        <f t="shared" si="139"/>
        <v>4.0704722047971282</v>
      </c>
      <c r="I2984" s="24">
        <f t="shared" si="140"/>
        <v>0.79534848860677676</v>
      </c>
      <c r="N2984" s="30">
        <v>30745.135593220337</v>
      </c>
    </row>
    <row r="2985" spans="1:18" x14ac:dyDescent="0.3">
      <c r="A2985">
        <v>45.438700000001873</v>
      </c>
      <c r="B2985">
        <v>57.961500000000001</v>
      </c>
      <c r="C2985">
        <f t="shared" si="138"/>
        <v>58.4</v>
      </c>
      <c r="D2985">
        <v>0.71843076923076921</v>
      </c>
      <c r="E2985">
        <f t="shared" si="139"/>
        <v>4.0673158898341812</v>
      </c>
      <c r="I2985" s="24">
        <f t="shared" si="140"/>
        <v>0.79201273289283836</v>
      </c>
      <c r="N2985" s="30">
        <v>30743.067796610168</v>
      </c>
    </row>
    <row r="2986" spans="1:18" x14ac:dyDescent="0.3">
      <c r="A2986">
        <v>45.453930000001876</v>
      </c>
      <c r="B2986">
        <v>58.115400000000001</v>
      </c>
      <c r="C2986">
        <f t="shared" si="138"/>
        <v>58.353840000000005</v>
      </c>
      <c r="D2986">
        <v>0.71844615384615396</v>
      </c>
      <c r="E2986">
        <f t="shared" si="139"/>
        <v>4.0665251663358344</v>
      </c>
      <c r="I2986" s="25">
        <f t="shared" si="140"/>
        <v>0.79116655178308071</v>
      </c>
      <c r="N2986" s="30">
        <v>30741</v>
      </c>
    </row>
    <row r="2987" spans="1:18" x14ac:dyDescent="0.3">
      <c r="A2987">
        <v>45.469160000001878</v>
      </c>
      <c r="B2987">
        <v>58.5</v>
      </c>
      <c r="C2987">
        <f t="shared" si="138"/>
        <v>58.6</v>
      </c>
      <c r="D2987">
        <v>0.71846153846153848</v>
      </c>
      <c r="E2987">
        <f t="shared" si="139"/>
        <v>4.0707346965829672</v>
      </c>
      <c r="I2987" s="24">
        <f t="shared" si="140"/>
        <v>0.79557400761688568</v>
      </c>
      <c r="N2987" s="30">
        <v>30718.818181818184</v>
      </c>
    </row>
    <row r="2988" spans="1:18" x14ac:dyDescent="0.3">
      <c r="A2988">
        <v>45.484390000001881</v>
      </c>
      <c r="B2988">
        <v>58.692300000000003</v>
      </c>
      <c r="C2988">
        <f t="shared" si="138"/>
        <v>59.323080000000004</v>
      </c>
      <c r="D2988">
        <v>0.71847692307692312</v>
      </c>
      <c r="E2988">
        <f t="shared" si="139"/>
        <v>4.0829984377020176</v>
      </c>
      <c r="I2988" s="24">
        <f t="shared" si="140"/>
        <v>0.808587960247661</v>
      </c>
      <c r="N2988" s="30">
        <v>30696.636363636364</v>
      </c>
    </row>
    <row r="2989" spans="1:18" x14ac:dyDescent="0.3">
      <c r="A2989">
        <v>45.499620000001883</v>
      </c>
      <c r="B2989">
        <v>59.730800000000002</v>
      </c>
      <c r="C2989">
        <f t="shared" si="138"/>
        <v>60.430759999999999</v>
      </c>
      <c r="D2989">
        <v>0.71849230769230776</v>
      </c>
      <c r="E2989">
        <f t="shared" si="139"/>
        <v>4.1014982468292169</v>
      </c>
      <c r="I2989" s="24">
        <f t="shared" si="140"/>
        <v>0.82863237599731576</v>
      </c>
      <c r="N2989" s="30">
        <v>30674.454545454548</v>
      </c>
      <c r="O2989">
        <v>1983</v>
      </c>
      <c r="P2989" s="24">
        <f>AVERAGE(I2989:I3046)</f>
        <v>0.80811610157442026</v>
      </c>
      <c r="Q2989">
        <f>A3046-A2989</f>
        <v>0.8681100000001436</v>
      </c>
      <c r="R2989">
        <f>P2989*Q2989</f>
        <v>0.70153366893788605</v>
      </c>
    </row>
    <row r="2990" spans="1:18" x14ac:dyDescent="0.3">
      <c r="A2990">
        <v>45.514850000001886</v>
      </c>
      <c r="B2990">
        <v>61.576900000000002</v>
      </c>
      <c r="C2990">
        <f t="shared" si="138"/>
        <v>61.807680000000005</v>
      </c>
      <c r="D2990">
        <v>0.7185076923076924</v>
      </c>
      <c r="E2990">
        <f t="shared" si="139"/>
        <v>4.1240276285871991</v>
      </c>
      <c r="I2990" s="24">
        <f t="shared" si="140"/>
        <v>0.85371901280979046</v>
      </c>
      <c r="N2990" s="30">
        <v>30652.272727272728</v>
      </c>
    </row>
    <row r="2991" spans="1:18" x14ac:dyDescent="0.3">
      <c r="A2991">
        <v>45.530080000001888</v>
      </c>
      <c r="B2991">
        <v>63.653799999999997</v>
      </c>
      <c r="C2991">
        <f t="shared" si="138"/>
        <v>63.438459999999999</v>
      </c>
      <c r="D2991">
        <v>0.71852307692307693</v>
      </c>
      <c r="E2991">
        <f t="shared" si="139"/>
        <v>4.1500703021265295</v>
      </c>
      <c r="I2991" s="24">
        <f t="shared" si="140"/>
        <v>0.88366853955386915</v>
      </c>
      <c r="N2991" s="30">
        <v>30630.090909090912</v>
      </c>
    </row>
    <row r="2992" spans="1:18" x14ac:dyDescent="0.3">
      <c r="A2992">
        <v>45.545310000001891</v>
      </c>
      <c r="B2992">
        <v>65.384600000000006</v>
      </c>
      <c r="C2992">
        <f t="shared" si="138"/>
        <v>65.061540000000008</v>
      </c>
      <c r="D2992">
        <v>0.71853846153846157</v>
      </c>
      <c r="E2992">
        <f t="shared" si="139"/>
        <v>4.1753335912231035</v>
      </c>
      <c r="I2992" s="24">
        <f t="shared" si="140"/>
        <v>0.9137247992930595</v>
      </c>
      <c r="N2992" s="30">
        <v>30607.909090909092</v>
      </c>
    </row>
    <row r="2993" spans="1:14" x14ac:dyDescent="0.3">
      <c r="A2993">
        <v>45.560540000001893</v>
      </c>
      <c r="B2993">
        <v>66.846199999999996</v>
      </c>
      <c r="C2993">
        <f t="shared" si="138"/>
        <v>66.392319999999998</v>
      </c>
      <c r="D2993">
        <v>0.71855384615384621</v>
      </c>
      <c r="E2993">
        <f t="shared" si="139"/>
        <v>4.1955813871423455</v>
      </c>
      <c r="I2993" s="24">
        <f t="shared" si="140"/>
        <v>0.93854640481352625</v>
      </c>
      <c r="N2993" s="30">
        <v>30585.727272727276</v>
      </c>
    </row>
    <row r="2994" spans="1:14" x14ac:dyDescent="0.3">
      <c r="A2994">
        <v>45.575770000001896</v>
      </c>
      <c r="B2994">
        <v>67.846199999999996</v>
      </c>
      <c r="C2994">
        <f t="shared" si="138"/>
        <v>67.338480000000004</v>
      </c>
      <c r="D2994">
        <v>0.71856923076923085</v>
      </c>
      <c r="E2994">
        <f t="shared" si="139"/>
        <v>4.2097318414556044</v>
      </c>
      <c r="I2994" s="24">
        <f t="shared" si="140"/>
        <v>0.95628636397865785</v>
      </c>
      <c r="N2994" s="30">
        <v>30563.545454545456</v>
      </c>
    </row>
    <row r="2995" spans="1:14" x14ac:dyDescent="0.3">
      <c r="A2995">
        <v>45.591000000001898</v>
      </c>
      <c r="B2995">
        <v>68.230800000000002</v>
      </c>
      <c r="C2995">
        <f t="shared" si="138"/>
        <v>67.953860000000006</v>
      </c>
      <c r="D2995">
        <v>0.71858461538461538</v>
      </c>
      <c r="E2995">
        <f t="shared" si="139"/>
        <v>4.2188289454590757</v>
      </c>
      <c r="I2995" s="24">
        <f t="shared" si="140"/>
        <v>0.96786038417858922</v>
      </c>
      <c r="N2995" s="30">
        <v>30541.36363636364</v>
      </c>
    </row>
    <row r="2996" spans="1:14" x14ac:dyDescent="0.3">
      <c r="A2996">
        <v>45.606230000001901</v>
      </c>
      <c r="B2996">
        <v>68.384600000000006</v>
      </c>
      <c r="C2996">
        <f t="shared" si="138"/>
        <v>68.269239999999996</v>
      </c>
      <c r="D2996">
        <v>0.71860000000000013</v>
      </c>
      <c r="E2996">
        <f t="shared" si="139"/>
        <v>4.223459299099293</v>
      </c>
      <c r="I2996" s="24">
        <f t="shared" si="140"/>
        <v>0.97379492167379766</v>
      </c>
      <c r="N2996" s="30">
        <v>30519.18181818182</v>
      </c>
    </row>
    <row r="2997" spans="1:14" x14ac:dyDescent="0.3">
      <c r="A2997">
        <v>45.621460000001903</v>
      </c>
      <c r="B2997">
        <v>68.461500000000001</v>
      </c>
      <c r="C2997">
        <f t="shared" si="138"/>
        <v>68.330759999999998</v>
      </c>
      <c r="D2997">
        <v>0.71861538461538466</v>
      </c>
      <c r="E2997">
        <f t="shared" si="139"/>
        <v>4.224360031224613</v>
      </c>
      <c r="I2997" s="24">
        <f t="shared" si="140"/>
        <v>0.97493676235899474</v>
      </c>
      <c r="J2997">
        <v>1983</v>
      </c>
      <c r="K2997">
        <f>AVERAGE(I2997:I3063)</f>
        <v>0.79075788338488484</v>
      </c>
      <c r="L2997">
        <f>A3063-A2997</f>
        <v>1.0051800000001663</v>
      </c>
      <c r="M2997">
        <f>K2997*L2997</f>
        <v>0.79485400922095006</v>
      </c>
      <c r="N2997" s="30">
        <v>30497</v>
      </c>
    </row>
    <row r="2998" spans="1:14" x14ac:dyDescent="0.3">
      <c r="A2998">
        <v>45.636690000001906</v>
      </c>
      <c r="B2998">
        <v>68.423100000000005</v>
      </c>
      <c r="C2998">
        <f t="shared" si="138"/>
        <v>68.192300000000003</v>
      </c>
      <c r="D2998">
        <v>0.7186307692307693</v>
      </c>
      <c r="E2998">
        <f t="shared" si="139"/>
        <v>4.2223316552495609</v>
      </c>
      <c r="I2998" s="24">
        <f t="shared" si="140"/>
        <v>0.97229962080822496</v>
      </c>
      <c r="N2998" s="30">
        <v>30494.227272727272</v>
      </c>
    </row>
    <row r="2999" spans="1:14" x14ac:dyDescent="0.3">
      <c r="A2999">
        <v>45.651920000001908</v>
      </c>
      <c r="B2999">
        <v>68.153800000000004</v>
      </c>
      <c r="C2999">
        <f t="shared" si="138"/>
        <v>67.884620000000012</v>
      </c>
      <c r="D2999">
        <v>0.71864615384615393</v>
      </c>
      <c r="E2999">
        <f t="shared" si="139"/>
        <v>4.2178094993345816</v>
      </c>
      <c r="I2999" s="24">
        <f t="shared" si="140"/>
        <v>0.96647134371133725</v>
      </c>
      <c r="N2999" s="30">
        <v>30491.454545454548</v>
      </c>
    </row>
    <row r="3000" spans="1:14" x14ac:dyDescent="0.3">
      <c r="A3000">
        <v>45.667150000001911</v>
      </c>
      <c r="B3000">
        <v>67.538499999999999</v>
      </c>
      <c r="C3000">
        <f t="shared" si="138"/>
        <v>67.538480000000007</v>
      </c>
      <c r="D3000">
        <v>0.71866153846153857</v>
      </c>
      <c r="E3000">
        <f t="shared" si="139"/>
        <v>4.2126975095220622</v>
      </c>
      <c r="I3000" s="24">
        <f t="shared" si="140"/>
        <v>0.95992761157602469</v>
      </c>
      <c r="N3000" s="30">
        <v>30488.68181818182</v>
      </c>
    </row>
    <row r="3001" spans="1:14" x14ac:dyDescent="0.3">
      <c r="A3001">
        <v>45.682380000001913</v>
      </c>
      <c r="B3001">
        <v>66.846199999999996</v>
      </c>
      <c r="C3001">
        <f t="shared" si="138"/>
        <v>67.184619999999995</v>
      </c>
      <c r="D3001">
        <v>0.7186769230769231</v>
      </c>
      <c r="E3001">
        <f t="shared" si="139"/>
        <v>4.2074443522869673</v>
      </c>
      <c r="I3001" s="24">
        <f t="shared" si="140"/>
        <v>0.95324989369346091</v>
      </c>
      <c r="N3001" s="30">
        <v>30485.909090909092</v>
      </c>
    </row>
    <row r="3002" spans="1:14" x14ac:dyDescent="0.3">
      <c r="A3002">
        <v>45.697610000001916</v>
      </c>
      <c r="B3002">
        <v>66.730800000000002</v>
      </c>
      <c r="C3002">
        <f t="shared" ref="C3002:C3065" si="141">AVERAGE(B3000:B3004)</f>
        <v>66.869239999999991</v>
      </c>
      <c r="D3002">
        <v>0.71869230769230774</v>
      </c>
      <c r="E3002">
        <f t="shared" ref="E3002:E3065" si="142">LN(C3002)</f>
        <v>4.2027390706655749</v>
      </c>
      <c r="I3002" s="24">
        <f t="shared" ref="I3002:I3065" si="143">(0.0026*(EXP(1.3248*E3002)))/D3002</f>
        <v>0.94730595911778226</v>
      </c>
      <c r="N3002" s="30">
        <v>30483.136363636364</v>
      </c>
    </row>
    <row r="3003" spans="1:14" x14ac:dyDescent="0.3">
      <c r="A3003">
        <v>45.712840000001918</v>
      </c>
      <c r="B3003">
        <v>66.653800000000004</v>
      </c>
      <c r="C3003">
        <f t="shared" si="141"/>
        <v>66.676919999999996</v>
      </c>
      <c r="D3003">
        <v>0.71870769230769238</v>
      </c>
      <c r="E3003">
        <f t="shared" si="142"/>
        <v>4.1998588660539191</v>
      </c>
      <c r="I3003" s="24">
        <f t="shared" si="143"/>
        <v>0.94367801509206906</v>
      </c>
      <c r="N3003" s="30">
        <v>30480.363636363636</v>
      </c>
    </row>
    <row r="3004" spans="1:14" x14ac:dyDescent="0.3">
      <c r="A3004">
        <v>45.728070000001921</v>
      </c>
      <c r="B3004">
        <v>66.576899999999995</v>
      </c>
      <c r="C3004">
        <f t="shared" si="141"/>
        <v>66.546140000000008</v>
      </c>
      <c r="D3004">
        <v>0.71872307692307702</v>
      </c>
      <c r="E3004">
        <f t="shared" si="142"/>
        <v>4.1978955416563393</v>
      </c>
      <c r="I3004" s="24">
        <f t="shared" si="143"/>
        <v>0.94120653903482576</v>
      </c>
      <c r="N3004" s="30">
        <v>30477.590909090908</v>
      </c>
    </row>
    <row r="3005" spans="1:14" x14ac:dyDescent="0.3">
      <c r="A3005">
        <v>45.743300000001923</v>
      </c>
      <c r="B3005">
        <v>66.576899999999995</v>
      </c>
      <c r="C3005">
        <f t="shared" si="141"/>
        <v>66.223060000000004</v>
      </c>
      <c r="D3005">
        <v>0.71873846153846155</v>
      </c>
      <c r="E3005">
        <f t="shared" si="142"/>
        <v>4.1930287406558184</v>
      </c>
      <c r="I3005" s="24">
        <f t="shared" si="143"/>
        <v>0.93513757841995893</v>
      </c>
      <c r="N3005" s="30">
        <v>30474.818181818184</v>
      </c>
    </row>
    <row r="3006" spans="1:14" x14ac:dyDescent="0.3">
      <c r="A3006">
        <v>45.758530000001926</v>
      </c>
      <c r="B3006">
        <v>66.192300000000003</v>
      </c>
      <c r="C3006">
        <f t="shared" si="141"/>
        <v>65.738460000000003</v>
      </c>
      <c r="D3006">
        <v>0.7187538461538463</v>
      </c>
      <c r="E3006">
        <f t="shared" si="142"/>
        <v>4.1856841423456261</v>
      </c>
      <c r="I3006" s="24">
        <f t="shared" si="143"/>
        <v>0.92606287556684708</v>
      </c>
      <c r="N3006" s="30">
        <v>30472.045454545456</v>
      </c>
    </row>
    <row r="3007" spans="1:14" x14ac:dyDescent="0.3">
      <c r="A3007">
        <v>45.773760000001928</v>
      </c>
      <c r="B3007">
        <v>65.115399999999994</v>
      </c>
      <c r="C3007">
        <f t="shared" si="141"/>
        <v>65.138460000000009</v>
      </c>
      <c r="D3007">
        <v>0.71876923076923083</v>
      </c>
      <c r="E3007">
        <f t="shared" si="142"/>
        <v>4.1765151581808455</v>
      </c>
      <c r="I3007" s="24">
        <f t="shared" si="143"/>
        <v>0.91486238765650219</v>
      </c>
      <c r="N3007" s="30">
        <v>30469.272727272728</v>
      </c>
    </row>
    <row r="3008" spans="1:14" x14ac:dyDescent="0.3">
      <c r="A3008">
        <v>45.788990000001931</v>
      </c>
      <c r="B3008">
        <v>64.230800000000002</v>
      </c>
      <c r="C3008">
        <f t="shared" si="141"/>
        <v>64.523080000000007</v>
      </c>
      <c r="D3008">
        <v>0.71878461538461547</v>
      </c>
      <c r="E3008">
        <f t="shared" si="142"/>
        <v>4.1670229892533994</v>
      </c>
      <c r="I3008" s="24">
        <f t="shared" si="143"/>
        <v>0.90341048443789851</v>
      </c>
      <c r="N3008" s="30">
        <v>30466.5</v>
      </c>
    </row>
    <row r="3009" spans="1:14" x14ac:dyDescent="0.3">
      <c r="A3009">
        <v>45.804220000001933</v>
      </c>
      <c r="B3009">
        <v>63.576900000000002</v>
      </c>
      <c r="C3009">
        <f t="shared" si="141"/>
        <v>63.969239999999992</v>
      </c>
      <c r="D3009">
        <v>0.71880000000000011</v>
      </c>
      <c r="E3009">
        <f t="shared" si="142"/>
        <v>4.1584023428224546</v>
      </c>
      <c r="I3009" s="24">
        <f t="shared" si="143"/>
        <v>0.89313254174655698</v>
      </c>
      <c r="N3009" s="30">
        <v>30463.727272727272</v>
      </c>
    </row>
    <row r="3010" spans="1:14" x14ac:dyDescent="0.3">
      <c r="A3010">
        <v>45.819450000001936</v>
      </c>
      <c r="B3010">
        <v>63.5</v>
      </c>
      <c r="C3010">
        <f t="shared" si="141"/>
        <v>63.584620000000008</v>
      </c>
      <c r="D3010">
        <v>0.71881538461538474</v>
      </c>
      <c r="E3010">
        <f t="shared" si="142"/>
        <v>4.1523716172025917</v>
      </c>
      <c r="I3010" s="24">
        <f t="shared" si="143"/>
        <v>0.8860063207472284</v>
      </c>
      <c r="N3010" s="30">
        <v>30460.954545454548</v>
      </c>
    </row>
    <row r="3011" spans="1:14" x14ac:dyDescent="0.3">
      <c r="A3011">
        <v>45.834680000001939</v>
      </c>
      <c r="B3011">
        <v>63.423099999999998</v>
      </c>
      <c r="C3011">
        <f t="shared" si="141"/>
        <v>63.361540000000005</v>
      </c>
      <c r="D3011">
        <v>0.71883076923076927</v>
      </c>
      <c r="E3011">
        <f t="shared" si="142"/>
        <v>4.1488570527663509</v>
      </c>
      <c r="I3011" s="24">
        <f t="shared" si="143"/>
        <v>0.88187170578625973</v>
      </c>
      <c r="N3011" s="30">
        <v>30458.18181818182</v>
      </c>
    </row>
    <row r="3012" spans="1:14" x14ac:dyDescent="0.3">
      <c r="A3012">
        <v>45.849910000001941</v>
      </c>
      <c r="B3012">
        <v>63.192300000000003</v>
      </c>
      <c r="C3012">
        <f t="shared" si="141"/>
        <v>63.261540000000004</v>
      </c>
      <c r="D3012">
        <v>0.71884615384615391</v>
      </c>
      <c r="E3012">
        <f t="shared" si="142"/>
        <v>4.1472775615584299</v>
      </c>
      <c r="I3012" s="24">
        <f t="shared" si="143"/>
        <v>0.88000947559340115</v>
      </c>
      <c r="N3012" s="30">
        <v>30455.409090909092</v>
      </c>
    </row>
    <row r="3013" spans="1:14" x14ac:dyDescent="0.3">
      <c r="A3013">
        <v>45.865140000001944</v>
      </c>
      <c r="B3013">
        <v>63.115400000000001</v>
      </c>
      <c r="C3013">
        <f t="shared" si="141"/>
        <v>63.130779999999994</v>
      </c>
      <c r="D3013">
        <v>0.71886153846153855</v>
      </c>
      <c r="E3013">
        <f t="shared" si="142"/>
        <v>4.1452084477601998</v>
      </c>
      <c r="I3013" s="24">
        <f t="shared" si="143"/>
        <v>0.87758174841173764</v>
      </c>
      <c r="N3013" s="30">
        <v>30452.636363636364</v>
      </c>
    </row>
    <row r="3014" spans="1:14" x14ac:dyDescent="0.3">
      <c r="A3014">
        <v>45.880370000001946</v>
      </c>
      <c r="B3014">
        <v>63.076900000000002</v>
      </c>
      <c r="C3014">
        <f t="shared" si="141"/>
        <v>62.892320000000005</v>
      </c>
      <c r="D3014">
        <v>0.71887692307692319</v>
      </c>
      <c r="E3014">
        <f t="shared" si="142"/>
        <v>4.1414240576826007</v>
      </c>
      <c r="I3014" s="24">
        <f t="shared" si="143"/>
        <v>0.87317426350898453</v>
      </c>
      <c r="N3014" s="30">
        <v>30449.863636363636</v>
      </c>
    </row>
    <row r="3015" spans="1:14" x14ac:dyDescent="0.3">
      <c r="A3015">
        <v>45.895600000001949</v>
      </c>
      <c r="B3015">
        <v>62.846200000000003</v>
      </c>
      <c r="C3015">
        <f t="shared" si="141"/>
        <v>62.415399999999998</v>
      </c>
      <c r="D3015">
        <v>0.71889230769230772</v>
      </c>
      <c r="E3015">
        <f t="shared" si="142"/>
        <v>4.1338120397983324</v>
      </c>
      <c r="I3015" s="24">
        <f t="shared" si="143"/>
        <v>0.86439457493644578</v>
      </c>
      <c r="N3015" s="30">
        <v>30447.090909090908</v>
      </c>
    </row>
    <row r="3016" spans="1:14" x14ac:dyDescent="0.3">
      <c r="A3016">
        <v>45.910830000001951</v>
      </c>
      <c r="B3016">
        <v>62.230800000000002</v>
      </c>
      <c r="C3016">
        <f t="shared" si="141"/>
        <v>61.738480000000003</v>
      </c>
      <c r="D3016">
        <v>0.71890769230769247</v>
      </c>
      <c r="E3016">
        <f t="shared" si="142"/>
        <v>4.1229073993993932</v>
      </c>
      <c r="I3016" s="24">
        <f t="shared" si="143"/>
        <v>0.85197866095929298</v>
      </c>
      <c r="N3016" s="30">
        <v>30444.318181818184</v>
      </c>
    </row>
    <row r="3017" spans="1:14" x14ac:dyDescent="0.3">
      <c r="A3017">
        <v>45.926060000001954</v>
      </c>
      <c r="B3017">
        <v>60.807699999999997</v>
      </c>
      <c r="C3017">
        <f t="shared" si="141"/>
        <v>60.907719999999998</v>
      </c>
      <c r="D3017">
        <v>0.718923076923077</v>
      </c>
      <c r="E3017">
        <f t="shared" si="142"/>
        <v>4.1093599318706575</v>
      </c>
      <c r="I3017" s="24">
        <f t="shared" si="143"/>
        <v>0.83680611087341206</v>
      </c>
      <c r="N3017" s="30">
        <v>30441.545454545456</v>
      </c>
    </row>
    <row r="3018" spans="1:14" x14ac:dyDescent="0.3">
      <c r="A3018">
        <v>45.941290000001956</v>
      </c>
      <c r="B3018">
        <v>59.730800000000002</v>
      </c>
      <c r="C3018">
        <f t="shared" si="141"/>
        <v>59.946180000000005</v>
      </c>
      <c r="D3018">
        <v>0.71893846153846164</v>
      </c>
      <c r="E3018">
        <f t="shared" si="142"/>
        <v>4.0934471596768605</v>
      </c>
      <c r="I3018" s="24">
        <f t="shared" si="143"/>
        <v>0.81933231293011444</v>
      </c>
      <c r="N3018" s="30">
        <v>30438.772727272728</v>
      </c>
    </row>
    <row r="3019" spans="1:14" x14ac:dyDescent="0.3">
      <c r="A3019">
        <v>45.956520000001959</v>
      </c>
      <c r="B3019">
        <v>58.923099999999998</v>
      </c>
      <c r="C3019">
        <f t="shared" si="141"/>
        <v>58.900019999999998</v>
      </c>
      <c r="D3019">
        <v>0.71895384615384628</v>
      </c>
      <c r="E3019">
        <f t="shared" si="142"/>
        <v>4.075841430216057</v>
      </c>
      <c r="I3019" s="24">
        <f t="shared" si="143"/>
        <v>0.80042616078822271</v>
      </c>
      <c r="N3019" s="30">
        <v>30436</v>
      </c>
    </row>
    <row r="3020" spans="1:14" x14ac:dyDescent="0.3">
      <c r="A3020">
        <v>45.971750000001961</v>
      </c>
      <c r="B3020">
        <v>58.038499999999999</v>
      </c>
      <c r="C3020">
        <f t="shared" si="141"/>
        <v>57.984639999999999</v>
      </c>
      <c r="D3020">
        <v>0.71896923076923092</v>
      </c>
      <c r="E3020">
        <f t="shared" si="142"/>
        <v>4.0601781478871946</v>
      </c>
      <c r="I3020" s="24">
        <f t="shared" si="143"/>
        <v>0.78397111142921927</v>
      </c>
      <c r="N3020" s="30">
        <v>30433.227272727272</v>
      </c>
    </row>
    <row r="3021" spans="1:14" x14ac:dyDescent="0.3">
      <c r="A3021">
        <v>45.986980000001964</v>
      </c>
      <c r="B3021">
        <v>57</v>
      </c>
      <c r="C3021">
        <f t="shared" si="141"/>
        <v>57.138480000000001</v>
      </c>
      <c r="D3021">
        <v>0.71898461538461544</v>
      </c>
      <c r="E3021">
        <f t="shared" si="142"/>
        <v>4.0454777951187388</v>
      </c>
      <c r="I3021" s="24">
        <f t="shared" si="143"/>
        <v>0.76883451149500981</v>
      </c>
      <c r="N3021" s="30">
        <v>30430.454545454548</v>
      </c>
    </row>
    <row r="3022" spans="1:14" x14ac:dyDescent="0.3">
      <c r="A3022">
        <v>46.002210000001966</v>
      </c>
      <c r="B3022">
        <v>56.230800000000002</v>
      </c>
      <c r="C3022">
        <f t="shared" si="141"/>
        <v>56.33847999999999</v>
      </c>
      <c r="D3022" s="8">
        <v>0.71900000000000008</v>
      </c>
      <c r="E3022">
        <f t="shared" si="142"/>
        <v>4.0313777830285522</v>
      </c>
      <c r="I3022" s="24">
        <f t="shared" si="143"/>
        <v>0.75459007384147947</v>
      </c>
      <c r="N3022" s="30">
        <v>30427.68181818182</v>
      </c>
    </row>
    <row r="3023" spans="1:14" x14ac:dyDescent="0.3">
      <c r="A3023">
        <v>46.017440000001969</v>
      </c>
      <c r="B3023">
        <v>55.5</v>
      </c>
      <c r="C3023">
        <f t="shared" si="141"/>
        <v>55.600019999999994</v>
      </c>
      <c r="D3023">
        <v>0.71900000000000008</v>
      </c>
      <c r="E3023">
        <f t="shared" si="142"/>
        <v>4.0181835609687022</v>
      </c>
      <c r="I3023" s="24">
        <f t="shared" si="143"/>
        <v>0.74151467167315976</v>
      </c>
      <c r="N3023" s="30">
        <v>30424.909090909092</v>
      </c>
    </row>
    <row r="3024" spans="1:14" x14ac:dyDescent="0.3">
      <c r="A3024">
        <v>46.032670000001971</v>
      </c>
      <c r="B3024">
        <v>54.923099999999998</v>
      </c>
      <c r="C3024">
        <f t="shared" si="141"/>
        <v>54.969259999999998</v>
      </c>
      <c r="D3024">
        <v>0.71900000000000008</v>
      </c>
      <c r="E3024">
        <f t="shared" si="142"/>
        <v>4.0067741198936542</v>
      </c>
      <c r="I3024" s="24">
        <f t="shared" si="143"/>
        <v>0.73039079047578193</v>
      </c>
      <c r="N3024" s="30">
        <v>30422.136363636364</v>
      </c>
    </row>
    <row r="3025" spans="1:14" x14ac:dyDescent="0.3">
      <c r="A3025">
        <v>46.047900000001974</v>
      </c>
      <c r="B3025">
        <v>54.346200000000003</v>
      </c>
      <c r="C3025">
        <f t="shared" si="141"/>
        <v>54.361560000000011</v>
      </c>
      <c r="D3025">
        <v>0.71900000000000008</v>
      </c>
      <c r="E3025">
        <f t="shared" si="142"/>
        <v>3.9956572864429196</v>
      </c>
      <c r="I3025" s="24">
        <f t="shared" si="143"/>
        <v>0.71971272502336869</v>
      </c>
      <c r="N3025" s="30">
        <v>30419.363636363636</v>
      </c>
    </row>
    <row r="3026" spans="1:14" x14ac:dyDescent="0.3">
      <c r="A3026">
        <v>46.063130000001976</v>
      </c>
      <c r="B3026">
        <v>53.846200000000003</v>
      </c>
      <c r="C3026">
        <f t="shared" si="141"/>
        <v>53.800019999999996</v>
      </c>
      <c r="D3026">
        <v>0.71900000000000008</v>
      </c>
      <c r="E3026">
        <f t="shared" si="142"/>
        <v>3.9852738389148814</v>
      </c>
      <c r="I3026" s="24">
        <f t="shared" si="143"/>
        <v>0.70988014653102927</v>
      </c>
      <c r="N3026" s="30">
        <v>30416.590909090908</v>
      </c>
    </row>
    <row r="3027" spans="1:14" x14ac:dyDescent="0.3">
      <c r="A3027">
        <v>46.078360000001979</v>
      </c>
      <c r="B3027">
        <v>53.192300000000003</v>
      </c>
      <c r="C3027">
        <f t="shared" si="141"/>
        <v>53.269240000000003</v>
      </c>
      <c r="D3027">
        <v>0.71900000000000008</v>
      </c>
      <c r="E3027">
        <f t="shared" si="142"/>
        <v>3.9753590538851404</v>
      </c>
      <c r="I3027" s="24">
        <f t="shared" si="143"/>
        <v>0.70061676563718989</v>
      </c>
      <c r="N3027" s="30">
        <v>30413.818181818184</v>
      </c>
    </row>
    <row r="3028" spans="1:14" x14ac:dyDescent="0.3">
      <c r="A3028">
        <v>46.093590000001981</v>
      </c>
      <c r="B3028">
        <v>52.692300000000003</v>
      </c>
      <c r="C3028">
        <f t="shared" si="141"/>
        <v>52.753840000000004</v>
      </c>
      <c r="D3028">
        <v>0.71900000000000008</v>
      </c>
      <c r="E3028">
        <f t="shared" si="142"/>
        <v>3.9656365659151915</v>
      </c>
      <c r="I3028" s="24">
        <f t="shared" si="143"/>
        <v>0.69165044368818651</v>
      </c>
      <c r="N3028" s="30">
        <v>30411.045454545456</v>
      </c>
    </row>
    <row r="3029" spans="1:14" x14ac:dyDescent="0.3">
      <c r="A3029">
        <v>46.108820000001984</v>
      </c>
      <c r="B3029">
        <v>52.269199999999998</v>
      </c>
      <c r="C3029">
        <f t="shared" si="141"/>
        <v>52.284599999999998</v>
      </c>
      <c r="D3029">
        <v>0.71900000000000008</v>
      </c>
      <c r="E3029">
        <f t="shared" si="142"/>
        <v>3.9567018726435506</v>
      </c>
      <c r="I3029" s="24">
        <f t="shared" si="143"/>
        <v>0.68351185951323101</v>
      </c>
      <c r="N3029" s="30">
        <v>30408.272727272728</v>
      </c>
    </row>
    <row r="3030" spans="1:14" x14ac:dyDescent="0.3">
      <c r="A3030">
        <v>46.124050000001986</v>
      </c>
      <c r="B3030">
        <v>51.769199999999998</v>
      </c>
      <c r="C3030">
        <f t="shared" si="141"/>
        <v>51.961520000000007</v>
      </c>
      <c r="D3030">
        <v>0.71900000000000008</v>
      </c>
      <c r="E3030">
        <f t="shared" si="142"/>
        <v>3.9505034446462779</v>
      </c>
      <c r="I3030" s="24">
        <f t="shared" si="143"/>
        <v>0.67792206283076584</v>
      </c>
      <c r="N3030" s="30">
        <v>30405.5</v>
      </c>
    </row>
    <row r="3031" spans="1:14" x14ac:dyDescent="0.3">
      <c r="A3031">
        <v>46.139280000001989</v>
      </c>
      <c r="B3031">
        <v>51.5</v>
      </c>
      <c r="C3031">
        <f t="shared" si="141"/>
        <v>51.692300000000003</v>
      </c>
      <c r="D3031">
        <v>0.71900000000000008</v>
      </c>
      <c r="E3031">
        <f t="shared" si="142"/>
        <v>3.9453088342520779</v>
      </c>
      <c r="I3031" s="24">
        <f t="shared" si="143"/>
        <v>0.67327274156663874</v>
      </c>
      <c r="N3031" s="30">
        <v>30402.727272727272</v>
      </c>
    </row>
    <row r="3032" spans="1:14" x14ac:dyDescent="0.3">
      <c r="A3032">
        <v>46.154510000001991</v>
      </c>
      <c r="B3032">
        <v>51.576900000000002</v>
      </c>
      <c r="C3032">
        <f t="shared" si="141"/>
        <v>51.584620000000008</v>
      </c>
      <c r="D3032">
        <v>0.71900000000000008</v>
      </c>
      <c r="E3032">
        <f t="shared" si="142"/>
        <v>3.9432235660427022</v>
      </c>
      <c r="I3032" s="24">
        <f t="shared" si="143"/>
        <v>0.67141534974640871</v>
      </c>
      <c r="N3032" s="30">
        <v>30399.954545454548</v>
      </c>
    </row>
    <row r="3033" spans="1:14" x14ac:dyDescent="0.3">
      <c r="A3033">
        <v>46.169740000001994</v>
      </c>
      <c r="B3033">
        <v>51.346200000000003</v>
      </c>
      <c r="C3033">
        <f t="shared" si="141"/>
        <v>51.592320000000008</v>
      </c>
      <c r="D3033">
        <v>0.71900000000000008</v>
      </c>
      <c r="E3033">
        <f t="shared" si="142"/>
        <v>3.9433728242008583</v>
      </c>
      <c r="I3033" s="24">
        <f t="shared" si="143"/>
        <v>0.67154812667006192</v>
      </c>
      <c r="N3033" s="30">
        <v>30397.18181818182</v>
      </c>
    </row>
    <row r="3034" spans="1:14" x14ac:dyDescent="0.3">
      <c r="A3034">
        <v>46.184970000001996</v>
      </c>
      <c r="B3034">
        <v>51.730800000000002</v>
      </c>
      <c r="C3034">
        <f t="shared" si="141"/>
        <v>51.71540000000001</v>
      </c>
      <c r="D3034">
        <v>0.71900000000000008</v>
      </c>
      <c r="E3034">
        <f t="shared" si="142"/>
        <v>3.9457556094996513</v>
      </c>
      <c r="I3034" s="24">
        <f t="shared" si="143"/>
        <v>0.67367136147825535</v>
      </c>
      <c r="N3034" s="30">
        <v>30394.409090909092</v>
      </c>
    </row>
    <row r="3035" spans="1:14" x14ac:dyDescent="0.3">
      <c r="A3035">
        <v>46.200200000001999</v>
      </c>
      <c r="B3035">
        <v>51.807699999999997</v>
      </c>
      <c r="C3035">
        <f t="shared" si="141"/>
        <v>51.807719999999996</v>
      </c>
      <c r="D3035">
        <v>0.71900000000000008</v>
      </c>
      <c r="E3035">
        <f t="shared" si="142"/>
        <v>3.947539172909897</v>
      </c>
      <c r="I3035" s="24">
        <f t="shared" si="143"/>
        <v>0.67526503790852987</v>
      </c>
      <c r="N3035" s="30">
        <v>30391.636363636364</v>
      </c>
    </row>
    <row r="3036" spans="1:14" x14ac:dyDescent="0.3">
      <c r="A3036">
        <v>46.215430000002002</v>
      </c>
      <c r="B3036">
        <v>52.115400000000001</v>
      </c>
      <c r="C3036">
        <f t="shared" si="141"/>
        <v>51.900019999999998</v>
      </c>
      <c r="D3036">
        <v>0.71900000000000008</v>
      </c>
      <c r="E3036">
        <f t="shared" si="142"/>
        <v>3.9493191755282235</v>
      </c>
      <c r="I3036" s="24">
        <f t="shared" si="143"/>
        <v>0.67685929145210955</v>
      </c>
      <c r="N3036" s="30">
        <v>30388.863636363636</v>
      </c>
    </row>
    <row r="3037" spans="1:14" x14ac:dyDescent="0.3">
      <c r="A3037">
        <v>46.230660000002004</v>
      </c>
      <c r="B3037">
        <v>52.038499999999999</v>
      </c>
      <c r="C3037">
        <f t="shared" si="141"/>
        <v>51.83847999999999</v>
      </c>
      <c r="D3037">
        <v>0.71900000000000008</v>
      </c>
      <c r="E3037">
        <f t="shared" si="142"/>
        <v>3.9481327306264964</v>
      </c>
      <c r="I3037" s="24">
        <f t="shared" si="143"/>
        <v>0.67579623819836931</v>
      </c>
      <c r="N3037" s="30">
        <v>30386.090909090908</v>
      </c>
    </row>
    <row r="3038" spans="1:14" x14ac:dyDescent="0.3">
      <c r="A3038">
        <v>46.245890000002007</v>
      </c>
      <c r="B3038">
        <v>51.807699999999997</v>
      </c>
      <c r="C3038">
        <f t="shared" si="141"/>
        <v>51.700019999999995</v>
      </c>
      <c r="D3038">
        <v>0.71900000000000008</v>
      </c>
      <c r="E3038">
        <f t="shared" si="142"/>
        <v>3.9454581683615038</v>
      </c>
      <c r="I3038" s="24">
        <f t="shared" si="143"/>
        <v>0.6734059535603456</v>
      </c>
      <c r="N3038" s="30">
        <v>30383.318181818184</v>
      </c>
    </row>
    <row r="3039" spans="1:14" x14ac:dyDescent="0.3">
      <c r="A3039">
        <v>46.261120000002009</v>
      </c>
      <c r="B3039">
        <v>51.423099999999998</v>
      </c>
      <c r="C3039">
        <f t="shared" si="141"/>
        <v>51.430779999999992</v>
      </c>
      <c r="D3039">
        <v>0.71900000000000008</v>
      </c>
      <c r="E3039">
        <f t="shared" si="142"/>
        <v>3.9402368259172005</v>
      </c>
      <c r="I3039" s="24">
        <f t="shared" si="143"/>
        <v>0.66876392021184738</v>
      </c>
      <c r="N3039" s="30">
        <v>30380.545454545456</v>
      </c>
    </row>
    <row r="3040" spans="1:14" x14ac:dyDescent="0.3">
      <c r="A3040">
        <v>46.276350000002012</v>
      </c>
      <c r="B3040">
        <v>51.115400000000001</v>
      </c>
      <c r="C3040">
        <f t="shared" si="141"/>
        <v>51.199999999999996</v>
      </c>
      <c r="D3040">
        <v>0.71900000000000008</v>
      </c>
      <c r="E3040">
        <f t="shared" si="142"/>
        <v>3.9357395320454622</v>
      </c>
      <c r="I3040" s="24">
        <f t="shared" si="143"/>
        <v>0.66479126112921938</v>
      </c>
      <c r="N3040" s="30">
        <v>30377.772727272728</v>
      </c>
    </row>
    <row r="3041" spans="1:18" x14ac:dyDescent="0.3">
      <c r="A3041">
        <v>46.291580000002014</v>
      </c>
      <c r="B3041">
        <v>50.769199999999998</v>
      </c>
      <c r="C3041">
        <f t="shared" si="141"/>
        <v>51.069220000000001</v>
      </c>
      <c r="D3041">
        <v>0.71900000000000008</v>
      </c>
      <c r="E3041">
        <f t="shared" si="142"/>
        <v>3.933181967388423</v>
      </c>
      <c r="I3041" s="25">
        <f t="shared" si="143"/>
        <v>0.66254258608979688</v>
      </c>
      <c r="N3041" s="30">
        <v>30375</v>
      </c>
    </row>
    <row r="3042" spans="1:18" x14ac:dyDescent="0.3">
      <c r="A3042">
        <v>46.306810000002017</v>
      </c>
      <c r="B3042">
        <v>50.884599999999999</v>
      </c>
      <c r="C3042">
        <f t="shared" si="141"/>
        <v>51.192300000000003</v>
      </c>
      <c r="D3042">
        <v>0.71900000000000008</v>
      </c>
      <c r="E3042">
        <f t="shared" si="142"/>
        <v>3.935589130110658</v>
      </c>
      <c r="I3042" s="24">
        <f t="shared" si="143"/>
        <v>0.66465881301535679</v>
      </c>
      <c r="N3042" s="30">
        <v>30363.954545454548</v>
      </c>
    </row>
    <row r="3043" spans="1:18" x14ac:dyDescent="0.3">
      <c r="A3043">
        <v>46.322040000002019</v>
      </c>
      <c r="B3043">
        <v>51.153799999999997</v>
      </c>
      <c r="C3043">
        <f t="shared" si="141"/>
        <v>51.530760000000001</v>
      </c>
      <c r="D3043">
        <v>0.71900000000000008</v>
      </c>
      <c r="E3043">
        <f t="shared" si="142"/>
        <v>3.9421789109214553</v>
      </c>
      <c r="I3043" s="24">
        <f t="shared" si="143"/>
        <v>0.67048678105889536</v>
      </c>
      <c r="N3043" s="30">
        <v>30352.909090909092</v>
      </c>
    </row>
    <row r="3044" spans="1:18" x14ac:dyDescent="0.3">
      <c r="A3044">
        <v>46.337270000002022</v>
      </c>
      <c r="B3044">
        <v>52.038499999999999</v>
      </c>
      <c r="C3044">
        <f t="shared" si="141"/>
        <v>52.069219999999994</v>
      </c>
      <c r="D3044">
        <v>0.71900000000000008</v>
      </c>
      <c r="E3044">
        <f t="shared" si="142"/>
        <v>3.9525739872277712</v>
      </c>
      <c r="I3044" s="24">
        <f t="shared" si="143"/>
        <v>0.67978419300230342</v>
      </c>
      <c r="N3044" s="30">
        <v>30341.863636363636</v>
      </c>
    </row>
    <row r="3045" spans="1:18" x14ac:dyDescent="0.3">
      <c r="A3045">
        <v>46.352500000002024</v>
      </c>
      <c r="B3045">
        <v>52.807699999999997</v>
      </c>
      <c r="C3045">
        <f t="shared" si="141"/>
        <v>52.6</v>
      </c>
      <c r="D3045">
        <v>0.71900000000000008</v>
      </c>
      <c r="E3045">
        <f t="shared" si="142"/>
        <v>3.9627161197436642</v>
      </c>
      <c r="I3045" s="24">
        <f t="shared" si="143"/>
        <v>0.68897961328168367</v>
      </c>
      <c r="N3045" s="30">
        <v>30330.818181818184</v>
      </c>
    </row>
    <row r="3046" spans="1:18" x14ac:dyDescent="0.3">
      <c r="A3046">
        <v>46.367730000002027</v>
      </c>
      <c r="B3046">
        <v>53.461500000000001</v>
      </c>
      <c r="C3046">
        <f t="shared" si="141"/>
        <v>53.084620000000008</v>
      </c>
      <c r="D3046">
        <v>0.71900000000000008</v>
      </c>
      <c r="E3046">
        <f t="shared" si="142"/>
        <v>3.9718872441089368</v>
      </c>
      <c r="I3046" s="24">
        <f t="shared" si="143"/>
        <v>0.69740171075393431</v>
      </c>
      <c r="N3046" s="30">
        <v>30319.772727272728</v>
      </c>
    </row>
    <row r="3047" spans="1:18" x14ac:dyDescent="0.3">
      <c r="A3047">
        <v>46.382960000002029</v>
      </c>
      <c r="B3047">
        <v>53.538499999999999</v>
      </c>
      <c r="C3047">
        <f t="shared" si="141"/>
        <v>53.446159999999999</v>
      </c>
      <c r="D3047">
        <v>0.71900000000000008</v>
      </c>
      <c r="E3047">
        <f t="shared" si="142"/>
        <v>3.9786747920464545</v>
      </c>
      <c r="I3047" s="24">
        <f t="shared" si="143"/>
        <v>0.70370112720105016</v>
      </c>
      <c r="N3047" s="30">
        <v>30308.727272727276</v>
      </c>
      <c r="O3047">
        <v>1982</v>
      </c>
      <c r="P3047" s="24">
        <f>AVERAGE(I3047:I3102)</f>
        <v>0.80287254435759992</v>
      </c>
      <c r="Q3047">
        <f>A3102-A3047</f>
        <v>0.83765000000013856</v>
      </c>
      <c r="R3047">
        <f>P3047*Q3047</f>
        <v>0.67252618678125486</v>
      </c>
    </row>
    <row r="3048" spans="1:18" x14ac:dyDescent="0.3">
      <c r="A3048">
        <v>46.398190000002032</v>
      </c>
      <c r="B3048">
        <v>53.576900000000002</v>
      </c>
      <c r="C3048">
        <f t="shared" si="141"/>
        <v>53.753859999999996</v>
      </c>
      <c r="D3048">
        <v>0.71900000000000008</v>
      </c>
      <c r="E3048">
        <f t="shared" si="142"/>
        <v>3.9844154783827621</v>
      </c>
      <c r="I3048" s="24">
        <f t="shared" si="143"/>
        <v>0.70907336084727213</v>
      </c>
      <c r="N3048" s="30">
        <v>30297.68181818182</v>
      </c>
    </row>
    <row r="3049" spans="1:18" x14ac:dyDescent="0.3">
      <c r="A3049">
        <v>46.413420000002034</v>
      </c>
      <c r="B3049">
        <v>53.846200000000003</v>
      </c>
      <c r="C3049">
        <f t="shared" si="141"/>
        <v>54.000020000000006</v>
      </c>
      <c r="D3049">
        <v>0.71900000000000008</v>
      </c>
      <c r="E3049">
        <f t="shared" si="142"/>
        <v>3.9889844169345765</v>
      </c>
      <c r="I3049" s="24">
        <f t="shared" si="143"/>
        <v>0.71337834786715792</v>
      </c>
      <c r="N3049" s="30">
        <v>30286.636363636364</v>
      </c>
    </row>
    <row r="3050" spans="1:18" x14ac:dyDescent="0.3">
      <c r="A3050">
        <v>46.428650000002037</v>
      </c>
      <c r="B3050">
        <v>54.346200000000003</v>
      </c>
      <c r="C3050">
        <f t="shared" si="141"/>
        <v>54.338480000000004</v>
      </c>
      <c r="D3050">
        <v>0.71900000000000008</v>
      </c>
      <c r="E3050">
        <f t="shared" si="142"/>
        <v>3.9952326315790052</v>
      </c>
      <c r="I3050" s="24">
        <f t="shared" si="143"/>
        <v>0.71930794092240002</v>
      </c>
      <c r="N3050" s="30">
        <v>30275.590909090912</v>
      </c>
    </row>
    <row r="3051" spans="1:18" x14ac:dyDescent="0.3">
      <c r="A3051">
        <v>46.443880000002039</v>
      </c>
      <c r="B3051">
        <v>54.692300000000003</v>
      </c>
      <c r="C3051">
        <f t="shared" si="141"/>
        <v>54.792340000000003</v>
      </c>
      <c r="D3051">
        <v>0.71900000000000008</v>
      </c>
      <c r="E3051">
        <f t="shared" si="142"/>
        <v>4.0035504031617943</v>
      </c>
      <c r="I3051" s="24">
        <f t="shared" si="143"/>
        <v>0.7272781036807231</v>
      </c>
      <c r="N3051" s="30">
        <v>30264.545454545456</v>
      </c>
    </row>
    <row r="3052" spans="1:18" x14ac:dyDescent="0.3">
      <c r="A3052">
        <v>46.459110000002042</v>
      </c>
      <c r="B3052">
        <v>55.230800000000002</v>
      </c>
      <c r="C3052">
        <f t="shared" si="141"/>
        <v>55.376940000000005</v>
      </c>
      <c r="D3052">
        <v>0.71900000000000008</v>
      </c>
      <c r="E3052">
        <f t="shared" si="142"/>
        <v>4.0141632616116736</v>
      </c>
      <c r="I3052" s="24">
        <f t="shared" si="143"/>
        <v>0.73757579459957889</v>
      </c>
      <c r="N3052" s="30">
        <v>30253.5</v>
      </c>
    </row>
    <row r="3053" spans="1:18" x14ac:dyDescent="0.3">
      <c r="A3053">
        <v>46.474340000002044</v>
      </c>
      <c r="B3053">
        <v>55.846200000000003</v>
      </c>
      <c r="C3053">
        <f t="shared" si="141"/>
        <v>56.04616</v>
      </c>
      <c r="D3053">
        <v>0.71900000000000008</v>
      </c>
      <c r="E3053">
        <f t="shared" si="142"/>
        <v>4.0261756369125363</v>
      </c>
      <c r="I3053" s="24">
        <f t="shared" si="143"/>
        <v>0.74940746684197268</v>
      </c>
      <c r="N3053" s="30">
        <v>30242.454545454548</v>
      </c>
    </row>
    <row r="3054" spans="1:18" x14ac:dyDescent="0.3">
      <c r="A3054">
        <v>46.489570000002047</v>
      </c>
      <c r="B3054">
        <v>56.769199999999998</v>
      </c>
      <c r="C3054">
        <f t="shared" si="141"/>
        <v>56.823080000000004</v>
      </c>
      <c r="D3054">
        <v>0.71900000000000008</v>
      </c>
      <c r="E3054">
        <f t="shared" si="142"/>
        <v>4.0399425812223351</v>
      </c>
      <c r="I3054" s="24">
        <f t="shared" si="143"/>
        <v>0.76320089886528164</v>
      </c>
      <c r="N3054" s="30">
        <v>30231.409090909092</v>
      </c>
    </row>
    <row r="3055" spans="1:18" x14ac:dyDescent="0.3">
      <c r="A3055">
        <v>46.504800000002049</v>
      </c>
      <c r="B3055">
        <v>57.692300000000003</v>
      </c>
      <c r="C3055">
        <f t="shared" si="141"/>
        <v>57.746159999999996</v>
      </c>
      <c r="D3055">
        <v>0.71900000000000008</v>
      </c>
      <c r="E3055">
        <f t="shared" si="142"/>
        <v>4.056056853684618</v>
      </c>
      <c r="I3055" s="24">
        <f t="shared" si="143"/>
        <v>0.77966901201187722</v>
      </c>
      <c r="N3055" s="30">
        <v>30220.363636363636</v>
      </c>
    </row>
    <row r="3056" spans="1:18" x14ac:dyDescent="0.3">
      <c r="A3056">
        <v>46.520030000002052</v>
      </c>
      <c r="B3056">
        <v>58.576900000000002</v>
      </c>
      <c r="C3056">
        <f t="shared" si="141"/>
        <v>58.723080000000003</v>
      </c>
      <c r="D3056">
        <v>0.71900000000000008</v>
      </c>
      <c r="E3056">
        <f t="shared" si="142"/>
        <v>4.0728328352467615</v>
      </c>
      <c r="I3056" s="24">
        <f t="shared" si="143"/>
        <v>0.79719100610793381</v>
      </c>
      <c r="N3056" s="30">
        <v>30209.318181818184</v>
      </c>
    </row>
    <row r="3057" spans="1:14" x14ac:dyDescent="0.3">
      <c r="A3057">
        <v>46.535260000002054</v>
      </c>
      <c r="B3057">
        <v>59.846200000000003</v>
      </c>
      <c r="C3057">
        <f t="shared" si="141"/>
        <v>59.707700000000003</v>
      </c>
      <c r="D3057">
        <v>0.71900000000000008</v>
      </c>
      <c r="E3057">
        <f t="shared" si="142"/>
        <v>4.0894609903060362</v>
      </c>
      <c r="I3057" s="24">
        <f t="shared" si="143"/>
        <v>0.8149471677116551</v>
      </c>
      <c r="N3057" s="30">
        <v>30198.272727272728</v>
      </c>
    </row>
    <row r="3058" spans="1:14" x14ac:dyDescent="0.3">
      <c r="A3058">
        <v>46.550490000002057</v>
      </c>
      <c r="B3058">
        <v>60.730800000000002</v>
      </c>
      <c r="C3058">
        <f t="shared" si="141"/>
        <v>60.669240000000002</v>
      </c>
      <c r="D3058">
        <v>0.71900000000000008</v>
      </c>
      <c r="E3058">
        <f t="shared" si="142"/>
        <v>4.1054368150915028</v>
      </c>
      <c r="I3058" s="24">
        <f t="shared" si="143"/>
        <v>0.83237916062931405</v>
      </c>
      <c r="N3058" s="30">
        <v>30187.227272727276</v>
      </c>
    </row>
    <row r="3059" spans="1:14" x14ac:dyDescent="0.3">
      <c r="A3059">
        <v>46.565720000002059</v>
      </c>
      <c r="B3059">
        <v>61.692300000000003</v>
      </c>
      <c r="C3059">
        <f t="shared" si="141"/>
        <v>61.661559999999994</v>
      </c>
      <c r="D3059">
        <v>0.71900000000000008</v>
      </c>
      <c r="E3059">
        <f t="shared" si="142"/>
        <v>4.1216607221703994</v>
      </c>
      <c r="I3059" s="24">
        <f t="shared" si="143"/>
        <v>0.85046349662933707</v>
      </c>
      <c r="N3059" s="30">
        <v>30176.18181818182</v>
      </c>
    </row>
    <row r="3060" spans="1:14" x14ac:dyDescent="0.3">
      <c r="A3060">
        <v>46.580950000002062</v>
      </c>
      <c r="B3060">
        <v>62.5</v>
      </c>
      <c r="C3060">
        <f t="shared" si="141"/>
        <v>62.500019999999992</v>
      </c>
      <c r="D3060">
        <v>0.71900000000000008</v>
      </c>
      <c r="E3060">
        <f t="shared" si="142"/>
        <v>4.1351668767423044</v>
      </c>
      <c r="I3060" s="24">
        <f t="shared" si="143"/>
        <v>0.86581775738412459</v>
      </c>
      <c r="N3060" s="30">
        <v>30165.136363636364</v>
      </c>
    </row>
    <row r="3061" spans="1:14" x14ac:dyDescent="0.3">
      <c r="A3061">
        <v>46.596180000002065</v>
      </c>
      <c r="B3061">
        <v>63.538499999999999</v>
      </c>
      <c r="C3061">
        <f t="shared" si="141"/>
        <v>63.284619999999997</v>
      </c>
      <c r="D3061">
        <v>0.71900000000000008</v>
      </c>
      <c r="E3061">
        <f t="shared" si="142"/>
        <v>4.14764232964394</v>
      </c>
      <c r="I3061" s="24">
        <f t="shared" si="143"/>
        <v>0.88024644957657905</v>
      </c>
      <c r="N3061" s="30">
        <v>30154.090909090912</v>
      </c>
    </row>
    <row r="3062" spans="1:14" x14ac:dyDescent="0.3">
      <c r="A3062">
        <v>46.611410000002067</v>
      </c>
      <c r="B3062">
        <v>64.038499999999999</v>
      </c>
      <c r="C3062">
        <f t="shared" si="141"/>
        <v>63.830780000000004</v>
      </c>
      <c r="D3062">
        <v>0.71900000000000008</v>
      </c>
      <c r="E3062">
        <f t="shared" si="142"/>
        <v>4.1562355191525695</v>
      </c>
      <c r="I3062" s="24">
        <f t="shared" si="143"/>
        <v>0.89032465940992533</v>
      </c>
      <c r="N3062" s="30">
        <v>30143.045454545456</v>
      </c>
    </row>
    <row r="3063" spans="1:14" x14ac:dyDescent="0.3">
      <c r="A3063">
        <v>46.62664000000207</v>
      </c>
      <c r="B3063">
        <v>64.653800000000004</v>
      </c>
      <c r="C3063">
        <f t="shared" si="141"/>
        <v>63.938480000000006</v>
      </c>
      <c r="D3063">
        <v>0.71900000000000008</v>
      </c>
      <c r="E3063">
        <f t="shared" si="142"/>
        <v>4.1579213710626117</v>
      </c>
      <c r="I3063" s="24">
        <f t="shared" si="143"/>
        <v>0.89231534748333863</v>
      </c>
      <c r="J3063">
        <v>1982</v>
      </c>
      <c r="K3063" s="24">
        <f>AVERAGE(I3063:I3114)</f>
        <v>0.85550138424563937</v>
      </c>
      <c r="L3063">
        <f>A3114-A3063</f>
        <v>0.77673000000012848</v>
      </c>
      <c r="M3063">
        <f>K3063*L3063</f>
        <v>0.66449359018522536</v>
      </c>
      <c r="N3063" s="30">
        <v>30132</v>
      </c>
    </row>
    <row r="3064" spans="1:14" x14ac:dyDescent="0.3">
      <c r="A3064">
        <v>46.641870000002072</v>
      </c>
      <c r="B3064">
        <v>64.423100000000005</v>
      </c>
      <c r="C3064">
        <f t="shared" si="141"/>
        <v>63.453860000000006</v>
      </c>
      <c r="D3064">
        <v>0.71900000000000008</v>
      </c>
      <c r="E3064">
        <f t="shared" si="142"/>
        <v>4.150313027613393</v>
      </c>
      <c r="I3064" s="24">
        <f t="shared" si="143"/>
        <v>0.88336640149903789</v>
      </c>
      <c r="N3064" s="30">
        <v>30128.611111111113</v>
      </c>
    </row>
    <row r="3065" spans="1:14" x14ac:dyDescent="0.3">
      <c r="A3065">
        <v>46.657100000002075</v>
      </c>
      <c r="B3065">
        <v>63.038499999999999</v>
      </c>
      <c r="C3065">
        <f t="shared" si="141"/>
        <v>62.415399999999998</v>
      </c>
      <c r="D3065">
        <v>0.71900000000000008</v>
      </c>
      <c r="E3065">
        <f t="shared" si="142"/>
        <v>4.1338120397983324</v>
      </c>
      <c r="I3065" s="24">
        <f t="shared" si="143"/>
        <v>0.86426510533069933</v>
      </c>
      <c r="N3065" s="30">
        <v>30125.222222222223</v>
      </c>
    </row>
    <row r="3066" spans="1:14" x14ac:dyDescent="0.3">
      <c r="A3066">
        <v>46.672330000002077</v>
      </c>
      <c r="B3066">
        <v>61.115400000000001</v>
      </c>
      <c r="C3066">
        <f t="shared" ref="C3066:C3129" si="144">AVERAGE(B3064:B3068)</f>
        <v>60.830799999999996</v>
      </c>
      <c r="D3066">
        <v>0.71900000000000008</v>
      </c>
      <c r="E3066">
        <f t="shared" ref="E3066:E3129" si="145">LN(C3066)</f>
        <v>4.1080962396516911</v>
      </c>
      <c r="I3066" s="24">
        <f t="shared" ref="I3066:I3129" si="146">(0.0026*(EXP(1.3248*E3066)))/D3066</f>
        <v>0.83531697582172659</v>
      </c>
      <c r="N3066" s="30">
        <v>30121.833333333336</v>
      </c>
    </row>
    <row r="3067" spans="1:14" x14ac:dyDescent="0.3">
      <c r="A3067">
        <v>46.68756000000208</v>
      </c>
      <c r="B3067">
        <v>58.846200000000003</v>
      </c>
      <c r="C3067">
        <f t="shared" si="144"/>
        <v>58.992339999999999</v>
      </c>
      <c r="D3067">
        <v>0.71900000000000008</v>
      </c>
      <c r="E3067">
        <f t="shared" si="145"/>
        <v>4.0774076049685348</v>
      </c>
      <c r="I3067" s="24">
        <f t="shared" si="146"/>
        <v>0.80203717635605021</v>
      </c>
      <c r="N3067" s="30">
        <v>30118.444444444445</v>
      </c>
    </row>
    <row r="3068" spans="1:14" x14ac:dyDescent="0.3">
      <c r="A3068">
        <v>46.702790000002082</v>
      </c>
      <c r="B3068">
        <v>56.730800000000002</v>
      </c>
      <c r="C3068">
        <f t="shared" si="144"/>
        <v>57.315399999999997</v>
      </c>
      <c r="D3068">
        <v>0.71900000000000008</v>
      </c>
      <c r="E3068">
        <f t="shared" si="145"/>
        <v>4.0485693485184555</v>
      </c>
      <c r="I3068" s="24">
        <f t="shared" si="146"/>
        <v>0.77197335810745171</v>
      </c>
      <c r="N3068" s="30">
        <v>30115.055555555558</v>
      </c>
    </row>
    <row r="3069" spans="1:14" x14ac:dyDescent="0.3">
      <c r="A3069">
        <v>46.718020000002085</v>
      </c>
      <c r="B3069">
        <v>55.230800000000002</v>
      </c>
      <c r="C3069">
        <f t="shared" si="144"/>
        <v>56.000019999999992</v>
      </c>
      <c r="D3069">
        <v>0.71900000000000008</v>
      </c>
      <c r="E3069">
        <f t="shared" si="145"/>
        <v>4.0253520478779423</v>
      </c>
      <c r="I3069" s="24">
        <f t="shared" si="146"/>
        <v>0.7485902411993951</v>
      </c>
      <c r="N3069" s="30">
        <v>30111.666666666668</v>
      </c>
    </row>
    <row r="3070" spans="1:14" x14ac:dyDescent="0.3">
      <c r="A3070">
        <v>46.733250000002087</v>
      </c>
      <c r="B3070">
        <v>54.653799999999997</v>
      </c>
      <c r="C3070">
        <f t="shared" si="144"/>
        <v>55.169240000000002</v>
      </c>
      <c r="D3070">
        <v>0.71900000000000008</v>
      </c>
      <c r="E3070">
        <f t="shared" si="145"/>
        <v>4.0104055515867723</v>
      </c>
      <c r="I3070" s="24">
        <f t="shared" si="146"/>
        <v>0.73391310865699577</v>
      </c>
      <c r="N3070" s="30">
        <v>30108.277777777781</v>
      </c>
    </row>
    <row r="3071" spans="1:14" x14ac:dyDescent="0.3">
      <c r="A3071">
        <v>46.74848000000209</v>
      </c>
      <c r="B3071">
        <v>54.538499999999999</v>
      </c>
      <c r="C3071">
        <f t="shared" si="144"/>
        <v>54.792320000000004</v>
      </c>
      <c r="D3071">
        <v>0.71900000000000008</v>
      </c>
      <c r="E3071">
        <f t="shared" si="145"/>
        <v>4.0035500381472025</v>
      </c>
      <c r="I3071" s="24">
        <f t="shared" si="146"/>
        <v>0.72727775198996736</v>
      </c>
      <c r="N3071" s="30">
        <v>30104.888888888891</v>
      </c>
    </row>
    <row r="3072" spans="1:14" x14ac:dyDescent="0.3">
      <c r="A3072">
        <v>46.763710000002092</v>
      </c>
      <c r="B3072">
        <v>54.692300000000003</v>
      </c>
      <c r="C3072">
        <f t="shared" si="144"/>
        <v>54.7</v>
      </c>
      <c r="D3072">
        <v>0.71900000000000008</v>
      </c>
      <c r="E3072">
        <f t="shared" si="145"/>
        <v>4.0018637094279352</v>
      </c>
      <c r="I3072" s="24">
        <f t="shared" si="146"/>
        <v>0.72565479193433169</v>
      </c>
      <c r="N3072" s="30">
        <v>30101.5</v>
      </c>
    </row>
    <row r="3073" spans="1:14" x14ac:dyDescent="0.3">
      <c r="A3073">
        <v>46.778940000002095</v>
      </c>
      <c r="B3073">
        <v>54.846200000000003</v>
      </c>
      <c r="C3073">
        <f t="shared" si="144"/>
        <v>54.676940000000002</v>
      </c>
      <c r="D3073">
        <v>0.71900000000000008</v>
      </c>
      <c r="E3073">
        <f t="shared" si="145"/>
        <v>4.0014420483293227</v>
      </c>
      <c r="I3073" s="24">
        <f t="shared" si="146"/>
        <v>0.72524954230480498</v>
      </c>
      <c r="N3073" s="30">
        <v>30098.111111111113</v>
      </c>
    </row>
    <row r="3074" spans="1:14" x14ac:dyDescent="0.3">
      <c r="A3074">
        <v>46.794170000002097</v>
      </c>
      <c r="B3074">
        <v>54.769199999999998</v>
      </c>
      <c r="C3074">
        <f t="shared" si="144"/>
        <v>54.584620000000008</v>
      </c>
      <c r="D3074">
        <v>0.71900000000000008</v>
      </c>
      <c r="E3074">
        <f t="shared" si="145"/>
        <v>3.9997521580885085</v>
      </c>
      <c r="I3074" s="24">
        <f t="shared" si="146"/>
        <v>0.72362769400662819</v>
      </c>
      <c r="N3074" s="30">
        <v>30094.722222222223</v>
      </c>
    </row>
    <row r="3075" spans="1:14" x14ac:dyDescent="0.3">
      <c r="A3075">
        <v>46.8094000000021</v>
      </c>
      <c r="B3075">
        <v>54.538499999999999</v>
      </c>
      <c r="C3075">
        <f t="shared" si="144"/>
        <v>54.246159999999996</v>
      </c>
      <c r="D3075">
        <v>0.71900000000000008</v>
      </c>
      <c r="E3075">
        <f t="shared" si="145"/>
        <v>3.9935322065051668</v>
      </c>
      <c r="I3075" s="24">
        <f t="shared" si="146"/>
        <v>0.71768936306904751</v>
      </c>
      <c r="N3075" s="30">
        <v>30091.333333333336</v>
      </c>
    </row>
    <row r="3076" spans="1:14" x14ac:dyDescent="0.3">
      <c r="A3076">
        <v>46.824630000002102</v>
      </c>
      <c r="B3076">
        <v>54.076900000000002</v>
      </c>
      <c r="C3076">
        <f t="shared" si="144"/>
        <v>53.792299999999997</v>
      </c>
      <c r="D3076">
        <v>0.71900000000000008</v>
      </c>
      <c r="E3076">
        <f t="shared" si="145"/>
        <v>3.9851303342481312</v>
      </c>
      <c r="I3076" s="24">
        <f t="shared" si="146"/>
        <v>0.70974520050742385</v>
      </c>
      <c r="N3076" s="30">
        <v>30087.944444444445</v>
      </c>
    </row>
    <row r="3077" spans="1:14" x14ac:dyDescent="0.3">
      <c r="A3077">
        <v>46.839860000002105</v>
      </c>
      <c r="B3077">
        <v>53</v>
      </c>
      <c r="C3077">
        <f t="shared" si="144"/>
        <v>53.438459999999999</v>
      </c>
      <c r="D3077">
        <v>0.71900000000000008</v>
      </c>
      <c r="E3077">
        <f t="shared" si="145"/>
        <v>3.9785307114478927</v>
      </c>
      <c r="I3077" s="24">
        <f t="shared" si="146"/>
        <v>0.70356681897214457</v>
      </c>
      <c r="N3077" s="30">
        <v>30084.555555555558</v>
      </c>
    </row>
    <row r="3078" spans="1:14" x14ac:dyDescent="0.3">
      <c r="A3078">
        <v>46.855090000002107</v>
      </c>
      <c r="B3078">
        <v>52.576900000000002</v>
      </c>
      <c r="C3078">
        <f t="shared" si="144"/>
        <v>53.438459999999999</v>
      </c>
      <c r="D3078">
        <v>0.71900000000000008</v>
      </c>
      <c r="E3078">
        <f t="shared" si="145"/>
        <v>3.9785307114478927</v>
      </c>
      <c r="I3078" s="24">
        <f t="shared" si="146"/>
        <v>0.70356681897214457</v>
      </c>
      <c r="N3078" s="30">
        <v>30081.166666666668</v>
      </c>
    </row>
    <row r="3079" spans="1:14" x14ac:dyDescent="0.3">
      <c r="A3079">
        <v>46.87032000000211</v>
      </c>
      <c r="B3079">
        <v>53</v>
      </c>
      <c r="C3079">
        <f t="shared" si="144"/>
        <v>54.030780000000007</v>
      </c>
      <c r="D3079">
        <v>0.71900000000000008</v>
      </c>
      <c r="E3079">
        <f t="shared" si="145"/>
        <v>3.989553884175979</v>
      </c>
      <c r="I3079" s="24">
        <f t="shared" si="146"/>
        <v>0.71391674510385261</v>
      </c>
      <c r="N3079" s="30">
        <v>30077.777777777781</v>
      </c>
    </row>
    <row r="3080" spans="1:14" x14ac:dyDescent="0.3">
      <c r="A3080">
        <v>46.885550000002112</v>
      </c>
      <c r="B3080">
        <v>54.538499999999999</v>
      </c>
      <c r="C3080">
        <f t="shared" si="144"/>
        <v>55.200019999999995</v>
      </c>
      <c r="D3080">
        <v>0.71900000000000008</v>
      </c>
      <c r="E3080">
        <f t="shared" si="145"/>
        <v>4.0109633156018241</v>
      </c>
      <c r="I3080" s="24">
        <f t="shared" si="146"/>
        <v>0.73445561637560663</v>
      </c>
      <c r="N3080" s="30">
        <v>30074.388888888891</v>
      </c>
    </row>
    <row r="3081" spans="1:14" x14ac:dyDescent="0.3">
      <c r="A3081">
        <v>46.900780000002115</v>
      </c>
      <c r="B3081">
        <v>57.038499999999999</v>
      </c>
      <c r="C3081">
        <f t="shared" si="144"/>
        <v>56.700020000000009</v>
      </c>
      <c r="D3081">
        <v>0.71900000000000008</v>
      </c>
      <c r="E3081">
        <f t="shared" si="145"/>
        <v>4.0377745634673303</v>
      </c>
      <c r="I3081" s="24">
        <f t="shared" si="146"/>
        <v>0.7610119859268516</v>
      </c>
      <c r="N3081" s="30">
        <v>30071</v>
      </c>
    </row>
    <row r="3082" spans="1:14" x14ac:dyDescent="0.3">
      <c r="A3082">
        <v>46.916010000002117</v>
      </c>
      <c r="B3082">
        <v>58.846200000000003</v>
      </c>
      <c r="C3082">
        <f t="shared" si="144"/>
        <v>58.392319999999998</v>
      </c>
      <c r="D3082">
        <v>0.71900000000000008</v>
      </c>
      <c r="E3082">
        <f t="shared" si="145"/>
        <v>4.0671843743370824</v>
      </c>
      <c r="I3082" s="24">
        <f t="shared" si="146"/>
        <v>0.79124782560993434</v>
      </c>
      <c r="N3082" s="30">
        <v>30067.611111111113</v>
      </c>
    </row>
    <row r="3083" spans="1:14" x14ac:dyDescent="0.3">
      <c r="A3083">
        <v>46.93124000000212</v>
      </c>
      <c r="B3083">
        <v>60.076900000000002</v>
      </c>
      <c r="C3083">
        <f t="shared" si="144"/>
        <v>59.976919999999993</v>
      </c>
      <c r="D3083">
        <v>0.71900000000000008</v>
      </c>
      <c r="E3083">
        <f t="shared" si="145"/>
        <v>4.0939598215522333</v>
      </c>
      <c r="I3083" s="24">
        <f t="shared" si="146"/>
        <v>0.8198187980743189</v>
      </c>
      <c r="N3083" s="30">
        <v>30064.222222222223</v>
      </c>
    </row>
    <row r="3084" spans="1:14" x14ac:dyDescent="0.3">
      <c r="A3084">
        <v>46.946470000002122</v>
      </c>
      <c r="B3084">
        <v>61.461500000000001</v>
      </c>
      <c r="C3084">
        <f t="shared" si="144"/>
        <v>61.269219999999997</v>
      </c>
      <c r="D3084">
        <v>0.71900000000000008</v>
      </c>
      <c r="E3084">
        <f t="shared" si="145"/>
        <v>4.1152775961195616</v>
      </c>
      <c r="I3084" s="24">
        <f t="shared" si="146"/>
        <v>0.84330198938678769</v>
      </c>
      <c r="N3084" s="30">
        <v>30060.833333333336</v>
      </c>
    </row>
    <row r="3085" spans="1:14" x14ac:dyDescent="0.3">
      <c r="A3085">
        <v>46.961700000002125</v>
      </c>
      <c r="B3085">
        <v>62.461500000000001</v>
      </c>
      <c r="C3085">
        <f t="shared" si="144"/>
        <v>62.323059999999998</v>
      </c>
      <c r="D3085">
        <v>0.71900000000000008</v>
      </c>
      <c r="E3085">
        <f t="shared" si="145"/>
        <v>4.1323315017691247</v>
      </c>
      <c r="I3085" s="24">
        <f t="shared" si="146"/>
        <v>0.86257158264463429</v>
      </c>
      <c r="N3085" s="30">
        <v>30057.444444444445</v>
      </c>
    </row>
    <row r="3086" spans="1:14" x14ac:dyDescent="0.3">
      <c r="A3086">
        <v>46.976930000002127</v>
      </c>
      <c r="B3086">
        <v>63.5</v>
      </c>
      <c r="C3086">
        <f t="shared" si="144"/>
        <v>63.215380000000003</v>
      </c>
      <c r="D3086">
        <v>0.71900000000000008</v>
      </c>
      <c r="E3086">
        <f t="shared" si="145"/>
        <v>4.1465476259773055</v>
      </c>
      <c r="I3086" s="24">
        <f t="shared" si="146"/>
        <v>0.87897078560031061</v>
      </c>
      <c r="N3086" s="30">
        <v>30054.055555555558</v>
      </c>
    </row>
    <row r="3087" spans="1:14" x14ac:dyDescent="0.3">
      <c r="A3087">
        <v>46.99216000000213</v>
      </c>
      <c r="B3087">
        <v>64.115399999999994</v>
      </c>
      <c r="C3087">
        <f t="shared" si="144"/>
        <v>63.861540000000005</v>
      </c>
      <c r="D3087">
        <v>0.71900000000000008</v>
      </c>
      <c r="E3087">
        <f t="shared" si="145"/>
        <v>4.1567173022479817</v>
      </c>
      <c r="I3087" s="24">
        <f t="shared" si="146"/>
        <v>0.89089310497745211</v>
      </c>
      <c r="N3087" s="30">
        <v>30050.666666666668</v>
      </c>
    </row>
    <row r="3088" spans="1:14" x14ac:dyDescent="0.3">
      <c r="A3088">
        <v>47.007390000002133</v>
      </c>
      <c r="B3088">
        <v>64.538499999999999</v>
      </c>
      <c r="C3088">
        <f t="shared" si="144"/>
        <v>64.423079999999999</v>
      </c>
      <c r="D3088" s="8">
        <v>0.71900000000000008</v>
      </c>
      <c r="E3088">
        <f t="shared" si="145"/>
        <v>4.1654719539988774</v>
      </c>
      <c r="I3088" s="24">
        <f t="shared" si="146"/>
        <v>0.90128598073351873</v>
      </c>
      <c r="N3088" s="30">
        <v>30047.277777777781</v>
      </c>
    </row>
    <row r="3089" spans="1:15" x14ac:dyDescent="0.3">
      <c r="A3089">
        <v>47.022620000002135</v>
      </c>
      <c r="B3089">
        <v>64.692300000000003</v>
      </c>
      <c r="C3089">
        <f t="shared" si="144"/>
        <v>64.776920000000004</v>
      </c>
      <c r="D3089">
        <v>0.71896969696969693</v>
      </c>
      <c r="E3089">
        <f t="shared" si="145"/>
        <v>4.1709493670741118</v>
      </c>
      <c r="I3089" s="24">
        <f t="shared" si="146"/>
        <v>0.90788819227173134</v>
      </c>
      <c r="N3089" s="30">
        <v>30043.888888888891</v>
      </c>
    </row>
    <row r="3090" spans="1:15" x14ac:dyDescent="0.3">
      <c r="A3090">
        <v>47.037850000002138</v>
      </c>
      <c r="B3090">
        <v>65.269199999999998</v>
      </c>
      <c r="C3090">
        <f t="shared" si="144"/>
        <v>64.94614</v>
      </c>
      <c r="D3090">
        <v>0.71893939393939399</v>
      </c>
      <c r="E3090">
        <f t="shared" si="145"/>
        <v>4.1735583110195327</v>
      </c>
      <c r="I3090" s="24">
        <f t="shared" si="146"/>
        <v>0.91106998131370109</v>
      </c>
      <c r="N3090" s="30">
        <v>30040.5</v>
      </c>
    </row>
    <row r="3091" spans="1:15" x14ac:dyDescent="0.3">
      <c r="A3091">
        <v>47.05308000000214</v>
      </c>
      <c r="B3091">
        <v>65.269199999999998</v>
      </c>
      <c r="C3091">
        <f t="shared" si="144"/>
        <v>64.846140000000005</v>
      </c>
      <c r="D3091">
        <v>0.71890909090909094</v>
      </c>
      <c r="E3091">
        <f t="shared" si="145"/>
        <v>4.1720173870171644</v>
      </c>
      <c r="I3091" s="24">
        <f t="shared" si="146"/>
        <v>0.90925033003114819</v>
      </c>
      <c r="N3091" s="30">
        <v>30037.111111111113</v>
      </c>
    </row>
    <row r="3092" spans="1:15" x14ac:dyDescent="0.3">
      <c r="A3092">
        <v>47.068310000002143</v>
      </c>
      <c r="B3092">
        <v>64.961500000000001</v>
      </c>
      <c r="C3092">
        <f t="shared" si="144"/>
        <v>64.4923</v>
      </c>
      <c r="D3092">
        <v>0.71887878787878789</v>
      </c>
      <c r="E3092">
        <f t="shared" si="145"/>
        <v>4.1665458368304247</v>
      </c>
      <c r="I3092" s="24">
        <f t="shared" si="146"/>
        <v>0.90272131944630962</v>
      </c>
      <c r="N3092" s="30">
        <v>30033.722222222223</v>
      </c>
    </row>
    <row r="3093" spans="1:15" x14ac:dyDescent="0.3">
      <c r="A3093">
        <v>47.083540000002145</v>
      </c>
      <c r="B3093">
        <v>64.038499999999999</v>
      </c>
      <c r="C3093">
        <f t="shared" si="144"/>
        <v>63.730759999999997</v>
      </c>
      <c r="D3093">
        <v>0.71884848484848485</v>
      </c>
      <c r="E3093">
        <f t="shared" si="145"/>
        <v>4.1546673345649978</v>
      </c>
      <c r="I3093" s="24">
        <f t="shared" si="146"/>
        <v>0.88866417098135786</v>
      </c>
      <c r="N3093" s="30">
        <v>30030.333333333336</v>
      </c>
    </row>
    <row r="3094" spans="1:15" x14ac:dyDescent="0.3">
      <c r="A3094">
        <v>47.098770000002148</v>
      </c>
      <c r="B3094">
        <v>62.923099999999998</v>
      </c>
      <c r="C3094">
        <f t="shared" si="144"/>
        <v>62.730759999999997</v>
      </c>
      <c r="D3094">
        <v>0.7188181818181818</v>
      </c>
      <c r="E3094">
        <f t="shared" si="145"/>
        <v>4.1388519174505323</v>
      </c>
      <c r="I3094" s="24">
        <f t="shared" si="146"/>
        <v>0.87027503595921274</v>
      </c>
      <c r="N3094" s="30">
        <v>30026.944444444445</v>
      </c>
    </row>
    <row r="3095" spans="1:15" x14ac:dyDescent="0.3">
      <c r="A3095">
        <v>47.11400000000215</v>
      </c>
      <c r="B3095">
        <v>61.461500000000001</v>
      </c>
      <c r="C3095">
        <f t="shared" si="144"/>
        <v>61.646159999999995</v>
      </c>
      <c r="D3095">
        <v>0.71878787878787875</v>
      </c>
      <c r="E3095">
        <f t="shared" si="145"/>
        <v>4.1214109405658084</v>
      </c>
      <c r="I3095" s="24">
        <f t="shared" si="146"/>
        <v>0.85043301265702198</v>
      </c>
      <c r="N3095" s="30">
        <v>30023.555555555558</v>
      </c>
    </row>
    <row r="3096" spans="1:15" x14ac:dyDescent="0.3">
      <c r="A3096">
        <v>47.129230000002153</v>
      </c>
      <c r="B3096">
        <v>60.269199999999998</v>
      </c>
      <c r="C3096">
        <f t="shared" si="144"/>
        <v>60.684619999999995</v>
      </c>
      <c r="D3096">
        <v>0.71875757575757571</v>
      </c>
      <c r="E3096">
        <f t="shared" si="145"/>
        <v>4.1056902886947713</v>
      </c>
      <c r="I3096" s="24">
        <f t="shared" si="146"/>
        <v>0.83293956309878048</v>
      </c>
      <c r="N3096" s="30">
        <v>30020.166666666668</v>
      </c>
    </row>
    <row r="3097" spans="1:15" x14ac:dyDescent="0.3">
      <c r="A3097">
        <v>47.144460000002155</v>
      </c>
      <c r="B3097">
        <v>59.538499999999999</v>
      </c>
      <c r="C3097">
        <f t="shared" si="144"/>
        <v>59.95384</v>
      </c>
      <c r="D3097">
        <v>0.71872727272727277</v>
      </c>
      <c r="E3097">
        <f t="shared" si="145"/>
        <v>4.0935749328000082</v>
      </c>
      <c r="I3097" s="24">
        <f t="shared" si="146"/>
        <v>0.81971180726169601</v>
      </c>
      <c r="N3097" s="30">
        <v>30016.777777777781</v>
      </c>
    </row>
    <row r="3098" spans="1:15" x14ac:dyDescent="0.3">
      <c r="A3098">
        <v>47.159690000002158</v>
      </c>
      <c r="B3098">
        <v>59.230800000000002</v>
      </c>
      <c r="C3098">
        <f t="shared" si="144"/>
        <v>59.569240000000001</v>
      </c>
      <c r="D3098">
        <v>0.71869696969696972</v>
      </c>
      <c r="E3098">
        <f t="shared" si="145"/>
        <v>4.0871393334594961</v>
      </c>
      <c r="I3098" s="24">
        <f t="shared" si="146"/>
        <v>0.81278701810603116</v>
      </c>
      <c r="N3098" s="30">
        <v>30013.388888888891</v>
      </c>
    </row>
    <row r="3099" spans="1:15" x14ac:dyDescent="0.3">
      <c r="A3099">
        <v>47.17492000000216</v>
      </c>
      <c r="B3099">
        <v>59.269199999999998</v>
      </c>
      <c r="C3099">
        <f t="shared" si="144"/>
        <v>59.453859999999999</v>
      </c>
      <c r="D3099">
        <v>0.71866666666666668</v>
      </c>
      <c r="E3099">
        <f t="shared" si="145"/>
        <v>4.0852005495403807</v>
      </c>
      <c r="I3099" s="25">
        <f t="shared" si="146"/>
        <v>0.81073623641334469</v>
      </c>
      <c r="N3099" s="30">
        <v>30010</v>
      </c>
    </row>
    <row r="3100" spans="1:15" x14ac:dyDescent="0.3">
      <c r="A3100">
        <v>47.190150000002163</v>
      </c>
      <c r="B3100">
        <v>59.538499999999999</v>
      </c>
      <c r="C3100">
        <f t="shared" si="144"/>
        <v>59.5154</v>
      </c>
      <c r="D3100">
        <v>0.71863636363636363</v>
      </c>
      <c r="E3100">
        <f t="shared" si="145"/>
        <v>4.0862351025919645</v>
      </c>
      <c r="I3100" s="24">
        <f t="shared" si="146"/>
        <v>0.81188240729984817</v>
      </c>
      <c r="N3100" s="30">
        <v>29993.8</v>
      </c>
    </row>
    <row r="3101" spans="1:15" x14ac:dyDescent="0.3">
      <c r="A3101">
        <v>47.205380000002165</v>
      </c>
      <c r="B3101">
        <v>59.692300000000003</v>
      </c>
      <c r="C3101">
        <f t="shared" si="144"/>
        <v>59.646159999999995</v>
      </c>
      <c r="D3101">
        <v>0.71860606060606069</v>
      </c>
      <c r="E3101">
        <f t="shared" si="145"/>
        <v>4.088429770947843</v>
      </c>
      <c r="I3101" s="24">
        <f t="shared" si="146"/>
        <v>0.81428072374125671</v>
      </c>
      <c r="N3101" s="30">
        <v>29977.600000000002</v>
      </c>
    </row>
    <row r="3102" spans="1:15" x14ac:dyDescent="0.3">
      <c r="A3102">
        <v>47.220610000002168</v>
      </c>
      <c r="B3102">
        <v>59.846200000000003</v>
      </c>
      <c r="C3102">
        <f t="shared" si="144"/>
        <v>59.884619999999998</v>
      </c>
      <c r="D3102">
        <v>0.71857575757575753</v>
      </c>
      <c r="E3102">
        <f t="shared" si="145"/>
        <v>4.0924197108838039</v>
      </c>
      <c r="I3102" s="24">
        <f t="shared" si="146"/>
        <v>0.81863082451351987</v>
      </c>
      <c r="N3102" s="30">
        <v>29961.4</v>
      </c>
    </row>
    <row r="3103" spans="1:15" x14ac:dyDescent="0.3">
      <c r="A3103">
        <v>47.23584000000217</v>
      </c>
      <c r="B3103">
        <v>59.884599999999999</v>
      </c>
      <c r="C3103">
        <f t="shared" si="144"/>
        <v>60.215380000000003</v>
      </c>
      <c r="D3103">
        <v>0.7185454545454546</v>
      </c>
      <c r="E3103">
        <f t="shared" si="145"/>
        <v>4.0979278014124514</v>
      </c>
      <c r="I3103" s="24">
        <f t="shared" si="146"/>
        <v>0.82466109557323319</v>
      </c>
      <c r="N3103" s="30">
        <v>29945.200000000001</v>
      </c>
      <c r="O3103">
        <v>1981</v>
      </c>
    </row>
    <row r="3104" spans="1:15" x14ac:dyDescent="0.3">
      <c r="A3104">
        <v>47.251070000002173</v>
      </c>
      <c r="B3104">
        <v>60.461500000000001</v>
      </c>
      <c r="C3104">
        <f t="shared" si="144"/>
        <v>60.684619999999995</v>
      </c>
      <c r="D3104">
        <v>0.71851515151515155</v>
      </c>
      <c r="E3104">
        <f t="shared" si="145"/>
        <v>4.1056902886947713</v>
      </c>
      <c r="I3104" s="24">
        <f t="shared" si="146"/>
        <v>0.8332205936965954</v>
      </c>
      <c r="N3104" s="30">
        <v>29929</v>
      </c>
    </row>
    <row r="3105" spans="1:16" x14ac:dyDescent="0.3">
      <c r="A3105">
        <v>47.266300000002175</v>
      </c>
      <c r="B3105">
        <v>61.192300000000003</v>
      </c>
      <c r="C3105">
        <f t="shared" si="144"/>
        <v>61.476920000000007</v>
      </c>
      <c r="D3105">
        <v>0.7184848484848485</v>
      </c>
      <c r="E3105">
        <f t="shared" si="145"/>
        <v>4.1186618198227558</v>
      </c>
      <c r="I3105" s="24">
        <f t="shared" si="146"/>
        <v>0.8476987163317693</v>
      </c>
      <c r="N3105" s="30">
        <v>29912.799999999999</v>
      </c>
    </row>
    <row r="3106" spans="1:16" x14ac:dyDescent="0.3">
      <c r="A3106">
        <v>47.281530000002178</v>
      </c>
      <c r="B3106">
        <v>62.038499999999999</v>
      </c>
      <c r="C3106">
        <f t="shared" si="144"/>
        <v>62.761540000000004</v>
      </c>
      <c r="D3106">
        <v>0.71845454545454546</v>
      </c>
      <c r="E3106">
        <f t="shared" si="145"/>
        <v>4.1393424654860258</v>
      </c>
      <c r="I3106" s="24">
        <f t="shared" si="146"/>
        <v>0.87128155707583332</v>
      </c>
      <c r="N3106" s="30">
        <v>29896.600000000002</v>
      </c>
    </row>
    <row r="3107" spans="1:16" x14ac:dyDescent="0.3">
      <c r="A3107">
        <v>47.29676000000218</v>
      </c>
      <c r="B3107">
        <v>63.807699999999997</v>
      </c>
      <c r="C3107">
        <f t="shared" si="144"/>
        <v>64.5</v>
      </c>
      <c r="D3107">
        <v>0.71842424242424241</v>
      </c>
      <c r="E3107">
        <f t="shared" si="145"/>
        <v>4.1666652238017265</v>
      </c>
      <c r="I3107" s="24">
        <f t="shared" si="146"/>
        <v>0.90343534878252696</v>
      </c>
      <c r="N3107" s="30">
        <v>29880.400000000001</v>
      </c>
      <c r="P3107" s="24"/>
    </row>
    <row r="3108" spans="1:16" x14ac:dyDescent="0.3">
      <c r="A3108">
        <v>47.311990000002183</v>
      </c>
      <c r="B3108">
        <v>66.307699999999997</v>
      </c>
      <c r="C3108">
        <f t="shared" si="144"/>
        <v>66.846160000000012</v>
      </c>
      <c r="D3108">
        <v>0.71839393939393936</v>
      </c>
      <c r="E3108">
        <f t="shared" si="145"/>
        <v>4.2023938598636903</v>
      </c>
      <c r="I3108" s="24">
        <f t="shared" si="146"/>
        <v>0.94726608345784691</v>
      </c>
      <c r="N3108" s="30">
        <v>29864.2</v>
      </c>
    </row>
    <row r="3109" spans="1:16" x14ac:dyDescent="0.3">
      <c r="A3109">
        <v>47.327220000002185</v>
      </c>
      <c r="B3109">
        <v>69.153800000000004</v>
      </c>
      <c r="C3109">
        <f t="shared" si="144"/>
        <v>69.784620000000004</v>
      </c>
      <c r="D3109">
        <v>0.71836363636363632</v>
      </c>
      <c r="E3109">
        <f t="shared" si="145"/>
        <v>4.245413641649515</v>
      </c>
      <c r="I3109" s="24">
        <f t="shared" si="146"/>
        <v>1.0028636316941326</v>
      </c>
      <c r="N3109" s="30">
        <v>29848</v>
      </c>
    </row>
    <row r="3110" spans="1:16" x14ac:dyDescent="0.3">
      <c r="A3110">
        <v>47.342450000002188</v>
      </c>
      <c r="B3110">
        <v>72.923100000000005</v>
      </c>
      <c r="C3110">
        <f t="shared" si="144"/>
        <v>73.076920000000001</v>
      </c>
      <c r="D3110">
        <v>0.71833333333333338</v>
      </c>
      <c r="E3110">
        <f t="shared" si="145"/>
        <v>4.2915125850277853</v>
      </c>
      <c r="I3110" s="24">
        <f t="shared" si="146"/>
        <v>1.0660642583474038</v>
      </c>
      <c r="N3110" s="30">
        <v>29831.8</v>
      </c>
    </row>
    <row r="3111" spans="1:16" x14ac:dyDescent="0.3">
      <c r="A3111">
        <v>47.35768000000219</v>
      </c>
      <c r="B3111">
        <v>76.730800000000002</v>
      </c>
      <c r="C3111">
        <f t="shared" si="144"/>
        <v>76.261539999999997</v>
      </c>
      <c r="D3111">
        <v>0.71830303030303022</v>
      </c>
      <c r="E3111">
        <f t="shared" si="145"/>
        <v>4.3341687482984286</v>
      </c>
      <c r="I3111" s="24">
        <f t="shared" si="146"/>
        <v>1.128090832371887</v>
      </c>
      <c r="N3111" s="30">
        <v>29815.600000000002</v>
      </c>
    </row>
    <row r="3112" spans="1:16" x14ac:dyDescent="0.3">
      <c r="A3112">
        <v>47.372910000002193</v>
      </c>
      <c r="B3112">
        <v>80.269199999999998</v>
      </c>
      <c r="C3112">
        <f t="shared" si="144"/>
        <v>79.023080000000007</v>
      </c>
      <c r="D3112">
        <v>0.71827272727272728</v>
      </c>
      <c r="E3112">
        <f t="shared" si="145"/>
        <v>4.3697399616977002</v>
      </c>
      <c r="I3112" s="24">
        <f t="shared" si="146"/>
        <v>1.1825742219136421</v>
      </c>
      <c r="N3112" s="30">
        <v>29799.4</v>
      </c>
    </row>
    <row r="3113" spans="1:16" x14ac:dyDescent="0.3">
      <c r="A3113">
        <v>47.388140000002196</v>
      </c>
      <c r="B3113">
        <v>82.230800000000002</v>
      </c>
      <c r="C3113">
        <f t="shared" si="144"/>
        <v>80.846159999999998</v>
      </c>
      <c r="D3113">
        <v>0.71824242424242424</v>
      </c>
      <c r="E3113">
        <f t="shared" si="145"/>
        <v>4.3925480895333946</v>
      </c>
      <c r="I3113" s="24">
        <f t="shared" si="146"/>
        <v>1.2189038896132647</v>
      </c>
      <c r="N3113" s="30">
        <v>29783.200000000001</v>
      </c>
    </row>
    <row r="3114" spans="1:16" x14ac:dyDescent="0.3">
      <c r="A3114">
        <v>47.403370000002198</v>
      </c>
      <c r="B3114">
        <v>82.961500000000001</v>
      </c>
      <c r="C3114">
        <f t="shared" si="144"/>
        <v>81.553840000000008</v>
      </c>
      <c r="D3114">
        <v>0.71821212121212119</v>
      </c>
      <c r="E3114">
        <f t="shared" si="145"/>
        <v>4.4012634156347055</v>
      </c>
      <c r="I3114" s="24">
        <f t="shared" si="146"/>
        <v>1.233111018175699</v>
      </c>
      <c r="J3114">
        <v>1981</v>
      </c>
      <c r="N3114" s="30">
        <v>29767</v>
      </c>
    </row>
    <row r="3115" spans="1:16" x14ac:dyDescent="0.3">
      <c r="A3115">
        <v>47.418600000002201</v>
      </c>
      <c r="B3115">
        <v>82.038499999999999</v>
      </c>
      <c r="C3115">
        <f t="shared" si="144"/>
        <v>81.130759999999995</v>
      </c>
      <c r="D3115">
        <v>0.71818181818181814</v>
      </c>
      <c r="E3115">
        <f t="shared" si="145"/>
        <v>4.3960621740445962</v>
      </c>
      <c r="I3115" s="24">
        <f t="shared" si="146"/>
        <v>1.2246950173180275</v>
      </c>
    </row>
    <row r="3116" spans="1:16" x14ac:dyDescent="0.3">
      <c r="A3116">
        <v>47.433830000002203</v>
      </c>
      <c r="B3116">
        <v>80.269199999999998</v>
      </c>
      <c r="C3116">
        <f t="shared" si="144"/>
        <v>79.784599999999998</v>
      </c>
      <c r="D3116">
        <v>0.71815151515151521</v>
      </c>
      <c r="E3116">
        <f t="shared" si="145"/>
        <v>4.3793305033761127</v>
      </c>
      <c r="I3116" s="24">
        <f t="shared" si="146"/>
        <v>1.1978974861750391</v>
      </c>
    </row>
    <row r="3117" spans="1:16" x14ac:dyDescent="0.3">
      <c r="A3117">
        <v>47.449060000002206</v>
      </c>
      <c r="B3117">
        <v>78.153800000000004</v>
      </c>
      <c r="C3117">
        <f t="shared" si="144"/>
        <v>77.684600000000003</v>
      </c>
      <c r="D3117">
        <v>0.71812121212121205</v>
      </c>
      <c r="E3117">
        <f t="shared" si="145"/>
        <v>4.3526570395315449</v>
      </c>
      <c r="I3117" s="24">
        <f t="shared" si="146"/>
        <v>1.1563553475499075</v>
      </c>
    </row>
    <row r="3118" spans="1:16" x14ac:dyDescent="0.3">
      <c r="A3118">
        <v>47.464290000002208</v>
      </c>
      <c r="B3118">
        <v>75.5</v>
      </c>
      <c r="C3118">
        <f t="shared" si="144"/>
        <v>75.130740000000003</v>
      </c>
      <c r="D3118">
        <v>0.71809090909090911</v>
      </c>
      <c r="E3118">
        <f t="shared" si="145"/>
        <v>4.3192297959265993</v>
      </c>
      <c r="I3118" s="24">
        <f t="shared" si="146"/>
        <v>1.1063108298960995</v>
      </c>
    </row>
    <row r="3119" spans="1:16" x14ac:dyDescent="0.3">
      <c r="A3119">
        <v>47.479520000002211</v>
      </c>
      <c r="B3119">
        <v>72.461500000000001</v>
      </c>
      <c r="C3119">
        <f t="shared" si="144"/>
        <v>72.323059999999998</v>
      </c>
      <c r="D3119">
        <v>0.71806060606060607</v>
      </c>
      <c r="E3119">
        <f t="shared" si="145"/>
        <v>4.2811430271356983</v>
      </c>
      <c r="I3119" s="24">
        <f t="shared" si="146"/>
        <v>1.0519186183452049</v>
      </c>
    </row>
    <row r="3120" spans="1:16" x14ac:dyDescent="0.3">
      <c r="A3120">
        <v>47.494750000002213</v>
      </c>
      <c r="B3120">
        <v>69.269199999999998</v>
      </c>
      <c r="C3120">
        <f t="shared" si="144"/>
        <v>69.623059999999995</v>
      </c>
      <c r="D3120">
        <v>0.71803030303030302</v>
      </c>
      <c r="E3120">
        <f t="shared" si="145"/>
        <v>4.2430958343044942</v>
      </c>
      <c r="I3120" s="24">
        <f t="shared" si="146"/>
        <v>1.0002530653944675</v>
      </c>
    </row>
    <row r="3121" spans="1:9" x14ac:dyDescent="0.3">
      <c r="A3121">
        <v>47.509980000002216</v>
      </c>
      <c r="B3121">
        <v>66.230800000000002</v>
      </c>
      <c r="C3121">
        <f t="shared" si="144"/>
        <v>67.4846</v>
      </c>
      <c r="D3121">
        <v>0.71799999999999997</v>
      </c>
      <c r="E3121">
        <f t="shared" si="145"/>
        <v>4.2118994237005882</v>
      </c>
      <c r="I3121" s="24">
        <f t="shared" si="146"/>
        <v>0.95979671946270861</v>
      </c>
    </row>
    <row r="3122" spans="1:9" x14ac:dyDescent="0.3">
      <c r="A3122">
        <v>47.525210000002218</v>
      </c>
      <c r="B3122">
        <v>64.653800000000004</v>
      </c>
      <c r="C3122">
        <f t="shared" si="144"/>
        <v>66.169219999999996</v>
      </c>
      <c r="D3122">
        <v>0.71796969696969692</v>
      </c>
      <c r="E3122">
        <f t="shared" si="145"/>
        <v>4.1922154001352379</v>
      </c>
      <c r="I3122" s="24">
        <f t="shared" si="146"/>
        <v>0.93513071600285635</v>
      </c>
    </row>
    <row r="3123" spans="1:9" x14ac:dyDescent="0.3">
      <c r="A3123">
        <v>47.540440000002221</v>
      </c>
      <c r="B3123">
        <v>64.807699999999997</v>
      </c>
      <c r="C3123">
        <f t="shared" si="144"/>
        <v>65.853840000000005</v>
      </c>
      <c r="D3123">
        <v>0.71793939393939399</v>
      </c>
      <c r="E3123">
        <f t="shared" si="145"/>
        <v>4.1874377408398713</v>
      </c>
      <c r="I3123" s="24">
        <f t="shared" si="146"/>
        <v>0.92926977276072931</v>
      </c>
    </row>
    <row r="3124" spans="1:9" x14ac:dyDescent="0.3">
      <c r="A3124">
        <v>47.555670000002223</v>
      </c>
      <c r="B3124">
        <v>65.884600000000006</v>
      </c>
      <c r="C3124">
        <f t="shared" si="144"/>
        <v>66.561520000000002</v>
      </c>
      <c r="D3124">
        <v>0.71790909090909083</v>
      </c>
      <c r="E3124">
        <f t="shared" si="145"/>
        <v>4.1981266327906646</v>
      </c>
      <c r="I3124" s="24">
        <f t="shared" si="146"/>
        <v>0.94256222694960967</v>
      </c>
    </row>
    <row r="3125" spans="1:9" x14ac:dyDescent="0.3">
      <c r="A3125">
        <v>47.570900000002226</v>
      </c>
      <c r="B3125">
        <v>67.692300000000003</v>
      </c>
      <c r="C3125">
        <f t="shared" si="144"/>
        <v>67.9923</v>
      </c>
      <c r="D3125">
        <v>0.71787878787878789</v>
      </c>
      <c r="E3125">
        <f t="shared" si="145"/>
        <v>4.2193944634703895</v>
      </c>
      <c r="I3125" s="24">
        <f t="shared" si="146"/>
        <v>0.96953810097993998</v>
      </c>
    </row>
    <row r="3126" spans="1:9" x14ac:dyDescent="0.3">
      <c r="A3126">
        <v>47.586130000002228</v>
      </c>
      <c r="B3126">
        <v>69.769199999999998</v>
      </c>
      <c r="C3126">
        <f t="shared" si="144"/>
        <v>70.000000000000014</v>
      </c>
      <c r="D3126">
        <v>0.71784848484848485</v>
      </c>
      <c r="E3126">
        <f t="shared" si="145"/>
        <v>4.2484952420493594</v>
      </c>
      <c r="I3126" s="24">
        <f t="shared" si="146"/>
        <v>1.0076888271867395</v>
      </c>
    </row>
    <row r="3127" spans="1:9" x14ac:dyDescent="0.3">
      <c r="A3127">
        <v>47.601360000002231</v>
      </c>
      <c r="B3127">
        <v>71.807699999999997</v>
      </c>
      <c r="C3127">
        <f t="shared" si="144"/>
        <v>72.738460000000003</v>
      </c>
      <c r="D3127">
        <v>0.7178181818181818</v>
      </c>
      <c r="E3127">
        <f t="shared" si="145"/>
        <v>4.2868702680397046</v>
      </c>
      <c r="I3127" s="24">
        <f t="shared" si="146"/>
        <v>1.060288316472217</v>
      </c>
    </row>
    <row r="3128" spans="1:9" x14ac:dyDescent="0.3">
      <c r="A3128">
        <v>47.616590000002233</v>
      </c>
      <c r="B3128">
        <v>74.846199999999996</v>
      </c>
      <c r="C3128">
        <f t="shared" si="144"/>
        <v>75.969239999999999</v>
      </c>
      <c r="D3128">
        <v>0.71778787878787875</v>
      </c>
      <c r="E3128">
        <f t="shared" si="145"/>
        <v>4.3303285215161633</v>
      </c>
      <c r="I3128" s="24">
        <f t="shared" si="146"/>
        <v>1.1231717227699534</v>
      </c>
    </row>
    <row r="3129" spans="1:9" x14ac:dyDescent="0.3">
      <c r="A3129">
        <v>47.631820000002236</v>
      </c>
      <c r="B3129">
        <v>79.576899999999995</v>
      </c>
      <c r="C3129">
        <f t="shared" si="144"/>
        <v>79.476939999999999</v>
      </c>
      <c r="D3129">
        <v>0.71775757575757582</v>
      </c>
      <c r="E3129">
        <f t="shared" si="145"/>
        <v>4.3754669166908267</v>
      </c>
      <c r="I3129" s="24">
        <f t="shared" si="146"/>
        <v>1.1924358436328324</v>
      </c>
    </row>
    <row r="3130" spans="1:9" x14ac:dyDescent="0.3">
      <c r="A3130">
        <v>47.647050000002238</v>
      </c>
      <c r="B3130">
        <v>83.846199999999996</v>
      </c>
      <c r="C3130">
        <f t="shared" ref="C3130:C3193" si="147">AVERAGE(B3128:B3132)</f>
        <v>83.030780000000007</v>
      </c>
      <c r="D3130">
        <v>0.71772727272727266</v>
      </c>
      <c r="E3130">
        <f t="shared" ref="E3130:E3193" si="148">LN(C3130)</f>
        <v>4.4192113824246837</v>
      </c>
      <c r="I3130" s="24">
        <f t="shared" ref="I3130:I3193" si="149">(0.0026*(EXP(1.3248*E3130)))/D3130</f>
        <v>1.2636356853595219</v>
      </c>
    </row>
    <row r="3131" spans="1:9" x14ac:dyDescent="0.3">
      <c r="A3131">
        <v>47.662280000002241</v>
      </c>
      <c r="B3131">
        <v>87.307699999999997</v>
      </c>
      <c r="C3131">
        <f t="shared" si="147"/>
        <v>86.007699999999986</v>
      </c>
      <c r="D3131">
        <v>0.71769696969696972</v>
      </c>
      <c r="E3131">
        <f t="shared" si="148"/>
        <v>4.4544368271292196</v>
      </c>
      <c r="I3131" s="24">
        <f t="shared" si="149"/>
        <v>1.3240588715233075</v>
      </c>
    </row>
    <row r="3132" spans="1:9" x14ac:dyDescent="0.3">
      <c r="A3132">
        <v>47.677510000002243</v>
      </c>
      <c r="B3132">
        <v>89.576899999999995</v>
      </c>
      <c r="C3132">
        <f t="shared" si="147"/>
        <v>87.78461999999999</v>
      </c>
      <c r="D3132">
        <v>0.71766666666666667</v>
      </c>
      <c r="E3132">
        <f t="shared" si="148"/>
        <v>4.4748863144540421</v>
      </c>
      <c r="I3132" s="24">
        <f t="shared" si="149"/>
        <v>1.3604773430729766</v>
      </c>
    </row>
    <row r="3133" spans="1:9" x14ac:dyDescent="0.3">
      <c r="A3133">
        <v>47.692740000002246</v>
      </c>
      <c r="B3133">
        <v>89.730800000000002</v>
      </c>
      <c r="C3133">
        <f t="shared" si="147"/>
        <v>88.27691999999999</v>
      </c>
      <c r="D3133">
        <v>0.71763636363636363</v>
      </c>
      <c r="E3133">
        <f t="shared" si="148"/>
        <v>4.4804786917903217</v>
      </c>
      <c r="I3133" s="24">
        <f t="shared" si="149"/>
        <v>1.370652128085287</v>
      </c>
    </row>
    <row r="3134" spans="1:9" x14ac:dyDescent="0.3">
      <c r="A3134">
        <v>47.707970000002248</v>
      </c>
      <c r="B3134">
        <v>88.461500000000001</v>
      </c>
      <c r="C3134">
        <f t="shared" si="147"/>
        <v>87.607680000000002</v>
      </c>
      <c r="D3134">
        <v>0.71760606060606058</v>
      </c>
      <c r="E3134">
        <f t="shared" si="148"/>
        <v>4.4728686653323244</v>
      </c>
      <c r="I3134" s="24">
        <f t="shared" si="149"/>
        <v>1.356960261701845</v>
      </c>
    </row>
    <row r="3135" spans="1:9" x14ac:dyDescent="0.3">
      <c r="A3135">
        <v>47.723200000002251</v>
      </c>
      <c r="B3135">
        <v>86.307699999999997</v>
      </c>
      <c r="C3135">
        <f t="shared" si="147"/>
        <v>85.907679999999999</v>
      </c>
      <c r="D3135">
        <v>0.71757575757575753</v>
      </c>
      <c r="E3135">
        <f t="shared" si="148"/>
        <v>4.4532732312800851</v>
      </c>
      <c r="I3135" s="24">
        <f t="shared" si="149"/>
        <v>1.3222426791608437</v>
      </c>
    </row>
    <row r="3136" spans="1:9" x14ac:dyDescent="0.3">
      <c r="A3136">
        <v>47.738430000002253</v>
      </c>
      <c r="B3136">
        <v>83.961500000000001</v>
      </c>
      <c r="C3136">
        <f t="shared" si="147"/>
        <v>83.776899999999998</v>
      </c>
      <c r="D3136">
        <v>0.71754545454545449</v>
      </c>
      <c r="E3136">
        <f t="shared" si="148"/>
        <v>4.4281573131632666</v>
      </c>
      <c r="I3136" s="24">
        <f t="shared" si="149"/>
        <v>1.2790248563267537</v>
      </c>
    </row>
    <row r="3137" spans="1:9" x14ac:dyDescent="0.3">
      <c r="A3137">
        <v>47.753660000002256</v>
      </c>
      <c r="B3137">
        <v>81.076899999999995</v>
      </c>
      <c r="C3137">
        <f t="shared" si="147"/>
        <v>81.646140000000003</v>
      </c>
      <c r="D3137">
        <v>0.71751515151515144</v>
      </c>
      <c r="E3137">
        <f t="shared" si="148"/>
        <v>4.4023945433449061</v>
      </c>
      <c r="I3137" s="24">
        <f t="shared" si="149"/>
        <v>1.2361598405970389</v>
      </c>
    </row>
    <row r="3138" spans="1:9" x14ac:dyDescent="0.3">
      <c r="A3138">
        <v>47.768890000002258</v>
      </c>
      <c r="B3138">
        <v>79.076899999999995</v>
      </c>
      <c r="C3138">
        <f t="shared" si="147"/>
        <v>79.846140000000005</v>
      </c>
      <c r="D3138">
        <v>0.7174848484848485</v>
      </c>
      <c r="E3138">
        <f t="shared" si="148"/>
        <v>4.3801015328538773</v>
      </c>
      <c r="I3138" s="24">
        <f t="shared" si="149"/>
        <v>1.2002359055551919</v>
      </c>
    </row>
    <row r="3139" spans="1:9" x14ac:dyDescent="0.3">
      <c r="A3139">
        <v>47.784120000002261</v>
      </c>
      <c r="B3139">
        <v>77.807699999999997</v>
      </c>
      <c r="C3139">
        <f t="shared" si="147"/>
        <v>78.415379999999999</v>
      </c>
      <c r="D3139">
        <v>0.71745454545454534</v>
      </c>
      <c r="E3139">
        <f t="shared" si="148"/>
        <v>4.3620200815862509</v>
      </c>
      <c r="I3139" s="24">
        <f t="shared" si="149"/>
        <v>1.1718762006945145</v>
      </c>
    </row>
    <row r="3140" spans="1:9" x14ac:dyDescent="0.3">
      <c r="A3140">
        <v>47.799350000002264</v>
      </c>
      <c r="B3140">
        <v>77.307699999999997</v>
      </c>
      <c r="C3140">
        <f t="shared" si="147"/>
        <v>77.54616</v>
      </c>
      <c r="D3140">
        <v>0.71742424242424241</v>
      </c>
      <c r="E3140">
        <f t="shared" si="148"/>
        <v>4.3508733719555623</v>
      </c>
      <c r="I3140" s="24">
        <f t="shared" si="149"/>
        <v>1.1547468374648573</v>
      </c>
    </row>
    <row r="3141" spans="1:9" x14ac:dyDescent="0.3">
      <c r="A3141">
        <v>47.814580000002266</v>
      </c>
      <c r="B3141">
        <v>76.807699999999997</v>
      </c>
      <c r="C3141">
        <f t="shared" si="147"/>
        <v>77.15385999999998</v>
      </c>
      <c r="D3141">
        <v>0.71739393939393936</v>
      </c>
      <c r="E3141">
        <f t="shared" si="148"/>
        <v>4.3458016099619972</v>
      </c>
      <c r="I3141" s="24">
        <f t="shared" si="149"/>
        <v>1.1470624704300798</v>
      </c>
    </row>
    <row r="3142" spans="1:9" x14ac:dyDescent="0.3">
      <c r="A3142">
        <v>47.829810000002269</v>
      </c>
      <c r="B3142">
        <v>76.730800000000002</v>
      </c>
      <c r="C3142">
        <f t="shared" si="147"/>
        <v>77.315399999999997</v>
      </c>
      <c r="D3142">
        <v>0.71736363636363643</v>
      </c>
      <c r="E3142">
        <f t="shared" si="148"/>
        <v>4.3478931595543129</v>
      </c>
      <c r="I3142" s="24">
        <f t="shared" si="149"/>
        <v>1.1502938449480886</v>
      </c>
    </row>
    <row r="3143" spans="1:9" x14ac:dyDescent="0.3">
      <c r="A3143">
        <v>47.845040000002271</v>
      </c>
      <c r="B3143">
        <v>77.115399999999994</v>
      </c>
      <c r="C3143">
        <f t="shared" si="147"/>
        <v>77.861559999999997</v>
      </c>
      <c r="D3143">
        <v>0.71733333333333327</v>
      </c>
      <c r="E3143">
        <f t="shared" si="148"/>
        <v>4.3549323779435758</v>
      </c>
      <c r="I3143" s="24">
        <f t="shared" si="149"/>
        <v>1.1611201975829657</v>
      </c>
    </row>
    <row r="3144" spans="1:9" x14ac:dyDescent="0.3">
      <c r="A3144">
        <v>47.860270000002274</v>
      </c>
      <c r="B3144">
        <v>78.615399999999994</v>
      </c>
      <c r="C3144">
        <f t="shared" si="147"/>
        <v>78.776939999999996</v>
      </c>
      <c r="D3144">
        <v>0.71730303030303033</v>
      </c>
      <c r="E3144">
        <f t="shared" si="148"/>
        <v>4.3666203144426037</v>
      </c>
      <c r="I3144" s="24">
        <f t="shared" si="149"/>
        <v>1.1792889237919915</v>
      </c>
    </row>
    <row r="3145" spans="1:9" x14ac:dyDescent="0.3">
      <c r="A3145">
        <v>47.875500000002276</v>
      </c>
      <c r="B3145">
        <v>80.038499999999999</v>
      </c>
      <c r="C3145">
        <f t="shared" si="147"/>
        <v>79.892320000000012</v>
      </c>
      <c r="D3145">
        <v>0.71727272727272728</v>
      </c>
      <c r="E3145">
        <f t="shared" si="148"/>
        <v>4.3806797280022041</v>
      </c>
      <c r="I3145" s="24">
        <f t="shared" si="149"/>
        <v>1.201510851334759</v>
      </c>
    </row>
    <row r="3146" spans="1:9" x14ac:dyDescent="0.3">
      <c r="A3146">
        <v>47.890730000002279</v>
      </c>
      <c r="B3146">
        <v>81.384600000000006</v>
      </c>
      <c r="C3146">
        <f t="shared" si="147"/>
        <v>81.192319999999995</v>
      </c>
      <c r="D3146">
        <v>0.71724242424242424</v>
      </c>
      <c r="E3146">
        <f t="shared" si="148"/>
        <v>4.3968206614137531</v>
      </c>
      <c r="I3146" s="24">
        <f t="shared" si="149"/>
        <v>1.2275318957786923</v>
      </c>
    </row>
    <row r="3147" spans="1:9" x14ac:dyDescent="0.3">
      <c r="A3147">
        <v>47.905960000002281</v>
      </c>
      <c r="B3147">
        <v>82.307699999999997</v>
      </c>
      <c r="C3147">
        <f t="shared" si="147"/>
        <v>82.515399999999985</v>
      </c>
      <c r="D3147">
        <v>0.71721212121212119</v>
      </c>
      <c r="E3147">
        <f t="shared" si="148"/>
        <v>4.4129849425872472</v>
      </c>
      <c r="I3147" s="24">
        <f t="shared" si="149"/>
        <v>1.2541552703944436</v>
      </c>
    </row>
    <row r="3148" spans="1:9" x14ac:dyDescent="0.3">
      <c r="A3148">
        <v>47.921190000002284</v>
      </c>
      <c r="B3148">
        <v>83.615399999999994</v>
      </c>
      <c r="C3148">
        <f t="shared" si="147"/>
        <v>83.930779999999999</v>
      </c>
      <c r="D3148">
        <v>0.71718181818181814</v>
      </c>
      <c r="E3148">
        <f t="shared" si="148"/>
        <v>4.429992411510387</v>
      </c>
      <c r="I3148" s="24">
        <f t="shared" si="149"/>
        <v>1.2827882145379979</v>
      </c>
    </row>
    <row r="3149" spans="1:9" x14ac:dyDescent="0.3">
      <c r="A3149">
        <v>47.936420000002286</v>
      </c>
      <c r="B3149">
        <v>85.230800000000002</v>
      </c>
      <c r="C3149">
        <f t="shared" si="147"/>
        <v>85.361559999999983</v>
      </c>
      <c r="D3149">
        <v>0.7171515151515151</v>
      </c>
      <c r="E3149">
        <f t="shared" si="148"/>
        <v>4.4468958823653963</v>
      </c>
      <c r="I3149" s="24">
        <f t="shared" si="149"/>
        <v>1.3118941035504528</v>
      </c>
    </row>
    <row r="3150" spans="1:9" x14ac:dyDescent="0.3">
      <c r="A3150">
        <v>47.951650000002289</v>
      </c>
      <c r="B3150">
        <v>87.115399999999994</v>
      </c>
      <c r="C3150">
        <f t="shared" si="147"/>
        <v>86.83847999999999</v>
      </c>
      <c r="D3150">
        <v>0.71712121212121205</v>
      </c>
      <c r="E3150">
        <f t="shared" si="148"/>
        <v>4.4640498414022742</v>
      </c>
      <c r="I3150" s="24">
        <f t="shared" si="149"/>
        <v>1.3421056940346323</v>
      </c>
    </row>
    <row r="3151" spans="1:9" x14ac:dyDescent="0.3">
      <c r="A3151">
        <v>47.966880000002291</v>
      </c>
      <c r="B3151">
        <v>88.538499999999999</v>
      </c>
      <c r="C3151">
        <f t="shared" si="147"/>
        <v>88.253860000000003</v>
      </c>
      <c r="D3151">
        <v>0.71709090909090911</v>
      </c>
      <c r="E3151">
        <f t="shared" si="148"/>
        <v>4.4802174342336381</v>
      </c>
      <c r="I3151" s="24">
        <f t="shared" si="149"/>
        <v>1.3712200327677129</v>
      </c>
    </row>
    <row r="3152" spans="1:9" x14ac:dyDescent="0.3">
      <c r="A3152">
        <v>47.982110000002294</v>
      </c>
      <c r="B3152">
        <v>89.692300000000003</v>
      </c>
      <c r="C3152">
        <f t="shared" si="147"/>
        <v>89.55386</v>
      </c>
      <c r="D3152">
        <v>0.71706060606060595</v>
      </c>
      <c r="E3152">
        <f t="shared" si="148"/>
        <v>4.4948402319886958</v>
      </c>
      <c r="I3152" s="24">
        <f t="shared" si="149"/>
        <v>1.3981017448939881</v>
      </c>
    </row>
    <row r="3153" spans="1:9" x14ac:dyDescent="0.3">
      <c r="A3153">
        <v>47.997340000002296</v>
      </c>
      <c r="B3153">
        <v>90.692300000000003</v>
      </c>
      <c r="C3153">
        <f t="shared" si="147"/>
        <v>90.607699999999994</v>
      </c>
      <c r="D3153">
        <v>0.71703030303030302</v>
      </c>
      <c r="E3153">
        <f t="shared" si="148"/>
        <v>4.5065391984000485</v>
      </c>
      <c r="I3153" s="24">
        <f t="shared" si="149"/>
        <v>1.419999432152796</v>
      </c>
    </row>
    <row r="3154" spans="1:9" x14ac:dyDescent="0.3">
      <c r="A3154">
        <v>48.012570000002299</v>
      </c>
      <c r="B3154">
        <v>91.730800000000002</v>
      </c>
      <c r="C3154">
        <f t="shared" si="147"/>
        <v>91.323080000000004</v>
      </c>
      <c r="D3154" s="8">
        <v>0.71699999999999997</v>
      </c>
      <c r="E3154">
        <f t="shared" si="148"/>
        <v>4.5144035486443013</v>
      </c>
      <c r="I3154" s="24">
        <f t="shared" si="149"/>
        <v>1.434931948834016</v>
      </c>
    </row>
    <row r="3155" spans="1:9" x14ac:dyDescent="0.3">
      <c r="A3155">
        <v>48.027800000002301</v>
      </c>
      <c r="B3155">
        <v>92.384600000000006</v>
      </c>
      <c r="C3155">
        <f t="shared" si="147"/>
        <v>91.592320000000001</v>
      </c>
      <c r="D3155">
        <v>0.71666153846153846</v>
      </c>
      <c r="E3155">
        <f t="shared" si="148"/>
        <v>4.5173474253703212</v>
      </c>
      <c r="I3155" s="24">
        <f t="shared" si="149"/>
        <v>1.4412195103385834</v>
      </c>
    </row>
    <row r="3156" spans="1:9" x14ac:dyDescent="0.3">
      <c r="A3156">
        <v>48.043030000002304</v>
      </c>
      <c r="B3156">
        <v>92.115399999999994</v>
      </c>
      <c r="C3156">
        <f t="shared" si="147"/>
        <v>91.23078000000001</v>
      </c>
      <c r="D3156">
        <v>0.71632307692307695</v>
      </c>
      <c r="E3156">
        <f t="shared" si="148"/>
        <v>4.5133923401399718</v>
      </c>
      <c r="I3156" s="24">
        <f t="shared" si="149"/>
        <v>1.4343651215447812</v>
      </c>
    </row>
    <row r="3157" spans="1:9" x14ac:dyDescent="0.3">
      <c r="A3157">
        <v>48.058260000002306</v>
      </c>
      <c r="B3157">
        <v>91.038499999999999</v>
      </c>
      <c r="C3157">
        <f t="shared" si="147"/>
        <v>90.27691999999999</v>
      </c>
      <c r="D3157">
        <v>0.71598461538461544</v>
      </c>
      <c r="E3157">
        <f t="shared" si="148"/>
        <v>4.5028818352840716</v>
      </c>
      <c r="I3157" s="24">
        <f t="shared" si="149"/>
        <v>1.4151996556982021</v>
      </c>
    </row>
    <row r="3158" spans="1:9" x14ac:dyDescent="0.3">
      <c r="A3158">
        <v>48.073490000002309</v>
      </c>
      <c r="B3158">
        <v>88.884600000000006</v>
      </c>
      <c r="C3158">
        <f t="shared" si="147"/>
        <v>88.8</v>
      </c>
      <c r="D3158">
        <v>0.71564615384615382</v>
      </c>
      <c r="E3158">
        <f t="shared" si="148"/>
        <v>4.4863866499981242</v>
      </c>
      <c r="I3158" s="24">
        <f t="shared" si="149"/>
        <v>1.3852638579914909</v>
      </c>
    </row>
    <row r="3159" spans="1:9" x14ac:dyDescent="0.3">
      <c r="A3159">
        <v>48.088720000002311</v>
      </c>
      <c r="B3159">
        <v>86.961500000000001</v>
      </c>
      <c r="C3159">
        <f t="shared" si="147"/>
        <v>87.015379999999993</v>
      </c>
      <c r="D3159">
        <v>0.71530769230769242</v>
      </c>
      <c r="E3159">
        <f t="shared" si="148"/>
        <v>4.4660848846397521</v>
      </c>
      <c r="I3159" s="24">
        <f t="shared" si="149"/>
        <v>1.3491407538490852</v>
      </c>
    </row>
    <row r="3160" spans="1:9" x14ac:dyDescent="0.3">
      <c r="A3160">
        <v>48.103950000002314</v>
      </c>
      <c r="B3160">
        <v>85</v>
      </c>
      <c r="C3160">
        <f t="shared" si="147"/>
        <v>85.284599999999998</v>
      </c>
      <c r="D3160">
        <v>0.7149692307692308</v>
      </c>
      <c r="E3160">
        <f t="shared" si="148"/>
        <v>4.4459938989253036</v>
      </c>
      <c r="I3160" s="24">
        <f t="shared" si="149"/>
        <v>1.3143268776296724</v>
      </c>
    </row>
    <row r="3161" spans="1:9" x14ac:dyDescent="0.3">
      <c r="A3161">
        <v>48.119180000002316</v>
      </c>
      <c r="B3161">
        <v>83.192300000000003</v>
      </c>
      <c r="C3161">
        <f t="shared" si="147"/>
        <v>84.053840000000008</v>
      </c>
      <c r="D3161">
        <v>0.71463076923076918</v>
      </c>
      <c r="E3161">
        <f t="shared" si="148"/>
        <v>4.4314575459020187</v>
      </c>
      <c r="I3161" s="24">
        <f t="shared" si="149"/>
        <v>1.2898686599507558</v>
      </c>
    </row>
    <row r="3162" spans="1:9" x14ac:dyDescent="0.3">
      <c r="A3162">
        <v>48.134410000002319</v>
      </c>
      <c r="B3162">
        <v>82.384600000000006</v>
      </c>
      <c r="C3162">
        <f t="shared" si="147"/>
        <v>83.23078000000001</v>
      </c>
      <c r="D3162">
        <v>0.71429230769230778</v>
      </c>
      <c r="E3162">
        <f t="shared" si="148"/>
        <v>4.4216172313349</v>
      </c>
      <c r="I3162" s="24">
        <f t="shared" si="149"/>
        <v>1.2737657620628433</v>
      </c>
    </row>
    <row r="3163" spans="1:9" x14ac:dyDescent="0.3">
      <c r="A3163">
        <v>48.149640000002321</v>
      </c>
      <c r="B3163">
        <v>82.730800000000002</v>
      </c>
      <c r="C3163">
        <f t="shared" si="147"/>
        <v>82.776939999999996</v>
      </c>
      <c r="D3163">
        <v>0.71395384615384616</v>
      </c>
      <c r="E3163">
        <f t="shared" si="148"/>
        <v>4.4161495201867549</v>
      </c>
      <c r="I3163" s="24">
        <f t="shared" si="149"/>
        <v>1.2651719102305388</v>
      </c>
    </row>
    <row r="3164" spans="1:9" x14ac:dyDescent="0.3">
      <c r="A3164">
        <v>48.164870000002324</v>
      </c>
      <c r="B3164">
        <v>82.846199999999996</v>
      </c>
      <c r="C3164">
        <f t="shared" si="147"/>
        <v>82.530780000000007</v>
      </c>
      <c r="D3164">
        <v>0.71361538461538465</v>
      </c>
      <c r="E3164">
        <f t="shared" si="148"/>
        <v>4.4131713146686193</v>
      </c>
      <c r="I3164" s="24">
        <f t="shared" si="149"/>
        <v>1.2607876724460625</v>
      </c>
    </row>
    <row r="3165" spans="1:9" x14ac:dyDescent="0.3">
      <c r="A3165">
        <v>48.180100000002327</v>
      </c>
      <c r="B3165">
        <v>82.730800000000002</v>
      </c>
      <c r="C3165">
        <f t="shared" si="147"/>
        <v>82.407700000000006</v>
      </c>
      <c r="D3165">
        <v>0.71327692307692314</v>
      </c>
      <c r="E3165">
        <f t="shared" si="148"/>
        <v>4.4116788791515065</v>
      </c>
      <c r="I3165" s="24">
        <f t="shared" si="149"/>
        <v>1.2588944154251895</v>
      </c>
    </row>
    <row r="3166" spans="1:9" x14ac:dyDescent="0.3">
      <c r="A3166">
        <v>48.195330000002329</v>
      </c>
      <c r="B3166">
        <v>81.961500000000001</v>
      </c>
      <c r="C3166">
        <f t="shared" si="147"/>
        <v>82.22308000000001</v>
      </c>
      <c r="D3166">
        <v>0.71293846153846163</v>
      </c>
      <c r="E3166">
        <f t="shared" si="148"/>
        <v>4.4094360412400109</v>
      </c>
      <c r="I3166" s="24">
        <f t="shared" si="149"/>
        <v>1.255755275828043</v>
      </c>
    </row>
    <row r="3167" spans="1:9" x14ac:dyDescent="0.3">
      <c r="A3167">
        <v>48.210560000002332</v>
      </c>
      <c r="B3167">
        <v>81.769199999999998</v>
      </c>
      <c r="C3167">
        <f t="shared" si="147"/>
        <v>82.192300000000003</v>
      </c>
      <c r="D3167">
        <v>0.71260000000000001</v>
      </c>
      <c r="E3167">
        <f t="shared" si="148"/>
        <v>4.4090616237085172</v>
      </c>
      <c r="I3167" s="24">
        <f t="shared" si="149"/>
        <v>1.2557286867087374</v>
      </c>
    </row>
    <row r="3168" spans="1:9" x14ac:dyDescent="0.3">
      <c r="A3168">
        <v>48.225790000002334</v>
      </c>
      <c r="B3168">
        <v>81.807699999999997</v>
      </c>
      <c r="C3168">
        <f t="shared" si="147"/>
        <v>82.138440000000003</v>
      </c>
      <c r="D3168">
        <v>0.7122615384615385</v>
      </c>
      <c r="E3168">
        <f t="shared" si="148"/>
        <v>4.4084061163831247</v>
      </c>
      <c r="I3168" s="24">
        <f t="shared" si="149"/>
        <v>1.2552348602902397</v>
      </c>
    </row>
    <row r="3169" spans="1:9" x14ac:dyDescent="0.3">
      <c r="A3169">
        <v>48.241020000002337</v>
      </c>
      <c r="B3169">
        <v>82.692300000000003</v>
      </c>
      <c r="C3169">
        <f t="shared" si="147"/>
        <v>82.123060000000009</v>
      </c>
      <c r="D3169">
        <v>0.71192307692307699</v>
      </c>
      <c r="E3169">
        <f t="shared" si="148"/>
        <v>4.4082188539991218</v>
      </c>
      <c r="I3169" s="24">
        <f t="shared" si="149"/>
        <v>1.2555201078019473</v>
      </c>
    </row>
    <row r="3170" spans="1:9" x14ac:dyDescent="0.3">
      <c r="A3170">
        <v>48.256250000002339</v>
      </c>
      <c r="B3170">
        <v>82.461500000000001</v>
      </c>
      <c r="C3170">
        <f t="shared" si="147"/>
        <v>82.130759999999995</v>
      </c>
      <c r="D3170">
        <v>0.71158461538461537</v>
      </c>
      <c r="E3170">
        <f t="shared" si="148"/>
        <v>4.4083126113315929</v>
      </c>
      <c r="I3170" s="24">
        <f t="shared" si="149"/>
        <v>1.2562733211009112</v>
      </c>
    </row>
    <row r="3171" spans="1:9" x14ac:dyDescent="0.3">
      <c r="A3171">
        <v>48.271480000002342</v>
      </c>
      <c r="B3171">
        <v>81.884600000000006</v>
      </c>
      <c r="C3171">
        <f t="shared" si="147"/>
        <v>82.31537999999999</v>
      </c>
      <c r="D3171">
        <v>0.71124615384615386</v>
      </c>
      <c r="E3171">
        <f t="shared" si="148"/>
        <v>4.4105579675018909</v>
      </c>
      <c r="I3171" s="24">
        <f t="shared" si="149"/>
        <v>1.2606154606589954</v>
      </c>
    </row>
    <row r="3172" spans="1:9" x14ac:dyDescent="0.3">
      <c r="A3172">
        <v>48.286710000002344</v>
      </c>
      <c r="B3172">
        <v>81.807699999999997</v>
      </c>
      <c r="C3172">
        <f t="shared" si="147"/>
        <v>82.646159999999995</v>
      </c>
      <c r="D3172">
        <v>0.71090769230769235</v>
      </c>
      <c r="E3172">
        <f t="shared" si="148"/>
        <v>4.4145683622076524</v>
      </c>
      <c r="I3172" s="24">
        <f t="shared" si="149"/>
        <v>1.2679342709524895</v>
      </c>
    </row>
    <row r="3173" spans="1:9" x14ac:dyDescent="0.3">
      <c r="A3173">
        <v>48.301940000002347</v>
      </c>
      <c r="B3173">
        <v>82.730800000000002</v>
      </c>
      <c r="C3173">
        <f t="shared" si="147"/>
        <v>83.407700000000006</v>
      </c>
      <c r="D3173">
        <v>0.71056923076923084</v>
      </c>
      <c r="E3173">
        <f t="shared" si="148"/>
        <v>4.4237406312419942</v>
      </c>
      <c r="I3173" s="24">
        <f t="shared" si="149"/>
        <v>1.2840467971733287</v>
      </c>
    </row>
    <row r="3174" spans="1:9" x14ac:dyDescent="0.3">
      <c r="A3174">
        <v>48.317170000002349</v>
      </c>
      <c r="B3174">
        <v>84.346199999999996</v>
      </c>
      <c r="C3174">
        <f t="shared" si="147"/>
        <v>84.676940000000002</v>
      </c>
      <c r="D3174">
        <v>0.71023076923076922</v>
      </c>
      <c r="E3174">
        <f t="shared" si="148"/>
        <v>4.4388433095721735</v>
      </c>
      <c r="I3174" s="24">
        <f t="shared" si="149"/>
        <v>1.3106210610057236</v>
      </c>
    </row>
    <row r="3175" spans="1:9" x14ac:dyDescent="0.3">
      <c r="A3175">
        <v>48.332400000002352</v>
      </c>
      <c r="B3175">
        <v>86.269199999999998</v>
      </c>
      <c r="C3175">
        <f t="shared" si="147"/>
        <v>86.430779999999999</v>
      </c>
      <c r="D3175">
        <v>0.70989230769230771</v>
      </c>
      <c r="E3175">
        <f t="shared" si="148"/>
        <v>4.4593438623680459</v>
      </c>
      <c r="I3175" s="24">
        <f t="shared" si="149"/>
        <v>1.3473462467162145</v>
      </c>
    </row>
    <row r="3176" spans="1:9" x14ac:dyDescent="0.3">
      <c r="A3176">
        <v>48.347630000002354</v>
      </c>
      <c r="B3176">
        <v>88.230800000000002</v>
      </c>
      <c r="C3176">
        <f t="shared" si="147"/>
        <v>88.4</v>
      </c>
      <c r="D3176">
        <v>0.7095538461538462</v>
      </c>
      <c r="E3176">
        <f t="shared" si="148"/>
        <v>4.4818719696435982</v>
      </c>
      <c r="I3176" s="24">
        <f t="shared" si="149"/>
        <v>1.3888263578239795</v>
      </c>
    </row>
    <row r="3177" spans="1:9" x14ac:dyDescent="0.3">
      <c r="A3177">
        <v>48.362860000002357</v>
      </c>
      <c r="B3177">
        <v>90.576899999999995</v>
      </c>
      <c r="C3177">
        <f t="shared" si="147"/>
        <v>90.369220000000013</v>
      </c>
      <c r="D3177">
        <v>0.70921538461538458</v>
      </c>
      <c r="E3177">
        <f t="shared" si="148"/>
        <v>4.5039037226937007</v>
      </c>
      <c r="I3177" s="24">
        <f t="shared" si="149"/>
        <v>1.4306427659656373</v>
      </c>
    </row>
    <row r="3178" spans="1:9" x14ac:dyDescent="0.3">
      <c r="A3178">
        <v>48.378090000002359</v>
      </c>
      <c r="B3178">
        <v>92.576899999999995</v>
      </c>
      <c r="C3178">
        <f t="shared" si="147"/>
        <v>92.253839999999997</v>
      </c>
      <c r="D3178">
        <v>0.70887692307692318</v>
      </c>
      <c r="E3178">
        <f t="shared" si="148"/>
        <v>4.5245439080705578</v>
      </c>
      <c r="I3178" s="24">
        <f t="shared" si="149"/>
        <v>1.4710041976985282</v>
      </c>
    </row>
    <row r="3179" spans="1:9" x14ac:dyDescent="0.3">
      <c r="A3179">
        <v>48.393320000002362</v>
      </c>
      <c r="B3179">
        <v>94.192300000000003</v>
      </c>
      <c r="C3179">
        <f t="shared" si="147"/>
        <v>93.9846</v>
      </c>
      <c r="D3179">
        <v>0.70853846153846156</v>
      </c>
      <c r="E3179">
        <f t="shared" si="148"/>
        <v>4.5431309390612045</v>
      </c>
      <c r="I3179" s="24">
        <f t="shared" si="149"/>
        <v>1.5083962036138148</v>
      </c>
    </row>
    <row r="3180" spans="1:9" x14ac:dyDescent="0.3">
      <c r="A3180">
        <v>48.408550000002364</v>
      </c>
      <c r="B3180">
        <v>95.692300000000003</v>
      </c>
      <c r="C3180">
        <f t="shared" si="147"/>
        <v>95.284599999999998</v>
      </c>
      <c r="D3180">
        <v>0.70820000000000005</v>
      </c>
      <c r="E3180">
        <f t="shared" si="148"/>
        <v>4.5568682026390093</v>
      </c>
      <c r="I3180" s="24">
        <f t="shared" si="149"/>
        <v>1.5368331456504065</v>
      </c>
    </row>
    <row r="3181" spans="1:9" x14ac:dyDescent="0.3">
      <c r="A3181">
        <v>48.423780000002367</v>
      </c>
      <c r="B3181">
        <v>96.884600000000006</v>
      </c>
      <c r="C3181">
        <f t="shared" si="147"/>
        <v>95.938459999999992</v>
      </c>
      <c r="D3181">
        <v>0.70786153846153854</v>
      </c>
      <c r="E3181">
        <f t="shared" si="148"/>
        <v>4.5637069442461096</v>
      </c>
      <c r="I3181" s="24">
        <f t="shared" si="149"/>
        <v>1.5515615840353096</v>
      </c>
    </row>
    <row r="3182" spans="1:9" x14ac:dyDescent="0.3">
      <c r="A3182">
        <v>48.439010000002369</v>
      </c>
      <c r="B3182">
        <v>97.076899999999995</v>
      </c>
      <c r="C3182">
        <f t="shared" si="147"/>
        <v>95.792300000000012</v>
      </c>
      <c r="D3182">
        <v>0.70752307692307692</v>
      </c>
      <c r="E3182">
        <f t="shared" si="148"/>
        <v>4.5621823059636277</v>
      </c>
      <c r="I3182" s="24">
        <f t="shared" si="149"/>
        <v>1.5491715705276266</v>
      </c>
    </row>
    <row r="3183" spans="1:9" x14ac:dyDescent="0.3">
      <c r="A3183">
        <v>48.454240000002372</v>
      </c>
      <c r="B3183">
        <v>95.846199999999996</v>
      </c>
      <c r="C3183">
        <f t="shared" si="147"/>
        <v>94.823080000000004</v>
      </c>
      <c r="D3183">
        <v>0.70718461538461541</v>
      </c>
      <c r="E3183">
        <f t="shared" si="148"/>
        <v>4.5520128395450321</v>
      </c>
      <c r="I3183" s="24">
        <f t="shared" si="149"/>
        <v>1.5291718250456179</v>
      </c>
    </row>
    <row r="3184" spans="1:9" x14ac:dyDescent="0.3">
      <c r="A3184">
        <v>48.469470000002374</v>
      </c>
      <c r="B3184">
        <v>93.461500000000001</v>
      </c>
      <c r="C3184">
        <f t="shared" si="147"/>
        <v>93.130780000000001</v>
      </c>
      <c r="D3184">
        <v>0.7068461538461539</v>
      </c>
      <c r="E3184">
        <f t="shared" si="148"/>
        <v>4.5340047418877338</v>
      </c>
      <c r="I3184" s="24">
        <f t="shared" si="149"/>
        <v>1.4938368675885185</v>
      </c>
    </row>
    <row r="3185" spans="1:9" x14ac:dyDescent="0.3">
      <c r="A3185">
        <v>48.484700000002377</v>
      </c>
      <c r="B3185">
        <v>90.846199999999996</v>
      </c>
      <c r="C3185">
        <f t="shared" si="147"/>
        <v>91.030780000000007</v>
      </c>
      <c r="D3185">
        <v>0.70650769230769239</v>
      </c>
      <c r="E3185">
        <f t="shared" si="148"/>
        <v>4.5111976910842442</v>
      </c>
      <c r="I3185" s="24">
        <f t="shared" si="149"/>
        <v>1.4500703263705486</v>
      </c>
    </row>
    <row r="3186" spans="1:9" x14ac:dyDescent="0.3">
      <c r="A3186">
        <v>48.499930000002379</v>
      </c>
      <c r="B3186">
        <v>88.423100000000005</v>
      </c>
      <c r="C3186">
        <f t="shared" si="147"/>
        <v>88.876920000000013</v>
      </c>
      <c r="D3186">
        <v>0.70616923076923077</v>
      </c>
      <c r="E3186">
        <f t="shared" si="148"/>
        <v>4.4872524912655827</v>
      </c>
      <c r="I3186" s="24">
        <f t="shared" si="149"/>
        <v>1.4054655961473461</v>
      </c>
    </row>
    <row r="3187" spans="1:9" x14ac:dyDescent="0.3">
      <c r="A3187">
        <v>48.515160000002382</v>
      </c>
      <c r="B3187">
        <v>86.576899999999995</v>
      </c>
      <c r="C3187">
        <f t="shared" si="147"/>
        <v>86.992319999999992</v>
      </c>
      <c r="D3187">
        <v>0.70583076923076926</v>
      </c>
      <c r="E3187">
        <f t="shared" si="148"/>
        <v>4.4658198388959711</v>
      </c>
      <c r="I3187" s="24">
        <f t="shared" si="149"/>
        <v>1.3667751534655412</v>
      </c>
    </row>
    <row r="3188" spans="1:9" x14ac:dyDescent="0.3">
      <c r="A3188">
        <v>48.530390000002384</v>
      </c>
      <c r="B3188">
        <v>85.076899999999995</v>
      </c>
      <c r="C3188">
        <f t="shared" si="147"/>
        <v>85.530780000000007</v>
      </c>
      <c r="D3188">
        <v>0.70549230769230775</v>
      </c>
      <c r="E3188">
        <f t="shared" si="148"/>
        <v>4.4488763111582621</v>
      </c>
      <c r="I3188" s="24">
        <f t="shared" si="149"/>
        <v>1.3370783719404362</v>
      </c>
    </row>
    <row r="3189" spans="1:9" x14ac:dyDescent="0.3">
      <c r="A3189">
        <v>48.545620000002387</v>
      </c>
      <c r="B3189">
        <v>84.038499999999999</v>
      </c>
      <c r="C3189">
        <f t="shared" si="147"/>
        <v>84.407700000000006</v>
      </c>
      <c r="D3189">
        <v>0.70515384615384624</v>
      </c>
      <c r="E3189">
        <f t="shared" si="148"/>
        <v>4.4356586296679934</v>
      </c>
      <c r="I3189" s="24">
        <f t="shared" si="149"/>
        <v>1.3144995161636028</v>
      </c>
    </row>
    <row r="3190" spans="1:9" x14ac:dyDescent="0.3">
      <c r="A3190">
        <v>48.560850000002389</v>
      </c>
      <c r="B3190">
        <v>83.538499999999999</v>
      </c>
      <c r="C3190">
        <f t="shared" si="147"/>
        <v>83.5154</v>
      </c>
      <c r="D3190">
        <v>0.70481538461538462</v>
      </c>
      <c r="E3190">
        <f t="shared" si="148"/>
        <v>4.4250310459892033</v>
      </c>
      <c r="I3190" s="24">
        <f t="shared" si="149"/>
        <v>1.2967442136277068</v>
      </c>
    </row>
    <row r="3191" spans="1:9" x14ac:dyDescent="0.3">
      <c r="A3191">
        <v>48.576080000002392</v>
      </c>
      <c r="B3191">
        <v>82.807699999999997</v>
      </c>
      <c r="C3191">
        <f t="shared" si="147"/>
        <v>82.869259999999997</v>
      </c>
      <c r="D3191">
        <v>0.70447692307692311</v>
      </c>
      <c r="E3191">
        <f t="shared" si="148"/>
        <v>4.4172641851722343</v>
      </c>
      <c r="I3191" s="24">
        <f t="shared" si="149"/>
        <v>1.2840863620855376</v>
      </c>
    </row>
    <row r="3192" spans="1:9" x14ac:dyDescent="0.3">
      <c r="A3192">
        <v>48.591310000002395</v>
      </c>
      <c r="B3192">
        <v>82.115399999999994</v>
      </c>
      <c r="C3192">
        <f t="shared" si="147"/>
        <v>82.300019999999989</v>
      </c>
      <c r="D3192">
        <v>0.7041384615384616</v>
      </c>
      <c r="E3192">
        <f t="shared" si="148"/>
        <v>4.4103713506963604</v>
      </c>
      <c r="I3192" s="24">
        <f t="shared" si="149"/>
        <v>1.2730255566399835</v>
      </c>
    </row>
    <row r="3193" spans="1:9" x14ac:dyDescent="0.3">
      <c r="A3193">
        <v>48.606540000002397</v>
      </c>
      <c r="B3193">
        <v>81.846199999999996</v>
      </c>
      <c r="C3193">
        <f t="shared" si="147"/>
        <v>81.569239999999994</v>
      </c>
      <c r="D3193">
        <v>0.70379999999999998</v>
      </c>
      <c r="E3193">
        <f t="shared" si="148"/>
        <v>4.4014522301181707</v>
      </c>
      <c r="I3193" s="24">
        <f t="shared" si="149"/>
        <v>1.2586769562902982</v>
      </c>
    </row>
    <row r="3194" spans="1:9" x14ac:dyDescent="0.3">
      <c r="A3194">
        <v>48.6217700000024</v>
      </c>
      <c r="B3194">
        <v>81.192300000000003</v>
      </c>
      <c r="C3194">
        <f t="shared" ref="C3194:C3251" si="150">AVERAGE(B3192:B3196)</f>
        <v>80.830780000000004</v>
      </c>
      <c r="D3194">
        <v>0.70346153846153858</v>
      </c>
      <c r="E3194">
        <f t="shared" ref="E3194:E3251" si="151">LN(C3194)</f>
        <v>4.3923578335816629</v>
      </c>
      <c r="I3194" s="24">
        <f t="shared" ref="I3194:I3251" si="152">(0.0026*(EXP(1.3248*E3194)))/D3194</f>
        <v>1.2442014264689156</v>
      </c>
    </row>
    <row r="3195" spans="1:9" x14ac:dyDescent="0.3">
      <c r="A3195">
        <v>48.637000000002402</v>
      </c>
      <c r="B3195">
        <v>79.884600000000006</v>
      </c>
      <c r="C3195">
        <f t="shared" si="150"/>
        <v>80.207700000000003</v>
      </c>
      <c r="D3195">
        <v>0.70312307692307696</v>
      </c>
      <c r="E3195">
        <f t="shared" si="151"/>
        <v>4.3846195202388687</v>
      </c>
      <c r="I3195" s="24">
        <f t="shared" si="152"/>
        <v>1.2321041946239411</v>
      </c>
    </row>
    <row r="3196" spans="1:9" x14ac:dyDescent="0.3">
      <c r="A3196">
        <v>48.652230000002405</v>
      </c>
      <c r="B3196">
        <v>79.115399999999994</v>
      </c>
      <c r="C3196">
        <f t="shared" si="150"/>
        <v>79.769220000000004</v>
      </c>
      <c r="D3196">
        <v>0.70278461538461545</v>
      </c>
      <c r="E3196">
        <f t="shared" si="151"/>
        <v>4.3791377157631599</v>
      </c>
      <c r="I3196" s="24">
        <f t="shared" si="152"/>
        <v>1.2237777921610764</v>
      </c>
    </row>
    <row r="3197" spans="1:9" x14ac:dyDescent="0.3">
      <c r="A3197">
        <v>48.667460000002407</v>
      </c>
      <c r="B3197">
        <v>79</v>
      </c>
      <c r="C3197">
        <f t="shared" si="150"/>
        <v>79.623059999999995</v>
      </c>
      <c r="D3197">
        <v>0.70244615384615394</v>
      </c>
      <c r="E3197">
        <f t="shared" si="151"/>
        <v>4.377303749388294</v>
      </c>
      <c r="I3197" s="24">
        <f t="shared" si="152"/>
        <v>1.2213962887442151</v>
      </c>
    </row>
    <row r="3198" spans="1:9" x14ac:dyDescent="0.3">
      <c r="A3198">
        <v>48.68269000000241</v>
      </c>
      <c r="B3198">
        <v>79.653800000000004</v>
      </c>
      <c r="C3198">
        <f t="shared" si="150"/>
        <v>79.661519999999996</v>
      </c>
      <c r="D3198">
        <v>0.70210769230769232</v>
      </c>
      <c r="E3198">
        <f t="shared" si="151"/>
        <v>4.3777866586661087</v>
      </c>
      <c r="I3198" s="24">
        <f t="shared" si="152"/>
        <v>1.2227671062518113</v>
      </c>
    </row>
    <row r="3199" spans="1:9" x14ac:dyDescent="0.3">
      <c r="A3199">
        <v>48.697920000002412</v>
      </c>
      <c r="B3199">
        <v>80.461500000000001</v>
      </c>
      <c r="C3199">
        <f t="shared" si="150"/>
        <v>79.799979999999991</v>
      </c>
      <c r="D3199">
        <v>0.70176923076923081</v>
      </c>
      <c r="E3199">
        <f t="shared" si="151"/>
        <v>4.3795232538291655</v>
      </c>
      <c r="I3199" s="24">
        <f t="shared" si="152"/>
        <v>1.2261745890707274</v>
      </c>
    </row>
    <row r="3200" spans="1:9" x14ac:dyDescent="0.3">
      <c r="A3200">
        <v>48.713150000002415</v>
      </c>
      <c r="B3200">
        <v>80.076899999999995</v>
      </c>
      <c r="C3200">
        <f t="shared" si="150"/>
        <v>79.823059999999984</v>
      </c>
      <c r="D3200">
        <v>0.7014307692307693</v>
      </c>
      <c r="E3200">
        <f t="shared" si="151"/>
        <v>4.3798124351423491</v>
      </c>
      <c r="I3200" s="24">
        <f t="shared" si="152"/>
        <v>1.2272363286299002</v>
      </c>
    </row>
    <row r="3201" spans="1:9" x14ac:dyDescent="0.3">
      <c r="A3201">
        <v>48.728380000002417</v>
      </c>
      <c r="B3201">
        <v>79.807699999999997</v>
      </c>
      <c r="C3201">
        <f t="shared" si="150"/>
        <v>79.5</v>
      </c>
      <c r="D3201">
        <v>0.70109230769230779</v>
      </c>
      <c r="E3201">
        <f t="shared" si="151"/>
        <v>4.3757570216602861</v>
      </c>
      <c r="I3201" s="24">
        <f t="shared" si="152"/>
        <v>1.2212498346000573</v>
      </c>
    </row>
    <row r="3202" spans="1:9" x14ac:dyDescent="0.3">
      <c r="A3202">
        <v>48.74361000000242</v>
      </c>
      <c r="B3202">
        <v>79.115399999999994</v>
      </c>
      <c r="C3202">
        <f t="shared" si="150"/>
        <v>78.599999999999994</v>
      </c>
      <c r="D3202">
        <v>0.70075384615384617</v>
      </c>
      <c r="E3202">
        <f t="shared" si="151"/>
        <v>4.3643716994351607</v>
      </c>
      <c r="I3202" s="24">
        <f t="shared" si="152"/>
        <v>1.2035486410895082</v>
      </c>
    </row>
    <row r="3203" spans="1:9" x14ac:dyDescent="0.3">
      <c r="A3203">
        <v>48.758840000002422</v>
      </c>
      <c r="B3203">
        <v>78.038499999999999</v>
      </c>
      <c r="C3203">
        <f t="shared" si="150"/>
        <v>77.307699999999997</v>
      </c>
      <c r="D3203">
        <v>0.70041538461538466</v>
      </c>
      <c r="E3203">
        <f t="shared" si="151"/>
        <v>4.3477935625341217</v>
      </c>
      <c r="I3203" s="24">
        <f t="shared" si="152"/>
        <v>1.1779725597549522</v>
      </c>
    </row>
    <row r="3204" spans="1:9" x14ac:dyDescent="0.3">
      <c r="A3204">
        <v>48.774070000002425</v>
      </c>
      <c r="B3204">
        <v>75.961500000000001</v>
      </c>
      <c r="C3204">
        <f t="shared" si="150"/>
        <v>75.5077</v>
      </c>
      <c r="D3204">
        <v>0.70007692307692315</v>
      </c>
      <c r="E3204">
        <f t="shared" si="151"/>
        <v>4.3242346378096501</v>
      </c>
      <c r="I3204" s="24">
        <f t="shared" si="152"/>
        <v>1.1423268447356223</v>
      </c>
    </row>
    <row r="3205" spans="1:9" x14ac:dyDescent="0.3">
      <c r="A3205">
        <v>48.789300000002427</v>
      </c>
      <c r="B3205">
        <v>73.615399999999994</v>
      </c>
      <c r="C3205">
        <f t="shared" si="150"/>
        <v>73.215379999999996</v>
      </c>
      <c r="D3205">
        <v>0.69973846153846153</v>
      </c>
      <c r="E3205">
        <f t="shared" si="151"/>
        <v>4.2934055081870177</v>
      </c>
      <c r="I3205" s="24">
        <f t="shared" si="152"/>
        <v>1.0971417877749952</v>
      </c>
    </row>
    <row r="3206" spans="1:9" x14ac:dyDescent="0.3">
      <c r="A3206">
        <v>48.80453000000243</v>
      </c>
      <c r="B3206">
        <v>70.807699999999997</v>
      </c>
      <c r="C3206">
        <f t="shared" si="150"/>
        <v>70.4923</v>
      </c>
      <c r="D3206">
        <v>0.69940000000000002</v>
      </c>
      <c r="E3206">
        <f t="shared" si="151"/>
        <v>4.2555034839951436</v>
      </c>
      <c r="I3206" s="24">
        <f t="shared" si="152"/>
        <v>1.043916636310481</v>
      </c>
    </row>
    <row r="3207" spans="1:9" x14ac:dyDescent="0.3">
      <c r="A3207">
        <v>48.819760000002432</v>
      </c>
      <c r="B3207">
        <v>67.653800000000004</v>
      </c>
      <c r="C3207">
        <f t="shared" si="150"/>
        <v>67.384619999999998</v>
      </c>
      <c r="D3207">
        <v>0.69906153846153851</v>
      </c>
      <c r="E3207">
        <f t="shared" si="151"/>
        <v>4.2104168019680026</v>
      </c>
      <c r="I3207" s="24">
        <f t="shared" si="152"/>
        <v>0.98386444364772774</v>
      </c>
    </row>
    <row r="3208" spans="1:9" x14ac:dyDescent="0.3">
      <c r="A3208">
        <v>48.834990000002435</v>
      </c>
      <c r="B3208">
        <v>64.423100000000005</v>
      </c>
      <c r="C3208">
        <f t="shared" si="150"/>
        <v>64.015380000000007</v>
      </c>
      <c r="D3208">
        <v>0.698723076923077</v>
      </c>
      <c r="E3208">
        <f t="shared" si="151"/>
        <v>4.159123366989248</v>
      </c>
      <c r="I3208" s="24">
        <f t="shared" si="152"/>
        <v>0.91967363929620694</v>
      </c>
    </row>
    <row r="3209" spans="1:9" x14ac:dyDescent="0.3">
      <c r="A3209">
        <v>48.850220000002437</v>
      </c>
      <c r="B3209">
        <v>60.423099999999998</v>
      </c>
      <c r="C3209">
        <f t="shared" si="150"/>
        <v>60.476920000000007</v>
      </c>
      <c r="D3209">
        <v>0.69838461538461538</v>
      </c>
      <c r="E3209">
        <f t="shared" si="151"/>
        <v>4.1022618046485828</v>
      </c>
      <c r="I3209" s="24">
        <f t="shared" si="152"/>
        <v>0.85335290739658831</v>
      </c>
    </row>
    <row r="3210" spans="1:9" x14ac:dyDescent="0.3">
      <c r="A3210">
        <v>48.86545000000244</v>
      </c>
      <c r="B3210">
        <v>56.769199999999998</v>
      </c>
      <c r="C3210">
        <f t="shared" si="150"/>
        <v>56.815399999999997</v>
      </c>
      <c r="D3210">
        <v>0.69804615384615398</v>
      </c>
      <c r="E3210">
        <f t="shared" si="151"/>
        <v>4.0398074157394506</v>
      </c>
      <c r="I3210" s="24">
        <f t="shared" si="152"/>
        <v>0.78596979647642229</v>
      </c>
    </row>
    <row r="3211" spans="1:9" x14ac:dyDescent="0.3">
      <c r="A3211">
        <v>48.880680000002442</v>
      </c>
      <c r="B3211">
        <v>53.115400000000001</v>
      </c>
      <c r="C3211">
        <f t="shared" si="150"/>
        <v>52.992319999999992</v>
      </c>
      <c r="D3211">
        <v>0.69770769230769236</v>
      </c>
      <c r="E3211">
        <f t="shared" si="151"/>
        <v>3.9701469973919048</v>
      </c>
      <c r="I3211" s="24">
        <f t="shared" si="152"/>
        <v>0.71702967683801755</v>
      </c>
    </row>
    <row r="3212" spans="1:9" x14ac:dyDescent="0.3">
      <c r="A3212">
        <v>48.895910000002445</v>
      </c>
      <c r="B3212">
        <v>49.346200000000003</v>
      </c>
      <c r="C3212">
        <f t="shared" si="150"/>
        <v>49.107700000000001</v>
      </c>
      <c r="D3212">
        <v>0.69736923076923074</v>
      </c>
      <c r="E3212">
        <f t="shared" si="151"/>
        <v>3.8940158453156539</v>
      </c>
      <c r="I3212" s="24">
        <f t="shared" si="152"/>
        <v>0.64855311353178968</v>
      </c>
    </row>
    <row r="3213" spans="1:9" x14ac:dyDescent="0.3">
      <c r="A3213">
        <v>48.911140000002447</v>
      </c>
      <c r="B3213">
        <v>45.307699999999997</v>
      </c>
      <c r="C3213">
        <f t="shared" si="150"/>
        <v>45.06156</v>
      </c>
      <c r="D3213">
        <v>0.69703076923076934</v>
      </c>
      <c r="E3213">
        <f t="shared" si="151"/>
        <v>3.8080295549108145</v>
      </c>
      <c r="I3213" s="24">
        <f t="shared" si="152"/>
        <v>0.5790070903375506</v>
      </c>
    </row>
    <row r="3214" spans="1:9" x14ac:dyDescent="0.3">
      <c r="A3214">
        <v>48.92637000000245</v>
      </c>
      <c r="B3214">
        <v>41</v>
      </c>
      <c r="C3214">
        <f t="shared" si="150"/>
        <v>40.846179999999997</v>
      </c>
      <c r="D3214">
        <v>0.69669230769230772</v>
      </c>
      <c r="E3214">
        <f t="shared" si="151"/>
        <v>3.7098133040815151</v>
      </c>
      <c r="I3214" s="24">
        <f t="shared" si="152"/>
        <v>0.50861102420519877</v>
      </c>
    </row>
    <row r="3215" spans="1:9" x14ac:dyDescent="0.3">
      <c r="A3215">
        <v>48.941600000002452</v>
      </c>
      <c r="B3215">
        <v>36.538499999999999</v>
      </c>
      <c r="C3215">
        <f t="shared" si="150"/>
        <v>36.546180000000007</v>
      </c>
      <c r="D3215">
        <v>0.69635384615384621</v>
      </c>
      <c r="E3215">
        <f t="shared" si="151"/>
        <v>3.5985766663698957</v>
      </c>
      <c r="I3215" s="24">
        <f t="shared" si="152"/>
        <v>0.43913336551675458</v>
      </c>
    </row>
    <row r="3216" spans="1:9" x14ac:dyDescent="0.3">
      <c r="A3216">
        <v>48.956830000002455</v>
      </c>
      <c r="B3216">
        <v>32.038499999999999</v>
      </c>
      <c r="C3216">
        <f t="shared" si="150"/>
        <v>32.553880000000007</v>
      </c>
      <c r="D3216">
        <v>0.6960153846153847</v>
      </c>
      <c r="E3216">
        <f t="shared" si="151"/>
        <v>3.4828965627795552</v>
      </c>
      <c r="I3216" s="24">
        <f t="shared" si="152"/>
        <v>0.37692126744040932</v>
      </c>
    </row>
    <row r="3217" spans="1:9" x14ac:dyDescent="0.3">
      <c r="A3217">
        <v>48.972060000002458</v>
      </c>
      <c r="B3217">
        <v>27.8462</v>
      </c>
      <c r="C3217">
        <f t="shared" si="150"/>
        <v>29.030799999999999</v>
      </c>
      <c r="D3217">
        <v>0.69567692307692319</v>
      </c>
      <c r="E3217">
        <f t="shared" si="151"/>
        <v>3.3683573353557641</v>
      </c>
      <c r="I3217" s="24">
        <f t="shared" si="152"/>
        <v>0.32401219705196738</v>
      </c>
    </row>
    <row r="3218" spans="1:9" x14ac:dyDescent="0.3">
      <c r="A3218">
        <v>48.98729000000246</v>
      </c>
      <c r="B3218">
        <v>25.3462</v>
      </c>
      <c r="C3218">
        <f t="shared" si="150"/>
        <v>26.061559999999997</v>
      </c>
      <c r="D3218">
        <v>0.69533846153846157</v>
      </c>
      <c r="E3218">
        <f t="shared" si="151"/>
        <v>3.2604614317623017</v>
      </c>
      <c r="I3218" s="24">
        <f t="shared" si="152"/>
        <v>0.2809923112241336</v>
      </c>
    </row>
    <row r="3219" spans="1:9" x14ac:dyDescent="0.3">
      <c r="A3219">
        <v>49.002520000002463</v>
      </c>
      <c r="B3219">
        <v>23.384599999999999</v>
      </c>
      <c r="C3219">
        <f t="shared" si="150"/>
        <v>23.75386</v>
      </c>
      <c r="D3219">
        <v>0.69500000000000006</v>
      </c>
      <c r="E3219">
        <f t="shared" si="151"/>
        <v>3.167745043590469</v>
      </c>
      <c r="I3219" s="24">
        <f t="shared" si="152"/>
        <v>0.24863439199156318</v>
      </c>
    </row>
    <row r="3220" spans="1:9" x14ac:dyDescent="0.3">
      <c r="A3220">
        <v>49.017750000002465</v>
      </c>
      <c r="B3220">
        <v>21.692299999999999</v>
      </c>
      <c r="C3220">
        <f t="shared" si="150"/>
        <v>22.061540000000001</v>
      </c>
      <c r="D3220">
        <v>0.69500000000000006</v>
      </c>
      <c r="E3220">
        <f t="shared" si="151"/>
        <v>3.0938358209989332</v>
      </c>
      <c r="I3220" s="24">
        <f t="shared" si="152"/>
        <v>0.22544327475480863</v>
      </c>
    </row>
    <row r="3221" spans="1:9" x14ac:dyDescent="0.3">
      <c r="A3221">
        <v>49.032980000002468</v>
      </c>
      <c r="B3221">
        <v>20.5</v>
      </c>
      <c r="C3221">
        <f t="shared" si="150"/>
        <v>20.6846</v>
      </c>
      <c r="D3221">
        <v>0.69500000000000006</v>
      </c>
      <c r="E3221">
        <f t="shared" si="151"/>
        <v>3.0293894620420869</v>
      </c>
      <c r="I3221" s="24">
        <f t="shared" si="152"/>
        <v>0.20699404769558435</v>
      </c>
    </row>
    <row r="3222" spans="1:9" x14ac:dyDescent="0.3">
      <c r="A3222">
        <v>49.04821000000247</v>
      </c>
      <c r="B3222">
        <v>19.384599999999999</v>
      </c>
      <c r="C3222">
        <f t="shared" si="150"/>
        <v>19.507680000000001</v>
      </c>
      <c r="D3222">
        <v>0.69500000000000006</v>
      </c>
      <c r="E3222">
        <f t="shared" si="151"/>
        <v>2.9708082341865087</v>
      </c>
      <c r="I3222" s="24">
        <f t="shared" si="152"/>
        <v>0.19153711983498006</v>
      </c>
    </row>
    <row r="3223" spans="1:9" x14ac:dyDescent="0.3">
      <c r="A3223">
        <v>49.063440000002473</v>
      </c>
      <c r="B3223">
        <v>18.461500000000001</v>
      </c>
      <c r="C3223">
        <f t="shared" si="150"/>
        <v>18.438459999999999</v>
      </c>
      <c r="D3223">
        <v>0.69500000000000006</v>
      </c>
      <c r="E3223">
        <f t="shared" si="151"/>
        <v>2.9144387005411678</v>
      </c>
      <c r="I3223" s="24">
        <f t="shared" si="152"/>
        <v>0.17775447939881098</v>
      </c>
    </row>
    <row r="3224" spans="1:9" x14ac:dyDescent="0.3">
      <c r="A3224">
        <v>49.078670000002475</v>
      </c>
      <c r="B3224">
        <v>17.5</v>
      </c>
      <c r="C3224">
        <f t="shared" si="150"/>
        <v>17.384620000000002</v>
      </c>
      <c r="D3224">
        <v>0.69500000000000006</v>
      </c>
      <c r="E3224">
        <f t="shared" si="151"/>
        <v>2.8555859072974399</v>
      </c>
      <c r="I3224" s="24">
        <f t="shared" si="152"/>
        <v>0.16442180184071495</v>
      </c>
    </row>
    <row r="3225" spans="1:9" x14ac:dyDescent="0.3">
      <c r="A3225">
        <v>49.093900000002478</v>
      </c>
      <c r="B3225">
        <v>16.3462</v>
      </c>
      <c r="C3225">
        <f t="shared" si="150"/>
        <v>16.346160000000001</v>
      </c>
      <c r="D3225">
        <v>0.69500000000000006</v>
      </c>
      <c r="E3225">
        <f t="shared" si="151"/>
        <v>2.793993007373452</v>
      </c>
      <c r="I3225" s="24">
        <f t="shared" si="152"/>
        <v>0.15153806001399248</v>
      </c>
    </row>
    <row r="3226" spans="1:9" x14ac:dyDescent="0.3">
      <c r="A3226">
        <v>49.10913000000248</v>
      </c>
      <c r="B3226">
        <v>15.2308</v>
      </c>
      <c r="C3226">
        <f t="shared" si="150"/>
        <v>15.330780000000001</v>
      </c>
      <c r="D3226">
        <v>0.69500000000000006</v>
      </c>
      <c r="E3226">
        <f t="shared" si="151"/>
        <v>2.7298625722155707</v>
      </c>
      <c r="I3226" s="24">
        <f t="shared" si="152"/>
        <v>0.13919513730215519</v>
      </c>
    </row>
    <row r="3227" spans="1:9" x14ac:dyDescent="0.3">
      <c r="A3227">
        <v>49.124360000002483</v>
      </c>
      <c r="B3227">
        <v>14.192299999999999</v>
      </c>
      <c r="C3227">
        <f t="shared" si="150"/>
        <v>14.384620000000002</v>
      </c>
      <c r="D3227">
        <v>0.69500000000000006</v>
      </c>
      <c r="E3227">
        <f t="shared" si="151"/>
        <v>2.6661595802486135</v>
      </c>
      <c r="I3227" s="24">
        <f t="shared" si="152"/>
        <v>0.12792998094216704</v>
      </c>
    </row>
    <row r="3228" spans="1:9" x14ac:dyDescent="0.3">
      <c r="A3228">
        <v>49.139590000002485</v>
      </c>
      <c r="B3228">
        <v>13.384600000000001</v>
      </c>
      <c r="C3228">
        <f t="shared" si="150"/>
        <v>13.538459999999997</v>
      </c>
      <c r="D3228">
        <v>0.69500000000000006</v>
      </c>
      <c r="E3228">
        <f t="shared" si="151"/>
        <v>2.6055345239402445</v>
      </c>
      <c r="I3228" s="24">
        <f t="shared" si="152"/>
        <v>0.1180569359044162</v>
      </c>
    </row>
    <row r="3229" spans="1:9" x14ac:dyDescent="0.3">
      <c r="A3229">
        <v>49.154820000002488</v>
      </c>
      <c r="B3229">
        <v>12.7692</v>
      </c>
      <c r="C3229">
        <f t="shared" si="150"/>
        <v>12.70768</v>
      </c>
      <c r="D3229">
        <v>0.69500000000000006</v>
      </c>
      <c r="E3229">
        <f t="shared" si="151"/>
        <v>2.5422065351018697</v>
      </c>
      <c r="I3229" s="24">
        <f t="shared" si="152"/>
        <v>0.10855642633105107</v>
      </c>
    </row>
    <row r="3230" spans="1:9" x14ac:dyDescent="0.3">
      <c r="A3230">
        <v>49.17005000000249</v>
      </c>
      <c r="B3230">
        <v>12.115399999999999</v>
      </c>
      <c r="C3230">
        <f t="shared" si="150"/>
        <v>11.761520000000001</v>
      </c>
      <c r="D3230">
        <v>0.69500000000000006</v>
      </c>
      <c r="E3230">
        <f t="shared" si="151"/>
        <v>2.4648331858188799</v>
      </c>
      <c r="I3230" s="24">
        <f t="shared" si="152"/>
        <v>9.798024561727775E-2</v>
      </c>
    </row>
    <row r="3231" spans="1:9" x14ac:dyDescent="0.3">
      <c r="A3231">
        <v>49.185280000002493</v>
      </c>
      <c r="B3231">
        <v>11.0769</v>
      </c>
      <c r="C3231">
        <f t="shared" si="150"/>
        <v>10.476900000000001</v>
      </c>
      <c r="D3231">
        <v>0.69500000000000006</v>
      </c>
      <c r="E3231">
        <f t="shared" si="151"/>
        <v>2.3491728336082778</v>
      </c>
      <c r="I3231" s="24">
        <f t="shared" si="152"/>
        <v>8.4060690877861791E-2</v>
      </c>
    </row>
    <row r="3232" spans="1:9" x14ac:dyDescent="0.3">
      <c r="A3232">
        <v>49.200510000002495</v>
      </c>
      <c r="B3232">
        <v>9.4614999999999991</v>
      </c>
      <c r="C3232">
        <f t="shared" si="150"/>
        <v>8.9076799999999992</v>
      </c>
      <c r="D3232">
        <v>0.69500000000000006</v>
      </c>
      <c r="E3232">
        <f t="shared" si="151"/>
        <v>2.1869138259838299</v>
      </c>
      <c r="I3232" s="24">
        <f t="shared" si="152"/>
        <v>6.7801092955779935E-2</v>
      </c>
    </row>
    <row r="3233" spans="1:9" x14ac:dyDescent="0.3">
      <c r="A3233">
        <v>49.215740000002498</v>
      </c>
      <c r="B3233">
        <v>6.9615</v>
      </c>
      <c r="C3233">
        <f t="shared" si="150"/>
        <v>7.2230600000000011</v>
      </c>
      <c r="D3233">
        <v>0.69500000000000006</v>
      </c>
      <c r="E3233">
        <f t="shared" si="151"/>
        <v>1.9772786858319382</v>
      </c>
      <c r="I3233" s="24">
        <f t="shared" si="152"/>
        <v>5.1359692973571437E-2</v>
      </c>
    </row>
    <row r="3234" spans="1:9" x14ac:dyDescent="0.3">
      <c r="A3234">
        <v>49.2309700000025</v>
      </c>
      <c r="B3234">
        <v>4.9230999999999998</v>
      </c>
      <c r="C3234">
        <f t="shared" si="150"/>
        <v>5.5538399999999992</v>
      </c>
      <c r="D3234">
        <v>0.69500000000000006</v>
      </c>
      <c r="E3234">
        <f t="shared" si="151"/>
        <v>1.7144895804033888</v>
      </c>
      <c r="I3234" s="24">
        <f t="shared" si="152"/>
        <v>3.6259835714887147E-2</v>
      </c>
    </row>
    <row r="3235" spans="1:9" x14ac:dyDescent="0.3">
      <c r="A3235">
        <v>49.246200000002503</v>
      </c>
      <c r="B3235">
        <v>3.6922999999999999</v>
      </c>
      <c r="C3235">
        <f t="shared" si="150"/>
        <v>4.0769199999999994</v>
      </c>
      <c r="D3235">
        <v>0.69500000000000006</v>
      </c>
      <c r="E3235">
        <f t="shared" si="151"/>
        <v>1.405341801373319</v>
      </c>
      <c r="I3235" s="24">
        <f t="shared" si="152"/>
        <v>2.4074464077685702E-2</v>
      </c>
    </row>
    <row r="3236" spans="1:9" x14ac:dyDescent="0.3">
      <c r="A3236">
        <v>49.261430000002505</v>
      </c>
      <c r="B3236">
        <v>2.7307999999999999</v>
      </c>
      <c r="C3236">
        <f t="shared" si="150"/>
        <v>3.0076999999999998</v>
      </c>
      <c r="D3236">
        <v>0.69500000000000006</v>
      </c>
      <c r="E3236">
        <f t="shared" si="151"/>
        <v>1.1011756670712698</v>
      </c>
      <c r="I3236" s="24">
        <f t="shared" si="152"/>
        <v>1.6089910558778602E-2</v>
      </c>
    </row>
    <row r="3237" spans="1:9" x14ac:dyDescent="0.3">
      <c r="A3237">
        <v>49.276660000002508</v>
      </c>
      <c r="B3237">
        <v>2.0769000000000002</v>
      </c>
      <c r="C3237">
        <f t="shared" si="150"/>
        <v>2.2615399999999997</v>
      </c>
      <c r="D3237">
        <v>0.69500000000000006</v>
      </c>
      <c r="E3237">
        <f t="shared" si="151"/>
        <v>0.8160459971549765</v>
      </c>
      <c r="I3237" s="24">
        <f t="shared" si="152"/>
        <v>1.1028166770141351E-2</v>
      </c>
    </row>
    <row r="3238" spans="1:9" x14ac:dyDescent="0.3">
      <c r="A3238">
        <v>49.29189000000251</v>
      </c>
      <c r="B3238">
        <v>1.6153999999999999</v>
      </c>
      <c r="C3238">
        <f t="shared" si="150"/>
        <v>1.6846200000000002</v>
      </c>
      <c r="D3238">
        <v>0.69500000000000006</v>
      </c>
      <c r="E3238">
        <f t="shared" si="151"/>
        <v>0.52154001908319292</v>
      </c>
      <c r="I3238" s="24">
        <f t="shared" si="152"/>
        <v>7.4654902033414444E-3</v>
      </c>
    </row>
    <row r="3239" spans="1:9" x14ac:dyDescent="0.3">
      <c r="A3239">
        <v>49.307120000002513</v>
      </c>
      <c r="B3239">
        <v>1.1922999999999999</v>
      </c>
      <c r="C3239">
        <f t="shared" si="150"/>
        <v>1.2153800000000001</v>
      </c>
      <c r="D3239">
        <v>0.69500000000000006</v>
      </c>
      <c r="E3239">
        <f t="shared" si="151"/>
        <v>0.19505678509581967</v>
      </c>
      <c r="I3239" s="24">
        <f t="shared" si="152"/>
        <v>4.8441224658552244E-3</v>
      </c>
    </row>
    <row r="3240" spans="1:9" x14ac:dyDescent="0.3">
      <c r="A3240">
        <v>49.322350000002515</v>
      </c>
      <c r="B3240">
        <v>0.80769999999999997</v>
      </c>
      <c r="C3240">
        <f t="shared" si="150"/>
        <v>0.82307999999999981</v>
      </c>
      <c r="D3240">
        <v>0.69500000000000006</v>
      </c>
      <c r="E3240">
        <f t="shared" si="151"/>
        <v>-0.19470187768290695</v>
      </c>
      <c r="I3240" s="24">
        <f t="shared" si="152"/>
        <v>2.8904547159031096E-3</v>
      </c>
    </row>
    <row r="3241" spans="1:9" x14ac:dyDescent="0.3">
      <c r="A3241">
        <v>49.337580000002518</v>
      </c>
      <c r="B3241">
        <v>0.3846</v>
      </c>
      <c r="C3241">
        <f t="shared" si="150"/>
        <v>0.51538000000000006</v>
      </c>
      <c r="D3241">
        <v>0.69500000000000006</v>
      </c>
      <c r="E3241">
        <f t="shared" si="151"/>
        <v>-0.66285078632859507</v>
      </c>
      <c r="I3241" s="24">
        <f t="shared" si="152"/>
        <v>1.5545873749933648E-3</v>
      </c>
    </row>
    <row r="3242" spans="1:9" x14ac:dyDescent="0.3">
      <c r="A3242">
        <v>49.35281000000252</v>
      </c>
      <c r="B3242">
        <v>0.1154</v>
      </c>
      <c r="C3242">
        <f t="shared" si="150"/>
        <v>0.29229999999999995</v>
      </c>
      <c r="D3242">
        <v>0.69500000000000006</v>
      </c>
      <c r="E3242">
        <f t="shared" si="151"/>
        <v>-1.2299746068649369</v>
      </c>
      <c r="I3242" s="24">
        <f t="shared" si="152"/>
        <v>7.3336226212481306E-4</v>
      </c>
    </row>
    <row r="3243" spans="1:9" x14ac:dyDescent="0.3">
      <c r="A3243">
        <v>49.368040000002523</v>
      </c>
      <c r="B3243">
        <v>7.6899999999999996E-2</v>
      </c>
      <c r="C3243">
        <f t="shared" si="150"/>
        <v>0.14613999999999999</v>
      </c>
      <c r="D3243">
        <v>0.69500000000000006</v>
      </c>
      <c r="E3243">
        <f t="shared" si="151"/>
        <v>-1.9231902126190654</v>
      </c>
      <c r="I3243" s="24">
        <f t="shared" si="152"/>
        <v>2.9273500024647631E-4</v>
      </c>
    </row>
    <row r="3244" spans="1:9" x14ac:dyDescent="0.3">
      <c r="A3244">
        <v>49.383270000002526</v>
      </c>
      <c r="B3244">
        <v>7.6899999999999996E-2</v>
      </c>
      <c r="C3244">
        <f t="shared" si="150"/>
        <v>8.4599999999999981E-2</v>
      </c>
      <c r="D3244">
        <v>0.69500000000000006</v>
      </c>
      <c r="E3244">
        <f t="shared" si="151"/>
        <v>-2.4698210123699598</v>
      </c>
      <c r="I3244" s="24">
        <f t="shared" si="152"/>
        <v>1.4189555804231259E-4</v>
      </c>
    </row>
    <row r="3245" spans="1:9" x14ac:dyDescent="0.3">
      <c r="A3245">
        <v>49.398500000002528</v>
      </c>
      <c r="B3245">
        <v>7.6899999999999996E-2</v>
      </c>
      <c r="C3245">
        <f t="shared" si="150"/>
        <v>7.6899999999999996E-2</v>
      </c>
      <c r="D3245">
        <v>0.69500000000000006</v>
      </c>
      <c r="E3245">
        <f t="shared" si="151"/>
        <v>-2.5652494024705388</v>
      </c>
      <c r="I3245" s="24">
        <f t="shared" si="152"/>
        <v>1.2504425930014943E-4</v>
      </c>
    </row>
    <row r="3246" spans="1:9" x14ac:dyDescent="0.3">
      <c r="A3246">
        <v>49.413730000002531</v>
      </c>
      <c r="B3246">
        <v>7.6899999999999996E-2</v>
      </c>
      <c r="C3246">
        <f t="shared" si="150"/>
        <v>7.6899999999999996E-2</v>
      </c>
      <c r="D3246">
        <v>0.69500000000000006</v>
      </c>
      <c r="E3246">
        <f t="shared" si="151"/>
        <v>-2.5652494024705388</v>
      </c>
      <c r="I3246" s="24">
        <f t="shared" si="152"/>
        <v>1.2504425930014943E-4</v>
      </c>
    </row>
    <row r="3247" spans="1:9" x14ac:dyDescent="0.3">
      <c r="A3247">
        <v>49.428960000002533</v>
      </c>
      <c r="B3247">
        <v>7.6899999999999996E-2</v>
      </c>
      <c r="C3247">
        <f t="shared" si="150"/>
        <v>7.6899999999999996E-2</v>
      </c>
      <c r="D3247">
        <v>0.69500000000000006</v>
      </c>
      <c r="E3247">
        <f t="shared" si="151"/>
        <v>-2.5652494024705388</v>
      </c>
      <c r="I3247" s="24">
        <f t="shared" si="152"/>
        <v>1.2504425930014943E-4</v>
      </c>
    </row>
    <row r="3248" spans="1:9" x14ac:dyDescent="0.3">
      <c r="A3248">
        <v>49.444190000002536</v>
      </c>
      <c r="B3248">
        <v>7.6899999999999996E-2</v>
      </c>
      <c r="C3248">
        <f t="shared" si="150"/>
        <v>7.6899999999999996E-2</v>
      </c>
      <c r="D3248">
        <v>0.69500000000000006</v>
      </c>
      <c r="E3248">
        <f t="shared" si="151"/>
        <v>-2.5652494024705388</v>
      </c>
      <c r="I3248" s="24">
        <f t="shared" si="152"/>
        <v>1.2504425930014943E-4</v>
      </c>
    </row>
    <row r="3249" spans="1:9" x14ac:dyDescent="0.3">
      <c r="A3249">
        <v>49.459420000002538</v>
      </c>
      <c r="B3249">
        <v>7.6899999999999996E-2</v>
      </c>
      <c r="C3249">
        <f t="shared" si="150"/>
        <v>7.6899999999999996E-2</v>
      </c>
      <c r="D3249">
        <v>0.69500000000000006</v>
      </c>
      <c r="E3249">
        <f t="shared" si="151"/>
        <v>-2.5652494024705388</v>
      </c>
      <c r="I3249" s="24">
        <f t="shared" si="152"/>
        <v>1.2504425930014943E-4</v>
      </c>
    </row>
    <row r="3250" spans="1:9" x14ac:dyDescent="0.3">
      <c r="A3250">
        <v>49.474650000002541</v>
      </c>
      <c r="B3250">
        <v>7.6899999999999996E-2</v>
      </c>
      <c r="C3250">
        <f t="shared" si="150"/>
        <v>7.6899999999999996E-2</v>
      </c>
      <c r="D3250">
        <v>0.69500000000000006</v>
      </c>
      <c r="E3250">
        <f t="shared" si="151"/>
        <v>-2.5652494024705388</v>
      </c>
      <c r="I3250" s="24">
        <f t="shared" si="152"/>
        <v>1.2504425930014943E-4</v>
      </c>
    </row>
    <row r="3251" spans="1:9" x14ac:dyDescent="0.3">
      <c r="A3251">
        <v>49.489880000002543</v>
      </c>
      <c r="B3251">
        <v>7.6899999999999996E-2</v>
      </c>
      <c r="C3251">
        <f t="shared" si="150"/>
        <v>7.6899999999999996E-2</v>
      </c>
      <c r="D3251">
        <v>0.69500000000000006</v>
      </c>
      <c r="E3251">
        <f t="shared" si="151"/>
        <v>-2.5652494024705388</v>
      </c>
      <c r="I3251" s="24">
        <f t="shared" si="152"/>
        <v>1.2504425930014943E-4</v>
      </c>
    </row>
  </sheetData>
  <autoFilter ref="A121:R3251" xr:uid="{72125300-550E-457E-B276-F3726E8EEFBD}">
    <sortState xmlns:xlrd2="http://schemas.microsoft.com/office/spreadsheetml/2017/richdata2" ref="A122:R3251">
      <sortCondition ref="A121:A3251"/>
    </sortState>
  </autoFilter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53"/>
  <sheetViews>
    <sheetView zoomScale="70" zoomScaleNormal="70" workbookViewId="0">
      <selection activeCell="T3" sqref="T3:V36"/>
    </sheetView>
  </sheetViews>
  <sheetFormatPr baseColWidth="10" defaultColWidth="11.44140625" defaultRowHeight="14.4" x14ac:dyDescent="0.3"/>
  <cols>
    <col min="2" max="2" width="14" customWidth="1"/>
    <col min="3" max="3" width="13.44140625" customWidth="1"/>
    <col min="4" max="4" width="16.88671875" customWidth="1"/>
    <col min="5" max="5" width="12.5546875" customWidth="1"/>
    <col min="6" max="6" width="10.109375" customWidth="1"/>
    <col min="7" max="7" width="7.88671875" customWidth="1"/>
    <col min="8" max="8" width="7.44140625" customWidth="1"/>
    <col min="9" max="9" width="7.33203125" customWidth="1"/>
    <col min="10" max="10" width="8.44140625" customWidth="1"/>
    <col min="11" max="11" width="7.109375" customWidth="1"/>
    <col min="20" max="20" width="10" customWidth="1"/>
    <col min="21" max="21" width="11" customWidth="1"/>
    <col min="22" max="22" width="9.88671875" customWidth="1"/>
    <col min="24" max="24" width="8.44140625" customWidth="1"/>
    <col min="25" max="25" width="10.33203125" customWidth="1"/>
    <col min="26" max="26" width="10" customWidth="1"/>
    <col min="27" max="27" width="9.109375" customWidth="1"/>
    <col min="33" max="33" width="12.44140625" customWidth="1"/>
  </cols>
  <sheetData>
    <row r="1" spans="1:33" ht="30" customHeight="1" x14ac:dyDescent="0.3">
      <c r="A1" s="10" t="s">
        <v>36</v>
      </c>
      <c r="E1" s="35"/>
      <c r="F1" s="35"/>
      <c r="G1" s="35"/>
      <c r="H1" s="35"/>
      <c r="I1" s="35"/>
      <c r="J1" s="35"/>
      <c r="K1" s="35"/>
      <c r="S1" s="10" t="s">
        <v>68</v>
      </c>
      <c r="T1" t="s">
        <v>70</v>
      </c>
      <c r="Y1" t="s">
        <v>71</v>
      </c>
      <c r="AD1" s="10"/>
    </row>
    <row r="2" spans="1:33" ht="33" customHeight="1" x14ac:dyDescent="0.3">
      <c r="A2" s="21" t="s">
        <v>28</v>
      </c>
      <c r="B2" s="21" t="s">
        <v>30</v>
      </c>
      <c r="C2" s="21" t="s">
        <v>29</v>
      </c>
      <c r="D2" s="21" t="s">
        <v>31</v>
      </c>
      <c r="E2" s="35"/>
      <c r="F2" s="12"/>
      <c r="G2" s="12"/>
      <c r="H2" s="12"/>
      <c r="I2" s="12"/>
      <c r="J2" s="12"/>
      <c r="K2" s="12"/>
      <c r="S2" s="21" t="s">
        <v>28</v>
      </c>
      <c r="T2" s="21" t="s">
        <v>30</v>
      </c>
      <c r="U2" s="21" t="s">
        <v>29</v>
      </c>
      <c r="V2" s="21" t="s">
        <v>31</v>
      </c>
      <c r="X2" s="4" t="s">
        <v>28</v>
      </c>
      <c r="Y2" s="4" t="s">
        <v>30</v>
      </c>
      <c r="Z2" s="4" t="s">
        <v>29</v>
      </c>
      <c r="AA2" s="4" t="s">
        <v>31</v>
      </c>
      <c r="AD2" s="11"/>
      <c r="AE2" s="12"/>
      <c r="AF2" s="12"/>
      <c r="AG2" s="12"/>
    </row>
    <row r="3" spans="1:33" x14ac:dyDescent="0.3">
      <c r="A3">
        <v>2015</v>
      </c>
      <c r="B3" s="33">
        <v>0.68516075480084349</v>
      </c>
      <c r="C3" s="33">
        <v>1.4472000000000003</v>
      </c>
      <c r="D3" s="33">
        <v>0.99156464434778091</v>
      </c>
      <c r="E3" s="4"/>
      <c r="F3" s="13">
        <v>2015</v>
      </c>
      <c r="G3">
        <v>0.64979044857552282</v>
      </c>
      <c r="H3" s="3">
        <v>1.5996000000000001</v>
      </c>
      <c r="I3">
        <v>1.0394048015414064</v>
      </c>
      <c r="J3" s="13"/>
      <c r="K3" s="13"/>
      <c r="S3">
        <v>2015</v>
      </c>
      <c r="T3" s="31">
        <v>0.68516075480084349</v>
      </c>
      <c r="U3" s="31">
        <v>1.4472000000000003</v>
      </c>
      <c r="V3" s="31">
        <v>0.99156464434778091</v>
      </c>
      <c r="X3">
        <v>2015</v>
      </c>
      <c r="Y3" s="31">
        <v>0.41375667475411337</v>
      </c>
      <c r="Z3" s="31">
        <v>1.8519000000000001</v>
      </c>
      <c r="AA3" s="31">
        <v>0.7662359859771426</v>
      </c>
    </row>
    <row r="4" spans="1:33" x14ac:dyDescent="0.3">
      <c r="A4">
        <v>2014</v>
      </c>
      <c r="B4" s="33">
        <v>0.64420237085499898</v>
      </c>
      <c r="C4" s="33">
        <v>1.6300000000000003</v>
      </c>
      <c r="D4" s="33">
        <v>1.0500498644936485</v>
      </c>
      <c r="E4" s="14"/>
      <c r="F4" s="15">
        <v>2014</v>
      </c>
      <c r="G4">
        <v>0.62513630804321074</v>
      </c>
      <c r="H4" s="3">
        <v>1.5691999999999999</v>
      </c>
      <c r="I4">
        <v>0.9809638945814062</v>
      </c>
      <c r="J4" s="15"/>
      <c r="K4" s="15"/>
      <c r="S4">
        <v>2014</v>
      </c>
      <c r="T4" s="31">
        <v>0.64420237085499898</v>
      </c>
      <c r="U4" s="31">
        <v>1.6300000000000003</v>
      </c>
      <c r="V4" s="31">
        <v>1.0500498644936485</v>
      </c>
      <c r="X4">
        <v>2014</v>
      </c>
      <c r="Y4" s="31">
        <v>0.41972960334231096</v>
      </c>
      <c r="Z4" s="31">
        <v>1.5741000000000001</v>
      </c>
      <c r="AA4" s="31">
        <v>0.66069636862113168</v>
      </c>
    </row>
    <row r="5" spans="1:33" x14ac:dyDescent="0.3">
      <c r="A5">
        <v>2013</v>
      </c>
      <c r="B5" s="33">
        <v>0.61752516082970488</v>
      </c>
      <c r="C5" s="33">
        <v>1.63</v>
      </c>
      <c r="D5" s="33">
        <v>1.0065660121524189</v>
      </c>
      <c r="E5" s="4"/>
      <c r="F5" s="13">
        <v>2013</v>
      </c>
      <c r="G5">
        <v>0.61275541932470423</v>
      </c>
      <c r="H5" s="3">
        <v>1.9347000000000003</v>
      </c>
      <c r="I5">
        <v>1.1854979097675056</v>
      </c>
      <c r="J5" s="13"/>
      <c r="K5" s="13"/>
      <c r="S5">
        <v>2013</v>
      </c>
      <c r="T5" s="31">
        <v>0.61752516082970488</v>
      </c>
      <c r="U5" s="31">
        <v>1.63</v>
      </c>
      <c r="V5" s="31">
        <v>1.0065660121524189</v>
      </c>
      <c r="X5">
        <v>2013</v>
      </c>
      <c r="Y5" s="31">
        <v>0.37647562622888664</v>
      </c>
      <c r="Z5" s="31">
        <v>1.9629000000000003</v>
      </c>
      <c r="AA5" s="31">
        <v>0.73898400672468167</v>
      </c>
    </row>
    <row r="6" spans="1:33" x14ac:dyDescent="0.3">
      <c r="A6">
        <v>2012</v>
      </c>
      <c r="B6" s="33">
        <v>0.61419012154780461</v>
      </c>
      <c r="C6" s="33">
        <v>1.9499999999999993</v>
      </c>
      <c r="D6" s="33">
        <v>1.1976707370182185</v>
      </c>
      <c r="F6">
        <v>2012</v>
      </c>
      <c r="G6">
        <v>0.59563138733725873</v>
      </c>
      <c r="H6" s="3">
        <v>1.5386999999999995</v>
      </c>
      <c r="I6">
        <v>0.91649801569583977</v>
      </c>
      <c r="S6">
        <v>2012</v>
      </c>
      <c r="T6" s="31">
        <v>0.61419012154780461</v>
      </c>
      <c r="U6" s="31">
        <v>1.9499999999999993</v>
      </c>
      <c r="V6" s="31">
        <v>1.1976707370182185</v>
      </c>
      <c r="X6">
        <v>2012</v>
      </c>
      <c r="Y6" s="31">
        <v>0.31552183562034619</v>
      </c>
      <c r="Z6" s="31">
        <v>1.4444999999999997</v>
      </c>
      <c r="AA6" s="31">
        <v>0.45577129155358997</v>
      </c>
    </row>
    <row r="7" spans="1:33" x14ac:dyDescent="0.3">
      <c r="A7">
        <v>2011</v>
      </c>
      <c r="B7" s="33">
        <v>0.4988369422880844</v>
      </c>
      <c r="C7" s="33">
        <v>1.3711000000000002</v>
      </c>
      <c r="D7" s="33">
        <v>0.68395533157119259</v>
      </c>
      <c r="F7">
        <v>2011</v>
      </c>
      <c r="G7">
        <v>0.5290843887016391</v>
      </c>
      <c r="H7" s="3">
        <v>1.5082000000000004</v>
      </c>
      <c r="I7">
        <v>0.79796507503981229</v>
      </c>
      <c r="S7">
        <v>2011</v>
      </c>
      <c r="T7" s="31">
        <v>0.4988369422880844</v>
      </c>
      <c r="U7" s="31">
        <v>1.3711000000000002</v>
      </c>
      <c r="V7" s="31">
        <v>0.68395533157119259</v>
      </c>
      <c r="X7">
        <v>2011</v>
      </c>
      <c r="Y7" s="31">
        <v>0.29768369786326226</v>
      </c>
      <c r="Z7" s="31">
        <v>1.2407000000000004</v>
      </c>
      <c r="AA7" s="31">
        <v>0.36933616393894958</v>
      </c>
    </row>
    <row r="8" spans="1:33" x14ac:dyDescent="0.3">
      <c r="A8">
        <v>2010</v>
      </c>
      <c r="B8" s="33">
        <v>0.63175884013242101</v>
      </c>
      <c r="C8" s="33">
        <v>1.4930000000000003</v>
      </c>
      <c r="D8" s="33">
        <v>0.94321594831770472</v>
      </c>
      <c r="F8">
        <v>2010</v>
      </c>
      <c r="G8">
        <v>0.6380863580050703</v>
      </c>
      <c r="H8" s="3">
        <v>1.3101000000000003</v>
      </c>
      <c r="I8">
        <v>0.83595693762244272</v>
      </c>
      <c r="S8">
        <v>2010</v>
      </c>
      <c r="T8" s="31">
        <v>0.63175884013242101</v>
      </c>
      <c r="U8" s="31">
        <v>1.4930000000000003</v>
      </c>
      <c r="V8" s="31">
        <v>0.94321594831770472</v>
      </c>
      <c r="X8">
        <v>2010</v>
      </c>
      <c r="Y8" s="31">
        <v>0.32389780087924541</v>
      </c>
      <c r="Z8" s="31">
        <v>1.5740999999999996</v>
      </c>
      <c r="AA8" s="31">
        <v>0.50984752836402003</v>
      </c>
    </row>
    <row r="9" spans="1:33" x14ac:dyDescent="0.3">
      <c r="A9">
        <v>2009</v>
      </c>
      <c r="B9" s="33">
        <v>0.56872467451258357</v>
      </c>
      <c r="C9" s="33">
        <v>1.0968999999999998</v>
      </c>
      <c r="D9" s="33">
        <v>0.62383409547285273</v>
      </c>
      <c r="F9">
        <v>2009</v>
      </c>
      <c r="G9">
        <v>0.5773435024661312</v>
      </c>
      <c r="H9" s="3">
        <v>1.2187999999999999</v>
      </c>
      <c r="I9">
        <v>0.70366626080572059</v>
      </c>
      <c r="S9">
        <v>2009</v>
      </c>
      <c r="T9" s="31">
        <v>0.56872467451258357</v>
      </c>
      <c r="U9" s="31">
        <v>1.0968999999999998</v>
      </c>
      <c r="V9" s="31">
        <v>0.62383409547285273</v>
      </c>
      <c r="X9">
        <v>2009</v>
      </c>
      <c r="Y9" s="31">
        <v>0.31922051715254235</v>
      </c>
      <c r="Z9" s="31">
        <v>1.4259000000000004</v>
      </c>
      <c r="AA9" s="31">
        <v>0.45517653540781028</v>
      </c>
    </row>
    <row r="10" spans="1:33" x14ac:dyDescent="0.3">
      <c r="A10">
        <v>2008</v>
      </c>
      <c r="B10" s="33">
        <v>0.66884488872990155</v>
      </c>
      <c r="C10" s="33">
        <v>1.234</v>
      </c>
      <c r="D10" s="33">
        <v>0.82535459269269851</v>
      </c>
      <c r="F10">
        <v>2008</v>
      </c>
      <c r="G10">
        <v>0.68185195176851487</v>
      </c>
      <c r="H10" s="3">
        <v>1.2492000000000001</v>
      </c>
      <c r="I10">
        <v>0.85176945814922889</v>
      </c>
      <c r="S10">
        <v>2008</v>
      </c>
      <c r="T10" s="31">
        <v>0.66884488872990155</v>
      </c>
      <c r="U10" s="31">
        <v>1.234</v>
      </c>
      <c r="V10" s="31">
        <v>0.82535459269269851</v>
      </c>
      <c r="X10">
        <v>2008</v>
      </c>
      <c r="Y10" s="31">
        <v>0.33470409851190769</v>
      </c>
      <c r="Z10" s="31">
        <v>1.4259000000000004</v>
      </c>
      <c r="AA10" s="31">
        <v>0.47725457406812932</v>
      </c>
    </row>
    <row r="11" spans="1:33" x14ac:dyDescent="0.3">
      <c r="A11">
        <v>2007</v>
      </c>
      <c r="B11" s="33">
        <v>0.64346527424406053</v>
      </c>
      <c r="C11" s="33">
        <v>1.4473000000000003</v>
      </c>
      <c r="D11" s="33">
        <v>0.93128729141342892</v>
      </c>
      <c r="F11">
        <v>2007</v>
      </c>
      <c r="G11">
        <v>0.63081641523833587</v>
      </c>
      <c r="H11" s="3">
        <v>1.3101000000000003</v>
      </c>
      <c r="I11">
        <v>0.826432585603744</v>
      </c>
      <c r="S11">
        <v>2007</v>
      </c>
      <c r="T11" s="31">
        <v>0.64346527424406053</v>
      </c>
      <c r="U11" s="31">
        <v>1.4473000000000003</v>
      </c>
      <c r="V11" s="31">
        <v>0.93128729141342892</v>
      </c>
      <c r="X11">
        <v>2007</v>
      </c>
      <c r="Y11" s="31">
        <v>0.31712281038115014</v>
      </c>
      <c r="Z11" s="31">
        <v>1.2407999999999983</v>
      </c>
      <c r="AA11" s="31">
        <v>0.39348598312093058</v>
      </c>
    </row>
    <row r="12" spans="1:33" x14ac:dyDescent="0.3">
      <c r="A12">
        <v>2006</v>
      </c>
      <c r="B12" s="33">
        <v>0.70462818863201526</v>
      </c>
      <c r="C12" s="33">
        <v>0.79219999999999935</v>
      </c>
      <c r="D12" s="33">
        <v>0.55820645103428201</v>
      </c>
      <c r="F12">
        <v>2006</v>
      </c>
      <c r="G12">
        <v>0.76388645214439044</v>
      </c>
      <c r="H12" s="3">
        <v>0.91409999999999947</v>
      </c>
      <c r="I12">
        <v>0.69826860590518691</v>
      </c>
      <c r="S12">
        <v>2006</v>
      </c>
      <c r="T12" s="31">
        <v>0.70462818863201526</v>
      </c>
      <c r="U12" s="31">
        <v>0.79219999999999935</v>
      </c>
      <c r="V12" s="31">
        <v>0.55820645103428201</v>
      </c>
      <c r="X12">
        <v>2006</v>
      </c>
      <c r="Y12" s="31">
        <v>0.47727574184544824</v>
      </c>
      <c r="Z12" s="31">
        <v>1.1295999999999999</v>
      </c>
      <c r="AA12" s="31">
        <v>0.53913067798861836</v>
      </c>
    </row>
    <row r="13" spans="1:33" x14ac:dyDescent="0.3">
      <c r="A13">
        <v>2005</v>
      </c>
      <c r="B13" s="33">
        <v>0.64314227048131334</v>
      </c>
      <c r="C13" s="33">
        <v>2.011000000000001</v>
      </c>
      <c r="D13" s="33">
        <v>1.2933591059379217</v>
      </c>
      <c r="F13">
        <v>2005</v>
      </c>
      <c r="G13">
        <v>0.60994506829858386</v>
      </c>
      <c r="H13" s="3">
        <v>1.904300000000001</v>
      </c>
      <c r="I13">
        <v>1.1615183935609938</v>
      </c>
      <c r="S13">
        <v>2005</v>
      </c>
      <c r="T13" s="31">
        <v>0.64314227048131334</v>
      </c>
      <c r="U13" s="31">
        <v>2.011000000000001</v>
      </c>
      <c r="V13" s="31">
        <v>1.2933591059379217</v>
      </c>
      <c r="X13">
        <v>2005</v>
      </c>
      <c r="Y13" s="31">
        <v>0.34423836810193181</v>
      </c>
      <c r="Z13" s="31">
        <v>1.463000000000001</v>
      </c>
      <c r="AA13" s="31">
        <v>0.50362073253312656</v>
      </c>
    </row>
    <row r="14" spans="1:33" x14ac:dyDescent="0.3">
      <c r="A14">
        <v>2004</v>
      </c>
      <c r="B14" s="33">
        <v>0.61592095412051839</v>
      </c>
      <c r="C14" s="33">
        <v>1.2491999999999983</v>
      </c>
      <c r="D14" s="33">
        <v>0.76940845588735052</v>
      </c>
      <c r="F14">
        <v>2004</v>
      </c>
      <c r="G14">
        <v>0.62928033238475434</v>
      </c>
      <c r="H14" s="3">
        <v>1.1882999999999981</v>
      </c>
      <c r="I14">
        <v>0.74777381897280237</v>
      </c>
      <c r="S14">
        <v>2004</v>
      </c>
      <c r="T14" s="31">
        <v>0.61592095412051839</v>
      </c>
      <c r="U14" s="31">
        <v>1.2491999999999983</v>
      </c>
      <c r="V14" s="31">
        <v>0.76940845588735052</v>
      </c>
      <c r="X14">
        <v>2004</v>
      </c>
      <c r="Y14" s="31">
        <v>0.42125236882128492</v>
      </c>
      <c r="Z14" s="31">
        <v>1.4258999999999986</v>
      </c>
      <c r="AA14" s="31">
        <v>0.60066375270226957</v>
      </c>
    </row>
    <row r="15" spans="1:33" x14ac:dyDescent="0.3">
      <c r="A15">
        <v>2003</v>
      </c>
      <c r="B15" s="33">
        <v>0.63199033945172534</v>
      </c>
      <c r="C15" s="33">
        <v>1.1730000000000018</v>
      </c>
      <c r="D15" s="33">
        <v>0.74132466817687492</v>
      </c>
      <c r="F15">
        <v>2003</v>
      </c>
      <c r="G15">
        <v>0.65005351225051311</v>
      </c>
      <c r="H15" s="3">
        <v>1.5234000000000023</v>
      </c>
      <c r="I15">
        <v>0.99029152056243319</v>
      </c>
      <c r="S15">
        <v>2003</v>
      </c>
      <c r="T15" s="31">
        <v>0.63199033945172534</v>
      </c>
      <c r="U15" s="31">
        <v>1.1730000000000018</v>
      </c>
      <c r="V15" s="31">
        <v>0.74132466817687492</v>
      </c>
      <c r="X15">
        <v>2003</v>
      </c>
      <c r="Y15" s="31">
        <v>0.40402218956126484</v>
      </c>
      <c r="Z15" s="31">
        <v>1.0741000000000014</v>
      </c>
      <c r="AA15" s="31">
        <v>0.43396023380775511</v>
      </c>
    </row>
    <row r="16" spans="1:33" x14ac:dyDescent="0.3">
      <c r="A16">
        <v>2002</v>
      </c>
      <c r="B16" s="33">
        <v>0.67841986217550831</v>
      </c>
      <c r="C16" s="33">
        <v>1.3101999999999983</v>
      </c>
      <c r="D16" s="33">
        <v>0.88886570342234983</v>
      </c>
      <c r="F16">
        <v>2002</v>
      </c>
      <c r="G16">
        <v>0.69101827310522557</v>
      </c>
      <c r="H16" s="3">
        <v>1.0815999999999981</v>
      </c>
      <c r="I16">
        <v>0.74740536419061065</v>
      </c>
      <c r="S16">
        <v>2002</v>
      </c>
      <c r="T16" s="31">
        <v>0.67841986217550831</v>
      </c>
      <c r="U16" s="31">
        <v>1.3101999999999983</v>
      </c>
      <c r="V16" s="31">
        <v>0.88886570342234983</v>
      </c>
      <c r="X16">
        <v>2002</v>
      </c>
      <c r="Y16" s="31">
        <v>0.47814479386536979</v>
      </c>
      <c r="Z16" s="31">
        <v>1.1111000000000004</v>
      </c>
      <c r="AA16" s="31">
        <v>0.53126668046381254</v>
      </c>
    </row>
    <row r="17" spans="1:27" x14ac:dyDescent="0.3">
      <c r="A17">
        <v>2001</v>
      </c>
      <c r="B17" s="33">
        <v>0.68850185521429286</v>
      </c>
      <c r="C17" s="33">
        <v>1.9194999999999993</v>
      </c>
      <c r="D17" s="33">
        <v>1.3215793110838348</v>
      </c>
      <c r="F17">
        <v>2001</v>
      </c>
      <c r="G17">
        <v>0.67135267578610724</v>
      </c>
      <c r="H17" s="3">
        <v>1.8890999999999991</v>
      </c>
      <c r="I17">
        <v>1.2682523398275345</v>
      </c>
      <c r="S17">
        <v>2001</v>
      </c>
      <c r="T17" s="31">
        <v>0.68850185521429286</v>
      </c>
      <c r="U17" s="31">
        <v>1.9194999999999993</v>
      </c>
      <c r="V17" s="31">
        <v>1.3215793110838348</v>
      </c>
      <c r="X17">
        <v>2001</v>
      </c>
      <c r="Y17" s="31">
        <v>0.51216369404405071</v>
      </c>
      <c r="Z17" s="31">
        <v>1.3888999999999996</v>
      </c>
      <c r="AA17" s="31">
        <v>0.71134415465778178</v>
      </c>
    </row>
    <row r="18" spans="1:27" x14ac:dyDescent="0.3">
      <c r="A18">
        <v>2000</v>
      </c>
      <c r="B18" s="33">
        <v>0.62470719277071884</v>
      </c>
      <c r="C18" s="33">
        <v>1.5234000000000023</v>
      </c>
      <c r="D18" s="33">
        <v>0.95167893746691457</v>
      </c>
      <c r="F18">
        <v>2000</v>
      </c>
      <c r="G18">
        <v>0.66200910320756201</v>
      </c>
      <c r="H18" s="3">
        <v>1.7062000000000026</v>
      </c>
      <c r="I18">
        <v>1.129519931892744</v>
      </c>
      <c r="S18">
        <v>2000</v>
      </c>
      <c r="T18" s="31">
        <v>0.62470719277071884</v>
      </c>
      <c r="U18" s="31">
        <v>1.5234000000000023</v>
      </c>
      <c r="V18" s="31">
        <v>0.95167893746691457</v>
      </c>
      <c r="X18">
        <v>2000</v>
      </c>
      <c r="Y18" s="31">
        <v>0.50600677513695391</v>
      </c>
      <c r="Z18" s="31">
        <v>1.7962999999999987</v>
      </c>
      <c r="AA18" s="31">
        <v>0.90893997017850969</v>
      </c>
    </row>
    <row r="19" spans="1:27" x14ac:dyDescent="0.3">
      <c r="A19">
        <v>1999</v>
      </c>
      <c r="B19" s="33">
        <v>0.70055476321953836</v>
      </c>
      <c r="C19" s="33">
        <v>1.7061999999999991</v>
      </c>
      <c r="D19" s="33">
        <v>1.1952865370051757</v>
      </c>
      <c r="F19">
        <v>1999</v>
      </c>
      <c r="G19">
        <v>0.69070074553793115</v>
      </c>
      <c r="H19" s="3">
        <v>1.6148599999999966</v>
      </c>
      <c r="I19">
        <v>1.1153850059393811</v>
      </c>
      <c r="S19">
        <v>1999</v>
      </c>
      <c r="T19" s="31">
        <v>0.70055476321953836</v>
      </c>
      <c r="U19" s="31">
        <v>1.7061999999999991</v>
      </c>
      <c r="V19" s="31">
        <v>1.1952865370051757</v>
      </c>
      <c r="X19">
        <v>1999</v>
      </c>
      <c r="Y19" s="31">
        <v>0.57639853627103521</v>
      </c>
      <c r="Z19" s="31">
        <v>1.2407000000000004</v>
      </c>
      <c r="AA19" s="31">
        <v>0.7151376639514736</v>
      </c>
    </row>
    <row r="20" spans="1:27" x14ac:dyDescent="0.3">
      <c r="A20">
        <v>1998</v>
      </c>
      <c r="B20" s="33">
        <v>0.6600458248145854</v>
      </c>
      <c r="C20" s="33">
        <v>1.4316299999999167</v>
      </c>
      <c r="D20" s="33">
        <v>0.94494140417924988</v>
      </c>
      <c r="F20">
        <v>1998</v>
      </c>
      <c r="G20">
        <v>0.66479200294650287</v>
      </c>
      <c r="H20" s="3">
        <v>1.385929999999906</v>
      </c>
      <c r="I20">
        <v>0.92135518064358424</v>
      </c>
      <c r="S20">
        <v>1998</v>
      </c>
      <c r="T20" s="31">
        <v>0.6600458248145854</v>
      </c>
      <c r="U20" s="31">
        <v>1.4316299999999167</v>
      </c>
      <c r="V20" s="31">
        <v>0.94494140417924988</v>
      </c>
      <c r="X20">
        <v>1998</v>
      </c>
      <c r="Y20" s="31">
        <v>0.69909852841590103</v>
      </c>
      <c r="Z20" s="31">
        <v>0.53649999999998599</v>
      </c>
      <c r="AA20" s="31">
        <v>0.3750663604951211</v>
      </c>
    </row>
    <row r="21" spans="1:27" x14ac:dyDescent="0.3">
      <c r="A21">
        <v>1997</v>
      </c>
      <c r="B21" s="33">
        <v>0.65863837292458283</v>
      </c>
      <c r="C21" s="33">
        <v>0.92902999999993696</v>
      </c>
      <c r="D21" s="33">
        <v>0.61189480759808368</v>
      </c>
      <c r="F21">
        <v>1997</v>
      </c>
      <c r="G21">
        <v>0.66393052226534699</v>
      </c>
      <c r="H21" s="3">
        <v>1.1574799999999215</v>
      </c>
      <c r="I21">
        <v>0.76848630091164172</v>
      </c>
      <c r="S21">
        <v>1997</v>
      </c>
      <c r="T21" s="31">
        <v>0.65863837292458283</v>
      </c>
      <c r="U21" s="31">
        <v>0.92902999999993696</v>
      </c>
      <c r="V21" s="31">
        <v>0.61189480759808368</v>
      </c>
      <c r="X21">
        <v>1997</v>
      </c>
      <c r="Y21" s="31">
        <v>0.58289746142720678</v>
      </c>
      <c r="Z21" s="31">
        <v>0.79549999999997922</v>
      </c>
      <c r="AA21" s="31">
        <v>0.4636949305653309</v>
      </c>
    </row>
    <row r="22" spans="1:27" x14ac:dyDescent="0.3">
      <c r="A22">
        <v>1996</v>
      </c>
      <c r="B22" s="33">
        <v>0.62495721684407146</v>
      </c>
      <c r="C22" s="33">
        <v>1.4620799999999008</v>
      </c>
      <c r="D22" s="33">
        <v>0.91373744760331799</v>
      </c>
      <c r="F22">
        <v>1996</v>
      </c>
      <c r="G22">
        <v>0.62138332482445957</v>
      </c>
      <c r="H22" s="3">
        <v>1.3097799999999111</v>
      </c>
      <c r="I22">
        <v>0.81387545118852545</v>
      </c>
      <c r="S22">
        <v>1996</v>
      </c>
      <c r="T22" s="31">
        <v>0.62495721684407146</v>
      </c>
      <c r="U22" s="31">
        <v>1.4620799999999008</v>
      </c>
      <c r="V22" s="31">
        <v>0.91373744760331799</v>
      </c>
      <c r="X22">
        <v>1996</v>
      </c>
      <c r="Y22" s="31">
        <v>0.48903560954381936</v>
      </c>
      <c r="Z22" s="31">
        <v>1.14699999999997</v>
      </c>
      <c r="AA22" s="31">
        <v>0.56092384414674612</v>
      </c>
    </row>
    <row r="23" spans="1:27" x14ac:dyDescent="0.3">
      <c r="A23">
        <v>1995</v>
      </c>
      <c r="B23" s="33">
        <v>0.76493760761763485</v>
      </c>
      <c r="C23" s="33">
        <v>1.0813299999999266</v>
      </c>
      <c r="D23" s="33">
        <v>0.82714998324512101</v>
      </c>
      <c r="F23">
        <v>1995</v>
      </c>
      <c r="G23">
        <v>0.77974002807780207</v>
      </c>
      <c r="H23" s="3">
        <v>1.0660999999999277</v>
      </c>
      <c r="I23">
        <v>0.8312808439336884</v>
      </c>
      <c r="S23">
        <v>1995</v>
      </c>
      <c r="T23" s="31">
        <v>0.76493760761763485</v>
      </c>
      <c r="U23" s="31">
        <v>1.0813299999999266</v>
      </c>
      <c r="V23" s="31">
        <v>0.82714998324512101</v>
      </c>
      <c r="X23">
        <v>1995</v>
      </c>
      <c r="Y23" s="31">
        <v>0.44657551499493858</v>
      </c>
      <c r="Z23" s="31">
        <v>1.2394999999999676</v>
      </c>
      <c r="AA23" s="31">
        <v>0.55353035083621194</v>
      </c>
    </row>
    <row r="24" spans="1:27" x14ac:dyDescent="0.3">
      <c r="A24">
        <v>1994</v>
      </c>
      <c r="B24" s="33">
        <v>0.76138875784810711</v>
      </c>
      <c r="C24" s="33">
        <v>1.2793200000001228</v>
      </c>
      <c r="D24" s="33">
        <v>0.97405986569033387</v>
      </c>
      <c r="F24">
        <v>1994</v>
      </c>
      <c r="G24">
        <v>0.74836419334761584</v>
      </c>
      <c r="H24" s="3">
        <v>1.4011600000001856</v>
      </c>
      <c r="I24">
        <v>1.0485779731510843</v>
      </c>
      <c r="S24">
        <v>1994</v>
      </c>
      <c r="T24" s="31">
        <v>0.76138875784810711</v>
      </c>
      <c r="U24" s="31">
        <v>1.2793200000001228</v>
      </c>
      <c r="V24" s="31">
        <v>0.97405986569033387</v>
      </c>
      <c r="X24">
        <v>1994</v>
      </c>
      <c r="Y24" s="31">
        <v>0.53508168327680505</v>
      </c>
      <c r="Z24" s="31">
        <v>1.1284999999999705</v>
      </c>
      <c r="AA24" s="31">
        <v>0.60383967957785878</v>
      </c>
    </row>
    <row r="25" spans="1:27" x14ac:dyDescent="0.3">
      <c r="A25">
        <v>1993</v>
      </c>
      <c r="B25" s="33">
        <v>0.70068539995430679</v>
      </c>
      <c r="C25" s="33">
        <v>1.3554700000002242</v>
      </c>
      <c r="D25" s="33">
        <v>0.94975803907622136</v>
      </c>
      <c r="F25">
        <v>1993</v>
      </c>
      <c r="G25">
        <v>0.6926167422409768</v>
      </c>
      <c r="H25" s="3">
        <v>1.4468500000002393</v>
      </c>
      <c r="I25">
        <v>1.0021125335115231</v>
      </c>
      <c r="S25">
        <v>1993</v>
      </c>
      <c r="T25" s="31">
        <v>0.70068539995430679</v>
      </c>
      <c r="U25" s="31">
        <v>1.3554700000002242</v>
      </c>
      <c r="V25" s="31">
        <v>0.94975803907622136</v>
      </c>
      <c r="X25">
        <v>1993</v>
      </c>
      <c r="Y25" s="31">
        <v>0.50508939748172965</v>
      </c>
      <c r="Z25" s="31">
        <v>1.072999999999972</v>
      </c>
      <c r="AA25" s="31">
        <v>0.54196092349788172</v>
      </c>
    </row>
    <row r="26" spans="1:27" x14ac:dyDescent="0.3">
      <c r="A26">
        <v>1992</v>
      </c>
      <c r="B26" s="33">
        <v>0.72845399828482826</v>
      </c>
      <c r="C26" s="33">
        <v>1.3707000000002267</v>
      </c>
      <c r="D26" s="33">
        <v>0.99849189544917927</v>
      </c>
      <c r="F26">
        <v>1992</v>
      </c>
      <c r="G26">
        <v>0.76029312857435793</v>
      </c>
      <c r="H26" s="3">
        <v>1.172710000000194</v>
      </c>
      <c r="I26">
        <v>0.89160335481058273</v>
      </c>
      <c r="S26">
        <v>1992</v>
      </c>
      <c r="T26" s="31">
        <v>0.72845399828482826</v>
      </c>
      <c r="U26" s="31">
        <v>1.3707000000002267</v>
      </c>
      <c r="V26" s="31">
        <v>0.99849189544917927</v>
      </c>
      <c r="X26">
        <v>1992</v>
      </c>
      <c r="Y26" s="31">
        <v>0.5348040118152394</v>
      </c>
      <c r="Z26" s="31">
        <v>1.4430000000002075</v>
      </c>
      <c r="AA26" s="31">
        <v>0.77172218904950141</v>
      </c>
    </row>
    <row r="27" spans="1:27" x14ac:dyDescent="0.3">
      <c r="A27">
        <v>1991</v>
      </c>
      <c r="B27" s="33">
        <v>0.78127200406874742</v>
      </c>
      <c r="C27" s="33">
        <v>1.1574800000001915</v>
      </c>
      <c r="D27" s="33">
        <v>0.90430671926964334</v>
      </c>
      <c r="F27">
        <v>1991</v>
      </c>
      <c r="G27">
        <v>0.77965686134251722</v>
      </c>
      <c r="H27" s="3">
        <v>1.203170000000199</v>
      </c>
      <c r="I27">
        <v>0.93805974586163166</v>
      </c>
      <c r="S27">
        <v>1991</v>
      </c>
      <c r="T27" s="31">
        <v>0.78127200406874742</v>
      </c>
      <c r="U27" s="31">
        <v>1.1574800000001915</v>
      </c>
      <c r="V27" s="31">
        <v>0.90430671926964334</v>
      </c>
      <c r="X27">
        <v>1991</v>
      </c>
      <c r="Y27" s="31">
        <v>0.52895345454356213</v>
      </c>
      <c r="Z27" s="31">
        <v>1.1470000000001903</v>
      </c>
      <c r="AA27" s="31">
        <v>0.6067096123615664</v>
      </c>
    </row>
    <row r="28" spans="1:27" x14ac:dyDescent="0.3">
      <c r="A28">
        <v>1990</v>
      </c>
      <c r="B28" s="33">
        <v>0.75557288227660302</v>
      </c>
      <c r="C28" s="33">
        <v>1.1422500000001889</v>
      </c>
      <c r="D28" s="33">
        <v>0.8630531247805926</v>
      </c>
      <c r="F28">
        <v>1990</v>
      </c>
      <c r="G28">
        <v>0.75156958786229133</v>
      </c>
      <c r="H28" s="3">
        <v>1.0965600000001814</v>
      </c>
      <c r="I28">
        <v>0.82414114726641052</v>
      </c>
      <c r="S28">
        <v>1990</v>
      </c>
      <c r="T28" s="31">
        <v>0.75557288227660302</v>
      </c>
      <c r="U28" s="31">
        <v>1.1422500000001889</v>
      </c>
      <c r="V28" s="31">
        <v>0.8630531247805926</v>
      </c>
      <c r="X28">
        <v>1990</v>
      </c>
      <c r="Y28" s="31">
        <v>0.50252146365523376</v>
      </c>
      <c r="Z28" s="31">
        <v>1.1840000000001965</v>
      </c>
      <c r="AA28" s="31">
        <v>0.59498541296789553</v>
      </c>
    </row>
    <row r="29" spans="1:27" x14ac:dyDescent="0.3">
      <c r="A29">
        <v>1989</v>
      </c>
      <c r="B29" s="33">
        <v>0.60147413784412451</v>
      </c>
      <c r="C29" s="33">
        <v>0.80719000000013352</v>
      </c>
      <c r="D29" s="33">
        <v>0.48550390932647919</v>
      </c>
      <c r="F29">
        <v>1989</v>
      </c>
      <c r="G29">
        <v>0.63648634860109421</v>
      </c>
      <c r="H29" s="3">
        <v>1.2793200000002116</v>
      </c>
      <c r="I29">
        <v>0.8142697154924865</v>
      </c>
      <c r="S29">
        <v>1989</v>
      </c>
      <c r="T29" s="31">
        <v>0.60147413784412451</v>
      </c>
      <c r="U29" s="31">
        <v>0.80719000000013352</v>
      </c>
      <c r="V29" s="31">
        <v>0.48550390932647919</v>
      </c>
      <c r="X29">
        <v>1989</v>
      </c>
      <c r="Y29" s="31">
        <v>0.60903768230943323</v>
      </c>
      <c r="Z29" s="31">
        <v>1.1100000000001842</v>
      </c>
      <c r="AA29" s="31">
        <v>0.67603182736358303</v>
      </c>
    </row>
    <row r="30" spans="1:27" x14ac:dyDescent="0.3">
      <c r="A30">
        <v>1988</v>
      </c>
      <c r="B30" s="33">
        <v>0.76226637929128449</v>
      </c>
      <c r="C30" s="33">
        <v>1.7362200000002872</v>
      </c>
      <c r="D30" s="33">
        <v>1.3234621330533329</v>
      </c>
      <c r="F30">
        <v>1988</v>
      </c>
      <c r="G30">
        <v>0.79895615330901004</v>
      </c>
      <c r="H30" s="3">
        <v>1.2793200000002116</v>
      </c>
      <c r="I30">
        <v>1.0221205860514517</v>
      </c>
      <c r="S30">
        <v>1988</v>
      </c>
      <c r="T30" s="31">
        <v>0.76226637929128449</v>
      </c>
      <c r="U30" s="31">
        <v>1.7362200000002872</v>
      </c>
      <c r="V30" s="31">
        <v>1.3234621330533329</v>
      </c>
      <c r="X30">
        <v>1988</v>
      </c>
      <c r="Y30" s="31">
        <v>0.49803532779906218</v>
      </c>
      <c r="Z30" s="31">
        <v>1.073000000000178</v>
      </c>
      <c r="AA30" s="31">
        <v>0.53439190672848236</v>
      </c>
    </row>
    <row r="31" spans="1:27" x14ac:dyDescent="0.3">
      <c r="A31">
        <v>1987</v>
      </c>
      <c r="B31" s="33">
        <v>0.79306361067364506</v>
      </c>
      <c r="C31" s="33">
        <v>0.62443000000010329</v>
      </c>
      <c r="D31" s="33">
        <v>0.49521271041302611</v>
      </c>
      <c r="F31">
        <v>1987</v>
      </c>
      <c r="G31">
        <v>0.75134206356880939</v>
      </c>
      <c r="H31" s="3">
        <v>0.82242000000013604</v>
      </c>
      <c r="I31">
        <v>0.61791873992036239</v>
      </c>
      <c r="S31">
        <v>1987</v>
      </c>
      <c r="T31" s="31">
        <v>0.79306361067364506</v>
      </c>
      <c r="U31" s="31">
        <v>0.62443000000010329</v>
      </c>
      <c r="V31" s="31">
        <v>0.49521271041302611</v>
      </c>
      <c r="X31">
        <v>1987</v>
      </c>
      <c r="Y31" s="31">
        <v>0.5799252661491463</v>
      </c>
      <c r="Z31" s="31">
        <v>0.98050000000016269</v>
      </c>
      <c r="AA31" s="31">
        <v>0.56861672345933234</v>
      </c>
    </row>
    <row r="32" spans="1:27" x14ac:dyDescent="0.3">
      <c r="A32">
        <v>1986</v>
      </c>
      <c r="B32" s="33">
        <v>0.74093721810166024</v>
      </c>
      <c r="C32" s="33">
        <v>1.8428300000003048</v>
      </c>
      <c r="D32" s="33">
        <v>1.3654213336345085</v>
      </c>
      <c r="F32">
        <v>1986</v>
      </c>
      <c r="G32">
        <v>0.78466399897105932</v>
      </c>
      <c r="H32" s="3">
        <v>1.8428300000003048</v>
      </c>
      <c r="I32">
        <v>1.4460023572240763</v>
      </c>
      <c r="S32">
        <v>1986</v>
      </c>
      <c r="T32" s="31">
        <v>0.74093721810166024</v>
      </c>
      <c r="U32" s="31">
        <v>1.8428300000003048</v>
      </c>
      <c r="V32" s="31">
        <v>1.3654213336345085</v>
      </c>
      <c r="X32">
        <v>1986</v>
      </c>
      <c r="Y32" s="31">
        <v>0.87408361663777001</v>
      </c>
      <c r="Z32" s="31">
        <v>0.94350000000015655</v>
      </c>
      <c r="AA32" s="31">
        <v>0.82469789229787283</v>
      </c>
    </row>
    <row r="33" spans="1:27" x14ac:dyDescent="0.3">
      <c r="A33">
        <v>1985</v>
      </c>
      <c r="B33" s="33">
        <v>0.91683388290840029</v>
      </c>
      <c r="C33" s="33">
        <v>1.2945500000002141</v>
      </c>
      <c r="D33" s="33">
        <v>1.1868873031192659</v>
      </c>
      <c r="F33">
        <v>1985</v>
      </c>
      <c r="G33">
        <v>0.89453814705639556</v>
      </c>
      <c r="H33" s="3">
        <v>1.203170000000199</v>
      </c>
      <c r="I33">
        <v>1.0762814623940216</v>
      </c>
      <c r="S33">
        <v>1985</v>
      </c>
      <c r="T33" s="31">
        <v>0.91683388290840029</v>
      </c>
      <c r="U33" s="31">
        <v>1.2945500000002141</v>
      </c>
      <c r="V33" s="31">
        <v>1.1868873031192659</v>
      </c>
      <c r="X33">
        <v>1985</v>
      </c>
      <c r="Y33" s="31">
        <v>0.82439130410840933</v>
      </c>
      <c r="Z33" s="31">
        <v>0.72150000000011971</v>
      </c>
      <c r="AA33" s="31">
        <v>0.59479832591431603</v>
      </c>
    </row>
    <row r="34" spans="1:27" x14ac:dyDescent="0.3">
      <c r="A34">
        <v>1984</v>
      </c>
      <c r="B34" s="33">
        <v>0.80486669348556328</v>
      </c>
      <c r="C34" s="33">
        <v>1.0965600000001814</v>
      </c>
      <c r="D34" s="33">
        <v>0.88258462140867522</v>
      </c>
      <c r="F34">
        <v>1984</v>
      </c>
      <c r="G34">
        <v>0.81286400177038853</v>
      </c>
      <c r="H34" s="3">
        <v>1.0661000000001764</v>
      </c>
      <c r="I34">
        <v>0.86659431228755457</v>
      </c>
      <c r="S34">
        <v>1984</v>
      </c>
      <c r="T34" s="31">
        <v>0.80486669348556328</v>
      </c>
      <c r="U34" s="31">
        <v>1.0965600000001814</v>
      </c>
      <c r="V34" s="31">
        <v>0.88258462140867522</v>
      </c>
      <c r="X34">
        <v>1984</v>
      </c>
      <c r="Y34" s="31">
        <v>1.0347599991589467</v>
      </c>
      <c r="Z34" s="31">
        <v>1.7020000000002824</v>
      </c>
      <c r="AA34" s="31">
        <v>1.7611615185688194</v>
      </c>
    </row>
    <row r="35" spans="1:27" x14ac:dyDescent="0.3">
      <c r="A35">
        <v>1983</v>
      </c>
      <c r="B35" s="33">
        <v>0.80811610157442026</v>
      </c>
      <c r="C35" s="33">
        <v>0.8681100000001436</v>
      </c>
      <c r="D35" s="33">
        <v>0.70153366893788605</v>
      </c>
      <c r="F35">
        <v>1983</v>
      </c>
      <c r="G35">
        <v>0.79075788338488484</v>
      </c>
      <c r="H35" s="3">
        <v>1.0051800000001663</v>
      </c>
      <c r="I35">
        <v>0.79485400922095006</v>
      </c>
      <c r="S35">
        <v>1983</v>
      </c>
      <c r="T35" s="31">
        <v>0.80811610157442026</v>
      </c>
      <c r="U35" s="31">
        <v>0.8681100000001436</v>
      </c>
      <c r="V35" s="31">
        <v>0.70153366893788605</v>
      </c>
      <c r="X35">
        <v>1983</v>
      </c>
      <c r="Y35" s="31">
        <v>0.87794557710629029</v>
      </c>
      <c r="Z35" s="31">
        <v>1.073000000000178</v>
      </c>
      <c r="AA35" s="31">
        <v>0.94203560423520583</v>
      </c>
    </row>
    <row r="36" spans="1:27" x14ac:dyDescent="0.3">
      <c r="A36">
        <v>1982</v>
      </c>
      <c r="B36" s="33">
        <v>0.80287254435759992</v>
      </c>
      <c r="C36" s="33">
        <v>0.83765000000013856</v>
      </c>
      <c r="D36" s="33">
        <v>0.67252618678125486</v>
      </c>
      <c r="F36">
        <v>1982</v>
      </c>
      <c r="G36">
        <v>0.85550138424563937</v>
      </c>
      <c r="H36" s="3">
        <v>0.77673000000012848</v>
      </c>
      <c r="I36">
        <v>0.66449359018522536</v>
      </c>
      <c r="S36">
        <v>1982</v>
      </c>
      <c r="T36" s="31">
        <v>0.80287254435759992</v>
      </c>
      <c r="U36" s="31">
        <v>0.83765000000013856</v>
      </c>
      <c r="V36" s="31">
        <v>0.67252618678125486</v>
      </c>
      <c r="X36">
        <v>1982</v>
      </c>
      <c r="Y36" s="31">
        <v>0.84868267893576177</v>
      </c>
      <c r="Z36" s="31">
        <v>0.99900000000016576</v>
      </c>
      <c r="AA36" s="31">
        <v>0.84783399625696665</v>
      </c>
    </row>
    <row r="37" spans="1:27" x14ac:dyDescent="0.3">
      <c r="X37">
        <v>1981</v>
      </c>
      <c r="Y37" s="31">
        <v>0.94833269613899263</v>
      </c>
      <c r="Z37" s="31">
        <v>0.77700000000012892</v>
      </c>
      <c r="AA37" s="31">
        <v>0.7368545049001195</v>
      </c>
    </row>
    <row r="39" spans="1:27" x14ac:dyDescent="0.3">
      <c r="B39">
        <f>AVERAGE(B3:B36)</f>
        <v>0.69196932608459405</v>
      </c>
      <c r="C39">
        <f t="shared" ref="C39:D39" si="0">AVERAGE(C3:C36)</f>
        <v>1.3323832352941807</v>
      </c>
      <c r="D39">
        <f t="shared" si="0"/>
        <v>0.91393331885473006</v>
      </c>
      <c r="T39" s="31">
        <f>AVERAGE(T3:T36)</f>
        <v>0.69196932608459405</v>
      </c>
      <c r="U39" s="31">
        <f t="shared" ref="U39:V39" si="1">AVERAGE(U3:U36)</f>
        <v>1.3323832352941807</v>
      </c>
      <c r="V39" s="31">
        <f t="shared" si="1"/>
        <v>0.91393331885473006</v>
      </c>
      <c r="Y39" s="31">
        <f>AVERAGE(Y3:Y37)</f>
        <v>0.53591046873941017</v>
      </c>
      <c r="Z39" s="31">
        <f t="shared" ref="Z39:AA39" si="2">AVERAGE(Z3:Z37)</f>
        <v>1.2412542857143427</v>
      </c>
      <c r="AA39" s="31">
        <f t="shared" si="2"/>
        <v>0.63799165449378703</v>
      </c>
    </row>
    <row r="40" spans="1:27" x14ac:dyDescent="0.3">
      <c r="B40">
        <f>_xlfn.STDEV.S(B3:B36)</f>
        <v>8.4329861293706398E-2</v>
      </c>
      <c r="C40">
        <f>_xlfn.STDEV.S(C3:C36)</f>
        <v>0.34926140400217981</v>
      </c>
      <c r="D40">
        <f>_xlfn.STDEV.S(D3:D36)</f>
        <v>0.23690114609834975</v>
      </c>
      <c r="T40" s="31">
        <f>_xlfn.STDEV.S(T3:T36)</f>
        <v>8.4329861293706398E-2</v>
      </c>
      <c r="U40" s="31">
        <f>_xlfn.STDEV.S(U3:U36)</f>
        <v>0.34926140400217981</v>
      </c>
      <c r="V40" s="31">
        <f>_xlfn.STDEV.S(V3:V36)</f>
        <v>0.23690114609834975</v>
      </c>
    </row>
    <row r="46" spans="1:27" x14ac:dyDescent="0.3">
      <c r="C46" s="3"/>
    </row>
    <row r="47" spans="1:27" x14ac:dyDescent="0.3">
      <c r="C47" s="3"/>
    </row>
    <row r="48" spans="1:27" x14ac:dyDescent="0.3">
      <c r="C48" s="3"/>
    </row>
    <row r="49" spans="3:3" x14ac:dyDescent="0.3">
      <c r="C49" s="3"/>
    </row>
    <row r="50" spans="3:3" x14ac:dyDescent="0.3">
      <c r="C50" s="3"/>
    </row>
    <row r="51" spans="3:3" x14ac:dyDescent="0.3">
      <c r="C51" s="3"/>
    </row>
    <row r="52" spans="3:3" x14ac:dyDescent="0.3">
      <c r="C52" s="3"/>
    </row>
    <row r="53" spans="3:3" x14ac:dyDescent="0.3">
      <c r="C53" s="3"/>
    </row>
    <row r="54" spans="3:3" x14ac:dyDescent="0.3">
      <c r="C54" s="3"/>
    </row>
    <row r="55" spans="3:3" x14ac:dyDescent="0.3">
      <c r="C55" s="3"/>
    </row>
    <row r="56" spans="3:3" x14ac:dyDescent="0.3">
      <c r="C56" s="3"/>
    </row>
    <row r="57" spans="3:3" x14ac:dyDescent="0.3">
      <c r="C57" s="3"/>
    </row>
    <row r="58" spans="3:3" x14ac:dyDescent="0.3">
      <c r="C58" s="3"/>
    </row>
    <row r="59" spans="3:3" x14ac:dyDescent="0.3">
      <c r="C59" s="3"/>
    </row>
    <row r="60" spans="3:3" x14ac:dyDescent="0.3">
      <c r="C60" s="3"/>
    </row>
    <row r="61" spans="3:3" x14ac:dyDescent="0.3">
      <c r="C61" s="3"/>
    </row>
    <row r="62" spans="3:3" x14ac:dyDescent="0.3">
      <c r="C62" s="3"/>
    </row>
    <row r="63" spans="3:3" x14ac:dyDescent="0.3">
      <c r="C63" s="3"/>
    </row>
    <row r="64" spans="3:3" x14ac:dyDescent="0.3">
      <c r="C64" s="3"/>
    </row>
    <row r="65" spans="3:3" x14ac:dyDescent="0.3">
      <c r="C65" s="3"/>
    </row>
    <row r="66" spans="3:3" x14ac:dyDescent="0.3">
      <c r="C66" s="3"/>
    </row>
    <row r="67" spans="3:3" x14ac:dyDescent="0.3">
      <c r="C67" s="3"/>
    </row>
    <row r="68" spans="3:3" x14ac:dyDescent="0.3">
      <c r="C68" s="3"/>
    </row>
    <row r="69" spans="3:3" x14ac:dyDescent="0.3">
      <c r="C69" s="3"/>
    </row>
    <row r="70" spans="3:3" x14ac:dyDescent="0.3">
      <c r="C70" s="3"/>
    </row>
    <row r="71" spans="3:3" x14ac:dyDescent="0.3">
      <c r="C71" s="3"/>
    </row>
    <row r="72" spans="3:3" x14ac:dyDescent="0.3">
      <c r="C72" s="3"/>
    </row>
    <row r="73" spans="3:3" x14ac:dyDescent="0.3">
      <c r="C73" s="3"/>
    </row>
    <row r="74" spans="3:3" x14ac:dyDescent="0.3">
      <c r="C74" s="3"/>
    </row>
    <row r="75" spans="3:3" x14ac:dyDescent="0.3">
      <c r="C75" s="3"/>
    </row>
    <row r="76" spans="3:3" x14ac:dyDescent="0.3">
      <c r="C76" s="3"/>
    </row>
    <row r="77" spans="3:3" x14ac:dyDescent="0.3">
      <c r="C77" s="3"/>
    </row>
    <row r="78" spans="3:3" x14ac:dyDescent="0.3">
      <c r="C78" s="3"/>
    </row>
    <row r="79" spans="3:3" x14ac:dyDescent="0.3">
      <c r="C79" s="3"/>
    </row>
    <row r="111" spans="1:4" x14ac:dyDescent="0.3">
      <c r="A111">
        <v>1913</v>
      </c>
      <c r="B111">
        <v>1.5197274406440051</v>
      </c>
      <c r="C111">
        <v>0.70380000000000109</v>
      </c>
      <c r="D111">
        <v>1.0695841727252524</v>
      </c>
    </row>
    <row r="153" spans="1:4" x14ac:dyDescent="0.3">
      <c r="A153">
        <v>1912</v>
      </c>
      <c r="B153">
        <v>1.5183581793257694</v>
      </c>
      <c r="C153">
        <v>0.45250000000000057</v>
      </c>
      <c r="D153">
        <v>0.68705707614491152</v>
      </c>
    </row>
  </sheetData>
  <mergeCells count="4">
    <mergeCell ref="H1:I1"/>
    <mergeCell ref="F1:G1"/>
    <mergeCell ref="J1:K1"/>
    <mergeCell ref="E1:E2"/>
  </mergeCells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27"/>
  <sheetViews>
    <sheetView topLeftCell="F1" zoomScale="85" zoomScaleNormal="85" workbookViewId="0">
      <selection activeCell="J20" sqref="J20"/>
    </sheetView>
  </sheetViews>
  <sheetFormatPr baseColWidth="10" defaultColWidth="11.44140625" defaultRowHeight="14.4" x14ac:dyDescent="0.3"/>
  <cols>
    <col min="2" max="2" width="13.5546875" customWidth="1"/>
    <col min="6" max="6" width="12.44140625" customWidth="1"/>
    <col min="9" max="10" width="14.88671875" customWidth="1"/>
    <col min="17" max="17" width="13" customWidth="1"/>
    <col min="18" max="18" width="14.109375" customWidth="1"/>
  </cols>
  <sheetData>
    <row r="1" spans="1:21" ht="43.2" x14ac:dyDescent="0.3">
      <c r="A1" s="18" t="s">
        <v>45</v>
      </c>
      <c r="B1" s="19" t="s">
        <v>46</v>
      </c>
      <c r="D1" s="18" t="s">
        <v>45</v>
      </c>
      <c r="E1" s="20" t="s">
        <v>47</v>
      </c>
      <c r="F1" s="20" t="s">
        <v>33</v>
      </c>
      <c r="H1" s="18" t="s">
        <v>45</v>
      </c>
      <c r="I1" s="20" t="s">
        <v>48</v>
      </c>
      <c r="J1" s="20" t="s">
        <v>34</v>
      </c>
      <c r="L1" s="23" t="s">
        <v>53</v>
      </c>
      <c r="M1" s="22" t="s">
        <v>28</v>
      </c>
      <c r="N1" s="22" t="s">
        <v>52</v>
      </c>
      <c r="O1" s="22" t="s">
        <v>47</v>
      </c>
      <c r="P1" s="22" t="s">
        <v>33</v>
      </c>
      <c r="Q1" s="22" t="s">
        <v>48</v>
      </c>
      <c r="R1" s="22" t="s">
        <v>34</v>
      </c>
      <c r="T1" s="22" t="s">
        <v>28</v>
      </c>
      <c r="U1" s="22" t="s">
        <v>81</v>
      </c>
    </row>
    <row r="2" spans="1:21" x14ac:dyDescent="0.3">
      <c r="A2" s="4" t="s">
        <v>50</v>
      </c>
      <c r="B2">
        <v>23</v>
      </c>
      <c r="D2" s="4" t="s">
        <v>50</v>
      </c>
      <c r="E2">
        <v>3.28</v>
      </c>
      <c r="F2" s="3">
        <f>E2/23.52</f>
        <v>0.13945578231292516</v>
      </c>
      <c r="H2" s="4" t="s">
        <v>50</v>
      </c>
      <c r="I2">
        <v>15.31</v>
      </c>
      <c r="J2" s="3">
        <f>I2/23.52</f>
        <v>0.65093537414965985</v>
      </c>
      <c r="M2">
        <v>2015</v>
      </c>
      <c r="N2" s="9" t="s">
        <v>61</v>
      </c>
      <c r="O2">
        <v>4.74</v>
      </c>
      <c r="P2" s="3">
        <f>O10/23.52</f>
        <v>0.10799319727891157</v>
      </c>
      <c r="Q2">
        <v>16.77</v>
      </c>
      <c r="R2" s="3">
        <f>Q2/23.52</f>
        <v>0.71301020408163263</v>
      </c>
      <c r="T2">
        <v>2015</v>
      </c>
      <c r="U2">
        <v>26</v>
      </c>
    </row>
    <row r="3" spans="1:21" x14ac:dyDescent="0.3">
      <c r="A3" s="4" t="s">
        <v>50</v>
      </c>
      <c r="B3">
        <v>20</v>
      </c>
      <c r="D3" s="4" t="s">
        <v>50</v>
      </c>
      <c r="E3">
        <v>2.78</v>
      </c>
      <c r="F3" s="3">
        <f>E3/23.52</f>
        <v>0.11819727891156462</v>
      </c>
      <c r="H3" s="4" t="s">
        <v>50</v>
      </c>
      <c r="I3">
        <v>16.25</v>
      </c>
      <c r="J3" s="3">
        <f t="shared" ref="J3:J41" si="0">I3/23.52</f>
        <v>0.69090136054421769</v>
      </c>
      <c r="M3">
        <v>2015</v>
      </c>
      <c r="O3">
        <v>6.22</v>
      </c>
      <c r="P3" s="3">
        <f>O11/23.52</f>
        <v>0.11011904761904762</v>
      </c>
      <c r="Q3">
        <v>12.75</v>
      </c>
      <c r="R3" s="3">
        <f t="shared" ref="R3:R21" si="1">Q3/23.52</f>
        <v>0.54209183673469385</v>
      </c>
      <c r="T3">
        <v>2014</v>
      </c>
      <c r="U3">
        <v>23</v>
      </c>
    </row>
    <row r="4" spans="1:21" x14ac:dyDescent="0.3">
      <c r="A4" s="4" t="s">
        <v>51</v>
      </c>
      <c r="B4">
        <v>24</v>
      </c>
      <c r="D4" s="4" t="s">
        <v>50</v>
      </c>
      <c r="E4">
        <v>5.48</v>
      </c>
      <c r="F4" s="3">
        <f t="shared" ref="F4:F41" si="2">E4/23.52</f>
        <v>0.23299319727891157</v>
      </c>
      <c r="H4" s="4" t="s">
        <v>50</v>
      </c>
      <c r="I4">
        <v>14.08</v>
      </c>
      <c r="J4" s="3">
        <f t="shared" si="0"/>
        <v>0.59863945578231292</v>
      </c>
      <c r="M4">
        <v>2015</v>
      </c>
      <c r="O4">
        <v>3.54</v>
      </c>
      <c r="P4" s="3">
        <f>O12/23.52</f>
        <v>0.19770408163265307</v>
      </c>
      <c r="Q4">
        <v>14.05</v>
      </c>
      <c r="R4" s="3">
        <f t="shared" si="1"/>
        <v>0.59736394557823136</v>
      </c>
      <c r="T4">
        <v>2013</v>
      </c>
      <c r="U4">
        <v>23</v>
      </c>
    </row>
    <row r="5" spans="1:21" x14ac:dyDescent="0.3">
      <c r="A5" s="4" t="s">
        <v>51</v>
      </c>
      <c r="B5">
        <v>24</v>
      </c>
      <c r="D5" s="4" t="s">
        <v>50</v>
      </c>
      <c r="E5">
        <v>3.29</v>
      </c>
      <c r="F5" s="3">
        <f t="shared" si="2"/>
        <v>0.13988095238095238</v>
      </c>
      <c r="H5" s="4" t="s">
        <v>50</v>
      </c>
      <c r="I5">
        <v>16.73</v>
      </c>
      <c r="J5" s="3">
        <f t="shared" si="0"/>
        <v>0.71130952380952384</v>
      </c>
      <c r="M5">
        <v>2015</v>
      </c>
      <c r="O5">
        <v>2.6</v>
      </c>
      <c r="P5" s="3">
        <f>O13/23.52</f>
        <v>0.12797619047619047</v>
      </c>
      <c r="Q5">
        <v>13.68</v>
      </c>
      <c r="R5" s="3">
        <f t="shared" si="1"/>
        <v>0.58163265306122447</v>
      </c>
      <c r="T5">
        <v>2012</v>
      </c>
      <c r="U5">
        <v>25</v>
      </c>
    </row>
    <row r="6" spans="1:21" x14ac:dyDescent="0.3">
      <c r="A6" s="4" t="s">
        <v>51</v>
      </c>
      <c r="B6">
        <v>22</v>
      </c>
      <c r="D6" s="4" t="s">
        <v>50</v>
      </c>
      <c r="E6">
        <v>3.95</v>
      </c>
      <c r="F6" s="3">
        <f t="shared" si="2"/>
        <v>0.16794217687074831</v>
      </c>
      <c r="H6" s="4" t="s">
        <v>50</v>
      </c>
      <c r="I6">
        <v>13.66</v>
      </c>
      <c r="J6" s="3">
        <f t="shared" si="0"/>
        <v>0.58078231292517013</v>
      </c>
      <c r="M6">
        <v>2015</v>
      </c>
      <c r="O6">
        <v>3.66</v>
      </c>
      <c r="P6" s="3">
        <f>O14/23.52</f>
        <v>0.24064625850340138</v>
      </c>
      <c r="Q6">
        <v>11.81</v>
      </c>
      <c r="R6" s="3">
        <f t="shared" si="1"/>
        <v>0.50212585034013613</v>
      </c>
      <c r="T6">
        <v>2011</v>
      </c>
      <c r="U6">
        <v>20</v>
      </c>
    </row>
    <row r="7" spans="1:21" x14ac:dyDescent="0.3">
      <c r="A7" s="4" t="s">
        <v>51</v>
      </c>
      <c r="B7">
        <v>24</v>
      </c>
      <c r="D7" s="4" t="s">
        <v>50</v>
      </c>
      <c r="E7">
        <v>3.58</v>
      </c>
      <c r="F7" s="3">
        <f t="shared" si="2"/>
        <v>0.1522108843537415</v>
      </c>
      <c r="H7" s="4" t="s">
        <v>50</v>
      </c>
      <c r="I7">
        <v>15.46</v>
      </c>
      <c r="J7" s="3">
        <f t="shared" si="0"/>
        <v>0.65731292517006812</v>
      </c>
      <c r="M7">
        <v>2015</v>
      </c>
      <c r="O7">
        <v>2.68</v>
      </c>
      <c r="P7" s="3">
        <f t="shared" ref="P7:P109" si="3">O7/23.52</f>
        <v>0.11394557823129253</v>
      </c>
      <c r="Q7">
        <v>11.69</v>
      </c>
      <c r="R7" s="3">
        <f t="shared" si="1"/>
        <v>0.49702380952380953</v>
      </c>
      <c r="T7">
        <v>2010</v>
      </c>
      <c r="U7">
        <v>17</v>
      </c>
    </row>
    <row r="8" spans="1:21" x14ac:dyDescent="0.3">
      <c r="A8" s="4" t="s">
        <v>51</v>
      </c>
      <c r="B8">
        <v>24</v>
      </c>
      <c r="D8" s="4" t="s">
        <v>50</v>
      </c>
      <c r="E8">
        <v>3.53</v>
      </c>
      <c r="F8" s="3">
        <f t="shared" si="2"/>
        <v>0.15008503401360543</v>
      </c>
      <c r="H8" s="4" t="s">
        <v>50</v>
      </c>
      <c r="I8">
        <v>17.010000000000002</v>
      </c>
      <c r="J8" s="3">
        <f t="shared" si="0"/>
        <v>0.72321428571428581</v>
      </c>
      <c r="M8">
        <v>2015</v>
      </c>
      <c r="O8">
        <v>6.3</v>
      </c>
      <c r="P8" s="3">
        <f t="shared" si="3"/>
        <v>0.26785714285714285</v>
      </c>
      <c r="Q8">
        <v>11.69</v>
      </c>
      <c r="R8" s="3">
        <f t="shared" si="1"/>
        <v>0.49702380952380953</v>
      </c>
      <c r="T8">
        <v>2009</v>
      </c>
      <c r="U8">
        <v>16</v>
      </c>
    </row>
    <row r="9" spans="1:21" x14ac:dyDescent="0.3">
      <c r="A9" s="4"/>
      <c r="D9" s="4" t="s">
        <v>50</v>
      </c>
      <c r="E9">
        <v>3.76</v>
      </c>
      <c r="F9" s="3">
        <f t="shared" si="2"/>
        <v>0.15986394557823128</v>
      </c>
      <c r="H9" s="4" t="s">
        <v>50</v>
      </c>
      <c r="I9">
        <v>12.78</v>
      </c>
      <c r="J9" s="3">
        <f t="shared" si="0"/>
        <v>0.54336734693877553</v>
      </c>
      <c r="M9">
        <v>2015</v>
      </c>
      <c r="P9" s="3">
        <f t="shared" si="3"/>
        <v>0</v>
      </c>
      <c r="Q9">
        <v>12.67</v>
      </c>
      <c r="R9" s="3">
        <f t="shared" si="1"/>
        <v>0.53869047619047616</v>
      </c>
      <c r="T9">
        <v>2008</v>
      </c>
      <c r="U9">
        <v>23</v>
      </c>
    </row>
    <row r="10" spans="1:21" x14ac:dyDescent="0.3">
      <c r="A10" s="4"/>
      <c r="D10" s="4" t="s">
        <v>50</v>
      </c>
      <c r="E10">
        <v>2.65</v>
      </c>
      <c r="F10" s="3">
        <f t="shared" si="2"/>
        <v>0.11267006802721088</v>
      </c>
      <c r="H10" s="4" t="s">
        <v>50</v>
      </c>
      <c r="I10">
        <v>15.68</v>
      </c>
      <c r="J10" s="3">
        <f t="shared" si="0"/>
        <v>0.66666666666666663</v>
      </c>
      <c r="M10">
        <v>2014</v>
      </c>
      <c r="N10" s="9" t="s">
        <v>57</v>
      </c>
      <c r="O10">
        <v>2.54</v>
      </c>
      <c r="P10" s="3">
        <f t="shared" si="3"/>
        <v>0.10799319727891157</v>
      </c>
      <c r="R10" s="3">
        <f t="shared" si="1"/>
        <v>0</v>
      </c>
      <c r="T10">
        <v>2007</v>
      </c>
      <c r="U10">
        <v>25</v>
      </c>
    </row>
    <row r="11" spans="1:21" x14ac:dyDescent="0.3">
      <c r="A11" s="4"/>
      <c r="D11" s="4" t="s">
        <v>50</v>
      </c>
      <c r="E11">
        <v>4.76</v>
      </c>
      <c r="F11" s="3">
        <f t="shared" si="2"/>
        <v>0.20238095238095238</v>
      </c>
      <c r="H11" s="4" t="s">
        <v>50</v>
      </c>
      <c r="I11">
        <v>14.62</v>
      </c>
      <c r="J11" s="3">
        <f t="shared" si="0"/>
        <v>0.62159863945578231</v>
      </c>
      <c r="M11">
        <v>2014</v>
      </c>
      <c r="O11">
        <v>2.59</v>
      </c>
      <c r="P11" s="3">
        <f t="shared" si="3"/>
        <v>0.11011904761904762</v>
      </c>
      <c r="R11" s="3">
        <f t="shared" si="1"/>
        <v>0</v>
      </c>
      <c r="T11">
        <v>2006</v>
      </c>
      <c r="U11">
        <v>18</v>
      </c>
    </row>
    <row r="12" spans="1:21" x14ac:dyDescent="0.3">
      <c r="A12" s="4"/>
      <c r="D12" s="4" t="s">
        <v>50</v>
      </c>
      <c r="E12">
        <v>3.6</v>
      </c>
      <c r="F12" s="3">
        <f t="shared" si="2"/>
        <v>0.15306122448979592</v>
      </c>
      <c r="H12" s="4" t="s">
        <v>50</v>
      </c>
      <c r="I12">
        <v>12.66</v>
      </c>
      <c r="J12" s="3">
        <f t="shared" si="0"/>
        <v>0.53826530612244905</v>
      </c>
      <c r="M12">
        <v>2014</v>
      </c>
      <c r="O12">
        <v>4.6500000000000004</v>
      </c>
      <c r="P12" s="3">
        <f t="shared" si="3"/>
        <v>0.19770408163265307</v>
      </c>
      <c r="R12" s="3">
        <f t="shared" si="1"/>
        <v>0</v>
      </c>
      <c r="T12">
        <v>2005</v>
      </c>
      <c r="U12">
        <v>17</v>
      </c>
    </row>
    <row r="13" spans="1:21" x14ac:dyDescent="0.3">
      <c r="A13" s="4"/>
      <c r="D13" s="4" t="s">
        <v>50</v>
      </c>
      <c r="E13">
        <v>3.39</v>
      </c>
      <c r="F13" s="3">
        <f t="shared" si="2"/>
        <v>0.1441326530612245</v>
      </c>
      <c r="H13" s="4" t="s">
        <v>50</v>
      </c>
      <c r="I13">
        <v>15.33</v>
      </c>
      <c r="J13" s="3">
        <f t="shared" si="0"/>
        <v>0.6517857142857143</v>
      </c>
      <c r="M13">
        <v>2014</v>
      </c>
      <c r="O13">
        <v>3.01</v>
      </c>
      <c r="P13" s="3">
        <f t="shared" si="3"/>
        <v>0.12797619047619047</v>
      </c>
      <c r="R13" s="3">
        <f t="shared" si="1"/>
        <v>0</v>
      </c>
      <c r="T13">
        <v>2004</v>
      </c>
      <c r="U13">
        <v>20</v>
      </c>
    </row>
    <row r="14" spans="1:21" x14ac:dyDescent="0.3">
      <c r="A14" s="4"/>
      <c r="D14" s="4" t="s">
        <v>50</v>
      </c>
      <c r="E14">
        <v>4.17</v>
      </c>
      <c r="F14" s="3">
        <f t="shared" si="2"/>
        <v>0.17729591836734693</v>
      </c>
      <c r="H14" s="4" t="s">
        <v>50</v>
      </c>
      <c r="I14">
        <v>16.809999999999999</v>
      </c>
      <c r="J14" s="3">
        <f t="shared" si="0"/>
        <v>0.71471088435374142</v>
      </c>
      <c r="M14">
        <v>2014</v>
      </c>
      <c r="O14">
        <v>5.66</v>
      </c>
      <c r="P14" s="3">
        <f t="shared" si="3"/>
        <v>0.24064625850340138</v>
      </c>
      <c r="R14" s="3">
        <f t="shared" si="1"/>
        <v>0</v>
      </c>
      <c r="T14">
        <v>2003</v>
      </c>
      <c r="U14">
        <v>18</v>
      </c>
    </row>
    <row r="15" spans="1:21" x14ac:dyDescent="0.3">
      <c r="A15" s="4"/>
      <c r="D15" s="4" t="s">
        <v>50</v>
      </c>
      <c r="E15">
        <v>5.7</v>
      </c>
      <c r="F15" s="3">
        <f t="shared" si="2"/>
        <v>0.24234693877551022</v>
      </c>
      <c r="H15" s="4" t="s">
        <v>50</v>
      </c>
      <c r="I15">
        <v>11.76</v>
      </c>
      <c r="J15" s="3">
        <f t="shared" si="0"/>
        <v>0.5</v>
      </c>
      <c r="M15">
        <v>2013</v>
      </c>
      <c r="N15" s="9" t="s">
        <v>60</v>
      </c>
      <c r="O15">
        <v>3.33</v>
      </c>
      <c r="P15" s="3">
        <f t="shared" si="3"/>
        <v>0.14158163265306123</v>
      </c>
      <c r="R15" s="3">
        <f t="shared" si="1"/>
        <v>0</v>
      </c>
      <c r="T15">
        <v>2002</v>
      </c>
      <c r="U15">
        <v>22</v>
      </c>
    </row>
    <row r="16" spans="1:21" x14ac:dyDescent="0.3">
      <c r="A16" s="4"/>
      <c r="D16" s="4" t="s">
        <v>50</v>
      </c>
      <c r="E16">
        <v>2.69</v>
      </c>
      <c r="F16" s="3">
        <f t="shared" si="2"/>
        <v>0.11437074829931973</v>
      </c>
      <c r="H16" s="4" t="s">
        <v>50</v>
      </c>
      <c r="I16">
        <v>16.64</v>
      </c>
      <c r="J16" s="3">
        <f t="shared" si="0"/>
        <v>0.70748299319727892</v>
      </c>
      <c r="M16">
        <v>2013</v>
      </c>
      <c r="O16">
        <v>3.55</v>
      </c>
      <c r="P16" s="3">
        <f t="shared" si="3"/>
        <v>0.15093537414965985</v>
      </c>
      <c r="R16" s="3">
        <f t="shared" si="1"/>
        <v>0</v>
      </c>
      <c r="T16">
        <v>2001</v>
      </c>
      <c r="U16">
        <v>24</v>
      </c>
    </row>
    <row r="17" spans="1:21" x14ac:dyDescent="0.3">
      <c r="A17" s="4"/>
      <c r="D17" s="4" t="s">
        <v>50</v>
      </c>
      <c r="E17">
        <v>5.08</v>
      </c>
      <c r="F17" s="3">
        <f t="shared" si="2"/>
        <v>0.21598639455782315</v>
      </c>
      <c r="H17" s="4" t="s">
        <v>50</v>
      </c>
      <c r="I17">
        <v>14.77</v>
      </c>
      <c r="J17" s="3">
        <f t="shared" si="0"/>
        <v>0.62797619047619047</v>
      </c>
      <c r="M17">
        <v>2013</v>
      </c>
      <c r="O17">
        <v>3.42</v>
      </c>
      <c r="P17" s="3">
        <f t="shared" si="3"/>
        <v>0.14540816326530612</v>
      </c>
      <c r="R17" s="3">
        <f t="shared" si="1"/>
        <v>0</v>
      </c>
      <c r="T17">
        <v>2000</v>
      </c>
      <c r="U17">
        <v>23</v>
      </c>
    </row>
    <row r="18" spans="1:21" x14ac:dyDescent="0.3">
      <c r="A18" s="4"/>
      <c r="D18" s="4" t="s">
        <v>50</v>
      </c>
      <c r="E18">
        <v>2.62</v>
      </c>
      <c r="F18" s="3">
        <f t="shared" si="2"/>
        <v>0.11139455782312926</v>
      </c>
      <c r="H18" s="4" t="s">
        <v>50</v>
      </c>
      <c r="I18">
        <v>16.77</v>
      </c>
      <c r="J18" s="3">
        <f t="shared" si="0"/>
        <v>0.71301020408163263</v>
      </c>
      <c r="M18">
        <v>2013</v>
      </c>
      <c r="O18">
        <v>3.87</v>
      </c>
      <c r="P18" s="3">
        <f t="shared" si="3"/>
        <v>0.16454081632653061</v>
      </c>
      <c r="R18" s="3">
        <f t="shared" si="1"/>
        <v>0</v>
      </c>
      <c r="T18">
        <v>1999</v>
      </c>
      <c r="U18">
        <v>22</v>
      </c>
    </row>
    <row r="19" spans="1:21" x14ac:dyDescent="0.3">
      <c r="A19" s="4"/>
      <c r="D19" s="4" t="s">
        <v>50</v>
      </c>
      <c r="E19">
        <v>3.05</v>
      </c>
      <c r="F19" s="3">
        <f t="shared" si="2"/>
        <v>0.12967687074829931</v>
      </c>
      <c r="H19" s="4" t="s">
        <v>50</v>
      </c>
      <c r="I19">
        <v>17.690000000000001</v>
      </c>
      <c r="J19" s="3">
        <f t="shared" si="0"/>
        <v>0.75212585034013613</v>
      </c>
      <c r="M19">
        <v>2013</v>
      </c>
      <c r="O19">
        <v>3.96</v>
      </c>
      <c r="P19" s="3">
        <f t="shared" si="3"/>
        <v>0.1683673469387755</v>
      </c>
      <c r="R19" s="3">
        <f t="shared" si="1"/>
        <v>0</v>
      </c>
      <c r="T19">
        <v>1998</v>
      </c>
      <c r="U19">
        <v>19</v>
      </c>
    </row>
    <row r="20" spans="1:21" x14ac:dyDescent="0.3">
      <c r="A20" s="4"/>
      <c r="D20" s="4" t="s">
        <v>50</v>
      </c>
      <c r="E20">
        <v>4.58</v>
      </c>
      <c r="F20" s="3">
        <f t="shared" si="2"/>
        <v>0.19472789115646258</v>
      </c>
      <c r="H20" s="4" t="s">
        <v>50</v>
      </c>
      <c r="I20">
        <v>17.7</v>
      </c>
      <c r="J20" s="3">
        <f t="shared" si="0"/>
        <v>0.75255102040816324</v>
      </c>
      <c r="M20">
        <v>2012</v>
      </c>
      <c r="N20" s="9" t="s">
        <v>59</v>
      </c>
      <c r="O20">
        <v>3.55</v>
      </c>
      <c r="P20" s="3">
        <f t="shared" si="3"/>
        <v>0.15093537414965985</v>
      </c>
      <c r="R20" s="3">
        <f t="shared" si="1"/>
        <v>0</v>
      </c>
      <c r="T20">
        <v>1997</v>
      </c>
      <c r="U20">
        <v>16</v>
      </c>
    </row>
    <row r="21" spans="1:21" x14ac:dyDescent="0.3">
      <c r="A21" s="4"/>
      <c r="D21" s="4" t="s">
        <v>50</v>
      </c>
      <c r="E21">
        <v>2.63</v>
      </c>
      <c r="F21" s="3">
        <f t="shared" si="2"/>
        <v>0.11181972789115646</v>
      </c>
      <c r="H21" s="4" t="s">
        <v>50</v>
      </c>
      <c r="I21">
        <v>16.809999999999999</v>
      </c>
      <c r="J21" s="3">
        <f t="shared" si="0"/>
        <v>0.71471088435374142</v>
      </c>
      <c r="M21">
        <v>2012</v>
      </c>
      <c r="O21">
        <v>3.56</v>
      </c>
      <c r="P21" s="3">
        <f t="shared" si="3"/>
        <v>0.15136054421768708</v>
      </c>
      <c r="R21" s="3">
        <f t="shared" si="1"/>
        <v>0</v>
      </c>
      <c r="T21">
        <v>1996</v>
      </c>
      <c r="U21">
        <v>22</v>
      </c>
    </row>
    <row r="22" spans="1:21" x14ac:dyDescent="0.3">
      <c r="A22" s="4"/>
      <c r="D22" s="4" t="s">
        <v>50</v>
      </c>
      <c r="E22">
        <v>3.49</v>
      </c>
      <c r="F22" s="3">
        <f t="shared" si="2"/>
        <v>0.14838435374149661</v>
      </c>
      <c r="H22" s="4" t="s">
        <v>50</v>
      </c>
      <c r="I22">
        <v>17.29</v>
      </c>
      <c r="J22" s="3">
        <f t="shared" si="0"/>
        <v>0.73511904761904756</v>
      </c>
      <c r="M22">
        <v>2012</v>
      </c>
      <c r="O22">
        <v>5.54</v>
      </c>
      <c r="P22" s="3">
        <f t="shared" si="3"/>
        <v>0.23554421768707484</v>
      </c>
      <c r="R22" s="3">
        <f>Q22/23.52</f>
        <v>0</v>
      </c>
      <c r="T22">
        <v>1995</v>
      </c>
      <c r="U22">
        <v>21</v>
      </c>
    </row>
    <row r="23" spans="1:21" x14ac:dyDescent="0.3">
      <c r="A23" s="4"/>
      <c r="D23" s="4" t="s">
        <v>50</v>
      </c>
      <c r="E23">
        <v>3.02</v>
      </c>
      <c r="F23" s="3">
        <f t="shared" si="2"/>
        <v>0.12840136054421769</v>
      </c>
      <c r="H23" s="4" t="s">
        <v>50</v>
      </c>
      <c r="I23">
        <v>16.62</v>
      </c>
      <c r="J23" s="3">
        <f t="shared" si="0"/>
        <v>0.70663265306122458</v>
      </c>
      <c r="M23">
        <v>2012</v>
      </c>
      <c r="O23">
        <v>3.54</v>
      </c>
      <c r="P23" s="3">
        <f t="shared" si="3"/>
        <v>0.15051020408163265</v>
      </c>
      <c r="T23">
        <v>1994</v>
      </c>
      <c r="U23">
        <v>18</v>
      </c>
    </row>
    <row r="24" spans="1:21" x14ac:dyDescent="0.3">
      <c r="A24" s="4"/>
      <c r="D24" s="4" t="s">
        <v>51</v>
      </c>
      <c r="E24">
        <v>4.1900000000000004</v>
      </c>
      <c r="F24" s="3">
        <f t="shared" si="2"/>
        <v>0.17814625850340138</v>
      </c>
      <c r="H24" s="4" t="s">
        <v>50</v>
      </c>
      <c r="I24">
        <v>16.670000000000002</v>
      </c>
      <c r="J24" s="3">
        <f t="shared" si="0"/>
        <v>0.7087585034013606</v>
      </c>
      <c r="M24">
        <v>2012</v>
      </c>
      <c r="O24">
        <v>4.1900000000000004</v>
      </c>
      <c r="P24" s="3">
        <f t="shared" si="3"/>
        <v>0.17814625850340138</v>
      </c>
      <c r="T24">
        <v>1993</v>
      </c>
      <c r="U24">
        <v>23</v>
      </c>
    </row>
    <row r="25" spans="1:21" x14ac:dyDescent="0.3">
      <c r="A25" s="4"/>
      <c r="D25" s="4" t="s">
        <v>51</v>
      </c>
      <c r="E25">
        <v>2.5</v>
      </c>
      <c r="F25" s="3">
        <f t="shared" si="2"/>
        <v>0.10629251700680273</v>
      </c>
      <c r="H25" s="4" t="s">
        <v>51</v>
      </c>
      <c r="I25">
        <v>18.579999999999998</v>
      </c>
      <c r="J25" s="3">
        <f t="shared" si="0"/>
        <v>0.78996598639455773</v>
      </c>
      <c r="M25">
        <v>2011</v>
      </c>
      <c r="N25">
        <v>19</v>
      </c>
      <c r="O25">
        <v>3.5</v>
      </c>
      <c r="P25" s="3">
        <f t="shared" si="3"/>
        <v>0.14880952380952381</v>
      </c>
      <c r="T25">
        <v>1992</v>
      </c>
      <c r="U25">
        <v>22</v>
      </c>
    </row>
    <row r="26" spans="1:21" x14ac:dyDescent="0.3">
      <c r="A26" s="4"/>
      <c r="D26" s="4" t="s">
        <v>51</v>
      </c>
      <c r="E26">
        <v>2.14</v>
      </c>
      <c r="F26" s="3">
        <f t="shared" si="2"/>
        <v>9.0986394557823133E-2</v>
      </c>
      <c r="H26" s="4" t="s">
        <v>51</v>
      </c>
      <c r="I26">
        <v>15.86</v>
      </c>
      <c r="J26" s="3">
        <f t="shared" si="0"/>
        <v>0.67431972789115646</v>
      </c>
      <c r="M26">
        <v>2011</v>
      </c>
      <c r="N26">
        <v>21</v>
      </c>
      <c r="O26">
        <v>4.6500000000000004</v>
      </c>
      <c r="P26" s="3">
        <f t="shared" si="3"/>
        <v>0.19770408163265307</v>
      </c>
      <c r="T26">
        <v>1991</v>
      </c>
      <c r="U26">
        <v>19</v>
      </c>
    </row>
    <row r="27" spans="1:21" x14ac:dyDescent="0.3">
      <c r="D27" s="4" t="s">
        <v>51</v>
      </c>
      <c r="E27">
        <v>2.02</v>
      </c>
      <c r="F27" s="3">
        <f t="shared" si="2"/>
        <v>8.5884353741496597E-2</v>
      </c>
      <c r="H27" s="4" t="s">
        <v>51</v>
      </c>
      <c r="I27">
        <v>16.68</v>
      </c>
      <c r="J27" s="3">
        <f t="shared" si="0"/>
        <v>0.70918367346938771</v>
      </c>
      <c r="M27">
        <v>2011</v>
      </c>
      <c r="O27">
        <v>3.68</v>
      </c>
      <c r="P27" s="3">
        <f t="shared" si="3"/>
        <v>0.15646258503401361</v>
      </c>
      <c r="T27">
        <v>1990</v>
      </c>
      <c r="U27">
        <v>22</v>
      </c>
    </row>
    <row r="28" spans="1:21" x14ac:dyDescent="0.3">
      <c r="D28" s="4" t="s">
        <v>51</v>
      </c>
      <c r="E28">
        <v>1.65</v>
      </c>
      <c r="F28" s="3">
        <f t="shared" si="2"/>
        <v>7.0153061224489791E-2</v>
      </c>
      <c r="H28" s="4" t="s">
        <v>51</v>
      </c>
      <c r="I28">
        <v>17.38</v>
      </c>
      <c r="J28" s="3">
        <f t="shared" si="0"/>
        <v>0.73894557823129248</v>
      </c>
      <c r="M28">
        <v>2011</v>
      </c>
      <c r="O28">
        <v>5.7</v>
      </c>
      <c r="P28" s="3">
        <f t="shared" si="3"/>
        <v>0.24234693877551022</v>
      </c>
      <c r="T28">
        <v>1989</v>
      </c>
      <c r="U28">
        <v>16</v>
      </c>
    </row>
    <row r="29" spans="1:21" x14ac:dyDescent="0.3">
      <c r="A29" s="4" t="s">
        <v>7</v>
      </c>
      <c r="B29" s="3">
        <f>AVERAGE(B2:B26)</f>
        <v>23</v>
      </c>
      <c r="D29" s="4" t="s">
        <v>51</v>
      </c>
      <c r="E29">
        <v>1.56</v>
      </c>
      <c r="F29" s="3">
        <f t="shared" si="2"/>
        <v>6.6326530612244902E-2</v>
      </c>
      <c r="H29" s="4" t="s">
        <v>51</v>
      </c>
      <c r="I29">
        <v>12.38</v>
      </c>
      <c r="J29" s="3">
        <f t="shared" si="0"/>
        <v>0.52636054421768708</v>
      </c>
      <c r="M29">
        <v>2011</v>
      </c>
      <c r="O29">
        <v>2.73</v>
      </c>
      <c r="P29" s="3">
        <f t="shared" si="3"/>
        <v>0.11607142857142858</v>
      </c>
      <c r="T29">
        <v>1988</v>
      </c>
      <c r="U29">
        <v>19</v>
      </c>
    </row>
    <row r="30" spans="1:21" x14ac:dyDescent="0.3">
      <c r="A30" s="4" t="s">
        <v>32</v>
      </c>
      <c r="B30" s="3">
        <f>_xlfn.STDEV.S(B2:B26)</f>
        <v>1.5275252316519468</v>
      </c>
      <c r="D30" s="4" t="s">
        <v>51</v>
      </c>
      <c r="E30">
        <v>2.85</v>
      </c>
      <c r="F30" s="3">
        <f t="shared" si="2"/>
        <v>0.12117346938775511</v>
      </c>
      <c r="H30" s="4" t="s">
        <v>51</v>
      </c>
      <c r="I30">
        <v>12.49</v>
      </c>
      <c r="J30" s="3">
        <f t="shared" si="0"/>
        <v>0.53103741496598644</v>
      </c>
      <c r="M30">
        <v>2010</v>
      </c>
      <c r="N30">
        <v>17</v>
      </c>
      <c r="O30">
        <v>4.57</v>
      </c>
      <c r="P30" s="3">
        <f t="shared" si="3"/>
        <v>0.19430272108843538</v>
      </c>
      <c r="T30">
        <v>1987</v>
      </c>
      <c r="U30">
        <v>15</v>
      </c>
    </row>
    <row r="31" spans="1:21" x14ac:dyDescent="0.3">
      <c r="A31" s="4" t="s">
        <v>49</v>
      </c>
      <c r="B31">
        <f>COUNT(B2:B26)</f>
        <v>7</v>
      </c>
      <c r="D31" s="4" t="s">
        <v>51</v>
      </c>
      <c r="E31">
        <v>3.48</v>
      </c>
      <c r="F31" s="3">
        <f t="shared" si="2"/>
        <v>0.14795918367346939</v>
      </c>
      <c r="H31" s="4" t="s">
        <v>51</v>
      </c>
      <c r="I31">
        <v>14.61</v>
      </c>
      <c r="J31" s="3">
        <f t="shared" si="0"/>
        <v>0.62117346938775508</v>
      </c>
      <c r="M31">
        <v>2010</v>
      </c>
      <c r="O31">
        <v>4.54</v>
      </c>
      <c r="P31" s="3">
        <f t="shared" si="3"/>
        <v>0.19302721088435373</v>
      </c>
      <c r="T31">
        <v>1986</v>
      </c>
      <c r="U31">
        <v>18</v>
      </c>
    </row>
    <row r="32" spans="1:21" x14ac:dyDescent="0.3">
      <c r="D32" s="4" t="s">
        <v>51</v>
      </c>
      <c r="E32">
        <v>1.73</v>
      </c>
      <c r="F32" s="3">
        <f t="shared" si="2"/>
        <v>7.3554421768707481E-2</v>
      </c>
      <c r="H32" s="4" t="s">
        <v>51</v>
      </c>
      <c r="I32">
        <v>15.13</v>
      </c>
      <c r="J32" s="3">
        <f t="shared" si="0"/>
        <v>0.64328231292517013</v>
      </c>
      <c r="M32">
        <v>2010</v>
      </c>
      <c r="O32">
        <v>4.3099999999999996</v>
      </c>
      <c r="P32" s="3">
        <f t="shared" si="3"/>
        <v>0.18324829931972789</v>
      </c>
      <c r="T32">
        <v>1985</v>
      </c>
      <c r="U32">
        <v>16</v>
      </c>
    </row>
    <row r="33" spans="4:21" x14ac:dyDescent="0.3">
      <c r="D33" s="4" t="s">
        <v>51</v>
      </c>
      <c r="E33">
        <v>2.61</v>
      </c>
      <c r="F33" s="3">
        <f t="shared" si="2"/>
        <v>0.11096938775510204</v>
      </c>
      <c r="H33" s="4" t="s">
        <v>51</v>
      </c>
      <c r="I33">
        <v>15.72</v>
      </c>
      <c r="J33" s="3">
        <f t="shared" si="0"/>
        <v>0.66836734693877553</v>
      </c>
      <c r="M33">
        <v>2010</v>
      </c>
      <c r="O33">
        <v>3.48</v>
      </c>
      <c r="P33" s="3">
        <f t="shared" si="3"/>
        <v>0.14795918367346939</v>
      </c>
      <c r="T33">
        <v>1984</v>
      </c>
      <c r="U33">
        <v>13</v>
      </c>
    </row>
    <row r="34" spans="4:21" x14ac:dyDescent="0.3">
      <c r="D34" s="4" t="s">
        <v>51</v>
      </c>
      <c r="E34">
        <v>2.74</v>
      </c>
      <c r="F34" s="3">
        <f t="shared" si="2"/>
        <v>0.11649659863945579</v>
      </c>
      <c r="H34" s="4" t="s">
        <v>51</v>
      </c>
      <c r="I34">
        <v>13.4</v>
      </c>
      <c r="J34" s="3">
        <f t="shared" si="0"/>
        <v>0.56972789115646261</v>
      </c>
      <c r="M34">
        <v>2010</v>
      </c>
      <c r="O34">
        <v>2.85</v>
      </c>
      <c r="P34" s="3">
        <f t="shared" si="3"/>
        <v>0.12117346938775511</v>
      </c>
      <c r="T34">
        <v>1983</v>
      </c>
      <c r="U34">
        <v>15</v>
      </c>
    </row>
    <row r="35" spans="4:21" x14ac:dyDescent="0.3">
      <c r="D35" s="4" t="s">
        <v>51</v>
      </c>
      <c r="E35">
        <v>3.19</v>
      </c>
      <c r="F35" s="3">
        <f t="shared" si="2"/>
        <v>0.13562925170068027</v>
      </c>
      <c r="H35" s="4" t="s">
        <v>51</v>
      </c>
      <c r="I35">
        <v>19.63</v>
      </c>
      <c r="J35" s="3">
        <f t="shared" si="0"/>
        <v>0.83460884353741494</v>
      </c>
      <c r="M35">
        <v>2009</v>
      </c>
      <c r="N35" s="9" t="s">
        <v>58</v>
      </c>
      <c r="O35">
        <v>4.57</v>
      </c>
      <c r="P35" s="3">
        <f t="shared" si="3"/>
        <v>0.19430272108843538</v>
      </c>
      <c r="T35">
        <v>1982</v>
      </c>
      <c r="U35">
        <v>15</v>
      </c>
    </row>
    <row r="36" spans="4:21" x14ac:dyDescent="0.3">
      <c r="D36" s="4" t="s">
        <v>51</v>
      </c>
      <c r="E36">
        <v>4.8099999999999996</v>
      </c>
      <c r="F36" s="3">
        <f t="shared" si="2"/>
        <v>0.20450680272108843</v>
      </c>
      <c r="H36" s="4" t="s">
        <v>51</v>
      </c>
      <c r="I36">
        <v>13.7</v>
      </c>
      <c r="J36" s="3">
        <f t="shared" si="0"/>
        <v>0.58248299319727892</v>
      </c>
      <c r="M36">
        <v>2009</v>
      </c>
      <c r="N36" s="9"/>
      <c r="O36">
        <v>2.86</v>
      </c>
      <c r="P36" s="3">
        <f t="shared" si="3"/>
        <v>0.12159863945578231</v>
      </c>
      <c r="T36">
        <v>1981</v>
      </c>
      <c r="U36">
        <v>13</v>
      </c>
    </row>
    <row r="37" spans="4:21" x14ac:dyDescent="0.3">
      <c r="D37" s="4" t="s">
        <v>51</v>
      </c>
      <c r="E37">
        <v>2.76</v>
      </c>
      <c r="F37" s="3">
        <f t="shared" si="2"/>
        <v>0.1173469387755102</v>
      </c>
      <c r="H37" s="4" t="s">
        <v>51</v>
      </c>
      <c r="I37">
        <v>13.53</v>
      </c>
      <c r="J37" s="3">
        <f t="shared" si="0"/>
        <v>0.57525510204081631</v>
      </c>
      <c r="M37">
        <v>2009</v>
      </c>
      <c r="N37" s="9"/>
      <c r="O37">
        <v>3.86</v>
      </c>
      <c r="P37" s="3">
        <f t="shared" si="3"/>
        <v>0.16411564625850339</v>
      </c>
    </row>
    <row r="38" spans="4:21" x14ac:dyDescent="0.3">
      <c r="D38" s="4" t="s">
        <v>51</v>
      </c>
      <c r="E38">
        <v>3.48</v>
      </c>
      <c r="F38" s="3">
        <f t="shared" si="2"/>
        <v>0.14795918367346939</v>
      </c>
      <c r="H38" s="4" t="s">
        <v>51</v>
      </c>
      <c r="I38">
        <v>16.05</v>
      </c>
      <c r="J38" s="3">
        <f t="shared" si="0"/>
        <v>0.68239795918367352</v>
      </c>
      <c r="M38">
        <v>2009</v>
      </c>
      <c r="N38" s="9"/>
      <c r="O38">
        <v>3.67</v>
      </c>
      <c r="P38" s="3">
        <f t="shared" si="3"/>
        <v>0.15603741496598639</v>
      </c>
    </row>
    <row r="39" spans="4:21" x14ac:dyDescent="0.3">
      <c r="D39" s="4" t="s">
        <v>51</v>
      </c>
      <c r="E39">
        <v>2.75</v>
      </c>
      <c r="F39" s="3">
        <f t="shared" si="2"/>
        <v>0.116921768707483</v>
      </c>
      <c r="H39" s="4" t="s">
        <v>51</v>
      </c>
      <c r="I39">
        <v>13.48</v>
      </c>
      <c r="J39" s="3">
        <f t="shared" si="0"/>
        <v>0.5731292517006803</v>
      </c>
      <c r="M39">
        <v>2009</v>
      </c>
      <c r="N39" s="9"/>
      <c r="O39">
        <v>2.77</v>
      </c>
      <c r="P39" s="3">
        <f t="shared" si="3"/>
        <v>0.11777210884353742</v>
      </c>
    </row>
    <row r="40" spans="4:21" x14ac:dyDescent="0.3">
      <c r="D40" s="4" t="s">
        <v>51</v>
      </c>
      <c r="E40">
        <v>2.58</v>
      </c>
      <c r="F40" s="3">
        <f t="shared" si="2"/>
        <v>0.10969387755102042</v>
      </c>
      <c r="H40" s="4" t="s">
        <v>51</v>
      </c>
      <c r="I40">
        <v>10.38</v>
      </c>
      <c r="J40" s="3">
        <f t="shared" si="0"/>
        <v>0.44132653061224492</v>
      </c>
      <c r="M40">
        <v>2008</v>
      </c>
      <c r="N40" s="9" t="s">
        <v>57</v>
      </c>
      <c r="O40">
        <v>4.51</v>
      </c>
      <c r="P40" s="3">
        <f t="shared" si="3"/>
        <v>0.19175170068027211</v>
      </c>
    </row>
    <row r="41" spans="4:21" x14ac:dyDescent="0.3">
      <c r="D41" s="4" t="s">
        <v>51</v>
      </c>
      <c r="E41">
        <v>3.47</v>
      </c>
      <c r="F41" s="3">
        <f t="shared" si="2"/>
        <v>0.14753401360544219</v>
      </c>
      <c r="H41" s="4" t="s">
        <v>51</v>
      </c>
      <c r="I41">
        <v>15.66</v>
      </c>
      <c r="J41" s="3">
        <f t="shared" si="0"/>
        <v>0.66581632653061229</v>
      </c>
      <c r="M41">
        <v>2008</v>
      </c>
      <c r="N41" s="9"/>
      <c r="O41">
        <v>3.64</v>
      </c>
      <c r="P41" s="3">
        <f t="shared" si="3"/>
        <v>0.15476190476190477</v>
      </c>
    </row>
    <row r="42" spans="4:21" x14ac:dyDescent="0.3">
      <c r="M42">
        <v>2008</v>
      </c>
      <c r="N42" s="9"/>
      <c r="O42">
        <v>4.68</v>
      </c>
      <c r="P42" s="3">
        <f t="shared" si="3"/>
        <v>0.19897959183673469</v>
      </c>
    </row>
    <row r="43" spans="4:21" x14ac:dyDescent="0.3">
      <c r="D43" s="4" t="s">
        <v>7</v>
      </c>
      <c r="E43" s="3">
        <f>AVERAGE(E2:E41)</f>
        <v>3.2897500000000002</v>
      </c>
      <c r="F43" s="3">
        <f>AVERAGE(F2:F41)</f>
        <v>0.13987032312925171</v>
      </c>
      <c r="H43" s="4" t="s">
        <v>7</v>
      </c>
      <c r="I43" s="3">
        <f>AVERAGE(I2:I41)</f>
        <v>15.344000000000003</v>
      </c>
      <c r="J43" s="3">
        <f>AVERAGE(J2:J41)</f>
        <v>0.65238095238095228</v>
      </c>
      <c r="M43">
        <v>2008</v>
      </c>
      <c r="N43" s="9"/>
      <c r="O43">
        <v>3.61</v>
      </c>
      <c r="P43" s="3">
        <f t="shared" si="3"/>
        <v>0.15348639455782312</v>
      </c>
    </row>
    <row r="44" spans="4:21" x14ac:dyDescent="0.3">
      <c r="D44" s="4" t="s">
        <v>32</v>
      </c>
      <c r="E44" s="3">
        <f>_xlfn.STDEV.S(E2:E41)</f>
        <v>0.991534649691309</v>
      </c>
      <c r="F44" s="3">
        <f>_xlfn.STDEV.S(F27:F41)</f>
        <v>3.6410287797729785E-2</v>
      </c>
      <c r="H44" s="4" t="s">
        <v>32</v>
      </c>
      <c r="I44" s="3">
        <f>_xlfn.STDEV.S(I2:I41)</f>
        <v>1.9934222602580418</v>
      </c>
      <c r="J44" s="3">
        <f>_xlfn.STDEV.S(J27:J41)</f>
        <v>9.7654456163874373E-2</v>
      </c>
      <c r="M44">
        <v>2008</v>
      </c>
      <c r="N44" s="9"/>
      <c r="O44">
        <v>4.8499999999999996</v>
      </c>
      <c r="P44" s="3">
        <f t="shared" si="3"/>
        <v>0.20620748299319727</v>
      </c>
    </row>
    <row r="45" spans="4:21" x14ac:dyDescent="0.3">
      <c r="D45" s="4" t="s">
        <v>49</v>
      </c>
      <c r="E45">
        <f>COUNT(E2:E41)</f>
        <v>40</v>
      </c>
      <c r="F45">
        <f>COUNT(F2:F41)</f>
        <v>40</v>
      </c>
      <c r="H45" s="4" t="s">
        <v>49</v>
      </c>
      <c r="I45">
        <f>COUNT(I2:I41)</f>
        <v>40</v>
      </c>
      <c r="J45">
        <f>COUNT(J2:J41)</f>
        <v>40</v>
      </c>
      <c r="M45">
        <v>2007</v>
      </c>
      <c r="N45">
        <v>25</v>
      </c>
      <c r="O45">
        <v>3.62</v>
      </c>
      <c r="P45" s="3">
        <f t="shared" si="3"/>
        <v>0.15391156462585034</v>
      </c>
    </row>
    <row r="46" spans="4:21" x14ac:dyDescent="0.3">
      <c r="M46">
        <v>2007</v>
      </c>
      <c r="O46">
        <v>2.69</v>
      </c>
      <c r="P46" s="3">
        <f t="shared" si="3"/>
        <v>0.11437074829931973</v>
      </c>
    </row>
    <row r="47" spans="4:21" x14ac:dyDescent="0.3">
      <c r="M47">
        <v>2007</v>
      </c>
      <c r="O47">
        <v>4.6900000000000004</v>
      </c>
      <c r="P47" s="3">
        <f t="shared" si="3"/>
        <v>0.19940476190476192</v>
      </c>
    </row>
    <row r="48" spans="4:21" x14ac:dyDescent="0.3">
      <c r="M48">
        <v>2007</v>
      </c>
      <c r="O48">
        <v>4.21</v>
      </c>
      <c r="P48" s="3">
        <f t="shared" si="3"/>
        <v>0.17899659863945577</v>
      </c>
    </row>
    <row r="49" spans="13:16" x14ac:dyDescent="0.3">
      <c r="M49">
        <v>2007</v>
      </c>
      <c r="O49">
        <v>3.83</v>
      </c>
      <c r="P49" s="3">
        <f t="shared" si="3"/>
        <v>0.16284013605442177</v>
      </c>
    </row>
    <row r="50" spans="13:16" x14ac:dyDescent="0.3">
      <c r="M50">
        <v>2006</v>
      </c>
      <c r="N50" s="9" t="s">
        <v>56</v>
      </c>
      <c r="O50">
        <v>7.26</v>
      </c>
      <c r="P50" s="3">
        <f t="shared" si="3"/>
        <v>0.30867346938775508</v>
      </c>
    </row>
    <row r="51" spans="13:16" x14ac:dyDescent="0.3">
      <c r="M51">
        <v>2006</v>
      </c>
      <c r="N51" s="9"/>
      <c r="O51">
        <v>3.14</v>
      </c>
      <c r="P51" s="3">
        <f t="shared" si="3"/>
        <v>0.13350340136054423</v>
      </c>
    </row>
    <row r="52" spans="13:16" x14ac:dyDescent="0.3">
      <c r="M52">
        <v>2006</v>
      </c>
      <c r="N52" s="9"/>
      <c r="O52">
        <v>4.67</v>
      </c>
      <c r="P52" s="3">
        <f t="shared" si="3"/>
        <v>0.1985544217687075</v>
      </c>
    </row>
    <row r="53" spans="13:16" x14ac:dyDescent="0.3">
      <c r="M53">
        <v>2006</v>
      </c>
      <c r="N53" s="9"/>
      <c r="O53">
        <v>2.75</v>
      </c>
      <c r="P53" s="3">
        <f t="shared" si="3"/>
        <v>0.116921768707483</v>
      </c>
    </row>
    <row r="54" spans="13:16" x14ac:dyDescent="0.3">
      <c r="M54">
        <v>2006</v>
      </c>
      <c r="N54" s="9"/>
      <c r="O54">
        <v>4.16</v>
      </c>
      <c r="P54" s="3">
        <f t="shared" si="3"/>
        <v>0.17687074829931973</v>
      </c>
    </row>
    <row r="55" spans="13:16" x14ac:dyDescent="0.3">
      <c r="M55">
        <v>2005</v>
      </c>
      <c r="N55">
        <v>17</v>
      </c>
      <c r="O55">
        <v>4.04</v>
      </c>
      <c r="P55" s="3">
        <f t="shared" si="3"/>
        <v>0.17176870748299319</v>
      </c>
    </row>
    <row r="56" spans="13:16" x14ac:dyDescent="0.3">
      <c r="M56">
        <v>2005</v>
      </c>
      <c r="O56">
        <v>3.94</v>
      </c>
      <c r="P56" s="3">
        <f t="shared" si="3"/>
        <v>0.16751700680272108</v>
      </c>
    </row>
    <row r="57" spans="13:16" x14ac:dyDescent="0.3">
      <c r="M57">
        <v>2005</v>
      </c>
      <c r="O57">
        <v>3.95</v>
      </c>
      <c r="P57" s="3">
        <f t="shared" si="3"/>
        <v>0.16794217687074831</v>
      </c>
    </row>
    <row r="58" spans="13:16" x14ac:dyDescent="0.3">
      <c r="M58">
        <v>2005</v>
      </c>
      <c r="O58">
        <v>3.83</v>
      </c>
      <c r="P58" s="3">
        <f t="shared" si="3"/>
        <v>0.16284013605442177</v>
      </c>
    </row>
    <row r="59" spans="13:16" x14ac:dyDescent="0.3">
      <c r="M59">
        <v>2005</v>
      </c>
      <c r="O59">
        <v>3.64</v>
      </c>
      <c r="P59" s="3">
        <f t="shared" si="3"/>
        <v>0.15476190476190477</v>
      </c>
    </row>
    <row r="60" spans="13:16" x14ac:dyDescent="0.3">
      <c r="M60">
        <v>2004</v>
      </c>
      <c r="N60" s="9" t="s">
        <v>55</v>
      </c>
      <c r="O60">
        <v>3.79</v>
      </c>
      <c r="P60" s="3">
        <f t="shared" si="3"/>
        <v>0.16113945578231292</v>
      </c>
    </row>
    <row r="61" spans="13:16" x14ac:dyDescent="0.3">
      <c r="M61">
        <v>2004</v>
      </c>
      <c r="N61" s="9"/>
      <c r="O61">
        <v>5.12</v>
      </c>
      <c r="P61" s="3">
        <f t="shared" si="3"/>
        <v>0.21768707482993199</v>
      </c>
    </row>
    <row r="62" spans="13:16" x14ac:dyDescent="0.3">
      <c r="M62">
        <v>2004</v>
      </c>
      <c r="N62" s="9"/>
      <c r="O62">
        <v>3.72</v>
      </c>
      <c r="P62" s="3">
        <f t="shared" si="3"/>
        <v>0.15816326530612246</v>
      </c>
    </row>
    <row r="63" spans="13:16" x14ac:dyDescent="0.3">
      <c r="M63">
        <v>2004</v>
      </c>
      <c r="N63" s="9"/>
      <c r="O63">
        <v>3</v>
      </c>
      <c r="P63" s="3">
        <f t="shared" si="3"/>
        <v>0.12755102040816327</v>
      </c>
    </row>
    <row r="64" spans="13:16" x14ac:dyDescent="0.3">
      <c r="M64">
        <v>2004</v>
      </c>
      <c r="N64" s="9"/>
      <c r="O64">
        <v>3.06</v>
      </c>
      <c r="P64" s="3">
        <f t="shared" si="3"/>
        <v>0.13010204081632654</v>
      </c>
    </row>
    <row r="65" spans="13:16" x14ac:dyDescent="0.3">
      <c r="M65">
        <v>2003</v>
      </c>
      <c r="N65" s="9" t="s">
        <v>54</v>
      </c>
      <c r="O65">
        <v>4.47</v>
      </c>
      <c r="P65" s="3">
        <f t="shared" si="3"/>
        <v>0.19005102040816327</v>
      </c>
    </row>
    <row r="66" spans="13:16" x14ac:dyDescent="0.3">
      <c r="M66">
        <v>2003</v>
      </c>
      <c r="N66" s="9"/>
      <c r="O66">
        <v>4.53</v>
      </c>
      <c r="P66" s="3">
        <f t="shared" si="3"/>
        <v>0.19260204081632654</v>
      </c>
    </row>
    <row r="67" spans="13:16" x14ac:dyDescent="0.3">
      <c r="M67">
        <v>2003</v>
      </c>
      <c r="N67" s="9"/>
      <c r="O67">
        <v>2.94</v>
      </c>
      <c r="P67" s="3">
        <f t="shared" si="3"/>
        <v>0.125</v>
      </c>
    </row>
    <row r="68" spans="13:16" x14ac:dyDescent="0.3">
      <c r="M68">
        <v>2003</v>
      </c>
      <c r="N68" s="9"/>
      <c r="O68">
        <v>3.23</v>
      </c>
      <c r="P68" s="3">
        <f t="shared" si="3"/>
        <v>0.13732993197278912</v>
      </c>
    </row>
    <row r="69" spans="13:16" x14ac:dyDescent="0.3">
      <c r="M69">
        <v>2003</v>
      </c>
      <c r="N69" s="9"/>
      <c r="O69">
        <v>3.77</v>
      </c>
      <c r="P69" s="3">
        <f t="shared" si="3"/>
        <v>0.1602891156462585</v>
      </c>
    </row>
    <row r="70" spans="13:16" x14ac:dyDescent="0.3">
      <c r="M70">
        <v>2002</v>
      </c>
      <c r="N70">
        <v>23</v>
      </c>
      <c r="O70">
        <v>4.03</v>
      </c>
      <c r="P70" s="3">
        <f t="shared" si="3"/>
        <v>0.171343537414966</v>
      </c>
    </row>
    <row r="71" spans="13:16" x14ac:dyDescent="0.3">
      <c r="M71">
        <v>2002</v>
      </c>
      <c r="N71">
        <v>20</v>
      </c>
      <c r="O71">
        <v>4.01</v>
      </c>
      <c r="P71" s="3">
        <f t="shared" si="3"/>
        <v>0.17049319727891155</v>
      </c>
    </row>
    <row r="72" spans="13:16" x14ac:dyDescent="0.3">
      <c r="M72">
        <v>2002</v>
      </c>
      <c r="O72">
        <v>3.62</v>
      </c>
      <c r="P72" s="3">
        <f t="shared" si="3"/>
        <v>0.15391156462585034</v>
      </c>
    </row>
    <row r="73" spans="13:16" x14ac:dyDescent="0.3">
      <c r="M73">
        <v>2002</v>
      </c>
      <c r="O73">
        <v>3.27</v>
      </c>
      <c r="P73" s="3">
        <f t="shared" si="3"/>
        <v>0.13903061224489796</v>
      </c>
    </row>
    <row r="74" spans="13:16" x14ac:dyDescent="0.3">
      <c r="M74">
        <v>2002</v>
      </c>
      <c r="O74">
        <v>4.7300000000000004</v>
      </c>
      <c r="P74" s="3">
        <f t="shared" si="3"/>
        <v>0.20110544217687076</v>
      </c>
    </row>
    <row r="75" spans="13:16" x14ac:dyDescent="0.3">
      <c r="M75">
        <v>2001</v>
      </c>
      <c r="N75">
        <v>23</v>
      </c>
      <c r="O75">
        <v>3.77</v>
      </c>
      <c r="P75" s="3">
        <f t="shared" si="3"/>
        <v>0.1602891156462585</v>
      </c>
    </row>
    <row r="76" spans="13:16" x14ac:dyDescent="0.3">
      <c r="M76">
        <v>2001</v>
      </c>
      <c r="N76">
        <v>25</v>
      </c>
      <c r="O76">
        <v>4.0999999999999996</v>
      </c>
      <c r="P76" s="3">
        <f t="shared" si="3"/>
        <v>0.17431972789115646</v>
      </c>
    </row>
    <row r="77" spans="13:16" x14ac:dyDescent="0.3">
      <c r="M77">
        <v>2001</v>
      </c>
      <c r="O77">
        <v>3.63</v>
      </c>
      <c r="P77" s="3">
        <f t="shared" si="3"/>
        <v>0.15433673469387754</v>
      </c>
    </row>
    <row r="78" spans="13:16" x14ac:dyDescent="0.3">
      <c r="M78">
        <v>2001</v>
      </c>
      <c r="O78">
        <v>4.46</v>
      </c>
      <c r="P78" s="3">
        <f t="shared" si="3"/>
        <v>0.18962585034013604</v>
      </c>
    </row>
    <row r="79" spans="13:16" x14ac:dyDescent="0.3">
      <c r="M79">
        <v>2001</v>
      </c>
      <c r="O79">
        <v>2.94</v>
      </c>
      <c r="P79" s="3">
        <f t="shared" si="3"/>
        <v>0.125</v>
      </c>
    </row>
    <row r="80" spans="13:16" x14ac:dyDescent="0.3">
      <c r="M80">
        <v>2000</v>
      </c>
      <c r="N80">
        <v>23</v>
      </c>
      <c r="O80">
        <v>3.21</v>
      </c>
      <c r="P80" s="3">
        <f t="shared" si="3"/>
        <v>0.13647959183673469</v>
      </c>
    </row>
    <row r="81" spans="13:16" x14ac:dyDescent="0.3">
      <c r="M81">
        <v>2000</v>
      </c>
      <c r="O81">
        <v>3.01</v>
      </c>
      <c r="P81" s="3">
        <f t="shared" si="3"/>
        <v>0.12797619047619047</v>
      </c>
    </row>
    <row r="82" spans="13:16" x14ac:dyDescent="0.3">
      <c r="M82">
        <v>2000</v>
      </c>
      <c r="O82">
        <v>4.8600000000000003</v>
      </c>
      <c r="P82" s="3">
        <f t="shared" si="3"/>
        <v>0.2066326530612245</v>
      </c>
    </row>
    <row r="83" spans="13:16" x14ac:dyDescent="0.3">
      <c r="M83">
        <v>2000</v>
      </c>
      <c r="O83">
        <v>3.93</v>
      </c>
      <c r="P83" s="3">
        <f t="shared" si="3"/>
        <v>0.16709183673469388</v>
      </c>
    </row>
    <row r="84" spans="13:16" x14ac:dyDescent="0.3">
      <c r="M84">
        <v>2000</v>
      </c>
      <c r="O84">
        <v>2.66</v>
      </c>
      <c r="P84" s="3">
        <f t="shared" si="3"/>
        <v>0.11309523809523811</v>
      </c>
    </row>
    <row r="85" spans="13:16" x14ac:dyDescent="0.3">
      <c r="M85">
        <v>1999</v>
      </c>
      <c r="N85">
        <v>22</v>
      </c>
      <c r="O85">
        <v>3.17</v>
      </c>
      <c r="P85" s="3">
        <f t="shared" si="3"/>
        <v>0.13477891156462585</v>
      </c>
    </row>
    <row r="86" spans="13:16" x14ac:dyDescent="0.3">
      <c r="M86">
        <v>1999</v>
      </c>
      <c r="O86">
        <v>3.61</v>
      </c>
      <c r="P86" s="3">
        <f t="shared" si="3"/>
        <v>0.15348639455782312</v>
      </c>
    </row>
    <row r="87" spans="13:16" x14ac:dyDescent="0.3">
      <c r="M87">
        <v>1999</v>
      </c>
      <c r="O87">
        <v>3.58</v>
      </c>
      <c r="P87" s="3">
        <f t="shared" si="3"/>
        <v>0.1522108843537415</v>
      </c>
    </row>
    <row r="88" spans="13:16" x14ac:dyDescent="0.3">
      <c r="M88">
        <v>1999</v>
      </c>
      <c r="O88">
        <v>2.57</v>
      </c>
      <c r="P88" s="3">
        <f t="shared" si="3"/>
        <v>0.10926870748299319</v>
      </c>
    </row>
    <row r="89" spans="13:16" x14ac:dyDescent="0.3">
      <c r="M89">
        <v>1999</v>
      </c>
      <c r="O89">
        <v>3.05</v>
      </c>
      <c r="P89" s="3">
        <f t="shared" si="3"/>
        <v>0.12967687074829931</v>
      </c>
    </row>
    <row r="90" spans="13:16" x14ac:dyDescent="0.3">
      <c r="M90">
        <v>1998</v>
      </c>
      <c r="N90">
        <v>19</v>
      </c>
      <c r="O90">
        <v>2.95</v>
      </c>
      <c r="P90" s="3">
        <f t="shared" si="3"/>
        <v>0.12542517006802723</v>
      </c>
    </row>
    <row r="91" spans="13:16" x14ac:dyDescent="0.3">
      <c r="M91">
        <v>1998</v>
      </c>
      <c r="O91">
        <v>2.2599999999999998</v>
      </c>
      <c r="P91" s="3">
        <f t="shared" si="3"/>
        <v>9.6088435374149656E-2</v>
      </c>
    </row>
    <row r="92" spans="13:16" x14ac:dyDescent="0.3">
      <c r="M92">
        <v>1998</v>
      </c>
      <c r="O92">
        <v>2.96</v>
      </c>
      <c r="P92" s="3">
        <f t="shared" si="3"/>
        <v>0.12585034013605442</v>
      </c>
    </row>
    <row r="93" spans="13:16" x14ac:dyDescent="0.3">
      <c r="M93">
        <v>1998</v>
      </c>
      <c r="O93">
        <v>4.03</v>
      </c>
      <c r="P93" s="3">
        <f t="shared" si="3"/>
        <v>0.171343537414966</v>
      </c>
    </row>
    <row r="94" spans="13:16" x14ac:dyDescent="0.3">
      <c r="M94">
        <v>1998</v>
      </c>
      <c r="O94">
        <v>2.81</v>
      </c>
      <c r="P94" s="3">
        <f t="shared" si="3"/>
        <v>0.11947278911564627</v>
      </c>
    </row>
    <row r="95" spans="13:16" x14ac:dyDescent="0.3">
      <c r="M95">
        <v>1997</v>
      </c>
      <c r="N95">
        <v>16</v>
      </c>
      <c r="O95">
        <v>3.04</v>
      </c>
      <c r="P95" s="3">
        <f t="shared" si="3"/>
        <v>0.12925170068027211</v>
      </c>
    </row>
    <row r="96" spans="13:16" x14ac:dyDescent="0.3">
      <c r="M96">
        <v>1997</v>
      </c>
      <c r="O96">
        <v>4.51</v>
      </c>
      <c r="P96" s="3">
        <f t="shared" si="3"/>
        <v>0.19175170068027211</v>
      </c>
    </row>
    <row r="97" spans="13:16" x14ac:dyDescent="0.3">
      <c r="M97">
        <v>1997</v>
      </c>
      <c r="O97">
        <v>4.3499999999999996</v>
      </c>
      <c r="P97" s="3">
        <f t="shared" si="3"/>
        <v>0.18494897959183673</v>
      </c>
    </row>
    <row r="98" spans="13:16" x14ac:dyDescent="0.3">
      <c r="M98">
        <v>1997</v>
      </c>
      <c r="O98">
        <v>3.58</v>
      </c>
      <c r="P98" s="3">
        <f t="shared" si="3"/>
        <v>0.1522108843537415</v>
      </c>
    </row>
    <row r="99" spans="13:16" x14ac:dyDescent="0.3">
      <c r="M99">
        <v>1997</v>
      </c>
      <c r="O99">
        <v>2.5299999999999998</v>
      </c>
      <c r="P99" s="3">
        <f t="shared" si="3"/>
        <v>0.10756802721088435</v>
      </c>
    </row>
    <row r="100" spans="13:16" x14ac:dyDescent="0.3">
      <c r="M100">
        <v>1996</v>
      </c>
      <c r="N100">
        <v>21</v>
      </c>
      <c r="O100">
        <v>3.02</v>
      </c>
      <c r="P100" s="3">
        <f t="shared" si="3"/>
        <v>0.12840136054421769</v>
      </c>
    </row>
    <row r="101" spans="13:16" x14ac:dyDescent="0.3">
      <c r="M101">
        <v>1996</v>
      </c>
      <c r="N101">
        <v>23</v>
      </c>
      <c r="O101">
        <v>5.26</v>
      </c>
      <c r="P101" s="3">
        <f t="shared" si="3"/>
        <v>0.22363945578231292</v>
      </c>
    </row>
    <row r="102" spans="13:16" x14ac:dyDescent="0.3">
      <c r="M102">
        <v>1996</v>
      </c>
      <c r="O102">
        <v>3.05</v>
      </c>
      <c r="P102" s="3">
        <f t="shared" si="3"/>
        <v>0.12967687074829931</v>
      </c>
    </row>
    <row r="103" spans="13:16" x14ac:dyDescent="0.3">
      <c r="M103">
        <v>1996</v>
      </c>
      <c r="O103">
        <v>2.8</v>
      </c>
      <c r="P103" s="3">
        <f t="shared" si="3"/>
        <v>0.11904761904761904</v>
      </c>
    </row>
    <row r="104" spans="13:16" x14ac:dyDescent="0.3">
      <c r="M104">
        <v>1996</v>
      </c>
      <c r="O104">
        <v>4.03</v>
      </c>
      <c r="P104" s="3">
        <f t="shared" si="3"/>
        <v>0.171343537414966</v>
      </c>
    </row>
    <row r="105" spans="13:16" x14ac:dyDescent="0.3">
      <c r="M105">
        <v>1995</v>
      </c>
      <c r="N105">
        <v>21</v>
      </c>
      <c r="O105">
        <v>2.86</v>
      </c>
      <c r="P105" s="3">
        <f t="shared" si="3"/>
        <v>0.12159863945578231</v>
      </c>
    </row>
    <row r="106" spans="13:16" x14ac:dyDescent="0.3">
      <c r="M106">
        <v>1995</v>
      </c>
      <c r="O106">
        <v>3.23</v>
      </c>
      <c r="P106" s="3">
        <f t="shared" si="3"/>
        <v>0.13732993197278912</v>
      </c>
    </row>
    <row r="107" spans="13:16" x14ac:dyDescent="0.3">
      <c r="M107">
        <v>1995</v>
      </c>
      <c r="O107">
        <v>3.72</v>
      </c>
      <c r="P107" s="3">
        <f t="shared" si="3"/>
        <v>0.15816326530612246</v>
      </c>
    </row>
    <row r="108" spans="13:16" x14ac:dyDescent="0.3">
      <c r="M108">
        <v>1995</v>
      </c>
      <c r="O108">
        <v>5.16</v>
      </c>
      <c r="P108" s="3">
        <f t="shared" si="3"/>
        <v>0.21938775510204084</v>
      </c>
    </row>
    <row r="109" spans="13:16" x14ac:dyDescent="0.3">
      <c r="M109">
        <v>1995</v>
      </c>
      <c r="O109">
        <v>2.58</v>
      </c>
      <c r="P109" s="3">
        <f t="shared" si="3"/>
        <v>0.10969387755102042</v>
      </c>
    </row>
    <row r="110" spans="13:16" x14ac:dyDescent="0.3">
      <c r="M110">
        <v>1994</v>
      </c>
      <c r="N110">
        <v>18</v>
      </c>
    </row>
    <row r="111" spans="13:16" x14ac:dyDescent="0.3">
      <c r="M111">
        <v>1994</v>
      </c>
      <c r="N111">
        <v>18</v>
      </c>
    </row>
    <row r="112" spans="13:16" x14ac:dyDescent="0.3">
      <c r="M112">
        <v>1993</v>
      </c>
      <c r="N112">
        <v>23</v>
      </c>
    </row>
    <row r="113" spans="13:14" x14ac:dyDescent="0.3">
      <c r="M113">
        <v>1992</v>
      </c>
      <c r="N113">
        <v>22</v>
      </c>
    </row>
    <row r="114" spans="13:14" x14ac:dyDescent="0.3">
      <c r="M114">
        <v>1991</v>
      </c>
      <c r="N114">
        <v>19</v>
      </c>
    </row>
    <row r="115" spans="13:14" x14ac:dyDescent="0.3">
      <c r="M115">
        <v>1990</v>
      </c>
      <c r="N115">
        <v>22</v>
      </c>
    </row>
    <row r="116" spans="13:14" x14ac:dyDescent="0.3">
      <c r="M116">
        <v>1989</v>
      </c>
      <c r="N116">
        <v>16</v>
      </c>
    </row>
    <row r="117" spans="13:14" x14ac:dyDescent="0.3">
      <c r="M117">
        <v>1988</v>
      </c>
      <c r="N117">
        <v>19</v>
      </c>
    </row>
    <row r="118" spans="13:14" x14ac:dyDescent="0.3">
      <c r="M118">
        <v>1987</v>
      </c>
      <c r="N118">
        <v>15</v>
      </c>
    </row>
    <row r="119" spans="13:14" x14ac:dyDescent="0.3">
      <c r="M119">
        <v>1986</v>
      </c>
      <c r="N119">
        <v>18</v>
      </c>
    </row>
    <row r="120" spans="13:14" x14ac:dyDescent="0.3">
      <c r="M120">
        <v>1985</v>
      </c>
      <c r="N120">
        <v>16</v>
      </c>
    </row>
    <row r="121" spans="13:14" x14ac:dyDescent="0.3">
      <c r="M121">
        <v>1984</v>
      </c>
      <c r="N121">
        <v>13</v>
      </c>
    </row>
    <row r="122" spans="13:14" x14ac:dyDescent="0.3">
      <c r="M122">
        <v>1983</v>
      </c>
      <c r="N122">
        <v>14</v>
      </c>
    </row>
    <row r="123" spans="13:14" x14ac:dyDescent="0.3">
      <c r="M123">
        <v>1983</v>
      </c>
      <c r="N123">
        <v>16</v>
      </c>
    </row>
    <row r="124" spans="13:14" x14ac:dyDescent="0.3">
      <c r="M124">
        <v>1983</v>
      </c>
      <c r="N124">
        <v>15</v>
      </c>
    </row>
    <row r="125" spans="13:14" x14ac:dyDescent="0.3">
      <c r="M125">
        <v>1982</v>
      </c>
      <c r="N125">
        <v>15</v>
      </c>
    </row>
    <row r="126" spans="13:14" x14ac:dyDescent="0.3">
      <c r="M126">
        <v>1981</v>
      </c>
      <c r="N126">
        <v>13</v>
      </c>
    </row>
    <row r="127" spans="13:14" x14ac:dyDescent="0.3">
      <c r="M127">
        <v>1981</v>
      </c>
      <c r="N127">
        <v>13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998"/>
  <sheetViews>
    <sheetView zoomScale="85" zoomScaleNormal="85" workbookViewId="0">
      <selection activeCell="D5" sqref="D5"/>
    </sheetView>
  </sheetViews>
  <sheetFormatPr baseColWidth="10" defaultColWidth="11.44140625" defaultRowHeight="14.4" x14ac:dyDescent="0.3"/>
  <cols>
    <col min="5" max="5" width="6.5546875" customWidth="1"/>
    <col min="11" max="11" width="8.109375" customWidth="1"/>
    <col min="13" max="13" width="8.44140625" customWidth="1"/>
    <col min="17" max="17" width="6.88671875" customWidth="1"/>
    <col min="18" max="18" width="8" customWidth="1"/>
  </cols>
  <sheetData>
    <row r="1" spans="1:21" x14ac:dyDescent="0.3">
      <c r="A1" s="4"/>
      <c r="B1" s="4" t="s">
        <v>30</v>
      </c>
      <c r="C1" s="4" t="s">
        <v>66</v>
      </c>
      <c r="D1" s="4" t="s">
        <v>67</v>
      </c>
      <c r="E1" s="4"/>
      <c r="F1" s="4" t="s">
        <v>72</v>
      </c>
      <c r="H1" t="s">
        <v>62</v>
      </c>
      <c r="I1" t="s">
        <v>63</v>
      </c>
      <c r="M1" t="s">
        <v>64</v>
      </c>
      <c r="N1" t="s">
        <v>65</v>
      </c>
    </row>
    <row r="2" spans="1:21" x14ac:dyDescent="0.3">
      <c r="A2">
        <v>2015</v>
      </c>
      <c r="B2" s="33">
        <v>0.68516075480084349</v>
      </c>
      <c r="C2" s="33">
        <v>1.4472000000000003</v>
      </c>
      <c r="D2" s="33">
        <v>0.99156464434778091</v>
      </c>
      <c r="G2">
        <v>11</v>
      </c>
      <c r="H2" s="26">
        <v>2016.8333333333301</v>
      </c>
      <c r="I2" s="3">
        <v>29.275282000000001</v>
      </c>
      <c r="J2">
        <v>2015</v>
      </c>
      <c r="K2" s="3">
        <f>AVERAGE(I13:I24)</f>
        <v>28.355173833333328</v>
      </c>
      <c r="M2">
        <v>2015</v>
      </c>
      <c r="N2">
        <v>28.423099541666669</v>
      </c>
      <c r="P2" s="27"/>
    </row>
    <row r="3" spans="1:21" x14ac:dyDescent="0.3">
      <c r="A3">
        <v>2014</v>
      </c>
      <c r="B3" s="33">
        <v>0.64420237085499898</v>
      </c>
      <c r="C3" s="33">
        <v>1.6300000000000003</v>
      </c>
      <c r="D3" s="33">
        <v>1.0500498644936485</v>
      </c>
      <c r="G3">
        <v>10</v>
      </c>
      <c r="H3" s="26">
        <v>2016.75</v>
      </c>
      <c r="I3" s="3">
        <v>29.635124000000001</v>
      </c>
      <c r="J3">
        <v>2014</v>
      </c>
      <c r="K3" s="3">
        <f>AVERAGE(I25:I36)</f>
        <v>28.293394333333335</v>
      </c>
      <c r="M3">
        <v>2014</v>
      </c>
      <c r="N3">
        <v>28.351277749999994</v>
      </c>
      <c r="P3" s="27"/>
      <c r="U3" s="31"/>
    </row>
    <row r="4" spans="1:21" x14ac:dyDescent="0.3">
      <c r="A4">
        <v>2013</v>
      </c>
      <c r="B4" s="33">
        <v>0.61752516082970488</v>
      </c>
      <c r="C4" s="33">
        <v>1.63</v>
      </c>
      <c r="D4" s="33">
        <v>1.0065660121524189</v>
      </c>
      <c r="G4">
        <v>9</v>
      </c>
      <c r="H4" s="26">
        <v>2016.6666666666699</v>
      </c>
      <c r="I4" s="3">
        <v>29.199916999999999</v>
      </c>
      <c r="J4">
        <v>2013</v>
      </c>
      <c r="K4" s="3">
        <f>AVERAGE(I37:I48)</f>
        <v>28.339949749999999</v>
      </c>
      <c r="M4">
        <v>2013</v>
      </c>
      <c r="N4">
        <v>28.37731610416667</v>
      </c>
      <c r="P4" s="27"/>
      <c r="U4" s="31"/>
    </row>
    <row r="5" spans="1:21" x14ac:dyDescent="0.3">
      <c r="A5">
        <v>2012</v>
      </c>
      <c r="B5" s="33">
        <v>0.61419012154780461</v>
      </c>
      <c r="C5" s="33">
        <v>1.9499999999999993</v>
      </c>
      <c r="D5" s="33">
        <v>1.1976707370182185</v>
      </c>
      <c r="G5">
        <v>8</v>
      </c>
      <c r="H5" s="26">
        <v>2016.5833333333301</v>
      </c>
      <c r="I5" s="3">
        <v>29.408736999999999</v>
      </c>
      <c r="J5">
        <v>2012</v>
      </c>
      <c r="K5" s="3">
        <f>AVERAGE(I49:I60)</f>
        <v>28.264226666666669</v>
      </c>
      <c r="M5">
        <v>2012</v>
      </c>
      <c r="N5">
        <v>28.302105500000007</v>
      </c>
      <c r="P5" s="27"/>
      <c r="U5" s="31"/>
    </row>
    <row r="6" spans="1:21" x14ac:dyDescent="0.3">
      <c r="A6">
        <v>2011</v>
      </c>
      <c r="B6" s="33">
        <v>0.4988369422880844</v>
      </c>
      <c r="C6" s="33">
        <v>1.3711000000000002</v>
      </c>
      <c r="D6" s="33">
        <v>0.68395533157119259</v>
      </c>
      <c r="G6">
        <v>7</v>
      </c>
      <c r="H6" s="26">
        <v>2016.5</v>
      </c>
      <c r="I6" s="3">
        <v>28.786165</v>
      </c>
      <c r="J6">
        <v>2011</v>
      </c>
      <c r="K6" s="3">
        <f>AVERAGE(I61:I72)</f>
        <v>28.428455916666664</v>
      </c>
      <c r="M6">
        <v>2011</v>
      </c>
      <c r="N6">
        <v>28.453210916666666</v>
      </c>
      <c r="P6" s="27"/>
      <c r="U6" s="31"/>
    </row>
    <row r="7" spans="1:21" x14ac:dyDescent="0.3">
      <c r="A7">
        <v>2010</v>
      </c>
      <c r="B7" s="33">
        <v>0.63175884013242101</v>
      </c>
      <c r="C7" s="33">
        <v>1.4930000000000003</v>
      </c>
      <c r="D7" s="33">
        <v>0.94321594831770472</v>
      </c>
      <c r="G7">
        <v>6</v>
      </c>
      <c r="H7" s="26">
        <v>2016.4166666666699</v>
      </c>
      <c r="I7" s="3">
        <v>29.364843</v>
      </c>
      <c r="J7">
        <v>2010</v>
      </c>
      <c r="K7" s="3">
        <f>AVERAGE(I73:I84)</f>
        <v>28.769775499999994</v>
      </c>
      <c r="M7">
        <v>2010</v>
      </c>
      <c r="N7">
        <v>28.770052250000006</v>
      </c>
      <c r="P7" s="27"/>
      <c r="U7" s="31"/>
    </row>
    <row r="8" spans="1:21" x14ac:dyDescent="0.3">
      <c r="A8">
        <v>2009</v>
      </c>
      <c r="B8" s="33">
        <v>0.56872467451258357</v>
      </c>
      <c r="C8" s="33">
        <v>1.0968999999999998</v>
      </c>
      <c r="D8" s="33">
        <v>0.62383409547285273</v>
      </c>
      <c r="G8">
        <v>5</v>
      </c>
      <c r="H8" s="26">
        <v>2016.3333333333301</v>
      </c>
      <c r="I8" s="3">
        <v>29.34085</v>
      </c>
      <c r="M8">
        <v>2009</v>
      </c>
      <c r="N8">
        <v>28.164556312499993</v>
      </c>
      <c r="P8" s="27"/>
      <c r="U8" s="31"/>
    </row>
    <row r="9" spans="1:21" x14ac:dyDescent="0.3">
      <c r="A9">
        <v>2008</v>
      </c>
      <c r="B9" s="33">
        <v>0.66884488872990155</v>
      </c>
      <c r="C9" s="33">
        <v>1.234</v>
      </c>
      <c r="D9" s="33">
        <v>0.82535459269269851</v>
      </c>
      <c r="G9">
        <v>4</v>
      </c>
      <c r="H9" s="26">
        <v>2016.25</v>
      </c>
      <c r="I9" s="3">
        <v>28.120296</v>
      </c>
      <c r="M9">
        <v>2008</v>
      </c>
      <c r="N9">
        <v>28.190106104166663</v>
      </c>
      <c r="P9" s="27"/>
      <c r="U9" s="31"/>
    </row>
    <row r="10" spans="1:21" x14ac:dyDescent="0.3">
      <c r="A10">
        <v>2007</v>
      </c>
      <c r="B10" s="33">
        <v>0.64346527424406053</v>
      </c>
      <c r="C10" s="33">
        <v>1.4473000000000003</v>
      </c>
      <c r="D10" s="33">
        <v>0.93128729141342892</v>
      </c>
      <c r="G10">
        <v>3</v>
      </c>
      <c r="H10" s="26">
        <v>2016.1666666666699</v>
      </c>
      <c r="I10" s="3">
        <v>27.638971000000002</v>
      </c>
      <c r="M10">
        <v>2007</v>
      </c>
      <c r="N10">
        <v>28.263913000000002</v>
      </c>
      <c r="P10" s="27"/>
      <c r="U10" s="31"/>
    </row>
    <row r="11" spans="1:21" x14ac:dyDescent="0.3">
      <c r="A11">
        <v>2006</v>
      </c>
      <c r="B11" s="33">
        <v>0.70462818863201526</v>
      </c>
      <c r="C11" s="33">
        <v>0.79219999999999935</v>
      </c>
      <c r="D11" s="33">
        <v>0.55820645103428201</v>
      </c>
      <c r="G11">
        <v>2</v>
      </c>
      <c r="H11" s="26">
        <v>2016.0833333333301</v>
      </c>
      <c r="I11" s="3">
        <v>27.493756999999999</v>
      </c>
      <c r="M11">
        <v>2006</v>
      </c>
      <c r="N11">
        <v>28.389604145833335</v>
      </c>
      <c r="P11" s="27"/>
      <c r="U11" s="31"/>
    </row>
    <row r="12" spans="1:21" x14ac:dyDescent="0.3">
      <c r="A12">
        <v>2005</v>
      </c>
      <c r="B12" s="33">
        <v>0.64314227048131334</v>
      </c>
      <c r="C12" s="33">
        <v>2.011000000000001</v>
      </c>
      <c r="D12" s="33">
        <v>1.2933591059379217</v>
      </c>
      <c r="G12">
        <v>1</v>
      </c>
      <c r="H12" s="26">
        <v>2016</v>
      </c>
      <c r="I12" s="3">
        <v>28.139555000000001</v>
      </c>
      <c r="M12">
        <v>2005</v>
      </c>
      <c r="N12">
        <v>28.563888562499997</v>
      </c>
      <c r="P12" s="27"/>
      <c r="U12" s="31"/>
    </row>
    <row r="13" spans="1:21" x14ac:dyDescent="0.3">
      <c r="A13">
        <v>2004</v>
      </c>
      <c r="B13" s="33">
        <v>0.61592095412051839</v>
      </c>
      <c r="C13" s="33">
        <v>1.2491999999999983</v>
      </c>
      <c r="D13" s="33">
        <v>0.76940845588735052</v>
      </c>
      <c r="F13" s="31">
        <v>0.867528545310018</v>
      </c>
      <c r="G13">
        <v>12</v>
      </c>
      <c r="H13" s="26">
        <v>2015.9166666666665</v>
      </c>
      <c r="I13" s="3">
        <v>28.673012</v>
      </c>
      <c r="L13" s="28">
        <v>42369</v>
      </c>
      <c r="M13">
        <v>2004</v>
      </c>
      <c r="N13">
        <v>28.309538416666658</v>
      </c>
      <c r="P13" s="27"/>
      <c r="U13" s="31"/>
    </row>
    <row r="14" spans="1:21" x14ac:dyDescent="0.3">
      <c r="A14">
        <v>2003</v>
      </c>
      <c r="B14" s="33">
        <v>0.63199033945172534</v>
      </c>
      <c r="C14" s="33">
        <v>1.1730000000000018</v>
      </c>
      <c r="D14" s="33">
        <v>0.74132466817687492</v>
      </c>
      <c r="F14" s="31">
        <v>0.91638074656303581</v>
      </c>
      <c r="G14">
        <v>11</v>
      </c>
      <c r="H14" s="26">
        <v>2015.8333333333333</v>
      </c>
      <c r="I14" s="3">
        <v>29.053927999999999</v>
      </c>
      <c r="L14" s="28">
        <v>42338</v>
      </c>
      <c r="M14">
        <v>2003</v>
      </c>
      <c r="N14">
        <v>28.338822208333337</v>
      </c>
      <c r="P14" s="27"/>
      <c r="U14" s="31"/>
    </row>
    <row r="15" spans="1:21" x14ac:dyDescent="0.3">
      <c r="A15">
        <v>2002</v>
      </c>
      <c r="B15" s="33">
        <v>0.67841986217550831</v>
      </c>
      <c r="C15" s="33">
        <v>1.3101999999999983</v>
      </c>
      <c r="D15" s="33">
        <v>0.88886570342234983</v>
      </c>
      <c r="F15" s="31">
        <v>0.9190185767048531</v>
      </c>
      <c r="G15">
        <v>10</v>
      </c>
      <c r="H15" s="26">
        <v>2015.7499999999998</v>
      </c>
      <c r="I15" s="3">
        <v>29.775919999999999</v>
      </c>
      <c r="L15" s="28">
        <v>42308</v>
      </c>
      <c r="M15">
        <v>2002</v>
      </c>
      <c r="N15">
        <v>28.139796520833332</v>
      </c>
      <c r="P15" s="27"/>
      <c r="U15" s="31"/>
    </row>
    <row r="16" spans="1:21" x14ac:dyDescent="0.3">
      <c r="A16">
        <v>2001</v>
      </c>
      <c r="B16" s="33">
        <v>0.68850185521429286</v>
      </c>
      <c r="C16" s="33">
        <v>1.9194999999999993</v>
      </c>
      <c r="D16" s="33">
        <v>1.3215793110838348</v>
      </c>
      <c r="F16" s="31">
        <v>0.77072902658359699</v>
      </c>
      <c r="G16">
        <v>9</v>
      </c>
      <c r="H16" s="26">
        <v>2015.6666666666665</v>
      </c>
      <c r="I16" s="3">
        <v>29.478052000000002</v>
      </c>
      <c r="L16" s="28">
        <v>42277</v>
      </c>
      <c r="M16">
        <v>2001</v>
      </c>
      <c r="N16">
        <v>28.095453333333328</v>
      </c>
      <c r="P16" s="27"/>
      <c r="U16" s="31"/>
    </row>
    <row r="17" spans="1:21" x14ac:dyDescent="0.3">
      <c r="A17">
        <v>2000</v>
      </c>
      <c r="B17" s="33">
        <v>0.62470719277071884</v>
      </c>
      <c r="C17" s="33">
        <v>1.5234000000000023</v>
      </c>
      <c r="D17" s="33">
        <v>0.95167893746691457</v>
      </c>
      <c r="F17" s="31">
        <v>0.68201023584482035</v>
      </c>
      <c r="G17">
        <v>8</v>
      </c>
      <c r="H17" s="26">
        <v>2015.5833333333333</v>
      </c>
      <c r="I17" s="3">
        <v>28.577988000000001</v>
      </c>
      <c r="L17" s="28">
        <v>42247</v>
      </c>
      <c r="M17">
        <v>2000</v>
      </c>
      <c r="N17">
        <v>27.996726958333337</v>
      </c>
      <c r="P17" s="27"/>
      <c r="U17" s="31"/>
    </row>
    <row r="18" spans="1:21" x14ac:dyDescent="0.3">
      <c r="A18">
        <v>1999</v>
      </c>
      <c r="B18" s="33">
        <v>0.70055476321953836</v>
      </c>
      <c r="C18" s="33">
        <v>1.7061999999999991</v>
      </c>
      <c r="D18" s="33">
        <v>1.1952865370051757</v>
      </c>
      <c r="F18" s="31">
        <v>0.59832238575415808</v>
      </c>
      <c r="G18">
        <v>7</v>
      </c>
      <c r="H18" s="26">
        <v>2015.4999999999998</v>
      </c>
      <c r="I18" s="3">
        <v>28.235472000000001</v>
      </c>
      <c r="L18" s="28">
        <v>42216</v>
      </c>
      <c r="M18">
        <v>1999</v>
      </c>
      <c r="N18">
        <v>28.098379645833329</v>
      </c>
      <c r="P18" s="27"/>
      <c r="U18" s="31"/>
    </row>
    <row r="19" spans="1:21" x14ac:dyDescent="0.3">
      <c r="A19">
        <v>1998</v>
      </c>
      <c r="B19" s="33">
        <v>0.6600458248145854</v>
      </c>
      <c r="C19" s="33">
        <v>1.4316299999999167</v>
      </c>
      <c r="D19" s="33">
        <v>0.94494140417924988</v>
      </c>
      <c r="F19" s="31">
        <v>0.56464060832224849</v>
      </c>
      <c r="G19">
        <v>6</v>
      </c>
      <c r="H19" s="26">
        <v>2015.4166666666665</v>
      </c>
      <c r="I19" s="3">
        <v>28.563735999999999</v>
      </c>
      <c r="L19" s="28">
        <v>42185</v>
      </c>
      <c r="M19">
        <v>1998</v>
      </c>
      <c r="N19">
        <v>28.548408229166679</v>
      </c>
      <c r="P19" s="27"/>
      <c r="U19" s="31"/>
    </row>
    <row r="20" spans="1:21" x14ac:dyDescent="0.3">
      <c r="A20">
        <v>1997</v>
      </c>
      <c r="B20" s="33">
        <v>0.65863837292458283</v>
      </c>
      <c r="C20" s="33">
        <v>0.92902999999993696</v>
      </c>
      <c r="D20" s="33">
        <v>0.61189480759808368</v>
      </c>
      <c r="F20" s="31">
        <v>0.57385430715891472</v>
      </c>
      <c r="G20">
        <v>5</v>
      </c>
      <c r="H20" s="26">
        <v>2015.3333333333333</v>
      </c>
      <c r="I20" s="3">
        <v>28.284054000000001</v>
      </c>
      <c r="L20" s="28">
        <v>42155</v>
      </c>
      <c r="M20">
        <v>1997</v>
      </c>
      <c r="N20">
        <v>28.206131187500006</v>
      </c>
      <c r="P20" s="27"/>
      <c r="U20" s="31"/>
    </row>
    <row r="21" spans="1:21" x14ac:dyDescent="0.3">
      <c r="A21">
        <v>1996</v>
      </c>
      <c r="B21" s="33">
        <v>0.62495721684407146</v>
      </c>
      <c r="C21" s="33">
        <v>1.4620799999999008</v>
      </c>
      <c r="D21" s="33">
        <v>0.91373744760331799</v>
      </c>
      <c r="F21" s="31">
        <v>0.55907199961787624</v>
      </c>
      <c r="G21">
        <v>4</v>
      </c>
      <c r="H21" s="26">
        <v>2015.2499999999998</v>
      </c>
      <c r="I21" s="3">
        <v>27.440892999999999</v>
      </c>
      <c r="L21" s="28">
        <v>42124</v>
      </c>
      <c r="M21">
        <v>1996</v>
      </c>
      <c r="N21">
        <v>28.202881958333332</v>
      </c>
      <c r="P21" s="27"/>
      <c r="U21" s="31"/>
    </row>
    <row r="22" spans="1:21" x14ac:dyDescent="0.3">
      <c r="A22">
        <v>1995</v>
      </c>
      <c r="B22" s="33">
        <v>0.76493760761763485</v>
      </c>
      <c r="C22" s="33">
        <v>1.0813299999999266</v>
      </c>
      <c r="D22" s="33">
        <v>0.82714998324512101</v>
      </c>
      <c r="F22" s="31">
        <v>0.49275577511308993</v>
      </c>
      <c r="G22">
        <v>3</v>
      </c>
      <c r="H22" s="26">
        <v>2015.1666666666665</v>
      </c>
      <c r="I22" s="3">
        <v>27.113792</v>
      </c>
      <c r="L22" s="28">
        <v>42094</v>
      </c>
      <c r="M22">
        <v>1995</v>
      </c>
      <c r="N22">
        <v>28.358498166666667</v>
      </c>
      <c r="P22" s="27"/>
      <c r="U22" s="31"/>
    </row>
    <row r="23" spans="1:21" x14ac:dyDescent="0.3">
      <c r="A23">
        <v>1994</v>
      </c>
      <c r="B23" s="33">
        <v>0.76138875784810711</v>
      </c>
      <c r="C23" s="33">
        <v>1.2793200000001228</v>
      </c>
      <c r="D23" s="33">
        <v>0.97405986569033387</v>
      </c>
      <c r="F23" s="31">
        <v>0.48718179224756403</v>
      </c>
      <c r="G23">
        <v>2</v>
      </c>
      <c r="H23" s="26">
        <v>2015.083333333333</v>
      </c>
      <c r="I23" s="3">
        <v>27.458083999999999</v>
      </c>
      <c r="L23" s="28">
        <v>42063</v>
      </c>
      <c r="M23">
        <v>1994</v>
      </c>
      <c r="N23">
        <v>27.9955560625</v>
      </c>
      <c r="P23" s="27"/>
      <c r="U23" s="31"/>
    </row>
    <row r="24" spans="1:21" x14ac:dyDescent="0.3">
      <c r="A24">
        <v>1993</v>
      </c>
      <c r="B24" s="33">
        <v>0.70068539995430679</v>
      </c>
      <c r="C24" s="33">
        <v>1.3554700000002242</v>
      </c>
      <c r="D24" s="33">
        <v>0.94975803907622136</v>
      </c>
      <c r="F24" s="31">
        <v>0.56768071093087002</v>
      </c>
      <c r="G24">
        <v>1</v>
      </c>
      <c r="H24" s="26">
        <v>2014.9999999999998</v>
      </c>
      <c r="I24" s="3">
        <v>27.607154999999999</v>
      </c>
      <c r="L24" s="28">
        <v>42035</v>
      </c>
      <c r="M24">
        <v>1993</v>
      </c>
      <c r="N24">
        <v>28.183268833333344</v>
      </c>
      <c r="P24" s="27"/>
      <c r="U24" s="31"/>
    </row>
    <row r="25" spans="1:21" x14ac:dyDescent="0.3">
      <c r="A25">
        <v>1992</v>
      </c>
      <c r="B25" s="33">
        <v>0.72845399828482826</v>
      </c>
      <c r="C25" s="33">
        <v>1.3707000000002267</v>
      </c>
      <c r="D25" s="33">
        <v>0.99849189544917927</v>
      </c>
      <c r="F25" s="31">
        <v>0.70164265339370213</v>
      </c>
      <c r="G25">
        <v>12</v>
      </c>
      <c r="H25" s="26">
        <v>2014.9166666666665</v>
      </c>
      <c r="I25" s="3">
        <v>28.251197999999999</v>
      </c>
      <c r="L25" s="28">
        <v>42004</v>
      </c>
      <c r="M25">
        <v>1992</v>
      </c>
      <c r="N25">
        <v>27.968899645833332</v>
      </c>
      <c r="P25" s="27"/>
      <c r="U25" s="31"/>
    </row>
    <row r="26" spans="1:21" x14ac:dyDescent="0.3">
      <c r="A26">
        <v>1991</v>
      </c>
      <c r="B26" s="33">
        <v>0.78127200406874742</v>
      </c>
      <c r="C26" s="33">
        <v>1.1574800000001915</v>
      </c>
      <c r="D26" s="33">
        <v>0.90430671926964334</v>
      </c>
      <c r="F26" s="31">
        <v>0.83715795377991753</v>
      </c>
      <c r="G26">
        <v>11</v>
      </c>
      <c r="H26" s="26">
        <v>2014.8333333333333</v>
      </c>
      <c r="I26" s="3">
        <v>28.932227999999999</v>
      </c>
      <c r="L26" s="28">
        <v>41973</v>
      </c>
      <c r="M26">
        <v>1991</v>
      </c>
      <c r="N26">
        <v>27.845612479166661</v>
      </c>
      <c r="P26" s="27"/>
      <c r="U26" s="31"/>
    </row>
    <row r="27" spans="1:21" x14ac:dyDescent="0.3">
      <c r="A27">
        <v>1990</v>
      </c>
      <c r="B27" s="33">
        <v>0.75557288227660302</v>
      </c>
      <c r="C27" s="33">
        <v>1.1422500000001889</v>
      </c>
      <c r="D27" s="33">
        <v>0.8630531247805926</v>
      </c>
      <c r="F27" s="31">
        <v>0.90984753741380575</v>
      </c>
      <c r="G27">
        <v>10</v>
      </c>
      <c r="H27" s="26">
        <v>2014.75</v>
      </c>
      <c r="I27" s="3">
        <v>29.426392</v>
      </c>
      <c r="L27" s="28">
        <v>41943</v>
      </c>
      <c r="M27">
        <v>1990</v>
      </c>
      <c r="N27">
        <v>28.003563854166668</v>
      </c>
      <c r="P27" s="27"/>
      <c r="U27" s="31"/>
    </row>
    <row r="28" spans="1:21" x14ac:dyDescent="0.3">
      <c r="A28">
        <v>1989</v>
      </c>
      <c r="B28" s="33">
        <v>0.60147413784412451</v>
      </c>
      <c r="C28" s="33">
        <v>0.80719000000013352</v>
      </c>
      <c r="D28" s="33">
        <v>0.48550390932647919</v>
      </c>
      <c r="F28" s="31">
        <v>0.79873133894393411</v>
      </c>
      <c r="G28">
        <v>9</v>
      </c>
      <c r="H28" s="26">
        <v>2014.6666666666665</v>
      </c>
      <c r="I28" s="3">
        <v>29.139455999999999</v>
      </c>
      <c r="L28" s="28">
        <v>41912</v>
      </c>
      <c r="M28">
        <v>1989</v>
      </c>
      <c r="N28">
        <v>27.706958854166661</v>
      </c>
      <c r="P28" s="27"/>
      <c r="U28" s="31"/>
    </row>
    <row r="29" spans="1:21" x14ac:dyDescent="0.3">
      <c r="A29">
        <v>1988</v>
      </c>
      <c r="B29" s="33">
        <v>0.76226637929128449</v>
      </c>
      <c r="C29" s="33">
        <v>1.7362200000002872</v>
      </c>
      <c r="D29" s="33">
        <v>1.3234621330533329</v>
      </c>
      <c r="F29" s="31">
        <v>0.71505647689053076</v>
      </c>
      <c r="G29">
        <v>8</v>
      </c>
      <c r="H29" s="26">
        <v>2014.5833333333333</v>
      </c>
      <c r="I29" s="3">
        <v>28.682107999999999</v>
      </c>
      <c r="L29" s="28">
        <v>41882</v>
      </c>
      <c r="M29">
        <v>1988</v>
      </c>
      <c r="N29">
        <v>28.134612124999993</v>
      </c>
      <c r="P29" s="27"/>
      <c r="U29" s="31"/>
    </row>
    <row r="30" spans="1:21" x14ac:dyDescent="0.3">
      <c r="A30">
        <v>1987</v>
      </c>
      <c r="B30" s="33">
        <v>0.79306361067364506</v>
      </c>
      <c r="C30" s="33">
        <v>0.62443000000010329</v>
      </c>
      <c r="D30" s="33">
        <v>0.49521271041302611</v>
      </c>
      <c r="F30" s="31">
        <v>0.71862485279216926</v>
      </c>
      <c r="G30">
        <v>7</v>
      </c>
      <c r="H30" s="26">
        <v>2014.5</v>
      </c>
      <c r="I30" s="3">
        <v>28.297035000000001</v>
      </c>
      <c r="L30" s="28">
        <v>41851</v>
      </c>
      <c r="M30">
        <v>1987</v>
      </c>
      <c r="N30">
        <v>28.304472583333325</v>
      </c>
      <c r="P30" s="27"/>
      <c r="U30" s="31"/>
    </row>
    <row r="31" spans="1:21" x14ac:dyDescent="0.3">
      <c r="A31">
        <v>1986</v>
      </c>
      <c r="B31" s="33">
        <v>0.74093721810166024</v>
      </c>
      <c r="C31" s="33">
        <v>1.8428300000003048</v>
      </c>
      <c r="D31" s="33">
        <v>1.3654213336345085</v>
      </c>
      <c r="F31" s="31">
        <v>0.67705936703818037</v>
      </c>
      <c r="G31">
        <v>6</v>
      </c>
      <c r="H31" s="26">
        <v>2014.4166666666665</v>
      </c>
      <c r="I31" s="3">
        <v>28.557255000000001</v>
      </c>
      <c r="L31" s="28">
        <v>41820</v>
      </c>
      <c r="M31">
        <v>1986</v>
      </c>
      <c r="N31">
        <v>27.657292895833347</v>
      </c>
      <c r="P31" s="27"/>
      <c r="U31" s="31"/>
    </row>
    <row r="32" spans="1:21" x14ac:dyDescent="0.3">
      <c r="A32">
        <v>1985</v>
      </c>
      <c r="B32" s="33">
        <v>0.91683388290840029</v>
      </c>
      <c r="C32" s="33">
        <v>1.2945500000002141</v>
      </c>
      <c r="D32" s="33">
        <v>1.1868873031192659</v>
      </c>
      <c r="F32" s="31">
        <v>0.57862547351084503</v>
      </c>
      <c r="G32">
        <v>5</v>
      </c>
      <c r="H32" s="26">
        <v>2014.3333333333333</v>
      </c>
      <c r="I32" s="3">
        <v>28.518550000000001</v>
      </c>
      <c r="L32" s="28">
        <v>41790</v>
      </c>
      <c r="M32">
        <v>1985</v>
      </c>
      <c r="N32">
        <v>27.53784960416667</v>
      </c>
      <c r="P32" s="27"/>
      <c r="U32" s="31"/>
    </row>
    <row r="33" spans="1:21" x14ac:dyDescent="0.3">
      <c r="A33">
        <v>1984</v>
      </c>
      <c r="B33" s="33">
        <v>0.80486669348556328</v>
      </c>
      <c r="C33" s="33">
        <v>1.0965600000001814</v>
      </c>
      <c r="D33" s="33">
        <v>0.88258462140867522</v>
      </c>
      <c r="F33" s="31">
        <v>0.43950145926887024</v>
      </c>
      <c r="G33">
        <v>4</v>
      </c>
      <c r="H33" s="26">
        <v>2014.25</v>
      </c>
      <c r="I33" s="3">
        <v>27.790358000000001</v>
      </c>
      <c r="L33" s="28">
        <v>41759</v>
      </c>
      <c r="M33">
        <v>1984</v>
      </c>
      <c r="N33">
        <v>27.799449333333332</v>
      </c>
      <c r="P33" s="27"/>
      <c r="U33" s="31"/>
    </row>
    <row r="34" spans="1:21" x14ac:dyDescent="0.3">
      <c r="A34">
        <v>1983</v>
      </c>
      <c r="B34" s="33">
        <v>0.80811610157442026</v>
      </c>
      <c r="C34" s="33">
        <v>0.8681100000001436</v>
      </c>
      <c r="D34" s="33">
        <v>0.70153366893788605</v>
      </c>
      <c r="F34" s="31">
        <v>0.38454763988598223</v>
      </c>
      <c r="G34">
        <v>3</v>
      </c>
      <c r="H34" s="26">
        <v>2014.1666666666665</v>
      </c>
      <c r="I34" s="3">
        <v>27.352672999999999</v>
      </c>
      <c r="L34" s="28">
        <v>41729</v>
      </c>
      <c r="M34">
        <v>1983</v>
      </c>
      <c r="N34">
        <v>28.243803999999994</v>
      </c>
      <c r="P34" s="27"/>
      <c r="U34" s="31"/>
    </row>
    <row r="35" spans="1:21" x14ac:dyDescent="0.3">
      <c r="A35">
        <v>1982</v>
      </c>
      <c r="B35" s="33">
        <v>0.80287254435759992</v>
      </c>
      <c r="C35" s="33">
        <v>0.83765000000013856</v>
      </c>
      <c r="D35" s="33">
        <v>0.67252618678125486</v>
      </c>
      <c r="F35" s="31">
        <v>0.38465559735165583</v>
      </c>
      <c r="G35">
        <v>2</v>
      </c>
      <c r="H35" s="26">
        <v>2014.0833333333333</v>
      </c>
      <c r="I35" s="3">
        <v>27.098942000000001</v>
      </c>
      <c r="L35" s="28">
        <v>41698</v>
      </c>
      <c r="M35">
        <v>1982</v>
      </c>
      <c r="N35">
        <v>27.910599041666671</v>
      </c>
      <c r="P35" s="27"/>
      <c r="U35" s="31"/>
    </row>
    <row r="36" spans="1:21" x14ac:dyDescent="0.3">
      <c r="F36" s="31">
        <v>0.53623293452301024</v>
      </c>
      <c r="G36">
        <v>1</v>
      </c>
      <c r="H36" s="26">
        <v>2014</v>
      </c>
      <c r="I36" s="3">
        <v>27.474537000000002</v>
      </c>
      <c r="L36" s="28">
        <v>41670</v>
      </c>
      <c r="M36">
        <v>1981</v>
      </c>
      <c r="N36">
        <v>28.190505104166665</v>
      </c>
      <c r="P36" s="27"/>
      <c r="U36" s="31"/>
    </row>
    <row r="37" spans="1:21" x14ac:dyDescent="0.3">
      <c r="F37" s="31">
        <v>0.65267168707863299</v>
      </c>
      <c r="G37">
        <v>12</v>
      </c>
      <c r="H37" s="26">
        <v>2013.91666666678</v>
      </c>
      <c r="I37" s="3">
        <v>28.176974999999999</v>
      </c>
      <c r="L37" s="28">
        <v>41639</v>
      </c>
      <c r="M37">
        <v>1980</v>
      </c>
      <c r="N37">
        <v>28.085189812500008</v>
      </c>
      <c r="P37" s="27"/>
      <c r="U37" s="31"/>
    </row>
    <row r="38" spans="1:21" x14ac:dyDescent="0.3">
      <c r="F38" s="31">
        <v>0.72805547100143475</v>
      </c>
      <c r="G38">
        <v>11</v>
      </c>
      <c r="H38" s="26">
        <v>2013.8333333334499</v>
      </c>
      <c r="I38" s="3">
        <v>29.361366</v>
      </c>
      <c r="L38" s="28">
        <v>41608</v>
      </c>
      <c r="M38">
        <v>1979</v>
      </c>
      <c r="N38">
        <v>28.039692041666665</v>
      </c>
      <c r="P38" s="27"/>
      <c r="U38" s="31"/>
    </row>
    <row r="39" spans="1:21" x14ac:dyDescent="0.3">
      <c r="F39" s="31">
        <v>0.75687403208538517</v>
      </c>
      <c r="G39">
        <v>10</v>
      </c>
      <c r="H39" s="26">
        <v>2013.7500000001201</v>
      </c>
      <c r="I39" s="3">
        <v>29.281445999999999</v>
      </c>
      <c r="L39" s="28">
        <v>41578</v>
      </c>
      <c r="M39">
        <v>1978</v>
      </c>
      <c r="N39">
        <v>28.00674589583333</v>
      </c>
      <c r="P39" s="27"/>
      <c r="U39" s="31"/>
    </row>
    <row r="40" spans="1:21" x14ac:dyDescent="0.3">
      <c r="F40" s="31">
        <v>0.68453232343383807</v>
      </c>
      <c r="G40">
        <v>9</v>
      </c>
      <c r="H40" s="26">
        <v>2013.66666666679</v>
      </c>
      <c r="I40" s="3">
        <v>29.336845</v>
      </c>
      <c r="L40" s="28">
        <v>41547</v>
      </c>
      <c r="M40">
        <v>1977</v>
      </c>
      <c r="N40">
        <v>27.848811729166666</v>
      </c>
      <c r="P40" s="27"/>
      <c r="U40" s="31"/>
    </row>
    <row r="41" spans="1:21" x14ac:dyDescent="0.3">
      <c r="F41" s="31">
        <v>0.67078340190562924</v>
      </c>
      <c r="G41">
        <v>8</v>
      </c>
      <c r="H41" s="26">
        <v>2013.5833333334599</v>
      </c>
      <c r="I41" s="3">
        <v>28.892918000000002</v>
      </c>
      <c r="L41" s="28">
        <v>41517</v>
      </c>
      <c r="M41">
        <v>1976</v>
      </c>
      <c r="N41">
        <v>27.593948624999999</v>
      </c>
      <c r="P41" s="27"/>
      <c r="U41" s="31"/>
    </row>
    <row r="42" spans="1:21" x14ac:dyDescent="0.3">
      <c r="F42" s="31">
        <v>0.66233422238176121</v>
      </c>
      <c r="G42">
        <v>7</v>
      </c>
      <c r="H42" s="26">
        <v>2013.5000000001301</v>
      </c>
      <c r="I42" s="3">
        <v>28.520949999999999</v>
      </c>
      <c r="L42" s="28">
        <v>41486</v>
      </c>
      <c r="M42">
        <v>1975</v>
      </c>
      <c r="N42">
        <v>27.617070500000001</v>
      </c>
      <c r="P42" s="27"/>
      <c r="U42" s="31"/>
    </row>
    <row r="43" spans="1:21" x14ac:dyDescent="0.3">
      <c r="F43" s="31">
        <v>0.64777497922568483</v>
      </c>
      <c r="G43">
        <v>6</v>
      </c>
      <c r="H43" s="26">
        <v>2013.4166666668</v>
      </c>
      <c r="I43" s="3">
        <v>28.711212</v>
      </c>
      <c r="L43" s="28">
        <v>41455</v>
      </c>
      <c r="M43">
        <v>1974</v>
      </c>
      <c r="N43">
        <v>27.655980875000008</v>
      </c>
      <c r="P43" s="27"/>
      <c r="U43" s="31"/>
    </row>
    <row r="44" spans="1:21" x14ac:dyDescent="0.3">
      <c r="F44" s="31">
        <v>0.54406558042370667</v>
      </c>
      <c r="G44">
        <v>5</v>
      </c>
      <c r="H44" s="26">
        <v>2013.3333333334699</v>
      </c>
      <c r="I44" s="3">
        <v>28.13054</v>
      </c>
      <c r="L44" s="28">
        <v>41425</v>
      </c>
      <c r="M44">
        <v>1973</v>
      </c>
      <c r="N44">
        <v>28.098266416666675</v>
      </c>
      <c r="P44" s="27"/>
      <c r="U44" s="31"/>
    </row>
    <row r="45" spans="1:21" x14ac:dyDescent="0.3">
      <c r="F45" s="31">
        <v>0.49349331296002569</v>
      </c>
      <c r="G45">
        <v>4</v>
      </c>
      <c r="H45" s="26">
        <v>2013.2500000001401</v>
      </c>
      <c r="I45" s="3">
        <v>27.87162</v>
      </c>
      <c r="L45" s="28">
        <v>41394</v>
      </c>
      <c r="M45">
        <v>1972</v>
      </c>
      <c r="N45">
        <v>27.925443666666663</v>
      </c>
      <c r="P45" s="27"/>
      <c r="U45" s="31"/>
    </row>
    <row r="46" spans="1:21" x14ac:dyDescent="0.3">
      <c r="F46" s="31">
        <v>0.49232435451632756</v>
      </c>
      <c r="G46">
        <v>3</v>
      </c>
      <c r="H46" s="26">
        <v>2013.16666666681</v>
      </c>
      <c r="I46" s="3">
        <v>27.291796000000001</v>
      </c>
      <c r="L46" s="28">
        <v>41364</v>
      </c>
      <c r="M46">
        <v>1971</v>
      </c>
      <c r="N46">
        <v>27.747976750000003</v>
      </c>
      <c r="P46" s="27"/>
      <c r="U46" s="31"/>
    </row>
    <row r="47" spans="1:21" x14ac:dyDescent="0.3">
      <c r="F47" s="31">
        <v>0.55152580772657167</v>
      </c>
      <c r="G47">
        <v>2</v>
      </c>
      <c r="H47" s="26">
        <v>2013.0833333334799</v>
      </c>
      <c r="I47" s="3">
        <v>27.305792</v>
      </c>
      <c r="L47" s="28">
        <v>41333</v>
      </c>
      <c r="M47">
        <v>1970</v>
      </c>
      <c r="N47">
        <v>28.057351499999999</v>
      </c>
      <c r="P47" s="27"/>
      <c r="U47" s="31"/>
    </row>
    <row r="48" spans="1:21" x14ac:dyDescent="0.3">
      <c r="F48" s="31">
        <v>0.54447283399228041</v>
      </c>
      <c r="G48">
        <v>1</v>
      </c>
      <c r="H48" s="26">
        <v>2013.0000000001501</v>
      </c>
      <c r="I48" s="3">
        <v>27.197937</v>
      </c>
      <c r="L48" s="28">
        <v>41305</v>
      </c>
      <c r="M48">
        <v>1969</v>
      </c>
      <c r="N48">
        <v>28.46633525</v>
      </c>
      <c r="P48" s="27"/>
      <c r="U48" s="31"/>
    </row>
    <row r="49" spans="6:21" x14ac:dyDescent="0.3">
      <c r="F49" s="31">
        <v>0.61132452807260063</v>
      </c>
      <c r="G49">
        <v>12</v>
      </c>
      <c r="H49" s="26">
        <v>2012.91666666682</v>
      </c>
      <c r="I49" s="3">
        <v>28.103085</v>
      </c>
      <c r="L49" s="28">
        <v>41274</v>
      </c>
      <c r="M49">
        <v>1968</v>
      </c>
      <c r="N49">
        <v>27.818258729166672</v>
      </c>
      <c r="P49" s="27"/>
      <c r="U49" s="31"/>
    </row>
    <row r="50" spans="6:21" x14ac:dyDescent="0.3">
      <c r="F50" s="31">
        <v>0.70386958130323685</v>
      </c>
      <c r="G50">
        <v>11</v>
      </c>
      <c r="H50" s="26">
        <v>2012.8333333334899</v>
      </c>
      <c r="I50" s="3">
        <v>29.116371000000001</v>
      </c>
      <c r="L50" s="28">
        <v>41243</v>
      </c>
      <c r="M50">
        <v>1967</v>
      </c>
      <c r="N50">
        <v>27.861846458333332</v>
      </c>
      <c r="P50" s="27"/>
      <c r="U50" s="31"/>
    </row>
    <row r="51" spans="6:21" x14ac:dyDescent="0.3">
      <c r="F51" s="31">
        <v>0.71694939507800148</v>
      </c>
      <c r="G51">
        <v>10</v>
      </c>
      <c r="H51" s="26">
        <v>2012.7500000001601</v>
      </c>
      <c r="I51" s="3">
        <v>29.136683999999999</v>
      </c>
      <c r="L51" s="28">
        <v>41213</v>
      </c>
      <c r="M51">
        <v>1966</v>
      </c>
      <c r="N51">
        <v>28.11201914583334</v>
      </c>
      <c r="P51" s="27"/>
      <c r="U51" s="31"/>
    </row>
    <row r="52" spans="6:21" x14ac:dyDescent="0.3">
      <c r="F52" s="31">
        <v>0.71189729437027549</v>
      </c>
      <c r="G52">
        <v>9</v>
      </c>
      <c r="H52" s="26">
        <v>2012.66666666683</v>
      </c>
      <c r="I52" s="3">
        <v>29.272096999999999</v>
      </c>
      <c r="L52" s="28">
        <v>41182</v>
      </c>
      <c r="M52">
        <v>1965</v>
      </c>
      <c r="N52">
        <v>27.697469937500006</v>
      </c>
      <c r="P52" s="27"/>
      <c r="U52" s="31"/>
    </row>
    <row r="53" spans="6:21" x14ac:dyDescent="0.3">
      <c r="F53" s="31">
        <v>0.72433933682169804</v>
      </c>
      <c r="G53">
        <v>8</v>
      </c>
      <c r="H53" s="26">
        <v>2012.5833333334999</v>
      </c>
      <c r="I53" s="3">
        <v>28.836069999999999</v>
      </c>
      <c r="L53" s="28">
        <v>41152</v>
      </c>
      <c r="M53">
        <v>1964</v>
      </c>
      <c r="N53">
        <v>27.925833333333333</v>
      </c>
      <c r="P53" s="27"/>
      <c r="U53" s="31"/>
    </row>
    <row r="54" spans="6:21" x14ac:dyDescent="0.3">
      <c r="F54" s="31">
        <v>0.68879372233372982</v>
      </c>
      <c r="G54">
        <v>7</v>
      </c>
      <c r="H54" s="26">
        <v>2012.5000000001701</v>
      </c>
      <c r="I54" s="3">
        <v>28.560043</v>
      </c>
      <c r="L54" s="28">
        <v>41121</v>
      </c>
      <c r="M54">
        <v>1963</v>
      </c>
      <c r="N54">
        <v>28.201881833333331</v>
      </c>
      <c r="P54" s="27"/>
      <c r="U54" s="31"/>
    </row>
    <row r="55" spans="6:21" x14ac:dyDescent="0.3">
      <c r="F55" s="31">
        <v>0.55590263319610655</v>
      </c>
      <c r="G55">
        <v>6</v>
      </c>
      <c r="H55" s="26">
        <v>2012.41666666684</v>
      </c>
      <c r="I55" s="3">
        <v>28.727872999999999</v>
      </c>
      <c r="L55" s="28">
        <v>41090</v>
      </c>
      <c r="M55">
        <v>1962</v>
      </c>
      <c r="N55">
        <v>28.0825688125</v>
      </c>
      <c r="P55" s="27"/>
      <c r="U55" s="31"/>
    </row>
    <row r="56" spans="6:21" x14ac:dyDescent="0.3">
      <c r="F56" s="31">
        <v>0.5004152146780384</v>
      </c>
      <c r="G56">
        <v>5</v>
      </c>
      <c r="H56" s="26">
        <v>2012.3333333335099</v>
      </c>
      <c r="I56" s="3">
        <v>28.609591999999999</v>
      </c>
      <c r="L56" s="28">
        <v>41060</v>
      </c>
      <c r="M56">
        <v>1961</v>
      </c>
      <c r="N56">
        <v>28.092758312499999</v>
      </c>
      <c r="P56" s="27"/>
      <c r="U56" s="31"/>
    </row>
    <row r="57" spans="6:21" x14ac:dyDescent="0.3">
      <c r="F57" s="31">
        <v>0.55806785965667471</v>
      </c>
      <c r="G57">
        <v>4</v>
      </c>
      <c r="H57" s="26">
        <v>2012.2500000001801</v>
      </c>
      <c r="I57" s="3">
        <v>27.742134</v>
      </c>
      <c r="L57" s="28">
        <v>41029</v>
      </c>
      <c r="M57">
        <v>1960</v>
      </c>
      <c r="N57">
        <v>28.311101854166655</v>
      </c>
      <c r="P57" s="27"/>
      <c r="U57" s="31"/>
    </row>
    <row r="58" spans="6:21" x14ac:dyDescent="0.3">
      <c r="F58" s="31">
        <v>0.51404474783667375</v>
      </c>
      <c r="G58">
        <v>3</v>
      </c>
      <c r="H58" s="26">
        <v>2012.16666666685</v>
      </c>
      <c r="I58" s="3">
        <v>26.82704</v>
      </c>
      <c r="L58" s="28">
        <v>40999</v>
      </c>
      <c r="M58">
        <v>1959</v>
      </c>
      <c r="N58">
        <v>27.934912333333333</v>
      </c>
      <c r="P58" s="27"/>
      <c r="U58" s="31"/>
    </row>
    <row r="59" spans="6:21" x14ac:dyDescent="0.3">
      <c r="F59" s="31">
        <v>0.51295846113296861</v>
      </c>
      <c r="G59">
        <v>2</v>
      </c>
      <c r="H59" s="26">
        <v>2012.0833333335199</v>
      </c>
      <c r="I59" s="3">
        <v>27.037662999999998</v>
      </c>
      <c r="L59" s="28">
        <v>40968</v>
      </c>
      <c r="M59">
        <v>1958</v>
      </c>
      <c r="N59">
        <v>28.552400791666667</v>
      </c>
      <c r="P59" s="27"/>
      <c r="U59" s="31"/>
    </row>
    <row r="60" spans="6:21" x14ac:dyDescent="0.3">
      <c r="F60" s="31">
        <v>0.59570859431899403</v>
      </c>
      <c r="G60">
        <v>1</v>
      </c>
      <c r="H60" s="26">
        <v>2012.0000000001901</v>
      </c>
      <c r="I60" s="3">
        <v>27.202068000000001</v>
      </c>
      <c r="L60" s="28">
        <v>40939</v>
      </c>
      <c r="M60">
        <v>1957</v>
      </c>
      <c r="N60">
        <v>27.900255416666663</v>
      </c>
      <c r="P60" s="27"/>
      <c r="U60" s="31"/>
    </row>
    <row r="61" spans="6:21" x14ac:dyDescent="0.3">
      <c r="F61" s="31">
        <v>0.5292458260533488</v>
      </c>
      <c r="G61">
        <v>12</v>
      </c>
      <c r="H61" s="26">
        <v>2011.91666666686</v>
      </c>
      <c r="I61" s="3">
        <v>28.073639</v>
      </c>
      <c r="L61" s="28">
        <v>40908</v>
      </c>
      <c r="M61">
        <v>1956</v>
      </c>
      <c r="N61">
        <v>27.764755729166669</v>
      </c>
      <c r="P61" s="27"/>
      <c r="U61" s="31"/>
    </row>
    <row r="62" spans="6:21" x14ac:dyDescent="0.3">
      <c r="F62" s="31">
        <v>0.51957164159532543</v>
      </c>
      <c r="G62">
        <v>11</v>
      </c>
      <c r="H62" s="26">
        <v>2011.8333333335299</v>
      </c>
      <c r="I62" s="3">
        <v>29.308039999999998</v>
      </c>
      <c r="L62" s="28">
        <v>40877</v>
      </c>
      <c r="M62">
        <v>1955</v>
      </c>
      <c r="N62">
        <v>27.889878333333339</v>
      </c>
      <c r="P62" s="27"/>
      <c r="U62" s="31"/>
    </row>
    <row r="63" spans="6:21" x14ac:dyDescent="0.3">
      <c r="F63" s="31">
        <v>0.53569952096518958</v>
      </c>
      <c r="G63">
        <v>10</v>
      </c>
      <c r="H63" s="26">
        <v>2011.7500000002001</v>
      </c>
      <c r="I63" s="3">
        <v>29.321407000000001</v>
      </c>
      <c r="L63" s="28">
        <v>40847</v>
      </c>
      <c r="M63">
        <v>1954</v>
      </c>
      <c r="N63">
        <v>27.994138395833335</v>
      </c>
      <c r="P63" s="27"/>
      <c r="U63" s="31"/>
    </row>
    <row r="64" spans="6:21" x14ac:dyDescent="0.3">
      <c r="F64" s="31">
        <v>0.50319078810367257</v>
      </c>
      <c r="G64">
        <v>9</v>
      </c>
      <c r="H64" s="26">
        <v>2011.66666666687</v>
      </c>
      <c r="I64" s="3">
        <v>29.176784999999999</v>
      </c>
      <c r="L64" s="28">
        <v>40816</v>
      </c>
      <c r="M64">
        <v>1953</v>
      </c>
      <c r="N64">
        <v>28.049866291666664</v>
      </c>
      <c r="P64" s="27"/>
      <c r="U64" s="31"/>
    </row>
    <row r="65" spans="6:21" x14ac:dyDescent="0.3">
      <c r="F65" s="31">
        <v>0.49506354041593087</v>
      </c>
      <c r="G65">
        <v>8</v>
      </c>
      <c r="H65" s="26">
        <v>2011.5833333335399</v>
      </c>
      <c r="I65" s="3">
        <v>28.852049000000001</v>
      </c>
      <c r="L65" s="28">
        <v>40786</v>
      </c>
      <c r="M65">
        <v>1952</v>
      </c>
      <c r="N65">
        <v>28.191666416666667</v>
      </c>
      <c r="P65" s="27"/>
      <c r="U65" s="31"/>
    </row>
    <row r="66" spans="6:21" x14ac:dyDescent="0.3">
      <c r="F66" s="31">
        <v>0.52470950300361796</v>
      </c>
      <c r="G66">
        <v>7</v>
      </c>
      <c r="H66" s="26">
        <v>2011.5000000002101</v>
      </c>
      <c r="I66" s="3">
        <v>28.574192</v>
      </c>
      <c r="L66" s="28">
        <v>40755</v>
      </c>
      <c r="M66">
        <v>1951</v>
      </c>
      <c r="N66">
        <v>28.09758177083333</v>
      </c>
      <c r="P66" s="27"/>
      <c r="U66" s="31"/>
    </row>
    <row r="67" spans="6:21" x14ac:dyDescent="0.3">
      <c r="F67" s="31">
        <v>0.51840111914688036</v>
      </c>
      <c r="G67">
        <v>6</v>
      </c>
      <c r="H67" s="26">
        <v>2011.41666666688</v>
      </c>
      <c r="I67" s="3">
        <v>29.025691999999999</v>
      </c>
      <c r="L67" s="28">
        <v>40724</v>
      </c>
      <c r="M67">
        <v>1950</v>
      </c>
      <c r="N67">
        <v>27.675130104166673</v>
      </c>
      <c r="P67" s="27"/>
      <c r="U67" s="31"/>
    </row>
    <row r="68" spans="6:21" x14ac:dyDescent="0.3">
      <c r="F68" s="31">
        <v>0.4796559991518729</v>
      </c>
      <c r="G68">
        <v>5</v>
      </c>
      <c r="H68" s="26">
        <v>2011.3333333335499</v>
      </c>
      <c r="I68" s="3">
        <v>28.625941999999998</v>
      </c>
      <c r="L68" s="28">
        <v>40694</v>
      </c>
      <c r="P68" s="27"/>
      <c r="U68" s="31"/>
    </row>
    <row r="69" spans="6:21" x14ac:dyDescent="0.3">
      <c r="F69" s="31">
        <v>0.44176973490142551</v>
      </c>
      <c r="G69">
        <v>4</v>
      </c>
      <c r="H69" s="26">
        <v>2011.2500000002201</v>
      </c>
      <c r="I69" s="3">
        <v>27.722183000000001</v>
      </c>
      <c r="L69" s="28">
        <v>40663</v>
      </c>
      <c r="P69" s="27"/>
      <c r="U69" s="31"/>
    </row>
    <row r="70" spans="6:21" x14ac:dyDescent="0.3">
      <c r="F70" s="31">
        <v>0.41374638328376062</v>
      </c>
      <c r="G70">
        <v>3</v>
      </c>
      <c r="H70" s="26">
        <v>2011.16666666689</v>
      </c>
      <c r="I70" s="3">
        <v>27.348398</v>
      </c>
      <c r="L70" s="28">
        <v>40633</v>
      </c>
      <c r="P70" s="27"/>
      <c r="U70" s="31"/>
    </row>
    <row r="71" spans="6:21" x14ac:dyDescent="0.3">
      <c r="F71" s="31">
        <v>0.43992148804814635</v>
      </c>
      <c r="G71">
        <v>2</v>
      </c>
      <c r="H71" s="26">
        <v>2011.0833333335499</v>
      </c>
      <c r="I71" s="3">
        <v>27.516311999999999</v>
      </c>
      <c r="L71" s="28">
        <v>40602</v>
      </c>
      <c r="P71" s="27"/>
      <c r="U71" s="31"/>
    </row>
    <row r="72" spans="6:21" x14ac:dyDescent="0.3">
      <c r="F72" s="31">
        <v>0.57449133849757217</v>
      </c>
      <c r="G72">
        <v>1</v>
      </c>
      <c r="H72" s="26">
        <v>2011.0000000002201</v>
      </c>
      <c r="I72" s="3">
        <v>27.596831999999999</v>
      </c>
      <c r="L72" s="28">
        <v>40574</v>
      </c>
      <c r="P72" s="27"/>
      <c r="U72" s="31"/>
    </row>
    <row r="73" spans="6:21" x14ac:dyDescent="0.3">
      <c r="F73" s="31">
        <v>0.64887458673434117</v>
      </c>
      <c r="G73">
        <v>12</v>
      </c>
      <c r="H73" s="26">
        <v>2010.91666666689</v>
      </c>
      <c r="I73" s="3">
        <v>27.950785</v>
      </c>
      <c r="L73" s="28">
        <v>40543</v>
      </c>
      <c r="P73" s="27"/>
      <c r="U73" s="31"/>
    </row>
    <row r="74" spans="6:21" x14ac:dyDescent="0.3">
      <c r="F74" s="31">
        <v>0.64813301035869286</v>
      </c>
      <c r="G74">
        <v>11</v>
      </c>
      <c r="H74" s="26">
        <v>2010.8333333335599</v>
      </c>
      <c r="I74" s="3">
        <v>29.055800000000001</v>
      </c>
      <c r="L74" s="28">
        <v>40512</v>
      </c>
      <c r="P74" s="27"/>
      <c r="U74" s="31"/>
    </row>
    <row r="75" spans="6:21" x14ac:dyDescent="0.3">
      <c r="F75" s="31">
        <v>0.67626402887558368</v>
      </c>
      <c r="G75">
        <v>10</v>
      </c>
      <c r="H75" s="26">
        <v>2010.7500000002301</v>
      </c>
      <c r="I75" s="3">
        <v>29.50854</v>
      </c>
      <c r="L75" s="28">
        <v>40482</v>
      </c>
      <c r="P75" s="27"/>
      <c r="U75" s="31"/>
    </row>
    <row r="76" spans="6:21" x14ac:dyDescent="0.3">
      <c r="F76" s="31">
        <v>0.68038418777459542</v>
      </c>
      <c r="G76">
        <v>9</v>
      </c>
      <c r="H76" s="26">
        <v>2010.6666666669</v>
      </c>
      <c r="I76" s="3">
        <v>29.393719999999998</v>
      </c>
      <c r="L76" s="28">
        <v>40451</v>
      </c>
      <c r="P76" s="27"/>
      <c r="U76" s="31"/>
    </row>
    <row r="77" spans="6:21" x14ac:dyDescent="0.3">
      <c r="F77" s="31">
        <v>0.66983197542388229</v>
      </c>
      <c r="G77">
        <v>8</v>
      </c>
      <c r="H77" s="26">
        <v>2010.58333333357</v>
      </c>
      <c r="I77" s="3">
        <v>29.337439</v>
      </c>
      <c r="L77" s="28">
        <v>40421</v>
      </c>
      <c r="P77" s="27"/>
      <c r="U77" s="31"/>
    </row>
    <row r="78" spans="6:21" x14ac:dyDescent="0.3">
      <c r="F78" s="31">
        <v>0.6424014926126318</v>
      </c>
      <c r="G78">
        <v>7</v>
      </c>
      <c r="H78" s="26">
        <v>2010.5000000002401</v>
      </c>
      <c r="I78" s="3">
        <v>29.273273</v>
      </c>
      <c r="L78" s="28">
        <v>40390</v>
      </c>
      <c r="P78" s="27"/>
      <c r="U78" s="31"/>
    </row>
    <row r="79" spans="6:21" x14ac:dyDescent="0.3">
      <c r="F79" s="31">
        <v>0.69287401972844009</v>
      </c>
      <c r="G79">
        <v>6</v>
      </c>
      <c r="H79" s="26">
        <v>2010.41666666691</v>
      </c>
      <c r="I79" s="3">
        <v>29.24973</v>
      </c>
      <c r="L79" s="28">
        <v>40359</v>
      </c>
      <c r="P79" s="27"/>
      <c r="U79" s="31"/>
    </row>
    <row r="80" spans="6:21" x14ac:dyDescent="0.3">
      <c r="F80" s="31">
        <v>0.65885353953535053</v>
      </c>
      <c r="G80">
        <v>5</v>
      </c>
      <c r="H80" s="26">
        <v>2010.33333333358</v>
      </c>
      <c r="I80" s="3">
        <v>29.356506</v>
      </c>
      <c r="L80" s="28">
        <v>40329</v>
      </c>
      <c r="P80" s="27"/>
      <c r="U80" s="31"/>
    </row>
    <row r="81" spans="6:21" x14ac:dyDescent="0.3">
      <c r="F81" s="31">
        <v>0.57996347777575952</v>
      </c>
      <c r="G81">
        <v>4</v>
      </c>
      <c r="H81" s="26">
        <v>2010.2500000002501</v>
      </c>
      <c r="I81" s="3">
        <v>28.180336</v>
      </c>
      <c r="L81" s="28">
        <v>40298</v>
      </c>
      <c r="P81" s="27"/>
      <c r="U81" s="31"/>
    </row>
    <row r="82" spans="6:21" x14ac:dyDescent="0.3">
      <c r="F82" s="31">
        <v>0.53741486871609967</v>
      </c>
      <c r="G82">
        <v>3</v>
      </c>
      <c r="H82" s="26">
        <v>2010.16666666692</v>
      </c>
      <c r="I82" s="3">
        <v>28.356617</v>
      </c>
      <c r="L82" s="28">
        <v>40268</v>
      </c>
      <c r="P82" s="27"/>
      <c r="U82" s="31"/>
    </row>
    <row r="83" spans="6:21" x14ac:dyDescent="0.3">
      <c r="F83" s="31">
        <v>0.54274110380124418</v>
      </c>
      <c r="G83">
        <v>2</v>
      </c>
      <c r="H83" s="26">
        <v>2010.08333333359</v>
      </c>
      <c r="I83" s="3">
        <v>27.98096</v>
      </c>
      <c r="L83" s="28">
        <v>40237</v>
      </c>
      <c r="P83" s="27"/>
      <c r="U83" s="31"/>
    </row>
    <row r="84" spans="6:21" x14ac:dyDescent="0.3">
      <c r="F84" s="31">
        <v>0.62874624695772974</v>
      </c>
      <c r="G84">
        <v>1</v>
      </c>
      <c r="H84" s="26">
        <v>2010.0000000002599</v>
      </c>
      <c r="I84" s="3">
        <v>27.593599999999999</v>
      </c>
      <c r="L84" s="28">
        <v>40209</v>
      </c>
      <c r="P84" s="27"/>
      <c r="U84" s="31"/>
    </row>
    <row r="85" spans="6:21" x14ac:dyDescent="0.3">
      <c r="F85" s="31">
        <v>0.65566366350703831</v>
      </c>
      <c r="G85">
        <v>12</v>
      </c>
      <c r="H85" s="26">
        <v>2009.91666666693</v>
      </c>
      <c r="I85" s="3">
        <v>28.329805</v>
      </c>
      <c r="L85" s="28">
        <v>40178</v>
      </c>
      <c r="P85" s="27"/>
      <c r="U85" s="31"/>
    </row>
    <row r="86" spans="6:21" x14ac:dyDescent="0.3">
      <c r="F86" s="31">
        <v>0.66594460748441253</v>
      </c>
      <c r="G86">
        <v>11</v>
      </c>
      <c r="H86" s="26">
        <v>2009.8333333336</v>
      </c>
      <c r="I86" s="3">
        <v>29.162089999999999</v>
      </c>
      <c r="L86" s="28">
        <v>40147</v>
      </c>
      <c r="P86" s="27"/>
      <c r="U86" s="31"/>
    </row>
    <row r="87" spans="6:21" x14ac:dyDescent="0.3">
      <c r="F87" s="31">
        <v>0.66225652164930204</v>
      </c>
      <c r="G87">
        <v>10</v>
      </c>
      <c r="H87" s="26">
        <v>2009.7500000002699</v>
      </c>
      <c r="I87" s="3">
        <v>29.089919999999999</v>
      </c>
      <c r="L87" s="28">
        <v>40117</v>
      </c>
      <c r="P87" s="27"/>
      <c r="U87" s="31"/>
    </row>
    <row r="88" spans="6:21" x14ac:dyDescent="0.3">
      <c r="F88" s="31">
        <v>0.5905635920803044</v>
      </c>
      <c r="G88">
        <v>9</v>
      </c>
      <c r="H88" s="26">
        <v>2009.66666666694</v>
      </c>
      <c r="I88" s="3">
        <v>29.004158</v>
      </c>
      <c r="L88" s="28">
        <v>40086</v>
      </c>
      <c r="P88" s="27"/>
      <c r="U88" s="31"/>
    </row>
    <row r="89" spans="6:21" x14ac:dyDescent="0.3">
      <c r="F89" s="31">
        <v>0.54126637011751777</v>
      </c>
      <c r="G89">
        <v>8</v>
      </c>
      <c r="H89" s="26">
        <v>2009.58333333361</v>
      </c>
      <c r="I89" s="3">
        <v>28.690538</v>
      </c>
      <c r="L89" s="28">
        <v>40056</v>
      </c>
      <c r="P89" s="27"/>
      <c r="U89" s="31"/>
    </row>
    <row r="90" spans="6:21" x14ac:dyDescent="0.3">
      <c r="F90" s="31">
        <v>0.53508435435716095</v>
      </c>
      <c r="G90">
        <v>7</v>
      </c>
      <c r="H90" s="26">
        <v>2009.5000000002799</v>
      </c>
      <c r="I90" s="3">
        <v>28.544537999999999</v>
      </c>
      <c r="L90" s="28">
        <v>40025</v>
      </c>
      <c r="P90" s="27"/>
      <c r="U90" s="31"/>
    </row>
    <row r="91" spans="6:21" x14ac:dyDescent="0.3">
      <c r="F91" s="31">
        <v>0.56098400885465605</v>
      </c>
      <c r="G91">
        <v>6</v>
      </c>
      <c r="H91" s="26">
        <v>2009.4166666669501</v>
      </c>
      <c r="I91" s="3">
        <v>29.064436000000001</v>
      </c>
      <c r="L91" s="28">
        <v>39994</v>
      </c>
      <c r="P91" s="27"/>
      <c r="U91" s="31"/>
    </row>
    <row r="92" spans="6:21" x14ac:dyDescent="0.3">
      <c r="F92" s="31">
        <v>0.56468220498543031</v>
      </c>
      <c r="G92">
        <v>5</v>
      </c>
      <c r="H92" s="26">
        <v>2009.33333333362</v>
      </c>
      <c r="I92" s="3">
        <v>27.956102000000001</v>
      </c>
      <c r="L92" s="28">
        <v>39964</v>
      </c>
      <c r="P92" s="27"/>
      <c r="U92" s="31"/>
    </row>
    <row r="93" spans="6:21" x14ac:dyDescent="0.3">
      <c r="F93" s="31">
        <v>0.51731497614650235</v>
      </c>
      <c r="G93">
        <v>4</v>
      </c>
      <c r="H93" s="26">
        <v>2009.2500000002899</v>
      </c>
      <c r="I93" s="3">
        <v>27.107899</v>
      </c>
      <c r="L93" s="28">
        <v>39933</v>
      </c>
      <c r="P93" s="27"/>
      <c r="U93" s="31"/>
    </row>
    <row r="94" spans="6:21" x14ac:dyDescent="0.3">
      <c r="F94" s="31">
        <v>0.45918562224205833</v>
      </c>
      <c r="G94">
        <v>3</v>
      </c>
      <c r="H94" s="26">
        <v>2009.1666666669601</v>
      </c>
      <c r="I94" s="3">
        <v>26.465076</v>
      </c>
      <c r="L94" s="28">
        <v>39903</v>
      </c>
      <c r="P94" s="27"/>
      <c r="U94" s="31"/>
    </row>
    <row r="95" spans="6:21" x14ac:dyDescent="0.3">
      <c r="F95" s="31">
        <v>0.46800790065905246</v>
      </c>
      <c r="G95">
        <v>2</v>
      </c>
      <c r="H95" s="26">
        <v>2009.08333333363</v>
      </c>
      <c r="I95" s="3">
        <v>26.613071000000001</v>
      </c>
      <c r="L95" s="28">
        <v>39872</v>
      </c>
      <c r="P95" s="27"/>
      <c r="U95" s="31"/>
    </row>
    <row r="96" spans="6:21" x14ac:dyDescent="0.3">
      <c r="F96" s="31">
        <v>0.56509049005349787</v>
      </c>
      <c r="G96">
        <v>1</v>
      </c>
      <c r="H96" s="26">
        <v>2009.0000000002999</v>
      </c>
      <c r="I96" s="3">
        <v>27.034991999999999</v>
      </c>
      <c r="L96" s="28">
        <v>39844</v>
      </c>
      <c r="P96" s="27"/>
      <c r="U96" s="31"/>
    </row>
    <row r="97" spans="6:21" x14ac:dyDescent="0.3">
      <c r="F97" s="31">
        <v>0.63875853170573327</v>
      </c>
      <c r="G97">
        <v>12</v>
      </c>
      <c r="H97" s="26">
        <v>2008.9166666669701</v>
      </c>
      <c r="I97" s="3">
        <v>27.704483</v>
      </c>
      <c r="L97" s="28">
        <v>39813</v>
      </c>
      <c r="P97" s="27"/>
      <c r="U97" s="31"/>
    </row>
    <row r="98" spans="6:21" x14ac:dyDescent="0.3">
      <c r="F98" s="31">
        <v>0.73904164437519282</v>
      </c>
      <c r="G98">
        <v>11</v>
      </c>
      <c r="H98" s="26">
        <v>2008.83333333364</v>
      </c>
      <c r="I98" s="3">
        <v>28.880538999999999</v>
      </c>
      <c r="L98" s="28">
        <v>39782</v>
      </c>
      <c r="P98" s="27"/>
      <c r="U98" s="31"/>
    </row>
    <row r="99" spans="6:21" x14ac:dyDescent="0.3">
      <c r="F99" s="31">
        <v>0.75753929257399866</v>
      </c>
      <c r="G99">
        <v>10</v>
      </c>
      <c r="H99" s="26">
        <v>2008.7500000003099</v>
      </c>
      <c r="I99" s="3">
        <v>29.35286</v>
      </c>
      <c r="L99" s="28">
        <v>39752</v>
      </c>
      <c r="P99" s="27"/>
      <c r="U99" s="31"/>
    </row>
    <row r="100" spans="6:21" x14ac:dyDescent="0.3">
      <c r="F100" s="31">
        <v>0.73619624742865009</v>
      </c>
      <c r="G100">
        <v>9</v>
      </c>
      <c r="H100" s="26">
        <v>2008.6666666669801</v>
      </c>
      <c r="I100" s="3">
        <v>29.244125</v>
      </c>
      <c r="L100" s="28">
        <v>39721</v>
      </c>
      <c r="P100" s="27"/>
      <c r="U100" s="31"/>
    </row>
    <row r="101" spans="6:21" x14ac:dyDescent="0.3">
      <c r="F101" s="31">
        <v>0.7774423580297779</v>
      </c>
      <c r="G101">
        <v>8</v>
      </c>
      <c r="H101" s="26">
        <v>2008.58333333365</v>
      </c>
      <c r="I101" s="3">
        <v>28.858027</v>
      </c>
      <c r="L101" s="28">
        <v>39691</v>
      </c>
      <c r="P101" s="27"/>
      <c r="U101" s="31"/>
    </row>
    <row r="102" spans="6:21" x14ac:dyDescent="0.3">
      <c r="F102" s="31">
        <v>0.74921514729466843</v>
      </c>
      <c r="G102">
        <v>7</v>
      </c>
      <c r="H102" s="26">
        <v>2008.5000000003199</v>
      </c>
      <c r="I102" s="3">
        <v>28.503761000000001</v>
      </c>
      <c r="L102" s="28">
        <v>39660</v>
      </c>
      <c r="P102" s="27"/>
      <c r="U102" s="31"/>
    </row>
    <row r="103" spans="6:21" x14ac:dyDescent="0.3">
      <c r="F103" s="31">
        <v>0.68167156786967753</v>
      </c>
      <c r="G103">
        <v>6</v>
      </c>
      <c r="H103" s="26">
        <v>2008.4166666669901</v>
      </c>
      <c r="I103" s="3">
        <v>28.670237</v>
      </c>
      <c r="L103" s="28">
        <v>39629</v>
      </c>
      <c r="P103" s="27"/>
      <c r="U103" s="31"/>
    </row>
    <row r="104" spans="6:21" x14ac:dyDescent="0.3">
      <c r="F104" s="31">
        <v>0.6480913515136647</v>
      </c>
      <c r="G104">
        <v>5</v>
      </c>
      <c r="H104" s="26">
        <v>2008.33333333366</v>
      </c>
      <c r="I104" s="3">
        <v>28.076474999999999</v>
      </c>
      <c r="L104" s="28">
        <v>39599</v>
      </c>
      <c r="P104" s="27"/>
      <c r="U104" s="31"/>
    </row>
    <row r="105" spans="6:21" x14ac:dyDescent="0.3">
      <c r="F105" s="31">
        <v>0.62834966087322652</v>
      </c>
      <c r="G105">
        <v>4</v>
      </c>
      <c r="H105" s="26">
        <v>2008.2500000003299</v>
      </c>
      <c r="I105" s="3">
        <v>27.526384</v>
      </c>
      <c r="L105" s="28">
        <v>39568</v>
      </c>
      <c r="P105" s="27"/>
      <c r="U105" s="31"/>
    </row>
    <row r="106" spans="6:21" x14ac:dyDescent="0.3">
      <c r="F106" s="31">
        <v>0.58003861021040404</v>
      </c>
      <c r="G106">
        <v>3</v>
      </c>
      <c r="H106" s="26">
        <v>2008.1666666670001</v>
      </c>
      <c r="I106" s="3">
        <v>26.876124999999998</v>
      </c>
      <c r="L106" s="28">
        <v>39538</v>
      </c>
      <c r="P106" s="27"/>
      <c r="U106" s="31"/>
    </row>
    <row r="107" spans="6:21" x14ac:dyDescent="0.3">
      <c r="F107" s="31">
        <v>0.56683615528457465</v>
      </c>
      <c r="G107">
        <v>2</v>
      </c>
      <c r="H107" s="26">
        <v>2008.08333333367</v>
      </c>
      <c r="I107" s="3">
        <v>26.865704000000001</v>
      </c>
      <c r="L107" s="28">
        <v>39507</v>
      </c>
      <c r="P107" s="27"/>
      <c r="U107" s="31"/>
    </row>
    <row r="108" spans="6:21" x14ac:dyDescent="0.3">
      <c r="F108" s="31">
        <v>0.60220386919112634</v>
      </c>
      <c r="G108">
        <v>1</v>
      </c>
      <c r="H108" s="26">
        <v>2008.0000000003399</v>
      </c>
      <c r="I108" s="3">
        <v>26.972602999999999</v>
      </c>
      <c r="L108" s="28">
        <v>39478</v>
      </c>
      <c r="P108" s="27"/>
      <c r="U108" s="31"/>
    </row>
    <row r="109" spans="6:21" x14ac:dyDescent="0.3">
      <c r="F109" s="31">
        <v>0.70437291980579231</v>
      </c>
      <c r="G109">
        <v>12</v>
      </c>
      <c r="H109" s="26">
        <v>2007.9166666670101</v>
      </c>
      <c r="I109" s="3">
        <v>27.852543000000001</v>
      </c>
      <c r="L109" s="28">
        <v>39447</v>
      </c>
      <c r="P109" s="27"/>
      <c r="U109" s="31"/>
    </row>
    <row r="110" spans="6:21" x14ac:dyDescent="0.3">
      <c r="F110" s="31">
        <v>0.75123037548219707</v>
      </c>
      <c r="G110">
        <v>11</v>
      </c>
      <c r="H110" s="26">
        <v>2007.83333333368</v>
      </c>
      <c r="I110" s="3">
        <v>28.80339</v>
      </c>
      <c r="L110" s="28">
        <v>39416</v>
      </c>
      <c r="P110" s="27"/>
      <c r="U110" s="31"/>
    </row>
    <row r="111" spans="6:21" x14ac:dyDescent="0.3">
      <c r="F111" s="31">
        <v>0.74794165231772125</v>
      </c>
      <c r="G111">
        <v>10</v>
      </c>
      <c r="H111" s="26">
        <v>2007.7500000003499</v>
      </c>
      <c r="I111" s="3">
        <v>29.111529999999998</v>
      </c>
      <c r="L111" s="28">
        <v>39386</v>
      </c>
      <c r="P111" s="27"/>
      <c r="U111" s="31"/>
    </row>
    <row r="112" spans="6:21" x14ac:dyDescent="0.3">
      <c r="F112" s="31">
        <v>0.69480357265131032</v>
      </c>
      <c r="G112">
        <v>9</v>
      </c>
      <c r="H112" s="26">
        <v>2007.6666666670201</v>
      </c>
      <c r="I112" s="3">
        <v>29.03689</v>
      </c>
      <c r="L112" s="28">
        <v>39355</v>
      </c>
      <c r="P112" s="27"/>
      <c r="U112" s="31"/>
    </row>
    <row r="113" spans="6:21" x14ac:dyDescent="0.3">
      <c r="F113" s="31">
        <v>0.67007654348426637</v>
      </c>
      <c r="G113">
        <v>8</v>
      </c>
      <c r="H113" s="26">
        <v>2007.58333333369</v>
      </c>
      <c r="I113" s="3">
        <v>28.627700000000001</v>
      </c>
      <c r="L113" s="28">
        <v>39325</v>
      </c>
      <c r="P113" s="27"/>
      <c r="U113" s="31"/>
    </row>
    <row r="114" spans="6:21" x14ac:dyDescent="0.3">
      <c r="F114" s="31">
        <v>0.65690914103098164</v>
      </c>
      <c r="G114">
        <v>7</v>
      </c>
      <c r="H114" s="26">
        <v>2007.5000000003599</v>
      </c>
      <c r="I114" s="3">
        <v>28.413506000000002</v>
      </c>
      <c r="L114" s="28">
        <v>39294</v>
      </c>
      <c r="P114" s="27"/>
      <c r="U114" s="31"/>
    </row>
    <row r="115" spans="6:21" x14ac:dyDescent="0.3">
      <c r="F115" s="31">
        <v>0.64163625445103456</v>
      </c>
      <c r="G115">
        <v>6</v>
      </c>
      <c r="H115" s="26">
        <v>2007.4166666670301</v>
      </c>
      <c r="I115" s="3">
        <v>28.711490000000001</v>
      </c>
      <c r="L115" s="28">
        <v>39263</v>
      </c>
      <c r="P115" s="27"/>
      <c r="U115" s="31"/>
    </row>
    <row r="116" spans="6:21" x14ac:dyDescent="0.3">
      <c r="F116" s="31">
        <v>0.60970890968456914</v>
      </c>
      <c r="G116">
        <v>5</v>
      </c>
      <c r="H116" s="26">
        <v>2007.3333333337</v>
      </c>
      <c r="I116" s="3">
        <v>28.571280000000002</v>
      </c>
      <c r="L116" s="28">
        <v>39233</v>
      </c>
      <c r="P116" s="27"/>
      <c r="U116" s="31"/>
    </row>
    <row r="117" spans="6:21" x14ac:dyDescent="0.3">
      <c r="F117" s="31">
        <v>0.56066214881385645</v>
      </c>
      <c r="G117">
        <v>4</v>
      </c>
      <c r="H117" s="26">
        <v>2007.2500000003699</v>
      </c>
      <c r="I117" s="3">
        <v>27.767769000000001</v>
      </c>
      <c r="L117" s="28">
        <v>39202</v>
      </c>
      <c r="P117" s="27"/>
      <c r="U117" s="31"/>
    </row>
    <row r="118" spans="6:21" x14ac:dyDescent="0.3">
      <c r="F118" s="31">
        <v>0.5398140737564695</v>
      </c>
      <c r="G118">
        <v>3</v>
      </c>
      <c r="H118" s="26">
        <v>2007.1666666670401</v>
      </c>
      <c r="I118" s="3">
        <v>27.194614000000001</v>
      </c>
      <c r="L118" s="28">
        <v>39172</v>
      </c>
      <c r="P118" s="27"/>
      <c r="U118" s="31"/>
    </row>
    <row r="119" spans="6:21" x14ac:dyDescent="0.3">
      <c r="F119" s="31">
        <v>0.48998151187668054</v>
      </c>
      <c r="G119">
        <v>2</v>
      </c>
      <c r="H119" s="26">
        <v>2007.08333333371</v>
      </c>
      <c r="I119" s="3">
        <v>27.185345000000002</v>
      </c>
      <c r="L119" s="28">
        <v>39141</v>
      </c>
      <c r="P119" s="27"/>
      <c r="U119" s="31"/>
    </row>
    <row r="120" spans="6:21" x14ac:dyDescent="0.3">
      <c r="F120" s="31">
        <v>0.55050740652381036</v>
      </c>
      <c r="G120">
        <v>1</v>
      </c>
      <c r="H120" s="26">
        <v>2007.0000000003799</v>
      </c>
      <c r="I120" s="3">
        <v>27.232132</v>
      </c>
      <c r="L120" s="28">
        <v>39113</v>
      </c>
      <c r="P120" s="27"/>
      <c r="U120" s="31"/>
    </row>
    <row r="121" spans="6:21" x14ac:dyDescent="0.3">
      <c r="F121" s="31">
        <v>0.64378195933772164</v>
      </c>
      <c r="G121">
        <v>12</v>
      </c>
      <c r="H121" s="26">
        <v>2006.9166666670501</v>
      </c>
      <c r="I121" s="3">
        <v>28.172557999999999</v>
      </c>
      <c r="L121" s="28">
        <v>39082</v>
      </c>
      <c r="P121" s="27"/>
      <c r="U121" s="31"/>
    </row>
    <row r="122" spans="6:21" x14ac:dyDescent="0.3">
      <c r="F122" s="31">
        <v>0.70576171931259313</v>
      </c>
      <c r="G122">
        <v>11</v>
      </c>
      <c r="H122" s="26">
        <v>2006.83333333372</v>
      </c>
      <c r="I122" s="3">
        <v>29.271367999999999</v>
      </c>
      <c r="L122" s="28">
        <v>39051</v>
      </c>
      <c r="P122" s="27"/>
      <c r="U122" s="31"/>
    </row>
    <row r="123" spans="6:21" x14ac:dyDescent="0.3">
      <c r="F123" s="31">
        <v>0.72347360164234276</v>
      </c>
      <c r="G123">
        <v>10</v>
      </c>
      <c r="H123" s="26">
        <v>2006.7500000003899</v>
      </c>
      <c r="I123" s="3">
        <v>29.268916999999998</v>
      </c>
      <c r="L123" s="28">
        <v>39021</v>
      </c>
      <c r="P123" s="27"/>
      <c r="U123" s="31"/>
    </row>
    <row r="124" spans="6:21" x14ac:dyDescent="0.3">
      <c r="F124" s="31">
        <v>0.67115818010921346</v>
      </c>
      <c r="G124">
        <v>9</v>
      </c>
      <c r="H124" s="26">
        <v>2006.6666666670601</v>
      </c>
      <c r="I124" s="3">
        <v>29.190449000000001</v>
      </c>
      <c r="L124" s="28">
        <v>38990</v>
      </c>
      <c r="P124" s="27"/>
      <c r="U124" s="31"/>
    </row>
    <row r="125" spans="6:21" x14ac:dyDescent="0.3">
      <c r="F125" s="31">
        <v>0.67466020453909703</v>
      </c>
      <c r="G125">
        <v>8</v>
      </c>
      <c r="H125" s="26">
        <v>2006.58333333373</v>
      </c>
      <c r="I125" s="3">
        <v>28.920438999999998</v>
      </c>
      <c r="L125" s="28">
        <v>38960</v>
      </c>
      <c r="P125" s="27"/>
      <c r="U125" s="31"/>
    </row>
    <row r="126" spans="6:21" x14ac:dyDescent="0.3">
      <c r="F126" s="31">
        <v>0.73672681652783845</v>
      </c>
      <c r="G126">
        <v>7</v>
      </c>
      <c r="H126" s="26">
        <v>2006.5000000004</v>
      </c>
      <c r="I126" s="3">
        <v>28.700240999999998</v>
      </c>
      <c r="L126" s="28">
        <v>38929</v>
      </c>
      <c r="P126" s="27"/>
      <c r="U126" s="31"/>
    </row>
    <row r="127" spans="6:21" x14ac:dyDescent="0.3">
      <c r="F127" s="31">
        <v>0.77787565277330661</v>
      </c>
      <c r="G127">
        <v>6</v>
      </c>
      <c r="H127" s="26">
        <v>2006.4166666670701</v>
      </c>
      <c r="I127" s="3">
        <v>29.124960000000002</v>
      </c>
      <c r="L127" s="28">
        <v>38898</v>
      </c>
      <c r="P127" s="27"/>
      <c r="U127" s="31"/>
    </row>
    <row r="128" spans="6:21" x14ac:dyDescent="0.3">
      <c r="F128" s="31">
        <v>0.77355447628828877</v>
      </c>
      <c r="G128">
        <v>5</v>
      </c>
      <c r="H128" s="26">
        <v>2006.33333333374</v>
      </c>
      <c r="I128" s="3">
        <v>28.656092000000001</v>
      </c>
      <c r="L128" s="28">
        <v>38868</v>
      </c>
      <c r="P128" s="27"/>
      <c r="U128" s="31"/>
    </row>
    <row r="129" spans="6:21" x14ac:dyDescent="0.3">
      <c r="F129" s="31">
        <v>0.76843345291963228</v>
      </c>
      <c r="G129">
        <v>4</v>
      </c>
      <c r="H129" s="26">
        <v>2006.25000000041</v>
      </c>
      <c r="I129" s="3">
        <v>27.712506999999999</v>
      </c>
      <c r="L129" s="28">
        <v>38837</v>
      </c>
      <c r="P129" s="27"/>
      <c r="U129" s="31"/>
    </row>
    <row r="130" spans="6:21" x14ac:dyDescent="0.3">
      <c r="F130" s="31">
        <v>0.73332852081235333</v>
      </c>
      <c r="G130">
        <v>3</v>
      </c>
      <c r="H130" s="26">
        <v>2006.1666666670801</v>
      </c>
      <c r="I130" s="3">
        <v>27.057026</v>
      </c>
      <c r="L130" s="28">
        <v>38807</v>
      </c>
      <c r="P130" s="27"/>
      <c r="U130" s="31"/>
    </row>
    <row r="131" spans="6:21" x14ac:dyDescent="0.3">
      <c r="F131" s="31">
        <v>0.73422208785363618</v>
      </c>
      <c r="G131">
        <v>2</v>
      </c>
      <c r="H131" s="26">
        <v>2006.08333333375</v>
      </c>
      <c r="I131" s="3">
        <v>26.998588999999999</v>
      </c>
      <c r="L131" s="28">
        <v>38776</v>
      </c>
      <c r="P131" s="27"/>
      <c r="U131" s="31"/>
    </row>
    <row r="132" spans="6:21" x14ac:dyDescent="0.3">
      <c r="F132" s="31">
        <v>0.76993218614116188</v>
      </c>
      <c r="G132">
        <v>1</v>
      </c>
      <c r="H132" s="26">
        <v>2006.00000000042</v>
      </c>
      <c r="I132" s="3">
        <v>27.270935000000001</v>
      </c>
      <c r="L132" s="28">
        <v>38748</v>
      </c>
      <c r="P132" s="27"/>
      <c r="U132" s="31"/>
    </row>
    <row r="133" spans="6:21" x14ac:dyDescent="0.3">
      <c r="F133" s="31">
        <v>0.80646911382556696</v>
      </c>
      <c r="G133">
        <v>12</v>
      </c>
      <c r="H133" s="26">
        <v>2005.9166666670901</v>
      </c>
      <c r="I133" s="3">
        <v>28.159420000000001</v>
      </c>
      <c r="L133" s="28">
        <v>38717</v>
      </c>
      <c r="P133" s="27"/>
      <c r="U133" s="31"/>
    </row>
    <row r="134" spans="6:21" x14ac:dyDescent="0.3">
      <c r="F134" s="31">
        <v>0.86898542165748316</v>
      </c>
      <c r="G134">
        <v>11</v>
      </c>
      <c r="H134" s="26">
        <v>2005.83333333376</v>
      </c>
      <c r="I134" s="3">
        <v>28.921579999999999</v>
      </c>
      <c r="L134" s="28">
        <v>38686</v>
      </c>
      <c r="P134" s="27"/>
      <c r="U134" s="31"/>
    </row>
    <row r="135" spans="6:21" x14ac:dyDescent="0.3">
      <c r="F135" s="31">
        <v>0.85970254359867115</v>
      </c>
      <c r="G135">
        <v>10</v>
      </c>
      <c r="H135" s="26">
        <v>2005.75000000043</v>
      </c>
      <c r="I135" s="3">
        <v>29.280418000000001</v>
      </c>
      <c r="L135" s="28">
        <v>38656</v>
      </c>
      <c r="P135" s="27"/>
      <c r="U135" s="31"/>
    </row>
    <row r="136" spans="6:21" x14ac:dyDescent="0.3">
      <c r="F136" s="31">
        <v>0.69085868322461219</v>
      </c>
      <c r="G136">
        <v>9</v>
      </c>
      <c r="H136" s="26">
        <v>2005.6666666670999</v>
      </c>
      <c r="I136" s="3">
        <v>29.377977000000001</v>
      </c>
      <c r="L136" s="28">
        <v>38625</v>
      </c>
      <c r="P136" s="27"/>
      <c r="U136" s="31"/>
    </row>
    <row r="137" spans="6:21" x14ac:dyDescent="0.3">
      <c r="F137" s="31">
        <v>0.64245788969788276</v>
      </c>
      <c r="G137">
        <v>8</v>
      </c>
      <c r="H137" s="26">
        <v>2005.58333333377</v>
      </c>
      <c r="I137" s="3">
        <v>29.166789999999999</v>
      </c>
      <c r="L137" s="28">
        <v>38595</v>
      </c>
      <c r="P137" s="27"/>
      <c r="U137" s="31"/>
    </row>
    <row r="138" spans="6:21" x14ac:dyDescent="0.3">
      <c r="F138" s="31">
        <v>0.62312276276641598</v>
      </c>
      <c r="G138">
        <v>7</v>
      </c>
      <c r="H138" s="26">
        <v>2005.50000000044</v>
      </c>
      <c r="I138" s="3">
        <v>28.986820000000002</v>
      </c>
      <c r="L138" s="28">
        <v>38564</v>
      </c>
      <c r="P138" s="27"/>
      <c r="U138" s="31"/>
    </row>
    <row r="139" spans="6:21" x14ac:dyDescent="0.3">
      <c r="F139" s="31">
        <v>0.57095510505311786</v>
      </c>
      <c r="G139">
        <v>6</v>
      </c>
      <c r="H139" s="26">
        <v>2005.4166666671099</v>
      </c>
      <c r="I139" s="3">
        <v>29.407322000000001</v>
      </c>
      <c r="L139" s="28">
        <v>38533</v>
      </c>
      <c r="P139" s="27"/>
      <c r="U139" s="31"/>
    </row>
    <row r="140" spans="6:21" x14ac:dyDescent="0.3">
      <c r="F140" s="31">
        <v>0.5025298009139012</v>
      </c>
      <c r="G140">
        <v>5</v>
      </c>
      <c r="H140" s="26">
        <v>2005.33333333378</v>
      </c>
      <c r="I140" s="3">
        <v>29.238060000000001</v>
      </c>
      <c r="L140" s="28">
        <v>38503</v>
      </c>
      <c r="P140" s="27"/>
      <c r="U140" s="31"/>
    </row>
    <row r="141" spans="6:21" x14ac:dyDescent="0.3">
      <c r="F141" s="31">
        <v>0.52707118219153148</v>
      </c>
      <c r="G141">
        <v>4</v>
      </c>
      <c r="H141" s="26">
        <v>2005.25000000045</v>
      </c>
      <c r="I141" s="3">
        <v>28.38344</v>
      </c>
      <c r="L141" s="28">
        <v>38472</v>
      </c>
      <c r="P141" s="27"/>
      <c r="U141" s="31"/>
    </row>
    <row r="142" spans="6:21" x14ac:dyDescent="0.3">
      <c r="F142" s="31">
        <v>0.50935139852151445</v>
      </c>
      <c r="G142">
        <v>3</v>
      </c>
      <c r="H142" s="26">
        <v>2005.1666666671199</v>
      </c>
      <c r="I142" s="3">
        <v>27.556049999999999</v>
      </c>
      <c r="L142" s="28">
        <v>38442</v>
      </c>
      <c r="P142" s="27"/>
      <c r="U142" s="31"/>
    </row>
    <row r="143" spans="6:21" x14ac:dyDescent="0.3">
      <c r="F143" s="31">
        <v>0.49333065766256734</v>
      </c>
      <c r="G143">
        <v>2</v>
      </c>
      <c r="H143" s="26">
        <v>2005.0833333337901</v>
      </c>
      <c r="I143" s="3">
        <v>26.825703000000001</v>
      </c>
      <c r="L143" s="28">
        <v>38411</v>
      </c>
      <c r="P143" s="27"/>
      <c r="U143" s="31"/>
    </row>
    <row r="144" spans="6:21" x14ac:dyDescent="0.3">
      <c r="F144" s="31">
        <v>0.55510650405512729</v>
      </c>
      <c r="G144">
        <v>1</v>
      </c>
      <c r="H144" s="26">
        <v>2005.00000000046</v>
      </c>
      <c r="I144" s="3">
        <v>27.331130999999999</v>
      </c>
      <c r="L144" s="28">
        <v>38383</v>
      </c>
      <c r="P144" s="27"/>
      <c r="U144" s="31"/>
    </row>
    <row r="145" spans="6:21" x14ac:dyDescent="0.3">
      <c r="F145" s="31">
        <v>0.61911787906430094</v>
      </c>
      <c r="G145">
        <v>12</v>
      </c>
      <c r="H145" s="26">
        <v>2004.9166666671299</v>
      </c>
      <c r="I145" s="3">
        <v>28.138020999999998</v>
      </c>
      <c r="L145" s="28">
        <v>38352</v>
      </c>
      <c r="P145" s="27"/>
      <c r="U145" s="31"/>
    </row>
    <row r="146" spans="6:21" x14ac:dyDescent="0.3">
      <c r="F146" s="31">
        <v>0.66321330808737122</v>
      </c>
      <c r="G146">
        <v>11</v>
      </c>
      <c r="H146" s="26">
        <v>2004.8333333338001</v>
      </c>
      <c r="I146" s="3">
        <v>28.907586999999999</v>
      </c>
      <c r="L146" s="28">
        <v>38321</v>
      </c>
      <c r="P146" s="27"/>
      <c r="U146" s="31"/>
    </row>
    <row r="147" spans="6:21" x14ac:dyDescent="0.3">
      <c r="F147" s="31">
        <v>0.67098952662954603</v>
      </c>
      <c r="G147">
        <v>10</v>
      </c>
      <c r="H147" s="26">
        <v>2004.75000000047</v>
      </c>
      <c r="I147" s="3">
        <v>29.338363999999999</v>
      </c>
      <c r="L147" s="28">
        <v>38291</v>
      </c>
      <c r="P147" s="27"/>
      <c r="U147" s="31"/>
    </row>
    <row r="148" spans="6:21" x14ac:dyDescent="0.3">
      <c r="F148" s="31">
        <v>0.6878785808730068</v>
      </c>
      <c r="G148">
        <v>9</v>
      </c>
      <c r="H148" s="26">
        <v>2004.6666666671399</v>
      </c>
      <c r="I148" s="3">
        <v>29.209610000000001</v>
      </c>
      <c r="L148" s="28">
        <v>38260</v>
      </c>
      <c r="P148" s="27"/>
      <c r="U148" s="31"/>
    </row>
    <row r="149" spans="6:21" x14ac:dyDescent="0.3">
      <c r="F149" s="31">
        <v>0.64901048236058179</v>
      </c>
      <c r="G149">
        <v>8</v>
      </c>
      <c r="H149" s="26">
        <v>2004.5833333338101</v>
      </c>
      <c r="I149" s="3">
        <v>28.810718999999999</v>
      </c>
      <c r="L149" s="28">
        <v>38230</v>
      </c>
      <c r="P149" s="27"/>
      <c r="U149" s="31"/>
    </row>
    <row r="150" spans="6:21" x14ac:dyDescent="0.3">
      <c r="F150" s="31">
        <v>0.5955226024407223</v>
      </c>
      <c r="G150">
        <v>7</v>
      </c>
      <c r="H150" s="26">
        <v>2004.50000000048</v>
      </c>
      <c r="I150" s="3">
        <v>28.47953</v>
      </c>
      <c r="L150" s="28">
        <v>38199</v>
      </c>
      <c r="P150" s="27"/>
      <c r="U150" s="31"/>
    </row>
    <row r="151" spans="6:21" x14ac:dyDescent="0.3">
      <c r="F151" s="31">
        <v>0.54310642426806754</v>
      </c>
      <c r="G151">
        <v>6</v>
      </c>
      <c r="H151" s="26">
        <v>2004.4166666671499</v>
      </c>
      <c r="I151" s="3">
        <v>28.625893000000001</v>
      </c>
      <c r="L151" s="28">
        <v>38168</v>
      </c>
      <c r="P151" s="27"/>
      <c r="U151" s="31"/>
    </row>
    <row r="152" spans="6:21" x14ac:dyDescent="0.3">
      <c r="F152" s="31">
        <v>0.52310778461934548</v>
      </c>
      <c r="G152">
        <v>5</v>
      </c>
      <c r="H152" s="26">
        <v>2004.3333333338201</v>
      </c>
      <c r="I152" s="3">
        <v>28.419525</v>
      </c>
      <c r="L152" s="28">
        <v>38138</v>
      </c>
      <c r="P152" s="27"/>
      <c r="U152" s="31"/>
    </row>
    <row r="153" spans="6:21" x14ac:dyDescent="0.3">
      <c r="F153" s="31">
        <v>0.60844036322766526</v>
      </c>
      <c r="G153">
        <v>4</v>
      </c>
      <c r="H153" s="26">
        <v>2004.25000000049</v>
      </c>
      <c r="I153" s="3">
        <v>27.874420000000001</v>
      </c>
      <c r="L153" s="28">
        <v>38107</v>
      </c>
      <c r="P153" s="27"/>
      <c r="U153" s="31"/>
    </row>
    <row r="154" spans="6:21" x14ac:dyDescent="0.3">
      <c r="F154" s="31">
        <v>0.65501221829322531</v>
      </c>
      <c r="G154">
        <v>3</v>
      </c>
      <c r="H154" s="26">
        <v>2004.1666666671599</v>
      </c>
      <c r="I154" s="3">
        <v>27.052551000000001</v>
      </c>
      <c r="L154" s="28">
        <v>38077</v>
      </c>
      <c r="P154" s="27"/>
      <c r="U154" s="31"/>
    </row>
    <row r="155" spans="6:21" x14ac:dyDescent="0.3">
      <c r="F155" s="31">
        <v>0.64627429037006578</v>
      </c>
      <c r="G155">
        <v>2</v>
      </c>
      <c r="H155" s="26">
        <v>2004.0833333338301</v>
      </c>
      <c r="I155" s="3">
        <v>27.071808000000001</v>
      </c>
      <c r="L155" s="28">
        <v>38046</v>
      </c>
      <c r="P155" s="27"/>
      <c r="U155" s="31"/>
    </row>
    <row r="156" spans="6:21" x14ac:dyDescent="0.3">
      <c r="F156" s="31">
        <v>0.66428471616765461</v>
      </c>
      <c r="G156">
        <v>1</v>
      </c>
      <c r="H156" s="26">
        <v>2004.0000000005</v>
      </c>
      <c r="I156" s="3">
        <v>27.271975999999999</v>
      </c>
      <c r="L156" s="28">
        <v>38017</v>
      </c>
      <c r="P156" s="27"/>
      <c r="U156" s="31"/>
    </row>
    <row r="157" spans="6:21" x14ac:dyDescent="0.3">
      <c r="F157" s="31">
        <v>0.70029320088190505</v>
      </c>
      <c r="G157">
        <v>12</v>
      </c>
      <c r="H157" s="26">
        <v>2003.9166666671699</v>
      </c>
      <c r="I157" s="3">
        <v>28.002147999999998</v>
      </c>
      <c r="L157" s="28">
        <v>37986</v>
      </c>
      <c r="P157" s="27"/>
      <c r="U157" s="31"/>
    </row>
    <row r="158" spans="6:21" x14ac:dyDescent="0.3">
      <c r="F158" s="31">
        <v>0.75183706301236242</v>
      </c>
      <c r="G158">
        <v>11</v>
      </c>
      <c r="H158" s="26">
        <v>2003.8333333338401</v>
      </c>
      <c r="I158" s="3">
        <v>29.012756</v>
      </c>
      <c r="L158" s="28">
        <v>37955</v>
      </c>
      <c r="P158" s="27"/>
      <c r="U158" s="31"/>
    </row>
    <row r="159" spans="6:21" x14ac:dyDescent="0.3">
      <c r="F159" s="31">
        <v>0.72116106775774957</v>
      </c>
      <c r="G159">
        <v>10</v>
      </c>
      <c r="H159" s="26">
        <v>2003.75000000051</v>
      </c>
      <c r="I159" s="3">
        <v>29.477181999999999</v>
      </c>
      <c r="L159" s="28">
        <v>37925</v>
      </c>
      <c r="P159" s="27"/>
      <c r="U159" s="31"/>
    </row>
    <row r="160" spans="6:21" x14ac:dyDescent="0.3">
      <c r="F160" s="31">
        <v>0.66911788058441346</v>
      </c>
      <c r="G160">
        <v>9</v>
      </c>
      <c r="H160" s="26">
        <v>2003.6666666671799</v>
      </c>
      <c r="I160" s="3">
        <v>29.224972000000001</v>
      </c>
      <c r="L160" s="28">
        <v>37894</v>
      </c>
      <c r="P160" s="27"/>
      <c r="U160" s="31"/>
    </row>
    <row r="161" spans="6:21" x14ac:dyDescent="0.3">
      <c r="F161" s="31">
        <v>0.65191446365874761</v>
      </c>
      <c r="G161">
        <v>8</v>
      </c>
      <c r="H161" s="26">
        <v>2003.5833333338501</v>
      </c>
      <c r="I161" s="3">
        <v>28.791232999999998</v>
      </c>
      <c r="L161" s="28">
        <v>37864</v>
      </c>
      <c r="P161" s="27"/>
      <c r="U161" s="31"/>
    </row>
    <row r="162" spans="6:21" x14ac:dyDescent="0.3">
      <c r="F162" s="31">
        <v>0.68822198580948557</v>
      </c>
      <c r="G162">
        <v>7</v>
      </c>
      <c r="H162" s="26">
        <v>2003.50000000052</v>
      </c>
      <c r="I162" s="3">
        <v>28.433136000000001</v>
      </c>
      <c r="L162" s="28">
        <v>37833</v>
      </c>
      <c r="P162" s="27"/>
      <c r="U162" s="31"/>
    </row>
    <row r="163" spans="6:21" x14ac:dyDescent="0.3">
      <c r="F163" s="31">
        <v>0.65900182692180509</v>
      </c>
      <c r="G163">
        <v>6</v>
      </c>
      <c r="H163" s="26">
        <v>2003.4166666671899</v>
      </c>
      <c r="I163" s="3">
        <v>28.6553</v>
      </c>
      <c r="L163" s="28">
        <v>37802</v>
      </c>
      <c r="P163" s="27"/>
      <c r="U163" s="31"/>
    </row>
    <row r="164" spans="6:21" x14ac:dyDescent="0.3">
      <c r="F164" s="31">
        <v>0.58733743049670062</v>
      </c>
      <c r="G164">
        <v>5</v>
      </c>
      <c r="H164" s="26">
        <v>2003.3333333338601</v>
      </c>
      <c r="I164" s="3">
        <v>28.372574</v>
      </c>
      <c r="L164" s="28">
        <v>37772</v>
      </c>
      <c r="P164" s="27"/>
      <c r="U164" s="31"/>
    </row>
    <row r="165" spans="6:21" x14ac:dyDescent="0.3">
      <c r="F165" s="31">
        <v>0.57597896088362077</v>
      </c>
      <c r="G165">
        <v>4</v>
      </c>
      <c r="H165" s="26">
        <v>2003.25000000053</v>
      </c>
      <c r="I165" s="3">
        <v>28.064848000000001</v>
      </c>
      <c r="L165" s="28">
        <v>37741</v>
      </c>
      <c r="P165" s="27"/>
      <c r="U165" s="31"/>
    </row>
    <row r="166" spans="6:21" x14ac:dyDescent="0.3">
      <c r="F166" s="31">
        <v>0.52269104983678072</v>
      </c>
      <c r="G166">
        <v>3</v>
      </c>
      <c r="H166" s="26">
        <v>2003.1666666671999</v>
      </c>
      <c r="I166" s="3">
        <v>27.146273000000001</v>
      </c>
      <c r="L166" s="28">
        <v>37711</v>
      </c>
      <c r="P166" s="27"/>
      <c r="U166" s="31"/>
    </row>
    <row r="167" spans="6:21" x14ac:dyDescent="0.3">
      <c r="F167" s="31">
        <v>0.54213083913397497</v>
      </c>
      <c r="G167">
        <v>2</v>
      </c>
      <c r="H167" s="26">
        <v>2003.0833333338701</v>
      </c>
      <c r="I167" s="3">
        <v>27.115856000000001</v>
      </c>
      <c r="L167" s="28">
        <v>37680</v>
      </c>
      <c r="P167" s="27"/>
      <c r="U167" s="31"/>
    </row>
    <row r="168" spans="6:21" x14ac:dyDescent="0.3">
      <c r="F168" s="31">
        <v>0.65953150021305029</v>
      </c>
      <c r="G168">
        <v>1</v>
      </c>
      <c r="H168" s="26">
        <v>2003.00000000054</v>
      </c>
      <c r="I168" s="3">
        <v>27.290151999999999</v>
      </c>
      <c r="L168" s="28">
        <v>37652</v>
      </c>
      <c r="P168" s="27"/>
      <c r="U168" s="31"/>
    </row>
    <row r="169" spans="6:21" x14ac:dyDescent="0.3">
      <c r="F169" s="31">
        <v>0.70041761681181858</v>
      </c>
      <c r="G169">
        <v>12</v>
      </c>
      <c r="H169" s="26">
        <v>2002.9166666672099</v>
      </c>
      <c r="I169" s="3">
        <v>27.961327000000001</v>
      </c>
      <c r="L169" s="28">
        <v>37621</v>
      </c>
      <c r="P169" s="27"/>
      <c r="U169" s="31"/>
    </row>
    <row r="170" spans="6:21" x14ac:dyDescent="0.3">
      <c r="F170" s="31">
        <v>0.76204786984144524</v>
      </c>
      <c r="G170">
        <v>11</v>
      </c>
      <c r="H170" s="26">
        <v>2002.8333333338801</v>
      </c>
      <c r="I170" s="3">
        <v>28.888596</v>
      </c>
      <c r="L170" s="28">
        <v>37590</v>
      </c>
      <c r="P170" s="27"/>
      <c r="U170" s="31"/>
    </row>
    <row r="171" spans="6:21" x14ac:dyDescent="0.3">
      <c r="F171" s="31">
        <v>0.76080008654480935</v>
      </c>
      <c r="G171">
        <v>10</v>
      </c>
      <c r="H171" s="26">
        <v>2002.75000000055</v>
      </c>
      <c r="I171" s="3">
        <v>29.102944999999998</v>
      </c>
      <c r="L171" s="28">
        <v>37560</v>
      </c>
      <c r="P171" s="27"/>
      <c r="U171" s="31"/>
    </row>
    <row r="172" spans="6:21" x14ac:dyDescent="0.3">
      <c r="F172" s="31">
        <v>0.6965003525691591</v>
      </c>
      <c r="G172">
        <v>9</v>
      </c>
      <c r="H172" s="26">
        <v>2002.6666666672199</v>
      </c>
      <c r="I172" s="3">
        <v>28.773917999999998</v>
      </c>
      <c r="L172" s="28">
        <v>37529</v>
      </c>
      <c r="P172" s="27"/>
      <c r="U172" s="31"/>
    </row>
    <row r="173" spans="6:21" x14ac:dyDescent="0.3">
      <c r="F173" s="31">
        <v>0.67009842846783652</v>
      </c>
      <c r="G173">
        <v>8</v>
      </c>
      <c r="H173" s="26">
        <v>2002.5833333338901</v>
      </c>
      <c r="I173" s="3">
        <v>28.328240000000001</v>
      </c>
      <c r="L173" s="28">
        <v>37499</v>
      </c>
      <c r="P173" s="27"/>
      <c r="U173" s="31"/>
    </row>
    <row r="174" spans="6:21" x14ac:dyDescent="0.3">
      <c r="F174" s="31">
        <v>0.66661210543932281</v>
      </c>
      <c r="G174">
        <v>7</v>
      </c>
      <c r="H174" s="26">
        <v>2002.50000000056</v>
      </c>
      <c r="I174" s="3">
        <v>28.217649999999999</v>
      </c>
      <c r="L174" s="28">
        <v>37468</v>
      </c>
      <c r="P174" s="27"/>
      <c r="U174" s="31"/>
    </row>
    <row r="175" spans="6:21" x14ac:dyDescent="0.3">
      <c r="F175" s="31">
        <v>0.68885267815162876</v>
      </c>
      <c r="G175">
        <v>6</v>
      </c>
      <c r="H175" s="26">
        <v>2002.4166666672299</v>
      </c>
      <c r="I175" s="3">
        <v>28.497033999999999</v>
      </c>
      <c r="L175" s="28">
        <v>37437</v>
      </c>
      <c r="P175" s="27"/>
      <c r="U175" s="31"/>
    </row>
    <row r="176" spans="6:21" x14ac:dyDescent="0.3">
      <c r="F176" s="31">
        <v>0.63813472473098687</v>
      </c>
      <c r="G176">
        <v>5</v>
      </c>
      <c r="H176" s="26">
        <v>2002.3333333339001</v>
      </c>
      <c r="I176" s="3">
        <v>28.155992999999999</v>
      </c>
      <c r="L176" s="28">
        <v>37407</v>
      </c>
      <c r="P176" s="27"/>
      <c r="U176" s="31"/>
    </row>
    <row r="177" spans="6:21" x14ac:dyDescent="0.3">
      <c r="F177" s="31">
        <v>0.64169318034440281</v>
      </c>
      <c r="G177">
        <v>4</v>
      </c>
      <c r="H177" s="26">
        <v>2002.25000000057</v>
      </c>
      <c r="I177" s="3">
        <v>27.583283999999999</v>
      </c>
      <c r="L177" s="28">
        <v>37376</v>
      </c>
      <c r="P177" s="27"/>
      <c r="U177" s="31"/>
    </row>
    <row r="178" spans="6:21" x14ac:dyDescent="0.3">
      <c r="F178" s="31">
        <v>0.58463447390543066</v>
      </c>
      <c r="G178">
        <v>3</v>
      </c>
      <c r="H178" s="26">
        <v>2002.16666666724</v>
      </c>
      <c r="I178" s="3">
        <v>27.082336000000002</v>
      </c>
      <c r="L178" s="28">
        <v>37346</v>
      </c>
      <c r="P178" s="27"/>
      <c r="U178" s="31"/>
    </row>
    <row r="179" spans="6:21" x14ac:dyDescent="0.3">
      <c r="F179" s="31">
        <v>0.59052748523154286</v>
      </c>
      <c r="G179">
        <v>2</v>
      </c>
      <c r="H179" s="26">
        <v>2002.0833333339101</v>
      </c>
      <c r="I179" s="3">
        <v>27.000133999999999</v>
      </c>
      <c r="L179" s="28">
        <v>37315</v>
      </c>
      <c r="P179" s="27"/>
      <c r="U179" s="31"/>
    </row>
    <row r="180" spans="6:21" x14ac:dyDescent="0.3">
      <c r="F180" s="31">
        <v>0.73877857536944203</v>
      </c>
      <c r="G180">
        <v>1</v>
      </c>
      <c r="H180" s="26">
        <v>2002.00000000058</v>
      </c>
      <c r="I180" s="3">
        <v>27.337869999999999</v>
      </c>
      <c r="L180" s="28">
        <v>37287</v>
      </c>
      <c r="P180" s="27"/>
      <c r="U180" s="31"/>
    </row>
    <row r="181" spans="6:21" x14ac:dyDescent="0.3">
      <c r="F181" s="31">
        <v>0.80568860865810288</v>
      </c>
      <c r="G181">
        <v>12</v>
      </c>
      <c r="H181" s="26">
        <v>2001.91666666725</v>
      </c>
      <c r="I181" s="3">
        <v>28.049526</v>
      </c>
      <c r="L181" s="28">
        <v>37256</v>
      </c>
      <c r="P181" s="27"/>
      <c r="U181" s="31"/>
    </row>
    <row r="182" spans="6:21" x14ac:dyDescent="0.3">
      <c r="F182" s="31">
        <v>0.81955138806937811</v>
      </c>
      <c r="G182">
        <v>11</v>
      </c>
      <c r="H182" s="26">
        <v>2001.8333333339201</v>
      </c>
      <c r="I182" s="3">
        <v>28.679912999999999</v>
      </c>
      <c r="L182" s="28">
        <v>37225</v>
      </c>
      <c r="P182" s="27"/>
      <c r="U182" s="31"/>
    </row>
    <row r="183" spans="6:21" x14ac:dyDescent="0.3">
      <c r="F183" s="31">
        <v>0.79849400518587499</v>
      </c>
      <c r="G183">
        <v>10</v>
      </c>
      <c r="H183" s="26">
        <v>2001.75000000059</v>
      </c>
      <c r="I183" s="3">
        <v>29.12182</v>
      </c>
      <c r="L183" s="28">
        <v>37195</v>
      </c>
      <c r="P183" s="27"/>
      <c r="U183" s="31"/>
    </row>
    <row r="184" spans="6:21" x14ac:dyDescent="0.3">
      <c r="F184" s="31">
        <v>0.74756182911921631</v>
      </c>
      <c r="G184">
        <v>9</v>
      </c>
      <c r="H184" s="26">
        <v>2001.66666666726</v>
      </c>
      <c r="I184" s="3">
        <v>29.025096999999999</v>
      </c>
      <c r="L184" s="28">
        <v>37164</v>
      </c>
      <c r="P184" s="27"/>
      <c r="U184" s="31"/>
    </row>
    <row r="185" spans="6:21" x14ac:dyDescent="0.3">
      <c r="F185" s="31">
        <v>0.74145759986413862</v>
      </c>
      <c r="G185">
        <v>8</v>
      </c>
      <c r="H185" s="26">
        <v>2001.5833333339301</v>
      </c>
      <c r="I185" s="3">
        <v>28.618646999999999</v>
      </c>
      <c r="L185" s="28">
        <v>37134</v>
      </c>
      <c r="P185" s="27"/>
      <c r="U185" s="31"/>
    </row>
    <row r="186" spans="6:21" x14ac:dyDescent="0.3">
      <c r="F186" s="31">
        <v>0.68829397029822248</v>
      </c>
      <c r="G186">
        <v>7</v>
      </c>
      <c r="H186" s="26">
        <v>2001.5000000006</v>
      </c>
      <c r="I186" s="3">
        <v>28.398060000000001</v>
      </c>
      <c r="L186" s="28">
        <v>37103</v>
      </c>
      <c r="P186" s="27"/>
      <c r="U186" s="31"/>
    </row>
    <row r="187" spans="6:21" x14ac:dyDescent="0.3">
      <c r="F187" s="31">
        <v>0.63758543581420635</v>
      </c>
      <c r="G187">
        <v>6</v>
      </c>
      <c r="H187" s="26">
        <v>2001.41666666727</v>
      </c>
      <c r="I187" s="3">
        <v>28.822624000000001</v>
      </c>
      <c r="L187" s="28">
        <v>37072</v>
      </c>
      <c r="P187" s="27"/>
      <c r="U187" s="31"/>
    </row>
    <row r="188" spans="6:21" x14ac:dyDescent="0.3">
      <c r="F188" s="31">
        <v>0.57315530753405031</v>
      </c>
      <c r="G188">
        <v>5</v>
      </c>
      <c r="H188" s="26">
        <v>2001.3333333339399</v>
      </c>
      <c r="I188" s="3">
        <v>28.235503999999999</v>
      </c>
      <c r="L188" s="28">
        <v>37042</v>
      </c>
      <c r="P188" s="27"/>
      <c r="U188" s="31"/>
    </row>
    <row r="189" spans="6:21" x14ac:dyDescent="0.3">
      <c r="F189" s="31">
        <v>0.62211992032078622</v>
      </c>
      <c r="G189">
        <v>4</v>
      </c>
      <c r="H189" s="26">
        <v>2001.25000000061</v>
      </c>
      <c r="I189" s="3">
        <v>27.255444000000001</v>
      </c>
      <c r="L189" s="28">
        <v>37011</v>
      </c>
      <c r="P189" s="27"/>
      <c r="U189" s="31"/>
    </row>
    <row r="190" spans="6:21" x14ac:dyDescent="0.3">
      <c r="F190" s="31">
        <v>0.61264121302247865</v>
      </c>
      <c r="G190">
        <v>3</v>
      </c>
      <c r="H190" s="26">
        <v>2001.16666666728</v>
      </c>
      <c r="I190" s="3">
        <v>26.661549999999998</v>
      </c>
      <c r="L190" s="28">
        <v>36981</v>
      </c>
      <c r="P190" s="27"/>
      <c r="U190" s="31"/>
    </row>
    <row r="191" spans="6:21" x14ac:dyDescent="0.3">
      <c r="F191" s="31">
        <v>0.58811096069430846</v>
      </c>
      <c r="G191">
        <v>2</v>
      </c>
      <c r="H191" s="26">
        <v>2001.0833333339499</v>
      </c>
      <c r="I191" s="3">
        <v>26.538681</v>
      </c>
      <c r="L191" s="28">
        <v>36950</v>
      </c>
      <c r="P191" s="27"/>
      <c r="U191" s="31"/>
    </row>
    <row r="192" spans="6:21" x14ac:dyDescent="0.3">
      <c r="F192" s="31">
        <v>0.61001159894523194</v>
      </c>
      <c r="G192">
        <v>1</v>
      </c>
      <c r="H192" s="26">
        <v>2001.00000000062</v>
      </c>
      <c r="I192" s="3">
        <v>26.886410000000001</v>
      </c>
      <c r="L192" s="28">
        <v>36922</v>
      </c>
      <c r="P192" s="27"/>
      <c r="U192" s="31"/>
    </row>
    <row r="193" spans="6:21" x14ac:dyDescent="0.3">
      <c r="F193" s="31">
        <v>0.64339023831827113</v>
      </c>
      <c r="G193">
        <v>12</v>
      </c>
      <c r="H193" s="26">
        <v>2000.91666666729</v>
      </c>
      <c r="I193" s="3">
        <v>27.563030000000001</v>
      </c>
      <c r="L193" s="28">
        <v>36891</v>
      </c>
      <c r="P193" s="27"/>
      <c r="U193" s="31"/>
    </row>
    <row r="194" spans="6:21" x14ac:dyDescent="0.3">
      <c r="F194" s="31">
        <v>0.65607252323664444</v>
      </c>
      <c r="G194">
        <v>11</v>
      </c>
      <c r="H194" s="26">
        <v>2000.8333333339599</v>
      </c>
      <c r="I194" s="3">
        <v>28.679812999999999</v>
      </c>
      <c r="L194" s="28">
        <v>36860</v>
      </c>
      <c r="P194" s="27"/>
      <c r="U194" s="31"/>
    </row>
    <row r="195" spans="6:21" x14ac:dyDescent="0.3">
      <c r="F195" s="31">
        <v>0.64790394714888377</v>
      </c>
      <c r="G195">
        <v>10</v>
      </c>
      <c r="H195" s="26">
        <v>2000.7500000006301</v>
      </c>
      <c r="I195" s="3">
        <v>28.932037000000001</v>
      </c>
      <c r="L195" s="28">
        <v>36830</v>
      </c>
      <c r="P195" s="27"/>
      <c r="U195" s="31"/>
    </row>
    <row r="196" spans="6:21" x14ac:dyDescent="0.3">
      <c r="F196" s="31">
        <v>0.6555045521670555</v>
      </c>
      <c r="G196">
        <v>9</v>
      </c>
      <c r="H196" s="26">
        <v>2000.6666666673</v>
      </c>
      <c r="I196" s="3">
        <v>28.852404</v>
      </c>
      <c r="L196" s="28">
        <v>36799</v>
      </c>
      <c r="P196" s="27"/>
      <c r="U196" s="31"/>
    </row>
    <row r="197" spans="6:21" x14ac:dyDescent="0.3">
      <c r="F197" s="31">
        <v>0.5959212938690428</v>
      </c>
      <c r="G197">
        <v>8</v>
      </c>
      <c r="H197" s="26">
        <v>2000.5833333339699</v>
      </c>
      <c r="I197" s="3">
        <v>28.584655999999999</v>
      </c>
      <c r="L197" s="28">
        <v>36769</v>
      </c>
      <c r="P197" s="27"/>
      <c r="U197" s="31"/>
    </row>
    <row r="198" spans="6:21" x14ac:dyDescent="0.3">
      <c r="F198" s="31">
        <v>0.46697481744344993</v>
      </c>
      <c r="G198">
        <v>7</v>
      </c>
      <c r="H198" s="26">
        <v>2000.5000000006401</v>
      </c>
      <c r="I198" s="3">
        <v>28.283096</v>
      </c>
      <c r="L198" s="28">
        <v>36738</v>
      </c>
      <c r="P198" s="27"/>
      <c r="U198" s="31"/>
    </row>
    <row r="199" spans="6:21" x14ac:dyDescent="0.3">
      <c r="F199" s="31">
        <v>0.568331697112894</v>
      </c>
      <c r="G199">
        <v>6</v>
      </c>
      <c r="H199" s="26">
        <v>2000.41666666731</v>
      </c>
      <c r="I199" s="3">
        <v>28.437287999999999</v>
      </c>
      <c r="L199" s="28">
        <v>36707</v>
      </c>
      <c r="P199" s="27"/>
      <c r="U199" s="31"/>
    </row>
    <row r="200" spans="6:21" x14ac:dyDescent="0.3">
      <c r="F200" s="31">
        <v>0.63484175060301395</v>
      </c>
      <c r="G200">
        <v>5</v>
      </c>
      <c r="H200" s="26">
        <v>2000.3333333339799</v>
      </c>
      <c r="I200" s="3">
        <v>28.207857000000001</v>
      </c>
      <c r="L200" s="28">
        <v>36677</v>
      </c>
      <c r="P200" s="27"/>
      <c r="U200" s="31"/>
    </row>
    <row r="201" spans="6:21" x14ac:dyDescent="0.3">
      <c r="F201" s="31">
        <v>0.6639934647927237</v>
      </c>
      <c r="G201">
        <v>4</v>
      </c>
      <c r="H201" s="26">
        <v>2000.2500000006501</v>
      </c>
      <c r="I201" s="3">
        <v>27.356756000000001</v>
      </c>
      <c r="L201" s="28">
        <v>36646</v>
      </c>
      <c r="P201" s="27"/>
      <c r="U201" s="31"/>
    </row>
    <row r="202" spans="6:21" x14ac:dyDescent="0.3">
      <c r="F202" s="31">
        <v>0.69553682384605875</v>
      </c>
      <c r="G202">
        <v>3</v>
      </c>
      <c r="H202" s="26">
        <v>2000.16666666732</v>
      </c>
      <c r="I202" s="3">
        <v>26.734048999999999</v>
      </c>
      <c r="L202" s="28">
        <v>36616</v>
      </c>
      <c r="P202" s="27"/>
      <c r="U202" s="31"/>
    </row>
    <row r="203" spans="6:21" x14ac:dyDescent="0.3">
      <c r="F203" s="31">
        <v>0.70736648449602435</v>
      </c>
      <c r="G203">
        <v>2</v>
      </c>
      <c r="H203" s="26">
        <v>2000.0833333339899</v>
      </c>
      <c r="I203" s="3">
        <v>26.750644999999999</v>
      </c>
      <c r="L203" s="28">
        <v>36585</v>
      </c>
      <c r="P203" s="27"/>
      <c r="U203" s="31"/>
    </row>
    <row r="204" spans="6:21" x14ac:dyDescent="0.3">
      <c r="F204" s="31">
        <v>0.79081931576372066</v>
      </c>
      <c r="G204">
        <v>1</v>
      </c>
      <c r="H204" s="26">
        <v>2000.0000000006601</v>
      </c>
      <c r="I204" s="3">
        <v>26.800830000000001</v>
      </c>
      <c r="L204" s="28">
        <v>36556</v>
      </c>
      <c r="P204" s="27"/>
      <c r="U204" s="31"/>
    </row>
    <row r="205" spans="6:21" x14ac:dyDescent="0.3">
      <c r="F205" s="31">
        <v>0.81474709746476448</v>
      </c>
      <c r="G205">
        <v>12</v>
      </c>
      <c r="H205" s="26">
        <v>1999.91666666732</v>
      </c>
      <c r="I205" s="3">
        <v>27.89828</v>
      </c>
      <c r="L205" s="28">
        <v>36525</v>
      </c>
      <c r="P205" s="27"/>
      <c r="U205" s="31"/>
    </row>
    <row r="206" spans="6:21" x14ac:dyDescent="0.3">
      <c r="F206" s="31">
        <v>0.80214441950486659</v>
      </c>
      <c r="G206">
        <v>11</v>
      </c>
      <c r="H206" s="26">
        <v>1999.8333333339899</v>
      </c>
      <c r="I206" s="3">
        <v>28.303477999999998</v>
      </c>
      <c r="L206" s="28">
        <v>36494</v>
      </c>
      <c r="P206" s="27"/>
      <c r="U206" s="31"/>
    </row>
    <row r="207" spans="6:21" x14ac:dyDescent="0.3">
      <c r="F207" s="31">
        <v>0.78276505385049233</v>
      </c>
      <c r="G207">
        <v>10</v>
      </c>
      <c r="H207" s="26">
        <v>1999.7500000006601</v>
      </c>
      <c r="I207" s="3">
        <v>28.966629000000001</v>
      </c>
      <c r="L207" s="28">
        <v>36464</v>
      </c>
      <c r="P207" s="27"/>
      <c r="U207" s="31"/>
    </row>
    <row r="208" spans="6:21" x14ac:dyDescent="0.3">
      <c r="F208" s="31">
        <v>0.79448880341809058</v>
      </c>
      <c r="G208">
        <v>9</v>
      </c>
      <c r="H208" s="26">
        <v>1999.66666666733</v>
      </c>
      <c r="I208" s="3">
        <v>28.978497999999998</v>
      </c>
      <c r="L208" s="28">
        <v>36433</v>
      </c>
      <c r="P208" s="27"/>
      <c r="U208" s="31"/>
    </row>
    <row r="209" spans="6:21" x14ac:dyDescent="0.3">
      <c r="F209" s="31">
        <v>0.78040352836201055</v>
      </c>
      <c r="G209">
        <v>8</v>
      </c>
      <c r="H209" s="26">
        <v>1999.5833333339999</v>
      </c>
      <c r="I209" s="3">
        <v>28.797606999999999</v>
      </c>
      <c r="L209" s="28">
        <v>36403</v>
      </c>
      <c r="P209" s="27"/>
      <c r="U209" s="31"/>
    </row>
    <row r="210" spans="6:21" x14ac:dyDescent="0.3">
      <c r="F210" s="31">
        <v>0.63167436010206168</v>
      </c>
      <c r="G210">
        <v>7</v>
      </c>
      <c r="H210" s="26">
        <v>1999.5000000006701</v>
      </c>
      <c r="I210" s="3">
        <v>28.540585</v>
      </c>
      <c r="L210" s="28">
        <v>36372</v>
      </c>
      <c r="P210" s="27"/>
      <c r="U210" s="31"/>
    </row>
    <row r="211" spans="6:21" x14ac:dyDescent="0.3">
      <c r="F211" s="31">
        <v>0.68589240538642293</v>
      </c>
      <c r="G211">
        <v>6</v>
      </c>
      <c r="H211" s="26">
        <v>1999.41666666734</v>
      </c>
      <c r="I211" s="3">
        <v>28.782764</v>
      </c>
      <c r="L211" s="28">
        <v>36341</v>
      </c>
      <c r="P211" s="27"/>
      <c r="U211" s="31"/>
    </row>
    <row r="212" spans="6:21" x14ac:dyDescent="0.3">
      <c r="F212" s="31">
        <v>0.64943785476507232</v>
      </c>
      <c r="G212">
        <v>5</v>
      </c>
      <c r="H212" s="26">
        <v>1999.3333333340099</v>
      </c>
      <c r="I212" s="3">
        <v>28.198405999999999</v>
      </c>
      <c r="L212" s="28">
        <v>36311</v>
      </c>
      <c r="P212" s="27"/>
      <c r="U212" s="31"/>
    </row>
    <row r="213" spans="6:21" x14ac:dyDescent="0.3">
      <c r="F213" s="31">
        <v>0.64887997867355085</v>
      </c>
      <c r="G213">
        <v>4</v>
      </c>
      <c r="H213" s="26">
        <v>1999.2500000006801</v>
      </c>
      <c r="I213" s="3">
        <v>27.552143000000001</v>
      </c>
      <c r="L213" s="28">
        <v>36280</v>
      </c>
      <c r="P213" s="27"/>
      <c r="U213" s="31"/>
    </row>
    <row r="214" spans="6:21" x14ac:dyDescent="0.3">
      <c r="F214" s="31">
        <v>0.58582314845157635</v>
      </c>
      <c r="G214">
        <v>3</v>
      </c>
      <c r="H214" s="26">
        <v>1999.16666666735</v>
      </c>
      <c r="I214" s="3">
        <v>26.935252999999999</v>
      </c>
      <c r="L214" s="28">
        <v>36250</v>
      </c>
      <c r="P214" s="27"/>
      <c r="U214" s="31"/>
    </row>
    <row r="215" spans="6:21" x14ac:dyDescent="0.3">
      <c r="F215" s="31">
        <v>0.5534215250651553</v>
      </c>
      <c r="G215">
        <v>2</v>
      </c>
      <c r="H215" s="26">
        <v>1999.0833333340199</v>
      </c>
      <c r="I215" s="3">
        <v>26.596931000000001</v>
      </c>
      <c r="L215" s="28">
        <v>36219</v>
      </c>
      <c r="P215" s="27"/>
      <c r="U215" s="31"/>
    </row>
    <row r="216" spans="6:21" x14ac:dyDescent="0.3">
      <c r="F216" s="31">
        <v>0.61107305132509682</v>
      </c>
      <c r="G216">
        <v>1</v>
      </c>
      <c r="H216" s="26">
        <v>1999.0000000006901</v>
      </c>
      <c r="I216" s="3">
        <v>27.152920000000002</v>
      </c>
      <c r="L216" s="28">
        <v>36191</v>
      </c>
      <c r="P216" s="27"/>
      <c r="U216" s="31"/>
    </row>
    <row r="217" spans="6:21" x14ac:dyDescent="0.3">
      <c r="F217" s="31">
        <v>0.72083805799703138</v>
      </c>
      <c r="G217">
        <v>12</v>
      </c>
      <c r="H217" s="26">
        <v>1998.91666666736</v>
      </c>
      <c r="I217" s="3">
        <v>28.066917</v>
      </c>
      <c r="L217" s="28">
        <v>36160</v>
      </c>
      <c r="P217" s="27"/>
      <c r="U217" s="31"/>
    </row>
    <row r="218" spans="6:21" x14ac:dyDescent="0.3">
      <c r="F218" s="31">
        <v>0.78869908478138606</v>
      </c>
      <c r="G218">
        <v>11</v>
      </c>
      <c r="H218" s="26">
        <v>1998.8333333340299</v>
      </c>
      <c r="I218" s="3">
        <v>28.998287000000001</v>
      </c>
      <c r="L218" s="28">
        <v>36129</v>
      </c>
      <c r="P218" s="27"/>
      <c r="U218" s="31"/>
    </row>
    <row r="219" spans="6:21" x14ac:dyDescent="0.3">
      <c r="F219" s="31">
        <v>0.75244012331214982</v>
      </c>
      <c r="G219">
        <v>10</v>
      </c>
      <c r="H219" s="26">
        <v>1998.7500000007001</v>
      </c>
      <c r="I219" s="3">
        <v>29.101966999999998</v>
      </c>
      <c r="L219" s="28">
        <v>36099</v>
      </c>
      <c r="P219" s="27"/>
      <c r="U219" s="31"/>
    </row>
    <row r="220" spans="6:21" x14ac:dyDescent="0.3">
      <c r="F220" s="31">
        <v>0.64291082072583983</v>
      </c>
      <c r="G220">
        <v>9</v>
      </c>
      <c r="H220" s="26">
        <v>1998.66666666737</v>
      </c>
      <c r="I220" s="3">
        <v>29.418707000000001</v>
      </c>
      <c r="L220" s="28">
        <v>36068</v>
      </c>
      <c r="P220" s="27"/>
      <c r="U220" s="31"/>
    </row>
    <row r="221" spans="6:21" x14ac:dyDescent="0.3">
      <c r="F221" s="31">
        <v>0.62010727534749033</v>
      </c>
      <c r="G221">
        <v>8</v>
      </c>
      <c r="H221" s="26">
        <v>1998.5833333340399</v>
      </c>
      <c r="I221" s="3">
        <v>29.319911999999999</v>
      </c>
      <c r="L221" s="28">
        <v>36038</v>
      </c>
      <c r="P221" s="27"/>
      <c r="U221" s="31"/>
    </row>
    <row r="222" spans="6:21" x14ac:dyDescent="0.3">
      <c r="F222" s="31">
        <v>0.69868550573616084</v>
      </c>
      <c r="G222">
        <v>7</v>
      </c>
      <c r="H222" s="26">
        <v>1998.5000000007101</v>
      </c>
      <c r="I222" s="3">
        <v>28.865658</v>
      </c>
      <c r="L222" s="28">
        <v>36007</v>
      </c>
      <c r="P222" s="27"/>
      <c r="U222" s="31"/>
    </row>
    <row r="223" spans="6:21" x14ac:dyDescent="0.3">
      <c r="F223" s="31">
        <v>0.65861753994501337</v>
      </c>
      <c r="G223">
        <v>6</v>
      </c>
      <c r="H223" s="26">
        <v>1998.41666666738</v>
      </c>
      <c r="I223" s="3">
        <v>29.120782999999999</v>
      </c>
      <c r="L223" s="28">
        <v>35976</v>
      </c>
      <c r="P223" s="27"/>
      <c r="U223" s="31"/>
    </row>
    <row r="224" spans="6:21" x14ac:dyDescent="0.3">
      <c r="F224" s="31">
        <v>0.64126333848661776</v>
      </c>
      <c r="G224">
        <v>5</v>
      </c>
      <c r="H224" s="26">
        <v>1998.3333333340499</v>
      </c>
      <c r="I224" s="3">
        <v>28.859881999999999</v>
      </c>
      <c r="L224" s="28">
        <v>35946</v>
      </c>
      <c r="P224" s="27"/>
      <c r="U224" s="31"/>
    </row>
    <row r="225" spans="6:21" x14ac:dyDescent="0.3">
      <c r="F225" s="31">
        <v>0.63818020530287323</v>
      </c>
      <c r="G225">
        <v>4</v>
      </c>
      <c r="H225" s="26">
        <v>1998.2500000007201</v>
      </c>
      <c r="I225" s="3">
        <v>27.934906000000002</v>
      </c>
      <c r="L225" s="28">
        <v>35915</v>
      </c>
      <c r="P225" s="27"/>
      <c r="U225" s="31"/>
    </row>
    <row r="226" spans="6:21" x14ac:dyDescent="0.3">
      <c r="F226" s="31">
        <v>0.5891937690351623</v>
      </c>
      <c r="G226">
        <v>3</v>
      </c>
      <c r="H226" s="26">
        <v>1998.16666666739</v>
      </c>
      <c r="I226" s="3">
        <v>27.566013000000002</v>
      </c>
      <c r="L226" s="28">
        <v>35885</v>
      </c>
      <c r="P226" s="27"/>
      <c r="U226" s="31"/>
    </row>
    <row r="227" spans="6:21" x14ac:dyDescent="0.3">
      <c r="F227" s="31">
        <v>0.56484251048469158</v>
      </c>
      <c r="G227">
        <v>2</v>
      </c>
      <c r="H227" s="26">
        <v>1998.0833333340599</v>
      </c>
      <c r="I227" s="3">
        <v>27.492370000000001</v>
      </c>
      <c r="L227" s="28">
        <v>35854</v>
      </c>
      <c r="P227" s="27"/>
      <c r="U227" s="31"/>
    </row>
    <row r="228" spans="6:21" x14ac:dyDescent="0.3">
      <c r="F228" s="31">
        <v>0.63777086479887335</v>
      </c>
      <c r="G228">
        <v>1</v>
      </c>
      <c r="H228" s="26">
        <v>1998.0000000007301</v>
      </c>
      <c r="I228" s="3">
        <v>27.386194</v>
      </c>
      <c r="L228" s="28">
        <v>35826</v>
      </c>
      <c r="P228" s="27"/>
      <c r="U228" s="31"/>
    </row>
    <row r="229" spans="6:21" x14ac:dyDescent="0.3">
      <c r="F229" s="31">
        <v>0.76136881190611683</v>
      </c>
      <c r="G229">
        <v>12</v>
      </c>
      <c r="H229" s="26">
        <v>1997.9166666674</v>
      </c>
      <c r="I229" s="3">
        <v>28.053778000000001</v>
      </c>
      <c r="L229" s="28">
        <v>35795</v>
      </c>
      <c r="P229" s="27"/>
      <c r="U229" s="31"/>
    </row>
    <row r="230" spans="6:21" x14ac:dyDescent="0.3">
      <c r="F230" s="31">
        <v>0.85959298641352555</v>
      </c>
      <c r="G230">
        <v>11</v>
      </c>
      <c r="H230" s="26">
        <v>1997.8333333340699</v>
      </c>
      <c r="I230" s="3">
        <v>28.978885999999999</v>
      </c>
      <c r="L230" s="28">
        <v>35764</v>
      </c>
      <c r="P230" s="27"/>
      <c r="U230" s="31"/>
    </row>
    <row r="231" spans="6:21" x14ac:dyDescent="0.3">
      <c r="F231" s="31">
        <v>0.82833527332714441</v>
      </c>
      <c r="G231">
        <v>10</v>
      </c>
      <c r="H231" s="26">
        <v>1997.7500000007401</v>
      </c>
      <c r="I231" s="3">
        <v>29.191174</v>
      </c>
      <c r="L231" s="28">
        <v>35734</v>
      </c>
      <c r="P231" s="27"/>
      <c r="U231" s="31"/>
    </row>
    <row r="232" spans="6:21" x14ac:dyDescent="0.3">
      <c r="F232" s="31">
        <v>0.72452186051434431</v>
      </c>
      <c r="G232">
        <v>9</v>
      </c>
      <c r="H232" s="26">
        <v>1997.66666666741</v>
      </c>
      <c r="I232" s="3">
        <v>28.914299</v>
      </c>
      <c r="L232" s="28">
        <v>35703</v>
      </c>
      <c r="P232" s="27"/>
      <c r="U232" s="31"/>
    </row>
    <row r="233" spans="6:21" x14ac:dyDescent="0.3">
      <c r="F233" s="31">
        <v>0.67739927585694215</v>
      </c>
      <c r="G233">
        <v>8</v>
      </c>
      <c r="H233" s="26">
        <v>1997.58333333408</v>
      </c>
      <c r="I233" s="3">
        <v>28.438068000000001</v>
      </c>
      <c r="L233" s="28">
        <v>35673</v>
      </c>
      <c r="P233" s="27"/>
      <c r="U233" s="31"/>
    </row>
    <row r="234" spans="6:21" x14ac:dyDescent="0.3">
      <c r="F234" s="31">
        <v>0.65131714502613536</v>
      </c>
      <c r="G234">
        <v>7</v>
      </c>
      <c r="H234" s="26">
        <v>1997.5000000007501</v>
      </c>
      <c r="I234" s="3">
        <v>28.393802999999998</v>
      </c>
      <c r="L234" s="28">
        <v>35642</v>
      </c>
      <c r="P234" s="27"/>
      <c r="U234" s="31"/>
    </row>
    <row r="235" spans="6:21" x14ac:dyDescent="0.3">
      <c r="F235" s="31">
        <v>0.64828349556474929</v>
      </c>
      <c r="G235">
        <v>6</v>
      </c>
      <c r="H235" s="26">
        <v>1997.41666666742</v>
      </c>
      <c r="I235" s="3">
        <v>28.73631</v>
      </c>
      <c r="L235" s="28">
        <v>35611</v>
      </c>
      <c r="P235" s="27"/>
      <c r="U235" s="31"/>
    </row>
    <row r="236" spans="6:21" x14ac:dyDescent="0.3">
      <c r="F236" s="31">
        <v>0.61147557154799137</v>
      </c>
      <c r="G236">
        <v>5</v>
      </c>
      <c r="H236" s="26">
        <v>1997.33333333409</v>
      </c>
      <c r="I236" s="3">
        <v>28.317820000000001</v>
      </c>
      <c r="L236" s="28">
        <v>35581</v>
      </c>
      <c r="P236" s="27"/>
      <c r="U236" s="31"/>
    </row>
    <row r="237" spans="6:21" x14ac:dyDescent="0.3">
      <c r="F237" s="31">
        <v>0.58118285257133573</v>
      </c>
      <c r="G237">
        <v>4</v>
      </c>
      <c r="H237" s="26">
        <v>1997.2500000007601</v>
      </c>
      <c r="I237" s="3">
        <v>27.389868</v>
      </c>
      <c r="L237" s="28">
        <v>35550</v>
      </c>
      <c r="P237" s="27"/>
      <c r="U237" s="31"/>
    </row>
    <row r="238" spans="6:21" x14ac:dyDescent="0.3">
      <c r="F238" s="31">
        <v>0.53895180309179302</v>
      </c>
      <c r="G238">
        <v>3</v>
      </c>
      <c r="H238" s="26">
        <v>1997.16666666743</v>
      </c>
      <c r="I238" s="3">
        <v>26.858093</v>
      </c>
      <c r="L238" s="28">
        <v>35520</v>
      </c>
      <c r="P238" s="27"/>
      <c r="U238" s="31"/>
    </row>
    <row r="239" spans="6:21" x14ac:dyDescent="0.3">
      <c r="F239" s="31">
        <v>0.53708707978708659</v>
      </c>
      <c r="G239">
        <v>2</v>
      </c>
      <c r="H239" s="26">
        <v>1997.0833333341</v>
      </c>
      <c r="I239" s="3">
        <v>26.930568999999998</v>
      </c>
      <c r="L239" s="28">
        <v>35489</v>
      </c>
      <c r="P239" s="27"/>
      <c r="U239" s="31"/>
    </row>
    <row r="240" spans="6:21" x14ac:dyDescent="0.3">
      <c r="F240" s="31">
        <v>0.61225110923086645</v>
      </c>
      <c r="G240">
        <v>1</v>
      </c>
      <c r="H240" s="26">
        <v>1997.0000000007699</v>
      </c>
      <c r="I240" s="3">
        <v>27.178028000000001</v>
      </c>
      <c r="L240" s="28">
        <v>35461</v>
      </c>
      <c r="P240" s="27"/>
      <c r="U240" s="31"/>
    </row>
    <row r="241" spans="6:21" x14ac:dyDescent="0.3">
      <c r="F241" s="31">
        <v>0.71106056066212453</v>
      </c>
      <c r="G241">
        <v>12</v>
      </c>
      <c r="H241" s="26">
        <v>1996.91666666744</v>
      </c>
      <c r="I241" s="3">
        <v>27.653341000000001</v>
      </c>
      <c r="L241" s="28">
        <v>35430</v>
      </c>
      <c r="P241" s="27"/>
      <c r="U241" s="31"/>
    </row>
    <row r="242" spans="6:21" x14ac:dyDescent="0.3">
      <c r="F242" s="31">
        <v>0.78725661132936131</v>
      </c>
      <c r="G242">
        <v>11</v>
      </c>
      <c r="H242" s="26">
        <v>1996.83333333411</v>
      </c>
      <c r="I242" s="3">
        <v>28.459136999999998</v>
      </c>
      <c r="L242" s="28">
        <v>35399</v>
      </c>
      <c r="P242" s="27"/>
      <c r="U242" s="31"/>
    </row>
    <row r="243" spans="6:21" x14ac:dyDescent="0.3">
      <c r="F243" s="31">
        <v>0.78471354464917398</v>
      </c>
      <c r="G243">
        <v>10</v>
      </c>
      <c r="H243" s="26">
        <v>1996.7500000007799</v>
      </c>
      <c r="I243" s="3">
        <v>28.765609999999999</v>
      </c>
      <c r="L243" s="28">
        <v>35369</v>
      </c>
      <c r="P243" s="27"/>
      <c r="U243" s="31"/>
    </row>
    <row r="244" spans="6:21" x14ac:dyDescent="0.3">
      <c r="F244" s="31">
        <v>0.73471266637840182</v>
      </c>
      <c r="G244">
        <v>9</v>
      </c>
      <c r="H244" s="26">
        <v>1996.66666666745</v>
      </c>
      <c r="I244" s="3">
        <v>28.809937000000001</v>
      </c>
      <c r="L244" s="28">
        <v>35338</v>
      </c>
      <c r="P244" s="27"/>
      <c r="U244" s="31"/>
    </row>
    <row r="245" spans="6:21" x14ac:dyDescent="0.3">
      <c r="F245" s="31">
        <v>0.73451606255867063</v>
      </c>
      <c r="G245">
        <v>8</v>
      </c>
      <c r="H245" s="26">
        <v>1996.58333333412</v>
      </c>
      <c r="I245" s="3">
        <v>28.405017999999998</v>
      </c>
      <c r="L245" s="28">
        <v>35308</v>
      </c>
      <c r="P245" s="27"/>
      <c r="U245" s="31"/>
    </row>
    <row r="246" spans="6:21" x14ac:dyDescent="0.3">
      <c r="F246" s="31">
        <v>0.59025895843088905</v>
      </c>
      <c r="G246">
        <v>7</v>
      </c>
      <c r="H246" s="26">
        <v>1996.5000000007899</v>
      </c>
      <c r="I246" s="3">
        <v>28.343678000000001</v>
      </c>
      <c r="L246" s="28">
        <v>35277</v>
      </c>
      <c r="P246" s="27"/>
      <c r="U246" s="31"/>
    </row>
    <row r="247" spans="6:21" x14ac:dyDescent="0.3">
      <c r="F247" s="31">
        <v>0.54528317500417034</v>
      </c>
      <c r="G247">
        <v>6</v>
      </c>
      <c r="H247" s="26">
        <v>1996.41666666746</v>
      </c>
      <c r="I247" s="3">
        <v>28.796707000000001</v>
      </c>
      <c r="L247" s="28">
        <v>35246</v>
      </c>
      <c r="P247" s="27"/>
      <c r="U247" s="31"/>
    </row>
    <row r="248" spans="6:21" x14ac:dyDescent="0.3">
      <c r="F248" s="31">
        <v>0.53840366941583462</v>
      </c>
      <c r="G248">
        <v>5</v>
      </c>
      <c r="H248" s="26">
        <v>1996.33333333413</v>
      </c>
      <c r="I248" s="3">
        <v>28.376728</v>
      </c>
      <c r="L248" s="28">
        <v>35216</v>
      </c>
      <c r="P248" s="27"/>
      <c r="U248" s="31"/>
    </row>
    <row r="249" spans="6:21" x14ac:dyDescent="0.3">
      <c r="F249" s="31">
        <v>0.50250865245252618</v>
      </c>
      <c r="G249">
        <v>4</v>
      </c>
      <c r="H249" s="26">
        <v>1996.2500000007999</v>
      </c>
      <c r="I249" s="3">
        <v>27.657910000000001</v>
      </c>
      <c r="L249" s="28">
        <v>35185</v>
      </c>
      <c r="P249" s="27"/>
      <c r="U249" s="31"/>
    </row>
    <row r="250" spans="6:21" x14ac:dyDescent="0.3">
      <c r="F250" s="31">
        <v>0.44230956009010819</v>
      </c>
      <c r="G250">
        <v>3</v>
      </c>
      <c r="H250" s="26">
        <v>1996.1666666674701</v>
      </c>
      <c r="I250" s="3">
        <v>27.268969999999999</v>
      </c>
      <c r="L250" s="28">
        <v>35155</v>
      </c>
      <c r="P250" s="27"/>
      <c r="U250" s="31"/>
    </row>
    <row r="251" spans="6:21" x14ac:dyDescent="0.3">
      <c r="F251" s="31">
        <v>0.42669006148102862</v>
      </c>
      <c r="G251">
        <v>2</v>
      </c>
      <c r="H251" s="26">
        <v>1996.08333333414</v>
      </c>
      <c r="I251" s="3">
        <v>27.209606000000001</v>
      </c>
      <c r="L251" s="28">
        <v>35124</v>
      </c>
      <c r="P251" s="27"/>
      <c r="U251" s="31"/>
    </row>
    <row r="252" spans="6:21" x14ac:dyDescent="0.3">
      <c r="F252" s="31">
        <v>0.52738163466078947</v>
      </c>
      <c r="G252">
        <v>1</v>
      </c>
      <c r="H252" s="26">
        <v>1996.0000000008099</v>
      </c>
      <c r="I252" s="3">
        <v>27.703735000000002</v>
      </c>
      <c r="L252" s="28">
        <v>35095</v>
      </c>
      <c r="P252" s="27"/>
      <c r="U252" s="31"/>
    </row>
    <row r="253" spans="6:21" x14ac:dyDescent="0.3">
      <c r="F253" s="31">
        <v>0.76009141802383606</v>
      </c>
      <c r="G253">
        <v>12</v>
      </c>
      <c r="H253" s="26">
        <v>1995.9166666674801</v>
      </c>
      <c r="I253" s="3">
        <v>28.104153</v>
      </c>
      <c r="L253" s="28">
        <v>35064</v>
      </c>
      <c r="P253" s="27"/>
      <c r="U253" s="31"/>
    </row>
    <row r="254" spans="6:21" x14ac:dyDescent="0.3">
      <c r="F254" s="31">
        <v>0.92154836477059721</v>
      </c>
      <c r="G254">
        <v>11</v>
      </c>
      <c r="H254" s="26">
        <v>1995.83333333415</v>
      </c>
      <c r="I254" s="3">
        <v>28.912303999999999</v>
      </c>
      <c r="L254" s="28">
        <v>35033</v>
      </c>
      <c r="P254" s="27"/>
      <c r="U254" s="31"/>
    </row>
    <row r="255" spans="6:21" x14ac:dyDescent="0.3">
      <c r="F255" s="31">
        <v>0.91486253190332556</v>
      </c>
      <c r="G255">
        <v>10</v>
      </c>
      <c r="H255" s="26">
        <v>1995.7500000008199</v>
      </c>
      <c r="I255" s="3">
        <v>29.092924</v>
      </c>
      <c r="L255" s="28">
        <v>35003</v>
      </c>
      <c r="P255" s="27"/>
      <c r="U255" s="31"/>
    </row>
    <row r="256" spans="6:21" x14ac:dyDescent="0.3">
      <c r="F256" s="31">
        <v>0.91399760285739984</v>
      </c>
      <c r="G256">
        <v>9</v>
      </c>
      <c r="H256" s="26">
        <v>1995.6666666674901</v>
      </c>
      <c r="I256" s="3">
        <v>28.932924</v>
      </c>
      <c r="L256" s="28">
        <v>34972</v>
      </c>
      <c r="P256" s="27"/>
      <c r="U256" s="31"/>
    </row>
    <row r="257" spans="6:21" x14ac:dyDescent="0.3">
      <c r="F257" s="31">
        <v>0.82041221238184259</v>
      </c>
      <c r="G257">
        <v>8</v>
      </c>
      <c r="H257" s="26">
        <v>1995.58333333416</v>
      </c>
      <c r="I257" s="3">
        <v>28.871324999999999</v>
      </c>
      <c r="L257" s="28">
        <v>34942</v>
      </c>
      <c r="P257" s="27"/>
      <c r="U257" s="31"/>
    </row>
    <row r="258" spans="6:21" x14ac:dyDescent="0.3">
      <c r="F258" s="31">
        <v>0.80696917500009613</v>
      </c>
      <c r="G258">
        <v>7</v>
      </c>
      <c r="H258" s="26">
        <v>1995.5000000008299</v>
      </c>
      <c r="I258" s="3">
        <v>28.697051999999999</v>
      </c>
      <c r="L258" s="28">
        <v>34911</v>
      </c>
      <c r="P258" s="27"/>
      <c r="U258" s="31"/>
    </row>
    <row r="259" spans="6:21" x14ac:dyDescent="0.3">
      <c r="F259" s="31">
        <v>0.72807346676357554</v>
      </c>
      <c r="G259">
        <v>6</v>
      </c>
      <c r="H259" s="26">
        <v>1995.4166666675001</v>
      </c>
      <c r="I259" s="3">
        <v>29.007117999999998</v>
      </c>
      <c r="L259" s="28">
        <v>34880</v>
      </c>
      <c r="P259" s="27"/>
      <c r="U259" s="31"/>
    </row>
    <row r="260" spans="6:21" x14ac:dyDescent="0.3">
      <c r="F260" s="31">
        <v>0.68365735760916557</v>
      </c>
      <c r="G260">
        <v>5</v>
      </c>
      <c r="H260" s="26">
        <v>1995.33333333417</v>
      </c>
      <c r="I260" s="3">
        <v>28.602460000000001</v>
      </c>
      <c r="L260" s="28">
        <v>34850</v>
      </c>
      <c r="P260" s="27"/>
      <c r="U260" s="31"/>
    </row>
    <row r="261" spans="6:21" x14ac:dyDescent="0.3">
      <c r="F261" s="31">
        <v>0.69985965758848423</v>
      </c>
      <c r="G261">
        <v>4</v>
      </c>
      <c r="H261" s="26">
        <v>1995.2500000008399</v>
      </c>
      <c r="I261" s="3">
        <v>27.807023999999998</v>
      </c>
      <c r="L261" s="28">
        <v>34819</v>
      </c>
      <c r="P261" s="27"/>
      <c r="U261" s="31"/>
    </row>
    <row r="262" spans="6:21" x14ac:dyDescent="0.3">
      <c r="F262" s="31">
        <v>0.68508712884091849</v>
      </c>
      <c r="G262">
        <v>3</v>
      </c>
      <c r="H262" s="26">
        <v>1995.1666666675101</v>
      </c>
      <c r="I262" s="3">
        <v>27.377182000000001</v>
      </c>
      <c r="L262" s="28">
        <v>34789</v>
      </c>
      <c r="P262" s="27"/>
      <c r="U262" s="31"/>
    </row>
    <row r="263" spans="6:21" x14ac:dyDescent="0.3">
      <c r="F263" s="31">
        <v>0.67208598198477665</v>
      </c>
      <c r="G263">
        <v>2</v>
      </c>
      <c r="H263" s="26">
        <v>1995.08333333418</v>
      </c>
      <c r="I263" s="3">
        <v>27.112738</v>
      </c>
      <c r="L263" s="28">
        <v>34758</v>
      </c>
      <c r="P263" s="27"/>
      <c r="U263" s="31"/>
    </row>
    <row r="264" spans="6:21" x14ac:dyDescent="0.3">
      <c r="F264" s="31">
        <v>0.73002996324857117</v>
      </c>
      <c r="G264">
        <v>1</v>
      </c>
      <c r="H264" s="26">
        <v>1995.0000000008499</v>
      </c>
      <c r="I264" s="3">
        <v>27.284130000000001</v>
      </c>
      <c r="L264" s="28">
        <v>34730</v>
      </c>
      <c r="P264" s="27"/>
      <c r="U264" s="31"/>
    </row>
    <row r="265" spans="6:21" x14ac:dyDescent="0.3">
      <c r="F265" s="31">
        <v>0.78978398783656789</v>
      </c>
      <c r="G265">
        <v>12</v>
      </c>
      <c r="H265" s="26">
        <v>1994.9166666675201</v>
      </c>
      <c r="I265" s="3">
        <v>27.805050000000001</v>
      </c>
      <c r="L265" s="28">
        <v>34699</v>
      </c>
      <c r="P265" s="27"/>
      <c r="U265" s="31"/>
    </row>
    <row r="266" spans="6:21" x14ac:dyDescent="0.3">
      <c r="F266" s="31">
        <v>0.86237719250245704</v>
      </c>
      <c r="G266">
        <v>11</v>
      </c>
      <c r="H266" s="26">
        <v>1994.83333333419</v>
      </c>
      <c r="I266" s="3">
        <v>28.612185</v>
      </c>
      <c r="L266" s="28">
        <v>34668</v>
      </c>
      <c r="P266" s="27"/>
      <c r="U266" s="31"/>
    </row>
    <row r="267" spans="6:21" x14ac:dyDescent="0.3">
      <c r="F267" s="31">
        <v>0.83945502488751378</v>
      </c>
      <c r="G267">
        <v>10</v>
      </c>
      <c r="H267" s="26">
        <v>1994.7500000008599</v>
      </c>
      <c r="I267" s="3">
        <v>28.904247000000002</v>
      </c>
      <c r="L267" s="28">
        <v>34638</v>
      </c>
      <c r="P267" s="27"/>
      <c r="U267" s="31"/>
    </row>
    <row r="268" spans="6:21" x14ac:dyDescent="0.3">
      <c r="F268" s="31">
        <v>0.7712935936890768</v>
      </c>
      <c r="G268">
        <v>9</v>
      </c>
      <c r="H268" s="26">
        <v>1994.6666666675301</v>
      </c>
      <c r="I268" s="3">
        <v>28.571362000000001</v>
      </c>
      <c r="L268" s="28">
        <v>34607</v>
      </c>
      <c r="P268" s="27"/>
      <c r="U268" s="31"/>
    </row>
    <row r="269" spans="6:21" x14ac:dyDescent="0.3">
      <c r="F269" s="31">
        <v>0.81259779987258884</v>
      </c>
      <c r="G269">
        <v>8</v>
      </c>
      <c r="H269" s="26">
        <v>1994.5833333342</v>
      </c>
      <c r="I269" s="3">
        <v>28.235440000000001</v>
      </c>
      <c r="L269" s="28">
        <v>34577</v>
      </c>
      <c r="P269" s="27"/>
      <c r="U269" s="31"/>
    </row>
    <row r="270" spans="6:21" x14ac:dyDescent="0.3">
      <c r="F270" s="31">
        <v>0.85852239984112955</v>
      </c>
      <c r="G270">
        <v>7</v>
      </c>
      <c r="H270" s="26">
        <v>1994.5000000008699</v>
      </c>
      <c r="I270" s="3">
        <v>27.998660999999998</v>
      </c>
      <c r="L270" s="28">
        <v>34546</v>
      </c>
      <c r="P270" s="27"/>
      <c r="U270" s="31"/>
    </row>
    <row r="271" spans="6:21" x14ac:dyDescent="0.3">
      <c r="F271" s="31">
        <v>0.84351349199638204</v>
      </c>
      <c r="G271">
        <v>6</v>
      </c>
      <c r="H271" s="26">
        <v>1994.4166666675401</v>
      </c>
      <c r="I271" s="3">
        <v>28.462057000000001</v>
      </c>
      <c r="L271" s="28">
        <v>34515</v>
      </c>
      <c r="P271" s="27"/>
      <c r="U271" s="31"/>
    </row>
    <row r="272" spans="6:21" x14ac:dyDescent="0.3">
      <c r="F272" s="31">
        <v>0.78040889729979268</v>
      </c>
      <c r="G272">
        <v>5</v>
      </c>
      <c r="H272" s="26">
        <v>1994.33333333421</v>
      </c>
      <c r="I272" s="3">
        <v>28.216442000000001</v>
      </c>
      <c r="L272" s="28">
        <v>34485</v>
      </c>
      <c r="P272" s="27"/>
      <c r="U272" s="31"/>
    </row>
    <row r="273" spans="6:21" x14ac:dyDescent="0.3">
      <c r="F273" s="31">
        <v>0.70515532009687432</v>
      </c>
      <c r="G273">
        <v>4</v>
      </c>
      <c r="H273" s="26">
        <v>1994.2500000008799</v>
      </c>
      <c r="I273" s="3">
        <v>27.414017000000001</v>
      </c>
      <c r="L273" s="28">
        <v>34454</v>
      </c>
      <c r="P273" s="27"/>
      <c r="U273" s="31"/>
    </row>
    <row r="274" spans="6:21" x14ac:dyDescent="0.3">
      <c r="F274" s="31">
        <v>0.59665870315447767</v>
      </c>
      <c r="G274">
        <v>3</v>
      </c>
      <c r="H274" s="26">
        <v>1994.1666666675501</v>
      </c>
      <c r="I274" s="3">
        <v>26.864509999999999</v>
      </c>
      <c r="L274" s="28">
        <v>34424</v>
      </c>
      <c r="P274" s="27"/>
      <c r="U274" s="31"/>
    </row>
    <row r="275" spans="6:21" x14ac:dyDescent="0.3">
      <c r="F275" s="31">
        <v>0.55516391426773415</v>
      </c>
      <c r="G275">
        <v>2</v>
      </c>
      <c r="H275" s="26">
        <v>1994.08333333422</v>
      </c>
      <c r="I275" s="3">
        <v>26.582369</v>
      </c>
      <c r="L275" s="28">
        <v>34393</v>
      </c>
      <c r="P275" s="27"/>
      <c r="U275" s="31"/>
    </row>
    <row r="276" spans="6:21" x14ac:dyDescent="0.3">
      <c r="F276" s="31">
        <v>0.61003205792156012</v>
      </c>
      <c r="G276">
        <v>1</v>
      </c>
      <c r="H276" s="26">
        <v>1994.0000000008899</v>
      </c>
      <c r="I276" s="3">
        <v>26.998756</v>
      </c>
      <c r="L276" s="28">
        <v>34365</v>
      </c>
      <c r="P276" s="27"/>
      <c r="U276" s="31"/>
    </row>
    <row r="277" spans="6:21" x14ac:dyDescent="0.3">
      <c r="F277" s="31">
        <v>0.68589178109222215</v>
      </c>
      <c r="G277">
        <v>12</v>
      </c>
      <c r="H277" s="26">
        <v>1993.9166666675601</v>
      </c>
      <c r="I277" s="3">
        <v>27.675215000000001</v>
      </c>
      <c r="L277" s="28">
        <v>34334</v>
      </c>
      <c r="P277" s="27"/>
      <c r="U277" s="31"/>
    </row>
    <row r="278" spans="6:21" x14ac:dyDescent="0.3">
      <c r="F278" s="31">
        <v>0.83645088873651119</v>
      </c>
      <c r="G278">
        <v>11</v>
      </c>
      <c r="H278" s="26">
        <v>1993.83333333423</v>
      </c>
      <c r="I278" s="3">
        <v>28.551247</v>
      </c>
      <c r="L278" s="28">
        <v>34303</v>
      </c>
      <c r="P278" s="27"/>
      <c r="U278" s="31"/>
    </row>
    <row r="279" spans="6:21" x14ac:dyDescent="0.3">
      <c r="F279" s="31">
        <v>0.85564694438780997</v>
      </c>
      <c r="G279">
        <v>10</v>
      </c>
      <c r="H279" s="26">
        <v>1993.7500000008999</v>
      </c>
      <c r="I279" s="3">
        <v>28.845434000000001</v>
      </c>
      <c r="L279" s="28">
        <v>34273</v>
      </c>
      <c r="P279" s="27"/>
      <c r="U279" s="31"/>
    </row>
    <row r="280" spans="6:21" x14ac:dyDescent="0.3">
      <c r="F280" s="31">
        <v>0.79971482243515912</v>
      </c>
      <c r="G280">
        <v>9</v>
      </c>
      <c r="H280" s="26">
        <v>1993.6666666675701</v>
      </c>
      <c r="I280" s="3">
        <v>28.745933999999998</v>
      </c>
      <c r="L280" s="28">
        <v>34242</v>
      </c>
      <c r="P280" s="27"/>
      <c r="U280" s="31"/>
    </row>
    <row r="281" spans="6:21" x14ac:dyDescent="0.3">
      <c r="F281" s="31">
        <v>0.81347269161713376</v>
      </c>
      <c r="G281">
        <v>8</v>
      </c>
      <c r="H281" s="26">
        <v>1993.58333333424</v>
      </c>
      <c r="I281" s="3">
        <v>28.524956</v>
      </c>
      <c r="L281" s="28">
        <v>34212</v>
      </c>
      <c r="P281" s="27"/>
      <c r="U281" s="31"/>
    </row>
    <row r="282" spans="6:21" x14ac:dyDescent="0.3">
      <c r="F282" s="31">
        <v>0.79262677478064159</v>
      </c>
      <c r="G282">
        <v>7</v>
      </c>
      <c r="H282" s="26">
        <v>1993.5000000009099</v>
      </c>
      <c r="I282" s="3">
        <v>28.247907999999999</v>
      </c>
      <c r="L282" s="28">
        <v>34181</v>
      </c>
      <c r="P282" s="27"/>
      <c r="U282" s="31"/>
    </row>
    <row r="283" spans="6:21" x14ac:dyDescent="0.3">
      <c r="F283" s="31">
        <v>0.70145223062938089</v>
      </c>
      <c r="G283">
        <v>6</v>
      </c>
      <c r="H283" s="26">
        <v>1993.4166666675801</v>
      </c>
      <c r="I283" s="3">
        <v>29.062488999999999</v>
      </c>
      <c r="L283" s="28">
        <v>34150</v>
      </c>
      <c r="P283" s="27"/>
      <c r="U283" s="31"/>
    </row>
    <row r="284" spans="6:21" x14ac:dyDescent="0.3">
      <c r="F284" s="31">
        <v>0.6467425944252635</v>
      </c>
      <c r="G284">
        <v>5</v>
      </c>
      <c r="H284" s="26">
        <v>1993.33333333425</v>
      </c>
      <c r="I284" s="3">
        <v>28.787512</v>
      </c>
      <c r="L284" s="28">
        <v>34120</v>
      </c>
      <c r="P284" s="27"/>
      <c r="U284" s="31"/>
    </row>
    <row r="285" spans="6:21" x14ac:dyDescent="0.3">
      <c r="F285" s="31">
        <v>0.62229641936856439</v>
      </c>
      <c r="G285">
        <v>4</v>
      </c>
      <c r="H285" s="26">
        <v>1993.25000000092</v>
      </c>
      <c r="I285" s="3">
        <v>27.950142</v>
      </c>
      <c r="L285" s="28">
        <v>34089</v>
      </c>
      <c r="P285" s="27"/>
      <c r="U285" s="31"/>
    </row>
    <row r="286" spans="6:21" x14ac:dyDescent="0.3">
      <c r="F286" s="31">
        <v>0.53476667711957615</v>
      </c>
      <c r="G286">
        <v>3</v>
      </c>
      <c r="H286" s="26">
        <v>1993.1666666675901</v>
      </c>
      <c r="I286" s="3">
        <v>26.927567</v>
      </c>
      <c r="L286" s="28">
        <v>34059</v>
      </c>
      <c r="P286" s="27"/>
      <c r="U286" s="31"/>
    </row>
    <row r="287" spans="6:21" x14ac:dyDescent="0.3">
      <c r="F287" s="31">
        <v>0.50470594498433741</v>
      </c>
      <c r="G287">
        <v>2</v>
      </c>
      <c r="H287" s="26">
        <v>1993.08333333426</v>
      </c>
      <c r="I287" s="3">
        <v>26.868487999999999</v>
      </c>
      <c r="L287" s="28">
        <v>34028</v>
      </c>
      <c r="P287" s="27"/>
      <c r="U287" s="31"/>
    </row>
    <row r="288" spans="6:21" x14ac:dyDescent="0.3">
      <c r="F288" s="31">
        <v>0.57822224253855914</v>
      </c>
      <c r="G288">
        <v>1</v>
      </c>
      <c r="H288" s="26">
        <v>1993.00000000093</v>
      </c>
      <c r="I288" s="3">
        <v>27.107855000000001</v>
      </c>
      <c r="L288" s="28">
        <v>34000</v>
      </c>
      <c r="P288" s="27"/>
      <c r="U288" s="31"/>
    </row>
    <row r="289" spans="6:21" x14ac:dyDescent="0.3">
      <c r="F289" s="31">
        <v>0.62442726365832801</v>
      </c>
      <c r="G289">
        <v>12</v>
      </c>
      <c r="H289" s="26">
        <v>1992.9166666676001</v>
      </c>
      <c r="I289" s="3">
        <v>27.694216000000001</v>
      </c>
      <c r="L289" s="28">
        <v>33969</v>
      </c>
      <c r="P289" s="27"/>
      <c r="U289" s="31"/>
    </row>
    <row r="290" spans="6:21" x14ac:dyDescent="0.3">
      <c r="F290" s="31">
        <v>0.7995180254713824</v>
      </c>
      <c r="G290">
        <v>11</v>
      </c>
      <c r="H290" s="26">
        <v>1992.83333333427</v>
      </c>
      <c r="I290" s="3">
        <v>28.560661</v>
      </c>
      <c r="L290" s="28">
        <v>33938</v>
      </c>
      <c r="P290" s="27"/>
      <c r="U290" s="31"/>
    </row>
    <row r="291" spans="6:21" x14ac:dyDescent="0.3">
      <c r="F291" s="31">
        <v>0.83876686287174862</v>
      </c>
      <c r="G291">
        <v>10</v>
      </c>
      <c r="H291" s="26">
        <v>1992.75000000094</v>
      </c>
      <c r="I291" s="3">
        <v>28.799296999999999</v>
      </c>
      <c r="L291" s="28">
        <v>33908</v>
      </c>
      <c r="P291" s="27"/>
      <c r="U291" s="31"/>
    </row>
    <row r="292" spans="6:21" x14ac:dyDescent="0.3">
      <c r="F292" s="31">
        <v>0.65322479278625867</v>
      </c>
      <c r="G292">
        <v>9</v>
      </c>
      <c r="H292" s="26">
        <v>1992.6666666676099</v>
      </c>
      <c r="I292" s="3">
        <v>28.676563000000002</v>
      </c>
      <c r="L292" s="28">
        <v>33877</v>
      </c>
      <c r="P292" s="27"/>
      <c r="U292" s="31"/>
    </row>
    <row r="293" spans="6:21" x14ac:dyDescent="0.3">
      <c r="F293" s="31">
        <v>0.68071070368161901</v>
      </c>
      <c r="G293">
        <v>8</v>
      </c>
      <c r="H293" s="26">
        <v>1992.58333333428</v>
      </c>
      <c r="I293" s="3">
        <v>28.267208</v>
      </c>
      <c r="L293" s="28">
        <v>33847</v>
      </c>
      <c r="P293" s="27"/>
      <c r="U293" s="31"/>
    </row>
    <row r="294" spans="6:21" x14ac:dyDescent="0.3">
      <c r="F294" s="31">
        <v>0.75789943951556626</v>
      </c>
      <c r="G294">
        <v>7</v>
      </c>
      <c r="H294" s="26">
        <v>1992.50000000095</v>
      </c>
      <c r="I294" s="3">
        <v>27.974834000000001</v>
      </c>
      <c r="L294" s="28">
        <v>33816</v>
      </c>
      <c r="P294" s="27"/>
      <c r="U294" s="31"/>
    </row>
    <row r="295" spans="6:21" x14ac:dyDescent="0.3">
      <c r="F295" s="31">
        <v>0.81337022309188822</v>
      </c>
      <c r="G295">
        <v>6</v>
      </c>
      <c r="H295" s="26">
        <v>1992.4166666676199</v>
      </c>
      <c r="I295" s="3">
        <v>28.596867</v>
      </c>
      <c r="L295" s="28">
        <v>33785</v>
      </c>
      <c r="P295" s="27"/>
      <c r="U295" s="31"/>
    </row>
    <row r="296" spans="6:21" x14ac:dyDescent="0.3">
      <c r="F296" s="31">
        <v>0.76233655392170852</v>
      </c>
      <c r="G296">
        <v>5</v>
      </c>
      <c r="H296" s="26">
        <v>1992.33333333429</v>
      </c>
      <c r="I296" s="3">
        <v>28.337070000000001</v>
      </c>
      <c r="L296" s="28">
        <v>33755</v>
      </c>
      <c r="P296" s="27"/>
      <c r="U296" s="31"/>
    </row>
    <row r="297" spans="6:21" x14ac:dyDescent="0.3">
      <c r="F297" s="31">
        <v>0.77550016571317748</v>
      </c>
      <c r="G297">
        <v>4</v>
      </c>
      <c r="H297" s="26">
        <v>1992.25000000096</v>
      </c>
      <c r="I297" s="3">
        <v>27.414646000000001</v>
      </c>
      <c r="L297" s="28">
        <v>33724</v>
      </c>
      <c r="P297" s="27"/>
      <c r="U297" s="31"/>
    </row>
    <row r="298" spans="6:21" x14ac:dyDescent="0.3">
      <c r="F298" s="31">
        <v>0.74118561593179555</v>
      </c>
      <c r="G298">
        <v>3</v>
      </c>
      <c r="H298" s="26">
        <v>1992.1666666676299</v>
      </c>
      <c r="I298" s="3">
        <v>26.734273999999999</v>
      </c>
      <c r="L298" s="28">
        <v>33694</v>
      </c>
      <c r="P298" s="27"/>
      <c r="U298" s="31"/>
    </row>
    <row r="299" spans="6:21" x14ac:dyDescent="0.3">
      <c r="F299" s="31">
        <v>0.72534723838874837</v>
      </c>
      <c r="G299">
        <v>2</v>
      </c>
      <c r="H299" s="26">
        <v>1992.0833333343001</v>
      </c>
      <c r="I299" s="3">
        <v>26.744986999999998</v>
      </c>
      <c r="L299" s="28">
        <v>33663</v>
      </c>
      <c r="P299" s="27"/>
      <c r="U299" s="31"/>
    </row>
    <row r="300" spans="6:21" x14ac:dyDescent="0.3">
      <c r="F300" s="31">
        <v>0.76498658360980609</v>
      </c>
      <c r="G300">
        <v>1</v>
      </c>
      <c r="H300" s="26">
        <v>1992.00000000097</v>
      </c>
      <c r="I300" s="3">
        <v>26.734821</v>
      </c>
      <c r="L300" s="28">
        <v>33634</v>
      </c>
      <c r="P300" s="27"/>
      <c r="U300" s="31"/>
    </row>
    <row r="301" spans="6:21" x14ac:dyDescent="0.3">
      <c r="F301" s="31">
        <v>0.79931408015081828</v>
      </c>
      <c r="G301">
        <v>12</v>
      </c>
      <c r="H301" s="26">
        <v>1991.9166666676399</v>
      </c>
      <c r="I301" s="3">
        <v>27.356276999999999</v>
      </c>
      <c r="L301" s="28">
        <v>33603</v>
      </c>
      <c r="P301" s="27"/>
      <c r="U301" s="31"/>
    </row>
    <row r="302" spans="6:21" x14ac:dyDescent="0.3">
      <c r="F302" s="31">
        <v>0.87662530006977679</v>
      </c>
      <c r="G302">
        <v>11</v>
      </c>
      <c r="H302" s="26">
        <v>1991.8333333343101</v>
      </c>
      <c r="I302" s="3">
        <v>28.525556999999999</v>
      </c>
      <c r="L302" s="28">
        <v>33572</v>
      </c>
      <c r="P302" s="27"/>
      <c r="U302" s="31"/>
    </row>
    <row r="303" spans="6:21" x14ac:dyDescent="0.3">
      <c r="F303" s="31">
        <v>0.83838842897869936</v>
      </c>
      <c r="G303">
        <v>10</v>
      </c>
      <c r="H303" s="26">
        <v>1991.75000000098</v>
      </c>
      <c r="I303" s="3">
        <v>28.660633000000001</v>
      </c>
      <c r="L303" s="28">
        <v>33542</v>
      </c>
      <c r="P303" s="27"/>
      <c r="U303" s="31"/>
    </row>
    <row r="304" spans="6:21" x14ac:dyDescent="0.3">
      <c r="F304" s="31">
        <v>0.74460672126044414</v>
      </c>
      <c r="G304">
        <v>9</v>
      </c>
      <c r="H304" s="26">
        <v>1991.6666666676499</v>
      </c>
      <c r="I304" s="3">
        <v>28.425203</v>
      </c>
      <c r="L304" s="28">
        <v>33511</v>
      </c>
      <c r="P304" s="27"/>
      <c r="U304" s="31"/>
    </row>
    <row r="305" spans="6:21" x14ac:dyDescent="0.3">
      <c r="F305" s="31">
        <v>0.67929405123841935</v>
      </c>
      <c r="G305">
        <v>8</v>
      </c>
      <c r="H305" s="26">
        <v>1991.5833333343201</v>
      </c>
      <c r="I305" s="3">
        <v>28.10549</v>
      </c>
      <c r="L305" s="28">
        <v>33481</v>
      </c>
      <c r="P305" s="27"/>
      <c r="U305" s="31"/>
    </row>
    <row r="306" spans="6:21" x14ac:dyDescent="0.3">
      <c r="F306" s="31">
        <v>0.7533914591655827</v>
      </c>
      <c r="G306">
        <v>7</v>
      </c>
      <c r="H306" s="26">
        <v>1991.50000000099</v>
      </c>
      <c r="I306" s="3">
        <v>27.819365999999999</v>
      </c>
      <c r="L306" s="28">
        <v>33450</v>
      </c>
      <c r="P306" s="27"/>
      <c r="U306" s="31"/>
    </row>
    <row r="307" spans="6:21" x14ac:dyDescent="0.3">
      <c r="F307" s="31">
        <v>0.7719625688004631</v>
      </c>
      <c r="G307">
        <v>6</v>
      </c>
      <c r="H307" s="26">
        <v>1991.4166666676599</v>
      </c>
      <c r="I307" s="3">
        <v>28.352810000000002</v>
      </c>
      <c r="L307" s="28">
        <v>33419</v>
      </c>
      <c r="P307" s="27"/>
      <c r="U307" s="31"/>
    </row>
    <row r="308" spans="6:21" x14ac:dyDescent="0.3">
      <c r="F308" s="31">
        <v>0.8176897100332331</v>
      </c>
      <c r="G308">
        <v>5</v>
      </c>
      <c r="H308" s="26">
        <v>1991.3333333343301</v>
      </c>
      <c r="I308" s="3">
        <v>28.061271999999999</v>
      </c>
      <c r="L308" s="28">
        <v>33389</v>
      </c>
      <c r="P308" s="27"/>
      <c r="U308" s="31"/>
    </row>
    <row r="309" spans="6:21" x14ac:dyDescent="0.3">
      <c r="F309" s="31">
        <v>0.85774296298838393</v>
      </c>
      <c r="G309">
        <v>4</v>
      </c>
      <c r="H309" s="26">
        <v>1991.250000001</v>
      </c>
      <c r="I309" s="3">
        <v>27.43328</v>
      </c>
      <c r="L309" s="28">
        <v>33358</v>
      </c>
      <c r="P309" s="27"/>
      <c r="U309" s="31"/>
    </row>
    <row r="310" spans="6:21" x14ac:dyDescent="0.3">
      <c r="F310" s="31">
        <v>0.78177398394671915</v>
      </c>
      <c r="G310">
        <v>3</v>
      </c>
      <c r="H310" s="26">
        <v>1991.1666666676699</v>
      </c>
      <c r="I310" s="3">
        <v>26.861784</v>
      </c>
      <c r="L310" s="28">
        <v>33328</v>
      </c>
      <c r="P310" s="27"/>
      <c r="U310" s="31"/>
    </row>
    <row r="311" spans="6:21" x14ac:dyDescent="0.3">
      <c r="F311" s="31">
        <v>0.73369905333608476</v>
      </c>
      <c r="G311">
        <v>2</v>
      </c>
      <c r="H311" s="26">
        <v>1991.0833333343401</v>
      </c>
      <c r="I311" s="3">
        <v>26.800629000000001</v>
      </c>
      <c r="L311" s="28">
        <v>33297</v>
      </c>
      <c r="P311" s="27"/>
      <c r="U311" s="31"/>
    </row>
    <row r="312" spans="6:21" x14ac:dyDescent="0.3">
      <c r="F312" s="31">
        <v>0.74719761737363832</v>
      </c>
      <c r="G312">
        <v>1</v>
      </c>
      <c r="H312" s="26">
        <v>1991.00000000101</v>
      </c>
      <c r="I312" s="3">
        <v>26.725667999999999</v>
      </c>
      <c r="L312" s="28">
        <v>33269</v>
      </c>
      <c r="P312" s="27"/>
      <c r="U312" s="31"/>
    </row>
    <row r="313" spans="6:21" x14ac:dyDescent="0.3">
      <c r="F313" s="31">
        <v>0.76816610485156733</v>
      </c>
      <c r="G313">
        <v>12</v>
      </c>
      <c r="H313" s="26">
        <v>1990.9166666676799</v>
      </c>
      <c r="I313" s="3">
        <v>27.638186999999999</v>
      </c>
      <c r="L313" s="28">
        <v>33238</v>
      </c>
      <c r="P313" s="27"/>
      <c r="U313" s="31"/>
    </row>
    <row r="314" spans="6:21" x14ac:dyDescent="0.3">
      <c r="F314" s="31">
        <v>0.84610947337995335</v>
      </c>
      <c r="G314">
        <v>11</v>
      </c>
      <c r="H314" s="26">
        <v>1990.8333333343501</v>
      </c>
      <c r="I314" s="3">
        <v>28.699667000000002</v>
      </c>
      <c r="L314" s="28">
        <v>33207</v>
      </c>
      <c r="P314" s="27"/>
      <c r="U314" s="31"/>
    </row>
    <row r="315" spans="6:21" x14ac:dyDescent="0.3">
      <c r="F315" s="31">
        <v>0.8208116592321677</v>
      </c>
      <c r="G315">
        <v>10</v>
      </c>
      <c r="H315" s="26">
        <v>1990.75000000102</v>
      </c>
      <c r="I315" s="3">
        <v>28.929722000000002</v>
      </c>
      <c r="L315" s="28">
        <v>33177</v>
      </c>
      <c r="P315" s="27"/>
      <c r="U315" s="31"/>
    </row>
    <row r="316" spans="6:21" x14ac:dyDescent="0.3">
      <c r="F316" s="31">
        <v>0.80610826213986775</v>
      </c>
      <c r="G316">
        <v>9</v>
      </c>
      <c r="H316" s="26">
        <v>1990.6666666676899</v>
      </c>
      <c r="I316" s="3">
        <v>28.873536999999999</v>
      </c>
      <c r="L316" s="28">
        <v>33146</v>
      </c>
      <c r="P316" s="27"/>
      <c r="U316" s="31"/>
    </row>
    <row r="317" spans="6:21" x14ac:dyDescent="0.3">
      <c r="F317" s="31">
        <v>0.90058174158019888</v>
      </c>
      <c r="G317">
        <v>8</v>
      </c>
      <c r="H317" s="26">
        <v>1990.5833333343601</v>
      </c>
      <c r="I317" s="3">
        <v>28.511348999999999</v>
      </c>
      <c r="L317" s="28">
        <v>33116</v>
      </c>
      <c r="P317" s="27"/>
      <c r="U317" s="31"/>
    </row>
    <row r="318" spans="6:21" x14ac:dyDescent="0.3">
      <c r="F318" s="31">
        <v>0.76621378241014071</v>
      </c>
      <c r="G318">
        <v>7</v>
      </c>
      <c r="H318" s="26">
        <v>1990.50000000103</v>
      </c>
      <c r="I318" s="3">
        <v>28.185023999999999</v>
      </c>
      <c r="L318" s="28">
        <v>33085</v>
      </c>
      <c r="P318" s="27"/>
      <c r="U318" s="31"/>
    </row>
    <row r="319" spans="6:21" x14ac:dyDescent="0.3">
      <c r="F319" s="31">
        <v>0.63681685041382796</v>
      </c>
      <c r="G319">
        <v>6</v>
      </c>
      <c r="H319" s="26">
        <v>1990.4166666676999</v>
      </c>
      <c r="I319" s="3">
        <v>28.557456999999999</v>
      </c>
      <c r="L319" s="28">
        <v>33054</v>
      </c>
      <c r="P319" s="27"/>
      <c r="U319" s="31"/>
    </row>
    <row r="320" spans="6:21" x14ac:dyDescent="0.3">
      <c r="F320" s="31">
        <v>0.6231731106831182</v>
      </c>
      <c r="G320">
        <v>5</v>
      </c>
      <c r="H320" s="26">
        <v>1990.3333333343701</v>
      </c>
      <c r="I320" s="3">
        <v>28.14134</v>
      </c>
      <c r="L320" s="28">
        <v>33024</v>
      </c>
      <c r="P320" s="27"/>
      <c r="U320" s="31"/>
    </row>
    <row r="321" spans="6:21" x14ac:dyDescent="0.3">
      <c r="F321" s="31">
        <v>0.71117601612765202</v>
      </c>
      <c r="G321">
        <v>4</v>
      </c>
      <c r="H321" s="26">
        <v>1990.25000000104</v>
      </c>
      <c r="I321" s="3">
        <v>27.372534000000002</v>
      </c>
      <c r="L321" s="28">
        <v>32993</v>
      </c>
      <c r="P321" s="27"/>
      <c r="U321" s="31"/>
    </row>
    <row r="322" spans="6:21" x14ac:dyDescent="0.3">
      <c r="F322" s="31">
        <v>0.73649242206954268</v>
      </c>
      <c r="G322">
        <v>3</v>
      </c>
      <c r="H322" s="26">
        <v>1990.1666666677099</v>
      </c>
      <c r="I322" s="3">
        <v>26.766666000000001</v>
      </c>
      <c r="L322" s="28">
        <v>32963</v>
      </c>
      <c r="P322" s="27"/>
      <c r="U322" s="31"/>
    </row>
    <row r="323" spans="6:21" x14ac:dyDescent="0.3">
      <c r="F323" s="31">
        <v>0.71535768265743549</v>
      </c>
      <c r="G323">
        <v>2</v>
      </c>
      <c r="H323" s="26">
        <v>1990.0833333343801</v>
      </c>
      <c r="I323" s="3">
        <v>26.502728000000001</v>
      </c>
      <c r="L323" s="28">
        <v>32932</v>
      </c>
      <c r="P323" s="27"/>
      <c r="U323" s="31"/>
    </row>
    <row r="324" spans="6:21" x14ac:dyDescent="0.3">
      <c r="F324" s="31">
        <v>0.72343313457018421</v>
      </c>
      <c r="G324">
        <v>1</v>
      </c>
      <c r="H324" s="26">
        <v>1990.00000000105</v>
      </c>
      <c r="I324" s="3">
        <v>27.100798000000001</v>
      </c>
      <c r="L324" s="28">
        <v>32904</v>
      </c>
      <c r="P324" s="27"/>
      <c r="U324" s="31"/>
    </row>
    <row r="325" spans="6:21" x14ac:dyDescent="0.3">
      <c r="F325" s="31">
        <v>0.7647556095748721</v>
      </c>
      <c r="G325">
        <v>12</v>
      </c>
      <c r="H325" s="26">
        <v>1989.9166666677199</v>
      </c>
      <c r="I325" s="3">
        <v>27.523340000000001</v>
      </c>
      <c r="L325" s="28">
        <v>32873</v>
      </c>
      <c r="P325" s="27"/>
      <c r="U325" s="31"/>
    </row>
    <row r="326" spans="6:21" x14ac:dyDescent="0.3">
      <c r="F326" s="31">
        <v>0.80514510005360185</v>
      </c>
      <c r="G326">
        <v>11</v>
      </c>
      <c r="H326" s="26">
        <v>1989.8333333343901</v>
      </c>
      <c r="I326" s="3">
        <v>28.517444999999999</v>
      </c>
      <c r="L326" s="28">
        <v>32842</v>
      </c>
      <c r="P326" s="27"/>
      <c r="U326" s="31"/>
    </row>
    <row r="327" spans="6:21" x14ac:dyDescent="0.3">
      <c r="F327" s="31">
        <v>0.79742391261851642</v>
      </c>
      <c r="G327">
        <v>10</v>
      </c>
      <c r="H327" s="26">
        <v>1989.75000000106</v>
      </c>
      <c r="I327" s="3">
        <v>28.470669000000001</v>
      </c>
      <c r="L327" s="28">
        <v>32812</v>
      </c>
      <c r="P327" s="27"/>
      <c r="U327" s="31"/>
    </row>
    <row r="328" spans="6:21" x14ac:dyDescent="0.3">
      <c r="F328" s="31">
        <v>0.72453583346633454</v>
      </c>
      <c r="G328">
        <v>9</v>
      </c>
      <c r="H328" s="26">
        <v>1989.6666666677299</v>
      </c>
      <c r="I328" s="3">
        <v>28.668156</v>
      </c>
      <c r="L328" s="28">
        <v>32781</v>
      </c>
      <c r="P328" s="27"/>
      <c r="U328" s="31"/>
    </row>
    <row r="329" spans="6:21" x14ac:dyDescent="0.3">
      <c r="F329" s="31">
        <v>0.6347142950199387</v>
      </c>
      <c r="G329">
        <v>8</v>
      </c>
      <c r="H329" s="26">
        <v>1989.5833333344001</v>
      </c>
      <c r="I329" s="3">
        <v>28.569210000000002</v>
      </c>
      <c r="L329" s="28">
        <v>32751</v>
      </c>
      <c r="P329" s="27"/>
      <c r="U329" s="31"/>
    </row>
    <row r="330" spans="6:21" x14ac:dyDescent="0.3">
      <c r="F330" s="31">
        <v>0.55525468408495016</v>
      </c>
      <c r="G330">
        <v>7</v>
      </c>
      <c r="H330" s="26">
        <v>1989.50000000107</v>
      </c>
      <c r="I330" s="3">
        <v>27.92024</v>
      </c>
      <c r="L330" s="28">
        <v>32720</v>
      </c>
      <c r="P330" s="27"/>
      <c r="U330" s="31"/>
    </row>
    <row r="331" spans="6:21" x14ac:dyDescent="0.3">
      <c r="F331" s="31">
        <v>0.55819524557929168</v>
      </c>
      <c r="G331">
        <v>6</v>
      </c>
      <c r="H331" s="26">
        <v>1989.4166666677399</v>
      </c>
      <c r="I331" s="3">
        <v>28.129704</v>
      </c>
      <c r="L331" s="28">
        <v>32689</v>
      </c>
      <c r="P331" s="27"/>
      <c r="U331" s="31"/>
    </row>
    <row r="332" spans="6:21" x14ac:dyDescent="0.3">
      <c r="F332" s="31">
        <v>0.56382806074861458</v>
      </c>
      <c r="G332">
        <v>5</v>
      </c>
      <c r="H332" s="26">
        <v>1989.3333333344101</v>
      </c>
      <c r="I332" s="3">
        <v>27.854078000000001</v>
      </c>
      <c r="L332" s="28">
        <v>32659</v>
      </c>
      <c r="P332" s="27"/>
      <c r="U332" s="31"/>
    </row>
    <row r="333" spans="6:21" x14ac:dyDescent="0.3">
      <c r="F333" s="31">
        <v>0.5327158894489501</v>
      </c>
      <c r="G333">
        <v>4</v>
      </c>
      <c r="H333" s="26">
        <v>1989.25000000108</v>
      </c>
      <c r="I333" s="3">
        <v>26.806018999999999</v>
      </c>
      <c r="L333" s="28">
        <v>32628</v>
      </c>
      <c r="P333" s="27"/>
      <c r="U333" s="31"/>
    </row>
    <row r="334" spans="6:21" x14ac:dyDescent="0.3">
      <c r="F334" s="31">
        <v>0.47628281558479796</v>
      </c>
      <c r="G334">
        <v>3</v>
      </c>
      <c r="H334" s="26">
        <v>1989.16666666775</v>
      </c>
      <c r="I334" s="3">
        <v>26.214655</v>
      </c>
      <c r="L334" s="28">
        <v>32598</v>
      </c>
      <c r="P334" s="27"/>
      <c r="U334" s="31"/>
    </row>
    <row r="335" spans="6:21" x14ac:dyDescent="0.3">
      <c r="F335" s="31">
        <v>0.47729166888242541</v>
      </c>
      <c r="G335">
        <v>2</v>
      </c>
      <c r="H335" s="26">
        <v>1989.0833333344201</v>
      </c>
      <c r="I335" s="3">
        <v>26.394656999999999</v>
      </c>
      <c r="L335" s="28">
        <v>32567</v>
      </c>
      <c r="P335" s="27"/>
      <c r="U335" s="31"/>
    </row>
    <row r="336" spans="6:21" x14ac:dyDescent="0.3">
      <c r="F336" s="31">
        <v>0.56152353361966445</v>
      </c>
      <c r="G336">
        <v>1</v>
      </c>
      <c r="H336" s="26">
        <v>1989.00000000109</v>
      </c>
      <c r="I336" s="3">
        <v>26.728110000000001</v>
      </c>
      <c r="L336" s="28">
        <v>32539</v>
      </c>
      <c r="P336" s="27"/>
      <c r="U336" s="31"/>
    </row>
    <row r="337" spans="6:21" x14ac:dyDescent="0.3">
      <c r="F337" s="31">
        <v>0.67651491013354736</v>
      </c>
      <c r="G337">
        <v>12</v>
      </c>
      <c r="H337" s="26">
        <v>1988.91666666776</v>
      </c>
      <c r="I337" s="3">
        <v>27.266145999999999</v>
      </c>
      <c r="L337" s="28">
        <v>32508</v>
      </c>
      <c r="P337" s="27"/>
      <c r="U337" s="31"/>
    </row>
    <row r="338" spans="6:21" x14ac:dyDescent="0.3">
      <c r="F338" s="31">
        <v>0.85936978417567478</v>
      </c>
      <c r="G338">
        <v>11</v>
      </c>
      <c r="H338" s="26">
        <v>1988.8333333344301</v>
      </c>
      <c r="I338" s="3">
        <v>28.411228000000001</v>
      </c>
      <c r="L338" s="28">
        <v>32477</v>
      </c>
      <c r="P338" s="27"/>
      <c r="U338" s="31"/>
    </row>
    <row r="339" spans="6:21" x14ac:dyDescent="0.3">
      <c r="F339" s="31">
        <v>0.92559138855514878</v>
      </c>
      <c r="G339">
        <v>10</v>
      </c>
      <c r="H339" s="26">
        <v>1988.7500000011</v>
      </c>
      <c r="I339" s="3">
        <v>28.717724</v>
      </c>
      <c r="L339" s="28">
        <v>32447</v>
      </c>
      <c r="P339" s="27"/>
      <c r="U339" s="31"/>
    </row>
    <row r="340" spans="6:21" x14ac:dyDescent="0.3">
      <c r="F340" s="31">
        <v>0.77920679151996652</v>
      </c>
      <c r="G340">
        <v>9</v>
      </c>
      <c r="H340" s="26">
        <v>1988.66666666776</v>
      </c>
      <c r="I340" s="3">
        <v>28.857769000000001</v>
      </c>
      <c r="L340" s="28">
        <v>32416</v>
      </c>
      <c r="P340" s="27"/>
      <c r="U340" s="31"/>
    </row>
    <row r="341" spans="6:21" x14ac:dyDescent="0.3">
      <c r="F341" s="31">
        <v>0.73863689543887479</v>
      </c>
      <c r="G341">
        <v>8</v>
      </c>
      <c r="H341" s="26">
        <v>1988.5833333344301</v>
      </c>
      <c r="I341" s="3">
        <v>28.689496999999999</v>
      </c>
      <c r="L341" s="28">
        <v>32386</v>
      </c>
      <c r="P341" s="27"/>
      <c r="U341" s="31"/>
    </row>
    <row r="342" spans="6:21" x14ac:dyDescent="0.3">
      <c r="F342" s="31">
        <v>0.74913332267774146</v>
      </c>
      <c r="G342">
        <v>7</v>
      </c>
      <c r="H342" s="26">
        <v>1988.5000000011</v>
      </c>
      <c r="I342" s="3">
        <v>28.588062000000001</v>
      </c>
      <c r="L342" s="28">
        <v>32355</v>
      </c>
      <c r="P342" s="27"/>
      <c r="U342" s="31"/>
    </row>
    <row r="343" spans="6:21" x14ac:dyDescent="0.3">
      <c r="F343" s="31">
        <v>0.76404364107716483</v>
      </c>
      <c r="G343">
        <v>6</v>
      </c>
      <c r="H343" s="26">
        <v>1988.41666666777</v>
      </c>
      <c r="I343" s="3">
        <v>28.977024</v>
      </c>
      <c r="L343" s="28">
        <v>32324</v>
      </c>
      <c r="P343" s="27"/>
      <c r="U343" s="31"/>
    </row>
    <row r="344" spans="6:21" x14ac:dyDescent="0.3">
      <c r="F344" s="31">
        <v>0.68686638827515478</v>
      </c>
      <c r="G344">
        <v>5</v>
      </c>
      <c r="H344" s="26">
        <v>1988.3333333344401</v>
      </c>
      <c r="I344" s="3">
        <v>28.653555000000001</v>
      </c>
      <c r="L344" s="28">
        <v>32294</v>
      </c>
      <c r="P344" s="27"/>
      <c r="U344" s="31"/>
    </row>
    <row r="345" spans="6:21" x14ac:dyDescent="0.3">
      <c r="F345" s="31">
        <v>0.85465670015530459</v>
      </c>
      <c r="G345">
        <v>4</v>
      </c>
      <c r="H345" s="26">
        <v>1988.25000000111</v>
      </c>
      <c r="I345" s="3">
        <v>27.590651999999999</v>
      </c>
      <c r="L345" s="28">
        <v>32263</v>
      </c>
      <c r="P345" s="27"/>
      <c r="U345" s="31"/>
    </row>
    <row r="346" spans="6:21" x14ac:dyDescent="0.3">
      <c r="F346" s="31">
        <v>0.82703458918642159</v>
      </c>
      <c r="G346">
        <v>3</v>
      </c>
      <c r="H346" s="26">
        <v>1988.16666666778</v>
      </c>
      <c r="I346" s="3">
        <v>27.139492000000001</v>
      </c>
      <c r="L346" s="28">
        <v>32233</v>
      </c>
      <c r="P346" s="27"/>
      <c r="U346" s="31"/>
    </row>
    <row r="347" spans="6:21" x14ac:dyDescent="0.3">
      <c r="F347" s="31">
        <v>0.78778718408234705</v>
      </c>
      <c r="G347">
        <v>2</v>
      </c>
      <c r="H347" s="26">
        <v>1988.0833333344499</v>
      </c>
      <c r="I347" s="3">
        <v>27.052219999999998</v>
      </c>
      <c r="L347" s="28">
        <v>32202</v>
      </c>
      <c r="P347" s="27"/>
      <c r="U347" s="31"/>
    </row>
    <row r="348" spans="6:21" x14ac:dyDescent="0.3">
      <c r="F348" s="31">
        <v>0.8206721186268916</v>
      </c>
      <c r="G348">
        <v>1</v>
      </c>
      <c r="H348" s="26">
        <v>1988.00000000112</v>
      </c>
      <c r="I348" s="3">
        <v>27.169080000000001</v>
      </c>
      <c r="L348" s="28">
        <v>32173</v>
      </c>
      <c r="P348" s="27"/>
      <c r="U348" s="31"/>
    </row>
    <row r="349" spans="6:21" x14ac:dyDescent="0.3">
      <c r="F349" s="31">
        <v>0.87208272681069798</v>
      </c>
      <c r="G349">
        <v>12</v>
      </c>
      <c r="H349" s="26">
        <v>1987.91666666779</v>
      </c>
      <c r="I349" s="3">
        <v>28.097216</v>
      </c>
      <c r="L349" s="28">
        <v>32142</v>
      </c>
      <c r="P349" s="27"/>
      <c r="U349" s="31"/>
    </row>
    <row r="350" spans="6:21" x14ac:dyDescent="0.3">
      <c r="F350" s="31">
        <v>0.91467998644606352</v>
      </c>
      <c r="G350">
        <v>11</v>
      </c>
      <c r="H350" s="26">
        <v>1987.8333333344599</v>
      </c>
      <c r="I350" s="3">
        <v>28.763072999999999</v>
      </c>
      <c r="L350" s="28">
        <v>32111</v>
      </c>
      <c r="P350" s="27"/>
      <c r="U350" s="31"/>
    </row>
    <row r="351" spans="6:21" x14ac:dyDescent="0.3">
      <c r="F351" s="31">
        <v>0.90816077204241208</v>
      </c>
      <c r="G351">
        <v>10</v>
      </c>
      <c r="H351" s="26">
        <v>1987.75000000113</v>
      </c>
      <c r="I351" s="3">
        <v>29.300514</v>
      </c>
      <c r="L351" s="28">
        <v>32081</v>
      </c>
      <c r="P351" s="27"/>
      <c r="U351" s="31"/>
    </row>
    <row r="352" spans="6:21" x14ac:dyDescent="0.3">
      <c r="F352" s="31">
        <v>0.86543797226792785</v>
      </c>
      <c r="G352">
        <v>9</v>
      </c>
      <c r="H352" s="26">
        <v>1987.6666666678</v>
      </c>
      <c r="I352" s="3">
        <v>29.046396000000001</v>
      </c>
      <c r="L352" s="28">
        <v>32050</v>
      </c>
      <c r="P352" s="27"/>
      <c r="U352" s="31"/>
    </row>
    <row r="353" spans="6:21" x14ac:dyDescent="0.3">
      <c r="F353" s="31">
        <v>0.88520445244381585</v>
      </c>
      <c r="G353">
        <v>8</v>
      </c>
      <c r="H353" s="26">
        <v>1987.5833333344699</v>
      </c>
      <c r="I353" s="3">
        <v>28.876339999999999</v>
      </c>
      <c r="L353" s="28">
        <v>32020</v>
      </c>
      <c r="P353" s="27"/>
      <c r="U353" s="31"/>
    </row>
    <row r="354" spans="6:21" x14ac:dyDescent="0.3">
      <c r="F354" s="31">
        <v>0.91828804017580457</v>
      </c>
      <c r="G354">
        <v>7</v>
      </c>
      <c r="H354" s="26">
        <v>1987.5000000011401</v>
      </c>
      <c r="I354" s="3">
        <v>28.532698</v>
      </c>
      <c r="L354" s="28">
        <v>31989</v>
      </c>
      <c r="P354" s="27"/>
      <c r="U354" s="31"/>
    </row>
    <row r="355" spans="6:21" x14ac:dyDescent="0.3">
      <c r="F355" s="31">
        <v>0.86083309522285723</v>
      </c>
      <c r="G355">
        <v>6</v>
      </c>
      <c r="H355" s="26">
        <v>1987.41666666781</v>
      </c>
      <c r="I355" s="3">
        <v>29.119105999999999</v>
      </c>
      <c r="L355" s="28">
        <v>31958</v>
      </c>
      <c r="P355" s="27"/>
      <c r="U355" s="31"/>
    </row>
    <row r="356" spans="6:21" x14ac:dyDescent="0.3">
      <c r="F356" s="31">
        <v>0.75474097089789882</v>
      </c>
      <c r="G356">
        <v>5</v>
      </c>
      <c r="H356" s="26">
        <v>1987.3333333344799</v>
      </c>
      <c r="I356" s="3">
        <v>28.794291999999999</v>
      </c>
      <c r="L356" s="28">
        <v>31928</v>
      </c>
      <c r="P356" s="27"/>
      <c r="U356" s="31"/>
    </row>
    <row r="357" spans="6:21" x14ac:dyDescent="0.3">
      <c r="F357" s="31">
        <v>0.67673954075668463</v>
      </c>
      <c r="G357">
        <v>4</v>
      </c>
      <c r="H357" s="26">
        <v>1987.2500000011501</v>
      </c>
      <c r="I357" s="3">
        <v>27.661086999999998</v>
      </c>
      <c r="L357" s="28">
        <v>31897</v>
      </c>
      <c r="P357" s="27"/>
      <c r="U357" s="31"/>
    </row>
    <row r="358" spans="6:21" x14ac:dyDescent="0.3">
      <c r="F358" s="31">
        <v>0.63371114427486541</v>
      </c>
      <c r="G358">
        <v>3</v>
      </c>
      <c r="H358" s="26">
        <v>1987.16666666782</v>
      </c>
      <c r="I358" s="3">
        <v>27.103563000000001</v>
      </c>
      <c r="L358" s="28">
        <v>31867</v>
      </c>
      <c r="P358" s="27"/>
      <c r="U358" s="31"/>
    </row>
    <row r="359" spans="6:21" x14ac:dyDescent="0.3">
      <c r="F359" s="31">
        <v>0.62559912085372182</v>
      </c>
      <c r="G359">
        <v>2</v>
      </c>
      <c r="H359" s="26">
        <v>1987.0833333344899</v>
      </c>
      <c r="I359" s="3">
        <v>26.76116</v>
      </c>
      <c r="L359" s="28">
        <v>31836</v>
      </c>
      <c r="P359" s="27"/>
      <c r="U359" s="31"/>
    </row>
    <row r="360" spans="6:21" x14ac:dyDescent="0.3">
      <c r="F360" s="31">
        <v>0.63739578644762163</v>
      </c>
      <c r="G360">
        <v>1</v>
      </c>
      <c r="H360" s="26">
        <v>1987.0000000011601</v>
      </c>
      <c r="I360" s="3">
        <v>26.907608</v>
      </c>
      <c r="L360" s="28">
        <v>31808</v>
      </c>
      <c r="P360" s="27"/>
      <c r="U360" s="31"/>
    </row>
    <row r="361" spans="6:21" x14ac:dyDescent="0.3">
      <c r="F361" s="31">
        <v>0.6879778088067291</v>
      </c>
      <c r="G361">
        <v>12</v>
      </c>
      <c r="H361" s="26">
        <v>1986.91666666783</v>
      </c>
      <c r="I361" s="3">
        <v>27.205338000000001</v>
      </c>
      <c r="L361" s="28">
        <v>31777</v>
      </c>
      <c r="P361" s="27"/>
      <c r="U361" s="31"/>
    </row>
    <row r="362" spans="6:21" x14ac:dyDescent="0.3">
      <c r="F362" s="31">
        <v>0.7741909131897553</v>
      </c>
      <c r="G362">
        <v>11</v>
      </c>
      <c r="H362" s="26">
        <v>1986.8333333344999</v>
      </c>
      <c r="I362" s="3">
        <v>28.061070000000001</v>
      </c>
      <c r="L362" s="28">
        <v>31746</v>
      </c>
      <c r="P362" s="27"/>
      <c r="U362" s="31"/>
    </row>
    <row r="363" spans="6:21" x14ac:dyDescent="0.3">
      <c r="F363" s="31">
        <v>0.78756351708004935</v>
      </c>
      <c r="G363">
        <v>10</v>
      </c>
      <c r="H363" s="26">
        <v>1986.7500000011701</v>
      </c>
      <c r="I363" s="3">
        <v>28.503032999999999</v>
      </c>
      <c r="L363" s="28">
        <v>31716</v>
      </c>
      <c r="P363" s="27"/>
      <c r="U363" s="31"/>
    </row>
    <row r="364" spans="6:21" x14ac:dyDescent="0.3">
      <c r="F364" s="31">
        <v>0.70766232874907109</v>
      </c>
      <c r="G364">
        <v>9</v>
      </c>
      <c r="H364" s="26">
        <v>1986.66666666784</v>
      </c>
      <c r="I364" s="3">
        <v>28.452005</v>
      </c>
      <c r="L364" s="28">
        <v>31685</v>
      </c>
      <c r="P364" s="27"/>
      <c r="U364" s="31"/>
    </row>
    <row r="365" spans="6:21" x14ac:dyDescent="0.3">
      <c r="F365" s="31">
        <v>0.72621322341647443</v>
      </c>
      <c r="G365">
        <v>8</v>
      </c>
      <c r="H365" s="26">
        <v>1986.5833333345099</v>
      </c>
      <c r="I365" s="3">
        <v>28.042576</v>
      </c>
      <c r="L365" s="28">
        <v>31655</v>
      </c>
      <c r="P365" s="27"/>
      <c r="U365" s="31"/>
    </row>
    <row r="366" spans="6:21" x14ac:dyDescent="0.3">
      <c r="F366" s="31">
        <v>0.72267666319064305</v>
      </c>
      <c r="G366">
        <v>7</v>
      </c>
      <c r="H366" s="26">
        <v>1986.5000000011801</v>
      </c>
      <c r="I366" s="3">
        <v>27.797011999999999</v>
      </c>
      <c r="L366" s="28">
        <v>31624</v>
      </c>
      <c r="P366" s="27"/>
      <c r="U366" s="31"/>
    </row>
    <row r="367" spans="6:21" x14ac:dyDescent="0.3">
      <c r="F367" s="31">
        <v>0.6458805062648213</v>
      </c>
      <c r="G367">
        <v>6</v>
      </c>
      <c r="H367" s="26">
        <v>1986.41666666785</v>
      </c>
      <c r="I367" s="3">
        <v>28.42773</v>
      </c>
      <c r="L367" s="28">
        <v>31593</v>
      </c>
      <c r="P367" s="27"/>
      <c r="U367" s="31"/>
    </row>
    <row r="368" spans="6:21" x14ac:dyDescent="0.3">
      <c r="F368" s="31">
        <v>0.63993401144282647</v>
      </c>
      <c r="G368">
        <v>5</v>
      </c>
      <c r="H368" s="26">
        <v>1986.3333333345199</v>
      </c>
      <c r="I368" s="3">
        <v>28.080646999999999</v>
      </c>
      <c r="L368" s="28">
        <v>31563</v>
      </c>
      <c r="P368" s="27"/>
      <c r="U368" s="31"/>
    </row>
    <row r="369" spans="6:21" x14ac:dyDescent="0.3">
      <c r="F369" s="31">
        <v>0.81690794384790866</v>
      </c>
      <c r="G369">
        <v>4</v>
      </c>
      <c r="H369" s="26">
        <v>1986.2500000011901</v>
      </c>
      <c r="I369" s="3">
        <v>27.155024999999998</v>
      </c>
      <c r="L369" s="28">
        <v>31532</v>
      </c>
      <c r="P369" s="27"/>
      <c r="U369" s="31"/>
    </row>
    <row r="370" spans="6:21" x14ac:dyDescent="0.3">
      <c r="F370" s="31">
        <v>0.90166526097482436</v>
      </c>
      <c r="G370">
        <v>3</v>
      </c>
      <c r="H370" s="26">
        <v>1986.16666666786</v>
      </c>
      <c r="I370" s="3">
        <v>26.381073000000001</v>
      </c>
      <c r="L370" s="28">
        <v>31502</v>
      </c>
      <c r="P370" s="27"/>
      <c r="U370" s="31"/>
    </row>
    <row r="371" spans="6:21" x14ac:dyDescent="0.3">
      <c r="F371" s="31">
        <v>0.83186066455798302</v>
      </c>
      <c r="G371">
        <v>2</v>
      </c>
      <c r="H371" s="26">
        <v>1986.0833333345299</v>
      </c>
      <c r="I371" s="3">
        <v>26.251438</v>
      </c>
      <c r="L371" s="28">
        <v>31471</v>
      </c>
      <c r="P371" s="27"/>
      <c r="U371" s="31"/>
    </row>
    <row r="372" spans="6:21" x14ac:dyDescent="0.3">
      <c r="F372" s="31">
        <v>0.89903478987613339</v>
      </c>
      <c r="G372">
        <v>1</v>
      </c>
      <c r="H372" s="26">
        <v>1986.0000000012001</v>
      </c>
      <c r="I372" s="3">
        <v>26.453082999999999</v>
      </c>
      <c r="L372" s="28">
        <v>31443</v>
      </c>
      <c r="P372" s="27"/>
      <c r="U372" s="31"/>
    </row>
    <row r="373" spans="6:21" x14ac:dyDescent="0.3">
      <c r="F373" s="31">
        <v>0.95185003066509644</v>
      </c>
      <c r="G373">
        <v>12</v>
      </c>
      <c r="H373" s="26">
        <v>1985.91666666787</v>
      </c>
      <c r="I373" s="3">
        <v>27.245971999999998</v>
      </c>
      <c r="L373" s="28">
        <v>31412</v>
      </c>
      <c r="P373" s="27"/>
      <c r="U373" s="31"/>
    </row>
    <row r="374" spans="6:21" x14ac:dyDescent="0.3">
      <c r="F374" s="31">
        <v>1.0670878738443121</v>
      </c>
      <c r="G374">
        <v>11</v>
      </c>
      <c r="H374" s="26">
        <v>1985.8333333345399</v>
      </c>
      <c r="I374" s="3">
        <v>27.878197</v>
      </c>
      <c r="L374" s="28">
        <v>31381</v>
      </c>
      <c r="P374" s="27"/>
      <c r="U374" s="31"/>
    </row>
    <row r="375" spans="6:21" x14ac:dyDescent="0.3">
      <c r="F375" s="31">
        <v>1.0699512434289256</v>
      </c>
      <c r="G375">
        <v>10</v>
      </c>
      <c r="H375" s="26">
        <v>1985.7500000012101</v>
      </c>
      <c r="I375" s="3">
        <v>28.344597</v>
      </c>
      <c r="L375" s="28">
        <v>31351</v>
      </c>
      <c r="P375" s="27"/>
      <c r="U375" s="31"/>
    </row>
    <row r="376" spans="6:21" x14ac:dyDescent="0.3">
      <c r="F376" s="31">
        <v>0.91647974065651971</v>
      </c>
      <c r="G376">
        <v>9</v>
      </c>
      <c r="H376" s="26">
        <v>1985.66666666788</v>
      </c>
      <c r="I376" s="3">
        <v>28.385859</v>
      </c>
      <c r="L376" s="28">
        <v>31320</v>
      </c>
      <c r="P376" s="27"/>
      <c r="U376" s="31"/>
    </row>
    <row r="377" spans="6:21" x14ac:dyDescent="0.3">
      <c r="F377" s="31">
        <v>0.87761717944036732</v>
      </c>
      <c r="G377">
        <v>8</v>
      </c>
      <c r="H377" s="26">
        <v>1985.5833333345499</v>
      </c>
      <c r="I377" s="3">
        <v>28.068059999999999</v>
      </c>
      <c r="L377" s="28">
        <v>31290</v>
      </c>
      <c r="P377" s="27"/>
      <c r="U377" s="31"/>
    </row>
    <row r="378" spans="6:21" x14ac:dyDescent="0.3">
      <c r="F378" s="31">
        <v>0.92490551948621835</v>
      </c>
      <c r="G378">
        <v>7</v>
      </c>
      <c r="H378" s="26">
        <v>1985.5000000012201</v>
      </c>
      <c r="I378" s="3">
        <v>28.003826</v>
      </c>
      <c r="L378" s="28">
        <v>31259</v>
      </c>
      <c r="P378" s="27"/>
      <c r="U378" s="31"/>
    </row>
    <row r="379" spans="6:21" x14ac:dyDescent="0.3">
      <c r="F379" s="31">
        <v>0.89309985558523364</v>
      </c>
      <c r="G379">
        <v>6</v>
      </c>
      <c r="H379" s="26">
        <v>1985.41666666789</v>
      </c>
      <c r="I379" s="3">
        <v>28.208447</v>
      </c>
      <c r="L379" s="28">
        <v>31228</v>
      </c>
      <c r="P379" s="27"/>
      <c r="U379" s="31"/>
    </row>
    <row r="380" spans="6:21" x14ac:dyDescent="0.3">
      <c r="F380" s="31">
        <v>0.85667351028395011</v>
      </c>
      <c r="G380">
        <v>5</v>
      </c>
      <c r="H380" s="26">
        <v>1985.3333333345599</v>
      </c>
      <c r="I380" s="3">
        <v>27.899887</v>
      </c>
      <c r="L380" s="28">
        <v>31198</v>
      </c>
      <c r="P380" s="27"/>
      <c r="U380" s="31"/>
    </row>
    <row r="381" spans="6:21" x14ac:dyDescent="0.3">
      <c r="F381" s="31">
        <v>0.89932469413694038</v>
      </c>
      <c r="G381">
        <v>4</v>
      </c>
      <c r="H381" s="26">
        <v>1985.2500000012301</v>
      </c>
      <c r="I381" s="3">
        <v>26.904177000000001</v>
      </c>
      <c r="L381" s="28">
        <v>31167</v>
      </c>
      <c r="P381" s="27"/>
      <c r="U381" s="31"/>
    </row>
    <row r="382" spans="6:21" x14ac:dyDescent="0.3">
      <c r="F382" s="31">
        <v>0.8330323232304</v>
      </c>
      <c r="G382">
        <v>3</v>
      </c>
      <c r="H382" s="26">
        <v>1985.1666666679</v>
      </c>
      <c r="I382" s="3">
        <v>26.229607000000001</v>
      </c>
      <c r="L382" s="28">
        <v>31137</v>
      </c>
      <c r="P382" s="27"/>
      <c r="U382" s="31"/>
    </row>
    <row r="383" spans="6:21" x14ac:dyDescent="0.3">
      <c r="F383" s="31">
        <v>0.79280130845518326</v>
      </c>
      <c r="G383">
        <v>2</v>
      </c>
      <c r="H383" s="26">
        <v>1985.0833333345699</v>
      </c>
      <c r="I383" s="3">
        <v>26.421638000000002</v>
      </c>
      <c r="L383" s="28">
        <v>31106</v>
      </c>
      <c r="P383" s="27"/>
      <c r="U383" s="31"/>
    </row>
    <row r="384" spans="6:21" x14ac:dyDescent="0.3">
      <c r="F384" s="31">
        <v>0.8182806385582384</v>
      </c>
      <c r="G384">
        <v>1</v>
      </c>
      <c r="H384" s="26">
        <v>1985.0000000012401</v>
      </c>
      <c r="I384" s="3">
        <v>26.096679999999999</v>
      </c>
      <c r="L384" s="28">
        <v>31078</v>
      </c>
      <c r="P384" s="27"/>
      <c r="U384" s="31"/>
    </row>
    <row r="385" spans="6:21" x14ac:dyDescent="0.3">
      <c r="F385" s="31">
        <v>0.8528755359579594</v>
      </c>
      <c r="G385">
        <v>12</v>
      </c>
      <c r="H385" s="26">
        <v>1984.91666666791</v>
      </c>
      <c r="I385" s="3">
        <v>27.029693999999999</v>
      </c>
      <c r="L385" s="28">
        <v>31047</v>
      </c>
      <c r="P385" s="27"/>
      <c r="U385" s="31"/>
    </row>
    <row r="386" spans="6:21" x14ac:dyDescent="0.3">
      <c r="F386" s="31">
        <v>0.88282312178044109</v>
      </c>
      <c r="G386">
        <v>11</v>
      </c>
      <c r="H386" s="26">
        <v>1984.8333333345799</v>
      </c>
      <c r="I386" s="3">
        <v>27.987850000000002</v>
      </c>
      <c r="L386" s="28">
        <v>31016</v>
      </c>
      <c r="P386" s="27"/>
      <c r="U386" s="31"/>
    </row>
    <row r="387" spans="6:21" x14ac:dyDescent="0.3">
      <c r="F387" s="31">
        <v>0.88230561663539497</v>
      </c>
      <c r="G387">
        <v>10</v>
      </c>
      <c r="H387" s="26">
        <v>1984.7500000012501</v>
      </c>
      <c r="I387" s="3">
        <v>28.159077</v>
      </c>
      <c r="L387" s="28">
        <v>30986</v>
      </c>
      <c r="P387" s="27"/>
      <c r="U387" s="31"/>
    </row>
    <row r="388" spans="6:21" x14ac:dyDescent="0.3">
      <c r="F388" s="31">
        <v>0.85684406315582717</v>
      </c>
      <c r="G388">
        <v>9</v>
      </c>
      <c r="H388" s="26">
        <v>1984.66666666792</v>
      </c>
      <c r="I388" s="3">
        <v>28.300379</v>
      </c>
      <c r="L388" s="28">
        <v>30955</v>
      </c>
      <c r="P388" s="27"/>
      <c r="U388" s="31"/>
    </row>
    <row r="389" spans="6:21" x14ac:dyDescent="0.3">
      <c r="F389" s="31">
        <v>0.78552050084095038</v>
      </c>
      <c r="G389">
        <v>8</v>
      </c>
      <c r="H389" s="26">
        <v>1984.58333333459</v>
      </c>
      <c r="I389" s="3">
        <v>28.109867000000001</v>
      </c>
      <c r="L389" s="28">
        <v>30925</v>
      </c>
      <c r="P389" s="27"/>
      <c r="U389" s="31"/>
    </row>
    <row r="390" spans="6:21" x14ac:dyDescent="0.3">
      <c r="F390" s="31">
        <v>0.73018525835191694</v>
      </c>
      <c r="G390">
        <v>7</v>
      </c>
      <c r="H390" s="26">
        <v>1984.5000000012601</v>
      </c>
      <c r="I390" s="3">
        <v>27.933865000000001</v>
      </c>
      <c r="L390" s="28">
        <v>30894</v>
      </c>
      <c r="P390" s="27"/>
      <c r="U390" s="31"/>
    </row>
    <row r="391" spans="6:21" x14ac:dyDescent="0.3">
      <c r="F391" s="31">
        <v>0.72060249996455217</v>
      </c>
      <c r="G391">
        <v>6</v>
      </c>
      <c r="H391" s="26">
        <v>1984.41666666793</v>
      </c>
      <c r="I391" s="3">
        <v>28.069008</v>
      </c>
      <c r="L391" s="28">
        <v>30863</v>
      </c>
      <c r="P391" s="27"/>
      <c r="U391" s="31"/>
    </row>
    <row r="392" spans="6:21" x14ac:dyDescent="0.3">
      <c r="F392" s="31">
        <v>0.76172644435161796</v>
      </c>
      <c r="G392">
        <v>5</v>
      </c>
      <c r="H392" s="26">
        <v>1984.3333333346</v>
      </c>
      <c r="I392" s="3">
        <v>28.131042000000001</v>
      </c>
      <c r="L392" s="28">
        <v>30833</v>
      </c>
      <c r="P392" s="27"/>
      <c r="U392" s="31"/>
    </row>
    <row r="393" spans="6:21" x14ac:dyDescent="0.3">
      <c r="F393" s="31">
        <v>0.8203313345651464</v>
      </c>
      <c r="G393">
        <v>4</v>
      </c>
      <c r="H393" s="26">
        <v>1984.2500000012701</v>
      </c>
      <c r="I393" s="3">
        <v>27.550076000000001</v>
      </c>
      <c r="L393" s="28">
        <v>30802</v>
      </c>
      <c r="P393" s="27"/>
      <c r="U393" s="31"/>
    </row>
    <row r="394" spans="6:21" x14ac:dyDescent="0.3">
      <c r="F394" s="31">
        <v>0.81305911525458274</v>
      </c>
      <c r="G394">
        <v>3</v>
      </c>
      <c r="H394" s="26">
        <v>1984.16666666794</v>
      </c>
      <c r="I394" s="3">
        <v>27.135601000000001</v>
      </c>
      <c r="L394" s="28">
        <v>30772</v>
      </c>
      <c r="P394" s="27"/>
      <c r="U394" s="31"/>
    </row>
    <row r="395" spans="6:21" x14ac:dyDescent="0.3">
      <c r="F395" s="31">
        <v>0.79844283988254239</v>
      </c>
      <c r="G395">
        <v>2</v>
      </c>
      <c r="H395" s="26">
        <v>1984.08333333461</v>
      </c>
      <c r="I395" s="3">
        <v>27.060241999999999</v>
      </c>
      <c r="L395" s="28">
        <v>30741</v>
      </c>
      <c r="P395" s="27"/>
      <c r="U395" s="31"/>
    </row>
    <row r="396" spans="6:21" x14ac:dyDescent="0.3">
      <c r="F396" s="31">
        <v>0.8553399761203252</v>
      </c>
      <c r="G396">
        <v>1</v>
      </c>
      <c r="H396" s="26">
        <v>1984.0000000012799</v>
      </c>
      <c r="I396" s="3">
        <v>27.36628</v>
      </c>
      <c r="L396" s="28">
        <v>30712</v>
      </c>
      <c r="P396" s="27"/>
      <c r="U396" s="31"/>
    </row>
    <row r="397" spans="6:21" x14ac:dyDescent="0.3">
      <c r="F397" s="31">
        <v>0.93618585602841453</v>
      </c>
      <c r="G397">
        <v>12</v>
      </c>
      <c r="H397" s="26">
        <v>1983.91666666795</v>
      </c>
      <c r="I397" s="3">
        <v>27.767216000000001</v>
      </c>
      <c r="L397" s="28">
        <v>30681</v>
      </c>
      <c r="P397" s="27"/>
      <c r="U397" s="31"/>
    </row>
    <row r="398" spans="6:21" x14ac:dyDescent="0.3">
      <c r="F398" s="31">
        <v>0.97082765292619344</v>
      </c>
      <c r="G398">
        <v>11</v>
      </c>
      <c r="H398" s="26">
        <v>1983.83333333462</v>
      </c>
      <c r="I398" s="3">
        <v>28.718912</v>
      </c>
      <c r="L398" s="28">
        <v>30650</v>
      </c>
      <c r="P398" s="27"/>
      <c r="U398" s="31"/>
    </row>
    <row r="399" spans="6:21" x14ac:dyDescent="0.3">
      <c r="F399" s="31">
        <v>0.96236519854430425</v>
      </c>
      <c r="G399">
        <v>10</v>
      </c>
      <c r="H399" s="26">
        <v>1983.7500000012899</v>
      </c>
      <c r="I399" s="3">
        <v>28.807379999999998</v>
      </c>
      <c r="L399" s="28">
        <v>30620</v>
      </c>
      <c r="P399" s="27"/>
      <c r="U399" s="31"/>
    </row>
    <row r="400" spans="6:21" x14ac:dyDescent="0.3">
      <c r="F400" s="31">
        <v>0.93218947915404049</v>
      </c>
      <c r="G400">
        <v>9</v>
      </c>
      <c r="H400" s="26">
        <v>1983.66666666796</v>
      </c>
      <c r="I400" s="3">
        <v>28.658867000000001</v>
      </c>
      <c r="L400" s="28">
        <v>30589</v>
      </c>
      <c r="P400" s="27"/>
      <c r="U400" s="31"/>
    </row>
    <row r="401" spans="6:21" x14ac:dyDescent="0.3">
      <c r="F401" s="31">
        <v>0.88700204612051381</v>
      </c>
      <c r="G401">
        <v>8</v>
      </c>
      <c r="H401" s="26">
        <v>1983.58333333463</v>
      </c>
      <c r="I401" s="3">
        <v>28.514420000000001</v>
      </c>
      <c r="L401" s="28">
        <v>30559</v>
      </c>
      <c r="P401" s="27"/>
      <c r="U401" s="31"/>
    </row>
    <row r="402" spans="6:21" x14ac:dyDescent="0.3">
      <c r="F402" s="31">
        <v>0.84913718464164989</v>
      </c>
      <c r="G402">
        <v>7</v>
      </c>
      <c r="H402" s="26">
        <v>1983.5000000012999</v>
      </c>
      <c r="I402" s="3">
        <v>28.50544</v>
      </c>
      <c r="L402" s="28">
        <v>30528</v>
      </c>
      <c r="P402" s="27"/>
      <c r="U402" s="31"/>
    </row>
    <row r="403" spans="6:21" x14ac:dyDescent="0.3">
      <c r="F403" s="31">
        <v>0.76328788661714553</v>
      </c>
      <c r="G403">
        <v>6</v>
      </c>
      <c r="H403" s="26">
        <v>1983.41666666797</v>
      </c>
      <c r="I403" s="3">
        <v>29.250540000000001</v>
      </c>
      <c r="L403" s="28">
        <v>30497</v>
      </c>
      <c r="P403" s="27"/>
      <c r="U403" s="31"/>
    </row>
    <row r="404" spans="6:21" x14ac:dyDescent="0.3">
      <c r="F404" s="31">
        <v>0.70107438807860101</v>
      </c>
      <c r="G404">
        <v>5</v>
      </c>
      <c r="H404" s="26">
        <v>1983.33333333464</v>
      </c>
      <c r="I404" s="3">
        <v>28.765336999999999</v>
      </c>
      <c r="L404" s="28">
        <v>30467</v>
      </c>
      <c r="P404" s="27"/>
      <c r="U404" s="31"/>
    </row>
    <row r="405" spans="6:21" x14ac:dyDescent="0.3">
      <c r="F405" s="31">
        <v>0.67384911336677689</v>
      </c>
      <c r="G405">
        <v>4</v>
      </c>
      <c r="H405" s="26">
        <v>1983.2500000013099</v>
      </c>
      <c r="I405" s="3">
        <v>27.905666</v>
      </c>
      <c r="L405" s="28">
        <v>30436</v>
      </c>
      <c r="P405" s="27"/>
      <c r="U405" s="31"/>
    </row>
    <row r="406" spans="6:21" x14ac:dyDescent="0.3">
      <c r="F406" s="31">
        <v>0.6719233329103782</v>
      </c>
      <c r="G406">
        <v>3</v>
      </c>
      <c r="H406" s="26">
        <v>1983.1666666679801</v>
      </c>
      <c r="I406" s="3">
        <v>27.299713000000001</v>
      </c>
      <c r="L406" s="28">
        <v>30406</v>
      </c>
      <c r="P406" s="27"/>
      <c r="U406" s="31"/>
    </row>
    <row r="407" spans="6:21" x14ac:dyDescent="0.3">
      <c r="F407" s="31">
        <v>0.67329039728960738</v>
      </c>
      <c r="G407">
        <v>2</v>
      </c>
      <c r="H407" s="26">
        <v>1983.08333333465</v>
      </c>
      <c r="I407" s="3">
        <v>26.744598</v>
      </c>
      <c r="L407" s="28">
        <v>30375</v>
      </c>
      <c r="P407" s="27"/>
      <c r="U407" s="31"/>
    </row>
    <row r="408" spans="6:21" x14ac:dyDescent="0.3">
      <c r="F408" s="31">
        <v>0.71169009854542287</v>
      </c>
      <c r="G408">
        <v>1</v>
      </c>
      <c r="H408" s="26">
        <v>1983.0000000013199</v>
      </c>
      <c r="I408" s="3">
        <v>26.974377</v>
      </c>
      <c r="L408" s="28">
        <v>30347</v>
      </c>
      <c r="P408" s="27"/>
      <c r="U408" s="31"/>
    </row>
    <row r="409" spans="6:21" x14ac:dyDescent="0.3">
      <c r="F409" s="31">
        <v>0.77366522435638319</v>
      </c>
      <c r="G409">
        <v>12</v>
      </c>
      <c r="H409" s="26">
        <v>1982.9166666679901</v>
      </c>
      <c r="I409" s="3">
        <v>27.314194000000001</v>
      </c>
      <c r="L409" s="28">
        <v>30316</v>
      </c>
      <c r="P409" s="27"/>
      <c r="U409" s="31"/>
    </row>
    <row r="410" spans="6:21" x14ac:dyDescent="0.3">
      <c r="F410" s="31">
        <v>0.863846304725856</v>
      </c>
      <c r="G410">
        <v>11</v>
      </c>
      <c r="H410" s="26">
        <v>1982.83333333466</v>
      </c>
      <c r="I410" s="3">
        <v>28.297533000000001</v>
      </c>
      <c r="L410" s="28">
        <v>30285</v>
      </c>
      <c r="P410" s="27"/>
      <c r="U410" s="31"/>
    </row>
    <row r="411" spans="6:21" x14ac:dyDescent="0.3">
      <c r="F411" s="31">
        <v>0.85546020129817057</v>
      </c>
      <c r="G411">
        <v>10</v>
      </c>
      <c r="H411" s="26">
        <v>1982.7500000013299</v>
      </c>
      <c r="I411" s="3">
        <v>28.556156000000001</v>
      </c>
      <c r="L411" s="28">
        <v>30255</v>
      </c>
      <c r="P411" s="27"/>
      <c r="U411" s="31"/>
    </row>
    <row r="412" spans="6:21" x14ac:dyDescent="0.3">
      <c r="F412" s="31">
        <v>0.74543861498845243</v>
      </c>
      <c r="G412">
        <v>9</v>
      </c>
      <c r="H412" s="26">
        <v>1982.6666666680001</v>
      </c>
      <c r="I412" s="3">
        <v>28.399704</v>
      </c>
      <c r="L412" s="28">
        <v>30224</v>
      </c>
      <c r="P412" s="27"/>
      <c r="U412" s="31"/>
    </row>
    <row r="413" spans="6:21" x14ac:dyDescent="0.3">
      <c r="F413" s="31">
        <v>0.72039331836444731</v>
      </c>
      <c r="G413">
        <v>8</v>
      </c>
      <c r="H413" s="26">
        <v>1982.58333333467</v>
      </c>
      <c r="I413" s="3">
        <v>27.933047999999999</v>
      </c>
      <c r="L413" s="28">
        <v>30194</v>
      </c>
      <c r="P413" s="27"/>
      <c r="U413" s="31"/>
    </row>
    <row r="414" spans="6:21" x14ac:dyDescent="0.3">
      <c r="F414" s="31">
        <v>0.71387649985593715</v>
      </c>
      <c r="G414">
        <v>7</v>
      </c>
      <c r="H414" s="26">
        <v>1982.5000000013399</v>
      </c>
      <c r="I414" s="3">
        <v>27.928457000000002</v>
      </c>
      <c r="L414" s="28">
        <v>30163</v>
      </c>
      <c r="P414" s="27"/>
      <c r="U414" s="31"/>
    </row>
    <row r="415" spans="6:21" x14ac:dyDescent="0.3">
      <c r="F415" s="31">
        <v>0.81559043632850536</v>
      </c>
      <c r="G415">
        <v>6</v>
      </c>
      <c r="H415" s="26">
        <v>1982.4166666680101</v>
      </c>
      <c r="I415" s="3">
        <v>28.584976000000001</v>
      </c>
      <c r="L415" s="28">
        <v>30132</v>
      </c>
      <c r="P415" s="27"/>
      <c r="U415" s="31"/>
    </row>
    <row r="416" spans="6:21" x14ac:dyDescent="0.3">
      <c r="F416" s="31">
        <v>0.8947595158957532</v>
      </c>
      <c r="G416">
        <v>5</v>
      </c>
      <c r="H416" s="26">
        <v>1982.33333333468</v>
      </c>
      <c r="I416" s="3">
        <v>28.335847999999999</v>
      </c>
      <c r="L416" s="28">
        <v>30102</v>
      </c>
      <c r="P416" s="27"/>
      <c r="U416" s="31"/>
    </row>
    <row r="417" spans="6:21" x14ac:dyDescent="0.3">
      <c r="F417" s="31">
        <v>0.89639616754634588</v>
      </c>
      <c r="G417">
        <v>4</v>
      </c>
      <c r="H417" s="26">
        <v>1982.2500000013499</v>
      </c>
      <c r="I417" s="3">
        <v>27.535212999999999</v>
      </c>
      <c r="L417" s="28">
        <v>30071</v>
      </c>
      <c r="P417" s="27"/>
      <c r="U417" s="31"/>
    </row>
    <row r="418" spans="6:21" x14ac:dyDescent="0.3">
      <c r="F418" s="31">
        <v>0.82896785028088238</v>
      </c>
      <c r="G418">
        <v>3</v>
      </c>
      <c r="H418" s="26">
        <v>1982.1666666680201</v>
      </c>
      <c r="I418" s="3">
        <v>26.834885</v>
      </c>
      <c r="L418" s="28">
        <v>30041</v>
      </c>
      <c r="P418" s="27"/>
      <c r="U418" s="31"/>
    </row>
    <row r="419" spans="6:21" x14ac:dyDescent="0.3">
      <c r="F419" s="31">
        <v>0.81388254799199233</v>
      </c>
      <c r="G419">
        <v>2</v>
      </c>
      <c r="H419" s="26">
        <v>1982.08333333469</v>
      </c>
      <c r="I419" s="3">
        <v>27.009761999999998</v>
      </c>
      <c r="L419" s="28">
        <v>30010</v>
      </c>
      <c r="P419" s="27"/>
      <c r="U419" s="31"/>
    </row>
    <row r="420" spans="6:21" x14ac:dyDescent="0.3">
      <c r="F420" s="31">
        <v>0.84421549066935775</v>
      </c>
      <c r="G420">
        <v>1</v>
      </c>
      <c r="H420" s="26">
        <v>1982.0000000013599</v>
      </c>
      <c r="I420" s="3">
        <v>27.228565</v>
      </c>
      <c r="L420" s="28">
        <v>29982</v>
      </c>
      <c r="P420" s="27"/>
      <c r="U420" s="31"/>
    </row>
    <row r="421" spans="6:21" x14ac:dyDescent="0.3">
      <c r="G421">
        <v>12</v>
      </c>
      <c r="H421" s="26">
        <v>1981.9166666680301</v>
      </c>
      <c r="I421" s="3">
        <v>27.829985000000001</v>
      </c>
      <c r="L421" s="28">
        <v>29951</v>
      </c>
      <c r="P421" s="27"/>
      <c r="U421" s="31"/>
    </row>
    <row r="422" spans="6:21" x14ac:dyDescent="0.3">
      <c r="G422">
        <v>11</v>
      </c>
      <c r="H422" s="26">
        <v>1981.8333333347</v>
      </c>
      <c r="I422" s="3">
        <v>28.377061999999999</v>
      </c>
      <c r="L422" s="28">
        <v>29920</v>
      </c>
      <c r="P422" s="27"/>
      <c r="U422" s="31"/>
    </row>
    <row r="423" spans="6:21" x14ac:dyDescent="0.3">
      <c r="G423">
        <v>10</v>
      </c>
      <c r="H423" s="26">
        <v>1981.7500000013699</v>
      </c>
      <c r="I423" s="3">
        <v>28.780743000000001</v>
      </c>
      <c r="L423" s="28">
        <v>29890</v>
      </c>
      <c r="P423" s="27"/>
      <c r="S423" s="32"/>
    </row>
    <row r="424" spans="6:21" x14ac:dyDescent="0.3">
      <c r="G424">
        <v>9</v>
      </c>
      <c r="H424" s="26">
        <v>1981.6666666680401</v>
      </c>
      <c r="I424" s="3">
        <v>28.831500999999999</v>
      </c>
      <c r="L424" s="28">
        <v>29859</v>
      </c>
      <c r="P424" s="27"/>
      <c r="S424" s="32"/>
    </row>
    <row r="425" spans="6:21" x14ac:dyDescent="0.3">
      <c r="G425">
        <v>8</v>
      </c>
      <c r="H425" s="26">
        <v>1981.58333333471</v>
      </c>
      <c r="I425" s="3">
        <v>28.467770000000002</v>
      </c>
      <c r="L425" s="28">
        <v>29829</v>
      </c>
      <c r="P425" s="27"/>
      <c r="S425" s="32"/>
    </row>
    <row r="426" spans="6:21" x14ac:dyDescent="0.3">
      <c r="G426">
        <v>7</v>
      </c>
      <c r="H426" s="26">
        <v>1981.5000000013799</v>
      </c>
      <c r="I426" s="3">
        <v>28.536498999999999</v>
      </c>
      <c r="L426" s="28">
        <v>29798</v>
      </c>
      <c r="P426" s="27"/>
      <c r="S426" s="32"/>
    </row>
    <row r="427" spans="6:21" x14ac:dyDescent="0.3">
      <c r="G427">
        <v>6</v>
      </c>
      <c r="H427" s="26">
        <v>1981.4166666680501</v>
      </c>
      <c r="I427" s="3">
        <v>28.902926999999998</v>
      </c>
      <c r="L427" s="28">
        <v>29767</v>
      </c>
      <c r="P427" s="27"/>
    </row>
    <row r="428" spans="6:21" x14ac:dyDescent="0.3">
      <c r="G428">
        <v>5</v>
      </c>
      <c r="H428" s="26">
        <v>1981.33333333472</v>
      </c>
      <c r="I428" s="3">
        <v>28.898409999999998</v>
      </c>
      <c r="L428" s="28">
        <v>29737</v>
      </c>
      <c r="P428" s="27"/>
      <c r="S428" s="32"/>
    </row>
    <row r="429" spans="6:21" x14ac:dyDescent="0.3">
      <c r="G429">
        <v>4</v>
      </c>
      <c r="H429" s="26">
        <v>1981.2500000013899</v>
      </c>
      <c r="I429" s="3">
        <v>27.56223</v>
      </c>
      <c r="L429" s="28">
        <v>29706</v>
      </c>
      <c r="P429" s="27"/>
      <c r="S429" s="32"/>
    </row>
    <row r="430" spans="6:21" x14ac:dyDescent="0.3">
      <c r="G430">
        <v>3</v>
      </c>
      <c r="H430" s="26">
        <v>1981.1666666680601</v>
      </c>
      <c r="I430" s="3">
        <v>27.641193000000001</v>
      </c>
      <c r="L430" s="28">
        <v>29676</v>
      </c>
      <c r="P430" s="27"/>
      <c r="S430" s="32"/>
    </row>
    <row r="431" spans="6:21" x14ac:dyDescent="0.3">
      <c r="G431">
        <v>2</v>
      </c>
      <c r="H431" s="26">
        <v>1981.08333333473</v>
      </c>
      <c r="I431" s="3">
        <v>27.065819000000001</v>
      </c>
      <c r="L431" s="28">
        <v>29645</v>
      </c>
      <c r="P431" s="27"/>
      <c r="S431" s="32"/>
    </row>
    <row r="432" spans="6:21" x14ac:dyDescent="0.3">
      <c r="G432">
        <v>1</v>
      </c>
      <c r="H432" s="26">
        <v>1981.0000000013999</v>
      </c>
      <c r="I432" s="3">
        <v>27.302422</v>
      </c>
      <c r="L432" s="28">
        <v>29617</v>
      </c>
      <c r="P432" s="27"/>
      <c r="S432" s="32"/>
    </row>
    <row r="433" spans="7:19" x14ac:dyDescent="0.3">
      <c r="G433">
        <v>12</v>
      </c>
      <c r="H433" s="26">
        <v>1980.9166666680701</v>
      </c>
      <c r="I433" s="3">
        <v>27.690110000000001</v>
      </c>
      <c r="L433" s="28">
        <v>29586</v>
      </c>
      <c r="P433" s="27"/>
      <c r="S433" s="32"/>
    </row>
    <row r="434" spans="7:19" x14ac:dyDescent="0.3">
      <c r="G434">
        <v>11</v>
      </c>
      <c r="H434" s="26">
        <v>1980.83333333474</v>
      </c>
      <c r="I434" s="3">
        <v>28.681742</v>
      </c>
      <c r="L434" s="28">
        <v>29555</v>
      </c>
      <c r="P434" s="27"/>
      <c r="S434" s="32"/>
    </row>
    <row r="435" spans="7:19" x14ac:dyDescent="0.3">
      <c r="G435">
        <v>10</v>
      </c>
      <c r="H435" s="26">
        <v>1980.7500000014099</v>
      </c>
      <c r="I435" s="3">
        <v>28.700056</v>
      </c>
      <c r="L435" s="28">
        <v>29525</v>
      </c>
      <c r="P435" s="27"/>
      <c r="S435" s="32"/>
    </row>
    <row r="436" spans="7:19" x14ac:dyDescent="0.3">
      <c r="G436">
        <v>9</v>
      </c>
      <c r="H436" s="26">
        <v>1980.6666666680801</v>
      </c>
      <c r="I436" s="3">
        <v>28.820509999999999</v>
      </c>
      <c r="L436" s="28">
        <v>29494</v>
      </c>
      <c r="P436" s="27"/>
      <c r="S436" s="32"/>
    </row>
    <row r="437" spans="7:19" x14ac:dyDescent="0.3">
      <c r="G437">
        <v>8</v>
      </c>
      <c r="H437" s="26">
        <v>1980.58333333475</v>
      </c>
      <c r="I437" s="3">
        <v>28.55077</v>
      </c>
      <c r="L437" s="28">
        <v>29464</v>
      </c>
      <c r="P437" s="27"/>
      <c r="S437" s="32"/>
    </row>
    <row r="438" spans="7:19" x14ac:dyDescent="0.3">
      <c r="G438">
        <v>7</v>
      </c>
      <c r="H438" s="26">
        <v>1980.5000000014199</v>
      </c>
      <c r="I438" s="3">
        <v>28.581654</v>
      </c>
      <c r="L438" s="28">
        <v>29433</v>
      </c>
      <c r="P438" s="27"/>
      <c r="S438" s="32"/>
    </row>
    <row r="439" spans="7:19" x14ac:dyDescent="0.3">
      <c r="G439">
        <v>6</v>
      </c>
      <c r="H439" s="26">
        <v>1980.4166666680901</v>
      </c>
      <c r="I439" s="3">
        <v>28.870646000000001</v>
      </c>
      <c r="L439" s="28">
        <v>29402</v>
      </c>
      <c r="P439" s="27"/>
      <c r="S439" s="32"/>
    </row>
    <row r="440" spans="7:19" x14ac:dyDescent="0.3">
      <c r="G440">
        <v>5</v>
      </c>
      <c r="H440" s="26">
        <v>1980.33333333476</v>
      </c>
      <c r="I440" s="3">
        <v>28.698509999999999</v>
      </c>
      <c r="L440" s="28">
        <v>29372</v>
      </c>
      <c r="P440" s="27"/>
      <c r="S440" s="32"/>
    </row>
    <row r="441" spans="7:19" x14ac:dyDescent="0.3">
      <c r="G441">
        <v>4</v>
      </c>
      <c r="H441" s="26">
        <v>1980.25000000143</v>
      </c>
      <c r="I441" s="3">
        <v>27.172215000000001</v>
      </c>
      <c r="L441" s="28">
        <v>29341</v>
      </c>
      <c r="P441" s="27"/>
      <c r="S441" s="32"/>
    </row>
    <row r="442" spans="7:19" x14ac:dyDescent="0.3">
      <c r="G442">
        <v>3</v>
      </c>
      <c r="H442" s="26">
        <v>1980.1666666681001</v>
      </c>
      <c r="I442" s="3">
        <v>26.592037000000001</v>
      </c>
      <c r="L442" s="28">
        <v>29311</v>
      </c>
      <c r="P442" s="27"/>
      <c r="S442" s="32"/>
    </row>
    <row r="443" spans="7:19" x14ac:dyDescent="0.3">
      <c r="G443">
        <v>2</v>
      </c>
      <c r="H443" s="26">
        <v>1980.08333333477</v>
      </c>
      <c r="I443" s="3">
        <v>26.906555000000001</v>
      </c>
      <c r="L443" s="28">
        <v>29280</v>
      </c>
      <c r="P443" s="27"/>
      <c r="S443" s="32"/>
    </row>
    <row r="444" spans="7:19" x14ac:dyDescent="0.3">
      <c r="G444">
        <v>1</v>
      </c>
      <c r="H444" s="26">
        <v>1980.00000000144</v>
      </c>
      <c r="I444" s="3">
        <v>27.253899000000001</v>
      </c>
      <c r="L444" s="28">
        <v>29251</v>
      </c>
      <c r="P444" s="27"/>
      <c r="S444" s="32"/>
    </row>
    <row r="445" spans="7:19" x14ac:dyDescent="0.3">
      <c r="G445">
        <v>12</v>
      </c>
      <c r="H445" s="26">
        <v>1979.9166666681101</v>
      </c>
      <c r="I445" s="3">
        <v>27.990691999999999</v>
      </c>
      <c r="L445" s="28">
        <v>29220</v>
      </c>
      <c r="P445" s="27"/>
      <c r="S445" s="32"/>
    </row>
    <row r="446" spans="7:19" x14ac:dyDescent="0.3">
      <c r="G446">
        <v>11</v>
      </c>
      <c r="H446" s="26">
        <v>1979.83333333478</v>
      </c>
      <c r="I446" s="3">
        <v>28.791801</v>
      </c>
      <c r="L446" s="28">
        <v>29189</v>
      </c>
      <c r="P446" s="27"/>
      <c r="S446" s="32"/>
    </row>
    <row r="447" spans="7:19" x14ac:dyDescent="0.3">
      <c r="G447">
        <v>10</v>
      </c>
      <c r="H447" s="26">
        <v>1979.75000000145</v>
      </c>
      <c r="I447" s="3">
        <v>28.743378</v>
      </c>
      <c r="L447" s="28">
        <v>29159</v>
      </c>
      <c r="P447" s="27"/>
      <c r="S447" s="32"/>
    </row>
    <row r="448" spans="7:19" x14ac:dyDescent="0.3">
      <c r="G448">
        <v>9</v>
      </c>
      <c r="H448" s="26">
        <v>1979.6666666681199</v>
      </c>
      <c r="I448" s="3">
        <v>28.731574999999999</v>
      </c>
      <c r="L448" s="28">
        <v>29128</v>
      </c>
      <c r="P448" s="27"/>
      <c r="S448" s="32"/>
    </row>
    <row r="449" spans="7:19" x14ac:dyDescent="0.3">
      <c r="G449">
        <v>8</v>
      </c>
      <c r="H449" s="26">
        <v>1979.58333333479</v>
      </c>
      <c r="I449" s="3">
        <v>28.296282000000001</v>
      </c>
      <c r="L449" s="28">
        <v>29098</v>
      </c>
      <c r="P449" s="27"/>
      <c r="S449" s="32"/>
    </row>
    <row r="450" spans="7:19" x14ac:dyDescent="0.3">
      <c r="G450">
        <v>7</v>
      </c>
      <c r="H450" s="26">
        <v>1979.50000000146</v>
      </c>
      <c r="I450" s="3">
        <v>28.579032999999999</v>
      </c>
      <c r="L450" s="28">
        <v>29067</v>
      </c>
      <c r="P450" s="27"/>
      <c r="S450" s="32"/>
    </row>
    <row r="451" spans="7:19" x14ac:dyDescent="0.3">
      <c r="G451">
        <v>6</v>
      </c>
      <c r="H451" s="26">
        <v>1979.4166666681299</v>
      </c>
      <c r="I451" s="3">
        <v>28.622676999999999</v>
      </c>
      <c r="L451" s="28">
        <v>29036</v>
      </c>
      <c r="P451" s="27"/>
      <c r="S451" s="32"/>
    </row>
    <row r="452" spans="7:19" x14ac:dyDescent="0.3">
      <c r="G452">
        <v>5</v>
      </c>
      <c r="H452" s="26">
        <v>1979.3333333348</v>
      </c>
      <c r="I452" s="3">
        <v>28.291654999999999</v>
      </c>
      <c r="L452" s="28">
        <v>29006</v>
      </c>
      <c r="P452" s="27"/>
      <c r="S452" s="32"/>
    </row>
    <row r="453" spans="7:19" x14ac:dyDescent="0.3">
      <c r="G453">
        <v>4</v>
      </c>
      <c r="H453" s="26">
        <v>1979.25000000147</v>
      </c>
      <c r="I453" s="3">
        <v>27.118216</v>
      </c>
      <c r="L453" s="28">
        <v>28975</v>
      </c>
      <c r="P453" s="27"/>
      <c r="S453" s="32"/>
    </row>
    <row r="454" spans="7:19" x14ac:dyDescent="0.3">
      <c r="G454">
        <v>3</v>
      </c>
      <c r="H454" s="26">
        <v>1979.1666666681399</v>
      </c>
      <c r="I454" s="3">
        <v>26.905308000000002</v>
      </c>
      <c r="L454" s="28">
        <v>28945</v>
      </c>
      <c r="P454" s="27"/>
      <c r="S454" s="32"/>
    </row>
    <row r="455" spans="7:19" x14ac:dyDescent="0.3">
      <c r="G455">
        <v>2</v>
      </c>
      <c r="H455" s="26">
        <v>1979.08333333481</v>
      </c>
      <c r="I455" s="3">
        <v>26.909672</v>
      </c>
      <c r="L455" s="28">
        <v>28914</v>
      </c>
      <c r="P455" s="27"/>
      <c r="S455" s="32"/>
    </row>
    <row r="456" spans="7:19" x14ac:dyDescent="0.3">
      <c r="G456">
        <v>1</v>
      </c>
      <c r="H456" s="26">
        <v>1979.00000000148</v>
      </c>
      <c r="I456" s="3">
        <v>26.861004000000001</v>
      </c>
      <c r="L456" s="28">
        <v>28886</v>
      </c>
      <c r="P456" s="27"/>
      <c r="S456" s="32"/>
    </row>
    <row r="457" spans="7:19" x14ac:dyDescent="0.3">
      <c r="G457">
        <v>12</v>
      </c>
      <c r="H457" s="26">
        <v>1978.9166666681499</v>
      </c>
      <c r="I457" s="3">
        <v>27.561254999999999</v>
      </c>
      <c r="L457" s="28">
        <v>28855</v>
      </c>
      <c r="P457" s="27"/>
      <c r="S457" s="32"/>
    </row>
    <row r="458" spans="7:19" x14ac:dyDescent="0.3">
      <c r="G458">
        <v>11</v>
      </c>
      <c r="H458" s="26">
        <v>1978.8333333348201</v>
      </c>
      <c r="I458" s="3">
        <v>28.622420999999999</v>
      </c>
      <c r="L458" s="28">
        <v>28824</v>
      </c>
      <c r="P458" s="27"/>
    </row>
    <row r="459" spans="7:19" x14ac:dyDescent="0.3">
      <c r="G459">
        <v>10</v>
      </c>
      <c r="H459" s="26">
        <v>1978.75000000149</v>
      </c>
      <c r="I459" s="3">
        <v>28.525145999999999</v>
      </c>
      <c r="L459" s="28">
        <v>28794</v>
      </c>
      <c r="P459" s="27"/>
      <c r="S459" s="32"/>
    </row>
    <row r="460" spans="7:19" x14ac:dyDescent="0.3">
      <c r="G460">
        <v>9</v>
      </c>
      <c r="H460" s="26">
        <v>1978.6666666681599</v>
      </c>
      <c r="I460" s="3">
        <v>28.158617</v>
      </c>
      <c r="L460" s="28">
        <v>28763</v>
      </c>
      <c r="P460" s="27"/>
      <c r="S460" s="32"/>
    </row>
    <row r="461" spans="7:19" x14ac:dyDescent="0.3">
      <c r="G461">
        <v>8</v>
      </c>
      <c r="H461" s="26">
        <v>1978.5833333348301</v>
      </c>
      <c r="I461" s="3">
        <v>28.211459999999999</v>
      </c>
      <c r="L461" s="28">
        <v>28733</v>
      </c>
      <c r="P461" s="27"/>
      <c r="S461" s="32"/>
    </row>
    <row r="462" spans="7:19" x14ac:dyDescent="0.3">
      <c r="G462">
        <v>7</v>
      </c>
      <c r="H462" s="26">
        <v>1978.5000000015</v>
      </c>
      <c r="I462" s="3">
        <v>28.089182000000001</v>
      </c>
      <c r="L462" s="28">
        <v>28702</v>
      </c>
      <c r="P462" s="27"/>
      <c r="S462" s="32"/>
    </row>
    <row r="463" spans="7:19" x14ac:dyDescent="0.3">
      <c r="G463">
        <v>6</v>
      </c>
      <c r="H463" s="26">
        <v>1978.4166666681699</v>
      </c>
      <c r="I463" s="3">
        <v>28.353933000000001</v>
      </c>
      <c r="L463" s="28">
        <v>28671</v>
      </c>
      <c r="P463" s="27"/>
      <c r="S463" s="32"/>
    </row>
    <row r="464" spans="7:19" x14ac:dyDescent="0.3">
      <c r="G464">
        <v>5</v>
      </c>
      <c r="H464" s="26">
        <v>1978.3333333348401</v>
      </c>
      <c r="I464" s="3">
        <v>28.672716000000001</v>
      </c>
      <c r="L464" s="28">
        <v>28641</v>
      </c>
      <c r="P464" s="27"/>
      <c r="S464" s="32"/>
    </row>
    <row r="465" spans="7:19" x14ac:dyDescent="0.3">
      <c r="G465">
        <v>4</v>
      </c>
      <c r="H465" s="26">
        <v>1978.25000000151</v>
      </c>
      <c r="I465" s="3">
        <v>27.622406000000002</v>
      </c>
      <c r="L465" s="28">
        <v>28610</v>
      </c>
      <c r="P465" s="27"/>
      <c r="S465" s="32"/>
    </row>
    <row r="466" spans="7:19" x14ac:dyDescent="0.3">
      <c r="G466">
        <v>3</v>
      </c>
      <c r="H466" s="26">
        <v>1978.1666666681799</v>
      </c>
      <c r="I466" s="3">
        <v>27.325665000000001</v>
      </c>
      <c r="L466" s="28">
        <v>28580</v>
      </c>
      <c r="P466" s="27"/>
      <c r="S466" s="32"/>
    </row>
    <row r="467" spans="7:19" x14ac:dyDescent="0.3">
      <c r="G467">
        <v>2</v>
      </c>
      <c r="H467" s="26">
        <v>1978.0833333348501</v>
      </c>
      <c r="I467" s="3">
        <v>27.261524000000001</v>
      </c>
      <c r="L467" s="28">
        <v>28549</v>
      </c>
      <c r="P467" s="27"/>
      <c r="S467" s="32"/>
    </row>
    <row r="468" spans="7:19" x14ac:dyDescent="0.3">
      <c r="G468">
        <v>1</v>
      </c>
      <c r="H468" s="26">
        <v>1978.00000000152</v>
      </c>
      <c r="I468" s="3">
        <v>27.264517000000001</v>
      </c>
      <c r="L468" s="28">
        <v>28521</v>
      </c>
      <c r="P468" s="27"/>
      <c r="S468" s="32"/>
    </row>
    <row r="469" spans="7:19" x14ac:dyDescent="0.3">
      <c r="G469">
        <v>12</v>
      </c>
      <c r="H469" s="26">
        <v>1977.9166666681899</v>
      </c>
      <c r="I469" s="3">
        <v>27.712969999999999</v>
      </c>
      <c r="L469" s="28">
        <v>28490</v>
      </c>
      <c r="P469" s="27"/>
      <c r="S469" s="32"/>
    </row>
    <row r="470" spans="7:19" x14ac:dyDescent="0.3">
      <c r="G470">
        <v>11</v>
      </c>
      <c r="H470" s="26">
        <v>1977.8333333348601</v>
      </c>
      <c r="I470" s="3">
        <v>28.646356999999998</v>
      </c>
      <c r="L470" s="28">
        <v>28459</v>
      </c>
      <c r="P470" s="27"/>
      <c r="S470" s="32"/>
    </row>
    <row r="471" spans="7:19" x14ac:dyDescent="0.3">
      <c r="G471">
        <v>10</v>
      </c>
      <c r="H471" s="26">
        <v>1977.75000000153</v>
      </c>
      <c r="I471" s="3">
        <v>28.592316</v>
      </c>
      <c r="L471" s="28">
        <v>28429</v>
      </c>
      <c r="P471" s="27"/>
      <c r="S471" s="32"/>
    </row>
    <row r="472" spans="7:19" x14ac:dyDescent="0.3">
      <c r="G472">
        <v>9</v>
      </c>
      <c r="H472" s="26">
        <v>1977.6666666681999</v>
      </c>
      <c r="I472" s="3">
        <v>28.333176000000002</v>
      </c>
      <c r="L472" s="28">
        <v>28398</v>
      </c>
      <c r="P472" s="27"/>
      <c r="S472" s="32"/>
    </row>
    <row r="473" spans="7:19" x14ac:dyDescent="0.3">
      <c r="G473">
        <v>8</v>
      </c>
      <c r="H473" s="26">
        <v>1977.5833333348701</v>
      </c>
      <c r="I473" s="3">
        <v>28.015353999999999</v>
      </c>
      <c r="L473" s="28">
        <v>28368</v>
      </c>
      <c r="P473" s="27"/>
      <c r="S473" s="32"/>
    </row>
    <row r="474" spans="7:19" x14ac:dyDescent="0.3">
      <c r="G474">
        <v>7</v>
      </c>
      <c r="H474" s="26">
        <v>1977.50000000153</v>
      </c>
      <c r="I474" s="3">
        <v>27.756536000000001</v>
      </c>
      <c r="L474" s="28">
        <v>28337</v>
      </c>
      <c r="P474" s="27"/>
      <c r="S474" s="32"/>
    </row>
    <row r="475" spans="7:19" x14ac:dyDescent="0.3">
      <c r="G475">
        <v>6</v>
      </c>
      <c r="H475" s="26">
        <v>1977.4166666681999</v>
      </c>
      <c r="I475" s="3">
        <v>28.432835000000001</v>
      </c>
      <c r="L475" s="28">
        <v>28306</v>
      </c>
      <c r="P475" s="27"/>
      <c r="S475" s="32"/>
    </row>
    <row r="476" spans="7:19" x14ac:dyDescent="0.3">
      <c r="G476">
        <v>5</v>
      </c>
      <c r="H476" s="26">
        <v>1977.3333333348701</v>
      </c>
      <c r="I476" s="3">
        <v>28.009426000000001</v>
      </c>
      <c r="L476" s="28">
        <v>28276</v>
      </c>
      <c r="P476" s="27"/>
      <c r="S476" s="32"/>
    </row>
    <row r="477" spans="7:19" x14ac:dyDescent="0.3">
      <c r="G477">
        <v>4</v>
      </c>
      <c r="H477" s="26">
        <v>1977.25000000154</v>
      </c>
      <c r="I477" s="3">
        <v>27.167826000000002</v>
      </c>
      <c r="L477" s="28">
        <v>28245</v>
      </c>
      <c r="P477" s="27"/>
      <c r="S477" s="32"/>
    </row>
    <row r="478" spans="7:19" x14ac:dyDescent="0.3">
      <c r="G478">
        <v>3</v>
      </c>
      <c r="H478" s="26">
        <v>1977.1666666682099</v>
      </c>
      <c r="I478" s="3">
        <v>26.811250000000001</v>
      </c>
      <c r="L478" s="28">
        <v>28215</v>
      </c>
      <c r="P478" s="27"/>
      <c r="S478" s="32"/>
    </row>
    <row r="479" spans="7:19" x14ac:dyDescent="0.3">
      <c r="G479">
        <v>2</v>
      </c>
      <c r="H479" s="26">
        <v>1977.0833333348801</v>
      </c>
      <c r="I479" s="3">
        <v>26.911798000000001</v>
      </c>
      <c r="L479" s="28">
        <v>28184</v>
      </c>
      <c r="P479" s="27"/>
      <c r="S479" s="32"/>
    </row>
    <row r="480" spans="7:19" x14ac:dyDescent="0.3">
      <c r="G480">
        <v>1</v>
      </c>
      <c r="H480" s="26">
        <v>1977.00000000155</v>
      </c>
      <c r="I480" s="3">
        <v>26.898754</v>
      </c>
      <c r="L480" s="28">
        <v>28156</v>
      </c>
      <c r="P480" s="27"/>
      <c r="S480" s="32"/>
    </row>
    <row r="481" spans="7:19" x14ac:dyDescent="0.3">
      <c r="G481">
        <v>12</v>
      </c>
      <c r="H481" s="26">
        <v>1976.9166666682199</v>
      </c>
      <c r="I481" s="3">
        <v>27.608066999999998</v>
      </c>
      <c r="L481" s="28">
        <v>28125</v>
      </c>
      <c r="P481" s="27"/>
      <c r="S481" s="32"/>
    </row>
    <row r="482" spans="7:19" x14ac:dyDescent="0.3">
      <c r="G482">
        <v>11</v>
      </c>
      <c r="H482" s="26">
        <v>1976.8333333348901</v>
      </c>
      <c r="I482" s="3">
        <v>28.710121000000001</v>
      </c>
      <c r="L482" s="28">
        <v>28094</v>
      </c>
      <c r="P482" s="27"/>
      <c r="S482" s="32"/>
    </row>
    <row r="483" spans="7:19" x14ac:dyDescent="0.3">
      <c r="G483">
        <v>10</v>
      </c>
      <c r="H483" s="26">
        <v>1976.75000000156</v>
      </c>
      <c r="I483" s="3">
        <v>28.782544999999999</v>
      </c>
      <c r="L483" s="28">
        <v>28064</v>
      </c>
      <c r="P483" s="27"/>
      <c r="S483" s="32"/>
    </row>
    <row r="484" spans="7:19" x14ac:dyDescent="0.3">
      <c r="G484">
        <v>9</v>
      </c>
      <c r="H484" s="26">
        <v>1976.6666666682299</v>
      </c>
      <c r="I484" s="3">
        <v>28.188393000000001</v>
      </c>
      <c r="L484" s="28">
        <v>28033</v>
      </c>
      <c r="P484" s="27"/>
      <c r="S484" s="32"/>
    </row>
    <row r="485" spans="7:19" x14ac:dyDescent="0.3">
      <c r="G485">
        <v>8</v>
      </c>
      <c r="H485" s="26">
        <v>1976.5833333349001</v>
      </c>
      <c r="I485" s="3">
        <v>27.991972000000001</v>
      </c>
      <c r="L485" s="28">
        <v>28003</v>
      </c>
      <c r="P485" s="27"/>
      <c r="S485" s="32"/>
    </row>
    <row r="486" spans="7:19" x14ac:dyDescent="0.3">
      <c r="G486">
        <v>7</v>
      </c>
      <c r="H486" s="26">
        <v>1976.50000000157</v>
      </c>
      <c r="I486" s="3">
        <v>27.422272</v>
      </c>
      <c r="L486" s="28">
        <v>27972</v>
      </c>
      <c r="P486" s="27"/>
      <c r="S486" s="32"/>
    </row>
    <row r="487" spans="7:19" x14ac:dyDescent="0.3">
      <c r="G487">
        <v>6</v>
      </c>
      <c r="H487" s="26">
        <v>1976.4166666682399</v>
      </c>
      <c r="I487" s="3">
        <v>27.915295</v>
      </c>
      <c r="L487" s="28">
        <v>27941</v>
      </c>
      <c r="P487" s="27"/>
      <c r="S487" s="32"/>
    </row>
    <row r="488" spans="7:19" x14ac:dyDescent="0.3">
      <c r="G488">
        <v>5</v>
      </c>
      <c r="H488" s="26">
        <v>1976.3333333349101</v>
      </c>
      <c r="I488" s="3">
        <v>27.661669</v>
      </c>
      <c r="L488" s="28">
        <v>27911</v>
      </c>
      <c r="P488" s="27"/>
      <c r="S488" s="32"/>
    </row>
    <row r="489" spans="7:19" x14ac:dyDescent="0.3">
      <c r="G489">
        <v>4</v>
      </c>
      <c r="H489" s="26">
        <v>1976.25000000158</v>
      </c>
      <c r="I489" s="3">
        <v>26.772110000000001</v>
      </c>
      <c r="L489" s="28">
        <v>27880</v>
      </c>
      <c r="P489" s="27"/>
      <c r="S489" s="32"/>
    </row>
    <row r="490" spans="7:19" x14ac:dyDescent="0.3">
      <c r="G490">
        <v>3</v>
      </c>
      <c r="H490" s="26">
        <v>1976.1666666682499</v>
      </c>
      <c r="I490" s="3">
        <v>26.217545000000001</v>
      </c>
      <c r="L490" s="28">
        <v>27850</v>
      </c>
      <c r="P490" s="27"/>
      <c r="S490" s="32"/>
    </row>
    <row r="491" spans="7:19" x14ac:dyDescent="0.3">
      <c r="G491">
        <v>2</v>
      </c>
      <c r="H491" s="26">
        <v>1976.0833333349201</v>
      </c>
      <c r="I491" s="3">
        <v>26.242004000000001</v>
      </c>
      <c r="L491" s="28">
        <v>27819</v>
      </c>
      <c r="P491" s="27"/>
      <c r="S491" s="32"/>
    </row>
    <row r="492" spans="7:19" x14ac:dyDescent="0.3">
      <c r="G492">
        <v>1</v>
      </c>
      <c r="H492" s="26">
        <v>1976.00000000159</v>
      </c>
      <c r="I492" s="3">
        <v>26.661617</v>
      </c>
      <c r="L492" s="28">
        <v>27790</v>
      </c>
      <c r="P492" s="27"/>
      <c r="S492" s="32"/>
    </row>
    <row r="493" spans="7:19" x14ac:dyDescent="0.3">
      <c r="G493">
        <v>12</v>
      </c>
      <c r="H493" s="26">
        <v>1975.9166666682599</v>
      </c>
      <c r="I493" s="3">
        <v>27.156631000000001</v>
      </c>
      <c r="L493" s="28">
        <v>27759</v>
      </c>
      <c r="P493" s="27"/>
      <c r="S493" s="32"/>
    </row>
    <row r="494" spans="7:19" x14ac:dyDescent="0.3">
      <c r="G494">
        <v>11</v>
      </c>
      <c r="H494" s="26">
        <v>1975.8333333349301</v>
      </c>
      <c r="I494" s="3">
        <v>28.09085</v>
      </c>
      <c r="L494" s="28">
        <v>27728</v>
      </c>
      <c r="P494" s="27"/>
      <c r="S494" s="32"/>
    </row>
    <row r="495" spans="7:19" x14ac:dyDescent="0.3">
      <c r="G495">
        <v>10</v>
      </c>
      <c r="H495" s="26">
        <v>1975.7500000016</v>
      </c>
      <c r="I495" s="3">
        <v>28.397797000000001</v>
      </c>
      <c r="L495" s="28">
        <v>27698</v>
      </c>
      <c r="P495" s="27"/>
      <c r="S495" s="32"/>
    </row>
    <row r="496" spans="7:19" x14ac:dyDescent="0.3">
      <c r="G496">
        <v>9</v>
      </c>
      <c r="H496" s="26">
        <v>1975.66666666827</v>
      </c>
      <c r="I496" s="3">
        <v>28.43291</v>
      </c>
      <c r="L496" s="28">
        <v>27667</v>
      </c>
      <c r="P496" s="27"/>
      <c r="S496" s="32"/>
    </row>
    <row r="497" spans="7:19" x14ac:dyDescent="0.3">
      <c r="G497">
        <v>8</v>
      </c>
      <c r="H497" s="26">
        <v>1975.5833333349401</v>
      </c>
      <c r="I497" s="3">
        <v>28.081810000000001</v>
      </c>
      <c r="L497" s="28">
        <v>27637</v>
      </c>
      <c r="P497" s="27"/>
      <c r="S497" s="32"/>
    </row>
    <row r="498" spans="7:19" x14ac:dyDescent="0.3">
      <c r="G498">
        <v>7</v>
      </c>
      <c r="H498" s="26">
        <v>1975.50000000161</v>
      </c>
      <c r="I498" s="3">
        <v>27.851398</v>
      </c>
      <c r="L498" s="28">
        <v>27606</v>
      </c>
      <c r="P498" s="27"/>
      <c r="S498" s="32"/>
    </row>
    <row r="499" spans="7:19" x14ac:dyDescent="0.3">
      <c r="G499">
        <v>6</v>
      </c>
      <c r="H499" s="26">
        <v>1975.41666666828</v>
      </c>
      <c r="I499" s="3">
        <v>28.298615999999999</v>
      </c>
      <c r="L499" s="28">
        <v>27575</v>
      </c>
      <c r="P499" s="27"/>
      <c r="S499" s="32"/>
    </row>
    <row r="500" spans="7:19" x14ac:dyDescent="0.3">
      <c r="G500">
        <v>5</v>
      </c>
      <c r="H500" s="26">
        <v>1975.3333333349501</v>
      </c>
      <c r="I500" s="3">
        <v>27.607254000000001</v>
      </c>
      <c r="L500" s="28">
        <v>27545</v>
      </c>
      <c r="P500" s="27"/>
      <c r="S500" s="32"/>
    </row>
    <row r="501" spans="7:19" x14ac:dyDescent="0.3">
      <c r="G501">
        <v>4</v>
      </c>
      <c r="H501" s="26">
        <v>1975.25000000162</v>
      </c>
      <c r="I501" s="3">
        <v>26.936104</v>
      </c>
      <c r="L501" s="28">
        <v>27514</v>
      </c>
      <c r="P501" s="27"/>
      <c r="S501" s="32"/>
    </row>
    <row r="502" spans="7:19" x14ac:dyDescent="0.3">
      <c r="G502">
        <v>3</v>
      </c>
      <c r="H502" s="26">
        <v>1975.16666666829</v>
      </c>
      <c r="I502" s="3">
        <v>26.691276999999999</v>
      </c>
      <c r="L502" s="28">
        <v>27484</v>
      </c>
      <c r="P502" s="27"/>
      <c r="S502" s="32"/>
    </row>
    <row r="503" spans="7:19" x14ac:dyDescent="0.3">
      <c r="G503">
        <v>2</v>
      </c>
      <c r="H503" s="26">
        <v>1975.0833333349599</v>
      </c>
      <c r="I503" s="3">
        <v>26.369834999999998</v>
      </c>
      <c r="L503" s="28">
        <v>27453</v>
      </c>
      <c r="P503" s="27"/>
      <c r="S503" s="32"/>
    </row>
    <row r="504" spans="7:19" x14ac:dyDescent="0.3">
      <c r="G504">
        <v>1</v>
      </c>
      <c r="H504" s="26">
        <v>1975.00000000163</v>
      </c>
      <c r="I504" s="3">
        <v>26.792973</v>
      </c>
      <c r="L504" s="28">
        <v>27425</v>
      </c>
      <c r="P504" s="27"/>
      <c r="S504" s="32"/>
    </row>
    <row r="505" spans="7:19" x14ac:dyDescent="0.3">
      <c r="G505">
        <v>12</v>
      </c>
      <c r="H505" s="26">
        <v>1974.9166666683</v>
      </c>
      <c r="I505" s="3">
        <v>27.50441</v>
      </c>
      <c r="L505" s="28">
        <v>27394</v>
      </c>
      <c r="P505" s="27"/>
      <c r="S505" s="32"/>
    </row>
    <row r="506" spans="7:19" x14ac:dyDescent="0.3">
      <c r="G506">
        <v>11</v>
      </c>
      <c r="H506" s="26">
        <v>1974.8333333349699</v>
      </c>
      <c r="I506" s="3">
        <v>28.037071000000001</v>
      </c>
      <c r="L506" s="28">
        <v>27363</v>
      </c>
      <c r="P506" s="27"/>
      <c r="S506" s="32"/>
    </row>
    <row r="507" spans="7:19" x14ac:dyDescent="0.3">
      <c r="G507">
        <v>10</v>
      </c>
      <c r="H507" s="26">
        <v>1974.75000000164</v>
      </c>
      <c r="I507" s="3">
        <v>28.439436000000001</v>
      </c>
      <c r="L507" s="28">
        <v>27333</v>
      </c>
      <c r="P507" s="27"/>
      <c r="S507" s="32"/>
    </row>
    <row r="508" spans="7:19" x14ac:dyDescent="0.3">
      <c r="G508">
        <v>9</v>
      </c>
      <c r="H508" s="26">
        <v>1974.66666666831</v>
      </c>
      <c r="I508" s="3">
        <v>28.6206</v>
      </c>
      <c r="L508" s="28">
        <v>27302</v>
      </c>
      <c r="P508" s="27"/>
      <c r="S508" s="32"/>
    </row>
    <row r="509" spans="7:19" x14ac:dyDescent="0.3">
      <c r="G509">
        <v>8</v>
      </c>
      <c r="H509" s="26">
        <v>1974.5833333349799</v>
      </c>
      <c r="I509" s="3">
        <v>27.987347</v>
      </c>
      <c r="L509" s="28">
        <v>27272</v>
      </c>
      <c r="P509" s="27"/>
      <c r="S509" s="32"/>
    </row>
    <row r="510" spans="7:19" x14ac:dyDescent="0.3">
      <c r="G510">
        <v>7</v>
      </c>
      <c r="H510" s="26">
        <v>1974.5000000016501</v>
      </c>
      <c r="I510" s="3">
        <v>27.660734000000001</v>
      </c>
      <c r="L510" s="28">
        <v>27241</v>
      </c>
      <c r="P510" s="27"/>
      <c r="S510" s="32"/>
    </row>
    <row r="511" spans="7:19" x14ac:dyDescent="0.3">
      <c r="G511">
        <v>6</v>
      </c>
      <c r="H511" s="26">
        <v>1974.41666666832</v>
      </c>
      <c r="I511" s="3">
        <v>28.115410000000001</v>
      </c>
      <c r="L511" s="28">
        <v>27210</v>
      </c>
      <c r="P511" s="27"/>
      <c r="S511" s="32"/>
    </row>
    <row r="512" spans="7:19" x14ac:dyDescent="0.3">
      <c r="G512">
        <v>5</v>
      </c>
      <c r="H512" s="26">
        <v>1974.3333333349899</v>
      </c>
      <c r="I512" s="3">
        <v>27.794540000000001</v>
      </c>
      <c r="L512" s="28">
        <v>27180</v>
      </c>
      <c r="P512" s="27"/>
      <c r="S512" s="32"/>
    </row>
    <row r="513" spans="7:19" x14ac:dyDescent="0.3">
      <c r="G513">
        <v>4</v>
      </c>
      <c r="H513" s="26">
        <v>1974.2500000016601</v>
      </c>
      <c r="I513" s="3">
        <v>26.859853999999999</v>
      </c>
      <c r="L513" s="28">
        <v>27149</v>
      </c>
      <c r="P513" s="27"/>
      <c r="S513" s="32"/>
    </row>
    <row r="514" spans="7:19" x14ac:dyDescent="0.3">
      <c r="G514">
        <v>3</v>
      </c>
      <c r="H514" s="26">
        <v>1974.16666666833</v>
      </c>
      <c r="I514" s="3">
        <v>26.782803000000001</v>
      </c>
      <c r="L514" s="28">
        <v>27119</v>
      </c>
      <c r="P514" s="27"/>
      <c r="S514" s="32"/>
    </row>
    <row r="515" spans="7:19" x14ac:dyDescent="0.3">
      <c r="G515">
        <v>2</v>
      </c>
      <c r="H515" s="26">
        <v>1974.0833333349999</v>
      </c>
      <c r="I515" s="3">
        <v>26.545544</v>
      </c>
      <c r="L515" s="28">
        <v>27088</v>
      </c>
      <c r="P515" s="27"/>
    </row>
    <row r="516" spans="7:19" x14ac:dyDescent="0.3">
      <c r="G516">
        <v>1</v>
      </c>
      <c r="H516" s="26">
        <v>1974.0000000016701</v>
      </c>
      <c r="I516" s="3">
        <v>26.765740000000001</v>
      </c>
      <c r="L516" s="28">
        <v>27060</v>
      </c>
      <c r="P516" s="27"/>
      <c r="S516" s="32"/>
    </row>
    <row r="517" spans="7:19" x14ac:dyDescent="0.3">
      <c r="G517">
        <v>12</v>
      </c>
      <c r="H517" s="26">
        <v>1973.91666666834</v>
      </c>
      <c r="I517" s="3">
        <v>27.546516</v>
      </c>
      <c r="L517" s="28">
        <v>27029</v>
      </c>
      <c r="P517" s="27"/>
      <c r="S517" s="32"/>
    </row>
    <row r="518" spans="7:19" x14ac:dyDescent="0.3">
      <c r="G518">
        <v>11</v>
      </c>
      <c r="H518" s="26">
        <v>1973.8333333350099</v>
      </c>
      <c r="I518" s="3">
        <v>28.506117</v>
      </c>
      <c r="L518" s="28">
        <v>26998</v>
      </c>
      <c r="P518" s="27"/>
      <c r="S518" s="32"/>
    </row>
    <row r="519" spans="7:19" x14ac:dyDescent="0.3">
      <c r="G519">
        <v>10</v>
      </c>
      <c r="H519" s="26">
        <v>1973.7500000016801</v>
      </c>
      <c r="I519" s="3">
        <v>28.846651000000001</v>
      </c>
      <c r="L519" s="28">
        <v>26968</v>
      </c>
      <c r="P519" s="27"/>
      <c r="S519" s="32"/>
    </row>
    <row r="520" spans="7:19" x14ac:dyDescent="0.3">
      <c r="G520">
        <v>9</v>
      </c>
      <c r="H520" s="26">
        <v>1973.66666666835</v>
      </c>
      <c r="I520" s="3">
        <v>28.641044999999998</v>
      </c>
      <c r="L520" s="28">
        <v>26937</v>
      </c>
      <c r="P520" s="27"/>
      <c r="S520" s="32"/>
    </row>
    <row r="521" spans="7:19" x14ac:dyDescent="0.3">
      <c r="G521">
        <v>8</v>
      </c>
      <c r="H521" s="26">
        <v>1973.5833333350199</v>
      </c>
      <c r="I521" s="3">
        <v>28.635414000000001</v>
      </c>
      <c r="L521" s="28">
        <v>26907</v>
      </c>
      <c r="P521" s="27"/>
      <c r="S521" s="32"/>
    </row>
    <row r="522" spans="7:19" x14ac:dyDescent="0.3">
      <c r="G522">
        <v>7</v>
      </c>
      <c r="H522" s="26">
        <v>1973.5000000016901</v>
      </c>
      <c r="I522" s="3">
        <v>28.377106000000001</v>
      </c>
      <c r="L522" s="28">
        <v>26876</v>
      </c>
      <c r="P522" s="27"/>
    </row>
    <row r="523" spans="7:19" x14ac:dyDescent="0.3">
      <c r="G523">
        <v>6</v>
      </c>
      <c r="H523" s="26">
        <v>1973.41666666836</v>
      </c>
      <c r="I523" s="3">
        <v>28.478480000000001</v>
      </c>
      <c r="L523" s="28">
        <v>26845</v>
      </c>
      <c r="P523" s="27"/>
      <c r="S523" s="32"/>
    </row>
    <row r="524" spans="7:19" x14ac:dyDescent="0.3">
      <c r="G524">
        <v>5</v>
      </c>
      <c r="H524" s="26">
        <v>1973.3333333350299</v>
      </c>
      <c r="I524" s="3">
        <v>28.593658000000001</v>
      </c>
      <c r="L524" s="28">
        <v>26815</v>
      </c>
      <c r="P524" s="27"/>
      <c r="S524" s="32"/>
    </row>
    <row r="525" spans="7:19" x14ac:dyDescent="0.3">
      <c r="G525">
        <v>4</v>
      </c>
      <c r="H525" s="26">
        <v>1973.2500000017001</v>
      </c>
      <c r="I525" s="3">
        <v>27.473057000000001</v>
      </c>
      <c r="L525" s="28">
        <v>26784</v>
      </c>
      <c r="P525" s="27"/>
      <c r="S525" s="32"/>
    </row>
    <row r="526" spans="7:19" x14ac:dyDescent="0.3">
      <c r="G526">
        <v>3</v>
      </c>
      <c r="H526" s="26">
        <v>1973.16666666837</v>
      </c>
      <c r="I526" s="3">
        <v>27.305336</v>
      </c>
      <c r="L526" s="28">
        <v>26754</v>
      </c>
      <c r="P526" s="27"/>
      <c r="S526" s="32"/>
    </row>
    <row r="527" spans="7:19" x14ac:dyDescent="0.3">
      <c r="G527">
        <v>2</v>
      </c>
      <c r="H527" s="26">
        <v>1973.0833333350399</v>
      </c>
      <c r="I527" s="3">
        <v>27.183261999999999</v>
      </c>
      <c r="L527" s="28">
        <v>26723</v>
      </c>
      <c r="P527" s="27"/>
      <c r="S527" s="32"/>
    </row>
    <row r="528" spans="7:19" x14ac:dyDescent="0.3">
      <c r="G528">
        <v>1</v>
      </c>
      <c r="H528" s="26">
        <v>1973.0000000017101</v>
      </c>
      <c r="I528" s="3">
        <v>27.333057</v>
      </c>
      <c r="L528" s="28">
        <v>26695</v>
      </c>
      <c r="P528" s="27"/>
      <c r="S528" s="32"/>
    </row>
    <row r="529" spans="7:19" x14ac:dyDescent="0.3">
      <c r="G529">
        <v>12</v>
      </c>
      <c r="H529" s="26">
        <v>1972.91666666838</v>
      </c>
      <c r="I529" s="3">
        <v>27.867424</v>
      </c>
      <c r="L529" s="28">
        <v>26664</v>
      </c>
      <c r="P529" s="27"/>
    </row>
    <row r="530" spans="7:19" x14ac:dyDescent="0.3">
      <c r="G530">
        <v>11</v>
      </c>
      <c r="H530" s="26">
        <v>1972.8333333350499</v>
      </c>
      <c r="I530" s="3">
        <v>28.886209999999998</v>
      </c>
      <c r="L530" s="28">
        <v>26633</v>
      </c>
      <c r="P530" s="27"/>
      <c r="S530" s="32"/>
    </row>
    <row r="531" spans="7:19" x14ac:dyDescent="0.3">
      <c r="G531">
        <v>10</v>
      </c>
      <c r="H531" s="26">
        <v>1972.7500000017201</v>
      </c>
      <c r="I531" s="3">
        <v>28.893898</v>
      </c>
      <c r="L531" s="28">
        <v>26603</v>
      </c>
      <c r="P531" s="27"/>
      <c r="S531" s="32"/>
    </row>
    <row r="532" spans="7:19" x14ac:dyDescent="0.3">
      <c r="G532">
        <v>9</v>
      </c>
      <c r="H532" s="26">
        <v>1972.66666666839</v>
      </c>
      <c r="I532" s="3">
        <v>27.955736000000002</v>
      </c>
      <c r="L532" s="28">
        <v>26572</v>
      </c>
      <c r="P532" s="27"/>
      <c r="S532" s="32"/>
    </row>
    <row r="533" spans="7:19" x14ac:dyDescent="0.3">
      <c r="G533">
        <v>8</v>
      </c>
      <c r="H533" s="26">
        <v>1972.5833333350599</v>
      </c>
      <c r="I533" s="3">
        <v>28.078385999999998</v>
      </c>
      <c r="L533" s="28">
        <v>26542</v>
      </c>
      <c r="P533" s="27"/>
      <c r="S533" s="32"/>
    </row>
    <row r="534" spans="7:19" x14ac:dyDescent="0.3">
      <c r="G534">
        <v>7</v>
      </c>
      <c r="H534" s="26">
        <v>1972.5000000017301</v>
      </c>
      <c r="I534" s="3">
        <v>28.057511999999999</v>
      </c>
      <c r="L534" s="28">
        <v>26511</v>
      </c>
      <c r="P534" s="27"/>
      <c r="S534" s="32"/>
    </row>
    <row r="535" spans="7:19" x14ac:dyDescent="0.3">
      <c r="G535">
        <v>6</v>
      </c>
      <c r="H535" s="26">
        <v>1972.4166666684</v>
      </c>
      <c r="I535" s="3">
        <v>28.570872999999999</v>
      </c>
      <c r="L535" s="28">
        <v>26480</v>
      </c>
      <c r="P535" s="27"/>
      <c r="S535" s="32"/>
    </row>
    <row r="536" spans="7:19" x14ac:dyDescent="0.3">
      <c r="G536">
        <v>5</v>
      </c>
      <c r="H536" s="26">
        <v>1972.3333333350699</v>
      </c>
      <c r="I536" s="3">
        <v>28.175564000000001</v>
      </c>
      <c r="L536" s="28">
        <v>26450</v>
      </c>
      <c r="P536" s="27"/>
    </row>
    <row r="537" spans="7:19" x14ac:dyDescent="0.3">
      <c r="G537">
        <v>4</v>
      </c>
      <c r="H537" s="26">
        <v>1972.2500000017401</v>
      </c>
      <c r="I537" s="3">
        <v>27.422367000000001</v>
      </c>
      <c r="L537" s="28">
        <v>26419</v>
      </c>
      <c r="P537" s="27"/>
      <c r="S537" s="32"/>
    </row>
    <row r="538" spans="7:19" x14ac:dyDescent="0.3">
      <c r="G538">
        <v>3</v>
      </c>
      <c r="H538" s="26">
        <v>1972.16666666841</v>
      </c>
      <c r="I538" s="3">
        <v>27.04945</v>
      </c>
      <c r="L538" s="28">
        <v>26389</v>
      </c>
      <c r="P538" s="27"/>
      <c r="S538" s="32"/>
    </row>
    <row r="539" spans="7:19" x14ac:dyDescent="0.3">
      <c r="G539">
        <v>2</v>
      </c>
      <c r="H539" s="26">
        <v>1972.0833333350799</v>
      </c>
      <c r="I539" s="3">
        <v>26.78661</v>
      </c>
      <c r="L539" s="28">
        <v>26358</v>
      </c>
      <c r="P539" s="27"/>
      <c r="S539" s="32"/>
    </row>
    <row r="540" spans="7:19" x14ac:dyDescent="0.3">
      <c r="G540">
        <v>1</v>
      </c>
      <c r="H540" s="26">
        <v>1972.0000000017501</v>
      </c>
      <c r="I540" s="3">
        <v>26.688637</v>
      </c>
      <c r="L540" s="28">
        <v>26329</v>
      </c>
      <c r="P540" s="27"/>
      <c r="S540" s="32"/>
    </row>
    <row r="541" spans="7:19" x14ac:dyDescent="0.3">
      <c r="G541">
        <v>12</v>
      </c>
      <c r="H541" s="26">
        <v>1971.91666666842</v>
      </c>
      <c r="I541" s="3">
        <v>27.388817</v>
      </c>
      <c r="L541" s="28">
        <v>26298</v>
      </c>
      <c r="P541" s="27"/>
      <c r="S541" s="32"/>
    </row>
    <row r="542" spans="7:19" x14ac:dyDescent="0.3">
      <c r="G542">
        <v>11</v>
      </c>
      <c r="H542" s="26">
        <v>1971.8333333350899</v>
      </c>
      <c r="I542" s="3">
        <v>28.486238</v>
      </c>
      <c r="L542" s="28">
        <v>26267</v>
      </c>
      <c r="P542" s="27"/>
      <c r="S542" s="32"/>
    </row>
    <row r="543" spans="7:19" x14ac:dyDescent="0.3">
      <c r="G543">
        <v>10</v>
      </c>
      <c r="H543" s="26">
        <v>1971.7500000017601</v>
      </c>
      <c r="I543" s="3">
        <v>28.564919</v>
      </c>
      <c r="L543" s="28">
        <v>26237</v>
      </c>
      <c r="P543" s="27"/>
    </row>
    <row r="544" spans="7:19" x14ac:dyDescent="0.3">
      <c r="G544">
        <v>9</v>
      </c>
      <c r="H544" s="26">
        <v>1971.66666666843</v>
      </c>
      <c r="I544" s="3">
        <v>28.280259999999998</v>
      </c>
      <c r="L544" s="28">
        <v>26206</v>
      </c>
      <c r="P544" s="27"/>
      <c r="S544" s="32"/>
    </row>
    <row r="545" spans="7:19" x14ac:dyDescent="0.3">
      <c r="G545">
        <v>8</v>
      </c>
      <c r="H545" s="26">
        <v>1971.5833333351</v>
      </c>
      <c r="I545" s="3">
        <v>27.995933999999998</v>
      </c>
      <c r="L545" s="28">
        <v>26176</v>
      </c>
      <c r="P545" s="27"/>
      <c r="S545" s="32"/>
    </row>
    <row r="546" spans="7:19" x14ac:dyDescent="0.3">
      <c r="G546">
        <v>7</v>
      </c>
      <c r="H546" s="26">
        <v>1971.5000000017701</v>
      </c>
      <c r="I546" s="3">
        <v>27.815002</v>
      </c>
      <c r="L546" s="28">
        <v>26145</v>
      </c>
      <c r="P546" s="27"/>
      <c r="S546" s="32"/>
    </row>
    <row r="547" spans="7:19" x14ac:dyDescent="0.3">
      <c r="G547">
        <v>6</v>
      </c>
      <c r="H547" s="26">
        <v>1971.41666666844</v>
      </c>
      <c r="I547" s="3">
        <v>28.179216</v>
      </c>
      <c r="L547" s="28">
        <v>26114</v>
      </c>
      <c r="P547" s="27"/>
      <c r="S547" s="32"/>
    </row>
    <row r="548" spans="7:19" x14ac:dyDescent="0.3">
      <c r="G548">
        <v>5</v>
      </c>
      <c r="H548" s="26">
        <v>1971.33333333511</v>
      </c>
      <c r="I548" s="3">
        <v>28.035247999999999</v>
      </c>
      <c r="L548" s="28">
        <v>26084</v>
      </c>
      <c r="P548" s="27"/>
      <c r="S548" s="32"/>
    </row>
    <row r="549" spans="7:19" x14ac:dyDescent="0.3">
      <c r="G549">
        <v>4</v>
      </c>
      <c r="H549" s="26">
        <v>1971.2500000017801</v>
      </c>
      <c r="I549" s="3">
        <v>27.209002999999999</v>
      </c>
      <c r="L549" s="28">
        <v>26053</v>
      </c>
      <c r="P549" s="27"/>
      <c r="S549" s="32"/>
    </row>
    <row r="550" spans="7:19" x14ac:dyDescent="0.3">
      <c r="G550">
        <v>3</v>
      </c>
      <c r="H550" s="26">
        <v>1971.16666666845</v>
      </c>
      <c r="I550" s="3">
        <v>26.792303</v>
      </c>
      <c r="L550" s="28">
        <v>26023</v>
      </c>
      <c r="P550" s="27"/>
    </row>
    <row r="551" spans="7:19" x14ac:dyDescent="0.3">
      <c r="G551">
        <v>2</v>
      </c>
      <c r="H551" s="26">
        <v>1971.08333333512</v>
      </c>
      <c r="I551" s="3">
        <v>26.599415</v>
      </c>
      <c r="L551" s="28">
        <v>25992</v>
      </c>
      <c r="P551" s="27"/>
      <c r="S551" s="32"/>
    </row>
    <row r="552" spans="7:19" x14ac:dyDescent="0.3">
      <c r="G552">
        <v>1</v>
      </c>
      <c r="H552" s="26">
        <v>1971.0000000017901</v>
      </c>
      <c r="I552" s="3">
        <v>26.851825999999999</v>
      </c>
      <c r="L552" s="28">
        <v>25964</v>
      </c>
      <c r="P552" s="27"/>
      <c r="S552" s="32"/>
    </row>
    <row r="553" spans="7:19" x14ac:dyDescent="0.3">
      <c r="G553">
        <v>12</v>
      </c>
      <c r="H553" s="26">
        <v>1970.91666666846</v>
      </c>
      <c r="I553" s="3">
        <v>27.653873000000001</v>
      </c>
      <c r="L553" s="28">
        <v>25933</v>
      </c>
      <c r="P553" s="27"/>
      <c r="S553" s="32"/>
    </row>
    <row r="554" spans="7:19" x14ac:dyDescent="0.3">
      <c r="G554">
        <v>11</v>
      </c>
      <c r="H554" s="26">
        <v>1970.83333333513</v>
      </c>
      <c r="I554" s="3">
        <v>28.610082999999999</v>
      </c>
      <c r="L554" s="28">
        <v>25902</v>
      </c>
      <c r="P554" s="27"/>
      <c r="S554" s="32"/>
    </row>
    <row r="555" spans="7:19" x14ac:dyDescent="0.3">
      <c r="G555">
        <v>10</v>
      </c>
      <c r="H555" s="26">
        <v>1970.7500000017999</v>
      </c>
      <c r="I555" s="3">
        <v>28.728401000000002</v>
      </c>
      <c r="L555" s="28">
        <v>25872</v>
      </c>
      <c r="P555" s="27"/>
      <c r="S555" s="32"/>
    </row>
    <row r="556" spans="7:19" x14ac:dyDescent="0.3">
      <c r="G556">
        <v>9</v>
      </c>
      <c r="H556" s="26">
        <v>1970.66666666847</v>
      </c>
      <c r="I556" s="3">
        <v>28.482664</v>
      </c>
      <c r="L556" s="28">
        <v>25841</v>
      </c>
      <c r="P556" s="27"/>
      <c r="S556" s="32"/>
    </row>
    <row r="557" spans="7:19" x14ac:dyDescent="0.3">
      <c r="G557">
        <v>8</v>
      </c>
      <c r="H557" s="26">
        <v>1970.58333333514</v>
      </c>
      <c r="I557" s="3">
        <v>28.439274000000001</v>
      </c>
      <c r="L557" s="28">
        <v>25811</v>
      </c>
      <c r="P557" s="27"/>
    </row>
    <row r="558" spans="7:19" x14ac:dyDescent="0.3">
      <c r="G558">
        <v>7</v>
      </c>
      <c r="H558" s="26">
        <v>1970.5000000018099</v>
      </c>
      <c r="I558" s="3">
        <v>28.321027999999998</v>
      </c>
      <c r="L558" s="28">
        <v>25780</v>
      </c>
      <c r="P558" s="27"/>
      <c r="S558" s="32"/>
    </row>
    <row r="559" spans="7:19" x14ac:dyDescent="0.3">
      <c r="G559">
        <v>6</v>
      </c>
      <c r="H559" s="26">
        <v>1970.41666666848</v>
      </c>
      <c r="I559" s="3">
        <v>28.517997999999999</v>
      </c>
      <c r="L559" s="28">
        <v>25749</v>
      </c>
      <c r="P559" s="27"/>
      <c r="S559" s="32"/>
    </row>
    <row r="560" spans="7:19" x14ac:dyDescent="0.3">
      <c r="G560">
        <v>5</v>
      </c>
      <c r="H560" s="26">
        <v>1970.33333333515</v>
      </c>
      <c r="I560" s="3">
        <v>28.204163000000001</v>
      </c>
      <c r="L560" s="28">
        <v>25719</v>
      </c>
      <c r="P560" s="27"/>
      <c r="S560" s="32"/>
    </row>
    <row r="561" spans="7:19" x14ac:dyDescent="0.3">
      <c r="G561">
        <v>4</v>
      </c>
      <c r="H561" s="26">
        <v>1970.2500000018199</v>
      </c>
      <c r="I561" s="3">
        <v>27.628278999999999</v>
      </c>
      <c r="L561" s="28">
        <v>25688</v>
      </c>
      <c r="P561" s="27"/>
      <c r="S561" s="32"/>
    </row>
    <row r="562" spans="7:19" x14ac:dyDescent="0.3">
      <c r="G562">
        <v>3</v>
      </c>
      <c r="H562" s="26">
        <v>1970.1666666684901</v>
      </c>
      <c r="I562" s="3">
        <v>27.160647999999998</v>
      </c>
      <c r="L562" s="28">
        <v>25658</v>
      </c>
      <c r="P562" s="27"/>
      <c r="S562" s="32"/>
    </row>
    <row r="563" spans="7:19" x14ac:dyDescent="0.3">
      <c r="G563">
        <v>2</v>
      </c>
      <c r="H563" s="26">
        <v>1970.08333333516</v>
      </c>
      <c r="I563" s="3">
        <v>27.354984000000002</v>
      </c>
      <c r="L563" s="28">
        <v>25627</v>
      </c>
      <c r="P563" s="27"/>
      <c r="S563" s="32"/>
    </row>
    <row r="564" spans="7:19" x14ac:dyDescent="0.3">
      <c r="G564">
        <v>1</v>
      </c>
      <c r="H564" s="26">
        <v>1970.0000000018299</v>
      </c>
      <c r="I564" s="3">
        <v>27.345226</v>
      </c>
      <c r="L564" s="28">
        <v>25599</v>
      </c>
      <c r="P564" s="27"/>
      <c r="S564" s="32"/>
    </row>
    <row r="565" spans="7:19" x14ac:dyDescent="0.3">
      <c r="G565">
        <v>12</v>
      </c>
      <c r="H565" s="26">
        <v>1969.9166666685001</v>
      </c>
      <c r="I565" s="3">
        <v>28.121445000000001</v>
      </c>
      <c r="L565" s="28">
        <v>25568</v>
      </c>
      <c r="P565" s="27"/>
      <c r="S565" s="32"/>
    </row>
    <row r="566" spans="7:19" x14ac:dyDescent="0.3">
      <c r="G566">
        <v>11</v>
      </c>
      <c r="H566" s="26">
        <v>1969.83333333517</v>
      </c>
      <c r="I566" s="3">
        <v>29.107073</v>
      </c>
      <c r="L566" s="28">
        <v>25537</v>
      </c>
      <c r="P566" s="27"/>
      <c r="S566" s="32"/>
    </row>
    <row r="567" spans="7:19" x14ac:dyDescent="0.3">
      <c r="G567">
        <v>10</v>
      </c>
      <c r="H567" s="26">
        <v>1969.7500000018399</v>
      </c>
      <c r="I567" s="3">
        <v>29.149667999999998</v>
      </c>
      <c r="L567" s="28">
        <v>25507</v>
      </c>
      <c r="P567" s="27"/>
      <c r="S567" s="32"/>
    </row>
    <row r="568" spans="7:19" x14ac:dyDescent="0.3">
      <c r="G568">
        <v>9</v>
      </c>
      <c r="H568" s="26">
        <v>1969.6666666685101</v>
      </c>
      <c r="I568" s="3">
        <v>29.296275999999999</v>
      </c>
      <c r="L568" s="28">
        <v>25476</v>
      </c>
      <c r="P568" s="27"/>
      <c r="S568" s="32"/>
    </row>
    <row r="569" spans="7:19" x14ac:dyDescent="0.3">
      <c r="G569">
        <v>8</v>
      </c>
      <c r="H569" s="26">
        <v>1969.58333333518</v>
      </c>
      <c r="I569" s="3">
        <v>28.812961999999999</v>
      </c>
      <c r="L569" s="28">
        <v>25446</v>
      </c>
      <c r="P569" s="27"/>
      <c r="S569" s="32"/>
    </row>
    <row r="570" spans="7:19" x14ac:dyDescent="0.3">
      <c r="G570">
        <v>7</v>
      </c>
      <c r="H570" s="26">
        <v>1969.5000000018499</v>
      </c>
      <c r="I570" s="3">
        <v>28.970848</v>
      </c>
      <c r="L570" s="28">
        <v>25415</v>
      </c>
      <c r="P570" s="27"/>
      <c r="S570" s="32"/>
    </row>
    <row r="571" spans="7:19" x14ac:dyDescent="0.3">
      <c r="G571">
        <v>6</v>
      </c>
      <c r="H571" s="26">
        <v>1969.4166666685201</v>
      </c>
      <c r="I571" s="3">
        <v>29.614554999999999</v>
      </c>
      <c r="L571" s="28">
        <v>25384</v>
      </c>
      <c r="P571" s="27"/>
      <c r="S571" s="32"/>
    </row>
    <row r="572" spans="7:19" x14ac:dyDescent="0.3">
      <c r="G572">
        <v>5</v>
      </c>
      <c r="H572" s="26">
        <v>1969.33333333519</v>
      </c>
      <c r="I572" s="3">
        <v>29.221077000000001</v>
      </c>
      <c r="L572" s="28">
        <v>25354</v>
      </c>
      <c r="P572" s="27"/>
      <c r="S572" s="32"/>
    </row>
    <row r="573" spans="7:19" x14ac:dyDescent="0.3">
      <c r="G573">
        <v>4</v>
      </c>
      <c r="H573" s="26">
        <v>1969.2500000018599</v>
      </c>
      <c r="I573" s="3">
        <v>27.785419999999998</v>
      </c>
      <c r="L573" s="28">
        <v>25323</v>
      </c>
      <c r="P573" s="27"/>
      <c r="S573" s="32"/>
    </row>
    <row r="574" spans="7:19" x14ac:dyDescent="0.3">
      <c r="G574">
        <v>3</v>
      </c>
      <c r="H574" s="26">
        <v>1969.1666666685301</v>
      </c>
      <c r="I574" s="3">
        <v>27.636641999999998</v>
      </c>
      <c r="L574" s="28">
        <v>25293</v>
      </c>
      <c r="P574" s="27"/>
      <c r="S574" s="32"/>
    </row>
    <row r="575" spans="7:19" x14ac:dyDescent="0.3">
      <c r="G575">
        <v>2</v>
      </c>
      <c r="H575" s="26">
        <v>1969.0833333352</v>
      </c>
      <c r="I575" s="3">
        <v>27.026426000000001</v>
      </c>
      <c r="L575" s="28">
        <v>25262</v>
      </c>
      <c r="P575" s="27"/>
      <c r="S575" s="32"/>
    </row>
    <row r="576" spans="7:19" x14ac:dyDescent="0.3">
      <c r="G576">
        <v>1</v>
      </c>
      <c r="H576" s="26">
        <v>1969.0000000018699</v>
      </c>
      <c r="I576" s="3">
        <v>26.954985000000001</v>
      </c>
      <c r="L576" s="28">
        <v>25234</v>
      </c>
      <c r="P576" s="27"/>
      <c r="S576" s="32"/>
    </row>
    <row r="577" spans="7:19" x14ac:dyDescent="0.3">
      <c r="G577">
        <v>12</v>
      </c>
      <c r="H577" s="26">
        <v>1968.9166666685401</v>
      </c>
      <c r="I577" s="3">
        <v>27.947528999999999</v>
      </c>
      <c r="L577" s="28">
        <v>25203</v>
      </c>
      <c r="P577" s="27"/>
      <c r="S577" s="32"/>
    </row>
    <row r="578" spans="7:19" x14ac:dyDescent="0.3">
      <c r="G578">
        <v>11</v>
      </c>
      <c r="H578" s="26">
        <v>1968.83333333521</v>
      </c>
      <c r="I578" s="3">
        <v>28.499127999999999</v>
      </c>
      <c r="L578" s="28">
        <v>25172</v>
      </c>
      <c r="P578" s="27"/>
      <c r="S578" s="32"/>
    </row>
    <row r="579" spans="7:19" x14ac:dyDescent="0.3">
      <c r="G579">
        <v>10</v>
      </c>
      <c r="H579" s="26">
        <v>1968.7500000018799</v>
      </c>
      <c r="I579" s="3">
        <v>28.789324000000001</v>
      </c>
      <c r="L579" s="28">
        <v>25142</v>
      </c>
      <c r="P579" s="27"/>
      <c r="S579" s="32"/>
    </row>
    <row r="580" spans="7:19" x14ac:dyDescent="0.3">
      <c r="G580">
        <v>9</v>
      </c>
      <c r="H580" s="26">
        <v>1968.6666666685501</v>
      </c>
      <c r="I580" s="3">
        <v>28.667757000000002</v>
      </c>
      <c r="L580" s="28">
        <v>25111</v>
      </c>
      <c r="P580" s="27"/>
      <c r="S580" s="32"/>
    </row>
    <row r="581" spans="7:19" x14ac:dyDescent="0.3">
      <c r="G581">
        <v>8</v>
      </c>
      <c r="H581" s="26">
        <v>1968.58333333522</v>
      </c>
      <c r="I581" s="3">
        <v>28.172905</v>
      </c>
      <c r="L581" s="28">
        <v>25081</v>
      </c>
      <c r="P581" s="27"/>
      <c r="S581" s="32"/>
    </row>
    <row r="582" spans="7:19" x14ac:dyDescent="0.3">
      <c r="G582">
        <v>7</v>
      </c>
      <c r="H582" s="26">
        <v>1968.5000000018899</v>
      </c>
      <c r="I582" s="3">
        <v>28.113530000000001</v>
      </c>
      <c r="L582" s="28">
        <v>25050</v>
      </c>
      <c r="P582" s="27"/>
      <c r="S582" s="32"/>
    </row>
    <row r="583" spans="7:19" x14ac:dyDescent="0.3">
      <c r="G583">
        <v>6</v>
      </c>
      <c r="H583" s="26">
        <v>1968.4166666685601</v>
      </c>
      <c r="I583" s="3">
        <v>28.377869</v>
      </c>
      <c r="L583" s="28">
        <v>25019</v>
      </c>
      <c r="P583" s="27"/>
      <c r="S583" s="32"/>
    </row>
    <row r="584" spans="7:19" x14ac:dyDescent="0.3">
      <c r="G584">
        <v>5</v>
      </c>
      <c r="H584" s="26">
        <v>1968.33333333523</v>
      </c>
      <c r="I584" s="3">
        <v>27.917501000000001</v>
      </c>
      <c r="L584" s="28">
        <v>24989</v>
      </c>
      <c r="P584" s="27"/>
      <c r="S584" s="32"/>
    </row>
    <row r="585" spans="7:19" x14ac:dyDescent="0.3">
      <c r="G585">
        <v>4</v>
      </c>
      <c r="H585" s="26">
        <v>1968.2500000018999</v>
      </c>
      <c r="I585" s="3">
        <v>27.068860000000001</v>
      </c>
      <c r="L585" s="28">
        <v>24958</v>
      </c>
      <c r="P585" s="27"/>
      <c r="S585" s="32"/>
    </row>
    <row r="586" spans="7:19" x14ac:dyDescent="0.3">
      <c r="G586">
        <v>3</v>
      </c>
      <c r="H586" s="26">
        <v>1968.1666666685701</v>
      </c>
      <c r="I586" s="3">
        <v>26.664639000000001</v>
      </c>
      <c r="L586" s="28">
        <v>24928</v>
      </c>
      <c r="P586" s="27"/>
      <c r="S586" s="32"/>
    </row>
    <row r="587" spans="7:19" x14ac:dyDescent="0.3">
      <c r="G587">
        <v>2</v>
      </c>
      <c r="H587" s="26">
        <v>1968.08333333524</v>
      </c>
      <c r="I587" s="3">
        <v>26.416347999999999</v>
      </c>
      <c r="L587" s="28">
        <v>24897</v>
      </c>
      <c r="P587" s="27"/>
      <c r="S587" s="32"/>
    </row>
    <row r="588" spans="7:19" x14ac:dyDescent="0.3">
      <c r="G588">
        <v>1</v>
      </c>
      <c r="H588" s="26">
        <v>1968.0000000019099</v>
      </c>
      <c r="I588" s="3">
        <v>26.628746</v>
      </c>
      <c r="L588" s="28">
        <v>24868</v>
      </c>
      <c r="P588" s="27"/>
      <c r="S588" s="32"/>
    </row>
    <row r="589" spans="7:19" x14ac:dyDescent="0.3">
      <c r="G589">
        <v>12</v>
      </c>
      <c r="H589" s="26">
        <v>1967.9166666685801</v>
      </c>
      <c r="I589" s="3">
        <v>27.624846999999999</v>
      </c>
      <c r="L589" s="28">
        <v>24837</v>
      </c>
      <c r="P589" s="27"/>
      <c r="S589" s="32"/>
    </row>
    <row r="590" spans="7:19" x14ac:dyDescent="0.3">
      <c r="G590">
        <v>11</v>
      </c>
      <c r="H590" s="26">
        <v>1967.83333333525</v>
      </c>
      <c r="I590" s="3">
        <v>28.784164000000001</v>
      </c>
      <c r="L590" s="28">
        <v>24806</v>
      </c>
      <c r="P590" s="27"/>
      <c r="S590" s="32"/>
    </row>
    <row r="591" spans="7:19" x14ac:dyDescent="0.3">
      <c r="G591">
        <v>10</v>
      </c>
      <c r="H591" s="26">
        <v>1967.7500000019199</v>
      </c>
      <c r="I591" s="3">
        <v>28.769401999999999</v>
      </c>
      <c r="L591" s="28">
        <v>24776</v>
      </c>
      <c r="P591" s="27"/>
      <c r="S591" s="32"/>
    </row>
    <row r="592" spans="7:19" x14ac:dyDescent="0.3">
      <c r="G592">
        <v>9</v>
      </c>
      <c r="H592" s="26">
        <v>1967.6666666685901</v>
      </c>
      <c r="I592" s="3">
        <v>28.632576</v>
      </c>
      <c r="L592" s="28">
        <v>24745</v>
      </c>
      <c r="P592" s="27"/>
      <c r="S592" s="32"/>
    </row>
    <row r="593" spans="7:19" x14ac:dyDescent="0.3">
      <c r="G593">
        <v>8</v>
      </c>
      <c r="H593" s="26">
        <v>1967.58333333526</v>
      </c>
      <c r="I593" s="3">
        <v>28.132853000000001</v>
      </c>
      <c r="L593" s="28">
        <v>24715</v>
      </c>
      <c r="P593" s="27"/>
      <c r="S593" s="32"/>
    </row>
    <row r="594" spans="7:19" x14ac:dyDescent="0.3">
      <c r="G594">
        <v>7</v>
      </c>
      <c r="H594" s="26">
        <v>1967.5000000019299</v>
      </c>
      <c r="I594" s="3">
        <v>28.104074000000001</v>
      </c>
      <c r="L594" s="28">
        <v>24684</v>
      </c>
      <c r="P594" s="27"/>
      <c r="S594" s="32"/>
    </row>
    <row r="595" spans="7:19" x14ac:dyDescent="0.3">
      <c r="G595">
        <v>6</v>
      </c>
      <c r="H595" s="26">
        <v>1967.4166666686001</v>
      </c>
      <c r="I595" s="3">
        <v>28.285274999999999</v>
      </c>
      <c r="L595" s="28">
        <v>24653</v>
      </c>
      <c r="P595" s="27"/>
      <c r="S595" s="32"/>
    </row>
    <row r="596" spans="7:19" x14ac:dyDescent="0.3">
      <c r="G596">
        <v>5</v>
      </c>
      <c r="H596" s="26">
        <v>1967.33333333527</v>
      </c>
      <c r="I596" s="3">
        <v>27.821249999999999</v>
      </c>
      <c r="L596" s="28">
        <v>24623</v>
      </c>
      <c r="P596" s="27"/>
      <c r="S596" s="32"/>
    </row>
    <row r="597" spans="7:19" x14ac:dyDescent="0.3">
      <c r="G597">
        <v>4</v>
      </c>
      <c r="H597" s="26">
        <v>1967.25000000194</v>
      </c>
      <c r="I597" s="3">
        <v>27.171565999999999</v>
      </c>
      <c r="L597" s="28">
        <v>24592</v>
      </c>
      <c r="P597" s="27"/>
      <c r="S597" s="32"/>
    </row>
    <row r="598" spans="7:19" x14ac:dyDescent="0.3">
      <c r="G598">
        <v>3</v>
      </c>
      <c r="H598" s="26">
        <v>1967.1666666686101</v>
      </c>
      <c r="I598" s="3">
        <v>26.720590000000001</v>
      </c>
      <c r="L598" s="28">
        <v>24562</v>
      </c>
      <c r="P598" s="27"/>
      <c r="S598" s="32"/>
    </row>
    <row r="599" spans="7:19" x14ac:dyDescent="0.3">
      <c r="G599">
        <v>2</v>
      </c>
      <c r="H599" s="26">
        <v>1967.08333333528</v>
      </c>
      <c r="I599" s="3">
        <v>26.709381</v>
      </c>
      <c r="L599" s="28">
        <v>24531</v>
      </c>
      <c r="P599" s="27"/>
      <c r="S599" s="32"/>
    </row>
    <row r="600" spans="7:19" x14ac:dyDescent="0.3">
      <c r="G600">
        <v>1</v>
      </c>
      <c r="H600" s="26">
        <v>1967.00000000195</v>
      </c>
      <c r="I600" s="3">
        <v>27.032845999999999</v>
      </c>
      <c r="L600" s="28">
        <v>24503</v>
      </c>
      <c r="P600" s="27"/>
      <c r="S600" s="32"/>
    </row>
    <row r="601" spans="7:19" x14ac:dyDescent="0.3">
      <c r="G601">
        <v>12</v>
      </c>
      <c r="H601" s="26">
        <v>1966.9166666686201</v>
      </c>
      <c r="I601" s="3">
        <v>27.839780000000001</v>
      </c>
      <c r="L601" s="28">
        <v>24472</v>
      </c>
      <c r="P601" s="27"/>
      <c r="S601" s="32"/>
    </row>
    <row r="602" spans="7:19" x14ac:dyDescent="0.3">
      <c r="G602">
        <v>11</v>
      </c>
      <c r="H602" s="26">
        <v>1966.83333333529</v>
      </c>
      <c r="I602" s="3">
        <v>28.793254999999998</v>
      </c>
      <c r="L602" s="28">
        <v>24441</v>
      </c>
      <c r="P602" s="27"/>
      <c r="S602" s="32"/>
    </row>
    <row r="603" spans="7:19" x14ac:dyDescent="0.3">
      <c r="G603">
        <v>10</v>
      </c>
      <c r="H603" s="26">
        <v>1966.75000000196</v>
      </c>
      <c r="I603" s="3">
        <v>29.081271999999998</v>
      </c>
      <c r="L603" s="28">
        <v>24411</v>
      </c>
      <c r="P603" s="27"/>
      <c r="S603" s="32"/>
    </row>
    <row r="604" spans="7:19" x14ac:dyDescent="0.3">
      <c r="G604">
        <v>9</v>
      </c>
      <c r="H604" s="26">
        <v>1966.6666666686299</v>
      </c>
      <c r="I604" s="3">
        <v>28.701609999999999</v>
      </c>
      <c r="L604" s="28">
        <v>24380</v>
      </c>
      <c r="P604" s="27"/>
      <c r="S604" s="32"/>
    </row>
    <row r="605" spans="7:19" x14ac:dyDescent="0.3">
      <c r="G605">
        <v>8</v>
      </c>
      <c r="H605" s="26">
        <v>1966.5833333353</v>
      </c>
      <c r="I605" s="3">
        <v>28.410982000000001</v>
      </c>
      <c r="L605" s="28">
        <v>24350</v>
      </c>
      <c r="P605" s="27"/>
      <c r="S605" s="32"/>
    </row>
    <row r="606" spans="7:19" x14ac:dyDescent="0.3">
      <c r="G606">
        <v>7</v>
      </c>
      <c r="H606" s="26">
        <v>1966.50000000197</v>
      </c>
      <c r="I606" s="3">
        <v>28.414401999999999</v>
      </c>
      <c r="L606" s="28">
        <v>24319</v>
      </c>
      <c r="P606" s="27"/>
      <c r="S606" s="32"/>
    </row>
    <row r="607" spans="7:19" x14ac:dyDescent="0.3">
      <c r="G607">
        <v>6</v>
      </c>
      <c r="H607" s="26">
        <v>1966.4166666686399</v>
      </c>
      <c r="I607" s="3">
        <v>28.637854000000001</v>
      </c>
      <c r="L607" s="28">
        <v>24288</v>
      </c>
      <c r="P607" s="27"/>
      <c r="S607" s="32"/>
    </row>
    <row r="608" spans="7:19" x14ac:dyDescent="0.3">
      <c r="G608">
        <v>5</v>
      </c>
      <c r="H608" s="26">
        <v>1966.33333333531</v>
      </c>
      <c r="I608" s="3">
        <v>28.140716999999999</v>
      </c>
      <c r="L608" s="28">
        <v>24258</v>
      </c>
      <c r="P608" s="27"/>
      <c r="S608" s="32"/>
    </row>
    <row r="609" spans="7:19" x14ac:dyDescent="0.3">
      <c r="G609">
        <v>4</v>
      </c>
      <c r="H609" s="26">
        <v>1966.25000000197</v>
      </c>
      <c r="I609" s="3">
        <v>27.526423999999999</v>
      </c>
      <c r="L609" s="28">
        <v>24227</v>
      </c>
      <c r="P609" s="27"/>
      <c r="S609" s="32"/>
    </row>
    <row r="610" spans="7:19" x14ac:dyDescent="0.3">
      <c r="G610">
        <v>3</v>
      </c>
      <c r="H610" s="26">
        <v>1966.1666666686399</v>
      </c>
      <c r="I610" s="3">
        <v>26.789856</v>
      </c>
      <c r="L610" s="28">
        <v>24197</v>
      </c>
      <c r="P610" s="27"/>
      <c r="S610" s="32"/>
    </row>
    <row r="611" spans="7:19" x14ac:dyDescent="0.3">
      <c r="G611">
        <v>2</v>
      </c>
      <c r="H611" s="26">
        <v>1966.08333333531</v>
      </c>
      <c r="I611" s="3">
        <v>27.197706</v>
      </c>
      <c r="L611" s="28">
        <v>24166</v>
      </c>
      <c r="P611" s="27"/>
      <c r="S611" s="32"/>
    </row>
    <row r="612" spans="7:19" x14ac:dyDescent="0.3">
      <c r="G612">
        <v>1</v>
      </c>
      <c r="H612" s="26">
        <v>1966.00000000198</v>
      </c>
      <c r="I612" s="3">
        <v>27.388726999999999</v>
      </c>
      <c r="L612" s="28">
        <v>24138</v>
      </c>
      <c r="P612" s="27"/>
      <c r="S612" s="32"/>
    </row>
    <row r="613" spans="7:19" x14ac:dyDescent="0.3">
      <c r="G613">
        <v>12</v>
      </c>
      <c r="H613" s="26">
        <v>1965.9166666686499</v>
      </c>
      <c r="I613" s="3">
        <v>27.727705</v>
      </c>
      <c r="L613" s="28">
        <v>24107</v>
      </c>
      <c r="P613" s="27"/>
      <c r="S613" s="32"/>
    </row>
    <row r="614" spans="7:19" x14ac:dyDescent="0.3">
      <c r="G614">
        <v>11</v>
      </c>
      <c r="H614" s="26">
        <v>1965.83333333532</v>
      </c>
      <c r="I614" s="3">
        <v>28.399426999999999</v>
      </c>
      <c r="L614" s="28">
        <v>24076</v>
      </c>
      <c r="P614" s="27"/>
      <c r="S614" s="32"/>
    </row>
    <row r="615" spans="7:19" x14ac:dyDescent="0.3">
      <c r="G615">
        <v>10</v>
      </c>
      <c r="H615" s="26">
        <v>1965.75000000199</v>
      </c>
      <c r="I615" s="3">
        <v>28.851461</v>
      </c>
      <c r="L615" s="28">
        <v>24046</v>
      </c>
      <c r="P615" s="27"/>
      <c r="S615" s="32"/>
    </row>
    <row r="616" spans="7:19" x14ac:dyDescent="0.3">
      <c r="G616">
        <v>9</v>
      </c>
      <c r="H616" s="26">
        <v>1965.6666666686599</v>
      </c>
      <c r="I616" s="3">
        <v>28.652636999999999</v>
      </c>
      <c r="L616" s="28">
        <v>24015</v>
      </c>
      <c r="P616" s="27"/>
      <c r="S616" s="32"/>
    </row>
    <row r="617" spans="7:19" x14ac:dyDescent="0.3">
      <c r="G617">
        <v>8</v>
      </c>
      <c r="H617" s="26">
        <v>1965.5833333353301</v>
      </c>
      <c r="I617" s="3">
        <v>28.099143999999999</v>
      </c>
      <c r="L617" s="28">
        <v>23985</v>
      </c>
      <c r="P617" s="27"/>
      <c r="S617" s="32"/>
    </row>
    <row r="618" spans="7:19" x14ac:dyDescent="0.3">
      <c r="G618">
        <v>7</v>
      </c>
      <c r="H618" s="26">
        <v>1965.500000002</v>
      </c>
      <c r="I618" s="3">
        <v>28.151888</v>
      </c>
      <c r="L618" s="28">
        <v>23954</v>
      </c>
      <c r="P618" s="27"/>
      <c r="S618" s="32"/>
    </row>
    <row r="619" spans="7:19" x14ac:dyDescent="0.3">
      <c r="G619">
        <v>6</v>
      </c>
      <c r="H619" s="26">
        <v>1965.4166666686699</v>
      </c>
      <c r="I619" s="3">
        <v>28.262810000000002</v>
      </c>
      <c r="L619" s="28">
        <v>23923</v>
      </c>
      <c r="P619" s="27"/>
    </row>
    <row r="620" spans="7:19" x14ac:dyDescent="0.3">
      <c r="G620">
        <v>5</v>
      </c>
      <c r="H620" s="26">
        <v>1965.3333333353401</v>
      </c>
      <c r="I620" s="3">
        <v>27.800080000000001</v>
      </c>
      <c r="L620" s="28">
        <v>23893</v>
      </c>
      <c r="P620" s="27"/>
    </row>
    <row r="621" spans="7:19" x14ac:dyDescent="0.3">
      <c r="G621">
        <v>4</v>
      </c>
      <c r="H621" s="26">
        <v>1965.25000000201</v>
      </c>
      <c r="I621" s="3">
        <v>26.975704</v>
      </c>
      <c r="L621" s="28">
        <v>23862</v>
      </c>
      <c r="P621" s="27"/>
    </row>
    <row r="622" spans="7:19" x14ac:dyDescent="0.3">
      <c r="G622">
        <v>3</v>
      </c>
      <c r="H622" s="26">
        <v>1965.1666666686799</v>
      </c>
      <c r="I622" s="3">
        <v>26.352934000000001</v>
      </c>
      <c r="L622" s="28">
        <v>23832</v>
      </c>
      <c r="P622" s="27"/>
    </row>
    <row r="623" spans="7:19" x14ac:dyDescent="0.3">
      <c r="G623">
        <v>2</v>
      </c>
      <c r="H623" s="26">
        <v>1965.0833333353501</v>
      </c>
      <c r="I623" s="3">
        <v>26.094754999999999</v>
      </c>
      <c r="L623" s="28">
        <v>23801</v>
      </c>
      <c r="P623" s="27"/>
    </row>
    <row r="624" spans="7:19" x14ac:dyDescent="0.3">
      <c r="G624">
        <v>1</v>
      </c>
      <c r="H624" s="26">
        <v>1965.00000000202</v>
      </c>
      <c r="I624" s="3">
        <v>26.373477999999999</v>
      </c>
      <c r="L624" s="28">
        <v>23773</v>
      </c>
      <c r="P624" s="27"/>
    </row>
    <row r="625" spans="7:16" x14ac:dyDescent="0.3">
      <c r="G625">
        <v>12</v>
      </c>
      <c r="H625" s="26">
        <v>1964.9166666686899</v>
      </c>
      <c r="I625" s="3">
        <v>27.297961999999998</v>
      </c>
      <c r="L625" s="28">
        <v>23742</v>
      </c>
      <c r="P625" s="27"/>
    </row>
    <row r="626" spans="7:16" x14ac:dyDescent="0.3">
      <c r="G626">
        <v>11</v>
      </c>
      <c r="H626" s="26">
        <v>1964.8333333353601</v>
      </c>
      <c r="I626" s="3">
        <v>28.222770000000001</v>
      </c>
      <c r="L626" s="28">
        <v>23711</v>
      </c>
      <c r="P626" s="27"/>
    </row>
    <row r="627" spans="7:16" x14ac:dyDescent="0.3">
      <c r="G627">
        <v>10</v>
      </c>
      <c r="H627" s="26">
        <v>1964.75000000203</v>
      </c>
      <c r="I627" s="3">
        <v>28.862738</v>
      </c>
      <c r="L627" s="28">
        <v>23681</v>
      </c>
      <c r="P627" s="27"/>
    </row>
    <row r="628" spans="7:16" x14ac:dyDescent="0.3">
      <c r="G628">
        <v>9</v>
      </c>
      <c r="H628" s="26">
        <v>1964.6666666686999</v>
      </c>
      <c r="I628" s="3">
        <v>28.600950000000001</v>
      </c>
      <c r="L628" s="28">
        <v>23650</v>
      </c>
      <c r="P628" s="27"/>
    </row>
    <row r="629" spans="7:16" x14ac:dyDescent="0.3">
      <c r="G629">
        <v>8</v>
      </c>
      <c r="H629" s="26">
        <v>1964.5833333353701</v>
      </c>
      <c r="I629" s="3">
        <v>28.298683</v>
      </c>
      <c r="L629" s="28">
        <v>23620</v>
      </c>
      <c r="P629" s="27"/>
    </row>
    <row r="630" spans="7:16" x14ac:dyDescent="0.3">
      <c r="G630">
        <v>7</v>
      </c>
      <c r="H630" s="26">
        <v>1964.50000000204</v>
      </c>
      <c r="I630" s="3">
        <v>28.314934000000001</v>
      </c>
      <c r="L630" s="28">
        <v>23589</v>
      </c>
      <c r="P630" s="27"/>
    </row>
    <row r="631" spans="7:16" x14ac:dyDescent="0.3">
      <c r="G631">
        <v>6</v>
      </c>
      <c r="H631" s="26">
        <v>1964.4166666687099</v>
      </c>
      <c r="I631" s="3">
        <v>28.258913</v>
      </c>
      <c r="L631" s="28">
        <v>23558</v>
      </c>
      <c r="P631" s="27"/>
    </row>
    <row r="632" spans="7:16" x14ac:dyDescent="0.3">
      <c r="G632">
        <v>5</v>
      </c>
      <c r="H632" s="26">
        <v>1964.3333333353801</v>
      </c>
      <c r="I632" s="3">
        <v>28.025126</v>
      </c>
      <c r="L632" s="28">
        <v>23528</v>
      </c>
      <c r="P632" s="27"/>
    </row>
    <row r="633" spans="7:16" x14ac:dyDescent="0.3">
      <c r="G633">
        <v>4</v>
      </c>
      <c r="H633" s="26">
        <v>1964.25000000205</v>
      </c>
      <c r="I633" s="3">
        <v>27.474352</v>
      </c>
      <c r="L633" s="28">
        <v>23497</v>
      </c>
      <c r="P633" s="27"/>
    </row>
    <row r="634" spans="7:16" x14ac:dyDescent="0.3">
      <c r="G634">
        <v>3</v>
      </c>
      <c r="H634" s="26">
        <v>1964.1666666687199</v>
      </c>
      <c r="I634" s="3">
        <v>26.942474000000001</v>
      </c>
      <c r="L634" s="28">
        <v>23467</v>
      </c>
      <c r="P634" s="27"/>
    </row>
    <row r="635" spans="7:16" x14ac:dyDescent="0.3">
      <c r="G635">
        <v>2</v>
      </c>
      <c r="H635" s="26">
        <v>1964.0833333353901</v>
      </c>
      <c r="I635" s="3">
        <v>27.069970000000001</v>
      </c>
      <c r="L635" s="28">
        <v>23436</v>
      </c>
      <c r="P635" s="27"/>
    </row>
    <row r="636" spans="7:16" x14ac:dyDescent="0.3">
      <c r="G636">
        <v>1</v>
      </c>
      <c r="H636" s="26">
        <v>1964.00000000206</v>
      </c>
      <c r="I636" s="3">
        <v>27.265322000000001</v>
      </c>
      <c r="L636" s="28">
        <v>23407</v>
      </c>
      <c r="P636" s="27"/>
    </row>
    <row r="637" spans="7:16" x14ac:dyDescent="0.3">
      <c r="G637">
        <v>12</v>
      </c>
      <c r="H637" s="26">
        <v>1963.9166666687299</v>
      </c>
      <c r="I637" s="3">
        <v>28.201799999999999</v>
      </c>
      <c r="L637" s="28">
        <v>23376</v>
      </c>
      <c r="P637" s="27"/>
    </row>
    <row r="638" spans="7:16" x14ac:dyDescent="0.3">
      <c r="G638">
        <v>11</v>
      </c>
      <c r="H638" s="26">
        <v>1963.8333333354001</v>
      </c>
      <c r="I638" s="3">
        <v>28.966681999999999</v>
      </c>
      <c r="L638" s="28">
        <v>23345</v>
      </c>
      <c r="P638" s="27"/>
    </row>
    <row r="639" spans="7:16" x14ac:dyDescent="0.3">
      <c r="G639">
        <v>10</v>
      </c>
      <c r="H639" s="26">
        <v>1963.75000000207</v>
      </c>
      <c r="I639" s="3">
        <v>29.077421000000001</v>
      </c>
      <c r="L639" s="28">
        <v>23315</v>
      </c>
      <c r="P639" s="27"/>
    </row>
    <row r="640" spans="7:16" x14ac:dyDescent="0.3">
      <c r="G640">
        <v>9</v>
      </c>
      <c r="H640" s="26">
        <v>1963.6666666687399</v>
      </c>
      <c r="I640" s="3">
        <v>28.903917</v>
      </c>
      <c r="L640" s="28">
        <v>23284</v>
      </c>
      <c r="P640" s="27"/>
    </row>
    <row r="641" spans="7:19" x14ac:dyDescent="0.3">
      <c r="G641">
        <v>8</v>
      </c>
      <c r="H641" s="26">
        <v>1963.5833333354101</v>
      </c>
      <c r="I641" s="3">
        <v>28.598158000000002</v>
      </c>
      <c r="L641" s="28">
        <v>23254</v>
      </c>
      <c r="P641" s="27"/>
    </row>
    <row r="642" spans="7:19" x14ac:dyDescent="0.3">
      <c r="G642">
        <v>7</v>
      </c>
      <c r="H642" s="26">
        <v>1963.50000000208</v>
      </c>
      <c r="I642" s="3">
        <v>28.29862</v>
      </c>
      <c r="L642" s="28">
        <v>23223</v>
      </c>
      <c r="P642" s="27"/>
    </row>
    <row r="643" spans="7:19" x14ac:dyDescent="0.3">
      <c r="G643">
        <v>6</v>
      </c>
      <c r="H643" s="26">
        <v>1963.4166666687499</v>
      </c>
      <c r="I643" s="3">
        <v>28.658875999999999</v>
      </c>
      <c r="L643" s="28">
        <v>23192</v>
      </c>
      <c r="P643" s="27"/>
    </row>
    <row r="644" spans="7:19" x14ac:dyDescent="0.3">
      <c r="G644">
        <v>5</v>
      </c>
      <c r="H644" s="26">
        <v>1963.3333333354201</v>
      </c>
      <c r="I644" s="3">
        <v>28.199759</v>
      </c>
      <c r="L644" s="28">
        <v>23162</v>
      </c>
      <c r="P644" s="27"/>
      <c r="S644" s="32"/>
    </row>
    <row r="645" spans="7:19" x14ac:dyDescent="0.3">
      <c r="G645">
        <v>4</v>
      </c>
      <c r="H645" s="26">
        <v>1963.25000000209</v>
      </c>
      <c r="I645" s="3">
        <v>27.740735999999998</v>
      </c>
      <c r="L645" s="28">
        <v>23131</v>
      </c>
      <c r="P645" s="27"/>
      <c r="S645" s="32"/>
    </row>
    <row r="646" spans="7:19" x14ac:dyDescent="0.3">
      <c r="G646">
        <v>3</v>
      </c>
      <c r="H646" s="26">
        <v>1963.1666666687599</v>
      </c>
      <c r="I646" s="3">
        <v>27.320347000000002</v>
      </c>
      <c r="L646" s="28">
        <v>23101</v>
      </c>
      <c r="P646" s="27"/>
      <c r="S646" s="32"/>
    </row>
    <row r="647" spans="7:19" x14ac:dyDescent="0.3">
      <c r="G647">
        <v>2</v>
      </c>
      <c r="H647" s="26">
        <v>1963.0833333354301</v>
      </c>
      <c r="I647" s="3">
        <v>27.197811000000002</v>
      </c>
      <c r="L647" s="28">
        <v>23070</v>
      </c>
      <c r="P647" s="27"/>
      <c r="S647" s="32"/>
    </row>
    <row r="648" spans="7:19" x14ac:dyDescent="0.3">
      <c r="G648">
        <v>1</v>
      </c>
      <c r="H648" s="26">
        <v>1963.0000000021</v>
      </c>
      <c r="I648" s="3">
        <v>27.297771000000001</v>
      </c>
      <c r="L648" s="28">
        <v>23042</v>
      </c>
      <c r="P648" s="27"/>
      <c r="S648" s="32"/>
    </row>
    <row r="649" spans="7:19" x14ac:dyDescent="0.3">
      <c r="G649">
        <v>12</v>
      </c>
      <c r="H649" s="26">
        <v>1962.9166666687699</v>
      </c>
      <c r="I649" s="3">
        <v>28.102499999999999</v>
      </c>
      <c r="L649" s="28">
        <v>23011</v>
      </c>
      <c r="P649" s="27"/>
      <c r="S649" s="32"/>
    </row>
    <row r="650" spans="7:19" x14ac:dyDescent="0.3">
      <c r="G650">
        <v>11</v>
      </c>
      <c r="H650" s="26">
        <v>1962.8333333354401</v>
      </c>
      <c r="I650" s="3">
        <v>28.639744</v>
      </c>
      <c r="L650" s="28">
        <v>22980</v>
      </c>
      <c r="P650" s="27"/>
      <c r="S650" s="32"/>
    </row>
    <row r="651" spans="7:19" x14ac:dyDescent="0.3">
      <c r="G651">
        <v>10</v>
      </c>
      <c r="H651" s="26">
        <v>1962.75000000211</v>
      </c>
      <c r="I651" s="3">
        <v>28.878613999999999</v>
      </c>
      <c r="L651" s="28">
        <v>22950</v>
      </c>
      <c r="P651" s="27"/>
      <c r="S651" s="32"/>
    </row>
    <row r="652" spans="7:19" x14ac:dyDescent="0.3">
      <c r="G652">
        <v>9</v>
      </c>
      <c r="H652" s="26">
        <v>1962.66666666878</v>
      </c>
      <c r="I652" s="3">
        <v>28.795881000000001</v>
      </c>
      <c r="L652" s="28">
        <v>22919</v>
      </c>
      <c r="P652" s="27"/>
      <c r="S652" s="32"/>
    </row>
    <row r="653" spans="7:19" x14ac:dyDescent="0.3">
      <c r="G653">
        <v>8</v>
      </c>
      <c r="H653" s="26">
        <v>1962.5833333354501</v>
      </c>
      <c r="I653" s="3">
        <v>28.657364000000001</v>
      </c>
      <c r="L653" s="28">
        <v>22889</v>
      </c>
      <c r="P653" s="27"/>
      <c r="S653" s="32"/>
    </row>
    <row r="654" spans="7:19" x14ac:dyDescent="0.3">
      <c r="G654">
        <v>7</v>
      </c>
      <c r="H654" s="26">
        <v>1962.50000000212</v>
      </c>
      <c r="I654" s="3">
        <v>28.299168000000002</v>
      </c>
      <c r="L654" s="28">
        <v>22858</v>
      </c>
      <c r="P654" s="27"/>
      <c r="S654" s="32"/>
    </row>
    <row r="655" spans="7:19" x14ac:dyDescent="0.3">
      <c r="G655">
        <v>6</v>
      </c>
      <c r="H655" s="26">
        <v>1962.41666666879</v>
      </c>
      <c r="I655" s="3">
        <v>28.496047999999998</v>
      </c>
      <c r="L655" s="28">
        <v>22827</v>
      </c>
      <c r="P655" s="27"/>
      <c r="S655" s="32"/>
    </row>
    <row r="656" spans="7:19" x14ac:dyDescent="0.3">
      <c r="G656">
        <v>5</v>
      </c>
      <c r="H656" s="26">
        <v>1962.3333333354601</v>
      </c>
      <c r="I656" s="3">
        <v>28.032426999999998</v>
      </c>
      <c r="L656" s="28">
        <v>22797</v>
      </c>
      <c r="P656" s="27"/>
      <c r="S656" s="32"/>
    </row>
    <row r="657" spans="7:19" x14ac:dyDescent="0.3">
      <c r="G657">
        <v>4</v>
      </c>
      <c r="H657" s="26">
        <v>1962.25000000213</v>
      </c>
      <c r="I657" s="3">
        <v>27.442882999999998</v>
      </c>
      <c r="L657" s="28">
        <v>22766</v>
      </c>
      <c r="P657" s="27"/>
      <c r="S657" s="32"/>
    </row>
    <row r="658" spans="7:19" x14ac:dyDescent="0.3">
      <c r="G658">
        <v>3</v>
      </c>
      <c r="H658" s="26">
        <v>1962.1666666688</v>
      </c>
      <c r="I658" s="3">
        <v>27.254759</v>
      </c>
      <c r="L658" s="28">
        <v>22736</v>
      </c>
      <c r="P658" s="27"/>
      <c r="S658" s="32"/>
    </row>
    <row r="659" spans="7:19" x14ac:dyDescent="0.3">
      <c r="G659">
        <v>2</v>
      </c>
      <c r="H659" s="26">
        <v>1962.0833333354699</v>
      </c>
      <c r="I659" s="3">
        <v>26.94407</v>
      </c>
      <c r="L659" s="28">
        <v>22705</v>
      </c>
      <c r="P659" s="27"/>
      <c r="S659" s="32"/>
    </row>
    <row r="660" spans="7:19" x14ac:dyDescent="0.3">
      <c r="G660">
        <v>1</v>
      </c>
      <c r="H660" s="26">
        <v>1962.00000000214</v>
      </c>
      <c r="I660" s="3">
        <v>27.248867000000001</v>
      </c>
      <c r="L660" s="28">
        <v>22677</v>
      </c>
      <c r="P660" s="27"/>
      <c r="S660" s="32"/>
    </row>
    <row r="661" spans="7:19" x14ac:dyDescent="0.3">
      <c r="G661">
        <v>12</v>
      </c>
      <c r="H661" s="26">
        <v>1961.91666666881</v>
      </c>
      <c r="I661" s="3">
        <v>27.980160000000001</v>
      </c>
      <c r="L661" s="28">
        <v>22646</v>
      </c>
      <c r="P661" s="27"/>
      <c r="S661" s="32"/>
    </row>
    <row r="662" spans="7:19" x14ac:dyDescent="0.3">
      <c r="G662">
        <v>11</v>
      </c>
      <c r="H662" s="26">
        <v>1961.8333333354799</v>
      </c>
      <c r="I662" s="3">
        <v>28.480170999999999</v>
      </c>
      <c r="L662" s="28">
        <v>22615</v>
      </c>
      <c r="P662" s="27"/>
      <c r="S662" s="32"/>
    </row>
    <row r="663" spans="7:19" x14ac:dyDescent="0.3">
      <c r="G663">
        <v>10</v>
      </c>
      <c r="H663" s="26">
        <v>1961.75000000215</v>
      </c>
      <c r="I663" s="3">
        <v>28.900846000000001</v>
      </c>
      <c r="L663" s="28">
        <v>22585</v>
      </c>
      <c r="P663" s="27"/>
      <c r="S663" s="32"/>
    </row>
    <row r="664" spans="7:19" x14ac:dyDescent="0.3">
      <c r="G664">
        <v>9</v>
      </c>
      <c r="H664" s="26">
        <v>1961.66666666882</v>
      </c>
      <c r="I664" s="3">
        <v>28.771318000000001</v>
      </c>
      <c r="L664" s="28">
        <v>22554</v>
      </c>
      <c r="P664" s="27"/>
      <c r="S664" s="32"/>
    </row>
    <row r="665" spans="7:19" x14ac:dyDescent="0.3">
      <c r="G665">
        <v>8</v>
      </c>
      <c r="H665" s="26">
        <v>1961.5833333354899</v>
      </c>
      <c r="I665" s="3">
        <v>28.609074</v>
      </c>
      <c r="L665" s="28">
        <v>22524</v>
      </c>
      <c r="P665" s="27"/>
      <c r="S665" s="32"/>
    </row>
    <row r="666" spans="7:19" x14ac:dyDescent="0.3">
      <c r="G666">
        <v>7</v>
      </c>
      <c r="H666" s="26">
        <v>1961.50000000216</v>
      </c>
      <c r="I666" s="3">
        <v>28.172432000000001</v>
      </c>
      <c r="L666" s="28">
        <v>22493</v>
      </c>
      <c r="P666" s="27"/>
      <c r="S666" s="32"/>
    </row>
    <row r="667" spans="7:19" x14ac:dyDescent="0.3">
      <c r="G667">
        <v>6</v>
      </c>
      <c r="H667" s="26">
        <v>1961.41666666883</v>
      </c>
      <c r="I667" s="3">
        <v>28.26763</v>
      </c>
      <c r="L667" s="28">
        <v>22462</v>
      </c>
      <c r="P667" s="27"/>
      <c r="S667" s="32"/>
    </row>
    <row r="668" spans="7:19" x14ac:dyDescent="0.3">
      <c r="G668">
        <v>5</v>
      </c>
      <c r="H668" s="26">
        <v>1961.3333333354999</v>
      </c>
      <c r="I668" s="3">
        <v>28.231660000000002</v>
      </c>
      <c r="L668" s="28">
        <v>22432</v>
      </c>
      <c r="P668" s="27"/>
      <c r="S668" s="32"/>
    </row>
    <row r="669" spans="7:19" x14ac:dyDescent="0.3">
      <c r="G669">
        <v>4</v>
      </c>
      <c r="H669" s="26">
        <v>1961.2500000021701</v>
      </c>
      <c r="I669" s="3">
        <v>27.654699999999998</v>
      </c>
      <c r="L669" s="28">
        <v>22401</v>
      </c>
      <c r="P669" s="27"/>
      <c r="S669" s="32"/>
    </row>
    <row r="670" spans="7:19" x14ac:dyDescent="0.3">
      <c r="G670">
        <v>3</v>
      </c>
      <c r="H670" s="26">
        <v>1961.16666666884</v>
      </c>
      <c r="I670" s="3">
        <v>27.320055</v>
      </c>
      <c r="L670" s="28">
        <v>22371</v>
      </c>
      <c r="P670" s="27"/>
      <c r="S670" s="32"/>
    </row>
    <row r="671" spans="7:19" x14ac:dyDescent="0.3">
      <c r="G671">
        <v>2</v>
      </c>
      <c r="H671" s="26">
        <v>1961.0833333355099</v>
      </c>
      <c r="I671" s="3">
        <v>27.033394000000001</v>
      </c>
      <c r="L671" s="28">
        <v>22340</v>
      </c>
      <c r="P671" s="27"/>
      <c r="S671" s="32"/>
    </row>
    <row r="672" spans="7:19" x14ac:dyDescent="0.3">
      <c r="G672">
        <v>1</v>
      </c>
      <c r="H672" s="26">
        <v>1961.0000000021801</v>
      </c>
      <c r="I672" s="3">
        <v>27.311126999999999</v>
      </c>
      <c r="L672" s="28">
        <v>22312</v>
      </c>
      <c r="P672" s="27"/>
      <c r="S672" s="32"/>
    </row>
    <row r="673" spans="7:19" x14ac:dyDescent="0.3">
      <c r="G673">
        <v>12</v>
      </c>
      <c r="H673" s="26">
        <v>1960.91666666885</v>
      </c>
      <c r="I673" s="3">
        <v>27.752445000000002</v>
      </c>
      <c r="L673" s="28">
        <v>22281</v>
      </c>
      <c r="P673" s="27"/>
      <c r="S673" s="32"/>
    </row>
    <row r="674" spans="7:19" x14ac:dyDescent="0.3">
      <c r="G674">
        <v>11</v>
      </c>
      <c r="H674" s="26">
        <v>1960.8333333355199</v>
      </c>
      <c r="I674" s="3">
        <v>28.619586999999999</v>
      </c>
      <c r="L674" s="28">
        <v>22250</v>
      </c>
      <c r="P674" s="27"/>
      <c r="S674" s="32"/>
    </row>
    <row r="675" spans="7:19" x14ac:dyDescent="0.3">
      <c r="G675">
        <v>10</v>
      </c>
      <c r="H675" s="26">
        <v>1960.7500000021901</v>
      </c>
      <c r="I675" s="3">
        <v>29.004028000000002</v>
      </c>
      <c r="L675" s="28">
        <v>22220</v>
      </c>
      <c r="P675" s="27"/>
      <c r="S675" s="32"/>
    </row>
    <row r="676" spans="7:19" x14ac:dyDescent="0.3">
      <c r="G676">
        <v>9</v>
      </c>
      <c r="H676" s="26">
        <v>1960.66666666886</v>
      </c>
      <c r="I676" s="3">
        <v>29.040330000000001</v>
      </c>
      <c r="L676" s="28">
        <v>22189</v>
      </c>
      <c r="P676" s="27"/>
      <c r="S676" s="32"/>
    </row>
    <row r="677" spans="7:19" x14ac:dyDescent="0.3">
      <c r="G677">
        <v>8</v>
      </c>
      <c r="H677" s="26">
        <v>1960.5833333355299</v>
      </c>
      <c r="I677" s="3">
        <v>28.63514</v>
      </c>
      <c r="L677" s="28">
        <v>22159</v>
      </c>
      <c r="P677" s="27"/>
      <c r="S677" s="32"/>
    </row>
    <row r="678" spans="7:19" x14ac:dyDescent="0.3">
      <c r="G678">
        <v>7</v>
      </c>
      <c r="H678" s="26">
        <v>1960.5000000022001</v>
      </c>
      <c r="I678" s="3">
        <v>28.599136000000001</v>
      </c>
      <c r="L678" s="28">
        <v>22128</v>
      </c>
      <c r="P678" s="27"/>
      <c r="S678" s="32"/>
    </row>
    <row r="679" spans="7:19" x14ac:dyDescent="0.3">
      <c r="G679">
        <v>6</v>
      </c>
      <c r="H679" s="26">
        <v>1960.41666666887</v>
      </c>
      <c r="I679" s="3">
        <v>29.148790000000002</v>
      </c>
      <c r="L679" s="28">
        <v>22097</v>
      </c>
      <c r="P679" s="27"/>
      <c r="S679" s="32"/>
    </row>
    <row r="680" spans="7:19" x14ac:dyDescent="0.3">
      <c r="G680">
        <v>5</v>
      </c>
      <c r="H680" s="26">
        <v>1960.3333333355399</v>
      </c>
      <c r="I680" s="3">
        <v>28.918209999999998</v>
      </c>
      <c r="L680" s="28">
        <v>22067</v>
      </c>
      <c r="P680" s="27"/>
      <c r="S680" s="32"/>
    </row>
    <row r="681" spans="7:19" x14ac:dyDescent="0.3">
      <c r="G681">
        <v>4</v>
      </c>
      <c r="H681" s="26">
        <v>1960.2500000022101</v>
      </c>
      <c r="I681" s="3">
        <v>27.729161999999999</v>
      </c>
      <c r="L681" s="28">
        <v>22036</v>
      </c>
      <c r="P681" s="27"/>
      <c r="S681" s="32"/>
    </row>
    <row r="682" spans="7:19" x14ac:dyDescent="0.3">
      <c r="G682">
        <v>3</v>
      </c>
      <c r="H682" s="26">
        <v>1960.16666666888</v>
      </c>
      <c r="I682" s="3">
        <v>27.431813999999999</v>
      </c>
      <c r="L682" s="28">
        <v>22006</v>
      </c>
      <c r="P682" s="27"/>
      <c r="S682" s="32"/>
    </row>
    <row r="683" spans="7:19" x14ac:dyDescent="0.3">
      <c r="G683">
        <v>2</v>
      </c>
      <c r="H683" s="26">
        <v>1960.0833333355499</v>
      </c>
      <c r="I683" s="3">
        <v>27.572299999999998</v>
      </c>
      <c r="L683" s="28">
        <v>21975</v>
      </c>
      <c r="P683" s="27"/>
      <c r="S683" s="32"/>
    </row>
    <row r="684" spans="7:19" x14ac:dyDescent="0.3">
      <c r="G684">
        <v>1</v>
      </c>
      <c r="H684" s="26">
        <v>1960.0000000022201</v>
      </c>
      <c r="I684" s="3">
        <v>27.381208000000001</v>
      </c>
      <c r="L684" s="28">
        <v>21946</v>
      </c>
      <c r="P684" s="27"/>
      <c r="S684" s="32"/>
    </row>
    <row r="685" spans="7:19" x14ac:dyDescent="0.3">
      <c r="G685">
        <v>12</v>
      </c>
      <c r="H685" s="26">
        <v>1959.91666666889</v>
      </c>
      <c r="I685" s="3">
        <v>27.992457999999999</v>
      </c>
      <c r="L685" s="28">
        <v>21915</v>
      </c>
      <c r="P685" s="27"/>
      <c r="S685" s="32"/>
    </row>
    <row r="686" spans="7:19" x14ac:dyDescent="0.3">
      <c r="G686">
        <v>11</v>
      </c>
      <c r="H686" s="26">
        <v>1959.8333333355599</v>
      </c>
      <c r="I686" s="3">
        <v>28.573264999999999</v>
      </c>
      <c r="L686" s="28">
        <v>21884</v>
      </c>
      <c r="P686" s="27"/>
      <c r="S686" s="32"/>
    </row>
    <row r="687" spans="7:19" x14ac:dyDescent="0.3">
      <c r="G687">
        <v>10</v>
      </c>
      <c r="H687" s="26">
        <v>1959.7500000022301</v>
      </c>
      <c r="I687" s="3">
        <v>28.706951</v>
      </c>
      <c r="L687" s="28">
        <v>21854</v>
      </c>
      <c r="P687" s="27"/>
      <c r="S687" s="32"/>
    </row>
    <row r="688" spans="7:19" x14ac:dyDescent="0.3">
      <c r="G688">
        <v>9</v>
      </c>
      <c r="H688" s="26">
        <v>1959.6666666689</v>
      </c>
      <c r="I688" s="3">
        <v>28.60135</v>
      </c>
      <c r="L688" s="28">
        <v>21823</v>
      </c>
      <c r="P688" s="27"/>
      <c r="S688" s="32"/>
    </row>
    <row r="689" spans="7:19" x14ac:dyDescent="0.3">
      <c r="G689">
        <v>8</v>
      </c>
      <c r="H689" s="26">
        <v>1959.5833333355699</v>
      </c>
      <c r="I689" s="3">
        <v>28.150528000000001</v>
      </c>
      <c r="L689" s="28">
        <v>21793</v>
      </c>
      <c r="P689" s="27"/>
      <c r="S689" s="32"/>
    </row>
    <row r="690" spans="7:19" x14ac:dyDescent="0.3">
      <c r="G690">
        <v>7</v>
      </c>
      <c r="H690" s="26">
        <v>1959.5000000022401</v>
      </c>
      <c r="I690" s="3">
        <v>28.154067999999999</v>
      </c>
      <c r="L690" s="28">
        <v>21762</v>
      </c>
      <c r="P690" s="27"/>
    </row>
    <row r="691" spans="7:19" x14ac:dyDescent="0.3">
      <c r="G691">
        <v>6</v>
      </c>
      <c r="H691" s="26">
        <v>1959.41666666891</v>
      </c>
      <c r="I691" s="3">
        <v>28.406094</v>
      </c>
      <c r="L691" s="28">
        <v>21731</v>
      </c>
      <c r="P691" s="27"/>
      <c r="S691" s="32"/>
    </row>
    <row r="692" spans="7:19" x14ac:dyDescent="0.3">
      <c r="G692">
        <v>5</v>
      </c>
      <c r="H692" s="26">
        <v>1959.3333333355799</v>
      </c>
      <c r="I692" s="3">
        <v>27.909804999999999</v>
      </c>
      <c r="L692" s="28">
        <v>21701</v>
      </c>
      <c r="P692" s="27"/>
      <c r="S692" s="32"/>
    </row>
    <row r="693" spans="7:19" x14ac:dyDescent="0.3">
      <c r="G693">
        <v>4</v>
      </c>
      <c r="H693" s="26">
        <v>1959.2500000022501</v>
      </c>
      <c r="I693" s="3">
        <v>27.452836999999999</v>
      </c>
      <c r="L693" s="28">
        <v>21670</v>
      </c>
      <c r="P693" s="27"/>
      <c r="S693" s="32"/>
    </row>
    <row r="694" spans="7:19" x14ac:dyDescent="0.3">
      <c r="G694">
        <v>3</v>
      </c>
      <c r="H694" s="26">
        <v>1959.16666666892</v>
      </c>
      <c r="I694" s="3">
        <v>26.899567000000001</v>
      </c>
      <c r="L694" s="28">
        <v>21640</v>
      </c>
      <c r="P694" s="27"/>
      <c r="S694" s="32"/>
    </row>
    <row r="695" spans="7:19" x14ac:dyDescent="0.3">
      <c r="G695">
        <v>2</v>
      </c>
      <c r="H695" s="26">
        <v>1959.0833333355899</v>
      </c>
      <c r="I695" s="3">
        <v>26.846319999999999</v>
      </c>
      <c r="L695" s="28">
        <v>21609</v>
      </c>
      <c r="P695" s="27"/>
      <c r="S695" s="32"/>
    </row>
    <row r="696" spans="7:19" x14ac:dyDescent="0.3">
      <c r="G696">
        <v>1</v>
      </c>
      <c r="H696" s="26">
        <v>1959.0000000022601</v>
      </c>
      <c r="I696" s="3">
        <v>27.162434000000001</v>
      </c>
      <c r="L696" s="28">
        <v>21581</v>
      </c>
      <c r="P696" s="27"/>
      <c r="S696" s="32"/>
    </row>
    <row r="697" spans="7:19" x14ac:dyDescent="0.3">
      <c r="G697">
        <v>12</v>
      </c>
      <c r="H697" s="26">
        <v>1958.91666666893</v>
      </c>
      <c r="I697" s="3">
        <v>27.91339</v>
      </c>
      <c r="L697" s="28">
        <v>21550</v>
      </c>
      <c r="P697" s="27"/>
      <c r="S697" s="32"/>
    </row>
    <row r="698" spans="7:19" x14ac:dyDescent="0.3">
      <c r="G698">
        <v>11</v>
      </c>
      <c r="H698" s="26">
        <v>1958.8333333355999</v>
      </c>
      <c r="I698" s="3">
        <v>28.748200000000001</v>
      </c>
      <c r="L698" s="28">
        <v>21519</v>
      </c>
      <c r="P698" s="27"/>
      <c r="S698" s="32"/>
    </row>
    <row r="699" spans="7:19" x14ac:dyDescent="0.3">
      <c r="G699">
        <v>10</v>
      </c>
      <c r="H699" s="26">
        <v>1958.7500000022701</v>
      </c>
      <c r="I699" s="3">
        <v>29.120450000000002</v>
      </c>
      <c r="L699" s="28">
        <v>21489</v>
      </c>
      <c r="P699" s="27"/>
      <c r="S699" s="32"/>
    </row>
    <row r="700" spans="7:19" x14ac:dyDescent="0.3">
      <c r="G700">
        <v>9</v>
      </c>
      <c r="H700" s="26">
        <v>1958.66666666894</v>
      </c>
      <c r="I700" s="3">
        <v>29.147597999999999</v>
      </c>
      <c r="L700" s="28">
        <v>21458</v>
      </c>
      <c r="P700" s="27"/>
      <c r="S700" s="32"/>
    </row>
    <row r="701" spans="7:19" x14ac:dyDescent="0.3">
      <c r="G701">
        <v>8</v>
      </c>
      <c r="H701" s="26">
        <v>1958.58333333561</v>
      </c>
      <c r="I701" s="3">
        <v>28.850597</v>
      </c>
      <c r="L701" s="28">
        <v>21428</v>
      </c>
      <c r="P701" s="27"/>
    </row>
    <row r="702" spans="7:19" x14ac:dyDescent="0.3">
      <c r="G702">
        <v>7</v>
      </c>
      <c r="H702" s="26">
        <v>1958.5000000022801</v>
      </c>
      <c r="I702" s="3">
        <v>28.773392000000001</v>
      </c>
      <c r="L702" s="28">
        <v>21397</v>
      </c>
      <c r="P702" s="27"/>
      <c r="S702" s="32"/>
    </row>
    <row r="703" spans="7:19" x14ac:dyDescent="0.3">
      <c r="G703">
        <v>6</v>
      </c>
      <c r="H703" s="26">
        <v>1958.41666666895</v>
      </c>
      <c r="I703" s="3">
        <v>29.763983</v>
      </c>
      <c r="L703" s="28">
        <v>21366</v>
      </c>
      <c r="P703" s="27"/>
      <c r="S703" s="32"/>
    </row>
    <row r="704" spans="7:19" x14ac:dyDescent="0.3">
      <c r="G704">
        <v>5</v>
      </c>
      <c r="H704" s="26">
        <v>1958.33333333562</v>
      </c>
      <c r="I704" s="3">
        <v>29.162496999999998</v>
      </c>
      <c r="L704" s="28">
        <v>21336</v>
      </c>
      <c r="P704" s="27"/>
      <c r="S704" s="32"/>
    </row>
    <row r="705" spans="7:19" x14ac:dyDescent="0.3">
      <c r="G705">
        <v>4</v>
      </c>
      <c r="H705" s="26">
        <v>1958.2500000022901</v>
      </c>
      <c r="I705" s="3">
        <v>28.202895999999999</v>
      </c>
      <c r="L705" s="28">
        <v>21305</v>
      </c>
      <c r="P705" s="27"/>
      <c r="S705" s="32"/>
    </row>
    <row r="706" spans="7:19" x14ac:dyDescent="0.3">
      <c r="G706">
        <v>3</v>
      </c>
      <c r="H706" s="26">
        <v>1958.16666666896</v>
      </c>
      <c r="I706" s="3">
        <v>27.799702</v>
      </c>
      <c r="L706" s="28">
        <v>21275</v>
      </c>
      <c r="P706" s="27"/>
      <c r="S706" s="32"/>
    </row>
    <row r="707" spans="7:19" x14ac:dyDescent="0.3">
      <c r="G707">
        <v>2</v>
      </c>
      <c r="H707" s="26">
        <v>1958.08333333563</v>
      </c>
      <c r="I707" s="3">
        <v>27.589801999999999</v>
      </c>
      <c r="L707" s="28">
        <v>21244</v>
      </c>
      <c r="P707" s="27"/>
      <c r="S707" s="32"/>
    </row>
    <row r="708" spans="7:19" x14ac:dyDescent="0.3">
      <c r="G708">
        <v>1</v>
      </c>
      <c r="H708" s="26">
        <v>1958.0000000023001</v>
      </c>
      <c r="I708" s="3">
        <v>27.749324999999999</v>
      </c>
      <c r="L708" s="28">
        <v>21216</v>
      </c>
      <c r="P708" s="27"/>
      <c r="S708" s="32"/>
    </row>
    <row r="709" spans="7:19" x14ac:dyDescent="0.3">
      <c r="G709">
        <v>12</v>
      </c>
      <c r="H709" s="26">
        <v>1957.91666666897</v>
      </c>
      <c r="I709" s="3">
        <v>27.83418</v>
      </c>
      <c r="L709" s="28">
        <v>21185</v>
      </c>
      <c r="P709" s="27"/>
      <c r="S709" s="32"/>
    </row>
    <row r="710" spans="7:19" x14ac:dyDescent="0.3">
      <c r="G710">
        <v>11</v>
      </c>
      <c r="H710" s="26">
        <v>1957.83333333564</v>
      </c>
      <c r="I710" s="3">
        <v>28.674807000000001</v>
      </c>
      <c r="L710" s="28">
        <v>21154</v>
      </c>
      <c r="P710" s="27"/>
      <c r="S710" s="32"/>
    </row>
    <row r="711" spans="7:19" x14ac:dyDescent="0.3">
      <c r="G711">
        <v>10</v>
      </c>
      <c r="H711" s="26">
        <v>1957.7500000023099</v>
      </c>
      <c r="I711" s="3">
        <v>29.320868000000001</v>
      </c>
      <c r="L711" s="28">
        <v>21124</v>
      </c>
      <c r="P711" s="27"/>
      <c r="S711" s="32"/>
    </row>
    <row r="712" spans="7:19" x14ac:dyDescent="0.3">
      <c r="G712">
        <v>9</v>
      </c>
      <c r="H712" s="26">
        <v>1957.66666666898</v>
      </c>
      <c r="I712" s="3">
        <v>28.872826</v>
      </c>
      <c r="L712" s="28">
        <v>21093</v>
      </c>
      <c r="P712" s="27"/>
    </row>
    <row r="713" spans="7:19" x14ac:dyDescent="0.3">
      <c r="G713">
        <v>8</v>
      </c>
      <c r="H713" s="26">
        <v>1957.58333333565</v>
      </c>
      <c r="I713" s="3">
        <v>28.644043</v>
      </c>
      <c r="L713" s="28">
        <v>21063</v>
      </c>
      <c r="P713" s="27"/>
      <c r="S713" s="32"/>
    </row>
    <row r="714" spans="7:19" x14ac:dyDescent="0.3">
      <c r="G714">
        <v>7</v>
      </c>
      <c r="H714" s="26">
        <v>1957.5000000023199</v>
      </c>
      <c r="I714" s="3">
        <v>28.332858999999999</v>
      </c>
      <c r="L714" s="28">
        <v>21032</v>
      </c>
      <c r="P714" s="27"/>
      <c r="S714" s="32"/>
    </row>
    <row r="715" spans="7:19" x14ac:dyDescent="0.3">
      <c r="G715">
        <v>6</v>
      </c>
      <c r="H715" s="26">
        <v>1957.41666666899</v>
      </c>
      <c r="I715" s="3">
        <v>28.550896000000002</v>
      </c>
      <c r="L715" s="28">
        <v>21001</v>
      </c>
      <c r="P715" s="27"/>
      <c r="S715" s="32"/>
    </row>
    <row r="716" spans="7:19" x14ac:dyDescent="0.3">
      <c r="G716">
        <v>5</v>
      </c>
      <c r="H716" s="26">
        <v>1957.33333333566</v>
      </c>
      <c r="I716" s="3">
        <v>27.727533000000001</v>
      </c>
      <c r="L716" s="28">
        <v>20971</v>
      </c>
      <c r="P716" s="27"/>
      <c r="S716" s="32"/>
    </row>
    <row r="717" spans="7:19" x14ac:dyDescent="0.3">
      <c r="G717">
        <v>4</v>
      </c>
      <c r="H717" s="26">
        <v>1957.2500000023299</v>
      </c>
      <c r="I717" s="3">
        <v>26.880375000000001</v>
      </c>
      <c r="L717" s="28">
        <v>20940</v>
      </c>
      <c r="P717" s="27"/>
      <c r="S717" s="32"/>
    </row>
    <row r="718" spans="7:19" x14ac:dyDescent="0.3">
      <c r="G718">
        <v>3</v>
      </c>
      <c r="H718" s="26">
        <v>1957.1666666690001</v>
      </c>
      <c r="I718" s="3">
        <v>26.993870000000001</v>
      </c>
      <c r="L718" s="28">
        <v>20910</v>
      </c>
      <c r="P718" s="27"/>
      <c r="S718" s="32"/>
    </row>
    <row r="719" spans="7:19" x14ac:dyDescent="0.3">
      <c r="G719">
        <v>2</v>
      </c>
      <c r="H719" s="26">
        <v>1957.08333333567</v>
      </c>
      <c r="I719" s="3">
        <v>25.773323000000001</v>
      </c>
      <c r="L719" s="28">
        <v>20879</v>
      </c>
      <c r="P719" s="27"/>
      <c r="S719" s="32"/>
    </row>
    <row r="720" spans="7:19" x14ac:dyDescent="0.3">
      <c r="G720">
        <v>1</v>
      </c>
      <c r="H720" s="26">
        <v>1957.0000000023399</v>
      </c>
      <c r="I720" s="3">
        <v>26.669730000000001</v>
      </c>
      <c r="L720" s="28">
        <v>20851</v>
      </c>
      <c r="P720" s="27"/>
      <c r="S720" s="32"/>
    </row>
    <row r="721" spans="7:19" x14ac:dyDescent="0.3">
      <c r="G721">
        <v>12</v>
      </c>
      <c r="H721" s="26">
        <v>1956.9166666690101</v>
      </c>
      <c r="I721" s="3">
        <v>27.642181000000001</v>
      </c>
      <c r="L721" s="28">
        <v>20820</v>
      </c>
      <c r="P721" s="27"/>
      <c r="S721" s="32"/>
    </row>
    <row r="722" spans="7:19" x14ac:dyDescent="0.3">
      <c r="G722">
        <v>11</v>
      </c>
      <c r="H722" s="26">
        <v>1956.83333333568</v>
      </c>
      <c r="I722" s="3">
        <v>28.438604000000002</v>
      </c>
      <c r="L722" s="28">
        <v>20789</v>
      </c>
      <c r="P722" s="27"/>
      <c r="S722" s="32"/>
    </row>
    <row r="723" spans="7:19" x14ac:dyDescent="0.3">
      <c r="G723">
        <v>10</v>
      </c>
      <c r="H723" s="26">
        <v>1956.7500000023499</v>
      </c>
      <c r="I723" s="3">
        <v>28.569873999999999</v>
      </c>
      <c r="L723" s="28">
        <v>20759</v>
      </c>
      <c r="P723" s="27"/>
    </row>
    <row r="724" spans="7:19" x14ac:dyDescent="0.3">
      <c r="G724">
        <v>9</v>
      </c>
      <c r="H724" s="26">
        <v>1956.6666666690201</v>
      </c>
      <c r="I724" s="3">
        <v>28.388110999999999</v>
      </c>
      <c r="L724" s="28">
        <v>20728</v>
      </c>
      <c r="P724" s="27"/>
      <c r="S724" s="32"/>
    </row>
    <row r="725" spans="7:19" x14ac:dyDescent="0.3">
      <c r="G725">
        <v>8</v>
      </c>
      <c r="H725" s="26">
        <v>1956.58333333569</v>
      </c>
      <c r="I725" s="3">
        <v>27.881502000000001</v>
      </c>
      <c r="L725" s="28">
        <v>20698</v>
      </c>
      <c r="P725" s="27"/>
      <c r="S725" s="32"/>
    </row>
    <row r="726" spans="7:19" x14ac:dyDescent="0.3">
      <c r="G726">
        <v>7</v>
      </c>
      <c r="H726" s="26">
        <v>1956.5000000023599</v>
      </c>
      <c r="I726" s="3">
        <v>27.847624</v>
      </c>
      <c r="L726" s="28">
        <v>20667</v>
      </c>
      <c r="P726" s="27"/>
      <c r="S726" s="32"/>
    </row>
    <row r="727" spans="7:19" x14ac:dyDescent="0.3">
      <c r="G727">
        <v>6</v>
      </c>
      <c r="H727" s="26">
        <v>1956.4166666690301</v>
      </c>
      <c r="I727" s="3">
        <v>28.409420000000001</v>
      </c>
      <c r="L727" s="28">
        <v>20636</v>
      </c>
      <c r="P727" s="27"/>
      <c r="S727" s="32"/>
    </row>
    <row r="728" spans="7:19" x14ac:dyDescent="0.3">
      <c r="G728">
        <v>5</v>
      </c>
      <c r="H728" s="26">
        <v>1956.3333333357</v>
      </c>
      <c r="I728" s="3">
        <v>27.840263</v>
      </c>
      <c r="L728" s="28">
        <v>20606</v>
      </c>
      <c r="P728" s="27"/>
      <c r="S728" s="32"/>
    </row>
    <row r="729" spans="7:19" x14ac:dyDescent="0.3">
      <c r="G729">
        <v>4</v>
      </c>
      <c r="H729" s="26">
        <v>1956.2500000023699</v>
      </c>
      <c r="I729" s="3">
        <v>27.428505000000001</v>
      </c>
      <c r="L729" s="28">
        <v>20575</v>
      </c>
      <c r="P729" s="27"/>
      <c r="S729" s="32"/>
    </row>
    <row r="730" spans="7:19" x14ac:dyDescent="0.3">
      <c r="G730">
        <v>3</v>
      </c>
      <c r="H730" s="26">
        <v>1956.1666666690401</v>
      </c>
      <c r="I730" s="3">
        <v>26.65916</v>
      </c>
      <c r="L730" s="28">
        <v>20545</v>
      </c>
      <c r="P730" s="27"/>
      <c r="S730" s="32"/>
    </row>
    <row r="731" spans="7:19" x14ac:dyDescent="0.3">
      <c r="G731">
        <v>2</v>
      </c>
      <c r="H731" s="26">
        <v>1956.08333333571</v>
      </c>
      <c r="I731" s="3">
        <v>26.700862999999998</v>
      </c>
      <c r="L731" s="28">
        <v>20514</v>
      </c>
      <c r="P731" s="27"/>
      <c r="S731" s="32"/>
    </row>
    <row r="732" spans="7:19" x14ac:dyDescent="0.3">
      <c r="G732">
        <v>1</v>
      </c>
      <c r="H732" s="26">
        <v>1956.0000000023799</v>
      </c>
      <c r="I732" s="3">
        <v>26.875129999999999</v>
      </c>
      <c r="L732" s="28">
        <v>20485</v>
      </c>
      <c r="P732" s="27"/>
      <c r="S732" s="32"/>
    </row>
    <row r="733" spans="7:19" x14ac:dyDescent="0.3">
      <c r="G733">
        <v>12</v>
      </c>
      <c r="H733" s="26">
        <v>1955.9166666690501</v>
      </c>
      <c r="I733" s="3">
        <v>27.507639000000001</v>
      </c>
      <c r="L733" s="28">
        <v>20454</v>
      </c>
      <c r="P733" s="27"/>
      <c r="S733" s="32"/>
    </row>
    <row r="734" spans="7:19" x14ac:dyDescent="0.3">
      <c r="G734">
        <v>11</v>
      </c>
      <c r="H734" s="26">
        <v>1955.83333333572</v>
      </c>
      <c r="I734" s="3">
        <v>28.615241999999999</v>
      </c>
      <c r="L734" s="28">
        <v>20423</v>
      </c>
      <c r="P734" s="27"/>
      <c r="S734" s="32"/>
    </row>
    <row r="735" spans="7:19" x14ac:dyDescent="0.3">
      <c r="G735">
        <v>10</v>
      </c>
      <c r="H735" s="26">
        <v>1955.7500000023899</v>
      </c>
      <c r="I735" s="3">
        <v>28.964835999999998</v>
      </c>
      <c r="L735" s="28">
        <v>20393</v>
      </c>
      <c r="P735" s="27"/>
      <c r="S735" s="32"/>
    </row>
    <row r="736" spans="7:19" x14ac:dyDescent="0.3">
      <c r="G736">
        <v>9</v>
      </c>
      <c r="H736" s="26">
        <v>1955.6666666690601</v>
      </c>
      <c r="I736" s="3">
        <v>28.870773</v>
      </c>
      <c r="L736" s="28">
        <v>20362</v>
      </c>
      <c r="P736" s="27"/>
      <c r="S736" s="32"/>
    </row>
    <row r="737" spans="7:19" x14ac:dyDescent="0.3">
      <c r="G737">
        <v>8</v>
      </c>
      <c r="H737" s="26">
        <v>1955.58333333573</v>
      </c>
      <c r="I737" s="3">
        <v>28.489211999999998</v>
      </c>
      <c r="L737" s="28">
        <v>20332</v>
      </c>
      <c r="P737" s="27"/>
      <c r="S737" s="32"/>
    </row>
    <row r="738" spans="7:19" x14ac:dyDescent="0.3">
      <c r="G738">
        <v>7</v>
      </c>
      <c r="H738" s="26">
        <v>1955.5000000023999</v>
      </c>
      <c r="I738" s="3">
        <v>28.021281999999999</v>
      </c>
      <c r="L738" s="28">
        <v>20301</v>
      </c>
      <c r="P738" s="27"/>
      <c r="S738" s="32"/>
    </row>
    <row r="739" spans="7:19" x14ac:dyDescent="0.3">
      <c r="G739">
        <v>6</v>
      </c>
      <c r="H739" s="26">
        <v>1955.4166666690701</v>
      </c>
      <c r="I739" s="3">
        <v>28.252459000000002</v>
      </c>
      <c r="L739" s="28">
        <v>20270</v>
      </c>
      <c r="P739" s="27"/>
      <c r="S739" s="32"/>
    </row>
    <row r="740" spans="7:19" x14ac:dyDescent="0.3">
      <c r="G740">
        <v>5</v>
      </c>
      <c r="H740" s="26">
        <v>1955.33333333574</v>
      </c>
      <c r="I740" s="3">
        <v>28.008379999999999</v>
      </c>
      <c r="L740" s="28">
        <v>20240</v>
      </c>
      <c r="P740" s="27"/>
      <c r="S740" s="32"/>
    </row>
    <row r="741" spans="7:19" x14ac:dyDescent="0.3">
      <c r="G741">
        <v>4</v>
      </c>
      <c r="H741" s="26">
        <v>1955.2500000024099</v>
      </c>
      <c r="I741" s="3">
        <v>27.234386000000001</v>
      </c>
      <c r="L741" s="28">
        <v>20209</v>
      </c>
      <c r="P741" s="27"/>
      <c r="S741" s="32"/>
    </row>
    <row r="742" spans="7:19" x14ac:dyDescent="0.3">
      <c r="G742">
        <v>3</v>
      </c>
      <c r="H742" s="26">
        <v>1955.1666666690801</v>
      </c>
      <c r="I742" s="3">
        <v>26.437494000000001</v>
      </c>
      <c r="L742" s="28">
        <v>20179</v>
      </c>
      <c r="P742" s="27"/>
      <c r="S742" s="32"/>
    </row>
    <row r="743" spans="7:19" x14ac:dyDescent="0.3">
      <c r="G743">
        <v>2</v>
      </c>
      <c r="H743" s="26">
        <v>1955.08333333575</v>
      </c>
      <c r="I743" s="3">
        <v>26.717483999999999</v>
      </c>
      <c r="L743" s="28">
        <v>20148</v>
      </c>
      <c r="P743" s="27"/>
      <c r="S743" s="32"/>
    </row>
    <row r="744" spans="7:19" x14ac:dyDescent="0.3">
      <c r="G744">
        <v>1</v>
      </c>
      <c r="H744" s="26">
        <v>1955.0000000024099</v>
      </c>
      <c r="I744" s="3">
        <v>27.055759999999999</v>
      </c>
      <c r="L744" s="28">
        <v>20120</v>
      </c>
      <c r="P744" s="27"/>
      <c r="S744" s="32"/>
    </row>
    <row r="745" spans="7:19" x14ac:dyDescent="0.3">
      <c r="G745">
        <v>12</v>
      </c>
      <c r="H745" s="26">
        <v>1954.9166666690801</v>
      </c>
      <c r="I745" s="3">
        <v>27.531766999999999</v>
      </c>
      <c r="L745" s="28">
        <v>20089</v>
      </c>
      <c r="P745" s="27"/>
      <c r="S745" s="32"/>
    </row>
    <row r="746" spans="7:19" x14ac:dyDescent="0.3">
      <c r="G746">
        <v>11</v>
      </c>
      <c r="H746" s="26">
        <v>1954.83333333575</v>
      </c>
      <c r="I746" s="3">
        <v>28.406009999999998</v>
      </c>
      <c r="L746" s="28">
        <v>20058</v>
      </c>
      <c r="P746" s="27"/>
      <c r="S746" s="32"/>
    </row>
    <row r="747" spans="7:19" x14ac:dyDescent="0.3">
      <c r="G747">
        <v>10</v>
      </c>
      <c r="H747" s="26">
        <v>1954.7500000024199</v>
      </c>
      <c r="I747" s="3">
        <v>28.556839</v>
      </c>
      <c r="L747" s="28">
        <v>20028</v>
      </c>
      <c r="P747" s="27"/>
      <c r="S747" s="32"/>
    </row>
    <row r="748" spans="7:19" x14ac:dyDescent="0.3">
      <c r="G748">
        <v>9</v>
      </c>
      <c r="H748" s="26">
        <v>1954.6666666690901</v>
      </c>
      <c r="I748" s="3">
        <v>28.824017000000001</v>
      </c>
      <c r="L748" s="28">
        <v>19997</v>
      </c>
      <c r="P748" s="27"/>
      <c r="S748" s="32"/>
    </row>
    <row r="749" spans="7:19" x14ac:dyDescent="0.3">
      <c r="G749">
        <v>8</v>
      </c>
      <c r="H749" s="26">
        <v>1954.58333333576</v>
      </c>
      <c r="I749" s="3">
        <v>28.394843999999999</v>
      </c>
      <c r="L749" s="28">
        <v>19967</v>
      </c>
      <c r="P749" s="27"/>
      <c r="S749" s="32"/>
    </row>
    <row r="750" spans="7:19" x14ac:dyDescent="0.3">
      <c r="G750">
        <v>7</v>
      </c>
      <c r="H750" s="26">
        <v>1954.5000000024299</v>
      </c>
      <c r="I750" s="3">
        <v>28.231102</v>
      </c>
      <c r="L750" s="28">
        <v>19936</v>
      </c>
      <c r="P750" s="27"/>
      <c r="S750" s="32"/>
    </row>
    <row r="751" spans="7:19" x14ac:dyDescent="0.3">
      <c r="G751">
        <v>6</v>
      </c>
      <c r="H751" s="26">
        <v>1954.4166666691001</v>
      </c>
      <c r="I751" s="3">
        <v>28.727388000000001</v>
      </c>
      <c r="L751" s="28">
        <v>19905</v>
      </c>
      <c r="P751" s="27"/>
      <c r="S751" s="32"/>
    </row>
    <row r="752" spans="7:19" x14ac:dyDescent="0.3">
      <c r="G752">
        <v>5</v>
      </c>
      <c r="H752" s="26">
        <v>1954.33333333577</v>
      </c>
      <c r="I752" s="3">
        <v>28.362912999999999</v>
      </c>
      <c r="L752" s="28">
        <v>19875</v>
      </c>
      <c r="P752" s="27"/>
      <c r="S752" s="32"/>
    </row>
    <row r="753" spans="7:19" x14ac:dyDescent="0.3">
      <c r="G753">
        <v>4</v>
      </c>
      <c r="H753" s="26">
        <v>1954.2500000024399</v>
      </c>
      <c r="I753" s="3">
        <v>27.443425999999999</v>
      </c>
      <c r="L753" s="28">
        <v>19844</v>
      </c>
      <c r="P753" s="27"/>
      <c r="S753" s="32"/>
    </row>
    <row r="754" spans="7:19" x14ac:dyDescent="0.3">
      <c r="G754">
        <v>3</v>
      </c>
      <c r="H754" s="26">
        <v>1954.1666666691101</v>
      </c>
      <c r="I754" s="3">
        <v>27.113303999999999</v>
      </c>
      <c r="L754" s="28">
        <v>19814</v>
      </c>
      <c r="P754" s="27"/>
      <c r="S754" s="32"/>
    </row>
    <row r="755" spans="7:19" x14ac:dyDescent="0.3">
      <c r="G755">
        <v>2</v>
      </c>
      <c r="H755" s="26">
        <v>1954.08333333578</v>
      </c>
      <c r="I755" s="3">
        <v>26.765903000000002</v>
      </c>
      <c r="L755" s="28">
        <v>19783</v>
      </c>
      <c r="P755" s="27"/>
      <c r="S755" s="32"/>
    </row>
    <row r="756" spans="7:19" x14ac:dyDescent="0.3">
      <c r="G756">
        <v>1</v>
      </c>
      <c r="H756" s="26">
        <v>1954.00000000245</v>
      </c>
      <c r="I756" s="3">
        <v>27.182971999999999</v>
      </c>
      <c r="L756" s="28">
        <v>19755</v>
      </c>
      <c r="P756" s="27"/>
      <c r="S756" s="32"/>
    </row>
    <row r="757" spans="7:19" x14ac:dyDescent="0.3">
      <c r="G757">
        <v>12</v>
      </c>
      <c r="H757" s="26">
        <v>1953.9166666691201</v>
      </c>
      <c r="I757" s="3">
        <v>28.199314000000001</v>
      </c>
      <c r="L757" s="28">
        <v>19724</v>
      </c>
      <c r="P757" s="27"/>
      <c r="S757" s="32"/>
    </row>
    <row r="758" spans="7:19" x14ac:dyDescent="0.3">
      <c r="G758">
        <v>11</v>
      </c>
      <c r="H758" s="26">
        <v>1953.83333333579</v>
      </c>
      <c r="I758" s="3">
        <v>28.826778000000001</v>
      </c>
      <c r="L758" s="28">
        <v>19693</v>
      </c>
      <c r="P758" s="27"/>
      <c r="S758" s="32"/>
    </row>
    <row r="759" spans="7:19" x14ac:dyDescent="0.3">
      <c r="G759">
        <v>10</v>
      </c>
      <c r="H759" s="26">
        <v>1953.75000000246</v>
      </c>
      <c r="I759" s="3">
        <v>29.070879999999999</v>
      </c>
      <c r="L759" s="28">
        <v>19663</v>
      </c>
      <c r="P759" s="27"/>
      <c r="S759" s="32"/>
    </row>
    <row r="760" spans="7:19" x14ac:dyDescent="0.3">
      <c r="G760">
        <v>9</v>
      </c>
      <c r="H760" s="26">
        <v>1953.6666666691301</v>
      </c>
      <c r="I760" s="3">
        <v>28.895423999999998</v>
      </c>
      <c r="L760" s="28">
        <v>19632</v>
      </c>
      <c r="P760" s="27"/>
      <c r="S760" s="32"/>
    </row>
    <row r="761" spans="7:19" x14ac:dyDescent="0.3">
      <c r="G761">
        <v>8</v>
      </c>
      <c r="H761" s="26">
        <v>1953.5833333358</v>
      </c>
      <c r="I761" s="3">
        <v>28.413478999999999</v>
      </c>
      <c r="L761" s="28">
        <v>19602</v>
      </c>
      <c r="P761" s="27"/>
      <c r="S761" s="32"/>
    </row>
    <row r="762" spans="7:19" x14ac:dyDescent="0.3">
      <c r="G762">
        <v>7</v>
      </c>
      <c r="H762" s="26">
        <v>1953.50000000247</v>
      </c>
      <c r="I762" s="3">
        <v>28.423645</v>
      </c>
      <c r="L762" s="28">
        <v>19571</v>
      </c>
      <c r="P762" s="27"/>
      <c r="S762" s="32"/>
    </row>
    <row r="763" spans="7:19" x14ac:dyDescent="0.3">
      <c r="G763">
        <v>6</v>
      </c>
      <c r="H763" s="26">
        <v>1953.4166666691401</v>
      </c>
      <c r="I763" s="3">
        <v>28.565704</v>
      </c>
      <c r="L763" s="28">
        <v>19540</v>
      </c>
      <c r="P763" s="27"/>
      <c r="S763" s="32"/>
    </row>
    <row r="764" spans="7:19" x14ac:dyDescent="0.3">
      <c r="G764">
        <v>5</v>
      </c>
      <c r="H764" s="26">
        <v>1953.33333333581</v>
      </c>
      <c r="I764" s="3">
        <v>28.296250000000001</v>
      </c>
      <c r="L764" s="28">
        <v>19510</v>
      </c>
      <c r="P764" s="27"/>
      <c r="S764" s="32"/>
    </row>
    <row r="765" spans="7:19" x14ac:dyDescent="0.3">
      <c r="G765">
        <v>4</v>
      </c>
      <c r="H765" s="26">
        <v>1953.25000000248</v>
      </c>
      <c r="I765" s="3">
        <v>27.411937999999999</v>
      </c>
      <c r="L765" s="28">
        <v>19479</v>
      </c>
      <c r="P765" s="27"/>
      <c r="S765" s="32"/>
    </row>
    <row r="766" spans="7:19" x14ac:dyDescent="0.3">
      <c r="G766">
        <v>3</v>
      </c>
      <c r="H766" s="26">
        <v>1953.1666666691499</v>
      </c>
      <c r="I766" s="3">
        <v>26.413506999999999</v>
      </c>
      <c r="L766" s="28">
        <v>19449</v>
      </c>
      <c r="P766" s="27"/>
      <c r="S766" s="32"/>
    </row>
    <row r="767" spans="7:19" x14ac:dyDescent="0.3">
      <c r="G767">
        <v>2</v>
      </c>
      <c r="H767" s="26">
        <v>1953.08333333582</v>
      </c>
      <c r="I767" s="3">
        <v>26.707027</v>
      </c>
      <c r="L767" s="28">
        <v>19418</v>
      </c>
      <c r="P767" s="27"/>
      <c r="S767" s="32"/>
    </row>
    <row r="768" spans="7:19" x14ac:dyDescent="0.3">
      <c r="G768">
        <v>1</v>
      </c>
      <c r="H768" s="26">
        <v>1953.00000000249</v>
      </c>
      <c r="I768" s="3">
        <v>26.99287</v>
      </c>
      <c r="L768" s="28">
        <v>19390</v>
      </c>
      <c r="P768" s="27"/>
      <c r="S768" s="32"/>
    </row>
    <row r="769" spans="7:19" x14ac:dyDescent="0.3">
      <c r="G769">
        <v>12</v>
      </c>
      <c r="H769" s="26">
        <v>1952.9166666691599</v>
      </c>
      <c r="I769" s="3">
        <v>27.841702999999999</v>
      </c>
      <c r="L769" s="28">
        <v>19359</v>
      </c>
      <c r="P769" s="27"/>
      <c r="S769" s="32"/>
    </row>
    <row r="770" spans="7:19" x14ac:dyDescent="0.3">
      <c r="G770">
        <v>11</v>
      </c>
      <c r="H770" s="26">
        <v>1952.83333333583</v>
      </c>
      <c r="I770" s="3">
        <v>28.968292000000002</v>
      </c>
      <c r="L770" s="28">
        <v>19328</v>
      </c>
      <c r="P770" s="27"/>
      <c r="S770" s="32"/>
    </row>
    <row r="771" spans="7:19" x14ac:dyDescent="0.3">
      <c r="G771">
        <v>10</v>
      </c>
      <c r="H771" s="26">
        <v>1952.7500000025</v>
      </c>
      <c r="I771" s="3">
        <v>29.206356</v>
      </c>
      <c r="L771" s="28">
        <v>19298</v>
      </c>
      <c r="P771" s="27"/>
      <c r="S771" s="32"/>
    </row>
    <row r="772" spans="7:19" x14ac:dyDescent="0.3">
      <c r="G772">
        <v>9</v>
      </c>
      <c r="H772" s="26">
        <v>1952.6666666691699</v>
      </c>
      <c r="I772" s="3">
        <v>29.063278</v>
      </c>
      <c r="L772" s="28">
        <v>19267</v>
      </c>
      <c r="P772" s="27"/>
    </row>
    <row r="773" spans="7:19" x14ac:dyDescent="0.3">
      <c r="G773">
        <v>8</v>
      </c>
      <c r="H773" s="26">
        <v>1952.5833333358401</v>
      </c>
      <c r="I773" s="3">
        <v>28.760035999999999</v>
      </c>
      <c r="L773" s="28">
        <v>19237</v>
      </c>
      <c r="P773" s="27"/>
      <c r="S773" s="32"/>
    </row>
    <row r="774" spans="7:19" x14ac:dyDescent="0.3">
      <c r="G774">
        <v>7</v>
      </c>
      <c r="H774" s="26">
        <v>1952.50000000251</v>
      </c>
      <c r="I774" s="3">
        <v>28.545203999999998</v>
      </c>
      <c r="L774" s="28">
        <v>19206</v>
      </c>
      <c r="P774" s="27"/>
      <c r="S774" s="32"/>
    </row>
    <row r="775" spans="7:19" x14ac:dyDescent="0.3">
      <c r="G775">
        <v>6</v>
      </c>
      <c r="H775" s="26">
        <v>1952.4166666691799</v>
      </c>
      <c r="I775" s="3">
        <v>28.908642</v>
      </c>
      <c r="L775" s="28">
        <v>19175</v>
      </c>
      <c r="P775" s="27"/>
      <c r="S775" s="32"/>
    </row>
    <row r="776" spans="7:19" x14ac:dyDescent="0.3">
      <c r="G776">
        <v>5</v>
      </c>
      <c r="H776" s="26">
        <v>1952.3333333358501</v>
      </c>
      <c r="I776" s="3">
        <v>28.716728</v>
      </c>
      <c r="L776" s="28">
        <v>19145</v>
      </c>
      <c r="P776" s="27"/>
      <c r="S776" s="32"/>
    </row>
    <row r="777" spans="7:19" x14ac:dyDescent="0.3">
      <c r="G777">
        <v>4</v>
      </c>
      <c r="H777" s="26">
        <v>1952.25000000252</v>
      </c>
      <c r="I777" s="3">
        <v>27.578576999999999</v>
      </c>
      <c r="L777" s="28">
        <v>19114</v>
      </c>
      <c r="P777" s="27"/>
      <c r="S777" s="32"/>
    </row>
    <row r="778" spans="7:19" x14ac:dyDescent="0.3">
      <c r="G778">
        <v>3</v>
      </c>
      <c r="H778" s="26">
        <v>1952.1666666691899</v>
      </c>
      <c r="I778" s="3">
        <v>26.978850999999999</v>
      </c>
      <c r="L778" s="28">
        <v>19084</v>
      </c>
      <c r="P778" s="27"/>
      <c r="S778" s="32"/>
    </row>
    <row r="779" spans="7:19" x14ac:dyDescent="0.3">
      <c r="G779">
        <v>2</v>
      </c>
      <c r="H779" s="26">
        <v>1952.0833333358601</v>
      </c>
      <c r="I779" s="3">
        <v>26.857979</v>
      </c>
      <c r="L779" s="28">
        <v>19053</v>
      </c>
      <c r="P779" s="27"/>
      <c r="S779" s="32"/>
    </row>
    <row r="780" spans="7:19" x14ac:dyDescent="0.3">
      <c r="G780">
        <v>1</v>
      </c>
      <c r="H780" s="26">
        <v>1952.00000000253</v>
      </c>
      <c r="I780" s="3">
        <v>26.715765000000001</v>
      </c>
      <c r="L780" s="28">
        <v>19024</v>
      </c>
      <c r="P780" s="27"/>
      <c r="S780" s="32"/>
    </row>
    <row r="781" spans="7:19" x14ac:dyDescent="0.3">
      <c r="G781">
        <v>12</v>
      </c>
      <c r="H781" s="26">
        <v>1951.9166666691999</v>
      </c>
      <c r="I781" s="3">
        <v>27.86459</v>
      </c>
      <c r="L781" s="28">
        <v>18993</v>
      </c>
      <c r="P781" s="27"/>
      <c r="S781" s="32"/>
    </row>
    <row r="782" spans="7:19" x14ac:dyDescent="0.3">
      <c r="G782">
        <v>11</v>
      </c>
      <c r="H782" s="26">
        <v>1951.8333333358701</v>
      </c>
      <c r="I782" s="3">
        <v>28.782222999999998</v>
      </c>
      <c r="L782" s="28">
        <v>18962</v>
      </c>
      <c r="P782" s="27"/>
      <c r="S782" s="32"/>
    </row>
    <row r="783" spans="7:19" x14ac:dyDescent="0.3">
      <c r="G783">
        <v>10</v>
      </c>
      <c r="H783" s="26">
        <v>1951.75000000254</v>
      </c>
      <c r="I783" s="3">
        <v>28.85529</v>
      </c>
      <c r="L783" s="28">
        <v>18932</v>
      </c>
      <c r="P783" s="27"/>
    </row>
    <row r="784" spans="7:19" x14ac:dyDescent="0.3">
      <c r="G784">
        <v>9</v>
      </c>
      <c r="H784" s="26">
        <v>1951.6666666692099</v>
      </c>
      <c r="I784" s="3">
        <v>29.098420000000001</v>
      </c>
      <c r="L784" s="28">
        <v>18901</v>
      </c>
      <c r="P784" s="27"/>
      <c r="S784" s="32"/>
    </row>
    <row r="785" spans="7:19" x14ac:dyDescent="0.3">
      <c r="G785">
        <v>8</v>
      </c>
      <c r="H785" s="26">
        <v>1951.5833333358801</v>
      </c>
      <c r="I785" s="3">
        <v>28.755545000000001</v>
      </c>
      <c r="L785" s="28">
        <v>18871</v>
      </c>
      <c r="P785" s="27"/>
      <c r="S785" s="32"/>
    </row>
    <row r="786" spans="7:19" x14ac:dyDescent="0.3">
      <c r="G786">
        <v>7</v>
      </c>
      <c r="H786" s="26">
        <v>1951.50000000255</v>
      </c>
      <c r="I786" s="3">
        <v>28.545216</v>
      </c>
      <c r="L786" s="28">
        <v>18840</v>
      </c>
      <c r="P786" s="27"/>
      <c r="S786" s="32"/>
    </row>
    <row r="787" spans="7:19" x14ac:dyDescent="0.3">
      <c r="G787">
        <v>6</v>
      </c>
      <c r="H787" s="26">
        <v>1951.4166666692199</v>
      </c>
      <c r="I787" s="3">
        <v>28.707280999999998</v>
      </c>
      <c r="L787" s="28">
        <v>18809</v>
      </c>
      <c r="P787" s="27"/>
      <c r="S787" s="32"/>
    </row>
    <row r="788" spans="7:19" x14ac:dyDescent="0.3">
      <c r="G788">
        <v>5</v>
      </c>
      <c r="H788" s="26">
        <v>1951.3333333358901</v>
      </c>
      <c r="I788" s="3">
        <v>28.57837</v>
      </c>
      <c r="L788" s="28">
        <v>18779</v>
      </c>
      <c r="P788" s="27"/>
      <c r="S788" s="32"/>
    </row>
    <row r="789" spans="7:19" x14ac:dyDescent="0.3">
      <c r="G789">
        <v>4</v>
      </c>
      <c r="H789" s="26">
        <v>1951.25000000256</v>
      </c>
      <c r="I789" s="3">
        <v>27.419464000000001</v>
      </c>
      <c r="L789" s="28">
        <v>18748</v>
      </c>
      <c r="P789" s="27"/>
      <c r="S789" s="32"/>
    </row>
    <row r="790" spans="7:19" x14ac:dyDescent="0.3">
      <c r="G790">
        <v>3</v>
      </c>
      <c r="H790" s="26">
        <v>1951.1666666692299</v>
      </c>
      <c r="I790" s="3">
        <v>26.483592999999999</v>
      </c>
      <c r="L790" s="28">
        <v>18718</v>
      </c>
      <c r="P790" s="27"/>
      <c r="S790" s="32"/>
    </row>
    <row r="791" spans="7:19" x14ac:dyDescent="0.3">
      <c r="G791">
        <v>2</v>
      </c>
      <c r="H791" s="26">
        <v>1951.0833333359001</v>
      </c>
      <c r="I791" s="3">
        <v>26.689254999999999</v>
      </c>
      <c r="L791" s="28">
        <v>18687</v>
      </c>
      <c r="P791" s="27"/>
      <c r="S791" s="32"/>
    </row>
    <row r="792" spans="7:19" x14ac:dyDescent="0.3">
      <c r="G792">
        <v>1</v>
      </c>
      <c r="H792" s="26">
        <v>1951.00000000257</v>
      </c>
      <c r="I792" s="3">
        <v>27.125397</v>
      </c>
      <c r="L792" s="28">
        <v>18659</v>
      </c>
      <c r="P792" s="27"/>
      <c r="S792" s="32"/>
    </row>
    <row r="793" spans="7:19" x14ac:dyDescent="0.3">
      <c r="G793">
        <v>12</v>
      </c>
      <c r="H793" s="26">
        <v>1950.9166666692399</v>
      </c>
      <c r="I793" s="3">
        <v>27.662776999999998</v>
      </c>
      <c r="L793" s="28">
        <v>18628</v>
      </c>
      <c r="P793" s="27"/>
      <c r="S793" s="32"/>
    </row>
    <row r="794" spans="7:19" x14ac:dyDescent="0.3">
      <c r="G794">
        <v>11</v>
      </c>
      <c r="H794" s="26">
        <v>1950.8333333359101</v>
      </c>
      <c r="I794" s="3">
        <v>28.573665999999999</v>
      </c>
      <c r="L794" s="28">
        <v>18597</v>
      </c>
      <c r="P794" s="27"/>
    </row>
    <row r="795" spans="7:19" x14ac:dyDescent="0.3">
      <c r="G795">
        <v>10</v>
      </c>
      <c r="H795" s="26">
        <v>1950.75000000258</v>
      </c>
      <c r="I795" s="3">
        <v>28.699985999999999</v>
      </c>
      <c r="L795" s="28">
        <v>18567</v>
      </c>
      <c r="P795" s="27"/>
      <c r="S795" s="32"/>
    </row>
    <row r="796" spans="7:19" x14ac:dyDescent="0.3">
      <c r="G796">
        <v>9</v>
      </c>
      <c r="H796" s="26">
        <v>1950.6666666692499</v>
      </c>
      <c r="I796" s="3">
        <v>28.880917</v>
      </c>
      <c r="L796" s="28">
        <v>18536</v>
      </c>
      <c r="P796" s="27"/>
      <c r="S796" s="32"/>
    </row>
    <row r="797" spans="7:19" x14ac:dyDescent="0.3">
      <c r="G797">
        <v>8</v>
      </c>
      <c r="H797" s="26">
        <v>1950.5833333359201</v>
      </c>
      <c r="I797" s="3">
        <v>28.178238</v>
      </c>
      <c r="L797" s="28">
        <v>18506</v>
      </c>
      <c r="P797" s="27"/>
      <c r="S797" s="32"/>
    </row>
    <row r="798" spans="7:19" x14ac:dyDescent="0.3">
      <c r="G798">
        <v>7</v>
      </c>
      <c r="H798" s="26">
        <v>1950.50000000259</v>
      </c>
      <c r="I798" s="3">
        <v>27.741499000000001</v>
      </c>
      <c r="L798" s="28">
        <v>18475</v>
      </c>
      <c r="P798" s="27"/>
      <c r="S798" s="32"/>
    </row>
    <row r="799" spans="7:19" x14ac:dyDescent="0.3">
      <c r="G799">
        <v>6</v>
      </c>
      <c r="H799" s="26">
        <v>1950.4166666692599</v>
      </c>
      <c r="I799" s="3">
        <v>28.136794999999999</v>
      </c>
      <c r="L799" s="28">
        <v>18444</v>
      </c>
      <c r="P799" s="27"/>
      <c r="S799" s="32"/>
    </row>
    <row r="800" spans="7:19" x14ac:dyDescent="0.3">
      <c r="G800">
        <v>5</v>
      </c>
      <c r="H800" s="26">
        <v>1950.3333333359301</v>
      </c>
      <c r="I800" s="3">
        <v>27.647210000000001</v>
      </c>
      <c r="L800" s="28">
        <v>18414</v>
      </c>
      <c r="P800" s="27"/>
      <c r="S800" s="32"/>
    </row>
    <row r="801" spans="7:19" x14ac:dyDescent="0.3">
      <c r="G801">
        <v>4</v>
      </c>
      <c r="H801" s="26">
        <v>1950.2500000026</v>
      </c>
      <c r="I801" s="3">
        <v>26.793478</v>
      </c>
      <c r="L801" s="28">
        <v>18383</v>
      </c>
      <c r="P801" s="27"/>
      <c r="S801" s="32"/>
    </row>
    <row r="802" spans="7:19" x14ac:dyDescent="0.3">
      <c r="G802">
        <v>3</v>
      </c>
      <c r="H802" s="26">
        <v>1950.1666666692699</v>
      </c>
      <c r="I802" s="3">
        <v>26.528521999999999</v>
      </c>
      <c r="L802" s="28">
        <v>18353</v>
      </c>
      <c r="P802" s="27"/>
      <c r="S802" s="32"/>
    </row>
    <row r="803" spans="7:19" x14ac:dyDescent="0.3">
      <c r="G803">
        <v>2</v>
      </c>
      <c r="H803" s="26">
        <v>1950.0833333359401</v>
      </c>
      <c r="I803" s="3">
        <v>26.126427</v>
      </c>
      <c r="L803" s="28">
        <v>18322</v>
      </c>
      <c r="P803" s="27"/>
      <c r="S803" s="32"/>
    </row>
    <row r="804" spans="7:19" x14ac:dyDescent="0.3">
      <c r="G804">
        <v>1</v>
      </c>
      <c r="H804" s="26">
        <v>1950.00000000261</v>
      </c>
      <c r="I804" s="3">
        <v>26.356407000000001</v>
      </c>
      <c r="L804" s="28">
        <v>18294</v>
      </c>
      <c r="P804" s="27"/>
      <c r="S804" s="32"/>
    </row>
    <row r="805" spans="7:19" x14ac:dyDescent="0.3">
      <c r="G805">
        <v>12</v>
      </c>
      <c r="H805" s="26">
        <v>1949.9166666692799</v>
      </c>
      <c r="I805" s="3">
        <v>27.672412999999999</v>
      </c>
      <c r="L805" s="28">
        <v>18263</v>
      </c>
      <c r="P805" s="27"/>
    </row>
    <row r="806" spans="7:19" x14ac:dyDescent="0.3">
      <c r="G806">
        <v>11</v>
      </c>
      <c r="H806" s="26">
        <v>1949.8333333359501</v>
      </c>
      <c r="I806" s="3">
        <v>28.457553999999998</v>
      </c>
      <c r="L806" s="28">
        <v>18232</v>
      </c>
      <c r="P806" s="27"/>
      <c r="S806" s="32"/>
    </row>
    <row r="807" spans="7:19" x14ac:dyDescent="0.3">
      <c r="G807">
        <v>10</v>
      </c>
      <c r="H807" s="26">
        <v>1949.75000000262</v>
      </c>
      <c r="I807" s="3">
        <v>28.615037999999998</v>
      </c>
      <c r="L807" s="28">
        <v>18202</v>
      </c>
      <c r="P807" s="27"/>
      <c r="S807" s="32"/>
    </row>
    <row r="808" spans="7:19" x14ac:dyDescent="0.3">
      <c r="G808">
        <v>9</v>
      </c>
      <c r="H808" s="26">
        <v>1949.66666666929</v>
      </c>
      <c r="I808" s="3">
        <v>28.674458000000001</v>
      </c>
      <c r="L808" s="28">
        <v>18171</v>
      </c>
      <c r="P808" s="27"/>
      <c r="S808" s="32"/>
    </row>
    <row r="809" spans="7:19" x14ac:dyDescent="0.3">
      <c r="G809">
        <v>8</v>
      </c>
      <c r="H809" s="26">
        <v>1949.5833333359601</v>
      </c>
      <c r="I809" s="3">
        <v>28.086178</v>
      </c>
      <c r="L809" s="28">
        <v>18141</v>
      </c>
      <c r="P809" s="27"/>
      <c r="S809" s="32"/>
    </row>
    <row r="810" spans="7:19" x14ac:dyDescent="0.3">
      <c r="G810">
        <v>7</v>
      </c>
      <c r="H810" s="26">
        <v>1949.50000000263</v>
      </c>
      <c r="I810" s="3">
        <v>27.852957</v>
      </c>
      <c r="L810" s="28">
        <v>18110</v>
      </c>
      <c r="P810" s="27"/>
      <c r="S810" s="32"/>
    </row>
    <row r="811" spans="7:19" x14ac:dyDescent="0.3">
      <c r="G811">
        <v>6</v>
      </c>
      <c r="H811" s="26">
        <v>1949.4166666693</v>
      </c>
      <c r="I811" s="3">
        <v>28.545036</v>
      </c>
      <c r="L811" s="28">
        <v>18079</v>
      </c>
      <c r="P811" s="27"/>
      <c r="S811" s="32"/>
    </row>
    <row r="812" spans="7:19" x14ac:dyDescent="0.3">
      <c r="G812">
        <v>5</v>
      </c>
      <c r="H812" s="26">
        <v>1949.3333333359701</v>
      </c>
      <c r="I812" s="3">
        <v>27.938355999999999</v>
      </c>
      <c r="L812" s="28">
        <v>18049</v>
      </c>
      <c r="P812" s="27"/>
      <c r="S812" s="32"/>
    </row>
    <row r="813" spans="7:19" x14ac:dyDescent="0.3">
      <c r="G813">
        <v>4</v>
      </c>
      <c r="H813" s="26">
        <v>1949.25000000264</v>
      </c>
      <c r="I813" s="3">
        <v>27.418194</v>
      </c>
      <c r="L813" s="28">
        <v>18018</v>
      </c>
      <c r="P813" s="27"/>
      <c r="S813" s="32"/>
    </row>
    <row r="814" spans="7:19" x14ac:dyDescent="0.3">
      <c r="G814">
        <v>3</v>
      </c>
      <c r="H814" s="26">
        <v>1949.16666666931</v>
      </c>
      <c r="I814" s="3">
        <v>26.568365</v>
      </c>
      <c r="L814" s="28">
        <v>17988</v>
      </c>
      <c r="P814" s="27"/>
      <c r="S814" s="32"/>
    </row>
    <row r="815" spans="7:19" x14ac:dyDescent="0.3">
      <c r="G815">
        <v>2</v>
      </c>
      <c r="H815" s="26">
        <v>1949.0833333359799</v>
      </c>
      <c r="I815" s="3">
        <v>26.435956999999998</v>
      </c>
      <c r="L815" s="28">
        <v>17957</v>
      </c>
      <c r="P815" s="27"/>
      <c r="S815" s="32"/>
    </row>
    <row r="816" spans="7:19" x14ac:dyDescent="0.3">
      <c r="G816">
        <v>1</v>
      </c>
      <c r="H816" s="26">
        <v>1949.00000000265</v>
      </c>
      <c r="I816" s="3">
        <v>27.040533</v>
      </c>
      <c r="L816" s="28">
        <v>17929</v>
      </c>
      <c r="P816" s="27"/>
      <c r="S816" s="32"/>
    </row>
    <row r="817" spans="7:19" x14ac:dyDescent="0.3">
      <c r="G817">
        <v>12</v>
      </c>
      <c r="H817" s="26">
        <v>1948.91666666932</v>
      </c>
      <c r="I817" s="3">
        <v>27.573528</v>
      </c>
      <c r="L817" s="28">
        <v>17898</v>
      </c>
      <c r="P817" s="27"/>
      <c r="S817" s="32"/>
    </row>
    <row r="818" spans="7:19" x14ac:dyDescent="0.3">
      <c r="G818">
        <v>11</v>
      </c>
      <c r="H818" s="26">
        <v>1948.8333333359899</v>
      </c>
      <c r="I818" s="3">
        <v>28.541084000000001</v>
      </c>
      <c r="L818" s="28">
        <v>17867</v>
      </c>
      <c r="P818" s="27"/>
    </row>
    <row r="819" spans="7:19" x14ac:dyDescent="0.3">
      <c r="G819">
        <v>10</v>
      </c>
      <c r="H819" s="26">
        <v>1948.75000000266</v>
      </c>
      <c r="I819" s="3">
        <v>28.832678000000001</v>
      </c>
      <c r="L819" s="28">
        <v>17837</v>
      </c>
      <c r="P819" s="27"/>
      <c r="S819" s="32"/>
    </row>
    <row r="820" spans="7:19" x14ac:dyDescent="0.3">
      <c r="G820">
        <v>9</v>
      </c>
      <c r="H820" s="26">
        <v>1948.66666666933</v>
      </c>
      <c r="I820" s="3">
        <v>28.647490999999999</v>
      </c>
      <c r="L820" s="28">
        <v>17806</v>
      </c>
      <c r="P820" s="27"/>
      <c r="S820" s="32"/>
    </row>
    <row r="821" spans="7:19" x14ac:dyDescent="0.3">
      <c r="G821">
        <v>8</v>
      </c>
      <c r="H821" s="26">
        <v>1948.5833333359999</v>
      </c>
      <c r="I821" s="3">
        <v>28.320805</v>
      </c>
      <c r="L821" s="28">
        <v>17776</v>
      </c>
      <c r="P821" s="27"/>
      <c r="S821" s="32"/>
    </row>
    <row r="822" spans="7:19" x14ac:dyDescent="0.3">
      <c r="G822">
        <v>7</v>
      </c>
      <c r="H822" s="26">
        <v>1948.50000000267</v>
      </c>
      <c r="I822" s="3">
        <v>28.161263000000002</v>
      </c>
      <c r="L822" s="28">
        <v>17745</v>
      </c>
      <c r="P822" s="27"/>
      <c r="S822" s="32"/>
    </row>
    <row r="823" spans="7:19" x14ac:dyDescent="0.3">
      <c r="G823">
        <v>6</v>
      </c>
      <c r="H823" s="26">
        <v>1948.41666666934</v>
      </c>
      <c r="I823" s="3">
        <v>28.702456000000002</v>
      </c>
      <c r="L823" s="28">
        <v>17714</v>
      </c>
      <c r="P823" s="27"/>
      <c r="S823" s="32"/>
    </row>
    <row r="824" spans="7:19" x14ac:dyDescent="0.3">
      <c r="G824">
        <v>5</v>
      </c>
      <c r="H824" s="26">
        <v>1948.3333333360099</v>
      </c>
      <c r="I824" s="3">
        <v>28.015312000000002</v>
      </c>
      <c r="L824" s="28">
        <v>17684</v>
      </c>
      <c r="P824" s="27"/>
      <c r="S824" s="32"/>
    </row>
    <row r="825" spans="7:19" x14ac:dyDescent="0.3">
      <c r="G825">
        <v>4</v>
      </c>
      <c r="H825" s="26">
        <v>1948.2500000026801</v>
      </c>
      <c r="I825" s="3">
        <v>27.219442000000001</v>
      </c>
      <c r="L825" s="28">
        <v>17653</v>
      </c>
      <c r="P825" s="27"/>
      <c r="S825" s="32"/>
    </row>
    <row r="826" spans="7:19" x14ac:dyDescent="0.3">
      <c r="G826">
        <v>3</v>
      </c>
      <c r="H826" s="26">
        <v>1948.16666666935</v>
      </c>
      <c r="I826" s="3">
        <v>26.464102</v>
      </c>
      <c r="L826" s="28">
        <v>17623</v>
      </c>
      <c r="P826" s="27"/>
      <c r="S826" s="32"/>
    </row>
    <row r="827" spans="7:19" x14ac:dyDescent="0.3">
      <c r="G827">
        <v>2</v>
      </c>
      <c r="H827" s="26">
        <v>1948.0833333360199</v>
      </c>
      <c r="I827" s="3">
        <v>26.524958000000002</v>
      </c>
      <c r="L827" s="28">
        <v>17592</v>
      </c>
      <c r="P827" s="27"/>
      <c r="S827" s="32"/>
    </row>
    <row r="828" spans="7:19" x14ac:dyDescent="0.3">
      <c r="G828">
        <v>1</v>
      </c>
      <c r="H828" s="26">
        <v>1948.0000000026901</v>
      </c>
      <c r="I828" s="3">
        <v>27.104908000000002</v>
      </c>
      <c r="L828" s="28">
        <v>17563</v>
      </c>
      <c r="P828" s="27"/>
      <c r="S828" s="32"/>
    </row>
    <row r="829" spans="7:19" x14ac:dyDescent="0.3">
      <c r="G829">
        <v>12</v>
      </c>
      <c r="H829" s="26">
        <v>1947.91666666936</v>
      </c>
      <c r="I829" s="3">
        <v>27.560839999999999</v>
      </c>
      <c r="L829" s="28">
        <v>17532</v>
      </c>
      <c r="P829" s="27"/>
      <c r="S829" s="32"/>
    </row>
    <row r="830" spans="7:19" x14ac:dyDescent="0.3">
      <c r="G830">
        <v>11</v>
      </c>
      <c r="H830" s="26">
        <v>1947.8333333360299</v>
      </c>
      <c r="I830" s="3">
        <v>28.541011999999998</v>
      </c>
      <c r="L830" s="28">
        <v>17501</v>
      </c>
      <c r="P830" s="27"/>
      <c r="S830" s="32"/>
    </row>
    <row r="831" spans="7:19" x14ac:dyDescent="0.3">
      <c r="G831">
        <v>10</v>
      </c>
      <c r="H831" s="26">
        <v>1947.7500000027001</v>
      </c>
      <c r="I831" s="3">
        <v>28.636914999999998</v>
      </c>
      <c r="L831" s="28">
        <v>17471</v>
      </c>
      <c r="P831" s="27"/>
    </row>
    <row r="832" spans="7:19" x14ac:dyDescent="0.3">
      <c r="G832">
        <v>9</v>
      </c>
      <c r="H832" s="26">
        <v>1947.66666666937</v>
      </c>
      <c r="I832" s="3">
        <v>28.485499999999998</v>
      </c>
      <c r="L832" s="28">
        <v>17440</v>
      </c>
      <c r="P832" s="27"/>
      <c r="S832" s="32"/>
    </row>
    <row r="833" spans="7:19" x14ac:dyDescent="0.3">
      <c r="G833">
        <v>8</v>
      </c>
      <c r="H833" s="26">
        <v>1947.5833333360399</v>
      </c>
      <c r="I833" s="3">
        <v>28.194275000000001</v>
      </c>
      <c r="L833" s="28">
        <v>17410</v>
      </c>
      <c r="P833" s="27"/>
      <c r="S833" s="32"/>
    </row>
    <row r="834" spans="7:19" x14ac:dyDescent="0.3">
      <c r="G834">
        <v>7</v>
      </c>
      <c r="H834" s="26">
        <v>1947.5000000027101</v>
      </c>
      <c r="I834" s="3">
        <v>27.927374</v>
      </c>
      <c r="L834" s="28">
        <v>17379</v>
      </c>
      <c r="P834" s="27"/>
      <c r="S834" s="32"/>
    </row>
    <row r="835" spans="7:19" x14ac:dyDescent="0.3">
      <c r="G835">
        <v>6</v>
      </c>
      <c r="H835" s="26">
        <v>1947.41666666938</v>
      </c>
      <c r="I835" s="3">
        <v>28.354198</v>
      </c>
      <c r="L835" s="28">
        <v>17348</v>
      </c>
      <c r="P835" s="27"/>
      <c r="S835" s="32"/>
    </row>
    <row r="836" spans="7:19" x14ac:dyDescent="0.3">
      <c r="G836">
        <v>5</v>
      </c>
      <c r="H836" s="26">
        <v>1947.3333333360499</v>
      </c>
      <c r="I836" s="3">
        <v>27.88618</v>
      </c>
      <c r="L836" s="28">
        <v>17318</v>
      </c>
      <c r="P836" s="27"/>
      <c r="S836" s="32"/>
    </row>
    <row r="837" spans="7:19" x14ac:dyDescent="0.3">
      <c r="G837">
        <v>4</v>
      </c>
      <c r="H837" s="26">
        <v>1947.2500000027201</v>
      </c>
      <c r="I837" s="3">
        <v>27.222694000000001</v>
      </c>
      <c r="L837" s="28">
        <v>17287</v>
      </c>
      <c r="P837" s="27"/>
      <c r="S837" s="32"/>
    </row>
    <row r="838" spans="7:19" x14ac:dyDescent="0.3">
      <c r="G838">
        <v>3</v>
      </c>
      <c r="H838" s="26">
        <v>1947.16666666939</v>
      </c>
      <c r="I838" s="3">
        <v>26.921001</v>
      </c>
      <c r="L838" s="28">
        <v>17257</v>
      </c>
      <c r="P838" s="27"/>
      <c r="S838" s="32"/>
    </row>
    <row r="839" spans="7:19" x14ac:dyDescent="0.3">
      <c r="G839">
        <v>2</v>
      </c>
      <c r="H839" s="26">
        <v>1947.0833333360599</v>
      </c>
      <c r="I839" s="3">
        <v>26.98639</v>
      </c>
      <c r="L839" s="28">
        <v>17226</v>
      </c>
      <c r="P839" s="27"/>
      <c r="S839" s="32"/>
    </row>
    <row r="840" spans="7:19" x14ac:dyDescent="0.3">
      <c r="G840">
        <v>1</v>
      </c>
      <c r="H840" s="26">
        <v>1947.0000000027301</v>
      </c>
      <c r="I840" s="3">
        <v>26.827491999999999</v>
      </c>
      <c r="L840" s="28">
        <v>17198</v>
      </c>
      <c r="P840" s="27"/>
      <c r="S840" s="32"/>
    </row>
    <row r="841" spans="7:19" x14ac:dyDescent="0.3">
      <c r="G841">
        <v>12</v>
      </c>
      <c r="H841" s="26">
        <v>1946.9166666694</v>
      </c>
      <c r="I841" s="3">
        <v>27.641590000000001</v>
      </c>
      <c r="L841" s="28">
        <v>17167</v>
      </c>
      <c r="P841" s="27"/>
      <c r="S841" s="32"/>
    </row>
    <row r="842" spans="7:19" x14ac:dyDescent="0.3">
      <c r="G842">
        <v>11</v>
      </c>
      <c r="H842" s="26">
        <v>1946.8333333360699</v>
      </c>
      <c r="I842" s="3">
        <v>28.4102</v>
      </c>
      <c r="L842" s="28">
        <v>17136</v>
      </c>
      <c r="P842" s="27"/>
      <c r="S842" s="32"/>
    </row>
    <row r="843" spans="7:19" x14ac:dyDescent="0.3">
      <c r="G843">
        <v>10</v>
      </c>
      <c r="H843" s="26">
        <v>1946.7500000027401</v>
      </c>
      <c r="I843" s="3">
        <v>29.010235000000002</v>
      </c>
      <c r="L843" s="28">
        <v>17106</v>
      </c>
      <c r="P843" s="27"/>
      <c r="S843" s="32"/>
    </row>
    <row r="844" spans="7:19" x14ac:dyDescent="0.3">
      <c r="G844">
        <v>9</v>
      </c>
      <c r="H844" s="26">
        <v>1946.66666666941</v>
      </c>
      <c r="I844" s="3">
        <v>28.822234999999999</v>
      </c>
      <c r="L844" s="28">
        <v>17075</v>
      </c>
      <c r="P844" s="27"/>
    </row>
    <row r="845" spans="7:19" x14ac:dyDescent="0.3">
      <c r="G845">
        <v>8</v>
      </c>
      <c r="H845" s="26">
        <v>1946.5833333360799</v>
      </c>
      <c r="I845" s="3">
        <v>28.261935999999999</v>
      </c>
      <c r="L845" s="28">
        <v>17045</v>
      </c>
      <c r="P845" s="27"/>
      <c r="S845" s="32"/>
    </row>
    <row r="846" spans="7:19" x14ac:dyDescent="0.3">
      <c r="G846">
        <v>7</v>
      </c>
      <c r="H846" s="26">
        <v>1946.5000000027501</v>
      </c>
      <c r="I846" s="3">
        <v>27.728003999999999</v>
      </c>
      <c r="L846" s="28">
        <v>17014</v>
      </c>
      <c r="P846" s="27"/>
      <c r="S846" s="32"/>
    </row>
    <row r="847" spans="7:19" x14ac:dyDescent="0.3">
      <c r="G847">
        <v>6</v>
      </c>
      <c r="H847" s="26">
        <v>1946.41666666942</v>
      </c>
      <c r="I847" s="3">
        <v>28.653347</v>
      </c>
      <c r="L847" s="28">
        <v>16983</v>
      </c>
      <c r="P847" s="27"/>
      <c r="S847" s="32"/>
    </row>
    <row r="848" spans="7:19" x14ac:dyDescent="0.3">
      <c r="G848">
        <v>5</v>
      </c>
      <c r="H848" s="26">
        <v>1946.3333333360899</v>
      </c>
      <c r="I848" s="3">
        <v>27.945080000000001</v>
      </c>
      <c r="L848" s="28">
        <v>16953</v>
      </c>
      <c r="P848" s="27"/>
      <c r="S848" s="32"/>
    </row>
    <row r="849" spans="7:19" x14ac:dyDescent="0.3">
      <c r="G849">
        <v>4</v>
      </c>
      <c r="H849" s="26">
        <v>1946.2500000027601</v>
      </c>
      <c r="I849" s="3">
        <v>27.275192000000001</v>
      </c>
      <c r="L849" s="28">
        <v>16922</v>
      </c>
      <c r="P849" s="27"/>
      <c r="S849" s="32"/>
    </row>
    <row r="850" spans="7:19" x14ac:dyDescent="0.3">
      <c r="G850">
        <v>3</v>
      </c>
      <c r="H850" s="26">
        <v>1946.16666666943</v>
      </c>
      <c r="I850" s="3">
        <v>26.711924</v>
      </c>
      <c r="L850" s="28">
        <v>16892</v>
      </c>
      <c r="P850" s="27"/>
      <c r="S850" s="32"/>
    </row>
    <row r="851" spans="7:19" x14ac:dyDescent="0.3">
      <c r="G851">
        <v>2</v>
      </c>
      <c r="H851" s="26">
        <v>1946.0833333360999</v>
      </c>
      <c r="I851" s="3">
        <v>26.718615</v>
      </c>
      <c r="L851" s="28">
        <v>16861</v>
      </c>
      <c r="P851" s="27"/>
      <c r="S851" s="32"/>
    </row>
    <row r="852" spans="7:19" x14ac:dyDescent="0.3">
      <c r="G852">
        <v>1</v>
      </c>
      <c r="H852" s="26">
        <v>1946.0000000027701</v>
      </c>
      <c r="I852" s="3">
        <v>27.106432000000002</v>
      </c>
      <c r="L852" s="28">
        <v>16833</v>
      </c>
      <c r="P852" s="27"/>
      <c r="S852" s="32"/>
    </row>
    <row r="853" spans="7:19" x14ac:dyDescent="0.3">
      <c r="G853">
        <v>12</v>
      </c>
      <c r="H853" s="26">
        <v>1945.91666666944</v>
      </c>
      <c r="I853" s="3">
        <v>27.822153</v>
      </c>
      <c r="L853" s="28">
        <v>16802</v>
      </c>
      <c r="P853" s="27"/>
      <c r="S853" s="32"/>
    </row>
    <row r="854" spans="7:19" x14ac:dyDescent="0.3">
      <c r="G854">
        <v>11</v>
      </c>
      <c r="H854" s="26">
        <v>1945.8333333361099</v>
      </c>
      <c r="I854" s="3">
        <v>28.751761999999999</v>
      </c>
      <c r="L854" s="28">
        <v>16771</v>
      </c>
      <c r="P854" s="27"/>
      <c r="S854" s="32"/>
    </row>
    <row r="855" spans="7:19" x14ac:dyDescent="0.3">
      <c r="G855">
        <v>10</v>
      </c>
      <c r="H855" s="26">
        <v>1945.7500000027801</v>
      </c>
      <c r="I855" s="3">
        <v>28.826896999999999</v>
      </c>
      <c r="L855" s="28">
        <v>16741</v>
      </c>
      <c r="P855" s="27"/>
      <c r="S855" s="32"/>
    </row>
    <row r="856" spans="7:19" x14ac:dyDescent="0.3">
      <c r="G856">
        <v>9</v>
      </c>
      <c r="H856" s="26">
        <v>1945.66666666945</v>
      </c>
      <c r="I856" s="3">
        <v>28.657548999999999</v>
      </c>
      <c r="L856" s="28">
        <v>16710</v>
      </c>
      <c r="P856" s="27"/>
      <c r="S856" s="32"/>
    </row>
    <row r="857" spans="7:19" x14ac:dyDescent="0.3">
      <c r="G857">
        <v>8</v>
      </c>
      <c r="H857" s="26">
        <v>1945.5833333361199</v>
      </c>
      <c r="I857" s="3">
        <v>28.335106</v>
      </c>
      <c r="L857" s="28">
        <v>16680</v>
      </c>
      <c r="P857" s="27"/>
    </row>
    <row r="858" spans="7:19" x14ac:dyDescent="0.3">
      <c r="G858">
        <v>7</v>
      </c>
      <c r="H858" s="26">
        <v>1945.5000000027901</v>
      </c>
      <c r="I858" s="3">
        <v>28.169955999999999</v>
      </c>
      <c r="L858" s="28">
        <v>16649</v>
      </c>
      <c r="P858" s="27"/>
      <c r="S858" s="32"/>
    </row>
    <row r="859" spans="7:19" x14ac:dyDescent="0.3">
      <c r="G859">
        <v>6</v>
      </c>
      <c r="H859" s="26">
        <v>1945.41666666946</v>
      </c>
      <c r="I859" s="3">
        <v>28.322486999999999</v>
      </c>
      <c r="L859" s="28">
        <v>16618</v>
      </c>
      <c r="P859" s="27"/>
      <c r="S859" s="32"/>
    </row>
    <row r="860" spans="7:19" x14ac:dyDescent="0.3">
      <c r="G860">
        <v>5</v>
      </c>
      <c r="H860" s="26">
        <v>1945.33333333613</v>
      </c>
      <c r="I860" s="3">
        <v>27.78707</v>
      </c>
      <c r="L860" s="28">
        <v>16588</v>
      </c>
      <c r="P860" s="27"/>
      <c r="S860" s="32"/>
    </row>
    <row r="861" spans="7:19" x14ac:dyDescent="0.3">
      <c r="G861">
        <v>4</v>
      </c>
      <c r="H861" s="26">
        <v>1945.2500000028001</v>
      </c>
      <c r="I861" s="3">
        <v>27.287758</v>
      </c>
      <c r="L861" s="28">
        <v>16557</v>
      </c>
      <c r="P861" s="27"/>
      <c r="S861" s="32"/>
    </row>
    <row r="862" spans="7:19" x14ac:dyDescent="0.3">
      <c r="G862">
        <v>3</v>
      </c>
      <c r="H862" s="26">
        <v>1945.16666666947</v>
      </c>
      <c r="I862" s="3">
        <v>26.688521999999999</v>
      </c>
      <c r="L862" s="28">
        <v>16527</v>
      </c>
      <c r="P862" s="27"/>
      <c r="S862" s="32"/>
    </row>
    <row r="863" spans="7:19" x14ac:dyDescent="0.3">
      <c r="G863">
        <v>2</v>
      </c>
      <c r="H863" s="26">
        <v>1945.08333333614</v>
      </c>
      <c r="I863" s="3">
        <v>26.740455999999998</v>
      </c>
      <c r="L863" s="28">
        <v>16496</v>
      </c>
      <c r="P863" s="27"/>
      <c r="S863" s="32"/>
    </row>
    <row r="864" spans="7:19" x14ac:dyDescent="0.3">
      <c r="G864">
        <v>1</v>
      </c>
      <c r="H864" s="26">
        <v>1945.0000000028101</v>
      </c>
      <c r="I864" s="3">
        <v>27.149236999999999</v>
      </c>
      <c r="L864" s="28">
        <v>16468</v>
      </c>
      <c r="P864" s="27"/>
      <c r="S864" s="32"/>
    </row>
    <row r="865" spans="16:19" x14ac:dyDescent="0.3">
      <c r="P865" s="27"/>
      <c r="S865" s="32"/>
    </row>
    <row r="866" spans="16:19" x14ac:dyDescent="0.3">
      <c r="P866" s="27"/>
      <c r="S866" s="32"/>
    </row>
    <row r="867" spans="16:19" x14ac:dyDescent="0.3">
      <c r="P867" s="27"/>
      <c r="S867" s="32"/>
    </row>
    <row r="868" spans="16:19" x14ac:dyDescent="0.3">
      <c r="P868" s="27"/>
      <c r="S868" s="32"/>
    </row>
    <row r="869" spans="16:19" x14ac:dyDescent="0.3">
      <c r="P869" s="27"/>
      <c r="S869" s="32"/>
    </row>
    <row r="870" spans="16:19" x14ac:dyDescent="0.3">
      <c r="P870" s="27"/>
    </row>
    <row r="871" spans="16:19" x14ac:dyDescent="0.3">
      <c r="P871" s="27"/>
      <c r="S871" s="32"/>
    </row>
    <row r="872" spans="16:19" x14ac:dyDescent="0.3">
      <c r="P872" s="27"/>
      <c r="S872" s="32"/>
    </row>
    <row r="873" spans="16:19" x14ac:dyDescent="0.3">
      <c r="P873" s="27"/>
      <c r="S873" s="32"/>
    </row>
    <row r="874" spans="16:19" x14ac:dyDescent="0.3">
      <c r="P874" s="27"/>
      <c r="S874" s="32"/>
    </row>
    <row r="875" spans="16:19" x14ac:dyDescent="0.3">
      <c r="P875" s="27"/>
      <c r="S875" s="32"/>
    </row>
    <row r="876" spans="16:19" x14ac:dyDescent="0.3">
      <c r="P876" s="27"/>
      <c r="S876" s="32"/>
    </row>
    <row r="877" spans="16:19" x14ac:dyDescent="0.3">
      <c r="P877" s="27"/>
    </row>
    <row r="878" spans="16:19" x14ac:dyDescent="0.3">
      <c r="P878" s="27"/>
      <c r="S878" s="32"/>
    </row>
    <row r="879" spans="16:19" x14ac:dyDescent="0.3">
      <c r="P879" s="27"/>
      <c r="S879" s="32"/>
    </row>
    <row r="880" spans="16:19" x14ac:dyDescent="0.3">
      <c r="P880" s="27"/>
      <c r="S880" s="32"/>
    </row>
    <row r="881" spans="16:19" x14ac:dyDescent="0.3">
      <c r="P881" s="27"/>
      <c r="S881" s="32"/>
    </row>
    <row r="882" spans="16:19" x14ac:dyDescent="0.3">
      <c r="P882" s="27"/>
      <c r="S882" s="32"/>
    </row>
    <row r="883" spans="16:19" x14ac:dyDescent="0.3">
      <c r="P883" s="27"/>
      <c r="S883" s="32"/>
    </row>
    <row r="884" spans="16:19" x14ac:dyDescent="0.3">
      <c r="P884" s="27"/>
    </row>
    <row r="885" spans="16:19" x14ac:dyDescent="0.3">
      <c r="P885" s="27"/>
      <c r="S885" s="32"/>
    </row>
    <row r="886" spans="16:19" x14ac:dyDescent="0.3">
      <c r="P886" s="27"/>
      <c r="S886" s="32"/>
    </row>
    <row r="887" spans="16:19" x14ac:dyDescent="0.3">
      <c r="P887" s="27"/>
      <c r="S887" s="32"/>
    </row>
    <row r="888" spans="16:19" x14ac:dyDescent="0.3">
      <c r="P888" s="27"/>
      <c r="S888" s="32"/>
    </row>
    <row r="889" spans="16:19" x14ac:dyDescent="0.3">
      <c r="P889" s="27"/>
      <c r="S889" s="32"/>
    </row>
    <row r="890" spans="16:19" x14ac:dyDescent="0.3">
      <c r="P890" s="27"/>
      <c r="S890" s="32"/>
    </row>
    <row r="891" spans="16:19" x14ac:dyDescent="0.3">
      <c r="P891" s="27"/>
    </row>
    <row r="892" spans="16:19" x14ac:dyDescent="0.3">
      <c r="P892" s="27"/>
      <c r="S892" s="32"/>
    </row>
    <row r="893" spans="16:19" x14ac:dyDescent="0.3">
      <c r="P893" s="27"/>
      <c r="S893" s="32"/>
    </row>
    <row r="894" spans="16:19" x14ac:dyDescent="0.3">
      <c r="P894" s="27"/>
      <c r="S894" s="32"/>
    </row>
    <row r="895" spans="16:19" x14ac:dyDescent="0.3">
      <c r="P895" s="27"/>
      <c r="S895" s="32"/>
    </row>
    <row r="896" spans="16:19" x14ac:dyDescent="0.3">
      <c r="P896" s="27"/>
      <c r="S896" s="32"/>
    </row>
    <row r="897" spans="16:19" x14ac:dyDescent="0.3">
      <c r="P897" s="27"/>
      <c r="S897" s="32"/>
    </row>
    <row r="898" spans="16:19" x14ac:dyDescent="0.3">
      <c r="P898" s="27"/>
      <c r="S898" s="32"/>
    </row>
    <row r="899" spans="16:19" x14ac:dyDescent="0.3">
      <c r="P899" s="27"/>
      <c r="S899" s="32"/>
    </row>
    <row r="900" spans="16:19" x14ac:dyDescent="0.3">
      <c r="P900" s="27"/>
      <c r="S900" s="32"/>
    </row>
    <row r="901" spans="16:19" x14ac:dyDescent="0.3">
      <c r="P901" s="27"/>
      <c r="S901" s="32"/>
    </row>
    <row r="902" spans="16:19" x14ac:dyDescent="0.3">
      <c r="P902" s="27"/>
      <c r="S902" s="32"/>
    </row>
    <row r="903" spans="16:19" x14ac:dyDescent="0.3">
      <c r="P903" s="27"/>
      <c r="S903" s="32"/>
    </row>
    <row r="904" spans="16:19" x14ac:dyDescent="0.3">
      <c r="P904" s="27"/>
      <c r="S904" s="32"/>
    </row>
    <row r="905" spans="16:19" x14ac:dyDescent="0.3">
      <c r="P905" s="27"/>
      <c r="S905" s="32"/>
    </row>
    <row r="906" spans="16:19" x14ac:dyDescent="0.3">
      <c r="P906" s="27"/>
      <c r="S906" s="32"/>
    </row>
    <row r="907" spans="16:19" x14ac:dyDescent="0.3">
      <c r="P907" s="27"/>
      <c r="S907" s="32"/>
    </row>
    <row r="908" spans="16:19" x14ac:dyDescent="0.3">
      <c r="P908" s="27"/>
      <c r="S908" s="32"/>
    </row>
    <row r="909" spans="16:19" x14ac:dyDescent="0.3">
      <c r="P909" s="27"/>
      <c r="S909" s="32"/>
    </row>
    <row r="910" spans="16:19" x14ac:dyDescent="0.3">
      <c r="P910" s="27"/>
      <c r="S910" s="32"/>
    </row>
    <row r="911" spans="16:19" x14ac:dyDescent="0.3">
      <c r="P911" s="27"/>
      <c r="S911" s="32"/>
    </row>
    <row r="912" spans="16:19" x14ac:dyDescent="0.3">
      <c r="P912" s="27"/>
      <c r="S912" s="32"/>
    </row>
    <row r="913" spans="16:19" x14ac:dyDescent="0.3">
      <c r="P913" s="27"/>
      <c r="S913" s="32"/>
    </row>
    <row r="914" spans="16:19" x14ac:dyDescent="0.3">
      <c r="P914" s="27"/>
      <c r="S914" s="32"/>
    </row>
    <row r="915" spans="16:19" x14ac:dyDescent="0.3">
      <c r="P915" s="27"/>
      <c r="S915" s="32"/>
    </row>
    <row r="916" spans="16:19" x14ac:dyDescent="0.3">
      <c r="P916" s="27"/>
      <c r="S916" s="32"/>
    </row>
    <row r="917" spans="16:19" x14ac:dyDescent="0.3">
      <c r="P917" s="27"/>
      <c r="S917" s="32"/>
    </row>
    <row r="918" spans="16:19" x14ac:dyDescent="0.3">
      <c r="P918" s="27"/>
      <c r="S918" s="32"/>
    </row>
    <row r="919" spans="16:19" x14ac:dyDescent="0.3">
      <c r="P919" s="27"/>
      <c r="S919" s="32"/>
    </row>
    <row r="920" spans="16:19" x14ac:dyDescent="0.3">
      <c r="P920" s="27"/>
      <c r="S920" s="32"/>
    </row>
    <row r="921" spans="16:19" x14ac:dyDescent="0.3">
      <c r="P921" s="27"/>
      <c r="S921" s="32"/>
    </row>
    <row r="922" spans="16:19" x14ac:dyDescent="0.3">
      <c r="P922" s="27"/>
    </row>
    <row r="923" spans="16:19" x14ac:dyDescent="0.3">
      <c r="P923" s="27"/>
      <c r="S923" s="32"/>
    </row>
    <row r="924" spans="16:19" x14ac:dyDescent="0.3">
      <c r="P924" s="27"/>
      <c r="S924" s="32"/>
    </row>
    <row r="925" spans="16:19" x14ac:dyDescent="0.3">
      <c r="P925" s="27"/>
      <c r="S925" s="32"/>
    </row>
    <row r="926" spans="16:19" x14ac:dyDescent="0.3">
      <c r="P926" s="27"/>
      <c r="S926" s="32"/>
    </row>
    <row r="927" spans="16:19" x14ac:dyDescent="0.3">
      <c r="P927" s="27"/>
      <c r="S927" s="32"/>
    </row>
    <row r="928" spans="16:19" x14ac:dyDescent="0.3">
      <c r="P928" s="27"/>
      <c r="S928" s="32"/>
    </row>
    <row r="929" spans="16:19" x14ac:dyDescent="0.3">
      <c r="P929" s="27"/>
      <c r="S929" s="32"/>
    </row>
    <row r="930" spans="16:19" x14ac:dyDescent="0.3">
      <c r="P930" s="27"/>
      <c r="S930" s="32"/>
    </row>
    <row r="931" spans="16:19" x14ac:dyDescent="0.3">
      <c r="P931" s="27"/>
      <c r="S931" s="32"/>
    </row>
    <row r="932" spans="16:19" x14ac:dyDescent="0.3">
      <c r="P932" s="27"/>
      <c r="S932" s="32"/>
    </row>
    <row r="933" spans="16:19" x14ac:dyDescent="0.3">
      <c r="P933" s="27"/>
      <c r="S933" s="32"/>
    </row>
    <row r="934" spans="16:19" x14ac:dyDescent="0.3">
      <c r="P934" s="27"/>
      <c r="S934" s="32"/>
    </row>
    <row r="935" spans="16:19" x14ac:dyDescent="0.3">
      <c r="P935" s="27"/>
      <c r="S935" s="32"/>
    </row>
    <row r="936" spans="16:19" x14ac:dyDescent="0.3">
      <c r="P936" s="27"/>
      <c r="S936" s="32"/>
    </row>
    <row r="937" spans="16:19" x14ac:dyDescent="0.3">
      <c r="P937" s="27"/>
      <c r="S937" s="32"/>
    </row>
    <row r="938" spans="16:19" x14ac:dyDescent="0.3">
      <c r="P938" s="27"/>
      <c r="S938" s="32"/>
    </row>
    <row r="939" spans="16:19" x14ac:dyDescent="0.3">
      <c r="P939" s="27"/>
      <c r="S939" s="32"/>
    </row>
    <row r="940" spans="16:19" x14ac:dyDescent="0.3">
      <c r="P940" s="27"/>
      <c r="S940" s="32"/>
    </row>
    <row r="941" spans="16:19" x14ac:dyDescent="0.3">
      <c r="P941" s="27"/>
      <c r="S941" s="32"/>
    </row>
    <row r="942" spans="16:19" x14ac:dyDescent="0.3">
      <c r="P942" s="27"/>
      <c r="S942" s="32"/>
    </row>
    <row r="943" spans="16:19" x14ac:dyDescent="0.3">
      <c r="P943" s="27"/>
      <c r="S943" s="32"/>
    </row>
    <row r="944" spans="16:19" x14ac:dyDescent="0.3">
      <c r="P944" s="27"/>
      <c r="S944" s="32"/>
    </row>
    <row r="945" spans="16:19" x14ac:dyDescent="0.3">
      <c r="P945" s="27"/>
      <c r="S945" s="32"/>
    </row>
    <row r="946" spans="16:19" x14ac:dyDescent="0.3">
      <c r="P946" s="27"/>
      <c r="S946" s="32"/>
    </row>
    <row r="947" spans="16:19" x14ac:dyDescent="0.3">
      <c r="P947" s="27"/>
      <c r="S947" s="32"/>
    </row>
    <row r="948" spans="16:19" x14ac:dyDescent="0.3">
      <c r="P948" s="27"/>
      <c r="S948" s="32"/>
    </row>
    <row r="949" spans="16:19" x14ac:dyDescent="0.3">
      <c r="P949" s="27"/>
      <c r="S949" s="32"/>
    </row>
    <row r="950" spans="16:19" x14ac:dyDescent="0.3">
      <c r="P950" s="27"/>
      <c r="S950" s="32"/>
    </row>
    <row r="951" spans="16:19" x14ac:dyDescent="0.3">
      <c r="P951" s="27"/>
    </row>
    <row r="952" spans="16:19" x14ac:dyDescent="0.3">
      <c r="P952" s="27"/>
      <c r="S952" s="32"/>
    </row>
    <row r="953" spans="16:19" x14ac:dyDescent="0.3">
      <c r="P953" s="27"/>
      <c r="S953" s="32"/>
    </row>
    <row r="954" spans="16:19" x14ac:dyDescent="0.3">
      <c r="P954" s="27"/>
      <c r="S954" s="32"/>
    </row>
    <row r="955" spans="16:19" x14ac:dyDescent="0.3">
      <c r="P955" s="27"/>
      <c r="S955" s="32"/>
    </row>
    <row r="956" spans="16:19" x14ac:dyDescent="0.3">
      <c r="P956" s="27"/>
      <c r="S956" s="32"/>
    </row>
    <row r="957" spans="16:19" x14ac:dyDescent="0.3">
      <c r="P957" s="27"/>
      <c r="S957" s="32"/>
    </row>
    <row r="958" spans="16:19" x14ac:dyDescent="0.3">
      <c r="P958" s="27"/>
      <c r="S958" s="32"/>
    </row>
    <row r="959" spans="16:19" x14ac:dyDescent="0.3">
      <c r="P959" s="27"/>
      <c r="S959" s="32"/>
    </row>
    <row r="960" spans="16:19" x14ac:dyDescent="0.3">
      <c r="P960" s="27"/>
      <c r="S960" s="32"/>
    </row>
    <row r="961" spans="16:19" x14ac:dyDescent="0.3">
      <c r="P961" s="27"/>
      <c r="S961" s="32"/>
    </row>
    <row r="962" spans="16:19" x14ac:dyDescent="0.3">
      <c r="P962" s="27"/>
      <c r="S962" s="32"/>
    </row>
    <row r="963" spans="16:19" x14ac:dyDescent="0.3">
      <c r="P963" s="27"/>
      <c r="S963" s="32"/>
    </row>
    <row r="964" spans="16:19" x14ac:dyDescent="0.3">
      <c r="P964" s="27"/>
      <c r="S964" s="32"/>
    </row>
    <row r="965" spans="16:19" x14ac:dyDescent="0.3">
      <c r="P965" s="27"/>
      <c r="S965" s="32"/>
    </row>
    <row r="966" spans="16:19" x14ac:dyDescent="0.3">
      <c r="P966" s="27"/>
      <c r="S966" s="32"/>
    </row>
    <row r="967" spans="16:19" x14ac:dyDescent="0.3">
      <c r="P967" s="27"/>
      <c r="S967" s="32"/>
    </row>
    <row r="968" spans="16:19" x14ac:dyDescent="0.3">
      <c r="P968" s="27"/>
      <c r="S968" s="32"/>
    </row>
    <row r="969" spans="16:19" x14ac:dyDescent="0.3">
      <c r="P969" s="27"/>
      <c r="S969" s="32"/>
    </row>
    <row r="970" spans="16:19" x14ac:dyDescent="0.3">
      <c r="P970" s="27"/>
      <c r="S970" s="32"/>
    </row>
    <row r="971" spans="16:19" x14ac:dyDescent="0.3">
      <c r="P971" s="27"/>
      <c r="S971" s="32"/>
    </row>
    <row r="972" spans="16:19" x14ac:dyDescent="0.3">
      <c r="P972" s="27"/>
      <c r="S972" s="32"/>
    </row>
    <row r="973" spans="16:19" x14ac:dyDescent="0.3">
      <c r="P973" s="27"/>
      <c r="S973" s="32"/>
    </row>
    <row r="974" spans="16:19" x14ac:dyDescent="0.3">
      <c r="P974" s="27"/>
      <c r="S974" s="32"/>
    </row>
    <row r="975" spans="16:19" x14ac:dyDescent="0.3">
      <c r="P975" s="27"/>
      <c r="S975" s="32"/>
    </row>
    <row r="976" spans="16:19" x14ac:dyDescent="0.3">
      <c r="P976" s="27"/>
      <c r="S976" s="32"/>
    </row>
    <row r="977" spans="16:19" x14ac:dyDescent="0.3">
      <c r="P977" s="27"/>
      <c r="S977" s="32"/>
    </row>
    <row r="978" spans="16:19" x14ac:dyDescent="0.3">
      <c r="P978" s="27"/>
      <c r="S978" s="32"/>
    </row>
    <row r="979" spans="16:19" x14ac:dyDescent="0.3">
      <c r="P979" s="27"/>
      <c r="S979" s="32"/>
    </row>
    <row r="980" spans="16:19" x14ac:dyDescent="0.3">
      <c r="P980" s="27"/>
      <c r="S980" s="32"/>
    </row>
    <row r="981" spans="16:19" x14ac:dyDescent="0.3">
      <c r="P981" s="27"/>
      <c r="S981" s="32"/>
    </row>
    <row r="982" spans="16:19" x14ac:dyDescent="0.3">
      <c r="P982" s="27"/>
      <c r="S982" s="32"/>
    </row>
    <row r="983" spans="16:19" x14ac:dyDescent="0.3">
      <c r="P983" s="27"/>
      <c r="S983" s="32"/>
    </row>
    <row r="984" spans="16:19" x14ac:dyDescent="0.3">
      <c r="P984" s="27"/>
      <c r="S984" s="32"/>
    </row>
    <row r="985" spans="16:19" x14ac:dyDescent="0.3">
      <c r="P985" s="27"/>
      <c r="S985" s="32"/>
    </row>
    <row r="986" spans="16:19" x14ac:dyDescent="0.3">
      <c r="P986" s="27"/>
      <c r="S986" s="32"/>
    </row>
    <row r="987" spans="16:19" x14ac:dyDescent="0.3">
      <c r="P987" s="27"/>
      <c r="S987" s="32"/>
    </row>
    <row r="988" spans="16:19" x14ac:dyDescent="0.3">
      <c r="P988" s="27"/>
      <c r="S988" s="32"/>
    </row>
    <row r="989" spans="16:19" x14ac:dyDescent="0.3">
      <c r="P989" s="27"/>
      <c r="S989" s="32"/>
    </row>
    <row r="990" spans="16:19" x14ac:dyDescent="0.3">
      <c r="P990" s="27"/>
      <c r="S990" s="32"/>
    </row>
    <row r="991" spans="16:19" x14ac:dyDescent="0.3">
      <c r="P991" s="27"/>
      <c r="S991" s="32"/>
    </row>
    <row r="992" spans="16:19" x14ac:dyDescent="0.3">
      <c r="P992" s="27"/>
      <c r="S992" s="32"/>
    </row>
    <row r="993" spans="16:19" x14ac:dyDescent="0.3">
      <c r="P993" s="27"/>
      <c r="S993" s="32"/>
    </row>
    <row r="994" spans="16:19" x14ac:dyDescent="0.3">
      <c r="P994" s="27"/>
      <c r="S994" s="32"/>
    </row>
    <row r="995" spans="16:19" x14ac:dyDescent="0.3">
      <c r="P995" s="27"/>
      <c r="S995" s="32"/>
    </row>
    <row r="996" spans="16:19" x14ac:dyDescent="0.3">
      <c r="P996" s="27"/>
      <c r="S996" s="32"/>
    </row>
    <row r="997" spans="16:19" x14ac:dyDescent="0.3">
      <c r="P997" s="27"/>
      <c r="S997" s="32"/>
    </row>
    <row r="998" spans="16:19" x14ac:dyDescent="0.3">
      <c r="P998" s="27"/>
      <c r="S998" s="32"/>
    </row>
    <row r="999" spans="16:19" x14ac:dyDescent="0.3">
      <c r="P999" s="27"/>
      <c r="S999" s="32"/>
    </row>
    <row r="1000" spans="16:19" x14ac:dyDescent="0.3">
      <c r="P1000" s="27"/>
      <c r="S1000" s="32"/>
    </row>
    <row r="1001" spans="16:19" x14ac:dyDescent="0.3">
      <c r="P1001" s="27"/>
      <c r="S1001" s="32"/>
    </row>
    <row r="1002" spans="16:19" x14ac:dyDescent="0.3">
      <c r="P1002" s="27"/>
      <c r="S1002" s="32"/>
    </row>
    <row r="1003" spans="16:19" x14ac:dyDescent="0.3">
      <c r="P1003" s="27"/>
      <c r="S1003" s="32"/>
    </row>
    <row r="1004" spans="16:19" x14ac:dyDescent="0.3">
      <c r="P1004" s="27"/>
      <c r="S1004" s="32"/>
    </row>
    <row r="1005" spans="16:19" x14ac:dyDescent="0.3">
      <c r="P1005" s="27"/>
      <c r="S1005" s="32"/>
    </row>
    <row r="1006" spans="16:19" x14ac:dyDescent="0.3">
      <c r="P1006" s="27"/>
      <c r="S1006" s="32"/>
    </row>
    <row r="1007" spans="16:19" x14ac:dyDescent="0.3">
      <c r="P1007" s="27"/>
      <c r="S1007" s="32"/>
    </row>
    <row r="1008" spans="16:19" x14ac:dyDescent="0.3">
      <c r="P1008" s="27"/>
      <c r="S1008" s="32"/>
    </row>
    <row r="1009" spans="16:19" x14ac:dyDescent="0.3">
      <c r="P1009" s="27"/>
      <c r="S1009" s="32"/>
    </row>
    <row r="1010" spans="16:19" x14ac:dyDescent="0.3">
      <c r="P1010" s="27"/>
      <c r="S1010" s="32"/>
    </row>
    <row r="1011" spans="16:19" x14ac:dyDescent="0.3">
      <c r="P1011" s="27"/>
      <c r="S1011" s="32"/>
    </row>
    <row r="1012" spans="16:19" x14ac:dyDescent="0.3">
      <c r="P1012" s="27"/>
      <c r="S1012" s="32"/>
    </row>
    <row r="1013" spans="16:19" x14ac:dyDescent="0.3">
      <c r="P1013" s="27"/>
      <c r="S1013" s="32"/>
    </row>
    <row r="1014" spans="16:19" x14ac:dyDescent="0.3">
      <c r="P1014" s="27"/>
      <c r="S1014" s="32"/>
    </row>
    <row r="1015" spans="16:19" x14ac:dyDescent="0.3">
      <c r="P1015" s="27"/>
      <c r="S1015" s="32"/>
    </row>
    <row r="1016" spans="16:19" x14ac:dyDescent="0.3">
      <c r="P1016" s="27"/>
      <c r="S1016" s="32"/>
    </row>
    <row r="1017" spans="16:19" x14ac:dyDescent="0.3">
      <c r="P1017" s="27"/>
      <c r="S1017" s="32"/>
    </row>
    <row r="1018" spans="16:19" x14ac:dyDescent="0.3">
      <c r="P1018" s="27"/>
      <c r="S1018" s="32"/>
    </row>
    <row r="1019" spans="16:19" x14ac:dyDescent="0.3">
      <c r="P1019" s="27"/>
      <c r="S1019" s="32"/>
    </row>
    <row r="1020" spans="16:19" x14ac:dyDescent="0.3">
      <c r="P1020" s="27"/>
      <c r="S1020" s="32"/>
    </row>
    <row r="1021" spans="16:19" x14ac:dyDescent="0.3">
      <c r="P1021" s="27"/>
      <c r="S1021" s="32"/>
    </row>
    <row r="1022" spans="16:19" x14ac:dyDescent="0.3">
      <c r="P1022" s="27"/>
      <c r="S1022" s="32"/>
    </row>
    <row r="1023" spans="16:19" x14ac:dyDescent="0.3">
      <c r="P1023" s="27"/>
      <c r="S1023" s="32"/>
    </row>
    <row r="1024" spans="16:19" x14ac:dyDescent="0.3">
      <c r="P1024" s="27"/>
      <c r="S1024" s="32"/>
    </row>
    <row r="1025" spans="16:19" x14ac:dyDescent="0.3">
      <c r="P1025" s="27"/>
      <c r="S1025" s="32"/>
    </row>
    <row r="1026" spans="16:19" x14ac:dyDescent="0.3">
      <c r="P1026" s="27"/>
      <c r="S1026" s="32"/>
    </row>
    <row r="1027" spans="16:19" x14ac:dyDescent="0.3">
      <c r="P1027" s="27"/>
      <c r="S1027" s="32"/>
    </row>
    <row r="1028" spans="16:19" x14ac:dyDescent="0.3">
      <c r="P1028" s="27"/>
      <c r="S1028" s="32"/>
    </row>
    <row r="1029" spans="16:19" x14ac:dyDescent="0.3">
      <c r="P1029" s="27"/>
      <c r="S1029" s="32"/>
    </row>
    <row r="1030" spans="16:19" x14ac:dyDescent="0.3">
      <c r="P1030" s="27"/>
      <c r="S1030" s="32"/>
    </row>
    <row r="1031" spans="16:19" x14ac:dyDescent="0.3">
      <c r="P1031" s="27"/>
      <c r="S1031" s="32"/>
    </row>
    <row r="1032" spans="16:19" x14ac:dyDescent="0.3">
      <c r="P1032" s="27"/>
      <c r="S1032" s="32"/>
    </row>
    <row r="1033" spans="16:19" x14ac:dyDescent="0.3">
      <c r="P1033" s="27"/>
      <c r="S1033" s="32"/>
    </row>
    <row r="1034" spans="16:19" x14ac:dyDescent="0.3">
      <c r="P1034" s="27"/>
      <c r="S1034" s="32"/>
    </row>
    <row r="1035" spans="16:19" x14ac:dyDescent="0.3">
      <c r="P1035" s="27"/>
      <c r="S1035" s="32"/>
    </row>
    <row r="1036" spans="16:19" x14ac:dyDescent="0.3">
      <c r="P1036" s="27"/>
      <c r="S1036" s="32"/>
    </row>
    <row r="1037" spans="16:19" x14ac:dyDescent="0.3">
      <c r="P1037" s="27"/>
      <c r="S1037" s="32"/>
    </row>
    <row r="1038" spans="16:19" x14ac:dyDescent="0.3">
      <c r="P1038" s="27"/>
      <c r="S1038" s="32"/>
    </row>
    <row r="1039" spans="16:19" x14ac:dyDescent="0.3">
      <c r="P1039" s="27"/>
      <c r="S1039" s="32"/>
    </row>
    <row r="1040" spans="16:19" x14ac:dyDescent="0.3">
      <c r="P1040" s="27"/>
      <c r="S1040" s="32"/>
    </row>
    <row r="1041" spans="16:19" x14ac:dyDescent="0.3">
      <c r="P1041" s="27"/>
      <c r="S1041" s="32"/>
    </row>
    <row r="1042" spans="16:19" x14ac:dyDescent="0.3">
      <c r="P1042" s="27"/>
      <c r="S1042" s="32"/>
    </row>
    <row r="1043" spans="16:19" x14ac:dyDescent="0.3">
      <c r="P1043" s="27"/>
      <c r="S1043" s="32"/>
    </row>
    <row r="1044" spans="16:19" x14ac:dyDescent="0.3">
      <c r="P1044" s="27"/>
      <c r="S1044" s="32"/>
    </row>
    <row r="1045" spans="16:19" x14ac:dyDescent="0.3">
      <c r="P1045" s="27"/>
      <c r="S1045" s="32"/>
    </row>
    <row r="1046" spans="16:19" x14ac:dyDescent="0.3">
      <c r="P1046" s="27"/>
      <c r="S1046" s="32"/>
    </row>
    <row r="1047" spans="16:19" x14ac:dyDescent="0.3">
      <c r="P1047" s="27"/>
      <c r="S1047" s="32"/>
    </row>
    <row r="1048" spans="16:19" x14ac:dyDescent="0.3">
      <c r="P1048" s="27"/>
      <c r="S1048" s="32"/>
    </row>
    <row r="1049" spans="16:19" x14ac:dyDescent="0.3">
      <c r="P1049" s="27"/>
      <c r="S1049" s="32"/>
    </row>
    <row r="1050" spans="16:19" x14ac:dyDescent="0.3">
      <c r="P1050" s="27"/>
      <c r="S1050" s="32"/>
    </row>
    <row r="1051" spans="16:19" x14ac:dyDescent="0.3">
      <c r="P1051" s="27"/>
      <c r="S1051" s="32"/>
    </row>
    <row r="1052" spans="16:19" x14ac:dyDescent="0.3">
      <c r="P1052" s="27"/>
      <c r="S1052" s="32"/>
    </row>
    <row r="1053" spans="16:19" x14ac:dyDescent="0.3">
      <c r="P1053" s="27"/>
      <c r="S1053" s="32"/>
    </row>
    <row r="1054" spans="16:19" x14ac:dyDescent="0.3">
      <c r="P1054" s="27"/>
      <c r="S1054" s="32"/>
    </row>
    <row r="1055" spans="16:19" x14ac:dyDescent="0.3">
      <c r="P1055" s="27"/>
      <c r="S1055" s="32"/>
    </row>
    <row r="1056" spans="16:19" x14ac:dyDescent="0.3">
      <c r="P1056" s="27"/>
      <c r="S1056" s="32"/>
    </row>
    <row r="1057" spans="16:19" x14ac:dyDescent="0.3">
      <c r="P1057" s="27"/>
    </row>
    <row r="1058" spans="16:19" x14ac:dyDescent="0.3">
      <c r="P1058" s="27"/>
      <c r="S1058" s="32"/>
    </row>
    <row r="1059" spans="16:19" x14ac:dyDescent="0.3">
      <c r="P1059" s="27"/>
      <c r="S1059" s="32"/>
    </row>
    <row r="1060" spans="16:19" x14ac:dyDescent="0.3">
      <c r="P1060" s="27"/>
      <c r="S1060" s="32"/>
    </row>
    <row r="1061" spans="16:19" x14ac:dyDescent="0.3">
      <c r="P1061" s="27"/>
      <c r="S1061" s="32"/>
    </row>
    <row r="1062" spans="16:19" x14ac:dyDescent="0.3">
      <c r="P1062" s="27"/>
      <c r="S1062" s="32"/>
    </row>
    <row r="1063" spans="16:19" x14ac:dyDescent="0.3">
      <c r="P1063" s="27"/>
      <c r="S1063" s="32"/>
    </row>
    <row r="1064" spans="16:19" x14ac:dyDescent="0.3">
      <c r="P1064" s="27"/>
      <c r="S1064" s="32"/>
    </row>
    <row r="1065" spans="16:19" x14ac:dyDescent="0.3">
      <c r="P1065" s="27"/>
      <c r="S1065" s="32"/>
    </row>
    <row r="1066" spans="16:19" x14ac:dyDescent="0.3">
      <c r="P1066" s="27"/>
      <c r="S1066" s="32"/>
    </row>
    <row r="1067" spans="16:19" x14ac:dyDescent="0.3">
      <c r="P1067" s="27"/>
      <c r="S1067" s="32"/>
    </row>
    <row r="1068" spans="16:19" x14ac:dyDescent="0.3">
      <c r="P1068" s="27"/>
      <c r="S1068" s="32"/>
    </row>
    <row r="1069" spans="16:19" x14ac:dyDescent="0.3">
      <c r="P1069" s="27"/>
      <c r="S1069" s="32"/>
    </row>
    <row r="1070" spans="16:19" x14ac:dyDescent="0.3">
      <c r="P1070" s="27"/>
      <c r="S1070" s="32"/>
    </row>
    <row r="1071" spans="16:19" x14ac:dyDescent="0.3">
      <c r="P1071" s="27"/>
      <c r="S1071" s="32"/>
    </row>
    <row r="1072" spans="16:19" x14ac:dyDescent="0.3">
      <c r="P1072" s="27"/>
      <c r="S1072" s="32"/>
    </row>
    <row r="1073" spans="16:19" x14ac:dyDescent="0.3">
      <c r="P1073" s="27"/>
      <c r="S1073" s="32"/>
    </row>
    <row r="1074" spans="16:19" x14ac:dyDescent="0.3">
      <c r="P1074" s="27"/>
      <c r="S1074" s="32"/>
    </row>
    <row r="1075" spans="16:19" x14ac:dyDescent="0.3">
      <c r="P1075" s="27"/>
      <c r="S1075" s="32"/>
    </row>
    <row r="1076" spans="16:19" x14ac:dyDescent="0.3">
      <c r="P1076" s="27"/>
    </row>
    <row r="1077" spans="16:19" x14ac:dyDescent="0.3">
      <c r="P1077" s="27"/>
      <c r="S1077" s="32"/>
    </row>
    <row r="1078" spans="16:19" x14ac:dyDescent="0.3">
      <c r="P1078" s="27"/>
      <c r="S1078" s="32"/>
    </row>
    <row r="1079" spans="16:19" x14ac:dyDescent="0.3">
      <c r="P1079" s="27"/>
      <c r="S1079" s="32"/>
    </row>
    <row r="1080" spans="16:19" x14ac:dyDescent="0.3">
      <c r="P1080" s="27"/>
      <c r="S1080" s="32"/>
    </row>
    <row r="1081" spans="16:19" x14ac:dyDescent="0.3">
      <c r="P1081" s="27"/>
      <c r="S1081" s="32"/>
    </row>
    <row r="1082" spans="16:19" x14ac:dyDescent="0.3">
      <c r="P1082" s="27"/>
      <c r="S1082" s="32"/>
    </row>
    <row r="1083" spans="16:19" x14ac:dyDescent="0.3">
      <c r="P1083" s="27"/>
      <c r="S1083" s="32"/>
    </row>
    <row r="1084" spans="16:19" x14ac:dyDescent="0.3">
      <c r="P1084" s="27"/>
      <c r="S1084" s="32"/>
    </row>
    <row r="1085" spans="16:19" x14ac:dyDescent="0.3">
      <c r="P1085" s="27"/>
      <c r="S1085" s="32"/>
    </row>
    <row r="1086" spans="16:19" x14ac:dyDescent="0.3">
      <c r="P1086" s="27"/>
      <c r="S1086" s="32"/>
    </row>
    <row r="1087" spans="16:19" x14ac:dyDescent="0.3">
      <c r="P1087" s="27"/>
    </row>
    <row r="1088" spans="16:19" x14ac:dyDescent="0.3">
      <c r="P1088" s="27"/>
      <c r="S1088" s="32"/>
    </row>
    <row r="1089" spans="16:19" x14ac:dyDescent="0.3">
      <c r="P1089" s="27"/>
      <c r="S1089" s="32"/>
    </row>
    <row r="1090" spans="16:19" x14ac:dyDescent="0.3">
      <c r="P1090" s="27"/>
      <c r="S1090" s="32"/>
    </row>
    <row r="1091" spans="16:19" x14ac:dyDescent="0.3">
      <c r="P1091" s="27"/>
      <c r="S1091" s="32"/>
    </row>
    <row r="1092" spans="16:19" x14ac:dyDescent="0.3">
      <c r="P1092" s="27"/>
      <c r="S1092" s="32"/>
    </row>
    <row r="1093" spans="16:19" x14ac:dyDescent="0.3">
      <c r="P1093" s="27"/>
      <c r="S1093" s="32"/>
    </row>
    <row r="1094" spans="16:19" x14ac:dyDescent="0.3">
      <c r="P1094" s="27"/>
      <c r="S1094" s="32"/>
    </row>
    <row r="1095" spans="16:19" x14ac:dyDescent="0.3">
      <c r="P1095" s="27"/>
      <c r="S1095" s="32"/>
    </row>
    <row r="1096" spans="16:19" x14ac:dyDescent="0.3">
      <c r="P1096" s="27"/>
      <c r="S1096" s="32"/>
    </row>
    <row r="1097" spans="16:19" x14ac:dyDescent="0.3">
      <c r="P1097" s="27"/>
      <c r="S1097" s="32"/>
    </row>
    <row r="1098" spans="16:19" x14ac:dyDescent="0.3">
      <c r="P1098" s="27"/>
    </row>
    <row r="1099" spans="16:19" x14ac:dyDescent="0.3">
      <c r="P1099" s="27"/>
      <c r="S1099" s="32"/>
    </row>
    <row r="1100" spans="16:19" x14ac:dyDescent="0.3">
      <c r="P1100" s="27"/>
      <c r="S1100" s="32"/>
    </row>
    <row r="1101" spans="16:19" x14ac:dyDescent="0.3">
      <c r="P1101" s="27"/>
      <c r="S1101" s="32"/>
    </row>
    <row r="1102" spans="16:19" x14ac:dyDescent="0.3">
      <c r="P1102" s="27"/>
      <c r="S1102" s="32"/>
    </row>
    <row r="1103" spans="16:19" x14ac:dyDescent="0.3">
      <c r="P1103" s="27"/>
      <c r="S1103" s="32"/>
    </row>
    <row r="1104" spans="16:19" x14ac:dyDescent="0.3">
      <c r="P1104" s="27"/>
      <c r="S1104" s="32"/>
    </row>
    <row r="1105" spans="16:19" x14ac:dyDescent="0.3">
      <c r="P1105" s="27"/>
      <c r="S1105" s="32"/>
    </row>
    <row r="1106" spans="16:19" x14ac:dyDescent="0.3">
      <c r="P1106" s="27"/>
      <c r="S1106" s="32"/>
    </row>
    <row r="1107" spans="16:19" x14ac:dyDescent="0.3">
      <c r="P1107" s="27"/>
      <c r="S1107" s="32"/>
    </row>
    <row r="1108" spans="16:19" x14ac:dyDescent="0.3">
      <c r="P1108" s="27"/>
      <c r="S1108" s="32"/>
    </row>
    <row r="1109" spans="16:19" x14ac:dyDescent="0.3">
      <c r="P1109" s="27"/>
    </row>
    <row r="1110" spans="16:19" x14ac:dyDescent="0.3">
      <c r="P1110" s="27"/>
      <c r="S1110" s="32"/>
    </row>
    <row r="1111" spans="16:19" x14ac:dyDescent="0.3">
      <c r="P1111" s="27"/>
      <c r="S1111" s="32"/>
    </row>
    <row r="1112" spans="16:19" x14ac:dyDescent="0.3">
      <c r="P1112" s="27"/>
      <c r="S1112" s="32"/>
    </row>
    <row r="1113" spans="16:19" x14ac:dyDescent="0.3">
      <c r="P1113" s="27"/>
      <c r="S1113" s="32"/>
    </row>
    <row r="1114" spans="16:19" x14ac:dyDescent="0.3">
      <c r="P1114" s="27"/>
      <c r="S1114" s="32"/>
    </row>
    <row r="1115" spans="16:19" x14ac:dyDescent="0.3">
      <c r="P1115" s="27"/>
      <c r="S1115" s="32"/>
    </row>
    <row r="1116" spans="16:19" x14ac:dyDescent="0.3">
      <c r="P1116" s="27"/>
      <c r="S1116" s="32"/>
    </row>
    <row r="1117" spans="16:19" x14ac:dyDescent="0.3">
      <c r="P1117" s="27"/>
      <c r="S1117" s="32"/>
    </row>
    <row r="1118" spans="16:19" x14ac:dyDescent="0.3">
      <c r="P1118" s="27"/>
      <c r="S1118" s="32"/>
    </row>
    <row r="1119" spans="16:19" x14ac:dyDescent="0.3">
      <c r="P1119" s="27"/>
      <c r="S1119" s="32"/>
    </row>
    <row r="1120" spans="16:19" x14ac:dyDescent="0.3">
      <c r="P1120" s="27"/>
    </row>
    <row r="1121" spans="16:19" x14ac:dyDescent="0.3">
      <c r="P1121" s="27"/>
      <c r="S1121" s="32"/>
    </row>
    <row r="1122" spans="16:19" x14ac:dyDescent="0.3">
      <c r="P1122" s="27"/>
      <c r="S1122" s="32"/>
    </row>
    <row r="1123" spans="16:19" x14ac:dyDescent="0.3">
      <c r="P1123" s="27"/>
      <c r="S1123" s="32"/>
    </row>
    <row r="1124" spans="16:19" x14ac:dyDescent="0.3">
      <c r="P1124" s="27"/>
      <c r="S1124" s="32"/>
    </row>
    <row r="1125" spans="16:19" x14ac:dyDescent="0.3">
      <c r="P1125" s="27"/>
      <c r="S1125" s="32"/>
    </row>
    <row r="1126" spans="16:19" x14ac:dyDescent="0.3">
      <c r="P1126" s="27"/>
      <c r="S1126" s="32"/>
    </row>
    <row r="1127" spans="16:19" x14ac:dyDescent="0.3">
      <c r="S1127" s="32"/>
    </row>
    <row r="1128" spans="16:19" x14ac:dyDescent="0.3">
      <c r="S1128" s="32"/>
    </row>
    <row r="1129" spans="16:19" x14ac:dyDescent="0.3">
      <c r="S1129" s="32"/>
    </row>
    <row r="1130" spans="16:19" x14ac:dyDescent="0.3">
      <c r="S1130" s="32"/>
    </row>
    <row r="1132" spans="16:19" x14ac:dyDescent="0.3">
      <c r="S1132" s="32"/>
    </row>
    <row r="1133" spans="16:19" x14ac:dyDescent="0.3">
      <c r="S1133" s="32"/>
    </row>
    <row r="1134" spans="16:19" x14ac:dyDescent="0.3">
      <c r="S1134" s="32"/>
    </row>
    <row r="1135" spans="16:19" x14ac:dyDescent="0.3">
      <c r="S1135" s="32"/>
    </row>
    <row r="1136" spans="16:19" x14ac:dyDescent="0.3">
      <c r="S1136" s="32"/>
    </row>
    <row r="1137" spans="19:19" x14ac:dyDescent="0.3">
      <c r="S1137" s="32"/>
    </row>
    <row r="1138" spans="19:19" x14ac:dyDescent="0.3">
      <c r="S1138" s="32"/>
    </row>
    <row r="1139" spans="19:19" x14ac:dyDescent="0.3">
      <c r="S1139" s="32"/>
    </row>
    <row r="1140" spans="19:19" x14ac:dyDescent="0.3">
      <c r="S1140" s="32"/>
    </row>
    <row r="1141" spans="19:19" x14ac:dyDescent="0.3">
      <c r="S1141" s="32"/>
    </row>
    <row r="1155" spans="19:19" x14ac:dyDescent="0.3">
      <c r="S1155" s="32"/>
    </row>
    <row r="1156" spans="19:19" x14ac:dyDescent="0.3">
      <c r="S1156" s="32"/>
    </row>
    <row r="1157" spans="19:19" x14ac:dyDescent="0.3">
      <c r="S1157" s="32"/>
    </row>
    <row r="1158" spans="19:19" x14ac:dyDescent="0.3">
      <c r="S1158" s="32"/>
    </row>
    <row r="1159" spans="19:19" x14ac:dyDescent="0.3">
      <c r="S1159" s="32"/>
    </row>
    <row r="1160" spans="19:19" x14ac:dyDescent="0.3">
      <c r="S1160" s="32"/>
    </row>
    <row r="1161" spans="19:19" x14ac:dyDescent="0.3">
      <c r="S1161" s="32"/>
    </row>
    <row r="1162" spans="19:19" x14ac:dyDescent="0.3">
      <c r="S1162" s="32"/>
    </row>
    <row r="1163" spans="19:19" x14ac:dyDescent="0.3">
      <c r="S1163" s="32"/>
    </row>
    <row r="1164" spans="19:19" x14ac:dyDescent="0.3">
      <c r="S1164" s="32"/>
    </row>
    <row r="1165" spans="19:19" x14ac:dyDescent="0.3">
      <c r="S1165" s="32"/>
    </row>
    <row r="1166" spans="19:19" x14ac:dyDescent="0.3">
      <c r="S1166" s="32"/>
    </row>
    <row r="1167" spans="19:19" x14ac:dyDescent="0.3">
      <c r="S1167" s="32"/>
    </row>
    <row r="1168" spans="19:19" x14ac:dyDescent="0.3">
      <c r="S1168" s="32"/>
    </row>
    <row r="1169" spans="19:19" x14ac:dyDescent="0.3">
      <c r="S1169" s="32"/>
    </row>
    <row r="1170" spans="19:19" x14ac:dyDescent="0.3">
      <c r="S1170" s="32"/>
    </row>
    <row r="1171" spans="19:19" x14ac:dyDescent="0.3">
      <c r="S1171" s="32"/>
    </row>
    <row r="1172" spans="19:19" x14ac:dyDescent="0.3">
      <c r="S1172" s="32"/>
    </row>
    <row r="1173" spans="19:19" x14ac:dyDescent="0.3">
      <c r="S1173" s="32"/>
    </row>
    <row r="1174" spans="19:19" x14ac:dyDescent="0.3">
      <c r="S1174" s="32"/>
    </row>
    <row r="1175" spans="19:19" x14ac:dyDescent="0.3">
      <c r="S1175" s="32"/>
    </row>
    <row r="1176" spans="19:19" x14ac:dyDescent="0.3">
      <c r="S1176" s="32"/>
    </row>
    <row r="1177" spans="19:19" x14ac:dyDescent="0.3">
      <c r="S1177" s="32"/>
    </row>
    <row r="1178" spans="19:19" x14ac:dyDescent="0.3">
      <c r="S1178" s="32"/>
    </row>
    <row r="1179" spans="19:19" x14ac:dyDescent="0.3">
      <c r="S1179" s="32"/>
    </row>
    <row r="1180" spans="19:19" x14ac:dyDescent="0.3">
      <c r="S1180" s="32"/>
    </row>
    <row r="1181" spans="19:19" x14ac:dyDescent="0.3">
      <c r="S1181" s="32"/>
    </row>
    <row r="1182" spans="19:19" x14ac:dyDescent="0.3">
      <c r="S1182" s="32"/>
    </row>
    <row r="1183" spans="19:19" x14ac:dyDescent="0.3">
      <c r="S1183" s="32"/>
    </row>
    <row r="1184" spans="19:19" x14ac:dyDescent="0.3">
      <c r="S1184" s="32"/>
    </row>
    <row r="1185" spans="19:19" x14ac:dyDescent="0.3">
      <c r="S1185" s="32"/>
    </row>
    <row r="1186" spans="19:19" x14ac:dyDescent="0.3">
      <c r="S1186" s="32"/>
    </row>
    <row r="1187" spans="19:19" x14ac:dyDescent="0.3">
      <c r="S1187" s="32"/>
    </row>
    <row r="1188" spans="19:19" x14ac:dyDescent="0.3">
      <c r="S1188" s="32"/>
    </row>
    <row r="1189" spans="19:19" x14ac:dyDescent="0.3">
      <c r="S1189" s="32"/>
    </row>
    <row r="1190" spans="19:19" x14ac:dyDescent="0.3">
      <c r="S1190" s="32"/>
    </row>
    <row r="1191" spans="19:19" x14ac:dyDescent="0.3">
      <c r="S1191" s="32"/>
    </row>
    <row r="1192" spans="19:19" x14ac:dyDescent="0.3">
      <c r="S1192" s="32"/>
    </row>
    <row r="1193" spans="19:19" x14ac:dyDescent="0.3">
      <c r="S1193" s="32"/>
    </row>
    <row r="1194" spans="19:19" x14ac:dyDescent="0.3">
      <c r="S1194" s="32"/>
    </row>
    <row r="1195" spans="19:19" x14ac:dyDescent="0.3">
      <c r="S1195" s="32"/>
    </row>
    <row r="1196" spans="19:19" x14ac:dyDescent="0.3">
      <c r="S1196" s="32"/>
    </row>
    <row r="1197" spans="19:19" x14ac:dyDescent="0.3">
      <c r="S1197" s="32"/>
    </row>
    <row r="1198" spans="19:19" x14ac:dyDescent="0.3">
      <c r="S1198" s="32"/>
    </row>
    <row r="1199" spans="19:19" x14ac:dyDescent="0.3">
      <c r="S1199" s="32"/>
    </row>
    <row r="1200" spans="19:19" x14ac:dyDescent="0.3">
      <c r="S1200" s="32"/>
    </row>
    <row r="1201" spans="19:19" x14ac:dyDescent="0.3">
      <c r="S1201" s="32"/>
    </row>
    <row r="1202" spans="19:19" x14ac:dyDescent="0.3">
      <c r="S1202" s="32"/>
    </row>
    <row r="1203" spans="19:19" x14ac:dyDescent="0.3">
      <c r="S1203" s="32"/>
    </row>
    <row r="1204" spans="19:19" x14ac:dyDescent="0.3">
      <c r="S1204" s="32"/>
    </row>
    <row r="1205" spans="19:19" x14ac:dyDescent="0.3">
      <c r="S1205" s="32"/>
    </row>
    <row r="1206" spans="19:19" x14ac:dyDescent="0.3">
      <c r="S1206" s="32"/>
    </row>
    <row r="1207" spans="19:19" x14ac:dyDescent="0.3">
      <c r="S1207" s="32"/>
    </row>
    <row r="1208" spans="19:19" x14ac:dyDescent="0.3">
      <c r="S1208" s="32"/>
    </row>
    <row r="1209" spans="19:19" x14ac:dyDescent="0.3">
      <c r="S1209" s="32"/>
    </row>
    <row r="1210" spans="19:19" x14ac:dyDescent="0.3">
      <c r="S1210" s="32"/>
    </row>
    <row r="1211" spans="19:19" x14ac:dyDescent="0.3">
      <c r="S1211" s="32"/>
    </row>
    <row r="1212" spans="19:19" x14ac:dyDescent="0.3">
      <c r="S1212" s="32"/>
    </row>
    <row r="1214" spans="19:19" x14ac:dyDescent="0.3">
      <c r="S1214" s="32"/>
    </row>
    <row r="1215" spans="19:19" x14ac:dyDescent="0.3">
      <c r="S1215" s="32"/>
    </row>
    <row r="1216" spans="19:19" x14ac:dyDescent="0.3">
      <c r="S1216" s="32"/>
    </row>
    <row r="1217" spans="19:19" x14ac:dyDescent="0.3">
      <c r="S1217" s="32"/>
    </row>
    <row r="1218" spans="19:19" x14ac:dyDescent="0.3">
      <c r="S1218" s="32"/>
    </row>
    <row r="1219" spans="19:19" x14ac:dyDescent="0.3">
      <c r="S1219" s="32"/>
    </row>
    <row r="1220" spans="19:19" x14ac:dyDescent="0.3">
      <c r="S1220" s="32"/>
    </row>
    <row r="1221" spans="19:19" x14ac:dyDescent="0.3">
      <c r="S1221" s="32"/>
    </row>
    <row r="1222" spans="19:19" x14ac:dyDescent="0.3">
      <c r="S1222" s="32"/>
    </row>
    <row r="1223" spans="19:19" x14ac:dyDescent="0.3">
      <c r="S1223" s="32"/>
    </row>
    <row r="1224" spans="19:19" x14ac:dyDescent="0.3">
      <c r="S1224" s="32"/>
    </row>
    <row r="1225" spans="19:19" x14ac:dyDescent="0.3">
      <c r="S1225" s="32"/>
    </row>
    <row r="1226" spans="19:19" x14ac:dyDescent="0.3">
      <c r="S1226" s="32"/>
    </row>
    <row r="1227" spans="19:19" x14ac:dyDescent="0.3">
      <c r="S1227" s="32"/>
    </row>
    <row r="1228" spans="19:19" x14ac:dyDescent="0.3">
      <c r="S1228" s="32"/>
    </row>
    <row r="1229" spans="19:19" x14ac:dyDescent="0.3">
      <c r="S1229" s="32"/>
    </row>
    <row r="1230" spans="19:19" x14ac:dyDescent="0.3">
      <c r="S1230" s="32"/>
    </row>
    <row r="1231" spans="19:19" x14ac:dyDescent="0.3">
      <c r="S1231" s="32"/>
    </row>
    <row r="1232" spans="19:19" x14ac:dyDescent="0.3">
      <c r="S1232" s="32"/>
    </row>
    <row r="1233" spans="19:19" x14ac:dyDescent="0.3">
      <c r="S1233" s="32"/>
    </row>
    <row r="1234" spans="19:19" x14ac:dyDescent="0.3">
      <c r="S1234" s="32"/>
    </row>
    <row r="1235" spans="19:19" x14ac:dyDescent="0.3">
      <c r="S1235" s="32"/>
    </row>
    <row r="1236" spans="19:19" x14ac:dyDescent="0.3">
      <c r="S1236" s="32"/>
    </row>
    <row r="1237" spans="19:19" x14ac:dyDescent="0.3">
      <c r="S1237" s="32"/>
    </row>
    <row r="1238" spans="19:19" x14ac:dyDescent="0.3">
      <c r="S1238" s="32"/>
    </row>
    <row r="1239" spans="19:19" x14ac:dyDescent="0.3">
      <c r="S1239" s="32"/>
    </row>
    <row r="1240" spans="19:19" x14ac:dyDescent="0.3">
      <c r="S1240" s="32"/>
    </row>
    <row r="1241" spans="19:19" x14ac:dyDescent="0.3">
      <c r="S1241" s="32"/>
    </row>
    <row r="1242" spans="19:19" x14ac:dyDescent="0.3">
      <c r="S1242" s="32"/>
    </row>
    <row r="1243" spans="19:19" x14ac:dyDescent="0.3">
      <c r="S1243" s="32"/>
    </row>
    <row r="1244" spans="19:19" x14ac:dyDescent="0.3">
      <c r="S1244" s="32"/>
    </row>
    <row r="1245" spans="19:19" x14ac:dyDescent="0.3">
      <c r="S1245" s="32"/>
    </row>
    <row r="1246" spans="19:19" x14ac:dyDescent="0.3">
      <c r="S1246" s="32"/>
    </row>
    <row r="1247" spans="19:19" x14ac:dyDescent="0.3">
      <c r="S1247" s="32"/>
    </row>
    <row r="1248" spans="19:19" x14ac:dyDescent="0.3">
      <c r="S1248" s="32"/>
    </row>
    <row r="1249" spans="19:19" x14ac:dyDescent="0.3">
      <c r="S1249" s="32"/>
    </row>
    <row r="1250" spans="19:19" x14ac:dyDescent="0.3">
      <c r="S1250" s="32"/>
    </row>
    <row r="1251" spans="19:19" x14ac:dyDescent="0.3">
      <c r="S1251" s="32"/>
    </row>
    <row r="1252" spans="19:19" x14ac:dyDescent="0.3">
      <c r="S1252" s="32"/>
    </row>
    <row r="1253" spans="19:19" x14ac:dyDescent="0.3">
      <c r="S1253" s="32"/>
    </row>
    <row r="1255" spans="19:19" x14ac:dyDescent="0.3">
      <c r="S1255" s="32"/>
    </row>
    <row r="1256" spans="19:19" x14ac:dyDescent="0.3">
      <c r="S1256" s="32"/>
    </row>
    <row r="1257" spans="19:19" x14ac:dyDescent="0.3">
      <c r="S1257" s="32"/>
    </row>
    <row r="1258" spans="19:19" x14ac:dyDescent="0.3">
      <c r="S1258" s="32"/>
    </row>
    <row r="1259" spans="19:19" x14ac:dyDescent="0.3">
      <c r="S1259" s="32"/>
    </row>
    <row r="1260" spans="19:19" x14ac:dyDescent="0.3">
      <c r="S1260" s="32"/>
    </row>
    <row r="1261" spans="19:19" x14ac:dyDescent="0.3">
      <c r="S1261" s="32"/>
    </row>
    <row r="1262" spans="19:19" x14ac:dyDescent="0.3">
      <c r="S1262" s="32"/>
    </row>
    <row r="1263" spans="19:19" x14ac:dyDescent="0.3">
      <c r="S1263" s="32"/>
    </row>
    <row r="1264" spans="19:19" x14ac:dyDescent="0.3">
      <c r="S1264" s="32"/>
    </row>
    <row r="1265" spans="19:19" x14ac:dyDescent="0.3">
      <c r="S1265" s="32"/>
    </row>
    <row r="1266" spans="19:19" x14ac:dyDescent="0.3">
      <c r="S1266" s="32"/>
    </row>
    <row r="1267" spans="19:19" x14ac:dyDescent="0.3">
      <c r="S1267" s="32"/>
    </row>
    <row r="1268" spans="19:19" x14ac:dyDescent="0.3">
      <c r="S1268" s="32"/>
    </row>
    <row r="1269" spans="19:19" x14ac:dyDescent="0.3">
      <c r="S1269" s="32"/>
    </row>
    <row r="1270" spans="19:19" x14ac:dyDescent="0.3">
      <c r="S1270" s="32"/>
    </row>
    <row r="1271" spans="19:19" x14ac:dyDescent="0.3">
      <c r="S1271" s="32"/>
    </row>
    <row r="1272" spans="19:19" x14ac:dyDescent="0.3">
      <c r="S1272" s="32"/>
    </row>
    <row r="1273" spans="19:19" x14ac:dyDescent="0.3">
      <c r="S1273" s="32"/>
    </row>
    <row r="1274" spans="19:19" x14ac:dyDescent="0.3">
      <c r="S1274" s="32"/>
    </row>
    <row r="1275" spans="19:19" x14ac:dyDescent="0.3">
      <c r="S1275" s="32"/>
    </row>
    <row r="1276" spans="19:19" x14ac:dyDescent="0.3">
      <c r="S1276" s="32"/>
    </row>
    <row r="1277" spans="19:19" x14ac:dyDescent="0.3">
      <c r="S1277" s="32"/>
    </row>
    <row r="1278" spans="19:19" x14ac:dyDescent="0.3">
      <c r="S1278" s="32"/>
    </row>
    <row r="1279" spans="19:19" x14ac:dyDescent="0.3">
      <c r="S1279" s="32"/>
    </row>
    <row r="1280" spans="19:19" x14ac:dyDescent="0.3">
      <c r="S1280" s="32"/>
    </row>
    <row r="1281" spans="19:19" x14ac:dyDescent="0.3">
      <c r="S1281" s="32"/>
    </row>
    <row r="1282" spans="19:19" x14ac:dyDescent="0.3">
      <c r="S1282" s="32"/>
    </row>
    <row r="1283" spans="19:19" x14ac:dyDescent="0.3">
      <c r="S1283" s="32"/>
    </row>
    <row r="1284" spans="19:19" x14ac:dyDescent="0.3">
      <c r="S1284" s="32"/>
    </row>
    <row r="1285" spans="19:19" x14ac:dyDescent="0.3">
      <c r="S1285" s="32"/>
    </row>
    <row r="1286" spans="19:19" x14ac:dyDescent="0.3">
      <c r="S1286" s="32"/>
    </row>
    <row r="1287" spans="19:19" x14ac:dyDescent="0.3">
      <c r="S1287" s="32"/>
    </row>
    <row r="1288" spans="19:19" x14ac:dyDescent="0.3">
      <c r="S1288" s="32"/>
    </row>
    <row r="1289" spans="19:19" x14ac:dyDescent="0.3">
      <c r="S1289" s="32"/>
    </row>
    <row r="1290" spans="19:19" x14ac:dyDescent="0.3">
      <c r="S1290" s="32"/>
    </row>
    <row r="1291" spans="19:19" x14ac:dyDescent="0.3">
      <c r="S1291" s="32"/>
    </row>
    <row r="1292" spans="19:19" x14ac:dyDescent="0.3">
      <c r="S1292" s="32"/>
    </row>
    <row r="1293" spans="19:19" x14ac:dyDescent="0.3">
      <c r="S1293" s="32"/>
    </row>
    <row r="1294" spans="19:19" x14ac:dyDescent="0.3">
      <c r="S1294" s="32"/>
    </row>
    <row r="1295" spans="19:19" x14ac:dyDescent="0.3">
      <c r="S1295" s="32"/>
    </row>
    <row r="1296" spans="19:19" x14ac:dyDescent="0.3">
      <c r="S1296" s="32"/>
    </row>
    <row r="1297" spans="19:19" x14ac:dyDescent="0.3">
      <c r="S1297" s="32"/>
    </row>
    <row r="1298" spans="19:19" x14ac:dyDescent="0.3">
      <c r="S1298" s="32"/>
    </row>
    <row r="1299" spans="19:19" x14ac:dyDescent="0.3">
      <c r="S1299" s="32"/>
    </row>
    <row r="1300" spans="19:19" x14ac:dyDescent="0.3">
      <c r="S1300" s="32"/>
    </row>
    <row r="1301" spans="19:19" x14ac:dyDescent="0.3">
      <c r="S1301" s="32"/>
    </row>
    <row r="1302" spans="19:19" x14ac:dyDescent="0.3">
      <c r="S1302" s="32"/>
    </row>
    <row r="1303" spans="19:19" x14ac:dyDescent="0.3">
      <c r="S1303" s="32"/>
    </row>
    <row r="1304" spans="19:19" x14ac:dyDescent="0.3">
      <c r="S1304" s="32"/>
    </row>
    <row r="1326" spans="19:19" x14ac:dyDescent="0.3">
      <c r="S1326" s="32"/>
    </row>
    <row r="1327" spans="19:19" x14ac:dyDescent="0.3">
      <c r="S1327" s="32"/>
    </row>
    <row r="1328" spans="19:19" x14ac:dyDescent="0.3">
      <c r="S1328" s="32"/>
    </row>
    <row r="1329" spans="19:19" x14ac:dyDescent="0.3">
      <c r="S1329" s="32"/>
    </row>
    <row r="1330" spans="19:19" x14ac:dyDescent="0.3">
      <c r="S1330" s="32"/>
    </row>
    <row r="1331" spans="19:19" x14ac:dyDescent="0.3">
      <c r="S1331" s="32"/>
    </row>
    <row r="1332" spans="19:19" x14ac:dyDescent="0.3">
      <c r="S1332" s="32"/>
    </row>
    <row r="1333" spans="19:19" x14ac:dyDescent="0.3">
      <c r="S1333" s="32"/>
    </row>
    <row r="1334" spans="19:19" x14ac:dyDescent="0.3">
      <c r="S1334" s="32"/>
    </row>
    <row r="1335" spans="19:19" x14ac:dyDescent="0.3">
      <c r="S1335" s="32"/>
    </row>
    <row r="1336" spans="19:19" x14ac:dyDescent="0.3">
      <c r="S1336" s="32"/>
    </row>
    <row r="1337" spans="19:19" x14ac:dyDescent="0.3">
      <c r="S1337" s="32"/>
    </row>
    <row r="1338" spans="19:19" x14ac:dyDescent="0.3">
      <c r="S1338" s="32"/>
    </row>
    <row r="1339" spans="19:19" x14ac:dyDescent="0.3">
      <c r="S1339" s="32"/>
    </row>
    <row r="1340" spans="19:19" x14ac:dyDescent="0.3">
      <c r="S1340" s="32"/>
    </row>
    <row r="1341" spans="19:19" x14ac:dyDescent="0.3">
      <c r="S1341" s="32"/>
    </row>
    <row r="1342" spans="19:19" x14ac:dyDescent="0.3">
      <c r="S1342" s="32"/>
    </row>
    <row r="1343" spans="19:19" x14ac:dyDescent="0.3">
      <c r="S1343" s="32"/>
    </row>
    <row r="1344" spans="19:19" x14ac:dyDescent="0.3">
      <c r="S1344" s="32"/>
    </row>
    <row r="1345" spans="19:19" x14ac:dyDescent="0.3">
      <c r="S1345" s="32"/>
    </row>
    <row r="1346" spans="19:19" x14ac:dyDescent="0.3">
      <c r="S1346" s="32"/>
    </row>
    <row r="1347" spans="19:19" x14ac:dyDescent="0.3">
      <c r="S1347" s="32"/>
    </row>
    <row r="1348" spans="19:19" x14ac:dyDescent="0.3">
      <c r="S1348" s="32"/>
    </row>
    <row r="1349" spans="19:19" x14ac:dyDescent="0.3">
      <c r="S1349" s="32"/>
    </row>
    <row r="1350" spans="19:19" x14ac:dyDescent="0.3">
      <c r="S1350" s="32"/>
    </row>
    <row r="1351" spans="19:19" x14ac:dyDescent="0.3">
      <c r="S1351" s="32"/>
    </row>
    <row r="1352" spans="19:19" x14ac:dyDescent="0.3">
      <c r="S1352" s="32"/>
    </row>
    <row r="1353" spans="19:19" x14ac:dyDescent="0.3">
      <c r="S1353" s="32"/>
    </row>
    <row r="1354" spans="19:19" x14ac:dyDescent="0.3">
      <c r="S1354" s="32"/>
    </row>
    <row r="1355" spans="19:19" x14ac:dyDescent="0.3">
      <c r="S1355" s="32"/>
    </row>
    <row r="1356" spans="19:19" x14ac:dyDescent="0.3">
      <c r="S1356" s="32"/>
    </row>
    <row r="1357" spans="19:19" x14ac:dyDescent="0.3">
      <c r="S1357" s="32"/>
    </row>
    <row r="1358" spans="19:19" x14ac:dyDescent="0.3">
      <c r="S1358" s="32"/>
    </row>
    <row r="1359" spans="19:19" x14ac:dyDescent="0.3">
      <c r="S1359" s="32"/>
    </row>
    <row r="1360" spans="19:19" x14ac:dyDescent="0.3">
      <c r="S1360" s="32"/>
    </row>
    <row r="1361" spans="19:19" x14ac:dyDescent="0.3">
      <c r="S1361" s="32"/>
    </row>
    <row r="1362" spans="19:19" x14ac:dyDescent="0.3">
      <c r="S1362" s="32"/>
    </row>
    <row r="1363" spans="19:19" x14ac:dyDescent="0.3">
      <c r="S1363" s="32"/>
    </row>
    <row r="1364" spans="19:19" x14ac:dyDescent="0.3">
      <c r="S1364" s="32"/>
    </row>
    <row r="1365" spans="19:19" x14ac:dyDescent="0.3">
      <c r="S1365" s="32"/>
    </row>
    <row r="1366" spans="19:19" x14ac:dyDescent="0.3">
      <c r="S1366" s="32"/>
    </row>
    <row r="1367" spans="19:19" x14ac:dyDescent="0.3">
      <c r="S1367" s="32"/>
    </row>
    <row r="1368" spans="19:19" x14ac:dyDescent="0.3">
      <c r="S1368" s="32"/>
    </row>
    <row r="1369" spans="19:19" x14ac:dyDescent="0.3">
      <c r="S1369" s="32"/>
    </row>
    <row r="1370" spans="19:19" x14ac:dyDescent="0.3">
      <c r="S1370" s="32"/>
    </row>
    <row r="1371" spans="19:19" x14ac:dyDescent="0.3">
      <c r="S1371" s="32"/>
    </row>
    <row r="1372" spans="19:19" x14ac:dyDescent="0.3">
      <c r="S1372" s="32"/>
    </row>
    <row r="1373" spans="19:19" x14ac:dyDescent="0.3">
      <c r="S1373" s="32"/>
    </row>
    <row r="1374" spans="19:19" x14ac:dyDescent="0.3">
      <c r="S1374" s="32"/>
    </row>
    <row r="1375" spans="19:19" x14ac:dyDescent="0.3">
      <c r="S1375" s="32"/>
    </row>
    <row r="1376" spans="19:19" x14ac:dyDescent="0.3">
      <c r="S1376" s="32"/>
    </row>
    <row r="1377" spans="19:19" x14ac:dyDescent="0.3">
      <c r="S1377" s="32"/>
    </row>
    <row r="1378" spans="19:19" x14ac:dyDescent="0.3">
      <c r="S1378" s="32"/>
    </row>
    <row r="1379" spans="19:19" x14ac:dyDescent="0.3">
      <c r="S1379" s="32"/>
    </row>
    <row r="1380" spans="19:19" x14ac:dyDescent="0.3">
      <c r="S1380" s="32"/>
    </row>
    <row r="1381" spans="19:19" x14ac:dyDescent="0.3">
      <c r="S1381" s="32"/>
    </row>
    <row r="1382" spans="19:19" x14ac:dyDescent="0.3">
      <c r="S1382" s="32"/>
    </row>
    <row r="1383" spans="19:19" x14ac:dyDescent="0.3">
      <c r="S1383" s="32"/>
    </row>
    <row r="1384" spans="19:19" x14ac:dyDescent="0.3">
      <c r="S1384" s="32"/>
    </row>
    <row r="1385" spans="19:19" x14ac:dyDescent="0.3">
      <c r="S1385" s="32"/>
    </row>
    <row r="1386" spans="19:19" x14ac:dyDescent="0.3">
      <c r="S1386" s="32"/>
    </row>
    <row r="1387" spans="19:19" x14ac:dyDescent="0.3">
      <c r="S1387" s="32"/>
    </row>
    <row r="1388" spans="19:19" x14ac:dyDescent="0.3">
      <c r="S1388" s="32"/>
    </row>
    <row r="1389" spans="19:19" x14ac:dyDescent="0.3">
      <c r="S1389" s="32"/>
    </row>
    <row r="1390" spans="19:19" x14ac:dyDescent="0.3">
      <c r="S1390" s="32"/>
    </row>
    <row r="1391" spans="19:19" x14ac:dyDescent="0.3">
      <c r="S1391" s="32"/>
    </row>
    <row r="1392" spans="19:19" x14ac:dyDescent="0.3">
      <c r="S1392" s="32"/>
    </row>
    <row r="1393" spans="19:19" x14ac:dyDescent="0.3">
      <c r="S1393" s="32"/>
    </row>
    <row r="1394" spans="19:19" x14ac:dyDescent="0.3">
      <c r="S1394" s="32"/>
    </row>
    <row r="1395" spans="19:19" x14ac:dyDescent="0.3">
      <c r="S1395" s="32"/>
    </row>
    <row r="1396" spans="19:19" x14ac:dyDescent="0.3">
      <c r="S1396" s="32"/>
    </row>
    <row r="1397" spans="19:19" x14ac:dyDescent="0.3">
      <c r="S1397" s="32"/>
    </row>
    <row r="1398" spans="19:19" x14ac:dyDescent="0.3">
      <c r="S1398" s="32"/>
    </row>
    <row r="1399" spans="19:19" x14ac:dyDescent="0.3">
      <c r="S1399" s="32"/>
    </row>
    <row r="1400" spans="19:19" x14ac:dyDescent="0.3">
      <c r="S1400" s="32"/>
    </row>
    <row r="1401" spans="19:19" x14ac:dyDescent="0.3">
      <c r="S1401" s="32"/>
    </row>
    <row r="1402" spans="19:19" x14ac:dyDescent="0.3">
      <c r="S1402" s="32"/>
    </row>
    <row r="1403" spans="19:19" x14ac:dyDescent="0.3">
      <c r="S1403" s="32"/>
    </row>
    <row r="1404" spans="19:19" x14ac:dyDescent="0.3">
      <c r="S1404" s="32"/>
    </row>
    <row r="1405" spans="19:19" x14ac:dyDescent="0.3">
      <c r="S1405" s="32"/>
    </row>
    <row r="1406" spans="19:19" x14ac:dyDescent="0.3">
      <c r="S1406" s="32"/>
    </row>
    <row r="1407" spans="19:19" x14ac:dyDescent="0.3">
      <c r="S1407" s="32"/>
    </row>
    <row r="1408" spans="19:19" x14ac:dyDescent="0.3">
      <c r="S1408" s="32"/>
    </row>
    <row r="1409" spans="19:19" x14ac:dyDescent="0.3">
      <c r="S1409" s="32"/>
    </row>
    <row r="1410" spans="19:19" x14ac:dyDescent="0.3">
      <c r="S1410" s="32"/>
    </row>
    <row r="1411" spans="19:19" x14ac:dyDescent="0.3">
      <c r="S1411" s="32"/>
    </row>
    <row r="1412" spans="19:19" x14ac:dyDescent="0.3">
      <c r="S1412" s="32"/>
    </row>
    <row r="1413" spans="19:19" x14ac:dyDescent="0.3">
      <c r="S1413" s="32"/>
    </row>
    <row r="1414" spans="19:19" x14ac:dyDescent="0.3">
      <c r="S1414" s="32"/>
    </row>
    <row r="1415" spans="19:19" x14ac:dyDescent="0.3">
      <c r="S1415" s="32"/>
    </row>
    <row r="1416" spans="19:19" x14ac:dyDescent="0.3">
      <c r="S1416" s="32"/>
    </row>
    <row r="1417" spans="19:19" x14ac:dyDescent="0.3">
      <c r="S1417" s="32"/>
    </row>
    <row r="1418" spans="19:19" x14ac:dyDescent="0.3">
      <c r="S1418" s="32"/>
    </row>
    <row r="1419" spans="19:19" x14ac:dyDescent="0.3">
      <c r="S1419" s="32"/>
    </row>
    <row r="1420" spans="19:19" x14ac:dyDescent="0.3">
      <c r="S1420" s="32"/>
    </row>
    <row r="1421" spans="19:19" x14ac:dyDescent="0.3">
      <c r="S1421" s="32"/>
    </row>
    <row r="1422" spans="19:19" x14ac:dyDescent="0.3">
      <c r="S1422" s="32"/>
    </row>
    <row r="1423" spans="19:19" x14ac:dyDescent="0.3">
      <c r="S1423" s="32"/>
    </row>
    <row r="1424" spans="19:19" x14ac:dyDescent="0.3">
      <c r="S1424" s="32"/>
    </row>
    <row r="1425" spans="19:19" x14ac:dyDescent="0.3">
      <c r="S1425" s="32"/>
    </row>
    <row r="1426" spans="19:19" x14ac:dyDescent="0.3">
      <c r="S1426" s="32"/>
    </row>
    <row r="1427" spans="19:19" x14ac:dyDescent="0.3">
      <c r="S1427" s="32"/>
    </row>
    <row r="1428" spans="19:19" x14ac:dyDescent="0.3">
      <c r="S1428" s="32"/>
    </row>
    <row r="1429" spans="19:19" x14ac:dyDescent="0.3">
      <c r="S1429" s="32"/>
    </row>
    <row r="1430" spans="19:19" x14ac:dyDescent="0.3">
      <c r="S1430" s="32"/>
    </row>
    <row r="1431" spans="19:19" x14ac:dyDescent="0.3">
      <c r="S1431" s="32"/>
    </row>
    <row r="1432" spans="19:19" x14ac:dyDescent="0.3">
      <c r="S1432" s="32"/>
    </row>
    <row r="1434" spans="19:19" x14ac:dyDescent="0.3">
      <c r="S1434" s="32"/>
    </row>
    <row r="1436" spans="19:19" x14ac:dyDescent="0.3">
      <c r="S1436" s="32"/>
    </row>
    <row r="1438" spans="19:19" x14ac:dyDescent="0.3">
      <c r="S1438" s="32"/>
    </row>
    <row r="1440" spans="19:19" x14ac:dyDescent="0.3">
      <c r="S1440" s="32"/>
    </row>
    <row r="1442" spans="19:19" x14ac:dyDescent="0.3">
      <c r="S1442" s="32"/>
    </row>
    <row r="1444" spans="19:19" x14ac:dyDescent="0.3">
      <c r="S1444" s="32"/>
    </row>
    <row r="1446" spans="19:19" x14ac:dyDescent="0.3">
      <c r="S1446" s="32"/>
    </row>
    <row r="1448" spans="19:19" x14ac:dyDescent="0.3">
      <c r="S1448" s="32"/>
    </row>
    <row r="1450" spans="19:19" x14ac:dyDescent="0.3">
      <c r="S1450" s="32"/>
    </row>
    <row r="1451" spans="19:19" x14ac:dyDescent="0.3">
      <c r="S1451" s="32"/>
    </row>
    <row r="1452" spans="19:19" x14ac:dyDescent="0.3">
      <c r="S1452" s="32"/>
    </row>
    <row r="1453" spans="19:19" x14ac:dyDescent="0.3">
      <c r="S1453" s="32"/>
    </row>
    <row r="1454" spans="19:19" x14ac:dyDescent="0.3">
      <c r="S1454" s="32"/>
    </row>
    <row r="1455" spans="19:19" x14ac:dyDescent="0.3">
      <c r="S1455" s="32"/>
    </row>
    <row r="1456" spans="19:19" x14ac:dyDescent="0.3">
      <c r="S1456" s="32"/>
    </row>
    <row r="1457" spans="19:19" x14ac:dyDescent="0.3">
      <c r="S1457" s="32"/>
    </row>
    <row r="1458" spans="19:19" x14ac:dyDescent="0.3">
      <c r="S1458" s="32"/>
    </row>
    <row r="1459" spans="19:19" x14ac:dyDescent="0.3">
      <c r="S1459" s="32"/>
    </row>
    <row r="1460" spans="19:19" x14ac:dyDescent="0.3">
      <c r="S1460" s="32"/>
    </row>
    <row r="1461" spans="19:19" x14ac:dyDescent="0.3">
      <c r="S1461" s="32"/>
    </row>
    <row r="1462" spans="19:19" x14ac:dyDescent="0.3">
      <c r="S1462" s="32"/>
    </row>
    <row r="1463" spans="19:19" x14ac:dyDescent="0.3">
      <c r="S1463" s="32"/>
    </row>
    <row r="1464" spans="19:19" x14ac:dyDescent="0.3">
      <c r="S1464" s="32"/>
    </row>
    <row r="1465" spans="19:19" x14ac:dyDescent="0.3">
      <c r="S1465" s="32"/>
    </row>
    <row r="1466" spans="19:19" x14ac:dyDescent="0.3">
      <c r="S1466" s="32"/>
    </row>
    <row r="1467" spans="19:19" x14ac:dyDescent="0.3">
      <c r="S1467" s="32"/>
    </row>
    <row r="1468" spans="19:19" x14ac:dyDescent="0.3">
      <c r="S1468" s="32"/>
    </row>
    <row r="1469" spans="19:19" x14ac:dyDescent="0.3">
      <c r="S1469" s="32"/>
    </row>
    <row r="1470" spans="19:19" x14ac:dyDescent="0.3">
      <c r="S1470" s="32"/>
    </row>
    <row r="1471" spans="19:19" x14ac:dyDescent="0.3">
      <c r="S1471" s="32"/>
    </row>
    <row r="1472" spans="19:19" x14ac:dyDescent="0.3">
      <c r="S1472" s="32"/>
    </row>
    <row r="1473" spans="19:19" x14ac:dyDescent="0.3">
      <c r="S1473" s="32"/>
    </row>
    <row r="1474" spans="19:19" x14ac:dyDescent="0.3">
      <c r="S1474" s="32"/>
    </row>
    <row r="1475" spans="19:19" x14ac:dyDescent="0.3">
      <c r="S1475" s="32"/>
    </row>
    <row r="1477" spans="19:19" x14ac:dyDescent="0.3">
      <c r="S1477" s="32"/>
    </row>
    <row r="1478" spans="19:19" x14ac:dyDescent="0.3">
      <c r="S1478" s="32"/>
    </row>
    <row r="1479" spans="19:19" x14ac:dyDescent="0.3">
      <c r="S1479" s="32"/>
    </row>
    <row r="1480" spans="19:19" x14ac:dyDescent="0.3">
      <c r="S1480" s="32"/>
    </row>
    <row r="1481" spans="19:19" x14ac:dyDescent="0.3">
      <c r="S1481" s="32"/>
    </row>
    <row r="1482" spans="19:19" x14ac:dyDescent="0.3">
      <c r="S1482" s="32"/>
    </row>
    <row r="1483" spans="19:19" x14ac:dyDescent="0.3">
      <c r="S1483" s="32"/>
    </row>
    <row r="1484" spans="19:19" x14ac:dyDescent="0.3">
      <c r="S1484" s="32"/>
    </row>
    <row r="1485" spans="19:19" x14ac:dyDescent="0.3">
      <c r="S1485" s="32"/>
    </row>
    <row r="1486" spans="19:19" x14ac:dyDescent="0.3">
      <c r="S1486" s="32"/>
    </row>
    <row r="1487" spans="19:19" x14ac:dyDescent="0.3">
      <c r="S1487" s="32"/>
    </row>
    <row r="1488" spans="19:19" x14ac:dyDescent="0.3">
      <c r="S1488" s="32"/>
    </row>
    <row r="1489" spans="19:19" x14ac:dyDescent="0.3">
      <c r="S1489" s="32"/>
    </row>
    <row r="1490" spans="19:19" x14ac:dyDescent="0.3">
      <c r="S1490" s="32"/>
    </row>
    <row r="1491" spans="19:19" x14ac:dyDescent="0.3">
      <c r="S1491" s="32"/>
    </row>
    <row r="1492" spans="19:19" x14ac:dyDescent="0.3">
      <c r="S1492" s="32"/>
    </row>
    <row r="1493" spans="19:19" x14ac:dyDescent="0.3">
      <c r="S1493" s="32"/>
    </row>
    <row r="1494" spans="19:19" x14ac:dyDescent="0.3">
      <c r="S1494" s="32"/>
    </row>
    <row r="1495" spans="19:19" x14ac:dyDescent="0.3">
      <c r="S1495" s="32"/>
    </row>
    <row r="1496" spans="19:19" x14ac:dyDescent="0.3">
      <c r="S1496" s="32"/>
    </row>
    <row r="1497" spans="19:19" x14ac:dyDescent="0.3">
      <c r="S1497" s="32"/>
    </row>
    <row r="1498" spans="19:19" x14ac:dyDescent="0.3">
      <c r="S1498" s="32"/>
    </row>
    <row r="1499" spans="19:19" x14ac:dyDescent="0.3">
      <c r="S1499" s="32"/>
    </row>
    <row r="1500" spans="19:19" x14ac:dyDescent="0.3">
      <c r="S1500" s="32"/>
    </row>
    <row r="1501" spans="19:19" x14ac:dyDescent="0.3">
      <c r="S1501" s="32"/>
    </row>
    <row r="1502" spans="19:19" x14ac:dyDescent="0.3">
      <c r="S1502" s="32"/>
    </row>
    <row r="1504" spans="19:19" x14ac:dyDescent="0.3">
      <c r="S1504" s="32"/>
    </row>
    <row r="1505" spans="19:19" x14ac:dyDescent="0.3">
      <c r="S1505" s="32"/>
    </row>
    <row r="1506" spans="19:19" x14ac:dyDescent="0.3">
      <c r="S1506" s="32"/>
    </row>
    <row r="1507" spans="19:19" x14ac:dyDescent="0.3">
      <c r="S1507" s="32"/>
    </row>
    <row r="1508" spans="19:19" x14ac:dyDescent="0.3">
      <c r="S1508" s="32"/>
    </row>
    <row r="1509" spans="19:19" x14ac:dyDescent="0.3">
      <c r="S1509" s="32"/>
    </row>
    <row r="1510" spans="19:19" x14ac:dyDescent="0.3">
      <c r="S1510" s="32"/>
    </row>
    <row r="1511" spans="19:19" x14ac:dyDescent="0.3">
      <c r="S1511" s="32"/>
    </row>
    <row r="1512" spans="19:19" x14ac:dyDescent="0.3">
      <c r="S1512" s="32"/>
    </row>
    <row r="1513" spans="19:19" x14ac:dyDescent="0.3">
      <c r="S1513" s="32"/>
    </row>
    <row r="1514" spans="19:19" x14ac:dyDescent="0.3">
      <c r="S1514" s="32"/>
    </row>
    <row r="1515" spans="19:19" x14ac:dyDescent="0.3">
      <c r="S1515" s="32"/>
    </row>
    <row r="1516" spans="19:19" x14ac:dyDescent="0.3">
      <c r="S1516" s="32"/>
    </row>
    <row r="1517" spans="19:19" x14ac:dyDescent="0.3">
      <c r="S1517" s="32"/>
    </row>
    <row r="1518" spans="19:19" x14ac:dyDescent="0.3">
      <c r="S1518" s="32"/>
    </row>
    <row r="1519" spans="19:19" x14ac:dyDescent="0.3">
      <c r="S1519" s="32"/>
    </row>
    <row r="1520" spans="19:19" x14ac:dyDescent="0.3">
      <c r="S1520" s="32"/>
    </row>
    <row r="1521" spans="19:19" x14ac:dyDescent="0.3">
      <c r="S1521" s="32"/>
    </row>
    <row r="1522" spans="19:19" x14ac:dyDescent="0.3">
      <c r="S1522" s="32"/>
    </row>
    <row r="1523" spans="19:19" x14ac:dyDescent="0.3">
      <c r="S1523" s="32"/>
    </row>
    <row r="1524" spans="19:19" x14ac:dyDescent="0.3">
      <c r="S1524" s="32"/>
    </row>
    <row r="1525" spans="19:19" x14ac:dyDescent="0.3">
      <c r="S1525" s="32"/>
    </row>
    <row r="1526" spans="19:19" x14ac:dyDescent="0.3">
      <c r="S1526" s="32"/>
    </row>
    <row r="1527" spans="19:19" x14ac:dyDescent="0.3">
      <c r="S1527" s="32"/>
    </row>
    <row r="1528" spans="19:19" x14ac:dyDescent="0.3">
      <c r="S1528" s="32"/>
    </row>
    <row r="1529" spans="19:19" x14ac:dyDescent="0.3">
      <c r="S1529" s="32"/>
    </row>
    <row r="1531" spans="19:19" x14ac:dyDescent="0.3">
      <c r="S1531" s="32"/>
    </row>
    <row r="1532" spans="19:19" x14ac:dyDescent="0.3">
      <c r="S1532" s="32"/>
    </row>
    <row r="1533" spans="19:19" x14ac:dyDescent="0.3">
      <c r="S1533" s="32"/>
    </row>
    <row r="1534" spans="19:19" x14ac:dyDescent="0.3">
      <c r="S1534" s="32"/>
    </row>
    <row r="1535" spans="19:19" x14ac:dyDescent="0.3">
      <c r="S1535" s="32"/>
    </row>
    <row r="1536" spans="19:19" x14ac:dyDescent="0.3">
      <c r="S1536" s="32"/>
    </row>
    <row r="1537" spans="19:19" x14ac:dyDescent="0.3">
      <c r="S1537" s="32"/>
    </row>
    <row r="1538" spans="19:19" x14ac:dyDescent="0.3">
      <c r="S1538" s="32"/>
    </row>
    <row r="1539" spans="19:19" x14ac:dyDescent="0.3">
      <c r="S1539" s="32"/>
    </row>
    <row r="1540" spans="19:19" x14ac:dyDescent="0.3">
      <c r="S1540" s="32"/>
    </row>
    <row r="1541" spans="19:19" x14ac:dyDescent="0.3">
      <c r="S1541" s="32"/>
    </row>
    <row r="1542" spans="19:19" x14ac:dyDescent="0.3">
      <c r="S1542" s="32"/>
    </row>
    <row r="1543" spans="19:19" x14ac:dyDescent="0.3">
      <c r="S1543" s="32"/>
    </row>
    <row r="1544" spans="19:19" x14ac:dyDescent="0.3">
      <c r="S1544" s="32"/>
    </row>
    <row r="1545" spans="19:19" x14ac:dyDescent="0.3">
      <c r="S1545" s="32"/>
    </row>
    <row r="1546" spans="19:19" x14ac:dyDescent="0.3">
      <c r="S1546" s="32"/>
    </row>
    <row r="1547" spans="19:19" x14ac:dyDescent="0.3">
      <c r="S1547" s="32"/>
    </row>
    <row r="1548" spans="19:19" x14ac:dyDescent="0.3">
      <c r="S1548" s="32"/>
    </row>
    <row r="1549" spans="19:19" x14ac:dyDescent="0.3">
      <c r="S1549" s="32"/>
    </row>
    <row r="1550" spans="19:19" x14ac:dyDescent="0.3">
      <c r="S1550" s="32"/>
    </row>
    <row r="1551" spans="19:19" x14ac:dyDescent="0.3">
      <c r="S1551" s="32"/>
    </row>
    <row r="1552" spans="19:19" x14ac:dyDescent="0.3">
      <c r="S1552" s="32"/>
    </row>
    <row r="1553" spans="19:19" x14ac:dyDescent="0.3">
      <c r="S1553" s="32"/>
    </row>
    <row r="1554" spans="19:19" x14ac:dyDescent="0.3">
      <c r="S1554" s="32"/>
    </row>
    <row r="1555" spans="19:19" x14ac:dyDescent="0.3">
      <c r="S1555" s="32"/>
    </row>
    <row r="1556" spans="19:19" x14ac:dyDescent="0.3">
      <c r="S1556" s="32"/>
    </row>
    <row r="1557" spans="19:19" x14ac:dyDescent="0.3">
      <c r="S1557" s="32"/>
    </row>
    <row r="1558" spans="19:19" x14ac:dyDescent="0.3">
      <c r="S1558" s="32"/>
    </row>
    <row r="1559" spans="19:19" x14ac:dyDescent="0.3">
      <c r="S1559" s="32"/>
    </row>
    <row r="1560" spans="19:19" x14ac:dyDescent="0.3">
      <c r="S1560" s="32"/>
    </row>
    <row r="1562" spans="19:19" x14ac:dyDescent="0.3">
      <c r="S1562" s="32"/>
    </row>
    <row r="1563" spans="19:19" x14ac:dyDescent="0.3">
      <c r="S1563" s="32"/>
    </row>
    <row r="1564" spans="19:19" x14ac:dyDescent="0.3">
      <c r="S1564" s="32"/>
    </row>
    <row r="1565" spans="19:19" x14ac:dyDescent="0.3">
      <c r="S1565" s="32"/>
    </row>
    <row r="1566" spans="19:19" x14ac:dyDescent="0.3">
      <c r="S1566" s="32"/>
    </row>
    <row r="1567" spans="19:19" x14ac:dyDescent="0.3">
      <c r="S1567" s="32"/>
    </row>
    <row r="1568" spans="19:19" x14ac:dyDescent="0.3">
      <c r="S1568" s="32"/>
    </row>
    <row r="1569" spans="19:19" x14ac:dyDescent="0.3">
      <c r="S1569" s="32"/>
    </row>
    <row r="1570" spans="19:19" x14ac:dyDescent="0.3">
      <c r="S1570" s="32"/>
    </row>
    <row r="1571" spans="19:19" x14ac:dyDescent="0.3">
      <c r="S1571" s="32"/>
    </row>
    <row r="1572" spans="19:19" x14ac:dyDescent="0.3">
      <c r="S1572" s="32"/>
    </row>
    <row r="1573" spans="19:19" x14ac:dyDescent="0.3">
      <c r="S1573" s="32"/>
    </row>
    <row r="1574" spans="19:19" x14ac:dyDescent="0.3">
      <c r="S1574" s="32"/>
    </row>
    <row r="1575" spans="19:19" x14ac:dyDescent="0.3">
      <c r="S1575" s="32"/>
    </row>
    <row r="1576" spans="19:19" x14ac:dyDescent="0.3">
      <c r="S1576" s="32"/>
    </row>
    <row r="1577" spans="19:19" x14ac:dyDescent="0.3">
      <c r="S1577" s="32"/>
    </row>
    <row r="1578" spans="19:19" x14ac:dyDescent="0.3">
      <c r="S1578" s="32"/>
    </row>
    <row r="1579" spans="19:19" x14ac:dyDescent="0.3">
      <c r="S1579" s="32"/>
    </row>
    <row r="1580" spans="19:19" x14ac:dyDescent="0.3">
      <c r="S1580" s="32"/>
    </row>
    <row r="1581" spans="19:19" x14ac:dyDescent="0.3">
      <c r="S1581" s="32"/>
    </row>
    <row r="1582" spans="19:19" x14ac:dyDescent="0.3">
      <c r="S1582" s="32"/>
    </row>
    <row r="1583" spans="19:19" x14ac:dyDescent="0.3">
      <c r="S1583" s="32"/>
    </row>
    <row r="1584" spans="19:19" x14ac:dyDescent="0.3">
      <c r="S1584" s="32"/>
    </row>
    <row r="1585" spans="19:19" x14ac:dyDescent="0.3">
      <c r="S1585" s="32"/>
    </row>
    <row r="1586" spans="19:19" x14ac:dyDescent="0.3">
      <c r="S1586" s="32"/>
    </row>
    <row r="1587" spans="19:19" x14ac:dyDescent="0.3">
      <c r="S1587" s="32"/>
    </row>
    <row r="1588" spans="19:19" x14ac:dyDescent="0.3">
      <c r="S1588" s="32"/>
    </row>
    <row r="1589" spans="19:19" x14ac:dyDescent="0.3">
      <c r="S1589" s="32"/>
    </row>
    <row r="1590" spans="19:19" x14ac:dyDescent="0.3">
      <c r="S1590" s="32"/>
    </row>
    <row r="1591" spans="19:19" x14ac:dyDescent="0.3">
      <c r="S1591" s="32"/>
    </row>
    <row r="1592" spans="19:19" x14ac:dyDescent="0.3">
      <c r="S1592" s="32"/>
    </row>
    <row r="1593" spans="19:19" x14ac:dyDescent="0.3">
      <c r="S1593" s="32"/>
    </row>
    <row r="1594" spans="19:19" x14ac:dyDescent="0.3">
      <c r="S1594" s="32"/>
    </row>
    <row r="1595" spans="19:19" x14ac:dyDescent="0.3">
      <c r="S1595" s="32"/>
    </row>
    <row r="1596" spans="19:19" x14ac:dyDescent="0.3">
      <c r="S1596" s="32"/>
    </row>
    <row r="1597" spans="19:19" x14ac:dyDescent="0.3">
      <c r="S1597" s="32"/>
    </row>
    <row r="1598" spans="19:19" x14ac:dyDescent="0.3">
      <c r="S1598" s="32"/>
    </row>
    <row r="1599" spans="19:19" x14ac:dyDescent="0.3">
      <c r="S1599" s="32"/>
    </row>
    <row r="1600" spans="19:19" x14ac:dyDescent="0.3">
      <c r="S1600" s="32"/>
    </row>
    <row r="1601" spans="19:19" x14ac:dyDescent="0.3">
      <c r="S1601" s="32"/>
    </row>
    <row r="1602" spans="19:19" x14ac:dyDescent="0.3">
      <c r="S1602" s="32"/>
    </row>
    <row r="1603" spans="19:19" x14ac:dyDescent="0.3">
      <c r="S1603" s="32"/>
    </row>
    <row r="1604" spans="19:19" x14ac:dyDescent="0.3">
      <c r="S1604" s="32"/>
    </row>
    <row r="1605" spans="19:19" x14ac:dyDescent="0.3">
      <c r="S1605" s="32"/>
    </row>
    <row r="1606" spans="19:19" x14ac:dyDescent="0.3">
      <c r="S1606" s="32"/>
    </row>
    <row r="1607" spans="19:19" x14ac:dyDescent="0.3">
      <c r="S1607" s="32"/>
    </row>
    <row r="1608" spans="19:19" x14ac:dyDescent="0.3">
      <c r="S1608" s="32"/>
    </row>
    <row r="1609" spans="19:19" x14ac:dyDescent="0.3">
      <c r="S1609" s="32"/>
    </row>
    <row r="1610" spans="19:19" x14ac:dyDescent="0.3">
      <c r="S1610" s="32"/>
    </row>
    <row r="1611" spans="19:19" x14ac:dyDescent="0.3">
      <c r="S1611" s="32"/>
    </row>
    <row r="1612" spans="19:19" x14ac:dyDescent="0.3">
      <c r="S1612" s="32"/>
    </row>
    <row r="1613" spans="19:19" x14ac:dyDescent="0.3">
      <c r="S1613" s="32"/>
    </row>
    <row r="1614" spans="19:19" x14ac:dyDescent="0.3">
      <c r="S1614" s="32"/>
    </row>
    <row r="1615" spans="19:19" x14ac:dyDescent="0.3">
      <c r="S1615" s="32"/>
    </row>
    <row r="1616" spans="19:19" x14ac:dyDescent="0.3">
      <c r="S1616" s="32"/>
    </row>
    <row r="1617" spans="19:19" x14ac:dyDescent="0.3">
      <c r="S1617" s="32"/>
    </row>
    <row r="1618" spans="19:19" x14ac:dyDescent="0.3">
      <c r="S1618" s="32"/>
    </row>
    <row r="1619" spans="19:19" x14ac:dyDescent="0.3">
      <c r="S1619" s="32"/>
    </row>
    <row r="1620" spans="19:19" x14ac:dyDescent="0.3">
      <c r="S1620" s="32"/>
    </row>
    <row r="1621" spans="19:19" x14ac:dyDescent="0.3">
      <c r="S1621" s="32"/>
    </row>
    <row r="1622" spans="19:19" x14ac:dyDescent="0.3">
      <c r="S1622" s="32"/>
    </row>
    <row r="1623" spans="19:19" x14ac:dyDescent="0.3">
      <c r="S1623" s="32"/>
    </row>
    <row r="1624" spans="19:19" x14ac:dyDescent="0.3">
      <c r="S1624" s="32"/>
    </row>
    <row r="1625" spans="19:19" x14ac:dyDescent="0.3">
      <c r="S1625" s="32"/>
    </row>
    <row r="1626" spans="19:19" x14ac:dyDescent="0.3">
      <c r="S1626" s="32"/>
    </row>
    <row r="1627" spans="19:19" x14ac:dyDescent="0.3">
      <c r="S1627" s="32"/>
    </row>
    <row r="1628" spans="19:19" x14ac:dyDescent="0.3">
      <c r="S1628" s="32"/>
    </row>
    <row r="1629" spans="19:19" x14ac:dyDescent="0.3">
      <c r="S1629" s="32"/>
    </row>
    <row r="1630" spans="19:19" x14ac:dyDescent="0.3">
      <c r="S1630" s="32"/>
    </row>
    <row r="1631" spans="19:19" x14ac:dyDescent="0.3">
      <c r="S1631" s="32"/>
    </row>
    <row r="1632" spans="19:19" x14ac:dyDescent="0.3">
      <c r="S1632" s="32"/>
    </row>
    <row r="1633" spans="19:19" x14ac:dyDescent="0.3">
      <c r="S1633" s="32"/>
    </row>
    <row r="1634" spans="19:19" x14ac:dyDescent="0.3">
      <c r="S1634" s="32"/>
    </row>
    <row r="1635" spans="19:19" x14ac:dyDescent="0.3">
      <c r="S1635" s="32"/>
    </row>
    <row r="1636" spans="19:19" x14ac:dyDescent="0.3">
      <c r="S1636" s="32"/>
    </row>
    <row r="1637" spans="19:19" x14ac:dyDescent="0.3">
      <c r="S1637" s="32"/>
    </row>
    <row r="1638" spans="19:19" x14ac:dyDescent="0.3">
      <c r="S1638" s="32"/>
    </row>
    <row r="1639" spans="19:19" x14ac:dyDescent="0.3">
      <c r="S1639" s="32"/>
    </row>
    <row r="1640" spans="19:19" x14ac:dyDescent="0.3">
      <c r="S1640" s="32"/>
    </row>
    <row r="1641" spans="19:19" x14ac:dyDescent="0.3">
      <c r="S1641" s="32"/>
    </row>
    <row r="1642" spans="19:19" x14ac:dyDescent="0.3">
      <c r="S1642" s="32"/>
    </row>
    <row r="1643" spans="19:19" x14ac:dyDescent="0.3">
      <c r="S1643" s="32"/>
    </row>
    <row r="1644" spans="19:19" x14ac:dyDescent="0.3">
      <c r="S1644" s="32"/>
    </row>
    <row r="1645" spans="19:19" x14ac:dyDescent="0.3">
      <c r="S1645" s="32"/>
    </row>
    <row r="1646" spans="19:19" x14ac:dyDescent="0.3">
      <c r="S1646" s="32"/>
    </row>
    <row r="1668" spans="19:19" x14ac:dyDescent="0.3">
      <c r="S1668" s="32"/>
    </row>
    <row r="1669" spans="19:19" x14ac:dyDescent="0.3">
      <c r="S1669" s="32"/>
    </row>
    <row r="1670" spans="19:19" x14ac:dyDescent="0.3">
      <c r="S1670" s="32"/>
    </row>
    <row r="1671" spans="19:19" x14ac:dyDescent="0.3">
      <c r="S1671" s="32"/>
    </row>
    <row r="1672" spans="19:19" x14ac:dyDescent="0.3">
      <c r="S1672" s="32"/>
    </row>
    <row r="1673" spans="19:19" x14ac:dyDescent="0.3">
      <c r="S1673" s="32"/>
    </row>
    <row r="1674" spans="19:19" x14ac:dyDescent="0.3">
      <c r="S1674" s="32"/>
    </row>
    <row r="1675" spans="19:19" x14ac:dyDescent="0.3">
      <c r="S1675" s="32"/>
    </row>
    <row r="1676" spans="19:19" x14ac:dyDescent="0.3">
      <c r="S1676" s="32"/>
    </row>
    <row r="1677" spans="19:19" x14ac:dyDescent="0.3">
      <c r="S1677" s="32"/>
    </row>
    <row r="1678" spans="19:19" x14ac:dyDescent="0.3">
      <c r="S1678" s="32"/>
    </row>
    <row r="1679" spans="19:19" x14ac:dyDescent="0.3">
      <c r="S1679" s="32"/>
    </row>
    <row r="1680" spans="19:19" x14ac:dyDescent="0.3">
      <c r="S1680" s="32"/>
    </row>
    <row r="1681" spans="19:19" x14ac:dyDescent="0.3">
      <c r="S1681" s="32"/>
    </row>
    <row r="1682" spans="19:19" x14ac:dyDescent="0.3">
      <c r="S1682" s="32"/>
    </row>
    <row r="1683" spans="19:19" x14ac:dyDescent="0.3">
      <c r="S1683" s="32"/>
    </row>
    <row r="1684" spans="19:19" x14ac:dyDescent="0.3">
      <c r="S1684" s="32"/>
    </row>
    <row r="1685" spans="19:19" x14ac:dyDescent="0.3">
      <c r="S1685" s="32"/>
    </row>
    <row r="1686" spans="19:19" x14ac:dyDescent="0.3">
      <c r="S1686" s="32"/>
    </row>
    <row r="1687" spans="19:19" x14ac:dyDescent="0.3">
      <c r="S1687" s="32"/>
    </row>
    <row r="1688" spans="19:19" x14ac:dyDescent="0.3">
      <c r="S1688" s="32"/>
    </row>
    <row r="1689" spans="19:19" x14ac:dyDescent="0.3">
      <c r="S1689" s="32"/>
    </row>
    <row r="1690" spans="19:19" x14ac:dyDescent="0.3">
      <c r="S1690" s="32"/>
    </row>
    <row r="1691" spans="19:19" x14ac:dyDescent="0.3">
      <c r="S1691" s="32"/>
    </row>
    <row r="1692" spans="19:19" x14ac:dyDescent="0.3">
      <c r="S1692" s="32"/>
    </row>
    <row r="1693" spans="19:19" x14ac:dyDescent="0.3">
      <c r="S1693" s="32"/>
    </row>
    <row r="1694" spans="19:19" x14ac:dyDescent="0.3">
      <c r="S1694" s="32"/>
    </row>
    <row r="1695" spans="19:19" x14ac:dyDescent="0.3">
      <c r="S1695" s="32"/>
    </row>
    <row r="1696" spans="19:19" x14ac:dyDescent="0.3">
      <c r="S1696" s="32"/>
    </row>
    <row r="1697" spans="19:19" x14ac:dyDescent="0.3">
      <c r="S1697" s="32"/>
    </row>
    <row r="1698" spans="19:19" x14ac:dyDescent="0.3">
      <c r="S1698" s="32"/>
    </row>
    <row r="1699" spans="19:19" x14ac:dyDescent="0.3">
      <c r="S1699" s="32"/>
    </row>
    <row r="1700" spans="19:19" x14ac:dyDescent="0.3">
      <c r="S1700" s="32"/>
    </row>
    <row r="1701" spans="19:19" x14ac:dyDescent="0.3">
      <c r="S1701" s="32"/>
    </row>
    <row r="1702" spans="19:19" x14ac:dyDescent="0.3">
      <c r="S1702" s="32"/>
    </row>
    <row r="1703" spans="19:19" x14ac:dyDescent="0.3">
      <c r="S1703" s="32"/>
    </row>
    <row r="1704" spans="19:19" x14ac:dyDescent="0.3">
      <c r="S1704" s="32"/>
    </row>
    <row r="1705" spans="19:19" x14ac:dyDescent="0.3">
      <c r="S1705" s="32"/>
    </row>
    <row r="1706" spans="19:19" x14ac:dyDescent="0.3">
      <c r="S1706" s="32"/>
    </row>
    <row r="1707" spans="19:19" x14ac:dyDescent="0.3">
      <c r="S1707" s="32"/>
    </row>
    <row r="1708" spans="19:19" x14ac:dyDescent="0.3">
      <c r="S1708" s="32"/>
    </row>
    <row r="1709" spans="19:19" x14ac:dyDescent="0.3">
      <c r="S1709" s="32"/>
    </row>
    <row r="1710" spans="19:19" x14ac:dyDescent="0.3">
      <c r="S1710" s="32"/>
    </row>
    <row r="1711" spans="19:19" x14ac:dyDescent="0.3">
      <c r="S1711" s="32"/>
    </row>
    <row r="1712" spans="19:19" x14ac:dyDescent="0.3">
      <c r="S1712" s="32"/>
    </row>
    <row r="1713" spans="19:19" x14ac:dyDescent="0.3">
      <c r="S1713" s="32"/>
    </row>
    <row r="1714" spans="19:19" x14ac:dyDescent="0.3">
      <c r="S1714" s="32"/>
    </row>
    <row r="1715" spans="19:19" x14ac:dyDescent="0.3">
      <c r="S1715" s="32"/>
    </row>
    <row r="1716" spans="19:19" x14ac:dyDescent="0.3">
      <c r="S1716" s="32"/>
    </row>
    <row r="1717" spans="19:19" x14ac:dyDescent="0.3">
      <c r="S1717" s="32"/>
    </row>
    <row r="1718" spans="19:19" x14ac:dyDescent="0.3">
      <c r="S1718" s="32"/>
    </row>
    <row r="1719" spans="19:19" x14ac:dyDescent="0.3">
      <c r="S1719" s="32"/>
    </row>
    <row r="1720" spans="19:19" x14ac:dyDescent="0.3">
      <c r="S1720" s="32"/>
    </row>
    <row r="1721" spans="19:19" x14ac:dyDescent="0.3">
      <c r="S1721" s="32"/>
    </row>
    <row r="1722" spans="19:19" x14ac:dyDescent="0.3">
      <c r="S1722" s="32"/>
    </row>
    <row r="1723" spans="19:19" x14ac:dyDescent="0.3">
      <c r="S1723" s="32"/>
    </row>
    <row r="1724" spans="19:19" x14ac:dyDescent="0.3">
      <c r="S1724" s="32"/>
    </row>
    <row r="1725" spans="19:19" x14ac:dyDescent="0.3">
      <c r="S1725" s="32"/>
    </row>
    <row r="1726" spans="19:19" x14ac:dyDescent="0.3">
      <c r="S1726" s="32"/>
    </row>
    <row r="1727" spans="19:19" x14ac:dyDescent="0.3">
      <c r="S1727" s="32"/>
    </row>
    <row r="1728" spans="19:19" x14ac:dyDescent="0.3">
      <c r="S1728" s="32"/>
    </row>
    <row r="1729" spans="19:19" x14ac:dyDescent="0.3">
      <c r="S1729" s="32"/>
    </row>
    <row r="1730" spans="19:19" x14ac:dyDescent="0.3">
      <c r="S1730" s="32"/>
    </row>
    <row r="1731" spans="19:19" x14ac:dyDescent="0.3">
      <c r="S1731" s="32"/>
    </row>
    <row r="1732" spans="19:19" x14ac:dyDescent="0.3">
      <c r="S1732" s="32"/>
    </row>
    <row r="1733" spans="19:19" x14ac:dyDescent="0.3">
      <c r="S1733" s="32"/>
    </row>
    <row r="1734" spans="19:19" x14ac:dyDescent="0.3">
      <c r="S1734" s="32"/>
    </row>
    <row r="1735" spans="19:19" x14ac:dyDescent="0.3">
      <c r="S1735" s="32"/>
    </row>
    <row r="1736" spans="19:19" x14ac:dyDescent="0.3">
      <c r="S1736" s="32"/>
    </row>
    <row r="1737" spans="19:19" x14ac:dyDescent="0.3">
      <c r="S1737" s="32"/>
    </row>
    <row r="1738" spans="19:19" x14ac:dyDescent="0.3">
      <c r="S1738" s="32"/>
    </row>
    <row r="1739" spans="19:19" x14ac:dyDescent="0.3">
      <c r="S1739" s="32"/>
    </row>
    <row r="1740" spans="19:19" x14ac:dyDescent="0.3">
      <c r="S1740" s="32"/>
    </row>
    <row r="1741" spans="19:19" x14ac:dyDescent="0.3">
      <c r="S1741" s="32"/>
    </row>
    <row r="1742" spans="19:19" x14ac:dyDescent="0.3">
      <c r="S1742" s="32"/>
    </row>
    <row r="1759" spans="19:19" x14ac:dyDescent="0.3">
      <c r="S1759" s="32"/>
    </row>
    <row r="1760" spans="19:19" x14ac:dyDescent="0.3">
      <c r="S1760" s="32"/>
    </row>
    <row r="1761" spans="19:19" x14ac:dyDescent="0.3">
      <c r="S1761" s="32"/>
    </row>
    <row r="1762" spans="19:19" x14ac:dyDescent="0.3">
      <c r="S1762" s="32"/>
    </row>
    <row r="1763" spans="19:19" x14ac:dyDescent="0.3">
      <c r="S1763" s="32"/>
    </row>
    <row r="1765" spans="19:19" x14ac:dyDescent="0.3">
      <c r="S1765" s="32"/>
    </row>
    <row r="1766" spans="19:19" x14ac:dyDescent="0.3">
      <c r="S1766" s="32"/>
    </row>
    <row r="1767" spans="19:19" x14ac:dyDescent="0.3">
      <c r="S1767" s="32"/>
    </row>
    <row r="1768" spans="19:19" x14ac:dyDescent="0.3">
      <c r="S1768" s="32"/>
    </row>
    <row r="1769" spans="19:19" x14ac:dyDescent="0.3">
      <c r="S1769" s="32"/>
    </row>
    <row r="1771" spans="19:19" x14ac:dyDescent="0.3">
      <c r="S1771" s="32"/>
    </row>
    <row r="1772" spans="19:19" x14ac:dyDescent="0.3">
      <c r="S1772" s="32"/>
    </row>
    <row r="1773" spans="19:19" x14ac:dyDescent="0.3">
      <c r="S1773" s="32"/>
    </row>
    <row r="1774" spans="19:19" x14ac:dyDescent="0.3">
      <c r="S1774" s="32"/>
    </row>
    <row r="1775" spans="19:19" x14ac:dyDescent="0.3">
      <c r="S1775" s="32"/>
    </row>
    <row r="1777" spans="19:19" x14ac:dyDescent="0.3">
      <c r="S1777" s="32"/>
    </row>
    <row r="1778" spans="19:19" x14ac:dyDescent="0.3">
      <c r="S1778" s="32"/>
    </row>
    <row r="1779" spans="19:19" x14ac:dyDescent="0.3">
      <c r="S1779" s="32"/>
    </row>
    <row r="1780" spans="19:19" x14ac:dyDescent="0.3">
      <c r="S1780" s="32"/>
    </row>
    <row r="1781" spans="19:19" x14ac:dyDescent="0.3">
      <c r="S1781" s="32"/>
    </row>
    <row r="1783" spans="19:19" x14ac:dyDescent="0.3">
      <c r="S1783" s="32"/>
    </row>
    <row r="1784" spans="19:19" x14ac:dyDescent="0.3">
      <c r="S1784" s="32"/>
    </row>
    <row r="1785" spans="19:19" x14ac:dyDescent="0.3">
      <c r="S1785" s="32"/>
    </row>
    <row r="1786" spans="19:19" x14ac:dyDescent="0.3">
      <c r="S1786" s="32"/>
    </row>
    <row r="1787" spans="19:19" x14ac:dyDescent="0.3">
      <c r="S1787" s="32"/>
    </row>
    <row r="1789" spans="19:19" x14ac:dyDescent="0.3">
      <c r="S1789" s="32"/>
    </row>
    <row r="1790" spans="19:19" x14ac:dyDescent="0.3">
      <c r="S1790" s="32"/>
    </row>
    <row r="1791" spans="19:19" x14ac:dyDescent="0.3">
      <c r="S1791" s="32"/>
    </row>
    <row r="1792" spans="19:19" x14ac:dyDescent="0.3">
      <c r="S1792" s="32"/>
    </row>
    <row r="1793" spans="19:19" x14ac:dyDescent="0.3">
      <c r="S1793" s="32"/>
    </row>
    <row r="1795" spans="19:19" x14ac:dyDescent="0.3">
      <c r="S1795" s="32"/>
    </row>
    <row r="1796" spans="19:19" x14ac:dyDescent="0.3">
      <c r="S1796" s="32"/>
    </row>
    <row r="1797" spans="19:19" x14ac:dyDescent="0.3">
      <c r="S1797" s="32"/>
    </row>
    <row r="1798" spans="19:19" x14ac:dyDescent="0.3">
      <c r="S1798" s="32"/>
    </row>
    <row r="1799" spans="19:19" x14ac:dyDescent="0.3">
      <c r="S1799" s="32"/>
    </row>
    <row r="1801" spans="19:19" x14ac:dyDescent="0.3">
      <c r="S1801" s="32"/>
    </row>
    <row r="1802" spans="19:19" x14ac:dyDescent="0.3">
      <c r="S1802" s="32"/>
    </row>
    <row r="1803" spans="19:19" x14ac:dyDescent="0.3">
      <c r="S1803" s="32"/>
    </row>
    <row r="1804" spans="19:19" x14ac:dyDescent="0.3">
      <c r="S1804" s="32"/>
    </row>
    <row r="1805" spans="19:19" x14ac:dyDescent="0.3">
      <c r="S1805" s="32"/>
    </row>
    <row r="1806" spans="19:19" x14ac:dyDescent="0.3">
      <c r="S1806" s="32"/>
    </row>
    <row r="1807" spans="19:19" x14ac:dyDescent="0.3">
      <c r="S1807" s="32"/>
    </row>
    <row r="1808" spans="19:19" x14ac:dyDescent="0.3">
      <c r="S1808" s="32"/>
    </row>
    <row r="1809" spans="19:19" x14ac:dyDescent="0.3">
      <c r="S1809" s="32"/>
    </row>
    <row r="1810" spans="19:19" x14ac:dyDescent="0.3">
      <c r="S1810" s="32"/>
    </row>
    <row r="1811" spans="19:19" x14ac:dyDescent="0.3">
      <c r="S1811" s="32"/>
    </row>
    <row r="1812" spans="19:19" x14ac:dyDescent="0.3">
      <c r="S1812" s="32"/>
    </row>
    <row r="1813" spans="19:19" x14ac:dyDescent="0.3">
      <c r="S1813" s="32"/>
    </row>
    <row r="1814" spans="19:19" x14ac:dyDescent="0.3">
      <c r="S1814" s="32"/>
    </row>
    <row r="1815" spans="19:19" x14ac:dyDescent="0.3">
      <c r="S1815" s="32"/>
    </row>
    <row r="1816" spans="19:19" x14ac:dyDescent="0.3">
      <c r="S1816" s="32"/>
    </row>
    <row r="1818" spans="19:19" x14ac:dyDescent="0.3">
      <c r="S1818" s="32"/>
    </row>
    <row r="1819" spans="19:19" x14ac:dyDescent="0.3">
      <c r="S1819" s="32"/>
    </row>
    <row r="1820" spans="19:19" x14ac:dyDescent="0.3">
      <c r="S1820" s="32"/>
    </row>
    <row r="1821" spans="19:19" x14ac:dyDescent="0.3">
      <c r="S1821" s="32"/>
    </row>
    <row r="1822" spans="19:19" x14ac:dyDescent="0.3">
      <c r="S1822" s="32"/>
    </row>
    <row r="1823" spans="19:19" x14ac:dyDescent="0.3">
      <c r="S1823" s="32"/>
    </row>
    <row r="1824" spans="19:19" x14ac:dyDescent="0.3">
      <c r="S1824" s="32"/>
    </row>
    <row r="1825" spans="19:19" x14ac:dyDescent="0.3">
      <c r="S1825" s="32"/>
    </row>
    <row r="1826" spans="19:19" x14ac:dyDescent="0.3">
      <c r="S1826" s="32"/>
    </row>
    <row r="1827" spans="19:19" x14ac:dyDescent="0.3">
      <c r="S1827" s="32"/>
    </row>
    <row r="1828" spans="19:19" x14ac:dyDescent="0.3">
      <c r="S1828" s="32"/>
    </row>
    <row r="1829" spans="19:19" x14ac:dyDescent="0.3">
      <c r="S1829" s="32"/>
    </row>
    <row r="1830" spans="19:19" x14ac:dyDescent="0.3">
      <c r="S1830" s="32"/>
    </row>
    <row r="1831" spans="19:19" x14ac:dyDescent="0.3">
      <c r="S1831" s="32"/>
    </row>
    <row r="1832" spans="19:19" x14ac:dyDescent="0.3">
      <c r="S1832" s="32"/>
    </row>
    <row r="1833" spans="19:19" x14ac:dyDescent="0.3">
      <c r="S1833" s="32"/>
    </row>
    <row r="1835" spans="19:19" x14ac:dyDescent="0.3">
      <c r="S1835" s="32"/>
    </row>
    <row r="1836" spans="19:19" x14ac:dyDescent="0.3">
      <c r="S1836" s="32"/>
    </row>
    <row r="1837" spans="19:19" x14ac:dyDescent="0.3">
      <c r="S1837" s="32"/>
    </row>
    <row r="1838" spans="19:19" x14ac:dyDescent="0.3">
      <c r="S1838" s="32"/>
    </row>
    <row r="1839" spans="19:19" x14ac:dyDescent="0.3">
      <c r="S1839" s="32"/>
    </row>
    <row r="1840" spans="19:19" x14ac:dyDescent="0.3">
      <c r="S1840" s="32"/>
    </row>
    <row r="1841" spans="19:19" x14ac:dyDescent="0.3">
      <c r="S1841" s="32"/>
    </row>
    <row r="1842" spans="19:19" x14ac:dyDescent="0.3">
      <c r="S1842" s="32"/>
    </row>
    <row r="1843" spans="19:19" x14ac:dyDescent="0.3">
      <c r="S1843" s="32"/>
    </row>
    <row r="1844" spans="19:19" x14ac:dyDescent="0.3">
      <c r="S1844" s="32"/>
    </row>
    <row r="1845" spans="19:19" x14ac:dyDescent="0.3">
      <c r="S1845" s="32"/>
    </row>
    <row r="1846" spans="19:19" x14ac:dyDescent="0.3">
      <c r="S1846" s="32"/>
    </row>
    <row r="1847" spans="19:19" x14ac:dyDescent="0.3">
      <c r="S1847" s="32"/>
    </row>
    <row r="1848" spans="19:19" x14ac:dyDescent="0.3">
      <c r="S1848" s="32"/>
    </row>
    <row r="1849" spans="19:19" x14ac:dyDescent="0.3">
      <c r="S1849" s="32"/>
    </row>
    <row r="1850" spans="19:19" x14ac:dyDescent="0.3">
      <c r="S1850" s="32"/>
    </row>
    <row r="1851" spans="19:19" x14ac:dyDescent="0.3">
      <c r="S1851" s="32"/>
    </row>
    <row r="1852" spans="19:19" x14ac:dyDescent="0.3">
      <c r="S1852" s="32"/>
    </row>
    <row r="1853" spans="19:19" x14ac:dyDescent="0.3">
      <c r="S1853" s="32"/>
    </row>
    <row r="1854" spans="19:19" x14ac:dyDescent="0.3">
      <c r="S1854" s="32"/>
    </row>
    <row r="1855" spans="19:19" x14ac:dyDescent="0.3">
      <c r="S1855" s="32"/>
    </row>
    <row r="1856" spans="19:19" x14ac:dyDescent="0.3">
      <c r="S1856" s="32"/>
    </row>
    <row r="1857" spans="19:19" x14ac:dyDescent="0.3">
      <c r="S1857" s="32"/>
    </row>
    <row r="1858" spans="19:19" x14ac:dyDescent="0.3">
      <c r="S1858" s="32"/>
    </row>
    <row r="1859" spans="19:19" x14ac:dyDescent="0.3">
      <c r="S1859" s="32"/>
    </row>
    <row r="1860" spans="19:19" x14ac:dyDescent="0.3">
      <c r="S1860" s="32"/>
    </row>
    <row r="1861" spans="19:19" x14ac:dyDescent="0.3">
      <c r="S1861" s="32"/>
    </row>
    <row r="1862" spans="19:19" x14ac:dyDescent="0.3">
      <c r="S1862" s="32"/>
    </row>
    <row r="1863" spans="19:19" x14ac:dyDescent="0.3">
      <c r="S1863" s="32"/>
    </row>
    <row r="1864" spans="19:19" x14ac:dyDescent="0.3">
      <c r="S1864" s="32"/>
    </row>
    <row r="1865" spans="19:19" x14ac:dyDescent="0.3">
      <c r="S1865" s="32"/>
    </row>
    <row r="1866" spans="19:19" x14ac:dyDescent="0.3">
      <c r="S1866" s="32"/>
    </row>
    <row r="1867" spans="19:19" x14ac:dyDescent="0.3">
      <c r="S1867" s="32"/>
    </row>
    <row r="1868" spans="19:19" x14ac:dyDescent="0.3">
      <c r="S1868" s="32"/>
    </row>
    <row r="1869" spans="19:19" x14ac:dyDescent="0.3">
      <c r="S1869" s="32"/>
    </row>
    <row r="1870" spans="19:19" x14ac:dyDescent="0.3">
      <c r="S1870" s="32"/>
    </row>
    <row r="1871" spans="19:19" x14ac:dyDescent="0.3">
      <c r="S1871" s="32"/>
    </row>
    <row r="1872" spans="19:19" x14ac:dyDescent="0.3">
      <c r="S1872" s="32"/>
    </row>
    <row r="1873" spans="19:19" x14ac:dyDescent="0.3">
      <c r="S1873" s="32"/>
    </row>
    <row r="1874" spans="19:19" x14ac:dyDescent="0.3">
      <c r="S1874" s="32"/>
    </row>
    <row r="1875" spans="19:19" x14ac:dyDescent="0.3">
      <c r="S1875" s="32"/>
    </row>
    <row r="1876" spans="19:19" x14ac:dyDescent="0.3">
      <c r="S1876" s="32"/>
    </row>
    <row r="1877" spans="19:19" x14ac:dyDescent="0.3">
      <c r="S1877" s="32"/>
    </row>
    <row r="1878" spans="19:19" x14ac:dyDescent="0.3">
      <c r="S1878" s="32"/>
    </row>
    <row r="1879" spans="19:19" x14ac:dyDescent="0.3">
      <c r="S1879" s="32"/>
    </row>
    <row r="1880" spans="19:19" x14ac:dyDescent="0.3">
      <c r="S1880" s="32"/>
    </row>
    <row r="1881" spans="19:19" x14ac:dyDescent="0.3">
      <c r="S1881" s="32"/>
    </row>
    <row r="1882" spans="19:19" x14ac:dyDescent="0.3">
      <c r="S1882" s="32"/>
    </row>
    <row r="1883" spans="19:19" x14ac:dyDescent="0.3">
      <c r="S1883" s="32"/>
    </row>
    <row r="1884" spans="19:19" x14ac:dyDescent="0.3">
      <c r="S1884" s="32"/>
    </row>
    <row r="1885" spans="19:19" x14ac:dyDescent="0.3">
      <c r="S1885" s="32"/>
    </row>
    <row r="1886" spans="19:19" x14ac:dyDescent="0.3">
      <c r="S1886" s="32"/>
    </row>
    <row r="1887" spans="19:19" x14ac:dyDescent="0.3">
      <c r="S1887" s="32"/>
    </row>
    <row r="1888" spans="19:19" x14ac:dyDescent="0.3">
      <c r="S1888" s="32"/>
    </row>
    <row r="1889" spans="19:19" x14ac:dyDescent="0.3">
      <c r="S1889" s="32"/>
    </row>
    <row r="1890" spans="19:19" x14ac:dyDescent="0.3">
      <c r="S1890" s="32"/>
    </row>
    <row r="1891" spans="19:19" x14ac:dyDescent="0.3">
      <c r="S1891" s="32"/>
    </row>
    <row r="1892" spans="19:19" x14ac:dyDescent="0.3">
      <c r="S1892" s="32"/>
    </row>
    <row r="1893" spans="19:19" x14ac:dyDescent="0.3">
      <c r="S1893" s="32"/>
    </row>
    <row r="1894" spans="19:19" x14ac:dyDescent="0.3">
      <c r="S1894" s="32"/>
    </row>
    <row r="1895" spans="19:19" x14ac:dyDescent="0.3">
      <c r="S1895" s="32"/>
    </row>
    <row r="1896" spans="19:19" x14ac:dyDescent="0.3">
      <c r="S1896" s="32"/>
    </row>
    <row r="1897" spans="19:19" x14ac:dyDescent="0.3">
      <c r="S1897" s="32"/>
    </row>
    <row r="1898" spans="19:19" x14ac:dyDescent="0.3">
      <c r="S1898" s="32"/>
    </row>
    <row r="1899" spans="19:19" x14ac:dyDescent="0.3">
      <c r="S1899" s="32"/>
    </row>
    <row r="1900" spans="19:19" x14ac:dyDescent="0.3">
      <c r="S1900" s="32"/>
    </row>
    <row r="1902" spans="19:19" x14ac:dyDescent="0.3">
      <c r="S1902" s="32"/>
    </row>
    <row r="1903" spans="19:19" x14ac:dyDescent="0.3">
      <c r="S1903" s="32"/>
    </row>
    <row r="1904" spans="19:19" x14ac:dyDescent="0.3">
      <c r="S1904" s="32"/>
    </row>
    <row r="1905" spans="19:19" x14ac:dyDescent="0.3">
      <c r="S1905" s="32"/>
    </row>
    <row r="1906" spans="19:19" x14ac:dyDescent="0.3">
      <c r="S1906" s="32"/>
    </row>
    <row r="1907" spans="19:19" x14ac:dyDescent="0.3">
      <c r="S1907" s="32"/>
    </row>
    <row r="1908" spans="19:19" x14ac:dyDescent="0.3">
      <c r="S1908" s="32"/>
    </row>
    <row r="1909" spans="19:19" x14ac:dyDescent="0.3">
      <c r="S1909" s="32"/>
    </row>
    <row r="1910" spans="19:19" x14ac:dyDescent="0.3">
      <c r="S1910" s="32"/>
    </row>
    <row r="1911" spans="19:19" x14ac:dyDescent="0.3">
      <c r="S1911" s="32"/>
    </row>
    <row r="1912" spans="19:19" x14ac:dyDescent="0.3">
      <c r="S1912" s="32"/>
    </row>
    <row r="1913" spans="19:19" x14ac:dyDescent="0.3">
      <c r="S1913" s="32"/>
    </row>
    <row r="1914" spans="19:19" x14ac:dyDescent="0.3">
      <c r="S1914" s="32"/>
    </row>
    <row r="1915" spans="19:19" x14ac:dyDescent="0.3">
      <c r="S1915" s="32"/>
    </row>
    <row r="1916" spans="19:19" x14ac:dyDescent="0.3">
      <c r="S1916" s="32"/>
    </row>
    <row r="1917" spans="19:19" x14ac:dyDescent="0.3">
      <c r="S1917" s="32"/>
    </row>
    <row r="1918" spans="19:19" x14ac:dyDescent="0.3">
      <c r="S1918" s="32"/>
    </row>
    <row r="1919" spans="19:19" x14ac:dyDescent="0.3">
      <c r="S1919" s="32"/>
    </row>
    <row r="1921" spans="19:19" x14ac:dyDescent="0.3">
      <c r="S1921" s="32"/>
    </row>
    <row r="1922" spans="19:19" x14ac:dyDescent="0.3">
      <c r="S1922" s="32"/>
    </row>
    <row r="1923" spans="19:19" x14ac:dyDescent="0.3">
      <c r="S1923" s="32"/>
    </row>
    <row r="1924" spans="19:19" x14ac:dyDescent="0.3">
      <c r="S1924" s="32"/>
    </row>
    <row r="1925" spans="19:19" x14ac:dyDescent="0.3">
      <c r="S1925" s="32"/>
    </row>
    <row r="1926" spans="19:19" x14ac:dyDescent="0.3">
      <c r="S1926" s="32"/>
    </row>
    <row r="1927" spans="19:19" x14ac:dyDescent="0.3">
      <c r="S1927" s="32"/>
    </row>
    <row r="1928" spans="19:19" x14ac:dyDescent="0.3">
      <c r="S1928" s="32"/>
    </row>
    <row r="1929" spans="19:19" x14ac:dyDescent="0.3">
      <c r="S1929" s="32"/>
    </row>
    <row r="1930" spans="19:19" x14ac:dyDescent="0.3">
      <c r="S1930" s="32"/>
    </row>
    <row r="1931" spans="19:19" x14ac:dyDescent="0.3">
      <c r="S1931" s="32"/>
    </row>
    <row r="1932" spans="19:19" x14ac:dyDescent="0.3">
      <c r="S1932" s="32"/>
    </row>
    <row r="1933" spans="19:19" x14ac:dyDescent="0.3">
      <c r="S1933" s="32"/>
    </row>
    <row r="1934" spans="19:19" x14ac:dyDescent="0.3">
      <c r="S1934" s="32"/>
    </row>
    <row r="1935" spans="19:19" x14ac:dyDescent="0.3">
      <c r="S1935" s="32"/>
    </row>
    <row r="1936" spans="19:19" x14ac:dyDescent="0.3">
      <c r="S1936" s="32"/>
    </row>
    <row r="1937" spans="19:19" x14ac:dyDescent="0.3">
      <c r="S1937" s="32"/>
    </row>
    <row r="1938" spans="19:19" x14ac:dyDescent="0.3">
      <c r="S1938" s="32"/>
    </row>
    <row r="1939" spans="19:19" x14ac:dyDescent="0.3">
      <c r="S1939" s="32"/>
    </row>
    <row r="1940" spans="19:19" x14ac:dyDescent="0.3">
      <c r="S1940" s="32"/>
    </row>
    <row r="1941" spans="19:19" x14ac:dyDescent="0.3">
      <c r="S1941" s="32"/>
    </row>
    <row r="1942" spans="19:19" x14ac:dyDescent="0.3">
      <c r="S1942" s="32"/>
    </row>
    <row r="1943" spans="19:19" x14ac:dyDescent="0.3">
      <c r="S1943" s="32"/>
    </row>
    <row r="1944" spans="19:19" x14ac:dyDescent="0.3">
      <c r="S1944" s="32"/>
    </row>
    <row r="1945" spans="19:19" x14ac:dyDescent="0.3">
      <c r="S1945" s="32"/>
    </row>
    <row r="1946" spans="19:19" x14ac:dyDescent="0.3">
      <c r="S1946" s="32"/>
    </row>
    <row r="1947" spans="19:19" x14ac:dyDescent="0.3">
      <c r="S1947" s="32"/>
    </row>
    <row r="1948" spans="19:19" x14ac:dyDescent="0.3">
      <c r="S1948" s="32"/>
    </row>
    <row r="1949" spans="19:19" x14ac:dyDescent="0.3">
      <c r="S1949" s="32"/>
    </row>
    <row r="1950" spans="19:19" x14ac:dyDescent="0.3">
      <c r="S1950" s="32"/>
    </row>
    <row r="1951" spans="19:19" x14ac:dyDescent="0.3">
      <c r="S1951" s="32"/>
    </row>
    <row r="1952" spans="19:19" x14ac:dyDescent="0.3">
      <c r="S1952" s="32"/>
    </row>
    <row r="1953" spans="19:19" x14ac:dyDescent="0.3">
      <c r="S1953" s="32"/>
    </row>
    <row r="1954" spans="19:19" x14ac:dyDescent="0.3">
      <c r="S1954" s="32"/>
    </row>
    <row r="1955" spans="19:19" x14ac:dyDescent="0.3">
      <c r="S1955" s="32"/>
    </row>
    <row r="1956" spans="19:19" x14ac:dyDescent="0.3">
      <c r="S1956" s="32"/>
    </row>
    <row r="1957" spans="19:19" x14ac:dyDescent="0.3">
      <c r="S1957" s="32"/>
    </row>
    <row r="1958" spans="19:19" x14ac:dyDescent="0.3">
      <c r="S1958" s="32"/>
    </row>
    <row r="1959" spans="19:19" x14ac:dyDescent="0.3">
      <c r="S1959" s="32"/>
    </row>
    <row r="1960" spans="19:19" x14ac:dyDescent="0.3">
      <c r="S1960" s="32"/>
    </row>
    <row r="1961" spans="19:19" x14ac:dyDescent="0.3">
      <c r="S1961" s="32"/>
    </row>
    <row r="1962" spans="19:19" x14ac:dyDescent="0.3">
      <c r="S1962" s="32"/>
    </row>
    <row r="1963" spans="19:19" x14ac:dyDescent="0.3">
      <c r="S1963" s="32"/>
    </row>
    <row r="1964" spans="19:19" x14ac:dyDescent="0.3">
      <c r="S1964" s="32"/>
    </row>
    <row r="1965" spans="19:19" x14ac:dyDescent="0.3">
      <c r="S1965" s="32"/>
    </row>
    <row r="1966" spans="19:19" x14ac:dyDescent="0.3">
      <c r="S1966" s="32"/>
    </row>
    <row r="1967" spans="19:19" x14ac:dyDescent="0.3">
      <c r="S1967" s="32"/>
    </row>
    <row r="1968" spans="19:19" x14ac:dyDescent="0.3">
      <c r="S1968" s="32"/>
    </row>
    <row r="1969" spans="19:19" x14ac:dyDescent="0.3">
      <c r="S1969" s="32"/>
    </row>
    <row r="1970" spans="19:19" x14ac:dyDescent="0.3">
      <c r="S1970" s="32"/>
    </row>
    <row r="1971" spans="19:19" x14ac:dyDescent="0.3">
      <c r="S1971" s="32"/>
    </row>
    <row r="1972" spans="19:19" x14ac:dyDescent="0.3">
      <c r="S1972" s="32"/>
    </row>
    <row r="1973" spans="19:19" x14ac:dyDescent="0.3">
      <c r="S1973" s="32"/>
    </row>
    <row r="1975" spans="19:19" x14ac:dyDescent="0.3">
      <c r="S1975" s="32"/>
    </row>
    <row r="1977" spans="19:19" x14ac:dyDescent="0.3">
      <c r="S1977" s="32"/>
    </row>
    <row r="1979" spans="19:19" x14ac:dyDescent="0.3">
      <c r="S1979" s="32"/>
    </row>
    <row r="1981" spans="19:19" x14ac:dyDescent="0.3">
      <c r="S1981" s="32"/>
    </row>
    <row r="1983" spans="19:19" x14ac:dyDescent="0.3">
      <c r="S1983" s="32"/>
    </row>
    <row r="1985" spans="19:19" x14ac:dyDescent="0.3">
      <c r="S1985" s="32"/>
    </row>
    <row r="1987" spans="19:19" x14ac:dyDescent="0.3">
      <c r="S1987" s="32"/>
    </row>
    <row r="1989" spans="19:19" x14ac:dyDescent="0.3">
      <c r="S1989" s="32"/>
    </row>
    <row r="1991" spans="19:19" x14ac:dyDescent="0.3">
      <c r="S1991" s="32"/>
    </row>
    <row r="1992" spans="19:19" x14ac:dyDescent="0.3">
      <c r="S1992" s="32"/>
    </row>
    <row r="1993" spans="19:19" x14ac:dyDescent="0.3">
      <c r="S1993" s="32"/>
    </row>
    <row r="1994" spans="19:19" x14ac:dyDescent="0.3">
      <c r="S1994" s="32"/>
    </row>
    <row r="1995" spans="19:19" x14ac:dyDescent="0.3">
      <c r="S1995" s="32"/>
    </row>
    <row r="1996" spans="19:19" x14ac:dyDescent="0.3">
      <c r="S1996" s="32"/>
    </row>
    <row r="1997" spans="19:19" x14ac:dyDescent="0.3">
      <c r="S1997" s="32"/>
    </row>
    <row r="1998" spans="19:19" x14ac:dyDescent="0.3">
      <c r="S1998" s="32"/>
    </row>
    <row r="1999" spans="19:19" x14ac:dyDescent="0.3">
      <c r="S1999" s="32"/>
    </row>
    <row r="2000" spans="19:19" x14ac:dyDescent="0.3">
      <c r="S2000" s="32"/>
    </row>
    <row r="2001" spans="19:19" x14ac:dyDescent="0.3">
      <c r="S2001" s="32"/>
    </row>
    <row r="2002" spans="19:19" x14ac:dyDescent="0.3">
      <c r="S2002" s="32"/>
    </row>
    <row r="2003" spans="19:19" x14ac:dyDescent="0.3">
      <c r="S2003" s="32"/>
    </row>
    <row r="2004" spans="19:19" x14ac:dyDescent="0.3">
      <c r="S2004" s="32"/>
    </row>
    <row r="2005" spans="19:19" x14ac:dyDescent="0.3">
      <c r="S2005" s="32"/>
    </row>
    <row r="2006" spans="19:19" x14ac:dyDescent="0.3">
      <c r="S2006" s="32"/>
    </row>
    <row r="2007" spans="19:19" x14ac:dyDescent="0.3">
      <c r="S2007" s="32"/>
    </row>
    <row r="2008" spans="19:19" x14ac:dyDescent="0.3">
      <c r="S2008" s="32"/>
    </row>
    <row r="2009" spans="19:19" x14ac:dyDescent="0.3">
      <c r="S2009" s="32"/>
    </row>
    <row r="2010" spans="19:19" x14ac:dyDescent="0.3">
      <c r="S2010" s="32"/>
    </row>
    <row r="2011" spans="19:19" x14ac:dyDescent="0.3">
      <c r="S2011" s="32"/>
    </row>
    <row r="2012" spans="19:19" x14ac:dyDescent="0.3">
      <c r="S2012" s="32"/>
    </row>
    <row r="2013" spans="19:19" x14ac:dyDescent="0.3">
      <c r="S2013" s="32"/>
    </row>
    <row r="2014" spans="19:19" x14ac:dyDescent="0.3">
      <c r="S2014" s="32"/>
    </row>
    <row r="2015" spans="19:19" x14ac:dyDescent="0.3">
      <c r="S2015" s="32"/>
    </row>
    <row r="2016" spans="19:19" x14ac:dyDescent="0.3">
      <c r="S2016" s="32"/>
    </row>
    <row r="2017" spans="19:19" x14ac:dyDescent="0.3">
      <c r="S2017" s="32"/>
    </row>
    <row r="2018" spans="19:19" x14ac:dyDescent="0.3">
      <c r="S2018" s="32"/>
    </row>
    <row r="2019" spans="19:19" x14ac:dyDescent="0.3">
      <c r="S2019" s="32"/>
    </row>
    <row r="2020" spans="19:19" x14ac:dyDescent="0.3">
      <c r="S2020" s="32"/>
    </row>
    <row r="2021" spans="19:19" x14ac:dyDescent="0.3">
      <c r="S2021" s="32"/>
    </row>
    <row r="2022" spans="19:19" x14ac:dyDescent="0.3">
      <c r="S2022" s="32"/>
    </row>
    <row r="2023" spans="19:19" x14ac:dyDescent="0.3">
      <c r="S2023" s="32"/>
    </row>
    <row r="2024" spans="19:19" x14ac:dyDescent="0.3">
      <c r="S2024" s="32"/>
    </row>
    <row r="2025" spans="19:19" x14ac:dyDescent="0.3">
      <c r="S2025" s="32"/>
    </row>
    <row r="2026" spans="19:19" x14ac:dyDescent="0.3">
      <c r="S2026" s="32"/>
    </row>
    <row r="2027" spans="19:19" x14ac:dyDescent="0.3">
      <c r="S2027" s="32"/>
    </row>
    <row r="2028" spans="19:19" x14ac:dyDescent="0.3">
      <c r="S2028" s="32"/>
    </row>
    <row r="2029" spans="19:19" x14ac:dyDescent="0.3">
      <c r="S2029" s="32"/>
    </row>
    <row r="2030" spans="19:19" x14ac:dyDescent="0.3">
      <c r="S2030" s="32"/>
    </row>
    <row r="2031" spans="19:19" x14ac:dyDescent="0.3">
      <c r="S2031" s="32"/>
    </row>
    <row r="2032" spans="19:19" x14ac:dyDescent="0.3">
      <c r="S2032" s="32"/>
    </row>
    <row r="2033" spans="19:19" x14ac:dyDescent="0.3">
      <c r="S2033" s="32"/>
    </row>
    <row r="2034" spans="19:19" x14ac:dyDescent="0.3">
      <c r="S2034" s="32"/>
    </row>
    <row r="2035" spans="19:19" x14ac:dyDescent="0.3">
      <c r="S2035" s="32"/>
    </row>
    <row r="2036" spans="19:19" x14ac:dyDescent="0.3">
      <c r="S2036" s="32"/>
    </row>
    <row r="2037" spans="19:19" x14ac:dyDescent="0.3">
      <c r="S2037" s="32"/>
    </row>
    <row r="2038" spans="19:19" x14ac:dyDescent="0.3">
      <c r="S2038" s="32"/>
    </row>
    <row r="2039" spans="19:19" x14ac:dyDescent="0.3">
      <c r="S2039" s="32"/>
    </row>
    <row r="2040" spans="19:19" x14ac:dyDescent="0.3">
      <c r="S2040" s="32"/>
    </row>
    <row r="2041" spans="19:19" x14ac:dyDescent="0.3">
      <c r="S2041" s="32"/>
    </row>
    <row r="2042" spans="19:19" x14ac:dyDescent="0.3">
      <c r="S2042" s="32"/>
    </row>
    <row r="2043" spans="19:19" x14ac:dyDescent="0.3">
      <c r="S2043" s="32"/>
    </row>
    <row r="2044" spans="19:19" x14ac:dyDescent="0.3">
      <c r="S2044" s="32"/>
    </row>
    <row r="2045" spans="19:19" x14ac:dyDescent="0.3">
      <c r="S2045" s="32"/>
    </row>
    <row r="2046" spans="19:19" x14ac:dyDescent="0.3">
      <c r="S2046" s="32"/>
    </row>
    <row r="2047" spans="19:19" x14ac:dyDescent="0.3">
      <c r="S2047" s="32"/>
    </row>
    <row r="2048" spans="19:19" x14ac:dyDescent="0.3">
      <c r="S2048" s="32"/>
    </row>
    <row r="2049" spans="19:19" x14ac:dyDescent="0.3">
      <c r="S2049" s="32"/>
    </row>
    <row r="2050" spans="19:19" x14ac:dyDescent="0.3">
      <c r="S2050" s="32"/>
    </row>
    <row r="2051" spans="19:19" x14ac:dyDescent="0.3">
      <c r="S2051" s="32"/>
    </row>
    <row r="2052" spans="19:19" x14ac:dyDescent="0.3">
      <c r="S2052" s="32"/>
    </row>
    <row r="2053" spans="19:19" x14ac:dyDescent="0.3">
      <c r="S2053" s="32"/>
    </row>
    <row r="2054" spans="19:19" x14ac:dyDescent="0.3">
      <c r="S2054" s="32"/>
    </row>
    <row r="2055" spans="19:19" x14ac:dyDescent="0.3">
      <c r="S2055" s="32"/>
    </row>
    <row r="2057" spans="19:19" x14ac:dyDescent="0.3">
      <c r="S2057" s="32"/>
    </row>
    <row r="2058" spans="19:19" x14ac:dyDescent="0.3">
      <c r="S2058" s="32"/>
    </row>
    <row r="2059" spans="19:19" x14ac:dyDescent="0.3">
      <c r="S2059" s="32"/>
    </row>
    <row r="2060" spans="19:19" x14ac:dyDescent="0.3">
      <c r="S2060" s="32"/>
    </row>
    <row r="2061" spans="19:19" x14ac:dyDescent="0.3">
      <c r="S2061" s="32"/>
    </row>
    <row r="2062" spans="19:19" x14ac:dyDescent="0.3">
      <c r="S2062" s="32"/>
    </row>
    <row r="2063" spans="19:19" x14ac:dyDescent="0.3">
      <c r="S2063" s="32"/>
    </row>
    <row r="2064" spans="19:19" x14ac:dyDescent="0.3">
      <c r="S2064" s="32"/>
    </row>
    <row r="2065" spans="19:19" x14ac:dyDescent="0.3">
      <c r="S2065" s="32"/>
    </row>
    <row r="2066" spans="19:19" x14ac:dyDescent="0.3">
      <c r="S2066" s="32"/>
    </row>
    <row r="2067" spans="19:19" x14ac:dyDescent="0.3">
      <c r="S2067" s="32"/>
    </row>
    <row r="2068" spans="19:19" x14ac:dyDescent="0.3">
      <c r="S2068" s="32"/>
    </row>
    <row r="2070" spans="19:19" x14ac:dyDescent="0.3">
      <c r="S2070" s="32"/>
    </row>
    <row r="2071" spans="19:19" x14ac:dyDescent="0.3">
      <c r="S2071" s="32"/>
    </row>
    <row r="2072" spans="19:19" x14ac:dyDescent="0.3">
      <c r="S2072" s="32"/>
    </row>
    <row r="2073" spans="19:19" x14ac:dyDescent="0.3">
      <c r="S2073" s="32"/>
    </row>
    <row r="2074" spans="19:19" x14ac:dyDescent="0.3">
      <c r="S2074" s="32"/>
    </row>
    <row r="2075" spans="19:19" x14ac:dyDescent="0.3">
      <c r="S2075" s="32"/>
    </row>
    <row r="2076" spans="19:19" x14ac:dyDescent="0.3">
      <c r="S2076" s="32"/>
    </row>
    <row r="2077" spans="19:19" x14ac:dyDescent="0.3">
      <c r="S2077" s="32"/>
    </row>
    <row r="2078" spans="19:19" x14ac:dyDescent="0.3">
      <c r="S2078" s="32"/>
    </row>
    <row r="2079" spans="19:19" x14ac:dyDescent="0.3">
      <c r="S2079" s="32"/>
    </row>
    <row r="2080" spans="19:19" x14ac:dyDescent="0.3">
      <c r="S2080" s="32"/>
    </row>
    <row r="2081" spans="19:19" x14ac:dyDescent="0.3">
      <c r="S2081" s="32"/>
    </row>
    <row r="2083" spans="19:19" x14ac:dyDescent="0.3">
      <c r="S2083" s="32"/>
    </row>
    <row r="2084" spans="19:19" x14ac:dyDescent="0.3">
      <c r="S2084" s="32"/>
    </row>
    <row r="2085" spans="19:19" x14ac:dyDescent="0.3">
      <c r="S2085" s="32"/>
    </row>
    <row r="2086" spans="19:19" x14ac:dyDescent="0.3">
      <c r="S2086" s="32"/>
    </row>
    <row r="2087" spans="19:19" x14ac:dyDescent="0.3">
      <c r="S2087" s="32"/>
    </row>
    <row r="2088" spans="19:19" x14ac:dyDescent="0.3">
      <c r="S2088" s="32"/>
    </row>
    <row r="2089" spans="19:19" x14ac:dyDescent="0.3">
      <c r="S2089" s="32"/>
    </row>
    <row r="2090" spans="19:19" x14ac:dyDescent="0.3">
      <c r="S2090" s="32"/>
    </row>
    <row r="2092" spans="19:19" x14ac:dyDescent="0.3">
      <c r="S2092" s="32"/>
    </row>
    <row r="2093" spans="19:19" x14ac:dyDescent="0.3">
      <c r="S2093" s="32"/>
    </row>
    <row r="2094" spans="19:19" x14ac:dyDescent="0.3">
      <c r="S2094" s="32"/>
    </row>
    <row r="2095" spans="19:19" x14ac:dyDescent="0.3">
      <c r="S2095" s="32"/>
    </row>
    <row r="2096" spans="19:19" x14ac:dyDescent="0.3">
      <c r="S2096" s="32"/>
    </row>
    <row r="2097" spans="19:19" x14ac:dyDescent="0.3">
      <c r="S2097" s="32"/>
    </row>
    <row r="2098" spans="19:19" x14ac:dyDescent="0.3">
      <c r="S2098" s="32"/>
    </row>
    <row r="2099" spans="19:19" x14ac:dyDescent="0.3">
      <c r="S2099" s="32"/>
    </row>
    <row r="2101" spans="19:19" x14ac:dyDescent="0.3">
      <c r="S2101" s="32"/>
    </row>
    <row r="2102" spans="19:19" x14ac:dyDescent="0.3">
      <c r="S2102" s="32"/>
    </row>
    <row r="2103" spans="19:19" x14ac:dyDescent="0.3">
      <c r="S2103" s="32"/>
    </row>
    <row r="2104" spans="19:19" x14ac:dyDescent="0.3">
      <c r="S2104" s="32"/>
    </row>
    <row r="2105" spans="19:19" x14ac:dyDescent="0.3">
      <c r="S2105" s="32"/>
    </row>
    <row r="2106" spans="19:19" x14ac:dyDescent="0.3">
      <c r="S2106" s="32"/>
    </row>
    <row r="2107" spans="19:19" x14ac:dyDescent="0.3">
      <c r="S2107" s="32"/>
    </row>
    <row r="2108" spans="19:19" x14ac:dyDescent="0.3">
      <c r="S2108" s="32"/>
    </row>
    <row r="2110" spans="19:19" x14ac:dyDescent="0.3">
      <c r="S2110" s="32"/>
    </row>
    <row r="2111" spans="19:19" x14ac:dyDescent="0.3">
      <c r="S2111" s="32"/>
    </row>
    <row r="2112" spans="19:19" x14ac:dyDescent="0.3">
      <c r="S2112" s="32"/>
    </row>
    <row r="2113" spans="19:19" x14ac:dyDescent="0.3">
      <c r="S2113" s="32"/>
    </row>
    <row r="2114" spans="19:19" x14ac:dyDescent="0.3">
      <c r="S2114" s="32"/>
    </row>
    <row r="2115" spans="19:19" x14ac:dyDescent="0.3">
      <c r="S2115" s="32"/>
    </row>
    <row r="2116" spans="19:19" x14ac:dyDescent="0.3">
      <c r="S2116" s="32"/>
    </row>
    <row r="2117" spans="19:19" x14ac:dyDescent="0.3">
      <c r="S2117" s="32"/>
    </row>
    <row r="2119" spans="19:19" x14ac:dyDescent="0.3">
      <c r="S2119" s="32"/>
    </row>
    <row r="2120" spans="19:19" x14ac:dyDescent="0.3">
      <c r="S2120" s="32"/>
    </row>
    <row r="2121" spans="19:19" x14ac:dyDescent="0.3">
      <c r="S2121" s="32"/>
    </row>
    <row r="2122" spans="19:19" x14ac:dyDescent="0.3">
      <c r="S2122" s="32"/>
    </row>
    <row r="2123" spans="19:19" x14ac:dyDescent="0.3">
      <c r="S2123" s="32"/>
    </row>
    <row r="2124" spans="19:19" x14ac:dyDescent="0.3">
      <c r="S2124" s="32"/>
    </row>
    <row r="2125" spans="19:19" x14ac:dyDescent="0.3">
      <c r="S2125" s="32"/>
    </row>
    <row r="2126" spans="19:19" x14ac:dyDescent="0.3">
      <c r="S2126" s="32"/>
    </row>
    <row r="2128" spans="19:19" x14ac:dyDescent="0.3">
      <c r="S2128" s="32"/>
    </row>
    <row r="2129" spans="19:19" x14ac:dyDescent="0.3">
      <c r="S2129" s="32"/>
    </row>
    <row r="2130" spans="19:19" x14ac:dyDescent="0.3">
      <c r="S2130" s="32"/>
    </row>
    <row r="2131" spans="19:19" x14ac:dyDescent="0.3">
      <c r="S2131" s="32"/>
    </row>
    <row r="2132" spans="19:19" x14ac:dyDescent="0.3">
      <c r="S2132" s="32"/>
    </row>
    <row r="2133" spans="19:19" x14ac:dyDescent="0.3">
      <c r="S2133" s="32"/>
    </row>
    <row r="2134" spans="19:19" x14ac:dyDescent="0.3">
      <c r="S2134" s="32"/>
    </row>
    <row r="2135" spans="19:19" x14ac:dyDescent="0.3">
      <c r="S2135" s="32"/>
    </row>
    <row r="2137" spans="19:19" x14ac:dyDescent="0.3">
      <c r="S2137" s="32"/>
    </row>
    <row r="2138" spans="19:19" x14ac:dyDescent="0.3">
      <c r="S2138" s="32"/>
    </row>
    <row r="2139" spans="19:19" x14ac:dyDescent="0.3">
      <c r="S2139" s="32"/>
    </row>
    <row r="2140" spans="19:19" x14ac:dyDescent="0.3">
      <c r="S2140" s="32"/>
    </row>
    <row r="2141" spans="19:19" x14ac:dyDescent="0.3">
      <c r="S2141" s="32"/>
    </row>
    <row r="2142" spans="19:19" x14ac:dyDescent="0.3">
      <c r="S2142" s="32"/>
    </row>
    <row r="2143" spans="19:19" x14ac:dyDescent="0.3">
      <c r="S2143" s="32"/>
    </row>
    <row r="2144" spans="19:19" x14ac:dyDescent="0.3">
      <c r="S2144" s="32"/>
    </row>
    <row r="2146" spans="19:19" x14ac:dyDescent="0.3">
      <c r="S2146" s="32"/>
    </row>
    <row r="2147" spans="19:19" x14ac:dyDescent="0.3">
      <c r="S2147" s="32"/>
    </row>
    <row r="2148" spans="19:19" x14ac:dyDescent="0.3">
      <c r="S2148" s="32"/>
    </row>
    <row r="2150" spans="19:19" x14ac:dyDescent="0.3">
      <c r="S2150" s="32"/>
    </row>
    <row r="2151" spans="19:19" x14ac:dyDescent="0.3">
      <c r="S2151" s="32"/>
    </row>
    <row r="2152" spans="19:19" x14ac:dyDescent="0.3">
      <c r="S2152" s="32"/>
    </row>
    <row r="2154" spans="19:19" x14ac:dyDescent="0.3">
      <c r="S2154" s="32"/>
    </row>
    <row r="2155" spans="19:19" x14ac:dyDescent="0.3">
      <c r="S2155" s="32"/>
    </row>
    <row r="2156" spans="19:19" x14ac:dyDescent="0.3">
      <c r="S2156" s="32"/>
    </row>
    <row r="2158" spans="19:19" x14ac:dyDescent="0.3">
      <c r="S2158" s="32"/>
    </row>
    <row r="2159" spans="19:19" x14ac:dyDescent="0.3">
      <c r="S2159" s="32"/>
    </row>
    <row r="2160" spans="19:19" x14ac:dyDescent="0.3">
      <c r="S2160" s="32"/>
    </row>
    <row r="2162" spans="19:19" x14ac:dyDescent="0.3">
      <c r="S2162" s="32"/>
    </row>
    <row r="2163" spans="19:19" x14ac:dyDescent="0.3">
      <c r="S2163" s="32"/>
    </row>
    <row r="2164" spans="19:19" x14ac:dyDescent="0.3">
      <c r="S2164" s="32"/>
    </row>
    <row r="2166" spans="19:19" x14ac:dyDescent="0.3">
      <c r="S2166" s="32"/>
    </row>
    <row r="2167" spans="19:19" x14ac:dyDescent="0.3">
      <c r="S2167" s="32"/>
    </row>
    <row r="2168" spans="19:19" x14ac:dyDescent="0.3">
      <c r="S2168" s="32"/>
    </row>
    <row r="2170" spans="19:19" x14ac:dyDescent="0.3">
      <c r="S2170" s="32"/>
    </row>
    <row r="2171" spans="19:19" x14ac:dyDescent="0.3">
      <c r="S2171" s="32"/>
    </row>
    <row r="2172" spans="19:19" x14ac:dyDescent="0.3">
      <c r="S2172" s="32"/>
    </row>
    <row r="2174" spans="19:19" x14ac:dyDescent="0.3">
      <c r="S2174" s="32"/>
    </row>
    <row r="2175" spans="19:19" x14ac:dyDescent="0.3">
      <c r="S2175" s="32"/>
    </row>
    <row r="2176" spans="19:19" x14ac:dyDescent="0.3">
      <c r="S2176" s="32"/>
    </row>
    <row r="2178" spans="19:19" x14ac:dyDescent="0.3">
      <c r="S2178" s="32"/>
    </row>
    <row r="2179" spans="19:19" x14ac:dyDescent="0.3">
      <c r="S2179" s="32"/>
    </row>
    <row r="2180" spans="19:19" x14ac:dyDescent="0.3">
      <c r="S2180" s="32"/>
    </row>
    <row r="2181" spans="19:19" x14ac:dyDescent="0.3">
      <c r="S2181" s="32"/>
    </row>
    <row r="2182" spans="19:19" x14ac:dyDescent="0.3">
      <c r="S2182" s="32"/>
    </row>
    <row r="2183" spans="19:19" x14ac:dyDescent="0.3">
      <c r="S2183" s="32"/>
    </row>
    <row r="2184" spans="19:19" x14ac:dyDescent="0.3">
      <c r="S2184" s="32"/>
    </row>
    <row r="2185" spans="19:19" x14ac:dyDescent="0.3">
      <c r="S2185" s="32"/>
    </row>
    <row r="2186" spans="19:19" x14ac:dyDescent="0.3">
      <c r="S2186" s="32"/>
    </row>
    <row r="2187" spans="19:19" x14ac:dyDescent="0.3">
      <c r="S2187" s="32"/>
    </row>
    <row r="2188" spans="19:19" x14ac:dyDescent="0.3">
      <c r="S2188" s="32"/>
    </row>
    <row r="2189" spans="19:19" x14ac:dyDescent="0.3">
      <c r="S2189" s="32"/>
    </row>
    <row r="2190" spans="19:19" x14ac:dyDescent="0.3">
      <c r="S2190" s="32"/>
    </row>
    <row r="2191" spans="19:19" x14ac:dyDescent="0.3">
      <c r="S2191" s="32"/>
    </row>
    <row r="2192" spans="19:19" x14ac:dyDescent="0.3">
      <c r="S2192" s="32"/>
    </row>
    <row r="2193" spans="19:19" x14ac:dyDescent="0.3">
      <c r="S2193" s="32"/>
    </row>
    <row r="2194" spans="19:19" x14ac:dyDescent="0.3">
      <c r="S2194" s="32"/>
    </row>
    <row r="2195" spans="19:19" x14ac:dyDescent="0.3">
      <c r="S2195" s="32"/>
    </row>
    <row r="2196" spans="19:19" x14ac:dyDescent="0.3">
      <c r="S2196" s="32"/>
    </row>
    <row r="2197" spans="19:19" x14ac:dyDescent="0.3">
      <c r="S2197" s="32"/>
    </row>
    <row r="2199" spans="19:19" x14ac:dyDescent="0.3">
      <c r="S2199" s="32"/>
    </row>
    <row r="2200" spans="19:19" x14ac:dyDescent="0.3">
      <c r="S2200" s="32"/>
    </row>
    <row r="2201" spans="19:19" x14ac:dyDescent="0.3">
      <c r="S2201" s="32"/>
    </row>
    <row r="2202" spans="19:19" x14ac:dyDescent="0.3">
      <c r="S2202" s="32"/>
    </row>
    <row r="2203" spans="19:19" x14ac:dyDescent="0.3">
      <c r="S2203" s="32"/>
    </row>
    <row r="2204" spans="19:19" x14ac:dyDescent="0.3">
      <c r="S2204" s="32"/>
    </row>
    <row r="2205" spans="19:19" x14ac:dyDescent="0.3">
      <c r="S2205" s="32"/>
    </row>
    <row r="2206" spans="19:19" x14ac:dyDescent="0.3">
      <c r="S2206" s="32"/>
    </row>
    <row r="2207" spans="19:19" x14ac:dyDescent="0.3">
      <c r="S2207" s="32"/>
    </row>
    <row r="2208" spans="19:19" x14ac:dyDescent="0.3">
      <c r="S2208" s="32"/>
    </row>
    <row r="2209" spans="19:19" x14ac:dyDescent="0.3">
      <c r="S2209" s="32"/>
    </row>
    <row r="2210" spans="19:19" x14ac:dyDescent="0.3">
      <c r="S2210" s="32"/>
    </row>
    <row r="2211" spans="19:19" x14ac:dyDescent="0.3">
      <c r="S2211" s="32"/>
    </row>
    <row r="2212" spans="19:19" x14ac:dyDescent="0.3">
      <c r="S2212" s="32"/>
    </row>
    <row r="2213" spans="19:19" x14ac:dyDescent="0.3">
      <c r="S2213" s="32"/>
    </row>
    <row r="2214" spans="19:19" x14ac:dyDescent="0.3">
      <c r="S2214" s="32"/>
    </row>
    <row r="2215" spans="19:19" x14ac:dyDescent="0.3">
      <c r="S2215" s="32"/>
    </row>
    <row r="2216" spans="19:19" x14ac:dyDescent="0.3">
      <c r="S2216" s="32"/>
    </row>
    <row r="2217" spans="19:19" x14ac:dyDescent="0.3">
      <c r="S2217" s="32"/>
    </row>
    <row r="2218" spans="19:19" x14ac:dyDescent="0.3">
      <c r="S2218" s="32"/>
    </row>
    <row r="2220" spans="19:19" x14ac:dyDescent="0.3">
      <c r="S2220" s="32"/>
    </row>
    <row r="2221" spans="19:19" x14ac:dyDescent="0.3">
      <c r="S2221" s="32"/>
    </row>
    <row r="2222" spans="19:19" x14ac:dyDescent="0.3">
      <c r="S2222" s="32"/>
    </row>
    <row r="2223" spans="19:19" x14ac:dyDescent="0.3">
      <c r="S2223" s="32"/>
    </row>
    <row r="2224" spans="19:19" x14ac:dyDescent="0.3">
      <c r="S2224" s="32"/>
    </row>
    <row r="2225" spans="19:19" x14ac:dyDescent="0.3">
      <c r="S2225" s="32"/>
    </row>
    <row r="2226" spans="19:19" x14ac:dyDescent="0.3">
      <c r="S2226" s="32"/>
    </row>
    <row r="2227" spans="19:19" x14ac:dyDescent="0.3">
      <c r="S2227" s="32"/>
    </row>
    <row r="2228" spans="19:19" x14ac:dyDescent="0.3">
      <c r="S2228" s="32"/>
    </row>
    <row r="2229" spans="19:19" x14ac:dyDescent="0.3">
      <c r="S2229" s="32"/>
    </row>
    <row r="2230" spans="19:19" x14ac:dyDescent="0.3">
      <c r="S2230" s="32"/>
    </row>
    <row r="2231" spans="19:19" x14ac:dyDescent="0.3">
      <c r="S2231" s="32"/>
    </row>
    <row r="2232" spans="19:19" x14ac:dyDescent="0.3">
      <c r="S2232" s="32"/>
    </row>
    <row r="2233" spans="19:19" x14ac:dyDescent="0.3">
      <c r="S2233" s="32"/>
    </row>
    <row r="2234" spans="19:19" x14ac:dyDescent="0.3">
      <c r="S2234" s="32"/>
    </row>
    <row r="2235" spans="19:19" x14ac:dyDescent="0.3">
      <c r="S2235" s="32"/>
    </row>
    <row r="2236" spans="19:19" x14ac:dyDescent="0.3">
      <c r="S2236" s="32"/>
    </row>
    <row r="2237" spans="19:19" x14ac:dyDescent="0.3">
      <c r="S2237" s="32"/>
    </row>
    <row r="2238" spans="19:19" x14ac:dyDescent="0.3">
      <c r="S2238" s="32"/>
    </row>
    <row r="2239" spans="19:19" x14ac:dyDescent="0.3">
      <c r="S2239" s="32"/>
    </row>
    <row r="2241" spans="19:19" x14ac:dyDescent="0.3">
      <c r="S2241" s="32"/>
    </row>
    <row r="2242" spans="19:19" x14ac:dyDescent="0.3">
      <c r="S2242" s="32"/>
    </row>
    <row r="2243" spans="19:19" x14ac:dyDescent="0.3">
      <c r="S2243" s="32"/>
    </row>
    <row r="2244" spans="19:19" x14ac:dyDescent="0.3">
      <c r="S2244" s="32"/>
    </row>
    <row r="2245" spans="19:19" x14ac:dyDescent="0.3">
      <c r="S2245" s="32"/>
    </row>
    <row r="2246" spans="19:19" x14ac:dyDescent="0.3">
      <c r="S2246" s="32"/>
    </row>
    <row r="2248" spans="19:19" x14ac:dyDescent="0.3">
      <c r="S2248" s="32"/>
    </row>
    <row r="2249" spans="19:19" x14ac:dyDescent="0.3">
      <c r="S2249" s="32"/>
    </row>
    <row r="2250" spans="19:19" x14ac:dyDescent="0.3">
      <c r="S2250" s="32"/>
    </row>
    <row r="2251" spans="19:19" x14ac:dyDescent="0.3">
      <c r="S2251" s="32"/>
    </row>
    <row r="2252" spans="19:19" x14ac:dyDescent="0.3">
      <c r="S2252" s="32"/>
    </row>
    <row r="2253" spans="19:19" x14ac:dyDescent="0.3">
      <c r="S2253" s="32"/>
    </row>
    <row r="2255" spans="19:19" x14ac:dyDescent="0.3">
      <c r="S2255" s="32"/>
    </row>
    <row r="2256" spans="19:19" x14ac:dyDescent="0.3">
      <c r="S2256" s="32"/>
    </row>
    <row r="2257" spans="19:19" x14ac:dyDescent="0.3">
      <c r="S2257" s="32"/>
    </row>
    <row r="2258" spans="19:19" x14ac:dyDescent="0.3">
      <c r="S2258" s="32"/>
    </row>
    <row r="2259" spans="19:19" x14ac:dyDescent="0.3">
      <c r="S2259" s="32"/>
    </row>
    <row r="2260" spans="19:19" x14ac:dyDescent="0.3">
      <c r="S2260" s="32"/>
    </row>
    <row r="2261" spans="19:19" x14ac:dyDescent="0.3">
      <c r="S2261" s="32"/>
    </row>
    <row r="2262" spans="19:19" x14ac:dyDescent="0.3">
      <c r="S2262" s="32"/>
    </row>
    <row r="2264" spans="19:19" x14ac:dyDescent="0.3">
      <c r="S2264" s="32"/>
    </row>
    <row r="2265" spans="19:19" x14ac:dyDescent="0.3">
      <c r="S2265" s="32"/>
    </row>
    <row r="2266" spans="19:19" x14ac:dyDescent="0.3">
      <c r="S2266" s="32"/>
    </row>
    <row r="2267" spans="19:19" x14ac:dyDescent="0.3">
      <c r="S2267" s="32"/>
    </row>
    <row r="2268" spans="19:19" x14ac:dyDescent="0.3">
      <c r="S2268" s="32"/>
    </row>
    <row r="2269" spans="19:19" x14ac:dyDescent="0.3">
      <c r="S2269" s="32"/>
    </row>
    <row r="2270" spans="19:19" x14ac:dyDescent="0.3">
      <c r="S2270" s="32"/>
    </row>
    <row r="2271" spans="19:19" x14ac:dyDescent="0.3">
      <c r="S2271" s="32"/>
    </row>
    <row r="2273" spans="19:19" x14ac:dyDescent="0.3">
      <c r="S2273" s="32"/>
    </row>
    <row r="2274" spans="19:19" x14ac:dyDescent="0.3">
      <c r="S2274" s="32"/>
    </row>
    <row r="2275" spans="19:19" x14ac:dyDescent="0.3">
      <c r="S2275" s="32"/>
    </row>
    <row r="2276" spans="19:19" x14ac:dyDescent="0.3">
      <c r="S2276" s="32"/>
    </row>
    <row r="2277" spans="19:19" x14ac:dyDescent="0.3">
      <c r="S2277" s="32"/>
    </row>
    <row r="2278" spans="19:19" x14ac:dyDescent="0.3">
      <c r="S2278" s="32"/>
    </row>
    <row r="2279" spans="19:19" x14ac:dyDescent="0.3">
      <c r="S2279" s="32"/>
    </row>
    <row r="2280" spans="19:19" x14ac:dyDescent="0.3">
      <c r="S2280" s="32"/>
    </row>
    <row r="2282" spans="19:19" x14ac:dyDescent="0.3">
      <c r="S2282" s="32"/>
    </row>
    <row r="2283" spans="19:19" x14ac:dyDescent="0.3">
      <c r="S2283" s="32"/>
    </row>
    <row r="2284" spans="19:19" x14ac:dyDescent="0.3">
      <c r="S2284" s="32"/>
    </row>
    <row r="2285" spans="19:19" x14ac:dyDescent="0.3">
      <c r="S2285" s="32"/>
    </row>
    <row r="2286" spans="19:19" x14ac:dyDescent="0.3">
      <c r="S2286" s="32"/>
    </row>
    <row r="2287" spans="19:19" x14ac:dyDescent="0.3">
      <c r="S2287" s="32"/>
    </row>
    <row r="2288" spans="19:19" x14ac:dyDescent="0.3">
      <c r="S2288" s="32"/>
    </row>
    <row r="2289" spans="19:19" x14ac:dyDescent="0.3">
      <c r="S2289" s="32"/>
    </row>
    <row r="2291" spans="19:19" x14ac:dyDescent="0.3">
      <c r="S2291" s="32"/>
    </row>
    <row r="2292" spans="19:19" x14ac:dyDescent="0.3">
      <c r="S2292" s="32"/>
    </row>
    <row r="2293" spans="19:19" x14ac:dyDescent="0.3">
      <c r="S2293" s="32"/>
    </row>
    <row r="2294" spans="19:19" x14ac:dyDescent="0.3">
      <c r="S2294" s="32"/>
    </row>
    <row r="2295" spans="19:19" x14ac:dyDescent="0.3">
      <c r="S2295" s="32"/>
    </row>
    <row r="2296" spans="19:19" x14ac:dyDescent="0.3">
      <c r="S2296" s="32"/>
    </row>
    <row r="2297" spans="19:19" x14ac:dyDescent="0.3">
      <c r="S2297" s="32"/>
    </row>
    <row r="2298" spans="19:19" x14ac:dyDescent="0.3">
      <c r="S2298" s="32"/>
    </row>
    <row r="2300" spans="19:19" x14ac:dyDescent="0.3">
      <c r="S2300" s="32"/>
    </row>
    <row r="2301" spans="19:19" x14ac:dyDescent="0.3">
      <c r="S2301" s="32"/>
    </row>
    <row r="2302" spans="19:19" x14ac:dyDescent="0.3">
      <c r="S2302" s="32"/>
    </row>
    <row r="2303" spans="19:19" x14ac:dyDescent="0.3">
      <c r="S2303" s="32"/>
    </row>
    <row r="2304" spans="19:19" x14ac:dyDescent="0.3">
      <c r="S2304" s="32"/>
    </row>
    <row r="2305" spans="19:19" x14ac:dyDescent="0.3">
      <c r="S2305" s="32"/>
    </row>
    <row r="2306" spans="19:19" x14ac:dyDescent="0.3">
      <c r="S2306" s="32"/>
    </row>
    <row r="2307" spans="19:19" x14ac:dyDescent="0.3">
      <c r="S2307" s="32"/>
    </row>
    <row r="2309" spans="19:19" x14ac:dyDescent="0.3">
      <c r="S2309" s="32"/>
    </row>
    <row r="2310" spans="19:19" x14ac:dyDescent="0.3">
      <c r="S2310" s="32"/>
    </row>
    <row r="2311" spans="19:19" x14ac:dyDescent="0.3">
      <c r="S2311" s="32"/>
    </row>
    <row r="2312" spans="19:19" x14ac:dyDescent="0.3">
      <c r="S2312" s="32"/>
    </row>
    <row r="2313" spans="19:19" x14ac:dyDescent="0.3">
      <c r="S2313" s="32"/>
    </row>
    <row r="2314" spans="19:19" x14ac:dyDescent="0.3">
      <c r="S2314" s="32"/>
    </row>
    <row r="2315" spans="19:19" x14ac:dyDescent="0.3">
      <c r="S2315" s="32"/>
    </row>
    <row r="2316" spans="19:19" x14ac:dyDescent="0.3">
      <c r="S2316" s="32"/>
    </row>
    <row r="2318" spans="19:19" x14ac:dyDescent="0.3">
      <c r="S2318" s="32"/>
    </row>
    <row r="2320" spans="19:19" x14ac:dyDescent="0.3">
      <c r="S2320" s="32"/>
    </row>
    <row r="2322" spans="19:19" x14ac:dyDescent="0.3">
      <c r="S2322" s="32"/>
    </row>
    <row r="2324" spans="19:19" x14ac:dyDescent="0.3">
      <c r="S2324" s="32"/>
    </row>
    <row r="2326" spans="19:19" x14ac:dyDescent="0.3">
      <c r="S2326" s="32"/>
    </row>
    <row r="2328" spans="19:19" x14ac:dyDescent="0.3">
      <c r="S2328" s="32"/>
    </row>
    <row r="2330" spans="19:19" x14ac:dyDescent="0.3">
      <c r="S2330" s="32"/>
    </row>
    <row r="2332" spans="19:19" x14ac:dyDescent="0.3">
      <c r="S2332" s="32"/>
    </row>
    <row r="2334" spans="19:19" x14ac:dyDescent="0.3">
      <c r="S2334" s="32"/>
    </row>
    <row r="2335" spans="19:19" x14ac:dyDescent="0.3">
      <c r="S2335" s="32"/>
    </row>
    <row r="2336" spans="19:19" x14ac:dyDescent="0.3">
      <c r="S2336" s="32"/>
    </row>
    <row r="2337" spans="19:19" x14ac:dyDescent="0.3">
      <c r="S2337" s="32"/>
    </row>
    <row r="2338" spans="19:19" x14ac:dyDescent="0.3">
      <c r="S2338" s="32"/>
    </row>
    <row r="2339" spans="19:19" x14ac:dyDescent="0.3">
      <c r="S2339" s="32"/>
    </row>
    <row r="2340" spans="19:19" x14ac:dyDescent="0.3">
      <c r="S2340" s="32"/>
    </row>
    <row r="2341" spans="19:19" x14ac:dyDescent="0.3">
      <c r="S2341" s="32"/>
    </row>
    <row r="2342" spans="19:19" x14ac:dyDescent="0.3">
      <c r="S2342" s="32"/>
    </row>
    <row r="2343" spans="19:19" x14ac:dyDescent="0.3">
      <c r="S2343" s="32"/>
    </row>
    <row r="2344" spans="19:19" x14ac:dyDescent="0.3">
      <c r="S2344" s="32"/>
    </row>
    <row r="2345" spans="19:19" x14ac:dyDescent="0.3">
      <c r="S2345" s="32"/>
    </row>
    <row r="2346" spans="19:19" x14ac:dyDescent="0.3">
      <c r="S2346" s="32"/>
    </row>
    <row r="2347" spans="19:19" x14ac:dyDescent="0.3">
      <c r="S2347" s="32"/>
    </row>
    <row r="2348" spans="19:19" x14ac:dyDescent="0.3">
      <c r="S2348" s="32"/>
    </row>
    <row r="2349" spans="19:19" x14ac:dyDescent="0.3">
      <c r="S2349" s="32"/>
    </row>
    <row r="2350" spans="19:19" x14ac:dyDescent="0.3">
      <c r="S2350" s="32"/>
    </row>
    <row r="2351" spans="19:19" x14ac:dyDescent="0.3">
      <c r="S2351" s="32"/>
    </row>
    <row r="2352" spans="19:19" x14ac:dyDescent="0.3">
      <c r="S2352" s="32"/>
    </row>
    <row r="2353" spans="19:19" x14ac:dyDescent="0.3">
      <c r="S2353" s="32"/>
    </row>
    <row r="2354" spans="19:19" x14ac:dyDescent="0.3">
      <c r="S2354" s="32"/>
    </row>
    <row r="2355" spans="19:19" x14ac:dyDescent="0.3">
      <c r="S2355" s="32"/>
    </row>
    <row r="2356" spans="19:19" x14ac:dyDescent="0.3">
      <c r="S2356" s="32"/>
    </row>
    <row r="2357" spans="19:19" x14ac:dyDescent="0.3">
      <c r="S2357" s="32"/>
    </row>
    <row r="2358" spans="19:19" x14ac:dyDescent="0.3">
      <c r="S2358" s="32"/>
    </row>
    <row r="2359" spans="19:19" x14ac:dyDescent="0.3">
      <c r="S2359" s="32"/>
    </row>
    <row r="2360" spans="19:19" x14ac:dyDescent="0.3">
      <c r="S2360" s="32"/>
    </row>
    <row r="2361" spans="19:19" x14ac:dyDescent="0.3">
      <c r="S2361" s="32"/>
    </row>
    <row r="2362" spans="19:19" x14ac:dyDescent="0.3">
      <c r="S2362" s="32"/>
    </row>
    <row r="2363" spans="19:19" x14ac:dyDescent="0.3">
      <c r="S2363" s="32"/>
    </row>
    <row r="2364" spans="19:19" x14ac:dyDescent="0.3">
      <c r="S2364" s="32"/>
    </row>
    <row r="2365" spans="19:19" x14ac:dyDescent="0.3">
      <c r="S2365" s="32"/>
    </row>
    <row r="2366" spans="19:19" x14ac:dyDescent="0.3">
      <c r="S2366" s="32"/>
    </row>
    <row r="2367" spans="19:19" x14ac:dyDescent="0.3">
      <c r="S2367" s="32"/>
    </row>
    <row r="2368" spans="19:19" x14ac:dyDescent="0.3">
      <c r="S2368" s="32"/>
    </row>
    <row r="2369" spans="19:19" x14ac:dyDescent="0.3">
      <c r="S2369" s="32"/>
    </row>
    <row r="2370" spans="19:19" x14ac:dyDescent="0.3">
      <c r="S2370" s="32"/>
    </row>
    <row r="2371" spans="19:19" x14ac:dyDescent="0.3">
      <c r="S2371" s="32"/>
    </row>
    <row r="2372" spans="19:19" x14ac:dyDescent="0.3">
      <c r="S2372" s="32"/>
    </row>
    <row r="2373" spans="19:19" x14ac:dyDescent="0.3">
      <c r="S2373" s="32"/>
    </row>
    <row r="2374" spans="19:19" x14ac:dyDescent="0.3">
      <c r="S2374" s="32"/>
    </row>
    <row r="2375" spans="19:19" x14ac:dyDescent="0.3">
      <c r="S2375" s="32"/>
    </row>
    <row r="2376" spans="19:19" x14ac:dyDescent="0.3">
      <c r="S2376" s="32"/>
    </row>
    <row r="2377" spans="19:19" x14ac:dyDescent="0.3">
      <c r="S2377" s="32"/>
    </row>
    <row r="2378" spans="19:19" x14ac:dyDescent="0.3">
      <c r="S2378" s="32"/>
    </row>
    <row r="2379" spans="19:19" x14ac:dyDescent="0.3">
      <c r="S2379" s="32"/>
    </row>
    <row r="2380" spans="19:19" x14ac:dyDescent="0.3">
      <c r="S2380" s="32"/>
    </row>
    <row r="2381" spans="19:19" x14ac:dyDescent="0.3">
      <c r="S2381" s="32"/>
    </row>
    <row r="2382" spans="19:19" x14ac:dyDescent="0.3">
      <c r="S2382" s="32"/>
    </row>
    <row r="2383" spans="19:19" x14ac:dyDescent="0.3">
      <c r="S2383" s="32"/>
    </row>
    <row r="2384" spans="19:19" x14ac:dyDescent="0.3">
      <c r="S2384" s="32"/>
    </row>
    <row r="2385" spans="19:19" x14ac:dyDescent="0.3">
      <c r="S2385" s="32"/>
    </row>
    <row r="2386" spans="19:19" x14ac:dyDescent="0.3">
      <c r="S2386" s="32"/>
    </row>
    <row r="2387" spans="19:19" x14ac:dyDescent="0.3">
      <c r="S2387" s="32"/>
    </row>
    <row r="2388" spans="19:19" x14ac:dyDescent="0.3">
      <c r="S2388" s="32"/>
    </row>
    <row r="2389" spans="19:19" x14ac:dyDescent="0.3">
      <c r="S2389" s="32"/>
    </row>
    <row r="2390" spans="19:19" x14ac:dyDescent="0.3">
      <c r="S2390" s="32"/>
    </row>
    <row r="2391" spans="19:19" x14ac:dyDescent="0.3">
      <c r="S2391" s="32"/>
    </row>
    <row r="2392" spans="19:19" x14ac:dyDescent="0.3">
      <c r="S2392" s="32"/>
    </row>
    <row r="2393" spans="19:19" x14ac:dyDescent="0.3">
      <c r="S2393" s="32"/>
    </row>
    <row r="2395" spans="19:19" x14ac:dyDescent="0.3">
      <c r="S2395" s="32"/>
    </row>
    <row r="2396" spans="19:19" x14ac:dyDescent="0.3">
      <c r="S2396" s="32"/>
    </row>
    <row r="2397" spans="19:19" x14ac:dyDescent="0.3">
      <c r="S2397" s="32"/>
    </row>
    <row r="2398" spans="19:19" x14ac:dyDescent="0.3">
      <c r="S2398" s="32"/>
    </row>
    <row r="2399" spans="19:19" x14ac:dyDescent="0.3">
      <c r="S2399" s="32"/>
    </row>
    <row r="2400" spans="19:19" x14ac:dyDescent="0.3">
      <c r="S2400" s="32"/>
    </row>
    <row r="2401" spans="19:19" x14ac:dyDescent="0.3">
      <c r="S2401" s="32"/>
    </row>
    <row r="2402" spans="19:19" x14ac:dyDescent="0.3">
      <c r="S2402" s="32"/>
    </row>
    <row r="2403" spans="19:19" x14ac:dyDescent="0.3">
      <c r="S2403" s="32"/>
    </row>
    <row r="2404" spans="19:19" x14ac:dyDescent="0.3">
      <c r="S2404" s="32"/>
    </row>
    <row r="2406" spans="19:19" x14ac:dyDescent="0.3">
      <c r="S2406" s="32"/>
    </row>
    <row r="2407" spans="19:19" x14ac:dyDescent="0.3">
      <c r="S2407" s="32"/>
    </row>
    <row r="2408" spans="19:19" x14ac:dyDescent="0.3">
      <c r="S2408" s="32"/>
    </row>
    <row r="2409" spans="19:19" x14ac:dyDescent="0.3">
      <c r="S2409" s="32"/>
    </row>
    <row r="2410" spans="19:19" x14ac:dyDescent="0.3">
      <c r="S2410" s="32"/>
    </row>
    <row r="2411" spans="19:19" x14ac:dyDescent="0.3">
      <c r="S2411" s="32"/>
    </row>
    <row r="2412" spans="19:19" x14ac:dyDescent="0.3">
      <c r="S2412" s="32"/>
    </row>
    <row r="2413" spans="19:19" x14ac:dyDescent="0.3">
      <c r="S2413" s="32"/>
    </row>
    <row r="2414" spans="19:19" x14ac:dyDescent="0.3">
      <c r="S2414" s="32"/>
    </row>
    <row r="2415" spans="19:19" x14ac:dyDescent="0.3">
      <c r="S2415" s="32"/>
    </row>
    <row r="2416" spans="19:19" x14ac:dyDescent="0.3">
      <c r="S2416" s="32"/>
    </row>
    <row r="2417" spans="19:19" x14ac:dyDescent="0.3">
      <c r="S2417" s="32"/>
    </row>
    <row r="2418" spans="19:19" x14ac:dyDescent="0.3">
      <c r="S2418" s="32"/>
    </row>
    <row r="2419" spans="19:19" x14ac:dyDescent="0.3">
      <c r="S2419" s="32"/>
    </row>
    <row r="2420" spans="19:19" x14ac:dyDescent="0.3">
      <c r="S2420" s="32"/>
    </row>
    <row r="2421" spans="19:19" x14ac:dyDescent="0.3">
      <c r="S2421" s="32"/>
    </row>
    <row r="2422" spans="19:19" x14ac:dyDescent="0.3">
      <c r="S2422" s="32"/>
    </row>
    <row r="2423" spans="19:19" x14ac:dyDescent="0.3">
      <c r="S2423" s="32"/>
    </row>
    <row r="2424" spans="19:19" x14ac:dyDescent="0.3">
      <c r="S2424" s="32"/>
    </row>
    <row r="2425" spans="19:19" x14ac:dyDescent="0.3">
      <c r="S2425" s="32"/>
    </row>
    <row r="2426" spans="19:19" x14ac:dyDescent="0.3">
      <c r="S2426" s="32"/>
    </row>
    <row r="2427" spans="19:19" x14ac:dyDescent="0.3">
      <c r="S2427" s="32"/>
    </row>
    <row r="2428" spans="19:19" x14ac:dyDescent="0.3">
      <c r="S2428" s="32"/>
    </row>
    <row r="2429" spans="19:19" x14ac:dyDescent="0.3">
      <c r="S2429" s="32"/>
    </row>
    <row r="2430" spans="19:19" x14ac:dyDescent="0.3">
      <c r="S2430" s="32"/>
    </row>
    <row r="2431" spans="19:19" x14ac:dyDescent="0.3">
      <c r="S2431" s="32"/>
    </row>
    <row r="2432" spans="19:19" x14ac:dyDescent="0.3">
      <c r="S2432" s="32"/>
    </row>
    <row r="2433" spans="19:19" x14ac:dyDescent="0.3">
      <c r="S2433" s="32"/>
    </row>
    <row r="2434" spans="19:19" x14ac:dyDescent="0.3">
      <c r="S2434" s="32"/>
    </row>
    <row r="2435" spans="19:19" x14ac:dyDescent="0.3">
      <c r="S2435" s="32"/>
    </row>
    <row r="2436" spans="19:19" x14ac:dyDescent="0.3">
      <c r="S2436" s="32"/>
    </row>
    <row r="2437" spans="19:19" x14ac:dyDescent="0.3">
      <c r="S2437" s="32"/>
    </row>
    <row r="2438" spans="19:19" x14ac:dyDescent="0.3">
      <c r="S2438" s="32"/>
    </row>
    <row r="2439" spans="19:19" x14ac:dyDescent="0.3">
      <c r="S2439" s="32"/>
    </row>
    <row r="2440" spans="19:19" x14ac:dyDescent="0.3">
      <c r="S2440" s="32"/>
    </row>
    <row r="2441" spans="19:19" x14ac:dyDescent="0.3">
      <c r="S2441" s="32"/>
    </row>
    <row r="2442" spans="19:19" x14ac:dyDescent="0.3">
      <c r="S2442" s="32"/>
    </row>
    <row r="2443" spans="19:19" x14ac:dyDescent="0.3">
      <c r="S2443" s="32"/>
    </row>
    <row r="2444" spans="19:19" x14ac:dyDescent="0.3">
      <c r="S2444" s="32"/>
    </row>
    <row r="2445" spans="19:19" x14ac:dyDescent="0.3">
      <c r="S2445" s="32"/>
    </row>
    <row r="2446" spans="19:19" x14ac:dyDescent="0.3">
      <c r="S2446" s="32"/>
    </row>
    <row r="2447" spans="19:19" x14ac:dyDescent="0.3">
      <c r="S2447" s="32"/>
    </row>
    <row r="2448" spans="19:19" x14ac:dyDescent="0.3">
      <c r="S2448" s="32"/>
    </row>
    <row r="2449" spans="19:19" x14ac:dyDescent="0.3">
      <c r="S2449" s="32"/>
    </row>
    <row r="2450" spans="19:19" x14ac:dyDescent="0.3">
      <c r="S2450" s="32"/>
    </row>
    <row r="2451" spans="19:19" x14ac:dyDescent="0.3">
      <c r="S2451" s="32"/>
    </row>
    <row r="2452" spans="19:19" x14ac:dyDescent="0.3">
      <c r="S2452" s="32"/>
    </row>
    <row r="2453" spans="19:19" x14ac:dyDescent="0.3">
      <c r="S2453" s="32"/>
    </row>
    <row r="2454" spans="19:19" x14ac:dyDescent="0.3">
      <c r="S2454" s="32"/>
    </row>
    <row r="2456" spans="19:19" x14ac:dyDescent="0.3">
      <c r="S2456" s="32"/>
    </row>
    <row r="2457" spans="19:19" x14ac:dyDescent="0.3">
      <c r="S2457" s="32"/>
    </row>
    <row r="2458" spans="19:19" x14ac:dyDescent="0.3">
      <c r="S2458" s="32"/>
    </row>
    <row r="2459" spans="19:19" x14ac:dyDescent="0.3">
      <c r="S2459" s="32"/>
    </row>
    <row r="2460" spans="19:19" x14ac:dyDescent="0.3">
      <c r="S2460" s="32"/>
    </row>
    <row r="2461" spans="19:19" x14ac:dyDescent="0.3">
      <c r="S2461" s="32"/>
    </row>
    <row r="2462" spans="19:19" x14ac:dyDescent="0.3">
      <c r="S2462" s="32"/>
    </row>
    <row r="2463" spans="19:19" x14ac:dyDescent="0.3">
      <c r="S2463" s="32"/>
    </row>
    <row r="2464" spans="19:19" x14ac:dyDescent="0.3">
      <c r="S2464" s="32"/>
    </row>
    <row r="2465" spans="19:19" x14ac:dyDescent="0.3">
      <c r="S2465" s="32"/>
    </row>
    <row r="2466" spans="19:19" x14ac:dyDescent="0.3">
      <c r="S2466" s="32"/>
    </row>
    <row r="2467" spans="19:19" x14ac:dyDescent="0.3">
      <c r="S2467" s="32"/>
    </row>
    <row r="2468" spans="19:19" x14ac:dyDescent="0.3">
      <c r="S2468" s="32"/>
    </row>
    <row r="2469" spans="19:19" x14ac:dyDescent="0.3">
      <c r="S2469" s="32"/>
    </row>
    <row r="2470" spans="19:19" x14ac:dyDescent="0.3">
      <c r="S2470" s="32"/>
    </row>
    <row r="2471" spans="19:19" x14ac:dyDescent="0.3">
      <c r="S2471" s="32"/>
    </row>
    <row r="2473" spans="19:19" x14ac:dyDescent="0.3">
      <c r="S2473" s="32"/>
    </row>
    <row r="2474" spans="19:19" x14ac:dyDescent="0.3">
      <c r="S2474" s="32"/>
    </row>
    <row r="2475" spans="19:19" x14ac:dyDescent="0.3">
      <c r="S2475" s="32"/>
    </row>
    <row r="2476" spans="19:19" x14ac:dyDescent="0.3">
      <c r="S2476" s="32"/>
    </row>
    <row r="2477" spans="19:19" x14ac:dyDescent="0.3">
      <c r="S2477" s="32"/>
    </row>
    <row r="2478" spans="19:19" x14ac:dyDescent="0.3">
      <c r="S2478" s="32"/>
    </row>
    <row r="2479" spans="19:19" x14ac:dyDescent="0.3">
      <c r="S2479" s="32"/>
    </row>
    <row r="2480" spans="19:19" x14ac:dyDescent="0.3">
      <c r="S2480" s="32"/>
    </row>
    <row r="2481" spans="19:19" x14ac:dyDescent="0.3">
      <c r="S2481" s="32"/>
    </row>
    <row r="2482" spans="19:19" x14ac:dyDescent="0.3">
      <c r="S2482" s="32"/>
    </row>
    <row r="2483" spans="19:19" x14ac:dyDescent="0.3">
      <c r="S2483" s="32"/>
    </row>
    <row r="2484" spans="19:19" x14ac:dyDescent="0.3">
      <c r="S2484" s="32"/>
    </row>
    <row r="2485" spans="19:19" x14ac:dyDescent="0.3">
      <c r="S2485" s="32"/>
    </row>
    <row r="2486" spans="19:19" x14ac:dyDescent="0.3">
      <c r="S2486" s="32"/>
    </row>
    <row r="2487" spans="19:19" x14ac:dyDescent="0.3">
      <c r="S2487" s="32"/>
    </row>
    <row r="2488" spans="19:19" x14ac:dyDescent="0.3">
      <c r="S2488" s="32"/>
    </row>
    <row r="2490" spans="19:19" x14ac:dyDescent="0.3">
      <c r="S2490" s="32"/>
    </row>
    <row r="2491" spans="19:19" x14ac:dyDescent="0.3">
      <c r="S2491" s="32"/>
    </row>
    <row r="2492" spans="19:19" x14ac:dyDescent="0.3">
      <c r="S2492" s="32"/>
    </row>
    <row r="2493" spans="19:19" x14ac:dyDescent="0.3">
      <c r="S2493" s="32"/>
    </row>
    <row r="2494" spans="19:19" x14ac:dyDescent="0.3">
      <c r="S2494" s="32"/>
    </row>
    <row r="2495" spans="19:19" x14ac:dyDescent="0.3">
      <c r="S2495" s="32"/>
    </row>
    <row r="2496" spans="19:19" x14ac:dyDescent="0.3">
      <c r="S2496" s="32"/>
    </row>
    <row r="2497" spans="19:19" x14ac:dyDescent="0.3">
      <c r="S2497" s="32"/>
    </row>
    <row r="2498" spans="19:19" x14ac:dyDescent="0.3">
      <c r="S2498" s="32"/>
    </row>
    <row r="2499" spans="19:19" x14ac:dyDescent="0.3">
      <c r="S2499" s="32"/>
    </row>
    <row r="2500" spans="19:19" x14ac:dyDescent="0.3">
      <c r="S2500" s="32"/>
    </row>
    <row r="2501" spans="19:19" x14ac:dyDescent="0.3">
      <c r="S2501" s="32"/>
    </row>
    <row r="2502" spans="19:19" x14ac:dyDescent="0.3">
      <c r="S2502" s="32"/>
    </row>
    <row r="2503" spans="19:19" x14ac:dyDescent="0.3">
      <c r="S2503" s="32"/>
    </row>
    <row r="2504" spans="19:19" x14ac:dyDescent="0.3">
      <c r="S2504" s="32"/>
    </row>
    <row r="2505" spans="19:19" x14ac:dyDescent="0.3">
      <c r="S2505" s="32"/>
    </row>
    <row r="2506" spans="19:19" x14ac:dyDescent="0.3">
      <c r="S2506" s="32"/>
    </row>
    <row r="2507" spans="19:19" x14ac:dyDescent="0.3">
      <c r="S2507" s="32"/>
    </row>
    <row r="2508" spans="19:19" x14ac:dyDescent="0.3">
      <c r="S2508" s="32"/>
    </row>
    <row r="2509" spans="19:19" x14ac:dyDescent="0.3">
      <c r="S2509" s="32"/>
    </row>
    <row r="2510" spans="19:19" x14ac:dyDescent="0.3">
      <c r="S2510" s="32"/>
    </row>
    <row r="2511" spans="19:19" x14ac:dyDescent="0.3">
      <c r="S2511" s="32"/>
    </row>
    <row r="2512" spans="19:19" x14ac:dyDescent="0.3">
      <c r="S2512" s="32"/>
    </row>
    <row r="2513" spans="19:19" x14ac:dyDescent="0.3">
      <c r="S2513" s="32"/>
    </row>
    <row r="2514" spans="19:19" x14ac:dyDescent="0.3">
      <c r="S2514" s="32"/>
    </row>
    <row r="2515" spans="19:19" x14ac:dyDescent="0.3">
      <c r="S2515" s="32"/>
    </row>
    <row r="2516" spans="19:19" x14ac:dyDescent="0.3">
      <c r="S2516" s="32"/>
    </row>
    <row r="2517" spans="19:19" x14ac:dyDescent="0.3">
      <c r="S2517" s="32"/>
    </row>
    <row r="2518" spans="19:19" x14ac:dyDescent="0.3">
      <c r="S2518" s="32"/>
    </row>
    <row r="2519" spans="19:19" x14ac:dyDescent="0.3">
      <c r="S2519" s="32"/>
    </row>
    <row r="2520" spans="19:19" x14ac:dyDescent="0.3">
      <c r="S2520" s="32"/>
    </row>
    <row r="2521" spans="19:19" x14ac:dyDescent="0.3">
      <c r="S2521" s="32"/>
    </row>
    <row r="2522" spans="19:19" x14ac:dyDescent="0.3">
      <c r="S2522" s="32"/>
    </row>
    <row r="2523" spans="19:19" x14ac:dyDescent="0.3">
      <c r="S2523" s="32"/>
    </row>
    <row r="2524" spans="19:19" x14ac:dyDescent="0.3">
      <c r="S2524" s="32"/>
    </row>
    <row r="2525" spans="19:19" x14ac:dyDescent="0.3">
      <c r="S2525" s="32"/>
    </row>
    <row r="2527" spans="19:19" x14ac:dyDescent="0.3">
      <c r="S2527" s="32"/>
    </row>
    <row r="2528" spans="19:19" x14ac:dyDescent="0.3">
      <c r="S2528" s="32"/>
    </row>
    <row r="2529" spans="19:19" x14ac:dyDescent="0.3">
      <c r="S2529" s="32"/>
    </row>
    <row r="2530" spans="19:19" x14ac:dyDescent="0.3">
      <c r="S2530" s="32"/>
    </row>
    <row r="2531" spans="19:19" x14ac:dyDescent="0.3">
      <c r="S2531" s="32"/>
    </row>
    <row r="2532" spans="19:19" x14ac:dyDescent="0.3">
      <c r="S2532" s="32"/>
    </row>
    <row r="2533" spans="19:19" x14ac:dyDescent="0.3">
      <c r="S2533" s="32"/>
    </row>
    <row r="2534" spans="19:19" x14ac:dyDescent="0.3">
      <c r="S2534" s="32"/>
    </row>
    <row r="2535" spans="19:19" x14ac:dyDescent="0.3">
      <c r="S2535" s="32"/>
    </row>
    <row r="2536" spans="19:19" x14ac:dyDescent="0.3">
      <c r="S2536" s="32"/>
    </row>
    <row r="2537" spans="19:19" x14ac:dyDescent="0.3">
      <c r="S2537" s="32"/>
    </row>
    <row r="2538" spans="19:19" x14ac:dyDescent="0.3">
      <c r="S2538" s="32"/>
    </row>
    <row r="2539" spans="19:19" x14ac:dyDescent="0.3">
      <c r="S2539" s="32"/>
    </row>
    <row r="2540" spans="19:19" x14ac:dyDescent="0.3">
      <c r="S2540" s="32"/>
    </row>
    <row r="2541" spans="19:19" x14ac:dyDescent="0.3">
      <c r="S2541" s="32"/>
    </row>
    <row r="2542" spans="19:19" x14ac:dyDescent="0.3">
      <c r="S2542" s="32"/>
    </row>
    <row r="2543" spans="19:19" x14ac:dyDescent="0.3">
      <c r="S2543" s="32"/>
    </row>
    <row r="2544" spans="19:19" x14ac:dyDescent="0.3">
      <c r="S2544" s="32"/>
    </row>
    <row r="2545" spans="19:19" x14ac:dyDescent="0.3">
      <c r="S2545" s="32"/>
    </row>
    <row r="2546" spans="19:19" x14ac:dyDescent="0.3">
      <c r="S2546" s="32"/>
    </row>
    <row r="2547" spans="19:19" x14ac:dyDescent="0.3">
      <c r="S2547" s="32"/>
    </row>
    <row r="2548" spans="19:19" x14ac:dyDescent="0.3">
      <c r="S2548" s="32"/>
    </row>
    <row r="2549" spans="19:19" x14ac:dyDescent="0.3">
      <c r="S2549" s="32"/>
    </row>
    <row r="2550" spans="19:19" x14ac:dyDescent="0.3">
      <c r="S2550" s="32"/>
    </row>
    <row r="2551" spans="19:19" x14ac:dyDescent="0.3">
      <c r="S2551" s="32"/>
    </row>
    <row r="2552" spans="19:19" x14ac:dyDescent="0.3">
      <c r="S2552" s="32"/>
    </row>
    <row r="2553" spans="19:19" x14ac:dyDescent="0.3">
      <c r="S2553" s="32"/>
    </row>
    <row r="2554" spans="19:19" x14ac:dyDescent="0.3">
      <c r="S2554" s="32"/>
    </row>
    <row r="2555" spans="19:19" x14ac:dyDescent="0.3">
      <c r="S2555" s="32"/>
    </row>
    <row r="2556" spans="19:19" x14ac:dyDescent="0.3">
      <c r="S2556" s="32"/>
    </row>
    <row r="2557" spans="19:19" x14ac:dyDescent="0.3">
      <c r="S2557" s="32"/>
    </row>
    <row r="2558" spans="19:19" x14ac:dyDescent="0.3">
      <c r="S2558" s="32"/>
    </row>
    <row r="2559" spans="19:19" x14ac:dyDescent="0.3">
      <c r="S2559" s="32"/>
    </row>
    <row r="2560" spans="19:19" x14ac:dyDescent="0.3">
      <c r="S2560" s="32"/>
    </row>
    <row r="2561" spans="19:19" x14ac:dyDescent="0.3">
      <c r="S2561" s="32"/>
    </row>
    <row r="2562" spans="19:19" x14ac:dyDescent="0.3">
      <c r="S2562" s="32"/>
    </row>
    <row r="2574" spans="19:19" x14ac:dyDescent="0.3">
      <c r="S2574" s="32"/>
    </row>
    <row r="2575" spans="19:19" x14ac:dyDescent="0.3">
      <c r="S2575" s="32"/>
    </row>
    <row r="2576" spans="19:19" x14ac:dyDescent="0.3">
      <c r="S2576" s="32"/>
    </row>
    <row r="2578" spans="19:19" x14ac:dyDescent="0.3">
      <c r="S2578" s="32"/>
    </row>
    <row r="2579" spans="19:19" x14ac:dyDescent="0.3">
      <c r="S2579" s="32"/>
    </row>
    <row r="2580" spans="19:19" x14ac:dyDescent="0.3">
      <c r="S2580" s="32"/>
    </row>
    <row r="2582" spans="19:19" x14ac:dyDescent="0.3">
      <c r="S2582" s="32"/>
    </row>
    <row r="2583" spans="19:19" x14ac:dyDescent="0.3">
      <c r="S2583" s="32"/>
    </row>
    <row r="2584" spans="19:19" x14ac:dyDescent="0.3">
      <c r="S2584" s="32"/>
    </row>
    <row r="2586" spans="19:19" x14ac:dyDescent="0.3">
      <c r="S2586" s="32"/>
    </row>
    <row r="2587" spans="19:19" x14ac:dyDescent="0.3">
      <c r="S2587" s="32"/>
    </row>
    <row r="2588" spans="19:19" x14ac:dyDescent="0.3">
      <c r="S2588" s="32"/>
    </row>
    <row r="2590" spans="19:19" x14ac:dyDescent="0.3">
      <c r="S2590" s="32"/>
    </row>
    <row r="2591" spans="19:19" x14ac:dyDescent="0.3">
      <c r="S2591" s="32"/>
    </row>
    <row r="2592" spans="19:19" x14ac:dyDescent="0.3">
      <c r="S2592" s="32"/>
    </row>
    <row r="2594" spans="19:19" x14ac:dyDescent="0.3">
      <c r="S2594" s="32"/>
    </row>
    <row r="2595" spans="19:19" x14ac:dyDescent="0.3">
      <c r="S2595" s="32"/>
    </row>
    <row r="2596" spans="19:19" x14ac:dyDescent="0.3">
      <c r="S2596" s="32"/>
    </row>
    <row r="2598" spans="19:19" x14ac:dyDescent="0.3">
      <c r="S2598" s="32"/>
    </row>
    <row r="2599" spans="19:19" x14ac:dyDescent="0.3">
      <c r="S2599" s="32"/>
    </row>
    <row r="2600" spans="19:19" x14ac:dyDescent="0.3">
      <c r="S2600" s="32"/>
    </row>
    <row r="2602" spans="19:19" x14ac:dyDescent="0.3">
      <c r="S2602" s="32"/>
    </row>
    <row r="2603" spans="19:19" x14ac:dyDescent="0.3">
      <c r="S2603" s="32"/>
    </row>
    <row r="2604" spans="19:19" x14ac:dyDescent="0.3">
      <c r="S2604" s="32"/>
    </row>
    <row r="2605" spans="19:19" x14ac:dyDescent="0.3">
      <c r="S2605" s="32"/>
    </row>
    <row r="2606" spans="19:19" x14ac:dyDescent="0.3">
      <c r="S2606" s="32"/>
    </row>
    <row r="2607" spans="19:19" x14ac:dyDescent="0.3">
      <c r="S2607" s="32"/>
    </row>
    <row r="2608" spans="19:19" x14ac:dyDescent="0.3">
      <c r="S2608" s="32"/>
    </row>
    <row r="2609" spans="19:19" x14ac:dyDescent="0.3">
      <c r="S2609" s="32"/>
    </row>
    <row r="2610" spans="19:19" x14ac:dyDescent="0.3">
      <c r="S2610" s="32"/>
    </row>
    <row r="2611" spans="19:19" x14ac:dyDescent="0.3">
      <c r="S2611" s="32"/>
    </row>
    <row r="2612" spans="19:19" x14ac:dyDescent="0.3">
      <c r="S2612" s="32"/>
    </row>
    <row r="2613" spans="19:19" x14ac:dyDescent="0.3">
      <c r="S2613" s="32"/>
    </row>
    <row r="2615" spans="19:19" x14ac:dyDescent="0.3">
      <c r="S2615" s="32"/>
    </row>
    <row r="2616" spans="19:19" x14ac:dyDescent="0.3">
      <c r="S2616" s="32"/>
    </row>
    <row r="2617" spans="19:19" x14ac:dyDescent="0.3">
      <c r="S2617" s="32"/>
    </row>
    <row r="2618" spans="19:19" x14ac:dyDescent="0.3">
      <c r="S2618" s="32"/>
    </row>
    <row r="2619" spans="19:19" x14ac:dyDescent="0.3">
      <c r="S2619" s="32"/>
    </row>
    <row r="2620" spans="19:19" x14ac:dyDescent="0.3">
      <c r="S2620" s="32"/>
    </row>
    <row r="2621" spans="19:19" x14ac:dyDescent="0.3">
      <c r="S2621" s="32"/>
    </row>
    <row r="2622" spans="19:19" x14ac:dyDescent="0.3">
      <c r="S2622" s="32"/>
    </row>
    <row r="2623" spans="19:19" x14ac:dyDescent="0.3">
      <c r="S2623" s="32"/>
    </row>
    <row r="2624" spans="19:19" x14ac:dyDescent="0.3">
      <c r="S2624" s="32"/>
    </row>
    <row r="2625" spans="19:19" x14ac:dyDescent="0.3">
      <c r="S2625" s="32"/>
    </row>
    <row r="2626" spans="19:19" x14ac:dyDescent="0.3">
      <c r="S2626" s="32"/>
    </row>
    <row r="2628" spans="19:19" x14ac:dyDescent="0.3">
      <c r="S2628" s="32"/>
    </row>
    <row r="2629" spans="19:19" x14ac:dyDescent="0.3">
      <c r="S2629" s="32"/>
    </row>
    <row r="2630" spans="19:19" x14ac:dyDescent="0.3">
      <c r="S2630" s="32"/>
    </row>
    <row r="2631" spans="19:19" x14ac:dyDescent="0.3">
      <c r="S2631" s="32"/>
    </row>
    <row r="2632" spans="19:19" x14ac:dyDescent="0.3">
      <c r="S2632" s="32"/>
    </row>
    <row r="2633" spans="19:19" x14ac:dyDescent="0.3">
      <c r="S2633" s="32"/>
    </row>
    <row r="2634" spans="19:19" x14ac:dyDescent="0.3">
      <c r="S2634" s="32"/>
    </row>
    <row r="2635" spans="19:19" x14ac:dyDescent="0.3">
      <c r="S2635" s="32"/>
    </row>
    <row r="2636" spans="19:19" x14ac:dyDescent="0.3">
      <c r="S2636" s="32"/>
    </row>
    <row r="2637" spans="19:19" x14ac:dyDescent="0.3">
      <c r="S2637" s="32"/>
    </row>
    <row r="2638" spans="19:19" x14ac:dyDescent="0.3">
      <c r="S2638" s="32"/>
    </row>
    <row r="2639" spans="19:19" x14ac:dyDescent="0.3">
      <c r="S2639" s="32"/>
    </row>
    <row r="2640" spans="19:19" x14ac:dyDescent="0.3">
      <c r="S2640" s="32"/>
    </row>
    <row r="2641" spans="19:19" x14ac:dyDescent="0.3">
      <c r="S2641" s="32"/>
    </row>
    <row r="2642" spans="19:19" x14ac:dyDescent="0.3">
      <c r="S2642" s="32"/>
    </row>
    <row r="2643" spans="19:19" x14ac:dyDescent="0.3">
      <c r="S2643" s="32"/>
    </row>
    <row r="2644" spans="19:19" x14ac:dyDescent="0.3">
      <c r="S2644" s="32"/>
    </row>
    <row r="2645" spans="19:19" x14ac:dyDescent="0.3">
      <c r="S2645" s="32"/>
    </row>
    <row r="2646" spans="19:19" x14ac:dyDescent="0.3">
      <c r="S2646" s="32"/>
    </row>
    <row r="2647" spans="19:19" x14ac:dyDescent="0.3">
      <c r="S2647" s="32"/>
    </row>
    <row r="2648" spans="19:19" x14ac:dyDescent="0.3">
      <c r="S2648" s="32"/>
    </row>
    <row r="2649" spans="19:19" x14ac:dyDescent="0.3">
      <c r="S2649" s="32"/>
    </row>
    <row r="2650" spans="19:19" x14ac:dyDescent="0.3">
      <c r="S2650" s="32"/>
    </row>
    <row r="2651" spans="19:19" x14ac:dyDescent="0.3">
      <c r="S2651" s="32"/>
    </row>
    <row r="2652" spans="19:19" x14ac:dyDescent="0.3">
      <c r="S2652" s="32"/>
    </row>
    <row r="2653" spans="19:19" x14ac:dyDescent="0.3">
      <c r="S2653" s="32"/>
    </row>
    <row r="2654" spans="19:19" x14ac:dyDescent="0.3">
      <c r="S2654" s="32"/>
    </row>
    <row r="2655" spans="19:19" x14ac:dyDescent="0.3">
      <c r="S2655" s="32"/>
    </row>
    <row r="2656" spans="19:19" x14ac:dyDescent="0.3">
      <c r="S2656" s="32"/>
    </row>
    <row r="2657" spans="19:19" x14ac:dyDescent="0.3">
      <c r="S2657" s="32"/>
    </row>
    <row r="2658" spans="19:19" x14ac:dyDescent="0.3">
      <c r="S2658" s="32"/>
    </row>
    <row r="2659" spans="19:19" x14ac:dyDescent="0.3">
      <c r="S2659" s="32"/>
    </row>
    <row r="2660" spans="19:19" x14ac:dyDescent="0.3">
      <c r="S2660" s="32"/>
    </row>
    <row r="2661" spans="19:19" x14ac:dyDescent="0.3">
      <c r="S2661" s="32"/>
    </row>
    <row r="2662" spans="19:19" x14ac:dyDescent="0.3">
      <c r="S2662" s="32"/>
    </row>
    <row r="2663" spans="19:19" x14ac:dyDescent="0.3">
      <c r="S2663" s="32"/>
    </row>
    <row r="2664" spans="19:19" x14ac:dyDescent="0.3">
      <c r="S2664" s="32"/>
    </row>
    <row r="2665" spans="19:19" x14ac:dyDescent="0.3">
      <c r="S2665" s="32"/>
    </row>
    <row r="2666" spans="19:19" x14ac:dyDescent="0.3">
      <c r="S2666" s="32"/>
    </row>
    <row r="2667" spans="19:19" x14ac:dyDescent="0.3">
      <c r="S2667" s="32"/>
    </row>
    <row r="2668" spans="19:19" x14ac:dyDescent="0.3">
      <c r="S2668" s="32"/>
    </row>
    <row r="2669" spans="19:19" x14ac:dyDescent="0.3">
      <c r="S2669" s="32"/>
    </row>
    <row r="2670" spans="19:19" x14ac:dyDescent="0.3">
      <c r="S2670" s="32"/>
    </row>
    <row r="2671" spans="19:19" x14ac:dyDescent="0.3">
      <c r="S2671" s="32"/>
    </row>
    <row r="2672" spans="19:19" x14ac:dyDescent="0.3">
      <c r="S2672" s="32"/>
    </row>
    <row r="2673" spans="19:19" x14ac:dyDescent="0.3">
      <c r="S2673" s="32"/>
    </row>
    <row r="2674" spans="19:19" x14ac:dyDescent="0.3">
      <c r="S2674" s="32"/>
    </row>
    <row r="2675" spans="19:19" x14ac:dyDescent="0.3">
      <c r="S2675" s="32"/>
    </row>
    <row r="2676" spans="19:19" x14ac:dyDescent="0.3">
      <c r="S2676" s="32"/>
    </row>
    <row r="2677" spans="19:19" x14ac:dyDescent="0.3">
      <c r="S2677" s="32"/>
    </row>
    <row r="2678" spans="19:19" x14ac:dyDescent="0.3">
      <c r="S2678" s="32"/>
    </row>
    <row r="2679" spans="19:19" x14ac:dyDescent="0.3">
      <c r="S2679" s="32"/>
    </row>
    <row r="2680" spans="19:19" x14ac:dyDescent="0.3">
      <c r="S2680" s="32"/>
    </row>
    <row r="2681" spans="19:19" x14ac:dyDescent="0.3">
      <c r="S2681" s="32"/>
    </row>
    <row r="2682" spans="19:19" x14ac:dyDescent="0.3">
      <c r="S2682" s="32"/>
    </row>
    <row r="2683" spans="19:19" x14ac:dyDescent="0.3">
      <c r="S2683" s="32"/>
    </row>
    <row r="2684" spans="19:19" x14ac:dyDescent="0.3">
      <c r="S2684" s="32"/>
    </row>
    <row r="2685" spans="19:19" x14ac:dyDescent="0.3">
      <c r="S2685" s="32"/>
    </row>
    <row r="2686" spans="19:19" x14ac:dyDescent="0.3">
      <c r="S2686" s="32"/>
    </row>
    <row r="2687" spans="19:19" x14ac:dyDescent="0.3">
      <c r="S2687" s="32"/>
    </row>
    <row r="2688" spans="19:19" x14ac:dyDescent="0.3">
      <c r="S2688" s="32"/>
    </row>
    <row r="2689" spans="19:19" x14ac:dyDescent="0.3">
      <c r="S2689" s="32"/>
    </row>
    <row r="2690" spans="19:19" x14ac:dyDescent="0.3">
      <c r="S2690" s="32"/>
    </row>
    <row r="2691" spans="19:19" x14ac:dyDescent="0.3">
      <c r="S2691" s="32"/>
    </row>
    <row r="2692" spans="19:19" x14ac:dyDescent="0.3">
      <c r="S2692" s="32"/>
    </row>
    <row r="2693" spans="19:19" x14ac:dyDescent="0.3">
      <c r="S2693" s="32"/>
    </row>
    <row r="2694" spans="19:19" x14ac:dyDescent="0.3">
      <c r="S2694" s="32"/>
    </row>
    <row r="2695" spans="19:19" x14ac:dyDescent="0.3">
      <c r="S2695" s="32"/>
    </row>
    <row r="2696" spans="19:19" x14ac:dyDescent="0.3">
      <c r="S2696" s="32"/>
    </row>
    <row r="2697" spans="19:19" x14ac:dyDescent="0.3">
      <c r="S2697" s="32"/>
    </row>
    <row r="2698" spans="19:19" x14ac:dyDescent="0.3">
      <c r="S2698" s="32"/>
    </row>
    <row r="2699" spans="19:19" x14ac:dyDescent="0.3">
      <c r="S2699" s="32"/>
    </row>
    <row r="2700" spans="19:19" x14ac:dyDescent="0.3">
      <c r="S2700" s="32"/>
    </row>
    <row r="2701" spans="19:19" x14ac:dyDescent="0.3">
      <c r="S2701" s="32"/>
    </row>
    <row r="2702" spans="19:19" x14ac:dyDescent="0.3">
      <c r="S2702" s="32"/>
    </row>
    <row r="2703" spans="19:19" x14ac:dyDescent="0.3">
      <c r="S2703" s="32"/>
    </row>
    <row r="2704" spans="19:19" x14ac:dyDescent="0.3">
      <c r="S2704" s="32"/>
    </row>
    <row r="2705" spans="19:19" x14ac:dyDescent="0.3">
      <c r="S2705" s="32"/>
    </row>
    <row r="2706" spans="19:19" x14ac:dyDescent="0.3">
      <c r="S2706" s="32"/>
    </row>
    <row r="2707" spans="19:19" x14ac:dyDescent="0.3">
      <c r="S2707" s="32"/>
    </row>
    <row r="2708" spans="19:19" x14ac:dyDescent="0.3">
      <c r="S2708" s="32"/>
    </row>
    <row r="2709" spans="19:19" x14ac:dyDescent="0.3">
      <c r="S2709" s="32"/>
    </row>
    <row r="2710" spans="19:19" x14ac:dyDescent="0.3">
      <c r="S2710" s="32"/>
    </row>
    <row r="2711" spans="19:19" x14ac:dyDescent="0.3">
      <c r="S2711" s="32"/>
    </row>
    <row r="2712" spans="19:19" x14ac:dyDescent="0.3">
      <c r="S2712" s="32"/>
    </row>
    <row r="2713" spans="19:19" x14ac:dyDescent="0.3">
      <c r="S2713" s="32"/>
    </row>
    <row r="2714" spans="19:19" x14ac:dyDescent="0.3">
      <c r="S2714" s="32"/>
    </row>
    <row r="2715" spans="19:19" x14ac:dyDescent="0.3">
      <c r="S2715" s="32"/>
    </row>
    <row r="2716" spans="19:19" x14ac:dyDescent="0.3">
      <c r="S2716" s="32"/>
    </row>
    <row r="2717" spans="19:19" x14ac:dyDescent="0.3">
      <c r="S2717" s="32"/>
    </row>
    <row r="2718" spans="19:19" x14ac:dyDescent="0.3">
      <c r="S2718" s="32"/>
    </row>
    <row r="2719" spans="19:19" x14ac:dyDescent="0.3">
      <c r="S2719" s="32"/>
    </row>
    <row r="2720" spans="19:19" x14ac:dyDescent="0.3">
      <c r="S2720" s="32"/>
    </row>
    <row r="2721" spans="19:19" x14ac:dyDescent="0.3">
      <c r="S2721" s="32"/>
    </row>
    <row r="2722" spans="19:19" x14ac:dyDescent="0.3">
      <c r="S2722" s="32"/>
    </row>
    <row r="2723" spans="19:19" x14ac:dyDescent="0.3">
      <c r="S2723" s="32"/>
    </row>
    <row r="2749" spans="19:19" x14ac:dyDescent="0.3">
      <c r="S2749" s="32"/>
    </row>
    <row r="2750" spans="19:19" x14ac:dyDescent="0.3">
      <c r="S2750" s="32"/>
    </row>
    <row r="2751" spans="19:19" x14ac:dyDescent="0.3">
      <c r="S2751" s="32"/>
    </row>
    <row r="2752" spans="19:19" x14ac:dyDescent="0.3">
      <c r="S2752" s="32"/>
    </row>
    <row r="2753" spans="19:19" x14ac:dyDescent="0.3">
      <c r="S2753" s="32"/>
    </row>
    <row r="2754" spans="19:19" x14ac:dyDescent="0.3">
      <c r="S2754" s="32"/>
    </row>
    <row r="2755" spans="19:19" x14ac:dyDescent="0.3">
      <c r="S2755" s="32"/>
    </row>
    <row r="2756" spans="19:19" x14ac:dyDescent="0.3">
      <c r="S2756" s="32"/>
    </row>
    <row r="2757" spans="19:19" x14ac:dyDescent="0.3">
      <c r="S2757" s="32"/>
    </row>
    <row r="2758" spans="19:19" x14ac:dyDescent="0.3">
      <c r="S2758" s="32"/>
    </row>
    <row r="2759" spans="19:19" x14ac:dyDescent="0.3">
      <c r="S2759" s="32"/>
    </row>
    <row r="2760" spans="19:19" x14ac:dyDescent="0.3">
      <c r="S2760" s="32"/>
    </row>
    <row r="2761" spans="19:19" x14ac:dyDescent="0.3">
      <c r="S2761" s="32"/>
    </row>
    <row r="2762" spans="19:19" x14ac:dyDescent="0.3">
      <c r="S2762" s="32"/>
    </row>
    <row r="2763" spans="19:19" x14ac:dyDescent="0.3">
      <c r="S2763" s="32"/>
    </row>
    <row r="2764" spans="19:19" x14ac:dyDescent="0.3">
      <c r="S2764" s="32"/>
    </row>
    <row r="2765" spans="19:19" x14ac:dyDescent="0.3">
      <c r="S2765" s="32"/>
    </row>
    <row r="2766" spans="19:19" x14ac:dyDescent="0.3">
      <c r="S2766" s="32"/>
    </row>
    <row r="2767" spans="19:19" x14ac:dyDescent="0.3">
      <c r="S2767" s="32"/>
    </row>
    <row r="2768" spans="19:19" x14ac:dyDescent="0.3">
      <c r="S2768" s="32"/>
    </row>
    <row r="2769" spans="19:19" x14ac:dyDescent="0.3">
      <c r="S2769" s="32"/>
    </row>
    <row r="2770" spans="19:19" x14ac:dyDescent="0.3">
      <c r="S2770" s="32"/>
    </row>
    <row r="2771" spans="19:19" x14ac:dyDescent="0.3">
      <c r="S2771" s="32"/>
    </row>
    <row r="2772" spans="19:19" x14ac:dyDescent="0.3">
      <c r="S2772" s="32"/>
    </row>
    <row r="2773" spans="19:19" x14ac:dyDescent="0.3">
      <c r="S2773" s="32"/>
    </row>
    <row r="2774" spans="19:19" x14ac:dyDescent="0.3">
      <c r="S2774" s="32"/>
    </row>
    <row r="2775" spans="19:19" x14ac:dyDescent="0.3">
      <c r="S2775" s="32"/>
    </row>
    <row r="2776" spans="19:19" x14ac:dyDescent="0.3">
      <c r="S2776" s="32"/>
    </row>
    <row r="2777" spans="19:19" x14ac:dyDescent="0.3">
      <c r="S2777" s="32"/>
    </row>
    <row r="2778" spans="19:19" x14ac:dyDescent="0.3">
      <c r="S2778" s="32"/>
    </row>
    <row r="2779" spans="19:19" x14ac:dyDescent="0.3">
      <c r="S2779" s="32"/>
    </row>
    <row r="2780" spans="19:19" x14ac:dyDescent="0.3">
      <c r="S2780" s="32"/>
    </row>
    <row r="2781" spans="19:19" x14ac:dyDescent="0.3">
      <c r="S2781" s="32"/>
    </row>
    <row r="2782" spans="19:19" x14ac:dyDescent="0.3">
      <c r="S2782" s="32"/>
    </row>
    <row r="2783" spans="19:19" x14ac:dyDescent="0.3">
      <c r="S2783" s="32"/>
    </row>
    <row r="2784" spans="19:19" x14ac:dyDescent="0.3">
      <c r="S2784" s="32"/>
    </row>
    <row r="2785" spans="19:19" x14ac:dyDescent="0.3">
      <c r="S2785" s="32"/>
    </row>
    <row r="2786" spans="19:19" x14ac:dyDescent="0.3">
      <c r="S2786" s="32"/>
    </row>
    <row r="2787" spans="19:19" x14ac:dyDescent="0.3">
      <c r="S2787" s="32"/>
    </row>
    <row r="2788" spans="19:19" x14ac:dyDescent="0.3">
      <c r="S2788" s="32"/>
    </row>
    <row r="2789" spans="19:19" x14ac:dyDescent="0.3">
      <c r="S2789" s="32"/>
    </row>
    <row r="2790" spans="19:19" x14ac:dyDescent="0.3">
      <c r="S2790" s="32"/>
    </row>
    <row r="2791" spans="19:19" x14ac:dyDescent="0.3">
      <c r="S2791" s="32"/>
    </row>
    <row r="2792" spans="19:19" x14ac:dyDescent="0.3">
      <c r="S2792" s="32"/>
    </row>
    <row r="2793" spans="19:19" x14ac:dyDescent="0.3">
      <c r="S2793" s="32"/>
    </row>
    <row r="2794" spans="19:19" x14ac:dyDescent="0.3">
      <c r="S2794" s="32"/>
    </row>
    <row r="2795" spans="19:19" x14ac:dyDescent="0.3">
      <c r="S2795" s="32"/>
    </row>
    <row r="2796" spans="19:19" x14ac:dyDescent="0.3">
      <c r="S2796" s="32"/>
    </row>
    <row r="2797" spans="19:19" x14ac:dyDescent="0.3">
      <c r="S2797" s="32"/>
    </row>
    <row r="2798" spans="19:19" x14ac:dyDescent="0.3">
      <c r="S2798" s="32"/>
    </row>
    <row r="2799" spans="19:19" x14ac:dyDescent="0.3">
      <c r="S2799" s="32"/>
    </row>
    <row r="2800" spans="19:19" x14ac:dyDescent="0.3">
      <c r="S2800" s="32"/>
    </row>
    <row r="2801" spans="19:19" x14ac:dyDescent="0.3">
      <c r="S2801" s="32"/>
    </row>
    <row r="2802" spans="19:19" x14ac:dyDescent="0.3">
      <c r="S2802" s="32"/>
    </row>
    <row r="2803" spans="19:19" x14ac:dyDescent="0.3">
      <c r="S2803" s="32"/>
    </row>
    <row r="2804" spans="19:19" x14ac:dyDescent="0.3">
      <c r="S2804" s="32"/>
    </row>
    <row r="2805" spans="19:19" x14ac:dyDescent="0.3">
      <c r="S2805" s="32"/>
    </row>
    <row r="2806" spans="19:19" x14ac:dyDescent="0.3">
      <c r="S2806" s="32"/>
    </row>
    <row r="2807" spans="19:19" x14ac:dyDescent="0.3">
      <c r="S2807" s="32"/>
    </row>
    <row r="2808" spans="19:19" x14ac:dyDescent="0.3">
      <c r="S2808" s="32"/>
    </row>
    <row r="2809" spans="19:19" x14ac:dyDescent="0.3">
      <c r="S2809" s="32"/>
    </row>
    <row r="2810" spans="19:19" x14ac:dyDescent="0.3">
      <c r="S2810" s="32"/>
    </row>
    <row r="2811" spans="19:19" x14ac:dyDescent="0.3">
      <c r="S2811" s="32"/>
    </row>
    <row r="2828" spans="19:19" x14ac:dyDescent="0.3">
      <c r="S2828" s="32"/>
    </row>
    <row r="2829" spans="19:19" x14ac:dyDescent="0.3">
      <c r="S2829" s="32"/>
    </row>
    <row r="2830" spans="19:19" x14ac:dyDescent="0.3">
      <c r="S2830" s="32"/>
    </row>
    <row r="2831" spans="19:19" x14ac:dyDescent="0.3">
      <c r="S2831" s="32"/>
    </row>
    <row r="2832" spans="19:19" x14ac:dyDescent="0.3">
      <c r="S2832" s="32"/>
    </row>
    <row r="2833" spans="19:19" x14ac:dyDescent="0.3">
      <c r="S2833" s="32"/>
    </row>
    <row r="2834" spans="19:19" x14ac:dyDescent="0.3">
      <c r="S2834" s="32"/>
    </row>
    <row r="2835" spans="19:19" x14ac:dyDescent="0.3">
      <c r="S2835" s="32"/>
    </row>
    <row r="2836" spans="19:19" x14ac:dyDescent="0.3">
      <c r="S2836" s="32"/>
    </row>
    <row r="2837" spans="19:19" x14ac:dyDescent="0.3">
      <c r="S2837" s="32"/>
    </row>
    <row r="2838" spans="19:19" x14ac:dyDescent="0.3">
      <c r="S2838" s="32"/>
    </row>
    <row r="2839" spans="19:19" x14ac:dyDescent="0.3">
      <c r="S2839" s="32"/>
    </row>
    <row r="2840" spans="19:19" x14ac:dyDescent="0.3">
      <c r="S2840" s="32"/>
    </row>
    <row r="2841" spans="19:19" x14ac:dyDescent="0.3">
      <c r="S2841" s="32"/>
    </row>
    <row r="2842" spans="19:19" x14ac:dyDescent="0.3">
      <c r="S2842" s="32"/>
    </row>
    <row r="2843" spans="19:19" x14ac:dyDescent="0.3">
      <c r="S2843" s="32"/>
    </row>
    <row r="2844" spans="19:19" x14ac:dyDescent="0.3">
      <c r="S2844" s="32"/>
    </row>
    <row r="2845" spans="19:19" x14ac:dyDescent="0.3">
      <c r="S2845" s="32"/>
    </row>
    <row r="2846" spans="19:19" x14ac:dyDescent="0.3">
      <c r="S2846" s="32"/>
    </row>
    <row r="2847" spans="19:19" x14ac:dyDescent="0.3">
      <c r="S2847" s="32"/>
    </row>
    <row r="2848" spans="19:19" x14ac:dyDescent="0.3">
      <c r="S2848" s="32"/>
    </row>
    <row r="2849" spans="19:19" x14ac:dyDescent="0.3">
      <c r="S2849" s="32"/>
    </row>
    <row r="2850" spans="19:19" x14ac:dyDescent="0.3">
      <c r="S2850" s="32"/>
    </row>
    <row r="2851" spans="19:19" x14ac:dyDescent="0.3">
      <c r="S2851" s="32"/>
    </row>
    <row r="2852" spans="19:19" x14ac:dyDescent="0.3">
      <c r="S2852" s="32"/>
    </row>
    <row r="2853" spans="19:19" x14ac:dyDescent="0.3">
      <c r="S2853" s="32"/>
    </row>
    <row r="2854" spans="19:19" x14ac:dyDescent="0.3">
      <c r="S2854" s="32"/>
    </row>
    <row r="2855" spans="19:19" x14ac:dyDescent="0.3">
      <c r="S2855" s="32"/>
    </row>
    <row r="2856" spans="19:19" x14ac:dyDescent="0.3">
      <c r="S2856" s="32"/>
    </row>
    <row r="2857" spans="19:19" x14ac:dyDescent="0.3">
      <c r="S2857" s="32"/>
    </row>
    <row r="2858" spans="19:19" x14ac:dyDescent="0.3">
      <c r="S2858" s="32"/>
    </row>
    <row r="2859" spans="19:19" x14ac:dyDescent="0.3">
      <c r="S2859" s="32"/>
    </row>
    <row r="2860" spans="19:19" x14ac:dyDescent="0.3">
      <c r="S2860" s="32"/>
    </row>
    <row r="2861" spans="19:19" x14ac:dyDescent="0.3">
      <c r="S2861" s="32"/>
    </row>
    <row r="2862" spans="19:19" x14ac:dyDescent="0.3">
      <c r="S2862" s="32"/>
    </row>
    <row r="2863" spans="19:19" x14ac:dyDescent="0.3">
      <c r="S2863" s="32"/>
    </row>
    <row r="2864" spans="19:19" x14ac:dyDescent="0.3">
      <c r="S2864" s="32"/>
    </row>
    <row r="2865" spans="19:19" x14ac:dyDescent="0.3">
      <c r="S2865" s="32"/>
    </row>
    <row r="2866" spans="19:19" x14ac:dyDescent="0.3">
      <c r="S2866" s="32"/>
    </row>
    <row r="2867" spans="19:19" x14ac:dyDescent="0.3">
      <c r="S2867" s="32"/>
    </row>
    <row r="2868" spans="19:19" x14ac:dyDescent="0.3">
      <c r="S2868" s="32"/>
    </row>
    <row r="2869" spans="19:19" x14ac:dyDescent="0.3">
      <c r="S2869" s="32"/>
    </row>
    <row r="2870" spans="19:19" x14ac:dyDescent="0.3">
      <c r="S2870" s="32"/>
    </row>
    <row r="2871" spans="19:19" x14ac:dyDescent="0.3">
      <c r="S2871" s="32"/>
    </row>
    <row r="2872" spans="19:19" x14ac:dyDescent="0.3">
      <c r="S2872" s="32"/>
    </row>
    <row r="2873" spans="19:19" x14ac:dyDescent="0.3">
      <c r="S2873" s="32"/>
    </row>
    <row r="2874" spans="19:19" x14ac:dyDescent="0.3">
      <c r="S2874" s="32"/>
    </row>
    <row r="2875" spans="19:19" x14ac:dyDescent="0.3">
      <c r="S2875" s="32"/>
    </row>
    <row r="2876" spans="19:19" x14ac:dyDescent="0.3">
      <c r="S2876" s="32"/>
    </row>
    <row r="2877" spans="19:19" x14ac:dyDescent="0.3">
      <c r="S2877" s="32"/>
    </row>
    <row r="2878" spans="19:19" x14ac:dyDescent="0.3">
      <c r="S2878" s="32"/>
    </row>
    <row r="2879" spans="19:19" x14ac:dyDescent="0.3">
      <c r="S2879" s="32"/>
    </row>
    <row r="2880" spans="19:19" x14ac:dyDescent="0.3">
      <c r="S2880" s="32"/>
    </row>
    <row r="2881" spans="19:19" x14ac:dyDescent="0.3">
      <c r="S2881" s="32"/>
    </row>
    <row r="2882" spans="19:19" x14ac:dyDescent="0.3">
      <c r="S2882" s="32"/>
    </row>
    <row r="2883" spans="19:19" x14ac:dyDescent="0.3">
      <c r="S2883" s="32"/>
    </row>
    <row r="2884" spans="19:19" x14ac:dyDescent="0.3">
      <c r="S2884" s="32"/>
    </row>
    <row r="2885" spans="19:19" x14ac:dyDescent="0.3">
      <c r="S2885" s="32"/>
    </row>
    <row r="2887" spans="19:19" x14ac:dyDescent="0.3">
      <c r="S2887" s="32"/>
    </row>
    <row r="2888" spans="19:19" x14ac:dyDescent="0.3">
      <c r="S2888" s="32"/>
    </row>
    <row r="2889" spans="19:19" x14ac:dyDescent="0.3">
      <c r="S2889" s="32"/>
    </row>
    <row r="2890" spans="19:19" x14ac:dyDescent="0.3">
      <c r="S2890" s="32"/>
    </row>
    <row r="2891" spans="19:19" x14ac:dyDescent="0.3">
      <c r="S2891" s="32"/>
    </row>
    <row r="2892" spans="19:19" x14ac:dyDescent="0.3">
      <c r="S2892" s="32"/>
    </row>
    <row r="2893" spans="19:19" x14ac:dyDescent="0.3">
      <c r="S2893" s="32"/>
    </row>
    <row r="2894" spans="19:19" x14ac:dyDescent="0.3">
      <c r="S2894" s="32"/>
    </row>
    <row r="2895" spans="19:19" x14ac:dyDescent="0.3">
      <c r="S2895" s="32"/>
    </row>
    <row r="2896" spans="19:19" x14ac:dyDescent="0.3">
      <c r="S2896" s="32"/>
    </row>
    <row r="2898" spans="19:19" x14ac:dyDescent="0.3">
      <c r="S2898" s="32"/>
    </row>
    <row r="2899" spans="19:19" x14ac:dyDescent="0.3">
      <c r="S2899" s="32"/>
    </row>
    <row r="2900" spans="19:19" x14ac:dyDescent="0.3">
      <c r="S2900" s="32"/>
    </row>
    <row r="2901" spans="19:19" x14ac:dyDescent="0.3">
      <c r="S2901" s="32"/>
    </row>
    <row r="2902" spans="19:19" x14ac:dyDescent="0.3">
      <c r="S2902" s="32"/>
    </row>
    <row r="2903" spans="19:19" x14ac:dyDescent="0.3">
      <c r="S2903" s="32"/>
    </row>
    <row r="2904" spans="19:19" x14ac:dyDescent="0.3">
      <c r="S2904" s="32"/>
    </row>
    <row r="2905" spans="19:19" x14ac:dyDescent="0.3">
      <c r="S2905" s="32"/>
    </row>
    <row r="2906" spans="19:19" x14ac:dyDescent="0.3">
      <c r="S2906" s="32"/>
    </row>
    <row r="2907" spans="19:19" x14ac:dyDescent="0.3">
      <c r="S2907" s="32"/>
    </row>
    <row r="2908" spans="19:19" x14ac:dyDescent="0.3">
      <c r="S2908" s="32"/>
    </row>
    <row r="2909" spans="19:19" x14ac:dyDescent="0.3">
      <c r="S2909" s="32"/>
    </row>
    <row r="2910" spans="19:19" x14ac:dyDescent="0.3">
      <c r="S2910" s="32"/>
    </row>
    <row r="2911" spans="19:19" x14ac:dyDescent="0.3">
      <c r="S2911" s="32"/>
    </row>
    <row r="2912" spans="19:19" x14ac:dyDescent="0.3">
      <c r="S2912" s="32"/>
    </row>
    <row r="2913" spans="19:19" x14ac:dyDescent="0.3">
      <c r="S2913" s="32"/>
    </row>
    <row r="2914" spans="19:19" x14ac:dyDescent="0.3">
      <c r="S2914" s="32"/>
    </row>
    <row r="2915" spans="19:19" x14ac:dyDescent="0.3">
      <c r="S2915" s="32"/>
    </row>
    <row r="2916" spans="19:19" x14ac:dyDescent="0.3">
      <c r="S2916" s="32"/>
    </row>
    <row r="2917" spans="19:19" x14ac:dyDescent="0.3">
      <c r="S2917" s="32"/>
    </row>
    <row r="2918" spans="19:19" x14ac:dyDescent="0.3">
      <c r="S2918" s="32"/>
    </row>
    <row r="2919" spans="19:19" x14ac:dyDescent="0.3">
      <c r="S2919" s="32"/>
    </row>
    <row r="2920" spans="19:19" x14ac:dyDescent="0.3">
      <c r="S2920" s="32"/>
    </row>
    <row r="2921" spans="19:19" x14ac:dyDescent="0.3">
      <c r="S2921" s="32"/>
    </row>
    <row r="2922" spans="19:19" x14ac:dyDescent="0.3">
      <c r="S2922" s="32"/>
    </row>
    <row r="2923" spans="19:19" x14ac:dyDescent="0.3">
      <c r="S2923" s="32"/>
    </row>
    <row r="2924" spans="19:19" x14ac:dyDescent="0.3">
      <c r="S2924" s="32"/>
    </row>
    <row r="2925" spans="19:19" x14ac:dyDescent="0.3">
      <c r="S2925" s="32"/>
    </row>
    <row r="2926" spans="19:19" x14ac:dyDescent="0.3">
      <c r="S2926" s="32"/>
    </row>
    <row r="2927" spans="19:19" x14ac:dyDescent="0.3">
      <c r="S2927" s="32"/>
    </row>
    <row r="2928" spans="19:19" x14ac:dyDescent="0.3">
      <c r="S2928" s="32"/>
    </row>
    <row r="2929" spans="19:19" x14ac:dyDescent="0.3">
      <c r="S2929" s="32"/>
    </row>
    <row r="2930" spans="19:19" x14ac:dyDescent="0.3">
      <c r="S2930" s="32"/>
    </row>
    <row r="2931" spans="19:19" x14ac:dyDescent="0.3">
      <c r="S2931" s="32"/>
    </row>
    <row r="2932" spans="19:19" x14ac:dyDescent="0.3">
      <c r="S2932" s="32"/>
    </row>
    <row r="2933" spans="19:19" x14ac:dyDescent="0.3">
      <c r="S2933" s="32"/>
    </row>
    <row r="2934" spans="19:19" x14ac:dyDescent="0.3">
      <c r="S2934" s="32"/>
    </row>
    <row r="2935" spans="19:19" x14ac:dyDescent="0.3">
      <c r="S2935" s="32"/>
    </row>
    <row r="2936" spans="19:19" x14ac:dyDescent="0.3">
      <c r="S2936" s="32"/>
    </row>
    <row r="2937" spans="19:19" x14ac:dyDescent="0.3">
      <c r="S2937" s="32"/>
    </row>
    <row r="2938" spans="19:19" x14ac:dyDescent="0.3">
      <c r="S2938" s="32"/>
    </row>
    <row r="2939" spans="19:19" x14ac:dyDescent="0.3">
      <c r="S2939" s="32"/>
    </row>
    <row r="2940" spans="19:19" x14ac:dyDescent="0.3">
      <c r="S2940" s="32"/>
    </row>
    <row r="2942" spans="19:19" x14ac:dyDescent="0.3">
      <c r="S2942" s="32"/>
    </row>
    <row r="2943" spans="19:19" x14ac:dyDescent="0.3">
      <c r="S2943" s="32"/>
    </row>
    <row r="2944" spans="19:19" x14ac:dyDescent="0.3">
      <c r="S2944" s="32"/>
    </row>
    <row r="2945" spans="19:19" x14ac:dyDescent="0.3">
      <c r="S2945" s="32"/>
    </row>
    <row r="2946" spans="19:19" x14ac:dyDescent="0.3">
      <c r="S2946" s="32"/>
    </row>
    <row r="2947" spans="19:19" x14ac:dyDescent="0.3">
      <c r="S2947" s="32"/>
    </row>
    <row r="2948" spans="19:19" x14ac:dyDescent="0.3">
      <c r="S2948" s="32"/>
    </row>
    <row r="2949" spans="19:19" x14ac:dyDescent="0.3">
      <c r="S2949" s="32"/>
    </row>
    <row r="2950" spans="19:19" x14ac:dyDescent="0.3">
      <c r="S2950" s="32"/>
    </row>
    <row r="2951" spans="19:19" x14ac:dyDescent="0.3">
      <c r="S2951" s="32"/>
    </row>
    <row r="2953" spans="19:19" x14ac:dyDescent="0.3">
      <c r="S2953" s="32"/>
    </row>
    <row r="2954" spans="19:19" x14ac:dyDescent="0.3">
      <c r="S2954" s="32"/>
    </row>
    <row r="2955" spans="19:19" x14ac:dyDescent="0.3">
      <c r="S2955" s="32"/>
    </row>
    <row r="2956" spans="19:19" x14ac:dyDescent="0.3">
      <c r="S2956" s="32"/>
    </row>
    <row r="2957" spans="19:19" x14ac:dyDescent="0.3">
      <c r="S2957" s="32"/>
    </row>
    <row r="2958" spans="19:19" x14ac:dyDescent="0.3">
      <c r="S2958" s="32"/>
    </row>
    <row r="2959" spans="19:19" x14ac:dyDescent="0.3">
      <c r="S2959" s="32"/>
    </row>
    <row r="2960" spans="19:19" x14ac:dyDescent="0.3">
      <c r="S2960" s="32"/>
    </row>
    <row r="2961" spans="19:19" x14ac:dyDescent="0.3">
      <c r="S2961" s="32"/>
    </row>
    <row r="2962" spans="19:19" x14ac:dyDescent="0.3">
      <c r="S2962" s="32"/>
    </row>
    <row r="2964" spans="19:19" x14ac:dyDescent="0.3">
      <c r="S2964" s="32"/>
    </row>
    <row r="2965" spans="19:19" x14ac:dyDescent="0.3">
      <c r="S2965" s="32"/>
    </row>
    <row r="2966" spans="19:19" x14ac:dyDescent="0.3">
      <c r="S2966" s="32"/>
    </row>
    <row r="2967" spans="19:19" x14ac:dyDescent="0.3">
      <c r="S2967" s="32"/>
    </row>
    <row r="2968" spans="19:19" x14ac:dyDescent="0.3">
      <c r="S2968" s="32"/>
    </row>
    <row r="2969" spans="19:19" x14ac:dyDescent="0.3">
      <c r="S2969" s="32"/>
    </row>
    <row r="2970" spans="19:19" x14ac:dyDescent="0.3">
      <c r="S2970" s="32"/>
    </row>
    <row r="2971" spans="19:19" x14ac:dyDescent="0.3">
      <c r="S2971" s="32"/>
    </row>
    <row r="2972" spans="19:19" x14ac:dyDescent="0.3">
      <c r="S2972" s="32"/>
    </row>
    <row r="2973" spans="19:19" x14ac:dyDescent="0.3">
      <c r="S2973" s="32"/>
    </row>
    <row r="2974" spans="19:19" x14ac:dyDescent="0.3">
      <c r="S2974" s="32"/>
    </row>
    <row r="2975" spans="19:19" x14ac:dyDescent="0.3">
      <c r="S2975" s="32"/>
    </row>
    <row r="2976" spans="19:19" x14ac:dyDescent="0.3">
      <c r="S2976" s="32"/>
    </row>
    <row r="2977" spans="19:19" x14ac:dyDescent="0.3">
      <c r="S2977" s="32"/>
    </row>
    <row r="2978" spans="19:19" x14ac:dyDescent="0.3">
      <c r="S2978" s="32"/>
    </row>
    <row r="2979" spans="19:19" x14ac:dyDescent="0.3">
      <c r="S2979" s="32"/>
    </row>
    <row r="2980" spans="19:19" x14ac:dyDescent="0.3">
      <c r="S2980" s="32"/>
    </row>
    <row r="2981" spans="19:19" x14ac:dyDescent="0.3">
      <c r="S2981" s="32"/>
    </row>
    <row r="2982" spans="19:19" x14ac:dyDescent="0.3">
      <c r="S2982" s="32"/>
    </row>
    <row r="2983" spans="19:19" x14ac:dyDescent="0.3">
      <c r="S2983" s="32"/>
    </row>
    <row r="2984" spans="19:19" x14ac:dyDescent="0.3">
      <c r="S2984" s="32"/>
    </row>
    <row r="2985" spans="19:19" x14ac:dyDescent="0.3">
      <c r="S2985" s="32"/>
    </row>
    <row r="2986" spans="19:19" x14ac:dyDescent="0.3">
      <c r="S2986" s="32"/>
    </row>
    <row r="2987" spans="19:19" x14ac:dyDescent="0.3">
      <c r="S2987" s="32"/>
    </row>
    <row r="2988" spans="19:19" x14ac:dyDescent="0.3">
      <c r="S2988" s="32"/>
    </row>
    <row r="2989" spans="19:19" x14ac:dyDescent="0.3">
      <c r="S2989" s="32"/>
    </row>
    <row r="2990" spans="19:19" x14ac:dyDescent="0.3">
      <c r="S2990" s="32"/>
    </row>
    <row r="2991" spans="19:19" x14ac:dyDescent="0.3">
      <c r="S2991" s="32"/>
    </row>
    <row r="2992" spans="19:19" x14ac:dyDescent="0.3">
      <c r="S2992" s="32"/>
    </row>
    <row r="2993" spans="19:19" x14ac:dyDescent="0.3">
      <c r="S2993" s="32"/>
    </row>
    <row r="2994" spans="19:19" x14ac:dyDescent="0.3">
      <c r="S2994" s="32"/>
    </row>
    <row r="2995" spans="19:19" x14ac:dyDescent="0.3">
      <c r="S2995" s="32"/>
    </row>
    <row r="2996" spans="19:19" x14ac:dyDescent="0.3">
      <c r="S2996" s="32"/>
    </row>
    <row r="2997" spans="19:19" x14ac:dyDescent="0.3">
      <c r="S2997" s="32"/>
    </row>
    <row r="2998" spans="19:19" x14ac:dyDescent="0.3">
      <c r="S2998" s="3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BC5B-2DBB-4DA0-9285-8637861725BF}">
  <dimension ref="A1:M3010"/>
  <sheetViews>
    <sheetView workbookViewId="0">
      <selection activeCell="C3" sqref="C3"/>
    </sheetView>
  </sheetViews>
  <sheetFormatPr baseColWidth="10" defaultRowHeight="14.4" x14ac:dyDescent="0.3"/>
  <cols>
    <col min="13" max="13" width="9" customWidth="1"/>
  </cols>
  <sheetData>
    <row r="1" spans="1:13" x14ac:dyDescent="0.3">
      <c r="A1" t="s">
        <v>75</v>
      </c>
      <c r="B1" t="s">
        <v>76</v>
      </c>
      <c r="C1" t="s">
        <v>77</v>
      </c>
      <c r="D1" t="s">
        <v>73</v>
      </c>
      <c r="E1" t="s">
        <v>66</v>
      </c>
      <c r="F1" t="s">
        <v>74</v>
      </c>
      <c r="G1" t="s">
        <v>75</v>
      </c>
      <c r="H1" t="s">
        <v>76</v>
      </c>
      <c r="I1" t="s">
        <v>78</v>
      </c>
      <c r="J1" t="s">
        <v>73</v>
      </c>
      <c r="K1" t="s">
        <v>66</v>
      </c>
      <c r="L1" t="s">
        <v>74</v>
      </c>
      <c r="M1" t="s">
        <v>79</v>
      </c>
    </row>
    <row r="2" spans="1:13" x14ac:dyDescent="0.3">
      <c r="A2">
        <v>2015</v>
      </c>
      <c r="B2">
        <v>12</v>
      </c>
      <c r="C2">
        <v>30</v>
      </c>
      <c r="D2">
        <v>0.59145197468913657</v>
      </c>
      <c r="E2">
        <v>1.5200000000000102E-2</v>
      </c>
      <c r="F2">
        <f>D2*E2</f>
        <v>8.9900700152749369E-3</v>
      </c>
      <c r="G2">
        <v>2015</v>
      </c>
      <c r="H2">
        <v>12</v>
      </c>
      <c r="I2" s="26">
        <v>2015.9166666666665</v>
      </c>
      <c r="J2" s="33">
        <v>0.68516075480084304</v>
      </c>
      <c r="K2" s="33">
        <f>SUMIFS(E$2:E$3010,A$2:A$3010,G2,B$2:B$3010,H2)</f>
        <v>7.6000000000000512E-2</v>
      </c>
      <c r="L2" s="33">
        <f>J2*K2</f>
        <v>5.207221736486442E-2</v>
      </c>
      <c r="M2" s="31">
        <f>AVERAGE(K2:K3)</f>
        <v>7.6000000000000512E-2</v>
      </c>
    </row>
    <row r="3" spans="1:13" x14ac:dyDescent="0.3">
      <c r="A3">
        <v>2015</v>
      </c>
      <c r="B3">
        <v>12</v>
      </c>
      <c r="C3">
        <v>24</v>
      </c>
      <c r="D3">
        <v>0.64213691831747499</v>
      </c>
      <c r="E3">
        <v>1.5200000000000102E-2</v>
      </c>
      <c r="F3">
        <f t="shared" ref="F3:F66" si="0">D3*E3</f>
        <v>9.7604811584256854E-3</v>
      </c>
      <c r="G3">
        <v>2015</v>
      </c>
      <c r="H3">
        <v>11</v>
      </c>
      <c r="I3" s="26">
        <v>2015.8333333333333</v>
      </c>
      <c r="J3" s="33">
        <v>0.64420237085499898</v>
      </c>
      <c r="K3" s="33">
        <f t="shared" ref="K3:K66" si="1">SUMIFS(E$2:E$3010,A$2:A$3010,G3,B$2:B$3010,H3)</f>
        <v>7.6000000000000512E-2</v>
      </c>
      <c r="L3" s="33">
        <f t="shared" ref="L3:L66" si="2">J3*K3</f>
        <v>4.895938018498025E-2</v>
      </c>
      <c r="M3" s="31">
        <f>AVERAGE(K2:K4)</f>
        <v>7.0933333333333806E-2</v>
      </c>
    </row>
    <row r="4" spans="1:13" x14ac:dyDescent="0.3">
      <c r="A4">
        <v>2015</v>
      </c>
      <c r="B4">
        <v>12</v>
      </c>
      <c r="C4">
        <v>17</v>
      </c>
      <c r="D4">
        <v>0.69224656342277224</v>
      </c>
      <c r="E4">
        <v>1.5200000000000102E-2</v>
      </c>
      <c r="F4">
        <f t="shared" si="0"/>
        <v>1.0522147764026209E-2</v>
      </c>
      <c r="G4">
        <v>2015</v>
      </c>
      <c r="H4">
        <v>10</v>
      </c>
      <c r="I4" s="26">
        <v>2015.7499999999998</v>
      </c>
      <c r="J4" s="33">
        <v>0.61752516082970488</v>
      </c>
      <c r="K4" s="33">
        <f t="shared" si="1"/>
        <v>6.0800000000000409E-2</v>
      </c>
      <c r="L4" s="33">
        <f t="shared" si="2"/>
        <v>3.7545529778446309E-2</v>
      </c>
      <c r="M4" s="31">
        <f t="shared" ref="M4:M67" si="3">AVERAGE(K3:K5)</f>
        <v>7.0933333333333806E-2</v>
      </c>
    </row>
    <row r="5" spans="1:13" x14ac:dyDescent="0.3">
      <c r="A5">
        <v>2015</v>
      </c>
      <c r="B5">
        <v>12</v>
      </c>
      <c r="C5">
        <v>11</v>
      </c>
      <c r="D5">
        <v>0.74507708102660064</v>
      </c>
      <c r="E5">
        <v>1.5200000000000102E-2</v>
      </c>
      <c r="F5">
        <f t="shared" si="0"/>
        <v>1.1325171631604406E-2</v>
      </c>
      <c r="G5">
        <v>2015</v>
      </c>
      <c r="H5">
        <v>9</v>
      </c>
      <c r="I5" s="26">
        <v>2015.6666666666665</v>
      </c>
      <c r="J5" s="33">
        <v>0.61419012154780461</v>
      </c>
      <c r="K5" s="33">
        <f t="shared" si="1"/>
        <v>7.6000000000000512E-2</v>
      </c>
      <c r="L5" s="33">
        <f t="shared" si="2"/>
        <v>4.6678449237633465E-2</v>
      </c>
      <c r="M5" s="31">
        <f t="shared" si="3"/>
        <v>7.0933333333333806E-2</v>
      </c>
    </row>
    <row r="6" spans="1:13" x14ac:dyDescent="0.3">
      <c r="A6">
        <v>2015</v>
      </c>
      <c r="B6">
        <v>12</v>
      </c>
      <c r="C6">
        <v>4</v>
      </c>
      <c r="D6">
        <v>0.78983993437449906</v>
      </c>
      <c r="E6">
        <v>1.5200000000000102E-2</v>
      </c>
      <c r="F6">
        <f t="shared" si="0"/>
        <v>1.2005567002492466E-2</v>
      </c>
      <c r="G6">
        <v>2015</v>
      </c>
      <c r="H6">
        <v>8</v>
      </c>
      <c r="I6" s="26">
        <v>2015.5833333333333</v>
      </c>
      <c r="J6" s="33">
        <v>0.4988369422880844</v>
      </c>
      <c r="K6" s="33">
        <f t="shared" si="1"/>
        <v>7.6000000000000512E-2</v>
      </c>
      <c r="L6" s="33">
        <f t="shared" si="2"/>
        <v>3.7911607613894671E-2</v>
      </c>
      <c r="M6" s="31">
        <f t="shared" si="3"/>
        <v>7.0933333333333806E-2</v>
      </c>
    </row>
    <row r="7" spans="1:13" x14ac:dyDescent="0.3">
      <c r="A7">
        <v>2015</v>
      </c>
      <c r="B7">
        <v>11</v>
      </c>
      <c r="C7">
        <v>28</v>
      </c>
      <c r="D7">
        <v>0.82569974072305719</v>
      </c>
      <c r="E7">
        <v>1.5200000000000102E-2</v>
      </c>
      <c r="F7">
        <f t="shared" si="0"/>
        <v>1.2550636058990554E-2</v>
      </c>
      <c r="G7">
        <v>2015</v>
      </c>
      <c r="H7">
        <v>7</v>
      </c>
      <c r="I7" s="26">
        <v>2015.4999999999998</v>
      </c>
      <c r="J7" s="33">
        <v>0.63175884013242101</v>
      </c>
      <c r="K7" s="33">
        <f t="shared" si="1"/>
        <v>6.0800000000000409E-2</v>
      </c>
      <c r="L7" s="33">
        <f t="shared" si="2"/>
        <v>3.8410937480051456E-2</v>
      </c>
      <c r="M7" s="31">
        <f t="shared" si="3"/>
        <v>0.11653333333333411</v>
      </c>
    </row>
    <row r="8" spans="1:13" x14ac:dyDescent="0.3">
      <c r="A8">
        <v>2015</v>
      </c>
      <c r="B8">
        <v>11</v>
      </c>
      <c r="C8">
        <v>21</v>
      </c>
      <c r="D8">
        <v>0.85204442915905976</v>
      </c>
      <c r="E8">
        <v>1.5200000000000102E-2</v>
      </c>
      <c r="F8">
        <f t="shared" si="0"/>
        <v>1.2951075323217796E-2</v>
      </c>
      <c r="G8">
        <v>2015</v>
      </c>
      <c r="H8">
        <v>6</v>
      </c>
      <c r="I8" s="26">
        <v>2015.4166666666665</v>
      </c>
      <c r="J8" s="33">
        <v>0.56872467451258357</v>
      </c>
      <c r="K8" s="33">
        <f t="shared" si="1"/>
        <v>0.21280000000000143</v>
      </c>
      <c r="L8" s="33">
        <f t="shared" si="2"/>
        <v>0.1210246107362786</v>
      </c>
      <c r="M8" s="31">
        <f t="shared" si="3"/>
        <v>0.16213333333333443</v>
      </c>
    </row>
    <row r="9" spans="1:13" x14ac:dyDescent="0.3">
      <c r="A9">
        <v>2015</v>
      </c>
      <c r="B9">
        <v>11</v>
      </c>
      <c r="C9">
        <v>14</v>
      </c>
      <c r="D9">
        <v>0.87062496948862811</v>
      </c>
      <c r="E9">
        <v>1.5200000000000102E-2</v>
      </c>
      <c r="F9">
        <f t="shared" si="0"/>
        <v>1.3233499536227235E-2</v>
      </c>
      <c r="G9">
        <v>2015</v>
      </c>
      <c r="H9">
        <v>5</v>
      </c>
      <c r="I9" s="26">
        <v>2015.3333333333333</v>
      </c>
      <c r="J9" s="33">
        <v>0.66884488872990155</v>
      </c>
      <c r="K9" s="33">
        <f t="shared" si="1"/>
        <v>0.21280000000000143</v>
      </c>
      <c r="L9" s="33">
        <f t="shared" si="2"/>
        <v>0.142330192321724</v>
      </c>
      <c r="M9" s="31">
        <f t="shared" si="3"/>
        <v>0.21280000000000143</v>
      </c>
    </row>
    <row r="10" spans="1:13" x14ac:dyDescent="0.3">
      <c r="A10">
        <v>2015</v>
      </c>
      <c r="B10">
        <v>11</v>
      </c>
      <c r="C10">
        <v>8</v>
      </c>
      <c r="D10">
        <v>0.87459676484456694</v>
      </c>
      <c r="E10">
        <v>1.5200000000000102E-2</v>
      </c>
      <c r="F10">
        <f t="shared" si="0"/>
        <v>1.3293870825637507E-2</v>
      </c>
      <c r="G10">
        <v>2015</v>
      </c>
      <c r="H10">
        <v>4</v>
      </c>
      <c r="I10" s="26">
        <v>2015.2499999999998</v>
      </c>
      <c r="J10" s="33">
        <v>0.64346527424406053</v>
      </c>
      <c r="K10" s="33">
        <f t="shared" si="1"/>
        <v>0.21280000000000143</v>
      </c>
      <c r="L10" s="33">
        <f t="shared" si="2"/>
        <v>0.136929410359137</v>
      </c>
      <c r="M10" s="31">
        <f t="shared" si="3"/>
        <v>0.21280000000000143</v>
      </c>
    </row>
    <row r="11" spans="1:13" x14ac:dyDescent="0.3">
      <c r="A11">
        <v>2015</v>
      </c>
      <c r="B11">
        <v>11</v>
      </c>
      <c r="C11">
        <v>1</v>
      </c>
      <c r="D11">
        <v>0.87229642197675039</v>
      </c>
      <c r="E11">
        <v>1.5200000000000102E-2</v>
      </c>
      <c r="F11">
        <f t="shared" si="0"/>
        <v>1.3258905614046695E-2</v>
      </c>
      <c r="G11">
        <v>2015</v>
      </c>
      <c r="H11">
        <v>3</v>
      </c>
      <c r="I11" s="26">
        <v>2015.1666666666665</v>
      </c>
      <c r="J11" s="33">
        <v>0.70462818863201526</v>
      </c>
      <c r="K11" s="33">
        <f t="shared" si="1"/>
        <v>0.21280000000000143</v>
      </c>
      <c r="L11" s="33">
        <f t="shared" si="2"/>
        <v>0.14994487854089386</v>
      </c>
      <c r="M11" s="31">
        <f t="shared" si="3"/>
        <v>0.17226666666666782</v>
      </c>
    </row>
    <row r="12" spans="1:13" x14ac:dyDescent="0.3">
      <c r="A12">
        <v>2015</v>
      </c>
      <c r="B12">
        <v>10</v>
      </c>
      <c r="C12">
        <v>26</v>
      </c>
      <c r="D12">
        <v>0.86501082918657701</v>
      </c>
      <c r="E12">
        <v>1.5200000000000102E-2</v>
      </c>
      <c r="F12">
        <f t="shared" si="0"/>
        <v>1.314816460363606E-2</v>
      </c>
      <c r="G12">
        <v>2015</v>
      </c>
      <c r="H12">
        <v>2</v>
      </c>
      <c r="I12" s="26">
        <v>2015.083333333333</v>
      </c>
      <c r="J12" s="33">
        <v>0.64314227048131334</v>
      </c>
      <c r="K12" s="33">
        <f t="shared" si="1"/>
        <v>9.1200000000000614E-2</v>
      </c>
      <c r="L12" s="33">
        <f t="shared" si="2"/>
        <v>5.8654575067896168E-2</v>
      </c>
      <c r="M12" s="31">
        <f t="shared" si="3"/>
        <v>0.13173333333333423</v>
      </c>
    </row>
    <row r="13" spans="1:13" x14ac:dyDescent="0.3">
      <c r="A13">
        <v>2015</v>
      </c>
      <c r="B13">
        <v>10</v>
      </c>
      <c r="C13">
        <v>19</v>
      </c>
      <c r="D13">
        <v>0.85929825490393874</v>
      </c>
      <c r="E13">
        <v>1.5200000000000102E-2</v>
      </c>
      <c r="F13">
        <f t="shared" si="0"/>
        <v>1.3061333474539957E-2</v>
      </c>
      <c r="G13">
        <v>2015</v>
      </c>
      <c r="H13">
        <v>1</v>
      </c>
      <c r="I13" s="26">
        <v>2014.9999999999998</v>
      </c>
      <c r="J13" s="33">
        <v>0.61592095412051839</v>
      </c>
      <c r="K13" s="33">
        <f t="shared" si="1"/>
        <v>9.1200000000000614E-2</v>
      </c>
      <c r="L13" s="33">
        <f t="shared" si="2"/>
        <v>5.6171991015791657E-2</v>
      </c>
      <c r="M13" s="31">
        <f t="shared" si="3"/>
        <v>9.1200000000000614E-2</v>
      </c>
    </row>
    <row r="14" spans="1:13" x14ac:dyDescent="0.3">
      <c r="A14">
        <v>2015</v>
      </c>
      <c r="B14">
        <v>10</v>
      </c>
      <c r="C14">
        <v>13</v>
      </c>
      <c r="D14">
        <v>0.856431915721516</v>
      </c>
      <c r="E14">
        <v>1.5200000000000102E-2</v>
      </c>
      <c r="F14">
        <f t="shared" si="0"/>
        <v>1.301776511896713E-2</v>
      </c>
      <c r="G14">
        <v>2014</v>
      </c>
      <c r="H14">
        <v>12</v>
      </c>
      <c r="I14" s="26">
        <v>2014.9166666666665</v>
      </c>
      <c r="J14" s="33">
        <v>0.63199033945172534</v>
      </c>
      <c r="K14" s="33">
        <f t="shared" si="1"/>
        <v>9.1200000000000614E-2</v>
      </c>
      <c r="L14" s="33">
        <f t="shared" si="2"/>
        <v>5.7637518957997735E-2</v>
      </c>
      <c r="M14" s="31">
        <f t="shared" si="3"/>
        <v>9.1200000000000614E-2</v>
      </c>
    </row>
    <row r="15" spans="1:13" x14ac:dyDescent="0.3">
      <c r="A15">
        <v>2015</v>
      </c>
      <c r="B15">
        <v>10</v>
      </c>
      <c r="C15">
        <v>6</v>
      </c>
      <c r="D15">
        <v>0.85811345571404318</v>
      </c>
      <c r="E15">
        <v>1.5200000000000102E-2</v>
      </c>
      <c r="F15">
        <f t="shared" si="0"/>
        <v>1.3043324526853544E-2</v>
      </c>
      <c r="G15">
        <v>2014</v>
      </c>
      <c r="H15">
        <v>11</v>
      </c>
      <c r="I15" s="26">
        <v>2014.8333333333333</v>
      </c>
      <c r="J15" s="33">
        <v>0.67841986217550831</v>
      </c>
      <c r="K15" s="33">
        <f t="shared" si="1"/>
        <v>9.1200000000000614E-2</v>
      </c>
      <c r="L15" s="33">
        <f t="shared" si="2"/>
        <v>6.1871891430406778E-2</v>
      </c>
      <c r="M15" s="31">
        <f t="shared" si="3"/>
        <v>9.6266666666667319E-2</v>
      </c>
    </row>
    <row r="16" spans="1:13" x14ac:dyDescent="0.3">
      <c r="A16">
        <v>2015</v>
      </c>
      <c r="B16">
        <v>9</v>
      </c>
      <c r="C16">
        <v>29</v>
      </c>
      <c r="D16">
        <v>0.86406971193919668</v>
      </c>
      <c r="E16">
        <v>1.5200000000000102E-2</v>
      </c>
      <c r="F16">
        <f t="shared" si="0"/>
        <v>1.3133859621475877E-2</v>
      </c>
      <c r="G16">
        <v>2014</v>
      </c>
      <c r="H16">
        <v>10</v>
      </c>
      <c r="I16" s="26">
        <v>2014.75</v>
      </c>
      <c r="J16" s="33">
        <v>0.68850185521429286</v>
      </c>
      <c r="K16" s="33">
        <f t="shared" si="1"/>
        <v>0.10640000000000072</v>
      </c>
      <c r="L16" s="33">
        <f t="shared" si="2"/>
        <v>7.3256597394801254E-2</v>
      </c>
      <c r="M16" s="31">
        <f t="shared" si="3"/>
        <v>9.6266666666667319E-2</v>
      </c>
    </row>
    <row r="17" spans="1:13" x14ac:dyDescent="0.3">
      <c r="A17">
        <v>2015</v>
      </c>
      <c r="B17">
        <v>9</v>
      </c>
      <c r="C17">
        <v>23</v>
      </c>
      <c r="D17">
        <v>0.87175412736785862</v>
      </c>
      <c r="E17">
        <v>1.5200000000000102E-2</v>
      </c>
      <c r="F17">
        <f t="shared" si="0"/>
        <v>1.325066273599154E-2</v>
      </c>
      <c r="G17">
        <v>2014</v>
      </c>
      <c r="H17">
        <v>9</v>
      </c>
      <c r="I17" s="26">
        <v>2014.6666666666665</v>
      </c>
      <c r="J17" s="33">
        <v>0.62470719277071884</v>
      </c>
      <c r="K17" s="33">
        <f t="shared" si="1"/>
        <v>9.1200000000000614E-2</v>
      </c>
      <c r="L17" s="33">
        <f t="shared" si="2"/>
        <v>5.6973295980689939E-2</v>
      </c>
      <c r="M17" s="31">
        <f t="shared" si="3"/>
        <v>9.6266666666667319E-2</v>
      </c>
    </row>
    <row r="18" spans="1:13" x14ac:dyDescent="0.3">
      <c r="A18">
        <v>2015</v>
      </c>
      <c r="B18">
        <v>9</v>
      </c>
      <c r="C18">
        <v>16</v>
      </c>
      <c r="D18">
        <v>0.87530999124843367</v>
      </c>
      <c r="E18">
        <v>1.5200000000000102E-2</v>
      </c>
      <c r="F18">
        <f t="shared" si="0"/>
        <v>1.3304711866976281E-2</v>
      </c>
      <c r="G18">
        <v>2014</v>
      </c>
      <c r="H18">
        <v>8</v>
      </c>
      <c r="I18" s="26">
        <v>2014.5833333333333</v>
      </c>
      <c r="J18" s="33">
        <v>0.70055476321953836</v>
      </c>
      <c r="K18" s="33">
        <f t="shared" si="1"/>
        <v>9.1200000000000614E-2</v>
      </c>
      <c r="L18" s="33">
        <f t="shared" si="2"/>
        <v>6.3890594405622322E-2</v>
      </c>
      <c r="M18" s="31">
        <f t="shared" si="3"/>
        <v>9.1200000000000614E-2</v>
      </c>
    </row>
    <row r="19" spans="1:13" x14ac:dyDescent="0.3">
      <c r="A19">
        <v>2015</v>
      </c>
      <c r="B19">
        <v>9</v>
      </c>
      <c r="C19">
        <v>10</v>
      </c>
      <c r="D19">
        <v>0.87672359606074568</v>
      </c>
      <c r="E19">
        <v>1.5200000000000102E-2</v>
      </c>
      <c r="F19">
        <f t="shared" si="0"/>
        <v>1.3326198660123424E-2</v>
      </c>
      <c r="G19">
        <v>2014</v>
      </c>
      <c r="H19">
        <v>7</v>
      </c>
      <c r="I19" s="26">
        <v>2014.5</v>
      </c>
      <c r="J19" s="33">
        <v>0.6600458248145854</v>
      </c>
      <c r="K19" s="33">
        <f t="shared" si="1"/>
        <v>9.1200000000000614E-2</v>
      </c>
      <c r="L19" s="33">
        <f t="shared" si="2"/>
        <v>6.0196179223090597E-2</v>
      </c>
      <c r="M19" s="31">
        <f t="shared" si="3"/>
        <v>0.13680000000000092</v>
      </c>
    </row>
    <row r="20" spans="1:13" x14ac:dyDescent="0.3">
      <c r="A20">
        <v>2015</v>
      </c>
      <c r="B20">
        <v>9</v>
      </c>
      <c r="C20">
        <v>3</v>
      </c>
      <c r="D20">
        <v>0.8762771489811203</v>
      </c>
      <c r="E20">
        <v>1.5200000000000102E-2</v>
      </c>
      <c r="F20">
        <f t="shared" si="0"/>
        <v>1.3319412664513119E-2</v>
      </c>
      <c r="G20">
        <v>2014</v>
      </c>
      <c r="H20">
        <v>6</v>
      </c>
      <c r="I20" s="26">
        <v>2014.4166666666665</v>
      </c>
      <c r="J20" s="33">
        <v>0.65863837292458283</v>
      </c>
      <c r="K20" s="33">
        <f t="shared" si="1"/>
        <v>0.22800000000000153</v>
      </c>
      <c r="L20" s="33">
        <f t="shared" si="2"/>
        <v>0.1501695490268059</v>
      </c>
      <c r="M20" s="31">
        <f t="shared" si="3"/>
        <v>0.18240000000000123</v>
      </c>
    </row>
    <row r="21" spans="1:13" x14ac:dyDescent="0.3">
      <c r="A21">
        <v>2015</v>
      </c>
      <c r="B21">
        <v>8</v>
      </c>
      <c r="C21">
        <v>28</v>
      </c>
      <c r="D21">
        <v>0.87998623287473032</v>
      </c>
      <c r="E21">
        <v>1.5200000000000102E-2</v>
      </c>
      <c r="F21">
        <f t="shared" si="0"/>
        <v>1.337579073969599E-2</v>
      </c>
      <c r="G21">
        <v>2014</v>
      </c>
      <c r="H21">
        <v>5</v>
      </c>
      <c r="I21" s="26">
        <v>2014.3333333333333</v>
      </c>
      <c r="J21" s="33">
        <v>0.62495721684407146</v>
      </c>
      <c r="K21" s="33">
        <f t="shared" si="1"/>
        <v>0.22800000000000153</v>
      </c>
      <c r="L21" s="33">
        <f t="shared" si="2"/>
        <v>0.14249024544044925</v>
      </c>
      <c r="M21" s="31">
        <f t="shared" si="3"/>
        <v>0.22800000000000153</v>
      </c>
    </row>
    <row r="22" spans="1:13" x14ac:dyDescent="0.3">
      <c r="A22">
        <v>2015</v>
      </c>
      <c r="B22">
        <v>8</v>
      </c>
      <c r="C22">
        <v>21</v>
      </c>
      <c r="D22">
        <v>0.88542562183359197</v>
      </c>
      <c r="E22">
        <v>1.5200000000000102E-2</v>
      </c>
      <c r="F22">
        <f t="shared" si="0"/>
        <v>1.3458469451870689E-2</v>
      </c>
      <c r="G22">
        <v>2014</v>
      </c>
      <c r="H22">
        <v>4</v>
      </c>
      <c r="I22" s="26">
        <v>2014.25</v>
      </c>
      <c r="J22" s="33">
        <v>0.76493760761763485</v>
      </c>
      <c r="K22" s="33">
        <f t="shared" si="1"/>
        <v>0.22800000000000153</v>
      </c>
      <c r="L22" s="33">
        <f t="shared" si="2"/>
        <v>0.17440577453682193</v>
      </c>
      <c r="M22" s="31">
        <f t="shared" si="3"/>
        <v>0.22800000000000153</v>
      </c>
    </row>
    <row r="23" spans="1:13" x14ac:dyDescent="0.3">
      <c r="A23">
        <v>2015</v>
      </c>
      <c r="B23">
        <v>8</v>
      </c>
      <c r="C23">
        <v>14</v>
      </c>
      <c r="D23">
        <v>0.89188468301936175</v>
      </c>
      <c r="E23">
        <v>1.5200000000000102E-2</v>
      </c>
      <c r="F23">
        <f t="shared" si="0"/>
        <v>1.355664718189439E-2</v>
      </c>
      <c r="G23">
        <v>2014</v>
      </c>
      <c r="H23">
        <v>3</v>
      </c>
      <c r="I23" s="26">
        <v>2014.1666666666665</v>
      </c>
      <c r="J23" s="33">
        <v>0.76138875784810711</v>
      </c>
      <c r="K23" s="33">
        <f t="shared" si="1"/>
        <v>0.22800000000000153</v>
      </c>
      <c r="L23" s="33">
        <f t="shared" si="2"/>
        <v>0.1735966367893696</v>
      </c>
      <c r="M23" s="31">
        <f t="shared" si="3"/>
        <v>0.17733333333333454</v>
      </c>
    </row>
    <row r="24" spans="1:13" x14ac:dyDescent="0.3">
      <c r="A24">
        <v>2015</v>
      </c>
      <c r="B24">
        <v>8</v>
      </c>
      <c r="C24">
        <v>8</v>
      </c>
      <c r="D24">
        <v>0.8993702336087408</v>
      </c>
      <c r="E24">
        <v>1.5200000000000102E-2</v>
      </c>
      <c r="F24">
        <f t="shared" si="0"/>
        <v>1.3670427550852952E-2</v>
      </c>
      <c r="G24">
        <v>2014</v>
      </c>
      <c r="H24">
        <v>2</v>
      </c>
      <c r="I24" s="26">
        <v>2014.0833333333333</v>
      </c>
      <c r="J24" s="33">
        <v>0.70068539995430679</v>
      </c>
      <c r="K24" s="33">
        <f t="shared" si="1"/>
        <v>7.6000000000000512E-2</v>
      </c>
      <c r="L24" s="33">
        <f t="shared" si="2"/>
        <v>5.3252090396527674E-2</v>
      </c>
      <c r="M24" s="31">
        <f t="shared" si="3"/>
        <v>0.13173333333333423</v>
      </c>
    </row>
    <row r="25" spans="1:13" x14ac:dyDescent="0.3">
      <c r="A25">
        <v>2015</v>
      </c>
      <c r="B25">
        <v>8</v>
      </c>
      <c r="C25">
        <v>1</v>
      </c>
      <c r="D25">
        <v>0.91078384861252115</v>
      </c>
      <c r="E25">
        <v>1.5200000000000102E-2</v>
      </c>
      <c r="F25">
        <f t="shared" si="0"/>
        <v>1.3843914498910415E-2</v>
      </c>
      <c r="G25">
        <v>2014</v>
      </c>
      <c r="H25">
        <v>1</v>
      </c>
      <c r="I25" s="26">
        <v>2014</v>
      </c>
      <c r="J25" s="33">
        <v>0.72845399828482826</v>
      </c>
      <c r="K25" s="33">
        <f t="shared" si="1"/>
        <v>9.1200000000000614E-2</v>
      </c>
      <c r="L25" s="33">
        <f t="shared" si="2"/>
        <v>6.6435004643576781E-2</v>
      </c>
      <c r="M25" s="31">
        <f t="shared" si="3"/>
        <v>8.1066666666667217E-2</v>
      </c>
    </row>
    <row r="26" spans="1:13" x14ac:dyDescent="0.3">
      <c r="A26">
        <v>2015</v>
      </c>
      <c r="B26">
        <v>7</v>
      </c>
      <c r="C26">
        <v>26</v>
      </c>
      <c r="D26">
        <v>0.92282235419464576</v>
      </c>
      <c r="E26">
        <v>1.5200000000000102E-2</v>
      </c>
      <c r="F26">
        <f t="shared" si="0"/>
        <v>1.402689978375871E-2</v>
      </c>
      <c r="G26">
        <v>2013</v>
      </c>
      <c r="H26">
        <v>12</v>
      </c>
      <c r="I26" s="26">
        <v>2013.91666666678</v>
      </c>
      <c r="J26" s="33">
        <v>0.78127200406874742</v>
      </c>
      <c r="K26" s="33">
        <f t="shared" si="1"/>
        <v>7.6000000000000512E-2</v>
      </c>
      <c r="L26" s="33">
        <f t="shared" si="2"/>
        <v>5.9376672309225206E-2</v>
      </c>
      <c r="M26" s="31">
        <f t="shared" si="3"/>
        <v>8.6133333333333909E-2</v>
      </c>
    </row>
    <row r="27" spans="1:13" x14ac:dyDescent="0.3">
      <c r="A27">
        <v>2015</v>
      </c>
      <c r="B27">
        <v>7</v>
      </c>
      <c r="C27">
        <v>19</v>
      </c>
      <c r="D27">
        <v>0.93753434966913496</v>
      </c>
      <c r="E27">
        <v>1.5200000000000102E-2</v>
      </c>
      <c r="F27">
        <f t="shared" si="0"/>
        <v>1.4250522114970948E-2</v>
      </c>
      <c r="G27">
        <v>2013</v>
      </c>
      <c r="H27">
        <v>11</v>
      </c>
      <c r="I27" s="26">
        <v>2013.8333333334499</v>
      </c>
      <c r="J27" s="33">
        <v>0.75557288227660302</v>
      </c>
      <c r="K27" s="33">
        <f t="shared" si="1"/>
        <v>9.1200000000000614E-2</v>
      </c>
      <c r="L27" s="33">
        <f t="shared" si="2"/>
        <v>6.8908246863626663E-2</v>
      </c>
      <c r="M27" s="31">
        <f t="shared" si="3"/>
        <v>8.1066666666667217E-2</v>
      </c>
    </row>
    <row r="28" spans="1:13" x14ac:dyDescent="0.3">
      <c r="A28">
        <v>2015</v>
      </c>
      <c r="B28">
        <v>7</v>
      </c>
      <c r="C28">
        <v>13</v>
      </c>
      <c r="D28">
        <v>0.95290027482644646</v>
      </c>
      <c r="E28">
        <v>1.5200000000000102E-2</v>
      </c>
      <c r="F28">
        <f t="shared" si="0"/>
        <v>1.4484084177362083E-2</v>
      </c>
      <c r="G28">
        <v>2013</v>
      </c>
      <c r="H28">
        <v>10</v>
      </c>
      <c r="I28" s="26">
        <v>2013.7500000001201</v>
      </c>
      <c r="J28" s="33">
        <v>0.60147413784412451</v>
      </c>
      <c r="K28" s="33">
        <f t="shared" si="1"/>
        <v>7.6000000000000512E-2</v>
      </c>
      <c r="L28" s="33">
        <f t="shared" si="2"/>
        <v>4.5712034476153768E-2</v>
      </c>
      <c r="M28" s="31">
        <f t="shared" si="3"/>
        <v>8.1066666666667217E-2</v>
      </c>
    </row>
    <row r="29" spans="1:13" x14ac:dyDescent="0.3">
      <c r="A29">
        <v>2015</v>
      </c>
      <c r="B29">
        <v>7</v>
      </c>
      <c r="C29">
        <v>6</v>
      </c>
      <c r="D29">
        <v>0.96671912042814823</v>
      </c>
      <c r="E29">
        <v>1.5200000000000102E-2</v>
      </c>
      <c r="F29">
        <f t="shared" si="0"/>
        <v>1.4694130630507951E-2</v>
      </c>
      <c r="G29">
        <v>2013</v>
      </c>
      <c r="H29">
        <v>9</v>
      </c>
      <c r="I29" s="26">
        <v>2013.66666666679</v>
      </c>
      <c r="J29" s="33">
        <v>0.76226637929128449</v>
      </c>
      <c r="K29" s="33">
        <f t="shared" si="1"/>
        <v>7.6000000000000512E-2</v>
      </c>
      <c r="L29" s="33">
        <f t="shared" si="2"/>
        <v>5.7932244826138013E-2</v>
      </c>
      <c r="M29" s="31">
        <f t="shared" si="3"/>
        <v>8.1066666666667217E-2</v>
      </c>
    </row>
    <row r="30" spans="1:13" x14ac:dyDescent="0.3">
      <c r="A30">
        <v>2015</v>
      </c>
      <c r="B30">
        <v>6</v>
      </c>
      <c r="C30">
        <v>30</v>
      </c>
      <c r="D30">
        <v>0.9735122313099791</v>
      </c>
      <c r="E30">
        <v>1.5200000000000102E-2</v>
      </c>
      <c r="F30">
        <f t="shared" si="0"/>
        <v>1.4797385915911782E-2</v>
      </c>
      <c r="G30">
        <v>2013</v>
      </c>
      <c r="H30">
        <v>8</v>
      </c>
      <c r="I30" s="26">
        <v>2013.5833333334599</v>
      </c>
      <c r="J30" s="33">
        <v>0.79306361067364506</v>
      </c>
      <c r="K30" s="33">
        <f t="shared" si="1"/>
        <v>9.1200000000000614E-2</v>
      </c>
      <c r="L30" s="33">
        <f t="shared" si="2"/>
        <v>7.2327401293436913E-2</v>
      </c>
      <c r="M30" s="31">
        <f t="shared" si="3"/>
        <v>8.1066666666667217E-2</v>
      </c>
    </row>
    <row r="31" spans="1:13" x14ac:dyDescent="0.3">
      <c r="A31">
        <v>2015</v>
      </c>
      <c r="B31">
        <v>6</v>
      </c>
      <c r="C31">
        <v>27</v>
      </c>
      <c r="D31">
        <v>0.96925477304831564</v>
      </c>
      <c r="E31">
        <v>1.5200000000000102E-2</v>
      </c>
      <c r="F31">
        <f t="shared" si="0"/>
        <v>1.4732672550334497E-2</v>
      </c>
      <c r="G31">
        <v>2013</v>
      </c>
      <c r="H31">
        <v>7</v>
      </c>
      <c r="I31" s="26">
        <v>2013.5000000001301</v>
      </c>
      <c r="J31" s="33">
        <v>0.74093721810166024</v>
      </c>
      <c r="K31" s="33">
        <f t="shared" si="1"/>
        <v>7.6000000000000512E-2</v>
      </c>
      <c r="L31" s="33">
        <f t="shared" si="2"/>
        <v>5.6311228575726555E-2</v>
      </c>
      <c r="M31" s="31">
        <f t="shared" si="3"/>
        <v>0.13173333333333423</v>
      </c>
    </row>
    <row r="32" spans="1:13" x14ac:dyDescent="0.3">
      <c r="A32">
        <v>2015</v>
      </c>
      <c r="B32">
        <v>6</v>
      </c>
      <c r="C32">
        <v>25</v>
      </c>
      <c r="D32">
        <v>0.95367674368552924</v>
      </c>
      <c r="E32">
        <v>1.5200000000000102E-2</v>
      </c>
      <c r="F32">
        <f t="shared" si="0"/>
        <v>1.4495886504020143E-2</v>
      </c>
      <c r="G32">
        <v>2013</v>
      </c>
      <c r="H32">
        <v>6</v>
      </c>
      <c r="I32" s="26">
        <v>2013.4166666668</v>
      </c>
      <c r="J32" s="33">
        <v>0.91683388290840029</v>
      </c>
      <c r="K32" s="33">
        <f t="shared" si="1"/>
        <v>0.22800000000000153</v>
      </c>
      <c r="L32" s="33">
        <f t="shared" si="2"/>
        <v>0.20903812530311666</v>
      </c>
      <c r="M32" s="31">
        <f t="shared" si="3"/>
        <v>0.17733333333333454</v>
      </c>
    </row>
    <row r="33" spans="1:13" x14ac:dyDescent="0.3">
      <c r="A33">
        <v>2015</v>
      </c>
      <c r="B33">
        <v>6</v>
      </c>
      <c r="C33">
        <v>23</v>
      </c>
      <c r="D33">
        <v>0.92952835096304454</v>
      </c>
      <c r="E33">
        <v>1.5200000000000102E-2</v>
      </c>
      <c r="F33">
        <f t="shared" si="0"/>
        <v>1.4128830934638372E-2</v>
      </c>
      <c r="G33">
        <v>2013</v>
      </c>
      <c r="H33">
        <v>5</v>
      </c>
      <c r="I33" s="26">
        <v>2013.3333333334699</v>
      </c>
      <c r="J33" s="33">
        <v>0.80486669348556328</v>
      </c>
      <c r="K33" s="33">
        <f>SUMIFS(E$2:E$3010,A$2:A$3010,G33,B$2:B$3010,H33)</f>
        <v>0.22800000000000153</v>
      </c>
      <c r="L33" s="33">
        <f t="shared" si="2"/>
        <v>0.18350960611470965</v>
      </c>
      <c r="M33" s="31">
        <f t="shared" si="3"/>
        <v>0.22800000000000153</v>
      </c>
    </row>
    <row r="34" spans="1:13" x14ac:dyDescent="0.3">
      <c r="A34">
        <v>2015</v>
      </c>
      <c r="B34">
        <v>6</v>
      </c>
      <c r="C34">
        <v>21</v>
      </c>
      <c r="D34">
        <v>0.8994275659576888</v>
      </c>
      <c r="E34">
        <v>1.5200000000000102E-2</v>
      </c>
      <c r="F34">
        <f t="shared" si="0"/>
        <v>1.3671299002556961E-2</v>
      </c>
      <c r="G34">
        <v>2013</v>
      </c>
      <c r="H34">
        <v>4</v>
      </c>
      <c r="I34" s="26">
        <v>2013.2500000001401</v>
      </c>
      <c r="J34" s="33">
        <v>0.80811610157442026</v>
      </c>
      <c r="K34" s="33">
        <f t="shared" si="1"/>
        <v>0.22800000000000153</v>
      </c>
      <c r="L34" s="33">
        <f t="shared" si="2"/>
        <v>0.18425047115896906</v>
      </c>
      <c r="M34" s="31">
        <f t="shared" si="3"/>
        <v>0.22800000000000153</v>
      </c>
    </row>
    <row r="35" spans="1:13" x14ac:dyDescent="0.3">
      <c r="A35">
        <v>2015</v>
      </c>
      <c r="B35">
        <v>6</v>
      </c>
      <c r="C35">
        <v>19</v>
      </c>
      <c r="D35">
        <v>0.8679705809131103</v>
      </c>
      <c r="E35">
        <v>1.5200000000000102E-2</v>
      </c>
      <c r="F35">
        <f t="shared" si="0"/>
        <v>1.3193152829879365E-2</v>
      </c>
      <c r="G35">
        <v>2013</v>
      </c>
      <c r="H35">
        <v>3</v>
      </c>
      <c r="I35" s="26">
        <v>2013.16666666681</v>
      </c>
      <c r="J35" s="33">
        <v>0.80287254435759992</v>
      </c>
      <c r="K35" s="33">
        <f t="shared" si="1"/>
        <v>0.22800000000000153</v>
      </c>
      <c r="L35" s="33">
        <f t="shared" si="2"/>
        <v>0.18305494011353401</v>
      </c>
      <c r="M35" s="31">
        <f t="shared" si="3"/>
        <v>0.19253333333333464</v>
      </c>
    </row>
    <row r="36" spans="1:13" x14ac:dyDescent="0.3">
      <c r="A36">
        <v>2015</v>
      </c>
      <c r="B36">
        <v>6</v>
      </c>
      <c r="C36">
        <v>16</v>
      </c>
      <c r="D36">
        <v>0.83975979105630372</v>
      </c>
      <c r="E36">
        <v>1.5200000000000102E-2</v>
      </c>
      <c r="F36">
        <f t="shared" si="0"/>
        <v>1.2764348824055902E-2</v>
      </c>
      <c r="G36">
        <v>2013</v>
      </c>
      <c r="H36">
        <v>2</v>
      </c>
      <c r="I36" s="26">
        <v>2013.0833333334799</v>
      </c>
      <c r="J36">
        <f t="shared" ref="J36:J66" si="4">AVERAGEIFS(D$2:D$3010,A$2:A$3010,G36,B$2:B$3010,H36)</f>
        <v>0.51580956848200366</v>
      </c>
      <c r="K36" s="33">
        <f t="shared" si="1"/>
        <v>0.12160000000000082</v>
      </c>
      <c r="L36" s="33">
        <f t="shared" si="2"/>
        <v>6.2722443527412061E-2</v>
      </c>
      <c r="M36" s="31">
        <f t="shared" si="3"/>
        <v>0.15706666666666771</v>
      </c>
    </row>
    <row r="37" spans="1:13" x14ac:dyDescent="0.3">
      <c r="A37">
        <v>2015</v>
      </c>
      <c r="B37">
        <v>6</v>
      </c>
      <c r="C37">
        <v>14</v>
      </c>
      <c r="D37">
        <v>0.81685386865018283</v>
      </c>
      <c r="E37">
        <v>1.5200000000000102E-2</v>
      </c>
      <c r="F37">
        <f t="shared" si="0"/>
        <v>1.2416178803482864E-2</v>
      </c>
      <c r="G37">
        <v>2013</v>
      </c>
      <c r="H37">
        <v>1</v>
      </c>
      <c r="I37" s="26">
        <v>2013.0000000001501</v>
      </c>
      <c r="J37">
        <f t="shared" si="4"/>
        <v>0.58724204697113969</v>
      </c>
      <c r="K37" s="33">
        <f t="shared" si="1"/>
        <v>0.12160000000000082</v>
      </c>
      <c r="L37" s="33">
        <f t="shared" si="2"/>
        <v>7.140863291169107E-2</v>
      </c>
      <c r="M37" s="31">
        <f t="shared" si="3"/>
        <v>0.12666666666666751</v>
      </c>
    </row>
    <row r="38" spans="1:13" x14ac:dyDescent="0.3">
      <c r="A38">
        <v>2015</v>
      </c>
      <c r="B38">
        <v>6</v>
      </c>
      <c r="C38">
        <v>12</v>
      </c>
      <c r="D38">
        <v>0.79788890265227053</v>
      </c>
      <c r="E38">
        <v>1.5200000000000102E-2</v>
      </c>
      <c r="F38">
        <f t="shared" si="0"/>
        <v>1.2127911320314594E-2</v>
      </c>
      <c r="G38">
        <v>2012</v>
      </c>
      <c r="H38">
        <v>12</v>
      </c>
      <c r="I38" s="26">
        <v>2012.91666666682</v>
      </c>
      <c r="J38">
        <f t="shared" si="4"/>
        <v>0.52838852353501276</v>
      </c>
      <c r="K38" s="33">
        <f t="shared" si="1"/>
        <v>0.13680000000000092</v>
      </c>
      <c r="L38" s="33">
        <f t="shared" si="2"/>
        <v>7.2283550019590234E-2</v>
      </c>
      <c r="M38" s="31">
        <f t="shared" si="3"/>
        <v>0.12666666666666751</v>
      </c>
    </row>
    <row r="39" spans="1:13" x14ac:dyDescent="0.3">
      <c r="A39">
        <v>2015</v>
      </c>
      <c r="B39">
        <v>6</v>
      </c>
      <c r="C39">
        <v>10</v>
      </c>
      <c r="D39">
        <v>0.78112207040967852</v>
      </c>
      <c r="E39">
        <v>1.5200000000000102E-2</v>
      </c>
      <c r="F39">
        <f t="shared" si="0"/>
        <v>1.1873055470227193E-2</v>
      </c>
      <c r="G39">
        <v>2012</v>
      </c>
      <c r="H39">
        <v>11</v>
      </c>
      <c r="I39" s="26">
        <v>2012.8333333334899</v>
      </c>
      <c r="J39">
        <f t="shared" si="4"/>
        <v>0.56256768325670647</v>
      </c>
      <c r="K39" s="33">
        <f t="shared" si="1"/>
        <v>0.12160000000000082</v>
      </c>
      <c r="L39" s="33">
        <f t="shared" si="2"/>
        <v>6.8408230284015964E-2</v>
      </c>
      <c r="M39" s="31">
        <f t="shared" si="3"/>
        <v>0.13173333333333423</v>
      </c>
    </row>
    <row r="40" spans="1:13" x14ac:dyDescent="0.3">
      <c r="A40">
        <v>2015</v>
      </c>
      <c r="B40">
        <v>6</v>
      </c>
      <c r="C40">
        <v>8</v>
      </c>
      <c r="D40">
        <v>0.76652385468583284</v>
      </c>
      <c r="E40">
        <v>1.5200000000000102E-2</v>
      </c>
      <c r="F40">
        <f t="shared" si="0"/>
        <v>1.1651162591224737E-2</v>
      </c>
      <c r="G40">
        <v>2012</v>
      </c>
      <c r="H40">
        <v>10</v>
      </c>
      <c r="I40" s="26">
        <v>2012.7500000001601</v>
      </c>
      <c r="J40">
        <f t="shared" si="4"/>
        <v>0.57780120301417004</v>
      </c>
      <c r="K40" s="33">
        <f t="shared" si="1"/>
        <v>0.13680000000000092</v>
      </c>
      <c r="L40" s="33">
        <f t="shared" si="2"/>
        <v>7.9043204572338988E-2</v>
      </c>
      <c r="M40" s="31">
        <f t="shared" si="3"/>
        <v>0.12666666666666751</v>
      </c>
    </row>
    <row r="41" spans="1:13" x14ac:dyDescent="0.3">
      <c r="A41">
        <v>2015</v>
      </c>
      <c r="B41">
        <v>6</v>
      </c>
      <c r="C41">
        <v>6</v>
      </c>
      <c r="D41">
        <v>0.75462467721317605</v>
      </c>
      <c r="E41">
        <v>1.5200000000000102E-2</v>
      </c>
      <c r="F41">
        <f t="shared" si="0"/>
        <v>1.1470295093640353E-2</v>
      </c>
      <c r="G41">
        <v>2012</v>
      </c>
      <c r="H41">
        <v>9</v>
      </c>
      <c r="I41" s="26">
        <v>2012.66666666683</v>
      </c>
      <c r="J41">
        <f t="shared" si="4"/>
        <v>0.64903826876333492</v>
      </c>
      <c r="K41" s="33">
        <f t="shared" si="1"/>
        <v>0.12160000000000082</v>
      </c>
      <c r="L41" s="33">
        <f t="shared" si="2"/>
        <v>7.8923053481622055E-2</v>
      </c>
      <c r="M41" s="31">
        <f t="shared" si="3"/>
        <v>0.13173333333333423</v>
      </c>
    </row>
    <row r="42" spans="1:13" x14ac:dyDescent="0.3">
      <c r="A42">
        <v>2015</v>
      </c>
      <c r="B42">
        <v>6</v>
      </c>
      <c r="C42">
        <v>3</v>
      </c>
      <c r="D42">
        <v>0.74414906941792303</v>
      </c>
      <c r="E42">
        <v>1.5200000000000102E-2</v>
      </c>
      <c r="F42">
        <f t="shared" si="0"/>
        <v>1.1311065855152506E-2</v>
      </c>
      <c r="G42">
        <v>2012</v>
      </c>
      <c r="H42">
        <v>8</v>
      </c>
      <c r="I42" s="26">
        <v>2012.5833333334999</v>
      </c>
      <c r="J42">
        <f t="shared" si="4"/>
        <v>0.67722868262257607</v>
      </c>
      <c r="K42" s="33">
        <f t="shared" si="1"/>
        <v>0.13680000000000092</v>
      </c>
      <c r="L42" s="33">
        <f t="shared" si="2"/>
        <v>9.2644883782769027E-2</v>
      </c>
      <c r="M42" s="31">
        <f t="shared" si="3"/>
        <v>0.12666666666666751</v>
      </c>
    </row>
    <row r="43" spans="1:13" x14ac:dyDescent="0.3">
      <c r="A43">
        <v>2015</v>
      </c>
      <c r="B43">
        <v>6</v>
      </c>
      <c r="C43">
        <v>1</v>
      </c>
      <c r="D43">
        <v>0.73394074305611523</v>
      </c>
      <c r="E43">
        <v>1.5200000000000102E-2</v>
      </c>
      <c r="F43">
        <f t="shared" si="0"/>
        <v>1.1155899294453027E-2</v>
      </c>
      <c r="G43">
        <v>2012</v>
      </c>
      <c r="H43">
        <v>7</v>
      </c>
      <c r="I43" s="26">
        <v>2012.5000000001701</v>
      </c>
      <c r="J43">
        <f t="shared" si="4"/>
        <v>0.73384059231898013</v>
      </c>
      <c r="K43" s="33">
        <f t="shared" si="1"/>
        <v>0.12160000000000082</v>
      </c>
      <c r="L43" s="33">
        <f t="shared" si="2"/>
        <v>8.9235016025988587E-2</v>
      </c>
      <c r="M43" s="31">
        <f t="shared" si="3"/>
        <v>0.17226666666666782</v>
      </c>
    </row>
    <row r="44" spans="1:13" x14ac:dyDescent="0.3">
      <c r="A44">
        <v>2015</v>
      </c>
      <c r="B44">
        <v>5</v>
      </c>
      <c r="C44">
        <v>30</v>
      </c>
      <c r="D44">
        <v>0.72597541189460757</v>
      </c>
      <c r="E44">
        <v>1.5200000000000102E-2</v>
      </c>
      <c r="F44">
        <f t="shared" si="0"/>
        <v>1.103482626079811E-2</v>
      </c>
      <c r="G44">
        <v>2012</v>
      </c>
      <c r="H44">
        <v>6</v>
      </c>
      <c r="I44" s="26">
        <v>2012.41666666684</v>
      </c>
      <c r="J44">
        <f t="shared" si="4"/>
        <v>0.71304367215851339</v>
      </c>
      <c r="K44" s="33">
        <f t="shared" si="1"/>
        <v>0.25840000000000174</v>
      </c>
      <c r="L44" s="33">
        <f t="shared" si="2"/>
        <v>0.1842504848857611</v>
      </c>
      <c r="M44" s="31">
        <f t="shared" si="3"/>
        <v>0.21786666666666812</v>
      </c>
    </row>
    <row r="45" spans="1:13" x14ac:dyDescent="0.3">
      <c r="A45">
        <v>2015</v>
      </c>
      <c r="B45">
        <v>5</v>
      </c>
      <c r="C45">
        <v>28</v>
      </c>
      <c r="D45">
        <v>0.7141919949421871</v>
      </c>
      <c r="E45">
        <v>1.5200000000000102E-2</v>
      </c>
      <c r="F45">
        <f t="shared" si="0"/>
        <v>1.0855718323121316E-2</v>
      </c>
      <c r="G45">
        <v>2012</v>
      </c>
      <c r="H45">
        <v>5</v>
      </c>
      <c r="I45" s="26">
        <v>2012.3333333335099</v>
      </c>
      <c r="J45">
        <f t="shared" si="4"/>
        <v>0.70731866521760656</v>
      </c>
      <c r="K45" s="33">
        <f t="shared" si="1"/>
        <v>0.27360000000000184</v>
      </c>
      <c r="L45" s="33">
        <f t="shared" si="2"/>
        <v>0.19352238680353845</v>
      </c>
      <c r="M45" s="31">
        <f t="shared" si="3"/>
        <v>0.26346666666666846</v>
      </c>
    </row>
    <row r="46" spans="1:13" x14ac:dyDescent="0.3">
      <c r="A46">
        <v>2015</v>
      </c>
      <c r="B46">
        <v>5</v>
      </c>
      <c r="C46">
        <v>26</v>
      </c>
      <c r="D46">
        <v>0.69945900311222642</v>
      </c>
      <c r="E46">
        <v>1.5200000000000102E-2</v>
      </c>
      <c r="F46">
        <f t="shared" si="0"/>
        <v>1.0631776847305914E-2</v>
      </c>
      <c r="G46">
        <v>2012</v>
      </c>
      <c r="H46">
        <v>4</v>
      </c>
      <c r="I46" s="26">
        <v>2012.2500000001801</v>
      </c>
      <c r="J46">
        <f t="shared" si="4"/>
        <v>0.52879639999097439</v>
      </c>
      <c r="K46" s="33">
        <f t="shared" si="1"/>
        <v>0.25840000000000174</v>
      </c>
      <c r="L46" s="33">
        <f t="shared" si="2"/>
        <v>0.1366409897576687</v>
      </c>
      <c r="M46" s="31">
        <f t="shared" si="3"/>
        <v>0.26853333333333512</v>
      </c>
    </row>
    <row r="47" spans="1:13" x14ac:dyDescent="0.3">
      <c r="A47">
        <v>2015</v>
      </c>
      <c r="B47">
        <v>5</v>
      </c>
      <c r="C47">
        <v>23</v>
      </c>
      <c r="D47">
        <v>0.68209622032857176</v>
      </c>
      <c r="E47">
        <v>1.5200000000000102E-2</v>
      </c>
      <c r="F47">
        <f t="shared" si="0"/>
        <v>1.0367862548994361E-2</v>
      </c>
      <c r="G47">
        <v>2012</v>
      </c>
      <c r="H47">
        <v>3</v>
      </c>
      <c r="I47" s="26">
        <v>2012.16666666685</v>
      </c>
      <c r="J47">
        <f t="shared" si="4"/>
        <v>0.53379263548912226</v>
      </c>
      <c r="K47" s="33">
        <f t="shared" si="1"/>
        <v>0.27360000000000184</v>
      </c>
      <c r="L47" s="33">
        <f t="shared" si="2"/>
        <v>0.14604566506982483</v>
      </c>
      <c r="M47" s="31">
        <f t="shared" si="3"/>
        <v>0.19760000000000133</v>
      </c>
    </row>
    <row r="48" spans="1:13" x14ac:dyDescent="0.3">
      <c r="A48">
        <v>2015</v>
      </c>
      <c r="B48">
        <v>5</v>
      </c>
      <c r="C48">
        <v>21</v>
      </c>
      <c r="D48">
        <v>0.66552312664716629</v>
      </c>
      <c r="E48">
        <v>1.5200000000000102E-2</v>
      </c>
      <c r="F48">
        <f t="shared" si="0"/>
        <v>1.0115951525036996E-2</v>
      </c>
      <c r="G48">
        <v>2012</v>
      </c>
      <c r="H48">
        <v>2</v>
      </c>
      <c r="I48" s="26">
        <v>2012.0833333335199</v>
      </c>
      <c r="J48">
        <f t="shared" si="4"/>
        <v>0.48642984046861715</v>
      </c>
      <c r="K48" s="33">
        <f t="shared" si="1"/>
        <v>6.0800000000000409E-2</v>
      </c>
      <c r="L48" s="33">
        <f t="shared" si="2"/>
        <v>2.9574934300492121E-2</v>
      </c>
      <c r="M48" s="31">
        <f t="shared" si="3"/>
        <v>0.13173333333333423</v>
      </c>
    </row>
    <row r="49" spans="1:13" x14ac:dyDescent="0.3">
      <c r="A49">
        <v>2015</v>
      </c>
      <c r="B49">
        <v>5</v>
      </c>
      <c r="C49">
        <v>19</v>
      </c>
      <c r="D49">
        <v>0.64986211859463083</v>
      </c>
      <c r="E49">
        <v>1.5200000000000102E-2</v>
      </c>
      <c r="F49">
        <f t="shared" si="0"/>
        <v>9.8779042026384545E-3</v>
      </c>
      <c r="G49">
        <v>2012</v>
      </c>
      <c r="H49">
        <v>1</v>
      </c>
      <c r="I49" s="26">
        <v>2012.0000000001901</v>
      </c>
      <c r="J49">
        <f t="shared" si="4"/>
        <v>0.55479591031798747</v>
      </c>
      <c r="K49" s="33">
        <f t="shared" si="1"/>
        <v>6.0800000000000409E-2</v>
      </c>
      <c r="L49" s="33">
        <f t="shared" si="2"/>
        <v>3.3731591347333868E-2</v>
      </c>
      <c r="M49" s="31">
        <f t="shared" si="3"/>
        <v>6.0800000000000409E-2</v>
      </c>
    </row>
    <row r="50" spans="1:13" x14ac:dyDescent="0.3">
      <c r="A50">
        <v>2015</v>
      </c>
      <c r="B50">
        <v>5</v>
      </c>
      <c r="C50">
        <v>17</v>
      </c>
      <c r="D50">
        <v>0.63696377539435167</v>
      </c>
      <c r="E50">
        <v>1.5200000000000102E-2</v>
      </c>
      <c r="F50">
        <f t="shared" si="0"/>
        <v>9.6818493859942099E-3</v>
      </c>
      <c r="G50">
        <v>2011</v>
      </c>
      <c r="H50">
        <v>12</v>
      </c>
      <c r="I50" s="26">
        <v>2011.91666666686</v>
      </c>
      <c r="J50">
        <f t="shared" si="4"/>
        <v>0.59014968368908771</v>
      </c>
      <c r="K50" s="33">
        <f t="shared" si="1"/>
        <v>6.0800000000000409E-2</v>
      </c>
      <c r="L50" s="33">
        <f t="shared" si="2"/>
        <v>3.5881100768296773E-2</v>
      </c>
      <c r="M50" s="31">
        <f t="shared" si="3"/>
        <v>6.0800000000000409E-2</v>
      </c>
    </row>
    <row r="51" spans="1:13" x14ac:dyDescent="0.3">
      <c r="A51">
        <v>2015</v>
      </c>
      <c r="B51">
        <v>5</v>
      </c>
      <c r="C51">
        <v>15</v>
      </c>
      <c r="D51">
        <v>0.62493045316382012</v>
      </c>
      <c r="E51">
        <v>1.5200000000000102E-2</v>
      </c>
      <c r="F51">
        <f t="shared" si="0"/>
        <v>9.498942888090129E-3</v>
      </c>
      <c r="G51">
        <v>2011</v>
      </c>
      <c r="H51">
        <v>11</v>
      </c>
      <c r="I51" s="26">
        <v>2011.8333333335299</v>
      </c>
      <c r="J51">
        <f t="shared" si="4"/>
        <v>0.60620423173381632</v>
      </c>
      <c r="K51" s="33">
        <f t="shared" si="1"/>
        <v>6.0800000000000409E-2</v>
      </c>
      <c r="L51" s="33">
        <f t="shared" si="2"/>
        <v>3.685721728941628E-2</v>
      </c>
      <c r="M51" s="31">
        <f t="shared" si="3"/>
        <v>6.0800000000000409E-2</v>
      </c>
    </row>
    <row r="52" spans="1:13" x14ac:dyDescent="0.3">
      <c r="A52">
        <v>2015</v>
      </c>
      <c r="B52">
        <v>5</v>
      </c>
      <c r="C52">
        <v>13</v>
      </c>
      <c r="D52">
        <v>0.61599521774832044</v>
      </c>
      <c r="E52">
        <v>1.5200000000000102E-2</v>
      </c>
      <c r="F52">
        <f t="shared" si="0"/>
        <v>9.363127309774533E-3</v>
      </c>
      <c r="G52">
        <v>2011</v>
      </c>
      <c r="H52">
        <v>10</v>
      </c>
      <c r="I52" s="26">
        <v>2011.7500000002001</v>
      </c>
      <c r="J52">
        <f t="shared" si="4"/>
        <v>0.53856607411208568</v>
      </c>
      <c r="K52" s="33">
        <f t="shared" si="1"/>
        <v>6.0800000000000409E-2</v>
      </c>
      <c r="L52" s="33">
        <f t="shared" si="2"/>
        <v>3.2744817306015028E-2</v>
      </c>
      <c r="M52" s="31">
        <f t="shared" si="3"/>
        <v>5.5733333333333711E-2</v>
      </c>
    </row>
    <row r="53" spans="1:13" x14ac:dyDescent="0.3">
      <c r="A53">
        <v>2015</v>
      </c>
      <c r="B53">
        <v>5</v>
      </c>
      <c r="C53">
        <v>10</v>
      </c>
      <c r="D53">
        <v>0.60643809899684376</v>
      </c>
      <c r="E53">
        <v>1.5200000000000102E-2</v>
      </c>
      <c r="F53">
        <f t="shared" si="0"/>
        <v>9.2178591047520873E-3</v>
      </c>
      <c r="G53">
        <v>2011</v>
      </c>
      <c r="H53">
        <v>9</v>
      </c>
      <c r="I53" s="26">
        <v>2011.66666666687</v>
      </c>
      <c r="J53">
        <f t="shared" si="4"/>
        <v>0.49525387654104819</v>
      </c>
      <c r="K53" s="33">
        <f t="shared" si="1"/>
        <v>4.5600000000000307E-2</v>
      </c>
      <c r="L53" s="33">
        <f t="shared" si="2"/>
        <v>2.2583576770271948E-2</v>
      </c>
      <c r="M53" s="31">
        <f t="shared" si="3"/>
        <v>5.5733333333333711E-2</v>
      </c>
    </row>
    <row r="54" spans="1:13" x14ac:dyDescent="0.3">
      <c r="A54">
        <v>2015</v>
      </c>
      <c r="B54">
        <v>5</v>
      </c>
      <c r="C54">
        <v>8</v>
      </c>
      <c r="D54">
        <v>0.59757740221877398</v>
      </c>
      <c r="E54">
        <v>1.5200000000000102E-2</v>
      </c>
      <c r="F54">
        <f t="shared" si="0"/>
        <v>9.0831765137254251E-3</v>
      </c>
      <c r="G54">
        <v>2011</v>
      </c>
      <c r="H54">
        <v>8</v>
      </c>
      <c r="I54" s="26">
        <v>2011.5833333335399</v>
      </c>
      <c r="J54">
        <f t="shared" si="4"/>
        <v>0.50207241659054103</v>
      </c>
      <c r="K54" s="33">
        <f t="shared" si="1"/>
        <v>6.0800000000000409E-2</v>
      </c>
      <c r="L54" s="33">
        <f t="shared" si="2"/>
        <v>3.0526002928705099E-2</v>
      </c>
      <c r="M54" s="31">
        <f t="shared" si="3"/>
        <v>5.5733333333333711E-2</v>
      </c>
    </row>
    <row r="55" spans="1:13" x14ac:dyDescent="0.3">
      <c r="A55">
        <v>2015</v>
      </c>
      <c r="B55">
        <v>5</v>
      </c>
      <c r="C55">
        <v>6</v>
      </c>
      <c r="D55">
        <v>0.58979740679257109</v>
      </c>
      <c r="E55">
        <v>1.5200000000000102E-2</v>
      </c>
      <c r="F55">
        <f t="shared" si="0"/>
        <v>8.964920583247141E-3</v>
      </c>
      <c r="G55">
        <v>2011</v>
      </c>
      <c r="H55">
        <v>7</v>
      </c>
      <c r="I55" s="26">
        <v>2011.5000000002101</v>
      </c>
      <c r="J55">
        <f t="shared" si="4"/>
        <v>0.53707086660010961</v>
      </c>
      <c r="K55" s="33">
        <f t="shared" si="1"/>
        <v>6.0800000000000409E-2</v>
      </c>
      <c r="L55" s="33">
        <f t="shared" si="2"/>
        <v>3.2653908689286887E-2</v>
      </c>
      <c r="M55" s="31">
        <f t="shared" si="3"/>
        <v>0.11146666666666742</v>
      </c>
    </row>
    <row r="56" spans="1:13" x14ac:dyDescent="0.3">
      <c r="A56">
        <v>2015</v>
      </c>
      <c r="B56">
        <v>5</v>
      </c>
      <c r="C56">
        <v>4</v>
      </c>
      <c r="D56">
        <v>0.58152615531078089</v>
      </c>
      <c r="E56">
        <v>1.5200000000000102E-2</v>
      </c>
      <c r="F56">
        <f t="shared" si="0"/>
        <v>8.8391975607239291E-3</v>
      </c>
      <c r="G56">
        <v>2011</v>
      </c>
      <c r="H56">
        <v>6</v>
      </c>
      <c r="I56" s="26">
        <v>2011.41666666688</v>
      </c>
      <c r="J56">
        <f t="shared" si="4"/>
        <v>0.51944515453443107</v>
      </c>
      <c r="K56" s="33">
        <f t="shared" si="1"/>
        <v>0.21280000000000143</v>
      </c>
      <c r="L56" s="33">
        <f t="shared" si="2"/>
        <v>0.11053792888492768</v>
      </c>
      <c r="M56" s="31">
        <f t="shared" si="3"/>
        <v>0.16720000000000113</v>
      </c>
    </row>
    <row r="57" spans="1:13" x14ac:dyDescent="0.3">
      <c r="A57">
        <v>2015</v>
      </c>
      <c r="B57">
        <v>5</v>
      </c>
      <c r="C57">
        <v>2</v>
      </c>
      <c r="D57">
        <v>0.57199196604799674</v>
      </c>
      <c r="E57">
        <v>1.5200000000000102E-2</v>
      </c>
      <c r="F57">
        <f t="shared" si="0"/>
        <v>8.6942778839296086E-3</v>
      </c>
      <c r="G57">
        <v>2011</v>
      </c>
      <c r="H57">
        <v>5</v>
      </c>
      <c r="I57" s="26">
        <v>2011.3333333335499</v>
      </c>
      <c r="J57">
        <f t="shared" si="4"/>
        <v>0.50889832295685145</v>
      </c>
      <c r="K57" s="33">
        <f t="shared" si="1"/>
        <v>0.22800000000000153</v>
      </c>
      <c r="L57" s="33">
        <f t="shared" si="2"/>
        <v>0.11602881763416291</v>
      </c>
      <c r="M57" s="31">
        <f t="shared" si="3"/>
        <v>0.21786666666666812</v>
      </c>
    </row>
    <row r="58" spans="1:13" x14ac:dyDescent="0.3">
      <c r="A58">
        <v>2015</v>
      </c>
      <c r="B58">
        <v>4</v>
      </c>
      <c r="C58">
        <v>30</v>
      </c>
      <c r="D58">
        <v>0.56508196378518283</v>
      </c>
      <c r="E58">
        <v>1.5200000000000102E-2</v>
      </c>
      <c r="F58">
        <f t="shared" si="0"/>
        <v>8.5892458495348371E-3</v>
      </c>
      <c r="G58">
        <v>2011</v>
      </c>
      <c r="H58">
        <v>4</v>
      </c>
      <c r="I58" s="26">
        <v>2011.2500000002201</v>
      </c>
      <c r="J58">
        <f t="shared" si="4"/>
        <v>0.49902855914937672</v>
      </c>
      <c r="K58" s="33">
        <f t="shared" si="1"/>
        <v>0.21280000000000143</v>
      </c>
      <c r="L58" s="33">
        <f t="shared" si="2"/>
        <v>0.10619327738698808</v>
      </c>
      <c r="M58" s="31">
        <f t="shared" si="3"/>
        <v>0.21786666666666812</v>
      </c>
    </row>
    <row r="59" spans="1:13" x14ac:dyDescent="0.3">
      <c r="A59">
        <v>2015</v>
      </c>
      <c r="B59">
        <v>4</v>
      </c>
      <c r="C59">
        <v>27</v>
      </c>
      <c r="D59">
        <v>0.56025582224411752</v>
      </c>
      <c r="E59">
        <v>1.5200000000000102E-2</v>
      </c>
      <c r="F59">
        <f t="shared" si="0"/>
        <v>8.515888498110644E-3</v>
      </c>
      <c r="G59">
        <v>2011</v>
      </c>
      <c r="H59">
        <v>3</v>
      </c>
      <c r="I59" s="26">
        <v>2011.16666666689</v>
      </c>
      <c r="J59">
        <f t="shared" si="4"/>
        <v>0.42775805909259301</v>
      </c>
      <c r="K59" s="33">
        <f t="shared" si="1"/>
        <v>0.21280000000000143</v>
      </c>
      <c r="L59" s="33">
        <f t="shared" si="2"/>
        <v>9.1026914974904408E-2</v>
      </c>
      <c r="M59" s="31">
        <f t="shared" si="3"/>
        <v>0.16720000000000113</v>
      </c>
    </row>
    <row r="60" spans="1:13" x14ac:dyDescent="0.3">
      <c r="A60">
        <v>2015</v>
      </c>
      <c r="B60">
        <v>4</v>
      </c>
      <c r="C60">
        <v>25</v>
      </c>
      <c r="D60">
        <v>0.55878538992227555</v>
      </c>
      <c r="E60">
        <v>1.5200000000000102E-2</v>
      </c>
      <c r="F60">
        <f t="shared" si="0"/>
        <v>8.4935379268186451E-3</v>
      </c>
      <c r="G60">
        <v>2011</v>
      </c>
      <c r="H60">
        <v>2</v>
      </c>
      <c r="I60" s="26">
        <v>2011.0833333335499</v>
      </c>
      <c r="J60">
        <f t="shared" si="4"/>
        <v>0.40692755581132456</v>
      </c>
      <c r="K60" s="33">
        <f t="shared" si="1"/>
        <v>7.6000000000000512E-2</v>
      </c>
      <c r="L60" s="33">
        <f t="shared" si="2"/>
        <v>3.0926494241660874E-2</v>
      </c>
      <c r="M60" s="31">
        <f t="shared" si="3"/>
        <v>0.12666666666666751</v>
      </c>
    </row>
    <row r="61" spans="1:13" x14ac:dyDescent="0.3">
      <c r="A61">
        <v>2015</v>
      </c>
      <c r="B61">
        <v>4</v>
      </c>
      <c r="C61">
        <v>23</v>
      </c>
      <c r="D61">
        <v>0.56182092949605822</v>
      </c>
      <c r="E61">
        <v>1.5200000000000102E-2</v>
      </c>
      <c r="F61">
        <f t="shared" si="0"/>
        <v>8.5396781283401425E-3</v>
      </c>
      <c r="G61">
        <v>2011</v>
      </c>
      <c r="H61">
        <v>1</v>
      </c>
      <c r="I61" s="26">
        <v>2011.0000000002201</v>
      </c>
      <c r="J61">
        <f t="shared" si="4"/>
        <v>0.48279826423516026</v>
      </c>
      <c r="K61" s="33">
        <f t="shared" si="1"/>
        <v>9.1200000000000614E-2</v>
      </c>
      <c r="L61" s="33">
        <f t="shared" si="2"/>
        <v>4.4031201698246911E-2</v>
      </c>
      <c r="M61" s="31">
        <f t="shared" si="3"/>
        <v>8.1066666666667217E-2</v>
      </c>
    </row>
    <row r="62" spans="1:13" x14ac:dyDescent="0.3">
      <c r="A62">
        <v>2015</v>
      </c>
      <c r="B62">
        <v>4</v>
      </c>
      <c r="C62">
        <v>21</v>
      </c>
      <c r="D62">
        <v>0.56601971400825124</v>
      </c>
      <c r="E62">
        <v>1.5200000000000102E-2</v>
      </c>
      <c r="F62">
        <f t="shared" si="0"/>
        <v>8.6034996529254764E-3</v>
      </c>
      <c r="G62">
        <v>2010</v>
      </c>
      <c r="H62">
        <v>12</v>
      </c>
      <c r="I62" s="26">
        <v>2010.91666666689</v>
      </c>
      <c r="J62">
        <f t="shared" si="4"/>
        <v>0.56916215117822144</v>
      </c>
      <c r="K62" s="33">
        <f t="shared" si="1"/>
        <v>7.6000000000000512E-2</v>
      </c>
      <c r="L62" s="33">
        <f t="shared" si="2"/>
        <v>4.3256323489545119E-2</v>
      </c>
      <c r="M62" s="31">
        <f t="shared" si="3"/>
        <v>8.1066666666667217E-2</v>
      </c>
    </row>
    <row r="63" spans="1:13" x14ac:dyDescent="0.3">
      <c r="A63">
        <v>2015</v>
      </c>
      <c r="B63">
        <v>4</v>
      </c>
      <c r="C63">
        <v>19</v>
      </c>
      <c r="D63">
        <v>0.56970740903471129</v>
      </c>
      <c r="E63">
        <v>1.5200000000000102E-2</v>
      </c>
      <c r="F63">
        <f t="shared" si="0"/>
        <v>8.6595526173276691E-3</v>
      </c>
      <c r="G63">
        <v>2010</v>
      </c>
      <c r="H63">
        <v>11</v>
      </c>
      <c r="I63" s="26">
        <v>2010.8333333335599</v>
      </c>
      <c r="J63">
        <f t="shared" si="4"/>
        <v>0.58827629671921355</v>
      </c>
      <c r="K63" s="33">
        <f t="shared" si="1"/>
        <v>7.6000000000000512E-2</v>
      </c>
      <c r="L63" s="33">
        <f t="shared" si="2"/>
        <v>4.4708998550660531E-2</v>
      </c>
      <c r="M63" s="31">
        <f t="shared" si="3"/>
        <v>7.6000000000000512E-2</v>
      </c>
    </row>
    <row r="64" spans="1:13" x14ac:dyDescent="0.3">
      <c r="A64">
        <v>2015</v>
      </c>
      <c r="B64">
        <v>4</v>
      </c>
      <c r="C64">
        <v>16</v>
      </c>
      <c r="D64">
        <v>0.57081302976514237</v>
      </c>
      <c r="E64">
        <v>1.5200000000000102E-2</v>
      </c>
      <c r="F64">
        <f t="shared" si="0"/>
        <v>8.676358052430222E-3</v>
      </c>
      <c r="G64">
        <v>2010</v>
      </c>
      <c r="H64">
        <v>10</v>
      </c>
      <c r="I64" s="26">
        <v>2010.7500000002301</v>
      </c>
      <c r="J64">
        <f t="shared" si="4"/>
        <v>0.64326349711321906</v>
      </c>
      <c r="K64" s="33">
        <f t="shared" si="1"/>
        <v>7.6000000000000512E-2</v>
      </c>
      <c r="L64" s="33">
        <f t="shared" si="2"/>
        <v>4.8888025780604978E-2</v>
      </c>
      <c r="M64" s="31">
        <f t="shared" si="3"/>
        <v>8.1066666666667217E-2</v>
      </c>
    </row>
    <row r="65" spans="1:13" x14ac:dyDescent="0.3">
      <c r="A65">
        <v>2015</v>
      </c>
      <c r="B65">
        <v>4</v>
      </c>
      <c r="C65">
        <v>14</v>
      </c>
      <c r="D65">
        <v>0.5701100192980576</v>
      </c>
      <c r="E65">
        <v>1.5200000000000102E-2</v>
      </c>
      <c r="F65">
        <f t="shared" si="0"/>
        <v>8.6656722933305345E-3</v>
      </c>
      <c r="G65">
        <v>2010</v>
      </c>
      <c r="H65">
        <v>9</v>
      </c>
      <c r="I65" s="26">
        <v>2010.6666666669</v>
      </c>
      <c r="J65">
        <f t="shared" si="4"/>
        <v>0.65355049475194305</v>
      </c>
      <c r="K65" s="33">
        <f t="shared" si="1"/>
        <v>9.1200000000000614E-2</v>
      </c>
      <c r="L65" s="33">
        <f t="shared" si="2"/>
        <v>5.9603805121377605E-2</v>
      </c>
      <c r="M65" s="31">
        <f t="shared" si="3"/>
        <v>8.1066666666667217E-2</v>
      </c>
    </row>
    <row r="66" spans="1:13" x14ac:dyDescent="0.3">
      <c r="A66">
        <v>2015</v>
      </c>
      <c r="B66">
        <v>4</v>
      </c>
      <c r="C66">
        <v>12</v>
      </c>
      <c r="D66">
        <v>0.56811684506735238</v>
      </c>
      <c r="E66">
        <v>1.5200000000000102E-2</v>
      </c>
      <c r="F66">
        <f t="shared" si="0"/>
        <v>8.6353760450238147E-3</v>
      </c>
      <c r="G66">
        <v>2010</v>
      </c>
      <c r="H66">
        <v>8</v>
      </c>
      <c r="I66" s="26">
        <v>2010.58333333357</v>
      </c>
      <c r="J66">
        <f t="shared" si="4"/>
        <v>0.62764429179573278</v>
      </c>
      <c r="K66" s="33">
        <f t="shared" si="1"/>
        <v>7.6000000000000512E-2</v>
      </c>
      <c r="L66" s="33">
        <f t="shared" si="2"/>
        <v>4.7700966176476012E-2</v>
      </c>
      <c r="M66" s="31">
        <f t="shared" si="3"/>
        <v>8.1066666666667217E-2</v>
      </c>
    </row>
    <row r="67" spans="1:13" x14ac:dyDescent="0.3">
      <c r="A67">
        <v>2015</v>
      </c>
      <c r="B67">
        <v>4</v>
      </c>
      <c r="C67">
        <v>10</v>
      </c>
      <c r="D67">
        <v>0.56831833356362615</v>
      </c>
      <c r="E67">
        <v>1.5200000000000102E-2</v>
      </c>
      <c r="F67">
        <f t="shared" ref="F67:F130" si="5">D67*E67</f>
        <v>8.6384386701671752E-3</v>
      </c>
      <c r="G67">
        <v>2010</v>
      </c>
      <c r="H67">
        <v>7</v>
      </c>
      <c r="I67" s="26">
        <v>2010.5000000002401</v>
      </c>
      <c r="J67">
        <f t="shared" ref="J67:J130" si="6">AVERAGEIFS(D$2:D$3010,A$2:A$3010,G67,B$2:B$3010,H67)</f>
        <v>0.66862172892165295</v>
      </c>
      <c r="K67" s="33">
        <f t="shared" ref="K67:K130" si="7">SUMIFS(E$2:E$3010,A$2:A$3010,G67,B$2:B$3010,H67)</f>
        <v>7.6000000000000512E-2</v>
      </c>
      <c r="L67" s="33">
        <f t="shared" ref="L67:L130" si="8">J67*K67</f>
        <v>5.0815251398045963E-2</v>
      </c>
      <c r="M67" s="31">
        <f t="shared" si="3"/>
        <v>0.12666666666666751</v>
      </c>
    </row>
    <row r="68" spans="1:13" x14ac:dyDescent="0.3">
      <c r="A68">
        <v>2015</v>
      </c>
      <c r="B68">
        <v>4</v>
      </c>
      <c r="C68">
        <v>8</v>
      </c>
      <c r="D68">
        <v>0.57084232003028412</v>
      </c>
      <c r="E68">
        <v>1.5200000000000102E-2</v>
      </c>
      <c r="F68">
        <f t="shared" si="5"/>
        <v>8.6768032644603775E-3</v>
      </c>
      <c r="G68">
        <v>2010</v>
      </c>
      <c r="H68">
        <v>6</v>
      </c>
      <c r="I68" s="26">
        <v>2010.41666666691</v>
      </c>
      <c r="J68">
        <f t="shared" si="6"/>
        <v>0.67694660532475326</v>
      </c>
      <c r="K68" s="33">
        <f t="shared" si="7"/>
        <v>0.22800000000000153</v>
      </c>
      <c r="L68" s="33">
        <f t="shared" si="8"/>
        <v>0.15434382601404478</v>
      </c>
      <c r="M68" s="31">
        <f t="shared" ref="M68:M131" si="9">AVERAGE(K67:K69)</f>
        <v>0.18240000000000123</v>
      </c>
    </row>
    <row r="69" spans="1:13" x14ac:dyDescent="0.3">
      <c r="A69">
        <v>2015</v>
      </c>
      <c r="B69">
        <v>4</v>
      </c>
      <c r="C69">
        <v>6</v>
      </c>
      <c r="D69">
        <v>0.57672956167984468</v>
      </c>
      <c r="E69">
        <v>1.5200000000000102E-2</v>
      </c>
      <c r="F69">
        <f t="shared" si="5"/>
        <v>8.7662893375336989E-3</v>
      </c>
      <c r="G69">
        <v>2010</v>
      </c>
      <c r="H69">
        <v>5</v>
      </c>
      <c r="I69" s="26">
        <v>2010.33333333358</v>
      </c>
      <c r="J69">
        <f t="shared" si="6"/>
        <v>0.65965330656310073</v>
      </c>
      <c r="K69" s="33">
        <f t="shared" si="7"/>
        <v>0.24320000000000164</v>
      </c>
      <c r="L69" s="33">
        <f t="shared" si="8"/>
        <v>0.16042768415614717</v>
      </c>
      <c r="M69" s="31">
        <f t="shared" si="9"/>
        <v>0.23306666666666823</v>
      </c>
    </row>
    <row r="70" spans="1:13" x14ac:dyDescent="0.3">
      <c r="A70">
        <v>2015</v>
      </c>
      <c r="B70">
        <v>4</v>
      </c>
      <c r="C70">
        <v>3</v>
      </c>
      <c r="D70">
        <v>0.58107279933611788</v>
      </c>
      <c r="E70">
        <v>1.5200000000000102E-2</v>
      </c>
      <c r="F70">
        <f t="shared" si="5"/>
        <v>8.8323065499090522E-3</v>
      </c>
      <c r="G70">
        <v>2010</v>
      </c>
      <c r="H70">
        <v>4</v>
      </c>
      <c r="I70" s="26">
        <v>2010.2500000002501</v>
      </c>
      <c r="J70">
        <f t="shared" si="6"/>
        <v>0.67883578249323606</v>
      </c>
      <c r="K70" s="33">
        <f t="shared" si="7"/>
        <v>0.22800000000000153</v>
      </c>
      <c r="L70" s="33">
        <f t="shared" si="8"/>
        <v>0.15477455840845886</v>
      </c>
      <c r="M70" s="31">
        <f t="shared" si="9"/>
        <v>0.23813333333333495</v>
      </c>
    </row>
    <row r="71" spans="1:13" x14ac:dyDescent="0.3">
      <c r="A71">
        <v>2015</v>
      </c>
      <c r="B71">
        <v>4</v>
      </c>
      <c r="C71">
        <v>1</v>
      </c>
      <c r="D71">
        <v>0.58179027113712034</v>
      </c>
      <c r="E71">
        <v>1.5200000000000102E-2</v>
      </c>
      <c r="F71">
        <f t="shared" si="5"/>
        <v>8.8432121212842895E-3</v>
      </c>
      <c r="G71">
        <v>2010</v>
      </c>
      <c r="H71">
        <v>3</v>
      </c>
      <c r="I71" s="26">
        <v>2010.16666666692</v>
      </c>
      <c r="J71">
        <f t="shared" si="6"/>
        <v>0.56189668942943105</v>
      </c>
      <c r="K71" s="33">
        <f t="shared" si="7"/>
        <v>0.24320000000000164</v>
      </c>
      <c r="L71" s="33">
        <f t="shared" si="8"/>
        <v>0.13665327486923856</v>
      </c>
      <c r="M71" s="31">
        <f t="shared" si="9"/>
        <v>0.17226666666666782</v>
      </c>
    </row>
    <row r="72" spans="1:13" x14ac:dyDescent="0.3">
      <c r="A72">
        <v>2015</v>
      </c>
      <c r="B72">
        <v>3</v>
      </c>
      <c r="C72">
        <v>30</v>
      </c>
      <c r="D72">
        <v>0.57784625014824009</v>
      </c>
      <c r="E72">
        <v>1.5200000000000102E-2</v>
      </c>
      <c r="F72">
        <f t="shared" si="5"/>
        <v>8.7832630022533081E-3</v>
      </c>
      <c r="G72">
        <v>2010</v>
      </c>
      <c r="H72">
        <v>2</v>
      </c>
      <c r="I72" s="26">
        <v>2010.08333333359</v>
      </c>
      <c r="J72">
        <f t="shared" si="6"/>
        <v>0.52332246393198911</v>
      </c>
      <c r="K72" s="33">
        <f t="shared" si="7"/>
        <v>4.5600000000000307E-2</v>
      </c>
      <c r="L72" s="33">
        <f t="shared" si="8"/>
        <v>2.3863504355298864E-2</v>
      </c>
      <c r="M72" s="31">
        <f t="shared" si="9"/>
        <v>0.11146666666666742</v>
      </c>
    </row>
    <row r="73" spans="1:13" x14ac:dyDescent="0.3">
      <c r="A73">
        <v>2015</v>
      </c>
      <c r="B73">
        <v>3</v>
      </c>
      <c r="C73">
        <v>28</v>
      </c>
      <c r="D73">
        <v>0.57094322007369358</v>
      </c>
      <c r="E73">
        <v>1.5200000000000102E-2</v>
      </c>
      <c r="F73">
        <f t="shared" si="5"/>
        <v>8.6783369451202009E-3</v>
      </c>
      <c r="G73">
        <v>2010</v>
      </c>
      <c r="H73">
        <v>1</v>
      </c>
      <c r="I73" s="26">
        <v>2010.0000000002599</v>
      </c>
      <c r="J73">
        <f t="shared" si="6"/>
        <v>0.56215974367049926</v>
      </c>
      <c r="K73" s="33">
        <f t="shared" si="7"/>
        <v>4.5600000000000307E-2</v>
      </c>
      <c r="L73" s="33">
        <f t="shared" si="8"/>
        <v>2.5634484311374939E-2</v>
      </c>
      <c r="M73" s="31">
        <f t="shared" si="9"/>
        <v>4.5600000000000307E-2</v>
      </c>
    </row>
    <row r="74" spans="1:13" x14ac:dyDescent="0.3">
      <c r="A74">
        <v>2015</v>
      </c>
      <c r="B74">
        <v>3</v>
      </c>
      <c r="C74">
        <v>26</v>
      </c>
      <c r="D74">
        <v>0.56213692530082104</v>
      </c>
      <c r="E74">
        <v>1.5200000000000102E-2</v>
      </c>
      <c r="F74">
        <f t="shared" si="5"/>
        <v>8.5444812645725371E-3</v>
      </c>
      <c r="G74">
        <v>2009</v>
      </c>
      <c r="H74">
        <v>12</v>
      </c>
      <c r="I74" s="26">
        <v>2009.91666666693</v>
      </c>
      <c r="J74">
        <f t="shared" si="6"/>
        <v>0.60968379878338264</v>
      </c>
      <c r="K74" s="33">
        <f t="shared" si="7"/>
        <v>4.5600000000000307E-2</v>
      </c>
      <c r="L74" s="33">
        <f t="shared" si="8"/>
        <v>2.7801581224522434E-2</v>
      </c>
      <c r="M74" s="31">
        <f t="shared" si="9"/>
        <v>4.5600000000000307E-2</v>
      </c>
    </row>
    <row r="75" spans="1:13" x14ac:dyDescent="0.3">
      <c r="A75">
        <v>2015</v>
      </c>
      <c r="B75">
        <v>3</v>
      </c>
      <c r="C75">
        <v>23</v>
      </c>
      <c r="D75">
        <v>0.55592792086647969</v>
      </c>
      <c r="E75">
        <v>1.5200000000000102E-2</v>
      </c>
      <c r="F75">
        <f t="shared" si="5"/>
        <v>8.4501043971705481E-3</v>
      </c>
      <c r="G75">
        <v>2009</v>
      </c>
      <c r="H75">
        <v>11</v>
      </c>
      <c r="I75" s="26">
        <v>2009.8333333336</v>
      </c>
      <c r="J75">
        <f t="shared" si="6"/>
        <v>0.64780869513207673</v>
      </c>
      <c r="K75" s="33">
        <f t="shared" si="7"/>
        <v>4.5600000000000307E-2</v>
      </c>
      <c r="L75" s="33">
        <f t="shared" si="8"/>
        <v>2.9540076498022899E-2</v>
      </c>
      <c r="M75" s="31">
        <f t="shared" si="9"/>
        <v>4.5600000000000307E-2</v>
      </c>
    </row>
    <row r="76" spans="1:13" x14ac:dyDescent="0.3">
      <c r="A76">
        <v>2015</v>
      </c>
      <c r="B76">
        <v>3</v>
      </c>
      <c r="C76">
        <v>21</v>
      </c>
      <c r="D76">
        <v>0.55293287324877571</v>
      </c>
      <c r="E76">
        <v>1.5200000000000102E-2</v>
      </c>
      <c r="F76">
        <f t="shared" si="5"/>
        <v>8.4045796733814467E-3</v>
      </c>
      <c r="G76">
        <v>2009</v>
      </c>
      <c r="H76">
        <v>10</v>
      </c>
      <c r="I76" s="26">
        <v>2009.7500000002699</v>
      </c>
      <c r="J76">
        <f t="shared" si="6"/>
        <v>0.6569498793657359</v>
      </c>
      <c r="K76" s="33">
        <f t="shared" si="7"/>
        <v>4.5600000000000307E-2</v>
      </c>
      <c r="L76" s="33">
        <f t="shared" si="8"/>
        <v>2.9956914499077759E-2</v>
      </c>
      <c r="M76" s="31">
        <f t="shared" si="9"/>
        <v>4.5600000000000307E-2</v>
      </c>
    </row>
    <row r="77" spans="1:13" x14ac:dyDescent="0.3">
      <c r="A77">
        <v>2015</v>
      </c>
      <c r="B77">
        <v>3</v>
      </c>
      <c r="C77">
        <v>19</v>
      </c>
      <c r="D77">
        <v>0.54943260337700783</v>
      </c>
      <c r="E77">
        <v>1.5200000000000102E-2</v>
      </c>
      <c r="F77">
        <f t="shared" si="5"/>
        <v>8.351375571330576E-3</v>
      </c>
      <c r="G77">
        <v>2009</v>
      </c>
      <c r="H77">
        <v>9</v>
      </c>
      <c r="I77" s="26">
        <v>2009.66666666694</v>
      </c>
      <c r="J77">
        <f t="shared" si="6"/>
        <v>0.65437744764834049</v>
      </c>
      <c r="K77" s="33">
        <f t="shared" si="7"/>
        <v>4.5600000000000307E-2</v>
      </c>
      <c r="L77" s="33">
        <f t="shared" si="8"/>
        <v>2.9839611612764529E-2</v>
      </c>
      <c r="M77" s="31">
        <f t="shared" si="9"/>
        <v>4.5600000000000307E-2</v>
      </c>
    </row>
    <row r="78" spans="1:13" x14ac:dyDescent="0.3">
      <c r="A78">
        <v>2015</v>
      </c>
      <c r="B78">
        <v>3</v>
      </c>
      <c r="C78">
        <v>17</v>
      </c>
      <c r="D78">
        <v>0.5442842043101157</v>
      </c>
      <c r="E78">
        <v>1.5200000000000102E-2</v>
      </c>
      <c r="F78">
        <f t="shared" si="5"/>
        <v>8.2731199055138139E-3</v>
      </c>
      <c r="G78">
        <v>2009</v>
      </c>
      <c r="H78">
        <v>8</v>
      </c>
      <c r="I78" s="26">
        <v>2009.58333333361</v>
      </c>
      <c r="J78">
        <f t="shared" si="6"/>
        <v>0.66115375988050407</v>
      </c>
      <c r="K78" s="33">
        <f t="shared" si="7"/>
        <v>4.5600000000000307E-2</v>
      </c>
      <c r="L78" s="33">
        <f t="shared" si="8"/>
        <v>3.0148611450551189E-2</v>
      </c>
      <c r="M78" s="31">
        <f t="shared" si="9"/>
        <v>4.5600000000000307E-2</v>
      </c>
    </row>
    <row r="79" spans="1:13" x14ac:dyDescent="0.3">
      <c r="A79">
        <v>2015</v>
      </c>
      <c r="B79">
        <v>3</v>
      </c>
      <c r="C79">
        <v>15</v>
      </c>
      <c r="D79">
        <v>0.53534496173524548</v>
      </c>
      <c r="E79">
        <v>1.5200000000000102E-2</v>
      </c>
      <c r="F79">
        <f t="shared" si="5"/>
        <v>8.137243418375786E-3</v>
      </c>
      <c r="G79">
        <v>2009</v>
      </c>
      <c r="H79">
        <v>7</v>
      </c>
      <c r="I79" s="26">
        <v>2009.5000000002799</v>
      </c>
      <c r="J79">
        <f t="shared" si="6"/>
        <v>0.67073545508832089</v>
      </c>
      <c r="K79" s="33">
        <f t="shared" si="7"/>
        <v>4.5600000000000307E-2</v>
      </c>
      <c r="L79" s="33">
        <f t="shared" si="8"/>
        <v>3.0585536752027638E-2</v>
      </c>
      <c r="M79" s="31">
        <f t="shared" si="9"/>
        <v>9.1200000000000614E-2</v>
      </c>
    </row>
    <row r="80" spans="1:13" x14ac:dyDescent="0.3">
      <c r="A80">
        <v>2015</v>
      </c>
      <c r="B80">
        <v>3</v>
      </c>
      <c r="C80">
        <v>13</v>
      </c>
      <c r="D80">
        <v>0.52190866900459398</v>
      </c>
      <c r="E80">
        <v>1.5200000000000102E-2</v>
      </c>
      <c r="F80">
        <f t="shared" si="5"/>
        <v>7.9330117688698812E-3</v>
      </c>
      <c r="G80">
        <v>2009</v>
      </c>
      <c r="H80">
        <v>6</v>
      </c>
      <c r="I80" s="26">
        <v>2009.4166666669501</v>
      </c>
      <c r="J80">
        <f t="shared" si="6"/>
        <v>0.62641005686480333</v>
      </c>
      <c r="K80" s="33">
        <f t="shared" si="7"/>
        <v>0.18240000000000123</v>
      </c>
      <c r="L80" s="33">
        <f t="shared" si="8"/>
        <v>0.11425719437214089</v>
      </c>
      <c r="M80" s="31">
        <f t="shared" si="9"/>
        <v>0.13680000000000092</v>
      </c>
    </row>
    <row r="81" spans="1:13" x14ac:dyDescent="0.3">
      <c r="A81">
        <v>2015</v>
      </c>
      <c r="B81">
        <v>3</v>
      </c>
      <c r="C81">
        <v>10</v>
      </c>
      <c r="D81">
        <v>0.50506334431787336</v>
      </c>
      <c r="E81">
        <v>1.5200000000000102E-2</v>
      </c>
      <c r="F81">
        <f t="shared" si="5"/>
        <v>7.6769628336317269E-3</v>
      </c>
      <c r="G81">
        <v>2009</v>
      </c>
      <c r="H81">
        <v>5</v>
      </c>
      <c r="I81" s="26">
        <v>2009.33333333362</v>
      </c>
      <c r="J81">
        <f t="shared" si="6"/>
        <v>0.53817536223733919</v>
      </c>
      <c r="K81" s="33">
        <f t="shared" si="7"/>
        <v>0.18240000000000123</v>
      </c>
      <c r="L81" s="33">
        <f t="shared" si="8"/>
        <v>9.8163186072091332E-2</v>
      </c>
      <c r="M81" s="31">
        <f t="shared" si="9"/>
        <v>0.17733333333333454</v>
      </c>
    </row>
    <row r="82" spans="1:13" x14ac:dyDescent="0.3">
      <c r="A82">
        <v>2015</v>
      </c>
      <c r="B82">
        <v>3</v>
      </c>
      <c r="C82">
        <v>8</v>
      </c>
      <c r="D82">
        <v>0.48947772109162951</v>
      </c>
      <c r="E82">
        <v>1.5200000000000102E-2</v>
      </c>
      <c r="F82">
        <f t="shared" si="5"/>
        <v>7.440061360592819E-3</v>
      </c>
      <c r="G82">
        <v>2009</v>
      </c>
      <c r="H82">
        <v>4</v>
      </c>
      <c r="I82" s="26">
        <v>2009.2500000002899</v>
      </c>
      <c r="J82">
        <f t="shared" si="6"/>
        <v>0.56368505159483107</v>
      </c>
      <c r="K82" s="33">
        <f t="shared" si="7"/>
        <v>0.16720000000000113</v>
      </c>
      <c r="L82" s="33">
        <f t="shared" si="8"/>
        <v>9.4248140626656388E-2</v>
      </c>
      <c r="M82" s="31">
        <f t="shared" si="9"/>
        <v>0.17733333333333454</v>
      </c>
    </row>
    <row r="83" spans="1:13" x14ac:dyDescent="0.3">
      <c r="A83">
        <v>2015</v>
      </c>
      <c r="B83">
        <v>3</v>
      </c>
      <c r="C83">
        <v>6</v>
      </c>
      <c r="D83">
        <v>0.4754955564436909</v>
      </c>
      <c r="E83">
        <v>1.5200000000000102E-2</v>
      </c>
      <c r="F83">
        <f t="shared" si="5"/>
        <v>7.2275324579441505E-3</v>
      </c>
      <c r="G83">
        <v>2009</v>
      </c>
      <c r="H83">
        <v>3</v>
      </c>
      <c r="I83" s="26">
        <v>2009.1666666669601</v>
      </c>
      <c r="J83">
        <f t="shared" si="6"/>
        <v>0.49126252747351989</v>
      </c>
      <c r="K83" s="33">
        <f t="shared" si="7"/>
        <v>0.18240000000000123</v>
      </c>
      <c r="L83" s="33">
        <f t="shared" si="8"/>
        <v>8.9606285011170628E-2</v>
      </c>
      <c r="M83" s="31">
        <f t="shared" si="9"/>
        <v>0.13680000000000092</v>
      </c>
    </row>
    <row r="84" spans="1:13" x14ac:dyDescent="0.3">
      <c r="A84">
        <v>2015</v>
      </c>
      <c r="B84">
        <v>3</v>
      </c>
      <c r="C84">
        <v>4</v>
      </c>
      <c r="D84">
        <v>0.4645522256744426</v>
      </c>
      <c r="E84">
        <v>1.5200000000000102E-2</v>
      </c>
      <c r="F84">
        <f t="shared" si="5"/>
        <v>7.0611938302515753E-3</v>
      </c>
      <c r="G84">
        <v>2009</v>
      </c>
      <c r="H84">
        <v>2</v>
      </c>
      <c r="I84" s="26">
        <v>2009.08333333363</v>
      </c>
      <c r="J84">
        <f t="shared" si="6"/>
        <v>0.44922307321962862</v>
      </c>
      <c r="K84" s="33">
        <f t="shared" si="7"/>
        <v>6.0800000000000409E-2</v>
      </c>
      <c r="L84" s="33">
        <f t="shared" si="8"/>
        <v>2.7312762851753603E-2</v>
      </c>
      <c r="M84" s="31">
        <f t="shared" si="9"/>
        <v>0.10133333333333401</v>
      </c>
    </row>
    <row r="85" spans="1:13" x14ac:dyDescent="0.3">
      <c r="A85">
        <v>2015</v>
      </c>
      <c r="B85">
        <v>3</v>
      </c>
      <c r="C85">
        <v>2</v>
      </c>
      <c r="D85">
        <v>0.45744794752415346</v>
      </c>
      <c r="E85">
        <v>1.5200000000000102E-2</v>
      </c>
      <c r="F85">
        <f t="shared" si="5"/>
        <v>6.9532088023671794E-3</v>
      </c>
      <c r="G85">
        <v>2009</v>
      </c>
      <c r="H85">
        <v>1</v>
      </c>
      <c r="I85" s="26">
        <v>2009.0000000002999</v>
      </c>
      <c r="J85">
        <f t="shared" si="6"/>
        <v>0.48679272809847624</v>
      </c>
      <c r="K85" s="33">
        <f t="shared" si="7"/>
        <v>6.0800000000000409E-2</v>
      </c>
      <c r="L85" s="33">
        <f t="shared" si="8"/>
        <v>2.9596997868387553E-2</v>
      </c>
      <c r="M85" s="31">
        <f t="shared" si="9"/>
        <v>6.5866666666667115E-2</v>
      </c>
    </row>
    <row r="86" spans="1:13" x14ac:dyDescent="0.3">
      <c r="A86">
        <v>2015</v>
      </c>
      <c r="B86">
        <v>2</v>
      </c>
      <c r="C86">
        <v>28</v>
      </c>
      <c r="D86">
        <v>0.45462331361020886</v>
      </c>
      <c r="E86">
        <v>1.5200000000000102E-2</v>
      </c>
      <c r="F86">
        <f t="shared" si="5"/>
        <v>6.9102743668752213E-3</v>
      </c>
      <c r="G86">
        <v>2008</v>
      </c>
      <c r="H86">
        <v>12</v>
      </c>
      <c r="I86" s="26">
        <v>2008.9166666669701</v>
      </c>
      <c r="J86">
        <f t="shared" si="6"/>
        <v>0.55372221235075436</v>
      </c>
      <c r="K86" s="33">
        <f t="shared" si="7"/>
        <v>7.6000000000000512E-2</v>
      </c>
      <c r="L86" s="33">
        <f t="shared" si="8"/>
        <v>4.2082888138657612E-2</v>
      </c>
      <c r="M86" s="31">
        <f t="shared" si="9"/>
        <v>6.5866666666667115E-2</v>
      </c>
    </row>
    <row r="87" spans="1:13" x14ac:dyDescent="0.3">
      <c r="A87">
        <v>2015</v>
      </c>
      <c r="B87">
        <v>2</v>
      </c>
      <c r="C87">
        <v>23</v>
      </c>
      <c r="D87">
        <v>0.45471880228094519</v>
      </c>
      <c r="E87">
        <v>1.5200000000000102E-2</v>
      </c>
      <c r="F87">
        <f t="shared" si="5"/>
        <v>6.9117257946704133E-3</v>
      </c>
      <c r="G87">
        <v>2008</v>
      </c>
      <c r="H87">
        <v>11</v>
      </c>
      <c r="I87" s="26">
        <v>2008.83333333364</v>
      </c>
      <c r="J87">
        <f t="shared" si="6"/>
        <v>0.58609929516484893</v>
      </c>
      <c r="K87" s="33">
        <f t="shared" si="7"/>
        <v>6.0800000000000409E-2</v>
      </c>
      <c r="L87" s="33">
        <f t="shared" si="8"/>
        <v>3.5634837146023057E-2</v>
      </c>
      <c r="M87" s="31">
        <f t="shared" si="9"/>
        <v>6.5866666666667115E-2</v>
      </c>
    </row>
    <row r="88" spans="1:13" x14ac:dyDescent="0.3">
      <c r="A88">
        <v>2015</v>
      </c>
      <c r="B88">
        <v>2</v>
      </c>
      <c r="C88">
        <v>18</v>
      </c>
      <c r="D88">
        <v>0.45639448359729107</v>
      </c>
      <c r="E88">
        <v>1.5200000000000102E-2</v>
      </c>
      <c r="F88">
        <f t="shared" si="5"/>
        <v>6.9371961506788709E-3</v>
      </c>
      <c r="G88">
        <v>2008</v>
      </c>
      <c r="H88">
        <v>10</v>
      </c>
      <c r="I88" s="26">
        <v>2008.7500000003099</v>
      </c>
      <c r="J88">
        <f t="shared" si="6"/>
        <v>0.61311262740731487</v>
      </c>
      <c r="K88" s="33">
        <f t="shared" si="7"/>
        <v>6.0800000000000409E-2</v>
      </c>
      <c r="L88" s="33">
        <f t="shared" si="8"/>
        <v>3.7277247746364997E-2</v>
      </c>
      <c r="M88" s="31">
        <f t="shared" si="9"/>
        <v>6.0800000000000409E-2</v>
      </c>
    </row>
    <row r="89" spans="1:13" x14ac:dyDescent="0.3">
      <c r="A89">
        <v>2015</v>
      </c>
      <c r="B89">
        <v>2</v>
      </c>
      <c r="C89">
        <v>13</v>
      </c>
      <c r="D89">
        <v>0.45916619707763556</v>
      </c>
      <c r="E89">
        <v>1.5200000000000102E-2</v>
      </c>
      <c r="F89">
        <f t="shared" si="5"/>
        <v>6.9793261955801078E-3</v>
      </c>
      <c r="G89">
        <v>2008</v>
      </c>
      <c r="H89">
        <v>9</v>
      </c>
      <c r="I89" s="26">
        <v>2008.6666666669801</v>
      </c>
      <c r="J89">
        <f t="shared" si="6"/>
        <v>0.67602298843428854</v>
      </c>
      <c r="K89" s="33">
        <f t="shared" si="7"/>
        <v>6.0800000000000409E-2</v>
      </c>
      <c r="L89" s="33">
        <f t="shared" si="8"/>
        <v>4.1102197696805017E-2</v>
      </c>
      <c r="M89" s="31">
        <f t="shared" si="9"/>
        <v>6.0800000000000409E-2</v>
      </c>
    </row>
    <row r="90" spans="1:13" x14ac:dyDescent="0.3">
      <c r="A90">
        <v>2015</v>
      </c>
      <c r="B90">
        <v>2</v>
      </c>
      <c r="C90">
        <v>8</v>
      </c>
      <c r="D90">
        <v>0.46377042578204958</v>
      </c>
      <c r="E90">
        <v>1.5200000000000102E-2</v>
      </c>
      <c r="F90">
        <f t="shared" si="5"/>
        <v>7.0493104718872008E-3</v>
      </c>
      <c r="G90">
        <v>2008</v>
      </c>
      <c r="H90">
        <v>8</v>
      </c>
      <c r="I90" s="26">
        <v>2008.58333333365</v>
      </c>
      <c r="J90">
        <f t="shared" si="6"/>
        <v>0.72038360876787166</v>
      </c>
      <c r="K90" s="33">
        <f t="shared" si="7"/>
        <v>6.0800000000000409E-2</v>
      </c>
      <c r="L90" s="33">
        <f t="shared" si="8"/>
        <v>4.3799323413086892E-2</v>
      </c>
      <c r="M90" s="31">
        <f t="shared" si="9"/>
        <v>6.0800000000000409E-2</v>
      </c>
    </row>
    <row r="91" spans="1:13" x14ac:dyDescent="0.3">
      <c r="A91">
        <v>2015</v>
      </c>
      <c r="B91">
        <v>2</v>
      </c>
      <c r="C91">
        <v>3</v>
      </c>
      <c r="D91">
        <v>0.47083128540857699</v>
      </c>
      <c r="E91">
        <v>1.5200000000000102E-2</v>
      </c>
      <c r="F91">
        <f t="shared" si="5"/>
        <v>7.1566355382104187E-3</v>
      </c>
      <c r="G91">
        <v>2008</v>
      </c>
      <c r="H91">
        <v>7</v>
      </c>
      <c r="I91" s="26">
        <v>2008.5000000003199</v>
      </c>
      <c r="J91">
        <f t="shared" si="6"/>
        <v>0.75769967998251408</v>
      </c>
      <c r="K91" s="33">
        <f t="shared" si="7"/>
        <v>6.0800000000000409E-2</v>
      </c>
      <c r="L91" s="33">
        <f t="shared" si="8"/>
        <v>4.6068140542937168E-2</v>
      </c>
      <c r="M91" s="31">
        <f t="shared" si="9"/>
        <v>0.10133333333333401</v>
      </c>
    </row>
    <row r="92" spans="1:13" x14ac:dyDescent="0.3">
      <c r="A92">
        <v>2015</v>
      </c>
      <c r="B92">
        <v>1</v>
      </c>
      <c r="C92">
        <v>29</v>
      </c>
      <c r="D92">
        <v>0.48025041863532508</v>
      </c>
      <c r="E92">
        <v>1.5200000000000102E-2</v>
      </c>
      <c r="F92">
        <f t="shared" si="5"/>
        <v>7.2998063632569903E-3</v>
      </c>
      <c r="G92">
        <v>2008</v>
      </c>
      <c r="H92">
        <v>6</v>
      </c>
      <c r="I92" s="26">
        <v>2008.4166666669901</v>
      </c>
      <c r="J92">
        <f t="shared" si="6"/>
        <v>0.74686777000132443</v>
      </c>
      <c r="K92" s="33">
        <f t="shared" si="7"/>
        <v>0.18240000000000123</v>
      </c>
      <c r="L92" s="33">
        <f t="shared" si="8"/>
        <v>0.1362286812482425</v>
      </c>
      <c r="M92" s="31">
        <f t="shared" si="9"/>
        <v>0.14693333333333433</v>
      </c>
    </row>
    <row r="93" spans="1:13" x14ac:dyDescent="0.3">
      <c r="A93">
        <v>2015</v>
      </c>
      <c r="B93">
        <v>1</v>
      </c>
      <c r="C93">
        <v>24</v>
      </c>
      <c r="D93">
        <v>0.49589879568918566</v>
      </c>
      <c r="E93">
        <v>1.5200000000000102E-2</v>
      </c>
      <c r="F93">
        <f t="shared" si="5"/>
        <v>7.5376616944756725E-3</v>
      </c>
      <c r="G93">
        <v>2008</v>
      </c>
      <c r="H93">
        <v>5</v>
      </c>
      <c r="I93" s="26">
        <v>2008.33333333366</v>
      </c>
      <c r="J93">
        <f t="shared" si="6"/>
        <v>0.76441441461357351</v>
      </c>
      <c r="K93" s="33">
        <f t="shared" si="7"/>
        <v>0.19760000000000133</v>
      </c>
      <c r="L93" s="33">
        <f t="shared" si="8"/>
        <v>0.15104828832764314</v>
      </c>
      <c r="M93" s="31">
        <f t="shared" si="9"/>
        <v>0.18746666666666792</v>
      </c>
    </row>
    <row r="94" spans="1:13" x14ac:dyDescent="0.3">
      <c r="A94">
        <v>2015</v>
      </c>
      <c r="B94">
        <v>1</v>
      </c>
      <c r="C94">
        <v>19</v>
      </c>
      <c r="D94">
        <v>0.51141180006185538</v>
      </c>
      <c r="E94">
        <v>1.5200000000000102E-2</v>
      </c>
      <c r="F94">
        <f t="shared" si="5"/>
        <v>7.7734593609402542E-3</v>
      </c>
      <c r="G94">
        <v>2008</v>
      </c>
      <c r="H94">
        <v>4</v>
      </c>
      <c r="I94" s="26">
        <v>2008.2500000003299</v>
      </c>
      <c r="J94">
        <f t="shared" si="6"/>
        <v>0.66488145969167112</v>
      </c>
      <c r="K94" s="33">
        <f t="shared" si="7"/>
        <v>0.18240000000000123</v>
      </c>
      <c r="L94" s="33">
        <f t="shared" si="8"/>
        <v>0.12127437824776163</v>
      </c>
      <c r="M94" s="31">
        <f t="shared" si="9"/>
        <v>0.18746666666666792</v>
      </c>
    </row>
    <row r="95" spans="1:13" x14ac:dyDescent="0.3">
      <c r="A95">
        <v>2015</v>
      </c>
      <c r="B95">
        <v>1</v>
      </c>
      <c r="C95">
        <v>14</v>
      </c>
      <c r="D95">
        <v>0.52514759293176561</v>
      </c>
      <c r="E95">
        <v>1.5200000000000102E-2</v>
      </c>
      <c r="F95">
        <f t="shared" si="5"/>
        <v>7.9822434125628901E-3</v>
      </c>
      <c r="G95">
        <v>2008</v>
      </c>
      <c r="H95">
        <v>3</v>
      </c>
      <c r="I95" s="26">
        <v>2008.1666666670001</v>
      </c>
      <c r="J95">
        <f t="shared" si="6"/>
        <v>0.60419413554181522</v>
      </c>
      <c r="K95" s="33">
        <f t="shared" si="7"/>
        <v>0.18240000000000123</v>
      </c>
      <c r="L95" s="33">
        <f t="shared" si="8"/>
        <v>0.11020501032282784</v>
      </c>
      <c r="M95" s="31">
        <f t="shared" si="9"/>
        <v>0.14186666666666761</v>
      </c>
    </row>
    <row r="96" spans="1:13" x14ac:dyDescent="0.3">
      <c r="A96">
        <v>2015</v>
      </c>
      <c r="B96">
        <v>1</v>
      </c>
      <c r="C96">
        <v>9</v>
      </c>
      <c r="D96">
        <v>0.53429264691387435</v>
      </c>
      <c r="E96">
        <v>1.5200000000000102E-2</v>
      </c>
      <c r="F96">
        <f t="shared" si="5"/>
        <v>8.1212482330909452E-3</v>
      </c>
      <c r="G96">
        <v>2008</v>
      </c>
      <c r="H96">
        <v>2</v>
      </c>
      <c r="I96" s="26">
        <v>2008.08333333367</v>
      </c>
      <c r="J96">
        <f t="shared" si="6"/>
        <v>0.56017645743423561</v>
      </c>
      <c r="K96" s="33">
        <f t="shared" si="7"/>
        <v>6.0800000000000409E-2</v>
      </c>
      <c r="L96" s="33">
        <f t="shared" si="8"/>
        <v>3.4058728612001751E-2</v>
      </c>
      <c r="M96" s="31">
        <f t="shared" si="9"/>
        <v>0.10133333333333401</v>
      </c>
    </row>
    <row r="97" spans="1:13" x14ac:dyDescent="0.3">
      <c r="A97">
        <v>2015</v>
      </c>
      <c r="B97">
        <v>1</v>
      </c>
      <c r="C97">
        <v>4</v>
      </c>
      <c r="D97">
        <v>0.53967574498205428</v>
      </c>
      <c r="E97">
        <v>1.5200000000000102E-2</v>
      </c>
      <c r="F97">
        <f t="shared" si="5"/>
        <v>8.2030713237272804E-3</v>
      </c>
      <c r="G97">
        <v>2008</v>
      </c>
      <c r="H97">
        <v>1</v>
      </c>
      <c r="I97" s="26">
        <v>2008.0000000003399</v>
      </c>
      <c r="J97">
        <f t="shared" si="6"/>
        <v>0.57349585313491369</v>
      </c>
      <c r="K97" s="33">
        <f t="shared" si="7"/>
        <v>6.0800000000000409E-2</v>
      </c>
      <c r="L97" s="33">
        <f t="shared" si="8"/>
        <v>3.4868547870602985E-2</v>
      </c>
      <c r="M97" s="31">
        <f t="shared" si="9"/>
        <v>6.5866666666667115E-2</v>
      </c>
    </row>
    <row r="98" spans="1:13" x14ac:dyDescent="0.3">
      <c r="A98">
        <v>2014</v>
      </c>
      <c r="B98">
        <v>12</v>
      </c>
      <c r="C98">
        <v>30</v>
      </c>
      <c r="D98">
        <v>0.5378588528554894</v>
      </c>
      <c r="E98">
        <v>1.5200000000000102E-2</v>
      </c>
      <c r="F98">
        <f t="shared" si="5"/>
        <v>8.1754545634034944E-3</v>
      </c>
      <c r="G98">
        <v>2007</v>
      </c>
      <c r="H98">
        <v>12</v>
      </c>
      <c r="I98" s="26">
        <v>2007.9166666670101</v>
      </c>
      <c r="J98">
        <f t="shared" si="6"/>
        <v>0.58222652231821903</v>
      </c>
      <c r="K98" s="33">
        <f t="shared" si="7"/>
        <v>7.6000000000000512E-2</v>
      </c>
      <c r="L98" s="33">
        <f t="shared" si="8"/>
        <v>4.4249215696184944E-2</v>
      </c>
      <c r="M98" s="31">
        <f t="shared" si="9"/>
        <v>6.5866666666667115E-2</v>
      </c>
    </row>
    <row r="99" spans="1:13" x14ac:dyDescent="0.3">
      <c r="A99">
        <v>2014</v>
      </c>
      <c r="B99">
        <v>12</v>
      </c>
      <c r="C99">
        <v>25</v>
      </c>
      <c r="D99">
        <v>0.53680155196080903</v>
      </c>
      <c r="E99">
        <v>1.5200000000000102E-2</v>
      </c>
      <c r="F99">
        <f t="shared" si="5"/>
        <v>8.1593835898043521E-3</v>
      </c>
      <c r="G99">
        <v>2007</v>
      </c>
      <c r="H99">
        <v>11</v>
      </c>
      <c r="I99" s="26">
        <v>2007.83333333368</v>
      </c>
      <c r="J99">
        <f t="shared" si="6"/>
        <v>0.6446775810583355</v>
      </c>
      <c r="K99" s="33">
        <f t="shared" si="7"/>
        <v>6.0800000000000409E-2</v>
      </c>
      <c r="L99" s="33">
        <f t="shared" si="8"/>
        <v>3.919639692834706E-2</v>
      </c>
      <c r="M99" s="31">
        <f t="shared" si="9"/>
        <v>6.5866666666667115E-2</v>
      </c>
    </row>
    <row r="100" spans="1:13" x14ac:dyDescent="0.3">
      <c r="A100">
        <v>2014</v>
      </c>
      <c r="B100">
        <v>12</v>
      </c>
      <c r="C100">
        <v>20</v>
      </c>
      <c r="D100">
        <v>0.53599745214588446</v>
      </c>
      <c r="E100">
        <v>1.5200000000000102E-2</v>
      </c>
      <c r="F100">
        <f t="shared" si="5"/>
        <v>8.147161272617498E-3</v>
      </c>
      <c r="G100">
        <v>2007</v>
      </c>
      <c r="H100">
        <v>10</v>
      </c>
      <c r="I100" s="26">
        <v>2007.7500000003499</v>
      </c>
      <c r="J100">
        <f t="shared" si="6"/>
        <v>0.69811638480756533</v>
      </c>
      <c r="K100" s="33">
        <f t="shared" si="7"/>
        <v>6.0800000000000409E-2</v>
      </c>
      <c r="L100" s="33">
        <f t="shared" si="8"/>
        <v>4.2445476196300257E-2</v>
      </c>
      <c r="M100" s="31">
        <f t="shared" si="9"/>
        <v>6.0800000000000409E-2</v>
      </c>
    </row>
    <row r="101" spans="1:13" x14ac:dyDescent="0.3">
      <c r="A101">
        <v>2014</v>
      </c>
      <c r="B101">
        <v>12</v>
      </c>
      <c r="C101">
        <v>15</v>
      </c>
      <c r="D101">
        <v>0.53721181702173659</v>
      </c>
      <c r="E101">
        <v>1.5200000000000102E-2</v>
      </c>
      <c r="F101">
        <f t="shared" si="5"/>
        <v>8.1656196187304513E-3</v>
      </c>
      <c r="G101">
        <v>2007</v>
      </c>
      <c r="H101">
        <v>9</v>
      </c>
      <c r="I101" s="26">
        <v>2007.6666666670201</v>
      </c>
      <c r="J101">
        <f t="shared" si="6"/>
        <v>0.71866968918161067</v>
      </c>
      <c r="K101" s="33">
        <f t="shared" si="7"/>
        <v>6.0800000000000409E-2</v>
      </c>
      <c r="L101" s="33">
        <f t="shared" si="8"/>
        <v>4.369511710224222E-2</v>
      </c>
      <c r="M101" s="31">
        <f t="shared" si="9"/>
        <v>6.0800000000000409E-2</v>
      </c>
    </row>
    <row r="102" spans="1:13" x14ac:dyDescent="0.3">
      <c r="A102">
        <v>2014</v>
      </c>
      <c r="B102">
        <v>12</v>
      </c>
      <c r="C102">
        <v>10</v>
      </c>
      <c r="D102">
        <v>0.54057297433848361</v>
      </c>
      <c r="E102">
        <v>1.5200000000000102E-2</v>
      </c>
      <c r="F102">
        <f t="shared" si="5"/>
        <v>8.2167092099450067E-3</v>
      </c>
      <c r="G102">
        <v>2007</v>
      </c>
      <c r="H102">
        <v>8</v>
      </c>
      <c r="I102" s="26">
        <v>2007.58333333369</v>
      </c>
      <c r="J102">
        <f t="shared" si="6"/>
        <v>0.74388225983187817</v>
      </c>
      <c r="K102" s="33">
        <f t="shared" si="7"/>
        <v>6.0800000000000409E-2</v>
      </c>
      <c r="L102" s="33">
        <f t="shared" si="8"/>
        <v>4.5228041397778494E-2</v>
      </c>
      <c r="M102" s="31">
        <f t="shared" si="9"/>
        <v>6.0800000000000409E-2</v>
      </c>
    </row>
    <row r="103" spans="1:13" x14ac:dyDescent="0.3">
      <c r="A103">
        <v>2014</v>
      </c>
      <c r="B103">
        <v>12</v>
      </c>
      <c r="C103">
        <v>5</v>
      </c>
      <c r="D103">
        <v>0.54722845545495691</v>
      </c>
      <c r="E103">
        <v>1.5200000000000102E-2</v>
      </c>
      <c r="F103">
        <f t="shared" si="5"/>
        <v>8.3178725229154007E-3</v>
      </c>
      <c r="G103">
        <v>2007</v>
      </c>
      <c r="H103">
        <v>7</v>
      </c>
      <c r="I103" s="26">
        <v>2007.5000000003599</v>
      </c>
      <c r="J103">
        <f t="shared" si="6"/>
        <v>0.75857849113251585</v>
      </c>
      <c r="K103" s="33">
        <f t="shared" si="7"/>
        <v>6.0800000000000409E-2</v>
      </c>
      <c r="L103" s="33">
        <f t="shared" si="8"/>
        <v>4.6121572260857273E-2</v>
      </c>
      <c r="M103" s="31">
        <f t="shared" si="9"/>
        <v>0.12160000000000082</v>
      </c>
    </row>
    <row r="104" spans="1:13" x14ac:dyDescent="0.3">
      <c r="A104">
        <v>2014</v>
      </c>
      <c r="B104">
        <v>11</v>
      </c>
      <c r="C104">
        <v>30</v>
      </c>
      <c r="D104">
        <v>0.55682394603608731</v>
      </c>
      <c r="E104">
        <v>1.5200000000000102E-2</v>
      </c>
      <c r="F104">
        <f t="shared" si="5"/>
        <v>8.4637239797485837E-3</v>
      </c>
      <c r="G104">
        <v>2007</v>
      </c>
      <c r="H104">
        <v>6</v>
      </c>
      <c r="I104" s="26">
        <v>2007.4166666670301</v>
      </c>
      <c r="J104">
        <f t="shared" si="6"/>
        <v>0.7213726124845159</v>
      </c>
      <c r="K104" s="33">
        <f t="shared" si="7"/>
        <v>0.24320000000000164</v>
      </c>
      <c r="L104" s="33">
        <f t="shared" si="8"/>
        <v>0.17543781935623545</v>
      </c>
      <c r="M104" s="31">
        <f t="shared" si="9"/>
        <v>0.18240000000000123</v>
      </c>
    </row>
    <row r="105" spans="1:13" x14ac:dyDescent="0.3">
      <c r="A105">
        <v>2014</v>
      </c>
      <c r="B105">
        <v>11</v>
      </c>
      <c r="C105">
        <v>25</v>
      </c>
      <c r="D105">
        <v>0.57028954354989947</v>
      </c>
      <c r="E105">
        <v>1.5200000000000102E-2</v>
      </c>
      <c r="F105">
        <f t="shared" si="5"/>
        <v>8.6684010619585295E-3</v>
      </c>
      <c r="G105">
        <v>2007</v>
      </c>
      <c r="H105">
        <v>5</v>
      </c>
      <c r="I105" s="26">
        <v>2007.3333333337</v>
      </c>
      <c r="J105">
        <f t="shared" si="6"/>
        <v>0.6653657264917</v>
      </c>
      <c r="K105" s="33">
        <f t="shared" si="7"/>
        <v>0.24320000000000164</v>
      </c>
      <c r="L105" s="33">
        <f t="shared" si="8"/>
        <v>0.16181694468278254</v>
      </c>
      <c r="M105" s="31">
        <f t="shared" si="9"/>
        <v>0.24320000000000164</v>
      </c>
    </row>
    <row r="106" spans="1:13" x14ac:dyDescent="0.3">
      <c r="A106">
        <v>2014</v>
      </c>
      <c r="B106">
        <v>11</v>
      </c>
      <c r="C106">
        <v>20</v>
      </c>
      <c r="D106">
        <v>0.58588563528363413</v>
      </c>
      <c r="E106">
        <v>1.5200000000000102E-2</v>
      </c>
      <c r="F106">
        <f t="shared" si="5"/>
        <v>8.9054616563112986E-3</v>
      </c>
      <c r="G106">
        <v>2007</v>
      </c>
      <c r="H106">
        <v>4</v>
      </c>
      <c r="I106" s="26">
        <v>2007.2500000003699</v>
      </c>
      <c r="J106">
        <f t="shared" si="6"/>
        <v>0.62899968789075889</v>
      </c>
      <c r="K106" s="33">
        <f t="shared" si="7"/>
        <v>0.24320000000000164</v>
      </c>
      <c r="L106" s="33">
        <f t="shared" si="8"/>
        <v>0.1529727240950336</v>
      </c>
      <c r="M106" s="31">
        <f t="shared" si="9"/>
        <v>0.24826666666666833</v>
      </c>
    </row>
    <row r="107" spans="1:13" x14ac:dyDescent="0.3">
      <c r="A107">
        <v>2014</v>
      </c>
      <c r="B107">
        <v>11</v>
      </c>
      <c r="C107">
        <v>15</v>
      </c>
      <c r="D107">
        <v>0.60313120416667632</v>
      </c>
      <c r="E107">
        <v>1.5200000000000102E-2</v>
      </c>
      <c r="F107">
        <f t="shared" si="5"/>
        <v>9.1675943033335417E-3</v>
      </c>
      <c r="G107">
        <v>2007</v>
      </c>
      <c r="H107">
        <v>3</v>
      </c>
      <c r="I107" s="26">
        <v>2007.1666666670401</v>
      </c>
      <c r="J107">
        <f t="shared" si="6"/>
        <v>0.55239332253731455</v>
      </c>
      <c r="K107" s="33">
        <f t="shared" si="7"/>
        <v>0.25840000000000174</v>
      </c>
      <c r="L107" s="33">
        <f t="shared" si="8"/>
        <v>0.14273843454364304</v>
      </c>
      <c r="M107" s="31">
        <f t="shared" si="9"/>
        <v>0.18240000000000123</v>
      </c>
    </row>
    <row r="108" spans="1:13" x14ac:dyDescent="0.3">
      <c r="A108">
        <v>2014</v>
      </c>
      <c r="B108">
        <v>11</v>
      </c>
      <c r="C108">
        <v>10</v>
      </c>
      <c r="D108">
        <v>0.62024756021541894</v>
      </c>
      <c r="E108">
        <v>1.5200000000000102E-2</v>
      </c>
      <c r="F108">
        <f t="shared" si="5"/>
        <v>9.4277629152744319E-3</v>
      </c>
      <c r="G108">
        <v>2007</v>
      </c>
      <c r="H108">
        <v>2</v>
      </c>
      <c r="I108" s="26">
        <v>2007.08333333371</v>
      </c>
      <c r="J108">
        <f t="shared" si="6"/>
        <v>0.48329915183718092</v>
      </c>
      <c r="K108" s="33">
        <f t="shared" si="7"/>
        <v>4.5600000000000307E-2</v>
      </c>
      <c r="L108" s="33">
        <f t="shared" si="8"/>
        <v>2.2038441323775599E-2</v>
      </c>
      <c r="M108" s="31">
        <f t="shared" si="9"/>
        <v>0.11653333333333411</v>
      </c>
    </row>
    <row r="109" spans="1:13" x14ac:dyDescent="0.3">
      <c r="A109">
        <v>2014</v>
      </c>
      <c r="B109">
        <v>11</v>
      </c>
      <c r="C109">
        <v>5</v>
      </c>
      <c r="D109">
        <v>0.64011953814136602</v>
      </c>
      <c r="E109">
        <v>1.5200000000000102E-2</v>
      </c>
      <c r="F109">
        <f t="shared" si="5"/>
        <v>9.7298169797488294E-3</v>
      </c>
      <c r="G109">
        <v>2007</v>
      </c>
      <c r="H109">
        <v>1</v>
      </c>
      <c r="I109" s="26">
        <v>2007.0000000003799</v>
      </c>
      <c r="J109">
        <f t="shared" si="6"/>
        <v>0.50448124109120374</v>
      </c>
      <c r="K109" s="33">
        <f t="shared" si="7"/>
        <v>4.5600000000000307E-2</v>
      </c>
      <c r="L109" s="33">
        <f t="shared" si="8"/>
        <v>2.3004344593759045E-2</v>
      </c>
      <c r="M109" s="31">
        <f t="shared" si="9"/>
        <v>4.0533333333333608E-2</v>
      </c>
    </row>
    <row r="110" spans="1:13" x14ac:dyDescent="0.3">
      <c r="A110">
        <v>2014</v>
      </c>
      <c r="B110">
        <v>10</v>
      </c>
      <c r="C110">
        <v>31</v>
      </c>
      <c r="D110">
        <v>0.65684113143667222</v>
      </c>
      <c r="E110">
        <v>1.5200000000000102E-2</v>
      </c>
      <c r="F110">
        <f t="shared" si="5"/>
        <v>9.983985197837485E-3</v>
      </c>
      <c r="G110">
        <v>2006</v>
      </c>
      <c r="H110">
        <v>12</v>
      </c>
      <c r="I110" s="26">
        <v>2006.9166666670501</v>
      </c>
      <c r="J110">
        <f t="shared" si="6"/>
        <v>0.53079634379451224</v>
      </c>
      <c r="K110" s="33">
        <f t="shared" si="7"/>
        <v>3.0400000000000205E-2</v>
      </c>
      <c r="L110" s="33">
        <f t="shared" si="8"/>
        <v>1.6136208851353282E-2</v>
      </c>
      <c r="M110" s="31">
        <f t="shared" si="9"/>
        <v>4.0533333333333608E-2</v>
      </c>
    </row>
    <row r="111" spans="1:13" x14ac:dyDescent="0.3">
      <c r="A111">
        <v>2014</v>
      </c>
      <c r="B111">
        <v>10</v>
      </c>
      <c r="C111">
        <v>27</v>
      </c>
      <c r="D111">
        <v>0.6711446517146088</v>
      </c>
      <c r="E111">
        <v>1.5200000000000102E-2</v>
      </c>
      <c r="F111">
        <f t="shared" si="5"/>
        <v>1.0201398706062122E-2</v>
      </c>
      <c r="G111">
        <v>2006</v>
      </c>
      <c r="H111">
        <v>11</v>
      </c>
      <c r="I111" s="26">
        <v>2006.83333333372</v>
      </c>
      <c r="J111">
        <f t="shared" si="6"/>
        <v>0.57600604405069555</v>
      </c>
      <c r="K111" s="33">
        <f t="shared" si="7"/>
        <v>4.5600000000000307E-2</v>
      </c>
      <c r="L111" s="33">
        <f t="shared" si="8"/>
        <v>2.6265875608711894E-2</v>
      </c>
      <c r="M111" s="31">
        <f t="shared" si="9"/>
        <v>3.5466666666666903E-2</v>
      </c>
    </row>
    <row r="112" spans="1:13" x14ac:dyDescent="0.3">
      <c r="A112">
        <v>2014</v>
      </c>
      <c r="B112">
        <v>10</v>
      </c>
      <c r="C112">
        <v>22</v>
      </c>
      <c r="D112">
        <v>0.68338888128140773</v>
      </c>
      <c r="E112">
        <v>1.5200000000000102E-2</v>
      </c>
      <c r="F112">
        <f t="shared" si="5"/>
        <v>1.0387510995477467E-2</v>
      </c>
      <c r="G112">
        <v>2006</v>
      </c>
      <c r="H112">
        <v>10</v>
      </c>
      <c r="I112" s="26">
        <v>2006.7500000003899</v>
      </c>
      <c r="J112">
        <f t="shared" si="6"/>
        <v>0.6253612267692179</v>
      </c>
      <c r="K112" s="33">
        <f t="shared" si="7"/>
        <v>3.0400000000000205E-2</v>
      </c>
      <c r="L112" s="33">
        <f t="shared" si="8"/>
        <v>1.9010981293784351E-2</v>
      </c>
      <c r="M112" s="31">
        <f t="shared" si="9"/>
        <v>4.0533333333333608E-2</v>
      </c>
    </row>
    <row r="113" spans="1:13" x14ac:dyDescent="0.3">
      <c r="A113">
        <v>2014</v>
      </c>
      <c r="B113">
        <v>10</v>
      </c>
      <c r="C113">
        <v>17</v>
      </c>
      <c r="D113">
        <v>0.69394640993480716</v>
      </c>
      <c r="E113">
        <v>1.5200000000000102E-2</v>
      </c>
      <c r="F113">
        <f t="shared" si="5"/>
        <v>1.0547985431009139E-2</v>
      </c>
      <c r="G113">
        <v>2006</v>
      </c>
      <c r="H113">
        <v>9</v>
      </c>
      <c r="I113" s="26">
        <v>2006.6666666670601</v>
      </c>
      <c r="J113">
        <f t="shared" si="6"/>
        <v>0.65606244771672428</v>
      </c>
      <c r="K113" s="33">
        <f t="shared" si="7"/>
        <v>4.5600000000000307E-2</v>
      </c>
      <c r="L113" s="33">
        <f t="shared" si="8"/>
        <v>2.991644761588283E-2</v>
      </c>
      <c r="M113" s="31">
        <f t="shared" si="9"/>
        <v>4.0533333333333608E-2</v>
      </c>
    </row>
    <row r="114" spans="1:13" x14ac:dyDescent="0.3">
      <c r="A114">
        <v>2014</v>
      </c>
      <c r="B114">
        <v>10</v>
      </c>
      <c r="C114">
        <v>12</v>
      </c>
      <c r="D114">
        <v>0.69875500193334483</v>
      </c>
      <c r="E114">
        <v>1.5200000000000102E-2</v>
      </c>
      <c r="F114">
        <f t="shared" si="5"/>
        <v>1.0621076029386913E-2</v>
      </c>
      <c r="G114">
        <v>2006</v>
      </c>
      <c r="H114">
        <v>8</v>
      </c>
      <c r="I114" s="26">
        <v>2006.58333333373</v>
      </c>
      <c r="J114">
        <f t="shared" si="6"/>
        <v>0.69119893090823992</v>
      </c>
      <c r="K114" s="33">
        <f t="shared" si="7"/>
        <v>4.5600000000000307E-2</v>
      </c>
      <c r="L114" s="33">
        <f t="shared" si="8"/>
        <v>3.1518671249415951E-2</v>
      </c>
      <c r="M114" s="31">
        <f t="shared" si="9"/>
        <v>4.0533333333333608E-2</v>
      </c>
    </row>
    <row r="115" spans="1:13" x14ac:dyDescent="0.3">
      <c r="A115">
        <v>2014</v>
      </c>
      <c r="B115">
        <v>10</v>
      </c>
      <c r="C115">
        <v>7</v>
      </c>
      <c r="D115">
        <v>0.70316957184755935</v>
      </c>
      <c r="E115">
        <v>1.5200000000000102E-2</v>
      </c>
      <c r="F115">
        <f t="shared" si="5"/>
        <v>1.0688177492082973E-2</v>
      </c>
      <c r="G115">
        <v>2006</v>
      </c>
      <c r="H115">
        <v>7</v>
      </c>
      <c r="I115" s="26">
        <v>2006.5000000004</v>
      </c>
      <c r="J115">
        <f t="shared" si="6"/>
        <v>0.72760590191912311</v>
      </c>
      <c r="K115" s="33">
        <f t="shared" si="7"/>
        <v>3.0400000000000205E-2</v>
      </c>
      <c r="L115" s="33">
        <f t="shared" si="8"/>
        <v>2.2119219418341492E-2</v>
      </c>
      <c r="M115" s="31">
        <f t="shared" si="9"/>
        <v>6.5866666666667115E-2</v>
      </c>
    </row>
    <row r="116" spans="1:13" x14ac:dyDescent="0.3">
      <c r="A116">
        <v>2014</v>
      </c>
      <c r="B116">
        <v>10</v>
      </c>
      <c r="C116">
        <v>2</v>
      </c>
      <c r="D116">
        <v>0.70745800922093949</v>
      </c>
      <c r="E116">
        <v>1.5200000000000102E-2</v>
      </c>
      <c r="F116">
        <f t="shared" si="5"/>
        <v>1.0753361740158352E-2</v>
      </c>
      <c r="G116">
        <v>2006</v>
      </c>
      <c r="H116">
        <v>6</v>
      </c>
      <c r="I116" s="26">
        <v>2006.4166666670701</v>
      </c>
      <c r="J116">
        <f t="shared" si="6"/>
        <v>0.69731589087577817</v>
      </c>
      <c r="K116" s="33">
        <f t="shared" si="7"/>
        <v>0.12160000000000082</v>
      </c>
      <c r="L116" s="33">
        <f t="shared" si="8"/>
        <v>8.4793612330495191E-2</v>
      </c>
      <c r="M116" s="31">
        <f t="shared" si="9"/>
        <v>9.1200000000000614E-2</v>
      </c>
    </row>
    <row r="117" spans="1:13" x14ac:dyDescent="0.3">
      <c r="A117">
        <v>2014</v>
      </c>
      <c r="B117">
        <v>9</v>
      </c>
      <c r="C117">
        <v>27</v>
      </c>
      <c r="D117">
        <v>0.71013176240227605</v>
      </c>
      <c r="E117">
        <v>1.5200000000000102E-2</v>
      </c>
      <c r="F117">
        <f t="shared" si="5"/>
        <v>1.0794002788514669E-2</v>
      </c>
      <c r="G117">
        <v>2006</v>
      </c>
      <c r="H117">
        <v>5</v>
      </c>
      <c r="I117" s="26">
        <v>2006.33333333374</v>
      </c>
      <c r="J117">
        <f t="shared" si="6"/>
        <v>0.70569351053346774</v>
      </c>
      <c r="K117" s="33">
        <f t="shared" si="7"/>
        <v>0.12160000000000082</v>
      </c>
      <c r="L117" s="33">
        <f t="shared" si="8"/>
        <v>8.5812330880870258E-2</v>
      </c>
      <c r="M117" s="31">
        <f t="shared" si="9"/>
        <v>0.11653333333333411</v>
      </c>
    </row>
    <row r="118" spans="1:13" x14ac:dyDescent="0.3">
      <c r="A118">
        <v>2014</v>
      </c>
      <c r="B118">
        <v>9</v>
      </c>
      <c r="C118">
        <v>22</v>
      </c>
      <c r="D118">
        <v>0.71132055236524649</v>
      </c>
      <c r="E118">
        <v>1.5200000000000102E-2</v>
      </c>
      <c r="F118">
        <f t="shared" si="5"/>
        <v>1.0812072395951819E-2</v>
      </c>
      <c r="G118">
        <v>2006</v>
      </c>
      <c r="H118">
        <v>4</v>
      </c>
      <c r="I118" s="26">
        <v>2006.25000000041</v>
      </c>
      <c r="J118">
        <f t="shared" si="6"/>
        <v>0.77582613509465836</v>
      </c>
      <c r="K118" s="33">
        <f t="shared" si="7"/>
        <v>0.10640000000000072</v>
      </c>
      <c r="L118" s="33">
        <f t="shared" si="8"/>
        <v>8.2547900774072203E-2</v>
      </c>
      <c r="M118" s="31">
        <f t="shared" si="9"/>
        <v>0.11653333333333411</v>
      </c>
    </row>
    <row r="119" spans="1:13" x14ac:dyDescent="0.3">
      <c r="A119">
        <v>2014</v>
      </c>
      <c r="B119">
        <v>9</v>
      </c>
      <c r="C119">
        <v>17</v>
      </c>
      <c r="D119">
        <v>0.71237489989260783</v>
      </c>
      <c r="E119">
        <v>1.5200000000000102E-2</v>
      </c>
      <c r="F119">
        <f t="shared" si="5"/>
        <v>1.0828098478367711E-2</v>
      </c>
      <c r="G119">
        <v>2006</v>
      </c>
      <c r="H119">
        <v>3</v>
      </c>
      <c r="I119" s="26">
        <v>2006.1666666670801</v>
      </c>
      <c r="J119">
        <f t="shared" si="6"/>
        <v>0.75169400157401056</v>
      </c>
      <c r="K119" s="33">
        <f t="shared" si="7"/>
        <v>0.12160000000000082</v>
      </c>
      <c r="L119" s="33">
        <f t="shared" si="8"/>
        <v>9.1405990591400296E-2</v>
      </c>
      <c r="M119" s="31">
        <f t="shared" si="9"/>
        <v>9.6266666666667319E-2</v>
      </c>
    </row>
    <row r="120" spans="1:13" x14ac:dyDescent="0.3">
      <c r="A120">
        <v>2014</v>
      </c>
      <c r="B120">
        <v>9</v>
      </c>
      <c r="C120">
        <v>12</v>
      </c>
      <c r="D120">
        <v>0.71627687592376665</v>
      </c>
      <c r="E120">
        <v>1.5200000000000102E-2</v>
      </c>
      <c r="F120">
        <f t="shared" si="5"/>
        <v>1.0887408514041326E-2</v>
      </c>
      <c r="G120">
        <v>2006</v>
      </c>
      <c r="H120">
        <v>2</v>
      </c>
      <c r="I120" s="26">
        <v>2006.08333333375</v>
      </c>
      <c r="J120">
        <f t="shared" si="6"/>
        <v>0.72218406247209255</v>
      </c>
      <c r="K120" s="33">
        <f t="shared" si="7"/>
        <v>6.0800000000000409E-2</v>
      </c>
      <c r="L120" s="33">
        <f t="shared" si="8"/>
        <v>4.3908790998303519E-2</v>
      </c>
      <c r="M120" s="31">
        <f t="shared" si="9"/>
        <v>7.6000000000000512E-2</v>
      </c>
    </row>
    <row r="121" spans="1:13" x14ac:dyDescent="0.3">
      <c r="A121">
        <v>2014</v>
      </c>
      <c r="B121">
        <v>9</v>
      </c>
      <c r="C121">
        <v>7</v>
      </c>
      <c r="D121">
        <v>0.72317656972662903</v>
      </c>
      <c r="E121">
        <v>1.5200000000000102E-2</v>
      </c>
      <c r="F121">
        <f t="shared" si="5"/>
        <v>1.0992283859844834E-2</v>
      </c>
      <c r="G121">
        <v>2006</v>
      </c>
      <c r="H121">
        <v>1</v>
      </c>
      <c r="I121" s="26">
        <v>2006.00000000042</v>
      </c>
      <c r="J121">
        <f t="shared" si="6"/>
        <v>0.750272788362361</v>
      </c>
      <c r="K121" s="33">
        <f t="shared" si="7"/>
        <v>4.5600000000000307E-2</v>
      </c>
      <c r="L121" s="33">
        <f t="shared" si="8"/>
        <v>3.4212439149323891E-2</v>
      </c>
      <c r="M121" s="31">
        <f t="shared" si="9"/>
        <v>5.5733333333333711E-2</v>
      </c>
    </row>
    <row r="122" spans="1:13" x14ac:dyDescent="0.3">
      <c r="A122">
        <v>2014</v>
      </c>
      <c r="B122">
        <v>9</v>
      </c>
      <c r="C122">
        <v>2</v>
      </c>
      <c r="D122">
        <v>0.73337017643826174</v>
      </c>
      <c r="E122">
        <v>1.5200000000000102E-2</v>
      </c>
      <c r="F122">
        <f t="shared" si="5"/>
        <v>1.1147226681861654E-2</v>
      </c>
      <c r="G122">
        <v>2005</v>
      </c>
      <c r="H122">
        <v>12</v>
      </c>
      <c r="I122" s="26">
        <v>2005.9166666670901</v>
      </c>
      <c r="J122">
        <f t="shared" si="6"/>
        <v>0.76836669190176887</v>
      </c>
      <c r="K122" s="33">
        <f t="shared" si="7"/>
        <v>6.0800000000000409E-2</v>
      </c>
      <c r="L122" s="33">
        <f t="shared" si="8"/>
        <v>4.6716694867627861E-2</v>
      </c>
      <c r="M122" s="31">
        <f t="shared" si="9"/>
        <v>5.5733333333333711E-2</v>
      </c>
    </row>
    <row r="123" spans="1:13" x14ac:dyDescent="0.3">
      <c r="A123">
        <v>2014</v>
      </c>
      <c r="B123">
        <v>8</v>
      </c>
      <c r="C123">
        <v>28</v>
      </c>
      <c r="D123">
        <v>0.74812799662672469</v>
      </c>
      <c r="E123">
        <v>1.5200000000000102E-2</v>
      </c>
      <c r="F123">
        <f t="shared" si="5"/>
        <v>1.1371545548726292E-2</v>
      </c>
      <c r="G123">
        <v>2005</v>
      </c>
      <c r="H123">
        <v>11</v>
      </c>
      <c r="I123" s="26">
        <v>2005.83333333376</v>
      </c>
      <c r="J123">
        <f t="shared" si="6"/>
        <v>0.771497680380555</v>
      </c>
      <c r="K123" s="33">
        <f t="shared" si="7"/>
        <v>6.0800000000000409E-2</v>
      </c>
      <c r="L123" s="33">
        <f t="shared" si="8"/>
        <v>4.6907058967138059E-2</v>
      </c>
      <c r="M123" s="31">
        <f t="shared" si="9"/>
        <v>5.5733333333333711E-2</v>
      </c>
    </row>
    <row r="124" spans="1:13" x14ac:dyDescent="0.3">
      <c r="A124">
        <v>2014</v>
      </c>
      <c r="B124">
        <v>8</v>
      </c>
      <c r="C124">
        <v>23</v>
      </c>
      <c r="D124">
        <v>0.76531050790199384</v>
      </c>
      <c r="E124">
        <v>1.5200000000000102E-2</v>
      </c>
      <c r="F124">
        <f t="shared" si="5"/>
        <v>1.1632719720110384E-2</v>
      </c>
      <c r="G124">
        <v>2005</v>
      </c>
      <c r="H124">
        <v>10</v>
      </c>
      <c r="I124" s="26">
        <v>2005.75000000043</v>
      </c>
      <c r="J124">
        <f t="shared" si="6"/>
        <v>0.79643643287204935</v>
      </c>
      <c r="K124" s="33">
        <f t="shared" si="7"/>
        <v>4.5600000000000307E-2</v>
      </c>
      <c r="L124" s="33">
        <f t="shared" si="8"/>
        <v>3.6317501338965698E-2</v>
      </c>
      <c r="M124" s="31">
        <f t="shared" si="9"/>
        <v>5.5733333333333711E-2</v>
      </c>
    </row>
    <row r="125" spans="1:13" x14ac:dyDescent="0.3">
      <c r="A125">
        <v>2014</v>
      </c>
      <c r="B125">
        <v>8</v>
      </c>
      <c r="C125">
        <v>18</v>
      </c>
      <c r="D125">
        <v>0.7841242319209013</v>
      </c>
      <c r="E125">
        <v>1.5200000000000102E-2</v>
      </c>
      <c r="F125">
        <f t="shared" si="5"/>
        <v>1.191868832519778E-2</v>
      </c>
      <c r="G125">
        <v>2005</v>
      </c>
      <c r="H125">
        <v>9</v>
      </c>
      <c r="I125" s="26">
        <v>2005.6666666670999</v>
      </c>
      <c r="J125">
        <f t="shared" si="6"/>
        <v>0.81399362454070534</v>
      </c>
      <c r="K125" s="33">
        <f t="shared" si="7"/>
        <v>6.0800000000000409E-2</v>
      </c>
      <c r="L125" s="33">
        <f t="shared" si="8"/>
        <v>4.949081237207522E-2</v>
      </c>
      <c r="M125" s="31">
        <f t="shared" si="9"/>
        <v>5.5733333333333711E-2</v>
      </c>
    </row>
    <row r="126" spans="1:13" x14ac:dyDescent="0.3">
      <c r="A126">
        <v>2014</v>
      </c>
      <c r="B126">
        <v>8</v>
      </c>
      <c r="C126">
        <v>13</v>
      </c>
      <c r="D126">
        <v>0.79789380046733638</v>
      </c>
      <c r="E126">
        <v>1.5200000000000102E-2</v>
      </c>
      <c r="F126">
        <f t="shared" si="5"/>
        <v>1.2127985767103595E-2</v>
      </c>
      <c r="G126">
        <v>2005</v>
      </c>
      <c r="H126">
        <v>8</v>
      </c>
      <c r="I126" s="26">
        <v>2005.58333333377</v>
      </c>
      <c r="J126">
        <f t="shared" si="6"/>
        <v>0.85184671482861007</v>
      </c>
      <c r="K126" s="33">
        <f t="shared" si="7"/>
        <v>6.0800000000000409E-2</v>
      </c>
      <c r="L126" s="33">
        <f t="shared" si="8"/>
        <v>5.1792280261579844E-2</v>
      </c>
      <c r="M126" s="31">
        <f t="shared" si="9"/>
        <v>5.5733333333333711E-2</v>
      </c>
    </row>
    <row r="127" spans="1:13" x14ac:dyDescent="0.3">
      <c r="A127">
        <v>2014</v>
      </c>
      <c r="B127">
        <v>8</v>
      </c>
      <c r="C127">
        <v>8</v>
      </c>
      <c r="D127">
        <v>0.80976786999380346</v>
      </c>
      <c r="E127">
        <v>1.5200000000000102E-2</v>
      </c>
      <c r="F127">
        <f t="shared" si="5"/>
        <v>1.2308471623905895E-2</v>
      </c>
      <c r="G127">
        <v>2005</v>
      </c>
      <c r="H127">
        <v>7</v>
      </c>
      <c r="I127" s="26">
        <v>2005.50000000044</v>
      </c>
      <c r="J127">
        <f t="shared" si="6"/>
        <v>0.89183703076264675</v>
      </c>
      <c r="K127" s="33">
        <f t="shared" si="7"/>
        <v>4.5600000000000307E-2</v>
      </c>
      <c r="L127" s="33">
        <f t="shared" si="8"/>
        <v>4.0667768602776967E-2</v>
      </c>
      <c r="M127" s="31">
        <f t="shared" si="9"/>
        <v>0.16720000000000113</v>
      </c>
    </row>
    <row r="128" spans="1:13" x14ac:dyDescent="0.3">
      <c r="A128">
        <v>2014</v>
      </c>
      <c r="B128">
        <v>8</v>
      </c>
      <c r="C128">
        <v>3</v>
      </c>
      <c r="D128">
        <v>0.82337807760300141</v>
      </c>
      <c r="E128">
        <v>1.5200000000000102E-2</v>
      </c>
      <c r="F128">
        <f t="shared" si="5"/>
        <v>1.2515346779565706E-2</v>
      </c>
      <c r="G128">
        <v>2005</v>
      </c>
      <c r="H128">
        <v>6</v>
      </c>
      <c r="I128" s="26">
        <v>2005.4166666671099</v>
      </c>
      <c r="J128">
        <f t="shared" si="6"/>
        <v>0.77528061341164167</v>
      </c>
      <c r="K128" s="33">
        <f t="shared" si="7"/>
        <v>0.39520000000000266</v>
      </c>
      <c r="L128" s="33">
        <f t="shared" si="8"/>
        <v>0.30639089842028283</v>
      </c>
      <c r="M128" s="31">
        <f t="shared" si="9"/>
        <v>0.28373333333333522</v>
      </c>
    </row>
    <row r="129" spans="1:13" x14ac:dyDescent="0.3">
      <c r="A129">
        <v>2014</v>
      </c>
      <c r="B129">
        <v>7</v>
      </c>
      <c r="C129">
        <v>29</v>
      </c>
      <c r="D129">
        <v>0.84030089608998326</v>
      </c>
      <c r="E129">
        <v>1.5200000000000102E-2</v>
      </c>
      <c r="F129">
        <f t="shared" si="5"/>
        <v>1.2772573620567832E-2</v>
      </c>
      <c r="G129">
        <v>2005</v>
      </c>
      <c r="H129">
        <v>5</v>
      </c>
      <c r="I129" s="26">
        <v>2005.33333333378</v>
      </c>
      <c r="J129">
        <f t="shared" si="6"/>
        <v>0.63314838413828778</v>
      </c>
      <c r="K129" s="33">
        <f t="shared" si="7"/>
        <v>0.41040000000000276</v>
      </c>
      <c r="L129" s="33">
        <f t="shared" si="8"/>
        <v>0.25984409685035503</v>
      </c>
      <c r="M129" s="31">
        <f t="shared" si="9"/>
        <v>0.40026666666666938</v>
      </c>
    </row>
    <row r="130" spans="1:13" x14ac:dyDescent="0.3">
      <c r="A130">
        <v>2014</v>
      </c>
      <c r="B130">
        <v>7</v>
      </c>
      <c r="C130">
        <v>24</v>
      </c>
      <c r="D130">
        <v>0.85717461118290361</v>
      </c>
      <c r="E130">
        <v>1.5200000000000102E-2</v>
      </c>
      <c r="F130">
        <f t="shared" si="5"/>
        <v>1.3029054089980223E-2</v>
      </c>
      <c r="G130">
        <v>2005</v>
      </c>
      <c r="H130">
        <v>4</v>
      </c>
      <c r="I130" s="26">
        <v>2005.25000000045</v>
      </c>
      <c r="J130">
        <f t="shared" si="6"/>
        <v>0.53671421426280963</v>
      </c>
      <c r="K130" s="33">
        <f t="shared" si="7"/>
        <v>0.39520000000000266</v>
      </c>
      <c r="L130" s="33">
        <f t="shared" si="8"/>
        <v>0.21210945747666379</v>
      </c>
      <c r="M130" s="31">
        <f t="shared" si="9"/>
        <v>0.40533333333333604</v>
      </c>
    </row>
    <row r="131" spans="1:13" x14ac:dyDescent="0.3">
      <c r="A131">
        <v>2014</v>
      </c>
      <c r="B131">
        <v>7</v>
      </c>
      <c r="C131">
        <v>19</v>
      </c>
      <c r="D131">
        <v>0.87785443628204496</v>
      </c>
      <c r="E131">
        <v>1.5200000000000102E-2</v>
      </c>
      <c r="F131">
        <f t="shared" ref="F131:F194" si="10">D131*E131</f>
        <v>1.3343387431487172E-2</v>
      </c>
      <c r="G131">
        <v>2005</v>
      </c>
      <c r="H131">
        <v>3</v>
      </c>
      <c r="I131" s="26">
        <v>2005.1666666671199</v>
      </c>
      <c r="J131">
        <f t="shared" ref="J131:J194" si="11">AVERAGEIFS(D$2:D$3010,A$2:A$3010,G131,B$2:B$3010,H131)</f>
        <v>0.51765768729339612</v>
      </c>
      <c r="K131" s="33">
        <f t="shared" ref="K131:K194" si="12">SUMIFS(E$2:E$3010,A$2:A$3010,G131,B$2:B$3010,H131)</f>
        <v>0.41040000000000276</v>
      </c>
      <c r="L131" s="33">
        <f t="shared" ref="L131:L194" si="13">J131*K131</f>
        <v>0.21244671486521119</v>
      </c>
      <c r="M131" s="31">
        <f t="shared" si="9"/>
        <v>0.28373333333333522</v>
      </c>
    </row>
    <row r="132" spans="1:13" x14ac:dyDescent="0.3">
      <c r="A132">
        <v>2014</v>
      </c>
      <c r="B132">
        <v>7</v>
      </c>
      <c r="C132">
        <v>14</v>
      </c>
      <c r="D132">
        <v>0.89852119710719669</v>
      </c>
      <c r="E132">
        <v>1.5200000000000102E-2</v>
      </c>
      <c r="F132">
        <f t="shared" si="10"/>
        <v>1.3657522196029481E-2</v>
      </c>
      <c r="G132">
        <v>2005</v>
      </c>
      <c r="H132">
        <v>2</v>
      </c>
      <c r="I132" s="26">
        <v>2005.0833333337901</v>
      </c>
      <c r="J132">
        <f t="shared" si="11"/>
        <v>0.48603796335942723</v>
      </c>
      <c r="K132" s="33">
        <f t="shared" si="12"/>
        <v>4.5600000000000307E-2</v>
      </c>
      <c r="L132" s="33">
        <f t="shared" si="13"/>
        <v>2.2163331129190032E-2</v>
      </c>
      <c r="M132" s="31">
        <f t="shared" ref="M132:M195" si="14">AVERAGE(K131:K133)</f>
        <v>0.16213333333333443</v>
      </c>
    </row>
    <row r="133" spans="1:13" x14ac:dyDescent="0.3">
      <c r="A133">
        <v>2014</v>
      </c>
      <c r="B133">
        <v>7</v>
      </c>
      <c r="C133">
        <v>9</v>
      </c>
      <c r="D133">
        <v>0.91671302297941526</v>
      </c>
      <c r="E133">
        <v>1.5200000000000102E-2</v>
      </c>
      <c r="F133">
        <f t="shared" si="10"/>
        <v>1.3934037949287206E-2</v>
      </c>
      <c r="G133">
        <v>2005</v>
      </c>
      <c r="H133">
        <v>1</v>
      </c>
      <c r="I133" s="26">
        <v>2005.00000000046</v>
      </c>
      <c r="J133">
        <f t="shared" si="11"/>
        <v>0.50426969911727759</v>
      </c>
      <c r="K133" s="33">
        <f t="shared" si="12"/>
        <v>3.0400000000000205E-2</v>
      </c>
      <c r="L133" s="33">
        <f t="shared" si="13"/>
        <v>1.5329798853165343E-2</v>
      </c>
      <c r="M133" s="31">
        <f t="shared" si="14"/>
        <v>3.5466666666666903E-2</v>
      </c>
    </row>
    <row r="134" spans="1:13" x14ac:dyDescent="0.3">
      <c r="A134">
        <v>2014</v>
      </c>
      <c r="B134">
        <v>7</v>
      </c>
      <c r="C134">
        <v>4</v>
      </c>
      <c r="D134">
        <v>0.92672879720370294</v>
      </c>
      <c r="E134">
        <v>1.5200000000000102E-2</v>
      </c>
      <c r="F134">
        <f t="shared" si="10"/>
        <v>1.4086277717496379E-2</v>
      </c>
      <c r="G134">
        <v>2004</v>
      </c>
      <c r="H134">
        <v>12</v>
      </c>
      <c r="I134" s="26">
        <v>2004.9166666671299</v>
      </c>
      <c r="J134">
        <f t="shared" si="11"/>
        <v>0.53114935975554411</v>
      </c>
      <c r="K134" s="33">
        <f t="shared" si="12"/>
        <v>3.0400000000000205E-2</v>
      </c>
      <c r="L134" s="33">
        <f t="shared" si="13"/>
        <v>1.6146940536568649E-2</v>
      </c>
      <c r="M134" s="31">
        <f t="shared" si="14"/>
        <v>3.5466666666666903E-2</v>
      </c>
    </row>
    <row r="135" spans="1:13" x14ac:dyDescent="0.3">
      <c r="A135">
        <v>2014</v>
      </c>
      <c r="B135">
        <v>6</v>
      </c>
      <c r="C135">
        <v>30</v>
      </c>
      <c r="D135">
        <v>0.92936716569015576</v>
      </c>
      <c r="E135">
        <v>1.5200000000000102E-2</v>
      </c>
      <c r="F135">
        <f t="shared" si="10"/>
        <v>1.4126380918490463E-2</v>
      </c>
      <c r="G135">
        <v>2004</v>
      </c>
      <c r="H135">
        <v>11</v>
      </c>
      <c r="I135" s="26">
        <v>2004.8333333338001</v>
      </c>
      <c r="J135">
        <f t="shared" si="11"/>
        <v>0.57107793358818271</v>
      </c>
      <c r="K135" s="33">
        <f t="shared" si="12"/>
        <v>4.5600000000000307E-2</v>
      </c>
      <c r="L135" s="33">
        <f t="shared" si="13"/>
        <v>2.6041153771621306E-2</v>
      </c>
      <c r="M135" s="31">
        <f t="shared" si="14"/>
        <v>3.5466666666666903E-2</v>
      </c>
    </row>
    <row r="136" spans="1:13" x14ac:dyDescent="0.3">
      <c r="A136">
        <v>2014</v>
      </c>
      <c r="B136">
        <v>6</v>
      </c>
      <c r="C136">
        <v>27</v>
      </c>
      <c r="D136">
        <v>0.92866887474462179</v>
      </c>
      <c r="E136">
        <v>1.5200000000000102E-2</v>
      </c>
      <c r="F136">
        <f t="shared" si="10"/>
        <v>1.4115766896118346E-2</v>
      </c>
      <c r="G136">
        <v>2004</v>
      </c>
      <c r="H136">
        <v>10</v>
      </c>
      <c r="I136" s="26">
        <v>2004.75000000047</v>
      </c>
      <c r="J136">
        <f t="shared" si="11"/>
        <v>0.60359101986382269</v>
      </c>
      <c r="K136" s="33">
        <f t="shared" si="12"/>
        <v>3.0400000000000205E-2</v>
      </c>
      <c r="L136" s="33">
        <f t="shared" si="13"/>
        <v>1.8349167003860332E-2</v>
      </c>
      <c r="M136" s="31">
        <f t="shared" si="14"/>
        <v>4.0533333333333608E-2</v>
      </c>
    </row>
    <row r="137" spans="1:13" x14ac:dyDescent="0.3">
      <c r="A137">
        <v>2014</v>
      </c>
      <c r="B137">
        <v>6</v>
      </c>
      <c r="C137">
        <v>25</v>
      </c>
      <c r="D137">
        <v>0.92521319435365501</v>
      </c>
      <c r="E137">
        <v>1.5200000000000102E-2</v>
      </c>
      <c r="F137">
        <f t="shared" si="10"/>
        <v>1.4063240554175651E-2</v>
      </c>
      <c r="G137">
        <v>2004</v>
      </c>
      <c r="H137">
        <v>9</v>
      </c>
      <c r="I137" s="26">
        <v>2004.6666666671399</v>
      </c>
      <c r="J137">
        <f t="shared" si="11"/>
        <v>0.62946911853128651</v>
      </c>
      <c r="K137" s="33">
        <f t="shared" si="12"/>
        <v>4.5600000000000307E-2</v>
      </c>
      <c r="L137" s="33">
        <f t="shared" si="13"/>
        <v>2.8703791805026857E-2</v>
      </c>
      <c r="M137" s="31">
        <f t="shared" si="14"/>
        <v>3.5466666666666903E-2</v>
      </c>
    </row>
    <row r="138" spans="1:13" x14ac:dyDescent="0.3">
      <c r="A138">
        <v>2014</v>
      </c>
      <c r="B138">
        <v>6</v>
      </c>
      <c r="C138">
        <v>23</v>
      </c>
      <c r="D138">
        <v>0.9179918401565893</v>
      </c>
      <c r="E138">
        <v>1.5200000000000102E-2</v>
      </c>
      <c r="F138">
        <f t="shared" si="10"/>
        <v>1.3953475970380252E-2</v>
      </c>
      <c r="G138">
        <v>2004</v>
      </c>
      <c r="H138">
        <v>8</v>
      </c>
      <c r="I138" s="26">
        <v>2004.5833333338101</v>
      </c>
      <c r="J138">
        <f t="shared" si="11"/>
        <v>0.65600801180445001</v>
      </c>
      <c r="K138" s="33">
        <f t="shared" si="12"/>
        <v>3.0400000000000205E-2</v>
      </c>
      <c r="L138" s="33">
        <f t="shared" si="13"/>
        <v>1.9942643558855413E-2</v>
      </c>
      <c r="M138" s="31">
        <f t="shared" si="14"/>
        <v>3.5466666666666903E-2</v>
      </c>
    </row>
    <row r="139" spans="1:13" x14ac:dyDescent="0.3">
      <c r="A139">
        <v>2014</v>
      </c>
      <c r="B139">
        <v>6</v>
      </c>
      <c r="C139">
        <v>21</v>
      </c>
      <c r="D139">
        <v>0.90991361861791753</v>
      </c>
      <c r="E139">
        <v>1.5200000000000102E-2</v>
      </c>
      <c r="F139">
        <f t="shared" si="10"/>
        <v>1.3830687002992439E-2</v>
      </c>
      <c r="G139">
        <v>2004</v>
      </c>
      <c r="H139">
        <v>7</v>
      </c>
      <c r="I139" s="26">
        <v>2004.50000000048</v>
      </c>
      <c r="J139">
        <f t="shared" si="11"/>
        <v>0.67041860437029221</v>
      </c>
      <c r="K139" s="33">
        <f t="shared" si="12"/>
        <v>3.0400000000000205E-2</v>
      </c>
      <c r="L139" s="33">
        <f t="shared" si="13"/>
        <v>2.0380725572857021E-2</v>
      </c>
      <c r="M139" s="31">
        <f t="shared" si="14"/>
        <v>0.10133333333333401</v>
      </c>
    </row>
    <row r="140" spans="1:13" x14ac:dyDescent="0.3">
      <c r="A140">
        <v>2014</v>
      </c>
      <c r="B140">
        <v>6</v>
      </c>
      <c r="C140">
        <v>19</v>
      </c>
      <c r="D140">
        <v>0.90300272835129825</v>
      </c>
      <c r="E140">
        <v>1.5200000000000102E-2</v>
      </c>
      <c r="F140">
        <f t="shared" si="10"/>
        <v>1.3725641470939826E-2</v>
      </c>
      <c r="G140">
        <v>2004</v>
      </c>
      <c r="H140">
        <v>6</v>
      </c>
      <c r="I140" s="26">
        <v>2004.4166666671499</v>
      </c>
      <c r="J140">
        <f t="shared" si="11"/>
        <v>0.67809993978502525</v>
      </c>
      <c r="K140" s="33">
        <f t="shared" si="12"/>
        <v>0.24320000000000164</v>
      </c>
      <c r="L140" s="33">
        <f t="shared" si="13"/>
        <v>0.16491390535571926</v>
      </c>
      <c r="M140" s="31">
        <f t="shared" si="14"/>
        <v>0.17733333333333454</v>
      </c>
    </row>
    <row r="141" spans="1:13" x14ac:dyDescent="0.3">
      <c r="A141">
        <v>2014</v>
      </c>
      <c r="B141">
        <v>6</v>
      </c>
      <c r="C141">
        <v>17</v>
      </c>
      <c r="D141">
        <v>0.88991156853060083</v>
      </c>
      <c r="E141">
        <v>1.5200000000000102E-2</v>
      </c>
      <c r="F141">
        <f t="shared" si="10"/>
        <v>1.3526655841665224E-2</v>
      </c>
      <c r="G141">
        <v>2004</v>
      </c>
      <c r="H141">
        <v>5</v>
      </c>
      <c r="I141" s="26">
        <v>2004.3333333338201</v>
      </c>
      <c r="J141">
        <f t="shared" si="11"/>
        <v>0.6263882369705881</v>
      </c>
      <c r="K141" s="33">
        <f t="shared" si="12"/>
        <v>0.25840000000000174</v>
      </c>
      <c r="L141" s="33">
        <f t="shared" si="13"/>
        <v>0.16185872043320104</v>
      </c>
      <c r="M141" s="31">
        <f t="shared" si="14"/>
        <v>0.24826666666666833</v>
      </c>
    </row>
    <row r="142" spans="1:13" x14ac:dyDescent="0.3">
      <c r="A142">
        <v>2014</v>
      </c>
      <c r="B142">
        <v>6</v>
      </c>
      <c r="C142">
        <v>15</v>
      </c>
      <c r="D142">
        <v>0.87471130886560766</v>
      </c>
      <c r="E142">
        <v>1.5200000000000102E-2</v>
      </c>
      <c r="F142">
        <f t="shared" si="10"/>
        <v>1.3295611894757326E-2</v>
      </c>
      <c r="G142">
        <v>2004</v>
      </c>
      <c r="H142">
        <v>4</v>
      </c>
      <c r="I142" s="26">
        <v>2004.25000000049</v>
      </c>
      <c r="J142">
        <f t="shared" si="11"/>
        <v>0.53232947834175059</v>
      </c>
      <c r="K142" s="33">
        <f t="shared" si="12"/>
        <v>0.24320000000000164</v>
      </c>
      <c r="L142" s="33">
        <f t="shared" si="13"/>
        <v>0.12946252913271461</v>
      </c>
      <c r="M142" s="31">
        <f t="shared" si="14"/>
        <v>0.25333333333333502</v>
      </c>
    </row>
    <row r="143" spans="1:13" x14ac:dyDescent="0.3">
      <c r="A143">
        <v>2014</v>
      </c>
      <c r="B143">
        <v>6</v>
      </c>
      <c r="C143">
        <v>13</v>
      </c>
      <c r="D143">
        <v>0.85514701739037347</v>
      </c>
      <c r="E143">
        <v>1.5200000000000102E-2</v>
      </c>
      <c r="F143">
        <f t="shared" si="10"/>
        <v>1.2998234664333764E-2</v>
      </c>
      <c r="G143">
        <v>2004</v>
      </c>
      <c r="H143">
        <v>3</v>
      </c>
      <c r="I143" s="26">
        <v>2004.1666666671599</v>
      </c>
      <c r="J143">
        <f t="shared" si="11"/>
        <v>0.62606885025986869</v>
      </c>
      <c r="K143" s="33">
        <f t="shared" si="12"/>
        <v>0.25840000000000174</v>
      </c>
      <c r="L143" s="33">
        <f t="shared" si="13"/>
        <v>0.16177619090715115</v>
      </c>
      <c r="M143" s="31">
        <f t="shared" si="14"/>
        <v>0.17733333333333454</v>
      </c>
    </row>
    <row r="144" spans="1:13" x14ac:dyDescent="0.3">
      <c r="A144">
        <v>2014</v>
      </c>
      <c r="B144">
        <v>6</v>
      </c>
      <c r="C144">
        <v>11</v>
      </c>
      <c r="D144">
        <v>0.83511510778784381</v>
      </c>
      <c r="E144">
        <v>1.5200000000000102E-2</v>
      </c>
      <c r="F144">
        <f t="shared" si="10"/>
        <v>1.2693749638375312E-2</v>
      </c>
      <c r="G144">
        <v>2004</v>
      </c>
      <c r="H144">
        <v>2</v>
      </c>
      <c r="I144" s="26">
        <v>2004.0833333338301</v>
      </c>
      <c r="J144">
        <f t="shared" si="11"/>
        <v>0.64446284291611433</v>
      </c>
      <c r="K144" s="33">
        <f t="shared" si="12"/>
        <v>3.0400000000000205E-2</v>
      </c>
      <c r="L144" s="33">
        <f t="shared" si="13"/>
        <v>1.9591670424650008E-2</v>
      </c>
      <c r="M144" s="31">
        <f t="shared" si="14"/>
        <v>0.10133333333333401</v>
      </c>
    </row>
    <row r="145" spans="1:13" x14ac:dyDescent="0.3">
      <c r="A145">
        <v>2014</v>
      </c>
      <c r="B145">
        <v>6</v>
      </c>
      <c r="C145">
        <v>9</v>
      </c>
      <c r="D145">
        <v>0.81321771641313412</v>
      </c>
      <c r="E145">
        <v>1.5200000000000102E-2</v>
      </c>
      <c r="F145">
        <f t="shared" si="10"/>
        <v>1.2360909289479721E-2</v>
      </c>
      <c r="G145">
        <v>2004</v>
      </c>
      <c r="H145">
        <v>1</v>
      </c>
      <c r="I145" s="26">
        <v>2004.0000000005</v>
      </c>
      <c r="J145">
        <f t="shared" si="11"/>
        <v>0.64989718527796869</v>
      </c>
      <c r="K145" s="33">
        <f t="shared" si="12"/>
        <v>1.5200000000000102E-2</v>
      </c>
      <c r="L145" s="33">
        <f t="shared" si="13"/>
        <v>9.8784372162251909E-3</v>
      </c>
      <c r="M145" s="31">
        <f t="shared" si="14"/>
        <v>2.5333333333333503E-2</v>
      </c>
    </row>
    <row r="146" spans="1:13" x14ac:dyDescent="0.3">
      <c r="A146">
        <v>2014</v>
      </c>
      <c r="B146">
        <v>6</v>
      </c>
      <c r="C146">
        <v>7</v>
      </c>
      <c r="D146">
        <v>0.79565328410265956</v>
      </c>
      <c r="E146">
        <v>1.5200000000000102E-2</v>
      </c>
      <c r="F146">
        <f t="shared" si="10"/>
        <v>1.2093929918360507E-2</v>
      </c>
      <c r="G146">
        <v>2003</v>
      </c>
      <c r="H146">
        <v>12</v>
      </c>
      <c r="I146" s="26">
        <v>2003.9166666671699</v>
      </c>
      <c r="J146">
        <f t="shared" si="11"/>
        <v>0.65990327887230649</v>
      </c>
      <c r="K146" s="33">
        <f t="shared" si="12"/>
        <v>3.0400000000000205E-2</v>
      </c>
      <c r="L146" s="33">
        <f t="shared" si="13"/>
        <v>2.0061059677718252E-2</v>
      </c>
      <c r="M146" s="31">
        <f t="shared" si="14"/>
        <v>2.0266666666666804E-2</v>
      </c>
    </row>
    <row r="147" spans="1:13" x14ac:dyDescent="0.3">
      <c r="A147">
        <v>2014</v>
      </c>
      <c r="B147">
        <v>6</v>
      </c>
      <c r="C147">
        <v>5</v>
      </c>
      <c r="D147">
        <v>0.7787322066708896</v>
      </c>
      <c r="E147">
        <v>1.5200000000000102E-2</v>
      </c>
      <c r="F147">
        <f t="shared" si="10"/>
        <v>1.1836729541397601E-2</v>
      </c>
      <c r="G147">
        <v>2003</v>
      </c>
      <c r="H147">
        <v>11</v>
      </c>
      <c r="I147" s="26">
        <v>2003.8333333338401</v>
      </c>
      <c r="J147">
        <f t="shared" si="11"/>
        <v>0.67304759075835086</v>
      </c>
      <c r="K147" s="33">
        <f t="shared" si="12"/>
        <v>1.5200000000000102E-2</v>
      </c>
      <c r="L147" s="33">
        <f t="shared" si="13"/>
        <v>1.0230323379527001E-2</v>
      </c>
      <c r="M147" s="31">
        <f t="shared" si="14"/>
        <v>2.5333333333333503E-2</v>
      </c>
    </row>
    <row r="148" spans="1:13" x14ac:dyDescent="0.3">
      <c r="A148">
        <v>2014</v>
      </c>
      <c r="B148">
        <v>6</v>
      </c>
      <c r="C148">
        <v>3</v>
      </c>
      <c r="D148">
        <v>0.76480631523704212</v>
      </c>
      <c r="E148">
        <v>1.5200000000000102E-2</v>
      </c>
      <c r="F148">
        <f t="shared" si="10"/>
        <v>1.1625055991603118E-2</v>
      </c>
      <c r="G148">
        <v>2003</v>
      </c>
      <c r="H148">
        <v>10</v>
      </c>
      <c r="I148" s="26">
        <v>2003.75000000051</v>
      </c>
      <c r="J148">
        <f t="shared" si="11"/>
        <v>0.69157191473981006</v>
      </c>
      <c r="K148" s="33">
        <f t="shared" si="12"/>
        <v>3.0400000000000205E-2</v>
      </c>
      <c r="L148" s="33">
        <f t="shared" si="13"/>
        <v>2.1023786208090367E-2</v>
      </c>
      <c r="M148" s="31">
        <f t="shared" si="14"/>
        <v>2.0266666666666804E-2</v>
      </c>
    </row>
    <row r="149" spans="1:13" x14ac:dyDescent="0.3">
      <c r="A149">
        <v>2014</v>
      </c>
      <c r="B149">
        <v>6</v>
      </c>
      <c r="C149">
        <v>1</v>
      </c>
      <c r="D149">
        <v>0.74844772500559575</v>
      </c>
      <c r="E149">
        <v>1.5200000000000102E-2</v>
      </c>
      <c r="F149">
        <f t="shared" si="10"/>
        <v>1.1376405420085133E-2</v>
      </c>
      <c r="G149">
        <v>2003</v>
      </c>
      <c r="H149">
        <v>9</v>
      </c>
      <c r="I149" s="26">
        <v>2003.6666666671799</v>
      </c>
      <c r="J149">
        <f t="shared" si="11"/>
        <v>0.71773577316609505</v>
      </c>
      <c r="K149" s="33">
        <f t="shared" si="12"/>
        <v>1.5200000000000102E-2</v>
      </c>
      <c r="L149" s="33">
        <f t="shared" si="13"/>
        <v>1.0909583752124719E-2</v>
      </c>
      <c r="M149" s="31">
        <f t="shared" si="14"/>
        <v>2.5333333333333503E-2</v>
      </c>
    </row>
    <row r="150" spans="1:13" x14ac:dyDescent="0.3">
      <c r="A150">
        <v>2014</v>
      </c>
      <c r="B150">
        <v>5</v>
      </c>
      <c r="C150">
        <v>30</v>
      </c>
      <c r="D150">
        <v>0.73560586560235808</v>
      </c>
      <c r="E150">
        <v>1.5200000000000102E-2</v>
      </c>
      <c r="F150">
        <f t="shared" si="10"/>
        <v>1.1181209157155918E-2</v>
      </c>
      <c r="G150">
        <v>2003</v>
      </c>
      <c r="H150">
        <v>8</v>
      </c>
      <c r="I150" s="26">
        <v>2003.5833333338501</v>
      </c>
      <c r="J150">
        <f t="shared" si="11"/>
        <v>0.74468713306743073</v>
      </c>
      <c r="K150" s="33">
        <f t="shared" si="12"/>
        <v>3.0400000000000205E-2</v>
      </c>
      <c r="L150" s="33">
        <f t="shared" si="13"/>
        <v>2.2638488845250045E-2</v>
      </c>
      <c r="M150" s="31">
        <f t="shared" si="14"/>
        <v>2.0266666666666804E-2</v>
      </c>
    </row>
    <row r="151" spans="1:13" x14ac:dyDescent="0.3">
      <c r="A151">
        <v>2014</v>
      </c>
      <c r="B151">
        <v>5</v>
      </c>
      <c r="C151">
        <v>28</v>
      </c>
      <c r="D151">
        <v>0.72500552498908666</v>
      </c>
      <c r="E151">
        <v>1.5200000000000102E-2</v>
      </c>
      <c r="F151">
        <f t="shared" si="10"/>
        <v>1.1020083979834191E-2</v>
      </c>
      <c r="G151">
        <v>2003</v>
      </c>
      <c r="H151">
        <v>7</v>
      </c>
      <c r="I151" s="26">
        <v>2003.50000000052</v>
      </c>
      <c r="J151">
        <f t="shared" si="11"/>
        <v>0.76613692290222568</v>
      </c>
      <c r="K151" s="33">
        <f t="shared" si="12"/>
        <v>1.5200000000000102E-2</v>
      </c>
      <c r="L151" s="33">
        <f t="shared" si="13"/>
        <v>1.1645281228113908E-2</v>
      </c>
      <c r="M151" s="31">
        <f t="shared" si="14"/>
        <v>9.1200000000000614E-2</v>
      </c>
    </row>
    <row r="152" spans="1:13" x14ac:dyDescent="0.3">
      <c r="A152">
        <v>2014</v>
      </c>
      <c r="B152">
        <v>5</v>
      </c>
      <c r="C152">
        <v>26</v>
      </c>
      <c r="D152">
        <v>0.71744584466873285</v>
      </c>
      <c r="E152">
        <v>1.5200000000000102E-2</v>
      </c>
      <c r="F152">
        <f t="shared" si="10"/>
        <v>1.0905176838964813E-2</v>
      </c>
      <c r="G152">
        <v>2003</v>
      </c>
      <c r="H152">
        <v>6</v>
      </c>
      <c r="I152" s="26">
        <v>2003.4166666671899</v>
      </c>
      <c r="J152">
        <f t="shared" si="11"/>
        <v>0.69687424707685941</v>
      </c>
      <c r="K152" s="33">
        <f t="shared" si="12"/>
        <v>0.22800000000000153</v>
      </c>
      <c r="L152" s="33">
        <f t="shared" si="13"/>
        <v>0.15888732833352501</v>
      </c>
      <c r="M152" s="31">
        <f t="shared" si="14"/>
        <v>0.15706666666666771</v>
      </c>
    </row>
    <row r="153" spans="1:13" x14ac:dyDescent="0.3">
      <c r="A153">
        <v>2014</v>
      </c>
      <c r="B153">
        <v>5</v>
      </c>
      <c r="C153">
        <v>24</v>
      </c>
      <c r="D153">
        <v>0.71154042364540704</v>
      </c>
      <c r="E153">
        <v>1.5200000000000102E-2</v>
      </c>
      <c r="F153">
        <f t="shared" si="10"/>
        <v>1.0815414439410261E-2</v>
      </c>
      <c r="G153">
        <v>2003</v>
      </c>
      <c r="H153">
        <v>5</v>
      </c>
      <c r="I153" s="26">
        <v>2003.3333333338601</v>
      </c>
      <c r="J153">
        <f t="shared" si="11"/>
        <v>0.67127847547247455</v>
      </c>
      <c r="K153" s="33">
        <f t="shared" si="12"/>
        <v>0.22800000000000153</v>
      </c>
      <c r="L153" s="33">
        <f t="shared" si="13"/>
        <v>0.15305149240772523</v>
      </c>
      <c r="M153" s="31">
        <f t="shared" si="14"/>
        <v>0.22293333333333484</v>
      </c>
    </row>
    <row r="154" spans="1:13" x14ac:dyDescent="0.3">
      <c r="A154">
        <v>2014</v>
      </c>
      <c r="B154">
        <v>5</v>
      </c>
      <c r="C154">
        <v>22</v>
      </c>
      <c r="D154">
        <v>0.71028268642709058</v>
      </c>
      <c r="E154">
        <v>1.5200000000000102E-2</v>
      </c>
      <c r="F154">
        <f t="shared" si="10"/>
        <v>1.079629683369185E-2</v>
      </c>
      <c r="G154">
        <v>2003</v>
      </c>
      <c r="H154">
        <v>4</v>
      </c>
      <c r="I154" s="26">
        <v>2003.25000000053</v>
      </c>
      <c r="J154">
        <f t="shared" si="11"/>
        <v>0.62408603739611712</v>
      </c>
      <c r="K154" s="33">
        <f t="shared" si="12"/>
        <v>0.21280000000000143</v>
      </c>
      <c r="L154" s="33">
        <f t="shared" si="13"/>
        <v>0.13280550875789462</v>
      </c>
      <c r="M154" s="31">
        <f t="shared" si="14"/>
        <v>0.22293333333333484</v>
      </c>
    </row>
    <row r="155" spans="1:13" x14ac:dyDescent="0.3">
      <c r="A155">
        <v>2014</v>
      </c>
      <c r="B155">
        <v>5</v>
      </c>
      <c r="C155">
        <v>20</v>
      </c>
      <c r="D155">
        <v>0.70820569843077608</v>
      </c>
      <c r="E155">
        <v>1.5200000000000102E-2</v>
      </c>
      <c r="F155">
        <f t="shared" si="10"/>
        <v>1.0764726616147869E-2</v>
      </c>
      <c r="G155">
        <v>2003</v>
      </c>
      <c r="H155">
        <v>3</v>
      </c>
      <c r="I155" s="26">
        <v>2003.1666666671999</v>
      </c>
      <c r="J155">
        <f t="shared" si="11"/>
        <v>0.55101318559489398</v>
      </c>
      <c r="K155" s="33">
        <f t="shared" si="12"/>
        <v>0.22800000000000153</v>
      </c>
      <c r="L155" s="33">
        <f t="shared" si="13"/>
        <v>0.12563100631563667</v>
      </c>
      <c r="M155" s="31">
        <f t="shared" si="14"/>
        <v>0.17226666666666782</v>
      </c>
    </row>
    <row r="156" spans="1:13" x14ac:dyDescent="0.3">
      <c r="A156">
        <v>2014</v>
      </c>
      <c r="B156">
        <v>5</v>
      </c>
      <c r="C156">
        <v>18</v>
      </c>
      <c r="D156">
        <v>0.70572019311391143</v>
      </c>
      <c r="E156">
        <v>1.5200000000000102E-2</v>
      </c>
      <c r="F156">
        <f t="shared" si="10"/>
        <v>1.0726946935331525E-2</v>
      </c>
      <c r="G156">
        <v>2003</v>
      </c>
      <c r="H156">
        <v>2</v>
      </c>
      <c r="I156" s="26">
        <v>2003.0833333338701</v>
      </c>
      <c r="J156">
        <f t="shared" si="11"/>
        <v>0.51391616335838208</v>
      </c>
      <c r="K156" s="33">
        <f t="shared" si="12"/>
        <v>7.6000000000000512E-2</v>
      </c>
      <c r="L156" s="33">
        <f t="shared" si="13"/>
        <v>3.90576284152373E-2</v>
      </c>
      <c r="M156" s="31">
        <f t="shared" si="14"/>
        <v>0.12666666666666751</v>
      </c>
    </row>
    <row r="157" spans="1:13" x14ac:dyDescent="0.3">
      <c r="A157">
        <v>2014</v>
      </c>
      <c r="B157">
        <v>5</v>
      </c>
      <c r="C157">
        <v>16</v>
      </c>
      <c r="D157">
        <v>0.70664557824688279</v>
      </c>
      <c r="E157">
        <v>1.5200000000000102E-2</v>
      </c>
      <c r="F157">
        <f t="shared" si="10"/>
        <v>1.074101278935269E-2</v>
      </c>
      <c r="G157">
        <v>2003</v>
      </c>
      <c r="H157">
        <v>1</v>
      </c>
      <c r="I157" s="26">
        <v>2003.00000000054</v>
      </c>
      <c r="J157">
        <f t="shared" si="11"/>
        <v>0.57034551490956797</v>
      </c>
      <c r="K157" s="33">
        <f t="shared" si="12"/>
        <v>7.6000000000000512E-2</v>
      </c>
      <c r="L157" s="33">
        <f t="shared" si="13"/>
        <v>4.3346259133127459E-2</v>
      </c>
      <c r="M157" s="31">
        <f t="shared" si="14"/>
        <v>8.1066666666667217E-2</v>
      </c>
    </row>
    <row r="158" spans="1:13" x14ac:dyDescent="0.3">
      <c r="A158">
        <v>2014</v>
      </c>
      <c r="B158">
        <v>5</v>
      </c>
      <c r="C158">
        <v>14</v>
      </c>
      <c r="D158">
        <v>0.70798154525526291</v>
      </c>
      <c r="E158">
        <v>1.5200000000000102E-2</v>
      </c>
      <c r="F158">
        <f t="shared" si="10"/>
        <v>1.0761319487880068E-2</v>
      </c>
      <c r="G158">
        <v>2002</v>
      </c>
      <c r="H158">
        <v>12</v>
      </c>
      <c r="I158" s="26">
        <v>2002.9166666672099</v>
      </c>
      <c r="J158">
        <f t="shared" si="11"/>
        <v>0.65287931876494254</v>
      </c>
      <c r="K158" s="33">
        <f t="shared" si="12"/>
        <v>9.1200000000000614E-2</v>
      </c>
      <c r="L158" s="33">
        <f t="shared" si="13"/>
        <v>5.954259387136316E-2</v>
      </c>
      <c r="M158" s="31">
        <f t="shared" si="14"/>
        <v>8.1066666666667217E-2</v>
      </c>
    </row>
    <row r="159" spans="1:13" x14ac:dyDescent="0.3">
      <c r="A159">
        <v>2014</v>
      </c>
      <c r="B159">
        <v>5</v>
      </c>
      <c r="C159">
        <v>12</v>
      </c>
      <c r="D159">
        <v>0.71095938804316727</v>
      </c>
      <c r="E159">
        <v>1.5200000000000102E-2</v>
      </c>
      <c r="F159">
        <f t="shared" si="10"/>
        <v>1.0806582698256215E-2</v>
      </c>
      <c r="G159">
        <v>2002</v>
      </c>
      <c r="H159">
        <v>11</v>
      </c>
      <c r="I159" s="26">
        <v>2002.8333333338801</v>
      </c>
      <c r="J159">
        <f t="shared" si="11"/>
        <v>0.67046303735048185</v>
      </c>
      <c r="K159" s="33">
        <f t="shared" si="12"/>
        <v>7.6000000000000512E-2</v>
      </c>
      <c r="L159" s="33">
        <f t="shared" si="13"/>
        <v>5.0955190838636963E-2</v>
      </c>
      <c r="M159" s="31">
        <f t="shared" si="14"/>
        <v>8.1066666666667217E-2</v>
      </c>
    </row>
    <row r="160" spans="1:13" x14ac:dyDescent="0.3">
      <c r="A160">
        <v>2014</v>
      </c>
      <c r="B160">
        <v>5</v>
      </c>
      <c r="C160">
        <v>10</v>
      </c>
      <c r="D160">
        <v>0.71558580275212214</v>
      </c>
      <c r="E160">
        <v>1.5200000000000102E-2</v>
      </c>
      <c r="F160">
        <f t="shared" si="10"/>
        <v>1.087690420183233E-2</v>
      </c>
      <c r="G160">
        <v>2002</v>
      </c>
      <c r="H160">
        <v>10</v>
      </c>
      <c r="I160" s="26">
        <v>2002.75000000055</v>
      </c>
      <c r="J160">
        <f t="shared" si="11"/>
        <v>0.69498127956047351</v>
      </c>
      <c r="K160" s="33">
        <f t="shared" si="12"/>
        <v>7.6000000000000512E-2</v>
      </c>
      <c r="L160" s="33">
        <f t="shared" si="13"/>
        <v>5.2818577246596339E-2</v>
      </c>
      <c r="M160" s="31">
        <f t="shared" si="14"/>
        <v>7.6000000000000512E-2</v>
      </c>
    </row>
    <row r="161" spans="1:13" x14ac:dyDescent="0.3">
      <c r="A161">
        <v>2014</v>
      </c>
      <c r="B161">
        <v>5</v>
      </c>
      <c r="C161">
        <v>8</v>
      </c>
      <c r="D161">
        <v>0.72241880408245507</v>
      </c>
      <c r="E161">
        <v>1.5200000000000102E-2</v>
      </c>
      <c r="F161">
        <f t="shared" si="10"/>
        <v>1.0980765822053391E-2</v>
      </c>
      <c r="G161">
        <v>2002</v>
      </c>
      <c r="H161">
        <v>9</v>
      </c>
      <c r="I161" s="26">
        <v>2002.6666666672199</v>
      </c>
      <c r="J161">
        <f t="shared" si="11"/>
        <v>0.71108225798321523</v>
      </c>
      <c r="K161" s="33">
        <f t="shared" si="12"/>
        <v>7.6000000000000512E-2</v>
      </c>
      <c r="L161" s="33">
        <f t="shared" si="13"/>
        <v>5.4042251606724719E-2</v>
      </c>
      <c r="M161" s="31">
        <f t="shared" si="14"/>
        <v>7.6000000000000512E-2</v>
      </c>
    </row>
    <row r="162" spans="1:13" x14ac:dyDescent="0.3">
      <c r="A162">
        <v>2014</v>
      </c>
      <c r="B162">
        <v>5</v>
      </c>
      <c r="C162">
        <v>6</v>
      </c>
      <c r="D162">
        <v>0.72541792968802776</v>
      </c>
      <c r="E162">
        <v>1.5200000000000102E-2</v>
      </c>
      <c r="F162">
        <f t="shared" si="10"/>
        <v>1.1026352531258096E-2</v>
      </c>
      <c r="G162">
        <v>2002</v>
      </c>
      <c r="H162">
        <v>8</v>
      </c>
      <c r="I162" s="26">
        <v>2002.5833333338901</v>
      </c>
      <c r="J162">
        <f t="shared" si="11"/>
        <v>0.75155944493120541</v>
      </c>
      <c r="K162" s="33">
        <f t="shared" si="12"/>
        <v>7.6000000000000512E-2</v>
      </c>
      <c r="L162" s="33">
        <f t="shared" si="13"/>
        <v>5.7118517814771994E-2</v>
      </c>
      <c r="M162" s="31">
        <f t="shared" si="14"/>
        <v>7.6000000000000512E-2</v>
      </c>
    </row>
    <row r="163" spans="1:13" x14ac:dyDescent="0.3">
      <c r="A163">
        <v>2014</v>
      </c>
      <c r="B163">
        <v>5</v>
      </c>
      <c r="C163">
        <v>4</v>
      </c>
      <c r="D163">
        <v>0.72553056181836306</v>
      </c>
      <c r="E163">
        <v>1.5200000000000102E-2</v>
      </c>
      <c r="F163">
        <f t="shared" si="10"/>
        <v>1.1028064539639193E-2</v>
      </c>
      <c r="G163">
        <v>2002</v>
      </c>
      <c r="H163">
        <v>7</v>
      </c>
      <c r="I163" s="26">
        <v>2002.50000000056</v>
      </c>
      <c r="J163">
        <f t="shared" si="11"/>
        <v>0.77253629475168484</v>
      </c>
      <c r="K163" s="33">
        <f t="shared" si="12"/>
        <v>7.6000000000000512E-2</v>
      </c>
      <c r="L163" s="33">
        <f t="shared" si="13"/>
        <v>5.871275840112844E-2</v>
      </c>
      <c r="M163" s="31">
        <f t="shared" si="14"/>
        <v>0.11653333333333411</v>
      </c>
    </row>
    <row r="164" spans="1:13" x14ac:dyDescent="0.3">
      <c r="A164">
        <v>2014</v>
      </c>
      <c r="B164">
        <v>5</v>
      </c>
      <c r="C164">
        <v>2</v>
      </c>
      <c r="D164">
        <v>0.72247993790578668</v>
      </c>
      <c r="E164">
        <v>1.5200000000000102E-2</v>
      </c>
      <c r="F164">
        <f t="shared" si="10"/>
        <v>1.0981695056168032E-2</v>
      </c>
      <c r="G164">
        <v>2002</v>
      </c>
      <c r="H164">
        <v>6</v>
      </c>
      <c r="I164" s="26">
        <v>2002.4166666672299</v>
      </c>
      <c r="J164">
        <f t="shared" si="11"/>
        <v>0.73112328624835554</v>
      </c>
      <c r="K164" s="33">
        <f t="shared" si="12"/>
        <v>0.19760000000000133</v>
      </c>
      <c r="L164" s="33">
        <f t="shared" si="13"/>
        <v>0.14446996136267604</v>
      </c>
      <c r="M164" s="31">
        <f t="shared" si="14"/>
        <v>0.15706666666666771</v>
      </c>
    </row>
    <row r="165" spans="1:13" x14ac:dyDescent="0.3">
      <c r="A165">
        <v>2014</v>
      </c>
      <c r="B165">
        <v>4</v>
      </c>
      <c r="C165">
        <v>30</v>
      </c>
      <c r="D165">
        <v>0.71435202862452951</v>
      </c>
      <c r="E165">
        <v>1.5200000000000102E-2</v>
      </c>
      <c r="F165">
        <f t="shared" si="10"/>
        <v>1.0858150835092922E-2</v>
      </c>
      <c r="G165">
        <v>2002</v>
      </c>
      <c r="H165">
        <v>5</v>
      </c>
      <c r="I165" s="26">
        <v>2002.3333333339001</v>
      </c>
      <c r="J165">
        <f t="shared" si="11"/>
        <v>0.66822117760632926</v>
      </c>
      <c r="K165" s="33">
        <f t="shared" si="12"/>
        <v>0.19760000000000133</v>
      </c>
      <c r="L165" s="33">
        <f t="shared" si="13"/>
        <v>0.13204050469501155</v>
      </c>
      <c r="M165" s="31">
        <f t="shared" si="14"/>
        <v>0.19253333333333464</v>
      </c>
    </row>
    <row r="166" spans="1:13" x14ac:dyDescent="0.3">
      <c r="A166">
        <v>2014</v>
      </c>
      <c r="B166">
        <v>4</v>
      </c>
      <c r="C166">
        <v>27</v>
      </c>
      <c r="D166">
        <v>0.70323495688745885</v>
      </c>
      <c r="E166">
        <v>1.5200000000000102E-2</v>
      </c>
      <c r="F166">
        <f t="shared" si="10"/>
        <v>1.0689171344689446E-2</v>
      </c>
      <c r="G166">
        <v>2002</v>
      </c>
      <c r="H166">
        <v>4</v>
      </c>
      <c r="I166" s="26">
        <v>2002.25000000057</v>
      </c>
      <c r="J166">
        <f t="shared" si="11"/>
        <v>0.66485661477092939</v>
      </c>
      <c r="K166" s="33">
        <f t="shared" si="12"/>
        <v>0.18240000000000123</v>
      </c>
      <c r="L166" s="33">
        <f t="shared" si="13"/>
        <v>0.12126984653421834</v>
      </c>
      <c r="M166" s="31">
        <f t="shared" si="14"/>
        <v>0.19253333333333464</v>
      </c>
    </row>
    <row r="167" spans="1:13" x14ac:dyDescent="0.3">
      <c r="A167">
        <v>2014</v>
      </c>
      <c r="B167">
        <v>4</v>
      </c>
      <c r="C167">
        <v>25</v>
      </c>
      <c r="D167">
        <v>0.69065773258444152</v>
      </c>
      <c r="E167">
        <v>1.5200000000000102E-2</v>
      </c>
      <c r="F167">
        <f t="shared" si="10"/>
        <v>1.0497997535283582E-2</v>
      </c>
      <c r="G167">
        <v>2002</v>
      </c>
      <c r="H167">
        <v>3</v>
      </c>
      <c r="I167" s="26">
        <v>2002.16666666724</v>
      </c>
      <c r="J167">
        <f t="shared" si="11"/>
        <v>0.61382659155957919</v>
      </c>
      <c r="K167" s="33">
        <f t="shared" si="12"/>
        <v>0.19760000000000133</v>
      </c>
      <c r="L167" s="33">
        <f t="shared" si="13"/>
        <v>0.12129213449217366</v>
      </c>
      <c r="M167" s="31">
        <f t="shared" si="14"/>
        <v>0.14186666666666761</v>
      </c>
    </row>
    <row r="168" spans="1:13" x14ac:dyDescent="0.3">
      <c r="A168">
        <v>2014</v>
      </c>
      <c r="B168">
        <v>4</v>
      </c>
      <c r="C168">
        <v>23</v>
      </c>
      <c r="D168">
        <v>0.68002774512356723</v>
      </c>
      <c r="E168">
        <v>1.5200000000000102E-2</v>
      </c>
      <c r="F168">
        <f t="shared" si="10"/>
        <v>1.0336421725878292E-2</v>
      </c>
      <c r="G168">
        <v>2002</v>
      </c>
      <c r="H168">
        <v>2</v>
      </c>
      <c r="I168" s="26">
        <v>2002.0833333339101</v>
      </c>
      <c r="J168">
        <f t="shared" si="11"/>
        <v>0.56662444637195442</v>
      </c>
      <c r="K168" s="33">
        <f t="shared" si="12"/>
        <v>4.5600000000000307E-2</v>
      </c>
      <c r="L168" s="33">
        <f t="shared" si="13"/>
        <v>2.5838074754561294E-2</v>
      </c>
      <c r="M168" s="31">
        <f t="shared" si="14"/>
        <v>9.1200000000000614E-2</v>
      </c>
    </row>
    <row r="169" spans="1:13" x14ac:dyDescent="0.3">
      <c r="A169">
        <v>2014</v>
      </c>
      <c r="B169">
        <v>4</v>
      </c>
      <c r="C169">
        <v>21</v>
      </c>
      <c r="D169">
        <v>0.66997317665244915</v>
      </c>
      <c r="E169">
        <v>1.5200000000000102E-2</v>
      </c>
      <c r="F169">
        <f t="shared" si="10"/>
        <v>1.0183592285117296E-2</v>
      </c>
      <c r="G169">
        <v>2002</v>
      </c>
      <c r="H169">
        <v>1</v>
      </c>
      <c r="I169" s="26">
        <v>2002.00000000058</v>
      </c>
      <c r="J169">
        <f t="shared" si="11"/>
        <v>0.62638204352092552</v>
      </c>
      <c r="K169" s="33">
        <f t="shared" si="12"/>
        <v>3.0400000000000205E-2</v>
      </c>
      <c r="L169" s="33">
        <f t="shared" si="13"/>
        <v>1.9042014123036265E-2</v>
      </c>
      <c r="M169" s="31">
        <f t="shared" si="14"/>
        <v>4.0533333333333608E-2</v>
      </c>
    </row>
    <row r="170" spans="1:13" x14ac:dyDescent="0.3">
      <c r="A170">
        <v>2014</v>
      </c>
      <c r="B170">
        <v>4</v>
      </c>
      <c r="C170">
        <v>19</v>
      </c>
      <c r="D170">
        <v>0.66170194394447235</v>
      </c>
      <c r="E170">
        <v>1.5200000000000102E-2</v>
      </c>
      <c r="F170">
        <f t="shared" si="10"/>
        <v>1.0057869547956047E-2</v>
      </c>
      <c r="G170">
        <v>2001</v>
      </c>
      <c r="H170">
        <v>12</v>
      </c>
      <c r="I170" s="26">
        <v>2001.91666666725</v>
      </c>
      <c r="J170">
        <f t="shared" si="11"/>
        <v>0.71194080997677689</v>
      </c>
      <c r="K170" s="33">
        <f t="shared" si="12"/>
        <v>4.5600000000000307E-2</v>
      </c>
      <c r="L170" s="33">
        <f t="shared" si="13"/>
        <v>3.2464500934941243E-2</v>
      </c>
      <c r="M170" s="31">
        <f t="shared" si="14"/>
        <v>3.5466666666666903E-2</v>
      </c>
    </row>
    <row r="171" spans="1:13" x14ac:dyDescent="0.3">
      <c r="A171">
        <v>2014</v>
      </c>
      <c r="B171">
        <v>4</v>
      </c>
      <c r="C171">
        <v>17</v>
      </c>
      <c r="D171">
        <v>0.65251094693206269</v>
      </c>
      <c r="E171">
        <v>1.5200000000000102E-2</v>
      </c>
      <c r="F171">
        <f t="shared" si="10"/>
        <v>9.9181663933674193E-3</v>
      </c>
      <c r="G171">
        <v>2001</v>
      </c>
      <c r="H171">
        <v>11</v>
      </c>
      <c r="I171" s="26">
        <v>2001.8333333339201</v>
      </c>
      <c r="J171">
        <f t="shared" si="11"/>
        <v>0.77903522345843967</v>
      </c>
      <c r="K171" s="33">
        <f t="shared" si="12"/>
        <v>3.0400000000000205E-2</v>
      </c>
      <c r="L171" s="33">
        <f t="shared" si="13"/>
        <v>2.3682670793136726E-2</v>
      </c>
      <c r="M171" s="31">
        <f t="shared" si="14"/>
        <v>4.0533333333333608E-2</v>
      </c>
    </row>
    <row r="172" spans="1:13" x14ac:dyDescent="0.3">
      <c r="A172">
        <v>2014</v>
      </c>
      <c r="B172">
        <v>4</v>
      </c>
      <c r="C172">
        <v>15</v>
      </c>
      <c r="D172">
        <v>0.64401640555646056</v>
      </c>
      <c r="E172">
        <v>1.5200000000000102E-2</v>
      </c>
      <c r="F172">
        <f t="shared" si="10"/>
        <v>9.7890493644582667E-3</v>
      </c>
      <c r="G172">
        <v>2001</v>
      </c>
      <c r="H172">
        <v>10</v>
      </c>
      <c r="I172" s="26">
        <v>2001.75000000059</v>
      </c>
      <c r="J172">
        <f t="shared" si="11"/>
        <v>0.80252168235693555</v>
      </c>
      <c r="K172" s="33">
        <f t="shared" si="12"/>
        <v>4.5600000000000307E-2</v>
      </c>
      <c r="L172" s="33">
        <f t="shared" si="13"/>
        <v>3.6594988715476506E-2</v>
      </c>
      <c r="M172" s="31">
        <f t="shared" si="14"/>
        <v>3.5466666666666903E-2</v>
      </c>
    </row>
    <row r="173" spans="1:13" x14ac:dyDescent="0.3">
      <c r="A173">
        <v>2014</v>
      </c>
      <c r="B173">
        <v>4</v>
      </c>
      <c r="C173">
        <v>13</v>
      </c>
      <c r="D173">
        <v>0.62900971327415744</v>
      </c>
      <c r="E173">
        <v>1.5200000000000102E-2</v>
      </c>
      <c r="F173">
        <f t="shared" si="10"/>
        <v>9.5609476417672576E-3</v>
      </c>
      <c r="G173">
        <v>2001</v>
      </c>
      <c r="H173">
        <v>9</v>
      </c>
      <c r="I173" s="26">
        <v>2001.66666666726</v>
      </c>
      <c r="J173">
        <f t="shared" si="11"/>
        <v>0.81043899810985398</v>
      </c>
      <c r="K173" s="33">
        <f t="shared" si="12"/>
        <v>3.0400000000000205E-2</v>
      </c>
      <c r="L173" s="33">
        <f t="shared" si="13"/>
        <v>2.4637345542539726E-2</v>
      </c>
      <c r="M173" s="31">
        <f t="shared" si="14"/>
        <v>4.0533333333333608E-2</v>
      </c>
    </row>
    <row r="174" spans="1:13" x14ac:dyDescent="0.3">
      <c r="A174">
        <v>2014</v>
      </c>
      <c r="B174">
        <v>4</v>
      </c>
      <c r="C174">
        <v>11</v>
      </c>
      <c r="D174">
        <v>0.61376358290458954</v>
      </c>
      <c r="E174">
        <v>1.5200000000000102E-2</v>
      </c>
      <c r="F174">
        <f t="shared" si="10"/>
        <v>9.3292064601498241E-3</v>
      </c>
      <c r="G174">
        <v>2001</v>
      </c>
      <c r="H174">
        <v>8</v>
      </c>
      <c r="I174" s="26">
        <v>2001.5833333339301</v>
      </c>
      <c r="J174">
        <f t="shared" si="11"/>
        <v>0.81568633982286087</v>
      </c>
      <c r="K174" s="33">
        <f t="shared" si="12"/>
        <v>4.5600000000000307E-2</v>
      </c>
      <c r="L174" s="33">
        <f t="shared" si="13"/>
        <v>3.7195297095922709E-2</v>
      </c>
      <c r="M174" s="31">
        <f t="shared" si="14"/>
        <v>3.5466666666666903E-2</v>
      </c>
    </row>
    <row r="175" spans="1:13" x14ac:dyDescent="0.3">
      <c r="A175">
        <v>2014</v>
      </c>
      <c r="B175">
        <v>4</v>
      </c>
      <c r="C175">
        <v>9</v>
      </c>
      <c r="D175">
        <v>0.59729816618529485</v>
      </c>
      <c r="E175">
        <v>1.5200000000000102E-2</v>
      </c>
      <c r="F175">
        <f t="shared" si="10"/>
        <v>9.0789321260165423E-3</v>
      </c>
      <c r="G175">
        <v>2001</v>
      </c>
      <c r="H175">
        <v>7</v>
      </c>
      <c r="I175" s="26">
        <v>2001.5000000006</v>
      </c>
      <c r="J175">
        <f t="shared" si="11"/>
        <v>0.82534896043915384</v>
      </c>
      <c r="K175" s="33">
        <f t="shared" si="12"/>
        <v>3.0400000000000205E-2</v>
      </c>
      <c r="L175" s="33">
        <f t="shared" si="13"/>
        <v>2.5090608397350445E-2</v>
      </c>
      <c r="M175" s="31">
        <f t="shared" si="14"/>
        <v>0.15706666666666771</v>
      </c>
    </row>
    <row r="176" spans="1:13" x14ac:dyDescent="0.3">
      <c r="A176">
        <v>2014</v>
      </c>
      <c r="B176">
        <v>4</v>
      </c>
      <c r="C176">
        <v>7</v>
      </c>
      <c r="D176">
        <v>0.58042544911301885</v>
      </c>
      <c r="E176">
        <v>1.5200000000000102E-2</v>
      </c>
      <c r="F176">
        <f t="shared" si="10"/>
        <v>8.8224668265179454E-3</v>
      </c>
      <c r="G176">
        <v>2001</v>
      </c>
      <c r="H176">
        <v>6</v>
      </c>
      <c r="I176" s="26">
        <v>2001.41666666727</v>
      </c>
      <c r="J176">
        <f t="shared" si="11"/>
        <v>0.77299432445866789</v>
      </c>
      <c r="K176" s="33">
        <f t="shared" si="12"/>
        <v>0.39520000000000266</v>
      </c>
      <c r="L176" s="33">
        <f t="shared" si="13"/>
        <v>0.30548735702606761</v>
      </c>
      <c r="M176" s="31">
        <f t="shared" si="14"/>
        <v>0.28373333333333522</v>
      </c>
    </row>
    <row r="177" spans="1:13" x14ac:dyDescent="0.3">
      <c r="A177">
        <v>2014</v>
      </c>
      <c r="B177">
        <v>4</v>
      </c>
      <c r="C177">
        <v>5</v>
      </c>
      <c r="D177">
        <v>0.56121531329126062</v>
      </c>
      <c r="E177">
        <v>1.5200000000000102E-2</v>
      </c>
      <c r="F177">
        <f t="shared" si="10"/>
        <v>8.5304727620272181E-3</v>
      </c>
      <c r="G177">
        <v>2001</v>
      </c>
      <c r="H177">
        <v>5</v>
      </c>
      <c r="I177" s="26">
        <v>2001.3333333339399</v>
      </c>
      <c r="J177">
        <f t="shared" si="11"/>
        <v>0.71884269382862609</v>
      </c>
      <c r="K177" s="33">
        <f t="shared" si="12"/>
        <v>0.42560000000000286</v>
      </c>
      <c r="L177" s="33">
        <f t="shared" si="13"/>
        <v>0.30593945049346533</v>
      </c>
      <c r="M177" s="31">
        <f t="shared" si="14"/>
        <v>0.40533333333333604</v>
      </c>
    </row>
    <row r="178" spans="1:13" x14ac:dyDescent="0.3">
      <c r="A178">
        <v>2014</v>
      </c>
      <c r="B178">
        <v>4</v>
      </c>
      <c r="C178">
        <v>3</v>
      </c>
      <c r="D178">
        <v>0.54461019292551172</v>
      </c>
      <c r="E178">
        <v>1.5200000000000102E-2</v>
      </c>
      <c r="F178">
        <f t="shared" si="10"/>
        <v>8.2780749324678337E-3</v>
      </c>
      <c r="G178">
        <v>2001</v>
      </c>
      <c r="H178">
        <v>4</v>
      </c>
      <c r="I178" s="26">
        <v>2001.25000000061</v>
      </c>
      <c r="J178">
        <f t="shared" si="11"/>
        <v>0.60874495295569375</v>
      </c>
      <c r="K178" s="33">
        <f t="shared" si="12"/>
        <v>0.39520000000000266</v>
      </c>
      <c r="L178" s="33">
        <f t="shared" si="13"/>
        <v>0.24057600540809179</v>
      </c>
      <c r="M178" s="31">
        <f t="shared" si="14"/>
        <v>0.41546666666666948</v>
      </c>
    </row>
    <row r="179" spans="1:13" x14ac:dyDescent="0.3">
      <c r="A179">
        <v>2014</v>
      </c>
      <c r="B179">
        <v>4</v>
      </c>
      <c r="C179">
        <v>1</v>
      </c>
      <c r="D179">
        <v>0.5240558968820821</v>
      </c>
      <c r="E179">
        <v>1.5200000000000102E-2</v>
      </c>
      <c r="F179">
        <f t="shared" si="10"/>
        <v>7.9656496326077023E-3</v>
      </c>
      <c r="G179">
        <v>2001</v>
      </c>
      <c r="H179">
        <v>3</v>
      </c>
      <c r="I179" s="26">
        <v>2001.16666666728</v>
      </c>
      <c r="J179">
        <f t="shared" si="11"/>
        <v>0.61479936674922964</v>
      </c>
      <c r="K179" s="33">
        <f t="shared" si="12"/>
        <v>0.42560000000000286</v>
      </c>
      <c r="L179" s="33">
        <f t="shared" si="13"/>
        <v>0.26165861048847389</v>
      </c>
      <c r="M179" s="31">
        <f t="shared" si="14"/>
        <v>0.28373333333333522</v>
      </c>
    </row>
    <row r="180" spans="1:13" x14ac:dyDescent="0.3">
      <c r="A180">
        <v>2014</v>
      </c>
      <c r="B180">
        <v>3</v>
      </c>
      <c r="C180">
        <v>30</v>
      </c>
      <c r="D180">
        <v>0.50332492812053908</v>
      </c>
      <c r="E180">
        <v>1.5200000000000102E-2</v>
      </c>
      <c r="F180">
        <f t="shared" si="10"/>
        <v>7.6505389074322458E-3</v>
      </c>
      <c r="G180">
        <v>2001</v>
      </c>
      <c r="H180">
        <v>2</v>
      </c>
      <c r="I180" s="26">
        <v>2001.0833333339499</v>
      </c>
      <c r="J180">
        <f t="shared" si="11"/>
        <v>0.58614764324994084</v>
      </c>
      <c r="K180" s="33">
        <f t="shared" si="12"/>
        <v>3.0400000000000205E-2</v>
      </c>
      <c r="L180" s="33">
        <f t="shared" si="13"/>
        <v>1.7818888354798321E-2</v>
      </c>
      <c r="M180" s="31">
        <f t="shared" si="14"/>
        <v>0.16213333333333443</v>
      </c>
    </row>
    <row r="181" spans="1:13" x14ac:dyDescent="0.3">
      <c r="A181">
        <v>2014</v>
      </c>
      <c r="B181">
        <v>3</v>
      </c>
      <c r="C181">
        <v>28</v>
      </c>
      <c r="D181">
        <v>0.47807322670722802</v>
      </c>
      <c r="E181">
        <v>1.5200000000000102E-2</v>
      </c>
      <c r="F181">
        <f t="shared" si="10"/>
        <v>7.266713045949915E-3</v>
      </c>
      <c r="G181">
        <v>2001</v>
      </c>
      <c r="H181">
        <v>1</v>
      </c>
      <c r="I181" s="26">
        <v>2001.00000000062</v>
      </c>
      <c r="J181">
        <f t="shared" si="11"/>
        <v>0.59007427813867608</v>
      </c>
      <c r="K181" s="33">
        <f t="shared" si="12"/>
        <v>3.0400000000000205E-2</v>
      </c>
      <c r="L181" s="33">
        <f t="shared" si="13"/>
        <v>1.7938258055415872E-2</v>
      </c>
      <c r="M181" s="31">
        <f t="shared" si="14"/>
        <v>3.0400000000000205E-2</v>
      </c>
    </row>
    <row r="182" spans="1:13" x14ac:dyDescent="0.3">
      <c r="A182">
        <v>2014</v>
      </c>
      <c r="B182">
        <v>3</v>
      </c>
      <c r="C182">
        <v>26</v>
      </c>
      <c r="D182">
        <v>0.45560812020302344</v>
      </c>
      <c r="E182">
        <v>1.5200000000000102E-2</v>
      </c>
      <c r="F182">
        <f t="shared" si="10"/>
        <v>6.925243427086003E-3</v>
      </c>
      <c r="G182">
        <v>2000</v>
      </c>
      <c r="H182">
        <v>12</v>
      </c>
      <c r="I182" s="26">
        <v>2000.91666666729</v>
      </c>
      <c r="J182">
        <f t="shared" si="11"/>
        <v>0.60168408806862361</v>
      </c>
      <c r="K182" s="33">
        <f t="shared" si="12"/>
        <v>3.0400000000000205E-2</v>
      </c>
      <c r="L182" s="33">
        <f t="shared" si="13"/>
        <v>1.829119627728628E-2</v>
      </c>
      <c r="M182" s="31">
        <f t="shared" si="14"/>
        <v>3.0400000000000205E-2</v>
      </c>
    </row>
    <row r="183" spans="1:13" x14ac:dyDescent="0.3">
      <c r="A183">
        <v>2014</v>
      </c>
      <c r="B183">
        <v>3</v>
      </c>
      <c r="C183">
        <v>24</v>
      </c>
      <c r="D183">
        <v>0.43645513643970263</v>
      </c>
      <c r="E183">
        <v>1.5200000000000102E-2</v>
      </c>
      <c r="F183">
        <f t="shared" si="10"/>
        <v>6.6341180738835248E-3</v>
      </c>
      <c r="G183">
        <v>2000</v>
      </c>
      <c r="H183">
        <v>11</v>
      </c>
      <c r="I183" s="26">
        <v>2000.8333333339599</v>
      </c>
      <c r="J183">
        <f t="shared" si="11"/>
        <v>0.61833910982184037</v>
      </c>
      <c r="K183" s="33">
        <f t="shared" si="12"/>
        <v>3.0400000000000205E-2</v>
      </c>
      <c r="L183" s="33">
        <f t="shared" si="13"/>
        <v>1.8797508938584073E-2</v>
      </c>
      <c r="M183" s="31">
        <f t="shared" si="14"/>
        <v>3.0400000000000205E-2</v>
      </c>
    </row>
    <row r="184" spans="1:13" x14ac:dyDescent="0.3">
      <c r="A184">
        <v>2014</v>
      </c>
      <c r="B184">
        <v>3</v>
      </c>
      <c r="C184">
        <v>22</v>
      </c>
      <c r="D184">
        <v>0.42196779681136837</v>
      </c>
      <c r="E184">
        <v>1.5200000000000102E-2</v>
      </c>
      <c r="F184">
        <f t="shared" si="10"/>
        <v>6.4139105115328422E-3</v>
      </c>
      <c r="G184">
        <v>2000</v>
      </c>
      <c r="H184">
        <v>10</v>
      </c>
      <c r="I184" s="26">
        <v>2000.7500000006301</v>
      </c>
      <c r="J184">
        <f t="shared" si="11"/>
        <v>0.63815648834287519</v>
      </c>
      <c r="K184" s="33">
        <f t="shared" si="12"/>
        <v>3.0400000000000205E-2</v>
      </c>
      <c r="L184" s="33">
        <f t="shared" si="13"/>
        <v>1.9399957245623538E-2</v>
      </c>
      <c r="M184" s="31">
        <f t="shared" si="14"/>
        <v>3.0400000000000205E-2</v>
      </c>
    </row>
    <row r="185" spans="1:13" x14ac:dyDescent="0.3">
      <c r="A185">
        <v>2014</v>
      </c>
      <c r="B185">
        <v>3</v>
      </c>
      <c r="C185">
        <v>20</v>
      </c>
      <c r="D185">
        <v>0.41071695671886621</v>
      </c>
      <c r="E185">
        <v>1.5200000000000102E-2</v>
      </c>
      <c r="F185">
        <f t="shared" si="10"/>
        <v>6.2428977421268086E-3</v>
      </c>
      <c r="G185">
        <v>2000</v>
      </c>
      <c r="H185">
        <v>9</v>
      </c>
      <c r="I185" s="26">
        <v>2000.6666666673</v>
      </c>
      <c r="J185">
        <f t="shared" si="11"/>
        <v>0.64862398829366708</v>
      </c>
      <c r="K185" s="33">
        <f t="shared" si="12"/>
        <v>3.0400000000000205E-2</v>
      </c>
      <c r="L185" s="33">
        <f t="shared" si="13"/>
        <v>1.9718169244127611E-2</v>
      </c>
      <c r="M185" s="31">
        <f t="shared" si="14"/>
        <v>3.0400000000000205E-2</v>
      </c>
    </row>
    <row r="186" spans="1:13" x14ac:dyDescent="0.3">
      <c r="A186">
        <v>2014</v>
      </c>
      <c r="B186">
        <v>3</v>
      </c>
      <c r="C186">
        <v>18</v>
      </c>
      <c r="D186">
        <v>0.40681776332363456</v>
      </c>
      <c r="E186">
        <v>1.5200000000000102E-2</v>
      </c>
      <c r="F186">
        <f t="shared" si="10"/>
        <v>6.1836300025192867E-3</v>
      </c>
      <c r="G186">
        <v>2000</v>
      </c>
      <c r="H186">
        <v>8</v>
      </c>
      <c r="I186" s="26">
        <v>2000.5833333339699</v>
      </c>
      <c r="J186">
        <f t="shared" si="11"/>
        <v>0.65457594534309282</v>
      </c>
      <c r="K186" s="33">
        <f t="shared" si="12"/>
        <v>3.0400000000000205E-2</v>
      </c>
      <c r="L186" s="33">
        <f t="shared" si="13"/>
        <v>1.9899108738430156E-2</v>
      </c>
      <c r="M186" s="31">
        <f t="shared" si="14"/>
        <v>3.0400000000000205E-2</v>
      </c>
    </row>
    <row r="187" spans="1:13" x14ac:dyDescent="0.3">
      <c r="A187">
        <v>2014</v>
      </c>
      <c r="B187">
        <v>3</v>
      </c>
      <c r="C187">
        <v>16</v>
      </c>
      <c r="D187">
        <v>0.40304774582659963</v>
      </c>
      <c r="E187">
        <v>1.5200000000000102E-2</v>
      </c>
      <c r="F187">
        <f t="shared" si="10"/>
        <v>6.1263257365643557E-3</v>
      </c>
      <c r="G187">
        <v>2000</v>
      </c>
      <c r="H187">
        <v>7</v>
      </c>
      <c r="I187" s="26">
        <v>2000.5000000006401</v>
      </c>
      <c r="J187">
        <f t="shared" si="11"/>
        <v>0.65756910113019607</v>
      </c>
      <c r="K187" s="33">
        <f t="shared" si="12"/>
        <v>3.0400000000000205E-2</v>
      </c>
      <c r="L187" s="33">
        <f t="shared" si="13"/>
        <v>1.9990100674358094E-2</v>
      </c>
      <c r="M187" s="31">
        <f t="shared" si="14"/>
        <v>0.12160000000000082</v>
      </c>
    </row>
    <row r="188" spans="1:13" x14ac:dyDescent="0.3">
      <c r="A188">
        <v>2014</v>
      </c>
      <c r="B188">
        <v>3</v>
      </c>
      <c r="C188">
        <v>14</v>
      </c>
      <c r="D188">
        <v>0.40047696697429302</v>
      </c>
      <c r="E188">
        <v>1.5200000000000102E-2</v>
      </c>
      <c r="F188">
        <f t="shared" si="10"/>
        <v>6.0872498980092948E-3</v>
      </c>
      <c r="G188">
        <v>2000</v>
      </c>
      <c r="H188">
        <v>6</v>
      </c>
      <c r="I188" s="26">
        <v>2000.41666666731</v>
      </c>
      <c r="J188">
        <f t="shared" si="11"/>
        <v>0.65170424965796969</v>
      </c>
      <c r="K188" s="33">
        <f t="shared" si="12"/>
        <v>0.30400000000000205</v>
      </c>
      <c r="L188" s="33">
        <f t="shared" si="13"/>
        <v>0.19811809189602411</v>
      </c>
      <c r="M188" s="31">
        <f t="shared" si="14"/>
        <v>0.21280000000000143</v>
      </c>
    </row>
    <row r="189" spans="1:13" x14ac:dyDescent="0.3">
      <c r="A189">
        <v>2014</v>
      </c>
      <c r="B189">
        <v>3</v>
      </c>
      <c r="C189">
        <v>12</v>
      </c>
      <c r="D189">
        <v>0.39755446614429835</v>
      </c>
      <c r="E189">
        <v>1.5200000000000102E-2</v>
      </c>
      <c r="F189">
        <f t="shared" si="10"/>
        <v>6.0428278853933756E-3</v>
      </c>
      <c r="G189">
        <v>2000</v>
      </c>
      <c r="H189">
        <v>5</v>
      </c>
      <c r="I189" s="26">
        <v>2000.3333333339799</v>
      </c>
      <c r="J189">
        <f t="shared" si="11"/>
        <v>0.53132733993770265</v>
      </c>
      <c r="K189" s="33">
        <f t="shared" si="12"/>
        <v>0.30400000000000205</v>
      </c>
      <c r="L189" s="33">
        <f t="shared" si="13"/>
        <v>0.16152351134106269</v>
      </c>
      <c r="M189" s="31">
        <f t="shared" si="14"/>
        <v>0.30400000000000205</v>
      </c>
    </row>
    <row r="190" spans="1:13" x14ac:dyDescent="0.3">
      <c r="A190">
        <v>2014</v>
      </c>
      <c r="B190">
        <v>3</v>
      </c>
      <c r="C190">
        <v>10</v>
      </c>
      <c r="D190">
        <v>0.39321610362566967</v>
      </c>
      <c r="E190">
        <v>1.5200000000000102E-2</v>
      </c>
      <c r="F190">
        <f t="shared" si="10"/>
        <v>5.9768847751102191E-3</v>
      </c>
      <c r="G190">
        <v>2000</v>
      </c>
      <c r="H190">
        <v>4</v>
      </c>
      <c r="I190" s="26">
        <v>2000.2500000006501</v>
      </c>
      <c r="J190">
        <f t="shared" si="11"/>
        <v>0.59112880742795837</v>
      </c>
      <c r="K190" s="33">
        <f t="shared" si="12"/>
        <v>0.30400000000000205</v>
      </c>
      <c r="L190" s="33">
        <f t="shared" si="13"/>
        <v>0.17970315745810056</v>
      </c>
      <c r="M190" s="31">
        <f t="shared" si="14"/>
        <v>0.30906666666666877</v>
      </c>
    </row>
    <row r="191" spans="1:13" x14ac:dyDescent="0.3">
      <c r="A191">
        <v>2014</v>
      </c>
      <c r="B191">
        <v>3</v>
      </c>
      <c r="C191">
        <v>8</v>
      </c>
      <c r="D191">
        <v>0.38676601768091623</v>
      </c>
      <c r="E191">
        <v>1.5200000000000102E-2</v>
      </c>
      <c r="F191">
        <f t="shared" si="10"/>
        <v>5.8788434687499658E-3</v>
      </c>
      <c r="G191">
        <v>2000</v>
      </c>
      <c r="H191">
        <v>3</v>
      </c>
      <c r="I191" s="26">
        <v>2000.16666666732</v>
      </c>
      <c r="J191">
        <f t="shared" si="11"/>
        <v>0.67970715937152681</v>
      </c>
      <c r="K191" s="33">
        <f t="shared" si="12"/>
        <v>0.31920000000000215</v>
      </c>
      <c r="L191" s="33">
        <f t="shared" si="13"/>
        <v>0.21696252527139281</v>
      </c>
      <c r="M191" s="31">
        <f t="shared" si="14"/>
        <v>0.22800000000000153</v>
      </c>
    </row>
    <row r="192" spans="1:13" x14ac:dyDescent="0.3">
      <c r="A192">
        <v>2014</v>
      </c>
      <c r="B192">
        <v>3</v>
      </c>
      <c r="C192">
        <v>6</v>
      </c>
      <c r="D192">
        <v>0.3785828216665128</v>
      </c>
      <c r="E192">
        <v>1.5200000000000102E-2</v>
      </c>
      <c r="F192">
        <f t="shared" si="10"/>
        <v>5.7544588893310329E-3</v>
      </c>
      <c r="G192">
        <v>2000</v>
      </c>
      <c r="H192">
        <v>2</v>
      </c>
      <c r="I192" s="26">
        <v>2000.0833333339899</v>
      </c>
      <c r="J192">
        <f t="shared" si="11"/>
        <v>0.69220280072122797</v>
      </c>
      <c r="K192" s="33">
        <f t="shared" si="12"/>
        <v>6.0800000000000409E-2</v>
      </c>
      <c r="L192" s="33">
        <f t="shared" si="13"/>
        <v>4.2085930283850943E-2</v>
      </c>
      <c r="M192" s="31">
        <f t="shared" si="14"/>
        <v>0.14693333333333433</v>
      </c>
    </row>
    <row r="193" spans="1:13" x14ac:dyDescent="0.3">
      <c r="A193">
        <v>2014</v>
      </c>
      <c r="B193">
        <v>3</v>
      </c>
      <c r="C193">
        <v>4</v>
      </c>
      <c r="D193">
        <v>0.37056168656900912</v>
      </c>
      <c r="E193">
        <v>1.5200000000000102E-2</v>
      </c>
      <c r="F193">
        <f t="shared" si="10"/>
        <v>5.6325376358489767E-3</v>
      </c>
      <c r="G193">
        <v>2000</v>
      </c>
      <c r="H193">
        <v>1</v>
      </c>
      <c r="I193" s="26">
        <v>2000.0000000006601</v>
      </c>
      <c r="J193">
        <f t="shared" si="11"/>
        <v>0.73291488442060171</v>
      </c>
      <c r="K193" s="33">
        <f t="shared" si="12"/>
        <v>6.0800000000000409E-2</v>
      </c>
      <c r="L193" s="33">
        <f t="shared" si="13"/>
        <v>4.4561224972772887E-2</v>
      </c>
      <c r="M193" s="31">
        <f t="shared" si="14"/>
        <v>6.0800000000000409E-2</v>
      </c>
    </row>
    <row r="194" spans="1:13" x14ac:dyDescent="0.3">
      <c r="A194">
        <v>2014</v>
      </c>
      <c r="B194">
        <v>3</v>
      </c>
      <c r="C194">
        <v>2</v>
      </c>
      <c r="D194">
        <v>0.3646754165411763</v>
      </c>
      <c r="E194">
        <v>1.5200000000000102E-2</v>
      </c>
      <c r="F194">
        <f t="shared" si="10"/>
        <v>5.5430663314259172E-3</v>
      </c>
      <c r="G194">
        <v>1999</v>
      </c>
      <c r="H194">
        <v>12</v>
      </c>
      <c r="I194" s="26">
        <v>1999.91666666732</v>
      </c>
      <c r="J194">
        <f t="shared" si="11"/>
        <v>0.77335104659721032</v>
      </c>
      <c r="K194" s="33">
        <f t="shared" si="12"/>
        <v>6.0800000000000409E-2</v>
      </c>
      <c r="L194" s="33">
        <f t="shared" si="13"/>
        <v>4.7019743633110705E-2</v>
      </c>
      <c r="M194" s="31">
        <f t="shared" si="14"/>
        <v>6.0800000000000409E-2</v>
      </c>
    </row>
    <row r="195" spans="1:13" x14ac:dyDescent="0.3">
      <c r="A195">
        <v>2014</v>
      </c>
      <c r="B195">
        <v>2</v>
      </c>
      <c r="C195">
        <v>28</v>
      </c>
      <c r="D195">
        <v>0.36240627804783715</v>
      </c>
      <c r="E195">
        <v>1.5200000000000102E-2</v>
      </c>
      <c r="F195">
        <f t="shared" ref="F195:F258" si="15">D195*E195</f>
        <v>5.5085754263271619E-3</v>
      </c>
      <c r="G195">
        <v>1999</v>
      </c>
      <c r="H195">
        <v>11</v>
      </c>
      <c r="I195" s="26">
        <v>1999.8333333339899</v>
      </c>
      <c r="J195">
        <f t="shared" ref="J195:J258" si="16">AVERAGEIFS(D$2:D$3010,A$2:A$3010,G195,B$2:B$3010,H195)</f>
        <v>0.83138001191113386</v>
      </c>
      <c r="K195" s="33">
        <f t="shared" ref="K195:K258" si="17">SUMIFS(E$2:E$3010,A$2:A$3010,G195,B$2:B$3010,H195)</f>
        <v>6.0800000000000409E-2</v>
      </c>
      <c r="L195" s="33">
        <f t="shared" ref="L195:L258" si="18">J195*K195</f>
        <v>5.0547904724197276E-2</v>
      </c>
      <c r="M195" s="31">
        <f t="shared" si="14"/>
        <v>6.0800000000000409E-2</v>
      </c>
    </row>
    <row r="196" spans="1:13" x14ac:dyDescent="0.3">
      <c r="A196">
        <v>2014</v>
      </c>
      <c r="B196">
        <v>2</v>
      </c>
      <c r="C196">
        <v>22</v>
      </c>
      <c r="D196">
        <v>0.36385262060126089</v>
      </c>
      <c r="E196">
        <v>1.5200000000000102E-2</v>
      </c>
      <c r="F196">
        <f t="shared" si="15"/>
        <v>5.5305598331392026E-3</v>
      </c>
      <c r="G196">
        <v>1999</v>
      </c>
      <c r="H196">
        <v>10</v>
      </c>
      <c r="I196" s="26">
        <v>1999.7500000006601</v>
      </c>
      <c r="J196">
        <f t="shared" si="16"/>
        <v>0.81988749450946397</v>
      </c>
      <c r="K196" s="33">
        <f t="shared" si="17"/>
        <v>6.0800000000000409E-2</v>
      </c>
      <c r="L196" s="33">
        <f t="shared" si="18"/>
        <v>4.9849159666175744E-2</v>
      </c>
      <c r="M196" s="31">
        <f t="shared" ref="M196:M259" si="19">AVERAGE(K195:K197)</f>
        <v>5.5733333333333711E-2</v>
      </c>
    </row>
    <row r="197" spans="1:13" x14ac:dyDescent="0.3">
      <c r="A197">
        <v>2014</v>
      </c>
      <c r="B197">
        <v>2</v>
      </c>
      <c r="C197">
        <v>16</v>
      </c>
      <c r="D197">
        <v>0.36855800481279583</v>
      </c>
      <c r="E197">
        <v>1.5200000000000102E-2</v>
      </c>
      <c r="F197">
        <f t="shared" si="15"/>
        <v>5.6020816731545339E-3</v>
      </c>
      <c r="G197">
        <v>1999</v>
      </c>
      <c r="H197">
        <v>9</v>
      </c>
      <c r="I197" s="26">
        <v>1999.66666666733</v>
      </c>
      <c r="J197">
        <f t="shared" si="16"/>
        <v>0.79905058155383346</v>
      </c>
      <c r="K197" s="33">
        <f t="shared" si="17"/>
        <v>4.5600000000000307E-2</v>
      </c>
      <c r="L197" s="33">
        <f t="shared" si="18"/>
        <v>3.6436706518855048E-2</v>
      </c>
      <c r="M197" s="31">
        <f t="shared" si="19"/>
        <v>5.5733333333333711E-2</v>
      </c>
    </row>
    <row r="198" spans="1:13" x14ac:dyDescent="0.3">
      <c r="A198">
        <v>2014</v>
      </c>
      <c r="B198">
        <v>2</v>
      </c>
      <c r="C198">
        <v>11</v>
      </c>
      <c r="D198">
        <v>0.37339357766127573</v>
      </c>
      <c r="E198">
        <v>1.5200000000000102E-2</v>
      </c>
      <c r="F198">
        <f t="shared" si="15"/>
        <v>5.6755823804514292E-3</v>
      </c>
      <c r="G198">
        <v>1999</v>
      </c>
      <c r="H198">
        <v>8</v>
      </c>
      <c r="I198" s="26">
        <v>1999.5833333339999</v>
      </c>
      <c r="J198">
        <f t="shared" si="16"/>
        <v>0.79519885534415524</v>
      </c>
      <c r="K198" s="33">
        <f t="shared" si="17"/>
        <v>6.0800000000000409E-2</v>
      </c>
      <c r="L198" s="33">
        <f t="shared" si="18"/>
        <v>4.8348090404924965E-2</v>
      </c>
      <c r="M198" s="31">
        <f t="shared" si="19"/>
        <v>5.5733333333333711E-2</v>
      </c>
    </row>
    <row r="199" spans="1:13" x14ac:dyDescent="0.3">
      <c r="A199">
        <v>2014</v>
      </c>
      <c r="B199">
        <v>2</v>
      </c>
      <c r="C199">
        <v>5</v>
      </c>
      <c r="D199">
        <v>0.37754053323228759</v>
      </c>
      <c r="E199">
        <v>1.5200000000000102E-2</v>
      </c>
      <c r="F199">
        <f t="shared" si="15"/>
        <v>5.7386161051308096E-3</v>
      </c>
      <c r="G199">
        <v>1999</v>
      </c>
      <c r="H199">
        <v>7</v>
      </c>
      <c r="I199" s="26">
        <v>1999.5000000006701</v>
      </c>
      <c r="J199">
        <f t="shared" si="16"/>
        <v>0.80908998366557805</v>
      </c>
      <c r="K199" s="33">
        <f t="shared" si="17"/>
        <v>6.0800000000000409E-2</v>
      </c>
      <c r="L199" s="33">
        <f t="shared" si="18"/>
        <v>4.9192671006867479E-2</v>
      </c>
      <c r="M199" s="31">
        <f t="shared" si="19"/>
        <v>0.14693333333333433</v>
      </c>
    </row>
    <row r="200" spans="1:13" x14ac:dyDescent="0.3">
      <c r="A200">
        <v>2014</v>
      </c>
      <c r="B200">
        <v>1</v>
      </c>
      <c r="C200">
        <v>30</v>
      </c>
      <c r="D200">
        <v>0.38146252023305866</v>
      </c>
      <c r="E200">
        <v>1.5200000000000102E-2</v>
      </c>
      <c r="F200">
        <f t="shared" si="15"/>
        <v>5.7982303075425302E-3</v>
      </c>
      <c r="G200">
        <v>1999</v>
      </c>
      <c r="H200">
        <v>6</v>
      </c>
      <c r="I200" s="26">
        <v>1999.41666666734</v>
      </c>
      <c r="J200">
        <f t="shared" si="16"/>
        <v>0.78665951641078058</v>
      </c>
      <c r="K200" s="33">
        <f t="shared" si="17"/>
        <v>0.31920000000000215</v>
      </c>
      <c r="L200" s="33">
        <f t="shared" si="18"/>
        <v>0.25110171763832284</v>
      </c>
      <c r="M200" s="31">
        <f t="shared" si="19"/>
        <v>0.23813333333333495</v>
      </c>
    </row>
    <row r="201" spans="1:13" x14ac:dyDescent="0.3">
      <c r="A201">
        <v>2014</v>
      </c>
      <c r="B201">
        <v>1</v>
      </c>
      <c r="C201">
        <v>25</v>
      </c>
      <c r="D201">
        <v>0.38657075831442128</v>
      </c>
      <c r="E201">
        <v>1.5200000000000102E-2</v>
      </c>
      <c r="F201">
        <f t="shared" si="15"/>
        <v>5.8758755263792432E-3</v>
      </c>
      <c r="G201">
        <v>1999</v>
      </c>
      <c r="H201">
        <v>5</v>
      </c>
      <c r="I201" s="26">
        <v>1999.3333333340099</v>
      </c>
      <c r="J201">
        <f t="shared" si="16"/>
        <v>0.70829071954867284</v>
      </c>
      <c r="K201" s="33">
        <f t="shared" si="17"/>
        <v>0.33440000000000225</v>
      </c>
      <c r="L201" s="33">
        <f t="shared" si="18"/>
        <v>0.23685241661707779</v>
      </c>
      <c r="M201" s="31">
        <f t="shared" si="19"/>
        <v>0.32426666666666887</v>
      </c>
    </row>
    <row r="202" spans="1:13" x14ac:dyDescent="0.3">
      <c r="A202">
        <v>2014</v>
      </c>
      <c r="B202">
        <v>1</v>
      </c>
      <c r="C202">
        <v>19</v>
      </c>
      <c r="D202">
        <v>0.39595328288235671</v>
      </c>
      <c r="E202">
        <v>1.5200000000000102E-2</v>
      </c>
      <c r="F202">
        <f t="shared" si="15"/>
        <v>6.0184898998118623E-3</v>
      </c>
      <c r="G202">
        <v>1999</v>
      </c>
      <c r="H202">
        <v>4</v>
      </c>
      <c r="I202" s="26">
        <v>1999.2500000006801</v>
      </c>
      <c r="J202">
        <f t="shared" si="16"/>
        <v>0.66923391102457797</v>
      </c>
      <c r="K202" s="33">
        <f t="shared" si="17"/>
        <v>0.31920000000000215</v>
      </c>
      <c r="L202" s="33">
        <f t="shared" si="18"/>
        <v>0.21361946439904672</v>
      </c>
      <c r="M202" s="31">
        <f t="shared" si="19"/>
        <v>0.32933333333333553</v>
      </c>
    </row>
    <row r="203" spans="1:13" x14ac:dyDescent="0.3">
      <c r="A203">
        <v>2014</v>
      </c>
      <c r="B203">
        <v>1</v>
      </c>
      <c r="C203">
        <v>13</v>
      </c>
      <c r="D203">
        <v>0.40992166394955903</v>
      </c>
      <c r="E203">
        <v>1.5200000000000102E-2</v>
      </c>
      <c r="F203">
        <f t="shared" si="15"/>
        <v>6.2308092920333388E-3</v>
      </c>
      <c r="G203">
        <v>1999</v>
      </c>
      <c r="H203">
        <v>3</v>
      </c>
      <c r="I203" s="26">
        <v>1999.16666666735</v>
      </c>
      <c r="J203">
        <f t="shared" si="16"/>
        <v>0.61670796135696215</v>
      </c>
      <c r="K203" s="33">
        <f t="shared" si="17"/>
        <v>0.33440000000000225</v>
      </c>
      <c r="L203" s="33">
        <f t="shared" si="18"/>
        <v>0.20622714227776953</v>
      </c>
      <c r="M203" s="31">
        <f t="shared" si="19"/>
        <v>0.23306666666666823</v>
      </c>
    </row>
    <row r="204" spans="1:13" x14ac:dyDescent="0.3">
      <c r="A204">
        <v>2014</v>
      </c>
      <c r="B204">
        <v>1</v>
      </c>
      <c r="C204">
        <v>8</v>
      </c>
      <c r="D204">
        <v>0.42689673378170512</v>
      </c>
      <c r="E204">
        <v>1.5200000000000102E-2</v>
      </c>
      <c r="F204">
        <f t="shared" si="15"/>
        <v>6.4888303534819617E-3</v>
      </c>
      <c r="G204">
        <v>1999</v>
      </c>
      <c r="H204">
        <v>2</v>
      </c>
      <c r="I204" s="26">
        <v>1999.0833333340199</v>
      </c>
      <c r="J204">
        <f t="shared" si="16"/>
        <v>0.54840658303877665</v>
      </c>
      <c r="K204" s="33">
        <f t="shared" si="17"/>
        <v>4.5600000000000307E-2</v>
      </c>
      <c r="L204" s="33">
        <f t="shared" si="18"/>
        <v>2.5007340186568385E-2</v>
      </c>
      <c r="M204" s="31">
        <f t="shared" si="19"/>
        <v>0.13680000000000092</v>
      </c>
    </row>
    <row r="205" spans="1:13" x14ac:dyDescent="0.3">
      <c r="A205">
        <v>2014</v>
      </c>
      <c r="B205">
        <v>1</v>
      </c>
      <c r="C205">
        <v>2</v>
      </c>
      <c r="D205">
        <v>0.45245774735411809</v>
      </c>
      <c r="E205">
        <v>1.5200000000000102E-2</v>
      </c>
      <c r="F205">
        <f t="shared" si="15"/>
        <v>6.8773577597826411E-3</v>
      </c>
      <c r="G205">
        <v>1999</v>
      </c>
      <c r="H205">
        <v>1</v>
      </c>
      <c r="I205" s="26">
        <v>1999.0000000006901</v>
      </c>
      <c r="J205">
        <f t="shared" si="16"/>
        <v>0.56094393810472298</v>
      </c>
      <c r="K205" s="33">
        <f t="shared" si="17"/>
        <v>3.0400000000000205E-2</v>
      </c>
      <c r="L205" s="33">
        <f t="shared" si="18"/>
        <v>1.7052695718383692E-2</v>
      </c>
      <c r="M205" s="31">
        <f t="shared" si="19"/>
        <v>4.0533333333333608E-2</v>
      </c>
    </row>
    <row r="206" spans="1:13" x14ac:dyDescent="0.3">
      <c r="A206">
        <v>2013</v>
      </c>
      <c r="B206">
        <v>12</v>
      </c>
      <c r="C206">
        <v>27</v>
      </c>
      <c r="D206">
        <v>0.47824697571694624</v>
      </c>
      <c r="E206">
        <v>1.5200000000000102E-2</v>
      </c>
      <c r="F206">
        <f t="shared" si="15"/>
        <v>7.2693540308976321E-3</v>
      </c>
      <c r="G206">
        <v>1998</v>
      </c>
      <c r="H206">
        <v>12</v>
      </c>
      <c r="I206" s="26">
        <v>1998.91666666736</v>
      </c>
      <c r="J206">
        <f t="shared" si="16"/>
        <v>0.59018520407616137</v>
      </c>
      <c r="K206" s="33">
        <f t="shared" si="17"/>
        <v>4.5600000000000307E-2</v>
      </c>
      <c r="L206" s="33">
        <f t="shared" si="18"/>
        <v>2.6912445305873139E-2</v>
      </c>
      <c r="M206" s="31">
        <f t="shared" si="19"/>
        <v>3.5466666666666903E-2</v>
      </c>
    </row>
    <row r="207" spans="1:13" x14ac:dyDescent="0.3">
      <c r="A207">
        <v>2013</v>
      </c>
      <c r="B207">
        <v>12</v>
      </c>
      <c r="C207">
        <v>22</v>
      </c>
      <c r="D207">
        <v>0.50236594600568896</v>
      </c>
      <c r="E207">
        <v>1.5200000000000102E-2</v>
      </c>
      <c r="F207">
        <f t="shared" si="15"/>
        <v>7.6359623792865237E-3</v>
      </c>
      <c r="G207">
        <v>1998</v>
      </c>
      <c r="H207">
        <v>11</v>
      </c>
      <c r="I207" s="26">
        <v>1998.8333333340299</v>
      </c>
      <c r="J207">
        <f t="shared" si="16"/>
        <v>0.64240482219849993</v>
      </c>
      <c r="K207" s="33">
        <f t="shared" si="17"/>
        <v>3.0400000000000205E-2</v>
      </c>
      <c r="L207" s="33">
        <f t="shared" si="18"/>
        <v>1.952910659483453E-2</v>
      </c>
      <c r="M207" s="31">
        <f t="shared" si="19"/>
        <v>4.0533333333333608E-2</v>
      </c>
    </row>
    <row r="208" spans="1:13" x14ac:dyDescent="0.3">
      <c r="A208">
        <v>2013</v>
      </c>
      <c r="B208">
        <v>12</v>
      </c>
      <c r="C208">
        <v>16</v>
      </c>
      <c r="D208">
        <v>0.52346766221639418</v>
      </c>
      <c r="E208">
        <v>1.5200000000000102E-2</v>
      </c>
      <c r="F208">
        <f t="shared" si="15"/>
        <v>7.9567084656892457E-3</v>
      </c>
      <c r="G208">
        <v>1998</v>
      </c>
      <c r="H208">
        <v>10</v>
      </c>
      <c r="I208" s="26">
        <v>1998.7500000007001</v>
      </c>
      <c r="J208">
        <f t="shared" si="16"/>
        <v>0.70262448635634822</v>
      </c>
      <c r="K208" s="33">
        <f t="shared" si="17"/>
        <v>4.5600000000000307E-2</v>
      </c>
      <c r="L208" s="33">
        <f t="shared" si="18"/>
        <v>3.2039676577849695E-2</v>
      </c>
      <c r="M208" s="31">
        <f t="shared" si="19"/>
        <v>3.5466666666666903E-2</v>
      </c>
    </row>
    <row r="209" spans="1:13" x14ac:dyDescent="0.3">
      <c r="A209">
        <v>2013</v>
      </c>
      <c r="B209">
        <v>12</v>
      </c>
      <c r="C209">
        <v>10</v>
      </c>
      <c r="D209">
        <v>0.54144932779518518</v>
      </c>
      <c r="E209">
        <v>1.5200000000000102E-2</v>
      </c>
      <c r="F209">
        <f t="shared" si="15"/>
        <v>8.2300297824868703E-3</v>
      </c>
      <c r="G209">
        <v>1998</v>
      </c>
      <c r="H209">
        <v>9</v>
      </c>
      <c r="I209" s="26">
        <v>1998.66666666737</v>
      </c>
      <c r="J209">
        <f t="shared" si="16"/>
        <v>0.74815841545805606</v>
      </c>
      <c r="K209" s="33">
        <f t="shared" si="17"/>
        <v>3.0400000000000205E-2</v>
      </c>
      <c r="L209" s="33">
        <f t="shared" si="18"/>
        <v>2.2744015829925059E-2</v>
      </c>
      <c r="M209" s="31">
        <f t="shared" si="19"/>
        <v>4.0533333333333608E-2</v>
      </c>
    </row>
    <row r="210" spans="1:13" x14ac:dyDescent="0.3">
      <c r="A210">
        <v>2013</v>
      </c>
      <c r="B210">
        <v>12</v>
      </c>
      <c r="C210">
        <v>5</v>
      </c>
      <c r="D210">
        <v>0.54903583729488836</v>
      </c>
      <c r="E210">
        <v>1.5200000000000102E-2</v>
      </c>
      <c r="F210">
        <f t="shared" si="15"/>
        <v>8.3453447268823592E-3</v>
      </c>
      <c r="G210">
        <v>1998</v>
      </c>
      <c r="H210">
        <v>8</v>
      </c>
      <c r="I210" s="26">
        <v>1998.5833333340399</v>
      </c>
      <c r="J210">
        <f t="shared" si="16"/>
        <v>0.77723920341743236</v>
      </c>
      <c r="K210" s="33">
        <f t="shared" si="17"/>
        <v>4.5600000000000307E-2</v>
      </c>
      <c r="L210" s="33">
        <f t="shared" si="18"/>
        <v>3.5442107675835152E-2</v>
      </c>
      <c r="M210" s="31">
        <f t="shared" si="19"/>
        <v>3.5466666666666903E-2</v>
      </c>
    </row>
    <row r="211" spans="1:13" x14ac:dyDescent="0.3">
      <c r="A211">
        <v>2013</v>
      </c>
      <c r="B211">
        <v>11</v>
      </c>
      <c r="C211">
        <v>29</v>
      </c>
      <c r="D211">
        <v>0.55574568538961466</v>
      </c>
      <c r="E211">
        <v>1.5200000000000102E-2</v>
      </c>
      <c r="F211">
        <f t="shared" si="15"/>
        <v>8.4473344179221994E-3</v>
      </c>
      <c r="G211">
        <v>1998</v>
      </c>
      <c r="H211">
        <v>7</v>
      </c>
      <c r="I211" s="26">
        <v>1998.5000000007101</v>
      </c>
      <c r="J211">
        <f t="shared" si="16"/>
        <v>0.80588890682731673</v>
      </c>
      <c r="K211" s="33">
        <f t="shared" si="17"/>
        <v>3.0400000000000205E-2</v>
      </c>
      <c r="L211" s="33">
        <f t="shared" si="18"/>
        <v>2.4499022767550595E-2</v>
      </c>
      <c r="M211" s="31">
        <f t="shared" si="19"/>
        <v>0.12160000000000082</v>
      </c>
    </row>
    <row r="212" spans="1:13" x14ac:dyDescent="0.3">
      <c r="A212">
        <v>2013</v>
      </c>
      <c r="B212">
        <v>11</v>
      </c>
      <c r="C212">
        <v>23</v>
      </c>
      <c r="D212">
        <v>0.56066941338676546</v>
      </c>
      <c r="E212">
        <v>1.5200000000000102E-2</v>
      </c>
      <c r="F212">
        <f t="shared" si="15"/>
        <v>8.5221750834788921E-3</v>
      </c>
      <c r="G212">
        <v>1998</v>
      </c>
      <c r="H212">
        <v>6</v>
      </c>
      <c r="I212" s="26">
        <v>1998.41666666738</v>
      </c>
      <c r="J212">
        <f t="shared" si="16"/>
        <v>0.70055782208705542</v>
      </c>
      <c r="K212" s="33">
        <f t="shared" si="17"/>
        <v>0.28880000000000194</v>
      </c>
      <c r="L212" s="33">
        <f t="shared" si="18"/>
        <v>0.20232109901874296</v>
      </c>
      <c r="M212" s="31">
        <f t="shared" si="19"/>
        <v>0.20266666666666802</v>
      </c>
    </row>
    <row r="213" spans="1:13" x14ac:dyDescent="0.3">
      <c r="A213">
        <v>2013</v>
      </c>
      <c r="B213">
        <v>11</v>
      </c>
      <c r="C213">
        <v>18</v>
      </c>
      <c r="D213">
        <v>0.56909101209387325</v>
      </c>
      <c r="E213">
        <v>1.5200000000000102E-2</v>
      </c>
      <c r="F213">
        <f t="shared" si="15"/>
        <v>8.6501833838269308E-3</v>
      </c>
      <c r="G213">
        <v>1998</v>
      </c>
      <c r="H213">
        <v>5</v>
      </c>
      <c r="I213" s="26">
        <v>1998.3333333340499</v>
      </c>
      <c r="J213">
        <f t="shared" si="16"/>
        <v>0.65732854237370264</v>
      </c>
      <c r="K213" s="33">
        <f t="shared" si="17"/>
        <v>0.28880000000000194</v>
      </c>
      <c r="L213" s="33">
        <f t="shared" si="18"/>
        <v>0.18983648303752659</v>
      </c>
      <c r="M213" s="31">
        <f t="shared" si="19"/>
        <v>0.28880000000000194</v>
      </c>
    </row>
    <row r="214" spans="1:13" x14ac:dyDescent="0.3">
      <c r="A214">
        <v>2013</v>
      </c>
      <c r="B214">
        <v>11</v>
      </c>
      <c r="C214">
        <v>12</v>
      </c>
      <c r="D214">
        <v>0.5780599783753485</v>
      </c>
      <c r="E214">
        <v>1.5200000000000102E-2</v>
      </c>
      <c r="F214">
        <f t="shared" si="15"/>
        <v>8.7865116713053571E-3</v>
      </c>
      <c r="G214">
        <v>1998</v>
      </c>
      <c r="H214">
        <v>4</v>
      </c>
      <c r="I214" s="26">
        <v>1998.2500000007201</v>
      </c>
      <c r="J214">
        <f t="shared" si="16"/>
        <v>0.65039712872787858</v>
      </c>
      <c r="K214" s="33">
        <f t="shared" si="17"/>
        <v>0.28880000000000194</v>
      </c>
      <c r="L214" s="33">
        <f t="shared" si="18"/>
        <v>0.18783469077661261</v>
      </c>
      <c r="M214" s="31">
        <f t="shared" si="19"/>
        <v>0.28880000000000194</v>
      </c>
    </row>
    <row r="215" spans="1:13" x14ac:dyDescent="0.3">
      <c r="A215">
        <v>2013</v>
      </c>
      <c r="B215">
        <v>11</v>
      </c>
      <c r="C215">
        <v>6</v>
      </c>
      <c r="D215">
        <v>0.58797269412428876</v>
      </c>
      <c r="E215">
        <v>1.5200000000000102E-2</v>
      </c>
      <c r="F215">
        <f t="shared" si="15"/>
        <v>8.9371849506892486E-3</v>
      </c>
      <c r="G215">
        <v>1998</v>
      </c>
      <c r="H215">
        <v>3</v>
      </c>
      <c r="I215" s="26">
        <v>1998.16666666739</v>
      </c>
      <c r="J215">
        <f t="shared" si="16"/>
        <v>0.61497610391290503</v>
      </c>
      <c r="K215" s="33">
        <f t="shared" si="17"/>
        <v>0.28880000000000194</v>
      </c>
      <c r="L215" s="33">
        <f t="shared" si="18"/>
        <v>0.17760509881004816</v>
      </c>
      <c r="M215" s="31">
        <f t="shared" si="19"/>
        <v>0.20266666666666802</v>
      </c>
    </row>
    <row r="216" spans="1:13" x14ac:dyDescent="0.3">
      <c r="A216">
        <v>2013</v>
      </c>
      <c r="B216">
        <v>11</v>
      </c>
      <c r="C216">
        <v>1</v>
      </c>
      <c r="D216">
        <v>0.59831686140624196</v>
      </c>
      <c r="E216">
        <v>1.5200000000000102E-2</v>
      </c>
      <c r="F216">
        <f t="shared" si="15"/>
        <v>9.0944162933749382E-3</v>
      </c>
      <c r="G216">
        <v>1998</v>
      </c>
      <c r="H216">
        <v>2</v>
      </c>
      <c r="I216" s="26">
        <v>1998.0833333340599</v>
      </c>
      <c r="J216">
        <f t="shared" si="16"/>
        <v>0.55843603678683507</v>
      </c>
      <c r="K216" s="33">
        <f t="shared" si="17"/>
        <v>3.0400000000000205E-2</v>
      </c>
      <c r="L216" s="33">
        <f t="shared" si="18"/>
        <v>1.6976455518319899E-2</v>
      </c>
      <c r="M216" s="31">
        <f t="shared" si="19"/>
        <v>0.11653333333333411</v>
      </c>
    </row>
    <row r="217" spans="1:13" x14ac:dyDescent="0.3">
      <c r="A217">
        <v>2013</v>
      </c>
      <c r="B217">
        <v>10</v>
      </c>
      <c r="C217">
        <v>26</v>
      </c>
      <c r="D217">
        <v>0.61119959748822505</v>
      </c>
      <c r="E217">
        <v>1.5200000000000102E-2</v>
      </c>
      <c r="F217">
        <f t="shared" si="15"/>
        <v>9.2902338818210833E-3</v>
      </c>
      <c r="G217">
        <v>1998</v>
      </c>
      <c r="H217">
        <v>1</v>
      </c>
      <c r="I217" s="26">
        <v>1998.0000000007301</v>
      </c>
      <c r="J217">
        <f t="shared" si="16"/>
        <v>0.5712489841825481</v>
      </c>
      <c r="K217" s="33">
        <f t="shared" si="17"/>
        <v>3.0400000000000205E-2</v>
      </c>
      <c r="L217" s="33">
        <f t="shared" si="18"/>
        <v>1.7365969119149578E-2</v>
      </c>
      <c r="M217" s="31">
        <f t="shared" si="19"/>
        <v>3.0400000000000205E-2</v>
      </c>
    </row>
    <row r="218" spans="1:13" x14ac:dyDescent="0.3">
      <c r="A218">
        <v>2013</v>
      </c>
      <c r="B218">
        <v>10</v>
      </c>
      <c r="C218">
        <v>21</v>
      </c>
      <c r="D218">
        <v>0.62269233583578654</v>
      </c>
      <c r="E218">
        <v>1.5200000000000102E-2</v>
      </c>
      <c r="F218">
        <f t="shared" si="15"/>
        <v>9.4649235047040182E-3</v>
      </c>
      <c r="G218">
        <v>1997</v>
      </c>
      <c r="H218">
        <v>12</v>
      </c>
      <c r="I218" s="26">
        <v>1997.9166666674</v>
      </c>
      <c r="J218">
        <f t="shared" si="16"/>
        <v>0.60892910754898977</v>
      </c>
      <c r="K218" s="33">
        <f t="shared" si="17"/>
        <v>3.0400000000000205E-2</v>
      </c>
      <c r="L218" s="33">
        <f t="shared" si="18"/>
        <v>1.8511444869489413E-2</v>
      </c>
      <c r="M218" s="31">
        <f t="shared" si="19"/>
        <v>3.0400000000000205E-2</v>
      </c>
    </row>
    <row r="219" spans="1:13" x14ac:dyDescent="0.3">
      <c r="A219">
        <v>2013</v>
      </c>
      <c r="B219">
        <v>10</v>
      </c>
      <c r="C219">
        <v>15</v>
      </c>
      <c r="D219">
        <v>0.6362254829572207</v>
      </c>
      <c r="E219">
        <v>1.5200000000000102E-2</v>
      </c>
      <c r="F219">
        <f t="shared" si="15"/>
        <v>9.6706273409498198E-3</v>
      </c>
      <c r="G219">
        <v>1997</v>
      </c>
      <c r="H219">
        <v>11</v>
      </c>
      <c r="I219" s="26">
        <v>1997.8333333340699</v>
      </c>
      <c r="J219">
        <f t="shared" si="16"/>
        <v>0.66661262204875671</v>
      </c>
      <c r="K219" s="33">
        <f t="shared" si="17"/>
        <v>3.0400000000000205E-2</v>
      </c>
      <c r="L219" s="33">
        <f t="shared" si="18"/>
        <v>2.026502371028234E-2</v>
      </c>
      <c r="M219" s="31">
        <f t="shared" si="19"/>
        <v>3.0400000000000205E-2</v>
      </c>
    </row>
    <row r="220" spans="1:13" x14ac:dyDescent="0.3">
      <c r="A220">
        <v>2013</v>
      </c>
      <c r="B220">
        <v>10</v>
      </c>
      <c r="C220">
        <v>9</v>
      </c>
      <c r="D220">
        <v>0.64955889219863283</v>
      </c>
      <c r="E220">
        <v>1.5200000000000102E-2</v>
      </c>
      <c r="F220">
        <f t="shared" si="15"/>
        <v>9.8732951614192849E-3</v>
      </c>
      <c r="G220">
        <v>1997</v>
      </c>
      <c r="H220">
        <v>10</v>
      </c>
      <c r="I220" s="26">
        <v>1997.7500000007401</v>
      </c>
      <c r="J220">
        <f t="shared" si="16"/>
        <v>0.73016998244603348</v>
      </c>
      <c r="K220" s="33">
        <f t="shared" si="17"/>
        <v>3.0400000000000205E-2</v>
      </c>
      <c r="L220" s="33">
        <f t="shared" si="18"/>
        <v>2.2197167466359566E-2</v>
      </c>
      <c r="M220" s="31">
        <f t="shared" si="19"/>
        <v>3.0400000000000205E-2</v>
      </c>
    </row>
    <row r="221" spans="1:13" x14ac:dyDescent="0.3">
      <c r="A221">
        <v>2013</v>
      </c>
      <c r="B221">
        <v>10</v>
      </c>
      <c r="C221">
        <v>4</v>
      </c>
      <c r="D221">
        <v>0.66456568170757724</v>
      </c>
      <c r="E221">
        <v>1.5200000000000102E-2</v>
      </c>
      <c r="F221">
        <f t="shared" si="15"/>
        <v>1.0101398361955243E-2</v>
      </c>
      <c r="G221">
        <v>1997</v>
      </c>
      <c r="H221">
        <v>9</v>
      </c>
      <c r="I221" s="26">
        <v>1997.66666666741</v>
      </c>
      <c r="J221">
        <f t="shared" si="16"/>
        <v>0.79256764136620017</v>
      </c>
      <c r="K221" s="33">
        <f t="shared" si="17"/>
        <v>3.0400000000000205E-2</v>
      </c>
      <c r="L221" s="33">
        <f t="shared" si="18"/>
        <v>2.4094056297532647E-2</v>
      </c>
      <c r="M221" s="31">
        <f t="shared" si="19"/>
        <v>3.0400000000000205E-2</v>
      </c>
    </row>
    <row r="222" spans="1:13" x14ac:dyDescent="0.3">
      <c r="A222">
        <v>2013</v>
      </c>
      <c r="B222">
        <v>9</v>
      </c>
      <c r="C222">
        <v>28</v>
      </c>
      <c r="D222">
        <v>0.67480065660038469</v>
      </c>
      <c r="E222">
        <v>1.5200000000000102E-2</v>
      </c>
      <c r="F222">
        <f t="shared" si="15"/>
        <v>1.0256969980325915E-2</v>
      </c>
      <c r="G222">
        <v>1997</v>
      </c>
      <c r="H222">
        <v>8</v>
      </c>
      <c r="I222" s="26">
        <v>1997.58333333408</v>
      </c>
      <c r="J222">
        <f t="shared" si="16"/>
        <v>0.84986990231739457</v>
      </c>
      <c r="K222" s="33">
        <f t="shared" si="17"/>
        <v>3.0400000000000205E-2</v>
      </c>
      <c r="L222" s="33">
        <f t="shared" si="18"/>
        <v>2.5836045030448968E-2</v>
      </c>
      <c r="M222" s="31">
        <f t="shared" si="19"/>
        <v>2.5333333333333503E-2</v>
      </c>
    </row>
    <row r="223" spans="1:13" x14ac:dyDescent="0.3">
      <c r="A223">
        <v>2013</v>
      </c>
      <c r="B223">
        <v>9</v>
      </c>
      <c r="C223">
        <v>22</v>
      </c>
      <c r="D223">
        <v>0.68007513989970969</v>
      </c>
      <c r="E223">
        <v>1.5200000000000102E-2</v>
      </c>
      <c r="F223">
        <f t="shared" si="15"/>
        <v>1.0337142126475657E-2</v>
      </c>
      <c r="G223">
        <v>1997</v>
      </c>
      <c r="H223">
        <v>7</v>
      </c>
      <c r="I223" s="26">
        <v>1997.5000000007501</v>
      </c>
      <c r="J223">
        <f t="shared" si="16"/>
        <v>0.8790391546057873</v>
      </c>
      <c r="K223" s="33">
        <f t="shared" si="17"/>
        <v>1.5200000000000102E-2</v>
      </c>
      <c r="L223" s="33">
        <f t="shared" si="18"/>
        <v>1.3361395150008056E-2</v>
      </c>
      <c r="M223" s="31">
        <f t="shared" si="19"/>
        <v>6.5866666666667115E-2</v>
      </c>
    </row>
    <row r="224" spans="1:13" x14ac:dyDescent="0.3">
      <c r="A224">
        <v>2013</v>
      </c>
      <c r="B224">
        <v>9</v>
      </c>
      <c r="C224">
        <v>17</v>
      </c>
      <c r="D224">
        <v>0.68184704098522597</v>
      </c>
      <c r="E224">
        <v>1.5200000000000102E-2</v>
      </c>
      <c r="F224">
        <f t="shared" si="15"/>
        <v>1.0364075022975504E-2</v>
      </c>
      <c r="G224">
        <v>1997</v>
      </c>
      <c r="H224">
        <v>6</v>
      </c>
      <c r="I224" s="26">
        <v>1997.41666666742</v>
      </c>
      <c r="J224">
        <f t="shared" si="16"/>
        <v>0.78818893479006413</v>
      </c>
      <c r="K224" s="33">
        <f t="shared" si="17"/>
        <v>0.15200000000000102</v>
      </c>
      <c r="L224" s="33">
        <f t="shared" si="18"/>
        <v>0.11980471808809055</v>
      </c>
      <c r="M224" s="31">
        <f t="shared" si="19"/>
        <v>0.11146666666666742</v>
      </c>
    </row>
    <row r="225" spans="1:13" x14ac:dyDescent="0.3">
      <c r="A225">
        <v>2013</v>
      </c>
      <c r="B225">
        <v>9</v>
      </c>
      <c r="C225">
        <v>11</v>
      </c>
      <c r="D225">
        <v>0.68173002587608145</v>
      </c>
      <c r="E225">
        <v>1.5200000000000102E-2</v>
      </c>
      <c r="F225">
        <f t="shared" si="15"/>
        <v>1.0362296393316508E-2</v>
      </c>
      <c r="G225">
        <v>1997</v>
      </c>
      <c r="H225">
        <v>5</v>
      </c>
      <c r="I225" s="26">
        <v>1997.33333333409</v>
      </c>
      <c r="J225">
        <f t="shared" si="16"/>
        <v>0.6685739726408485</v>
      </c>
      <c r="K225" s="33">
        <f t="shared" si="17"/>
        <v>0.16720000000000113</v>
      </c>
      <c r="L225" s="33">
        <f t="shared" si="18"/>
        <v>0.11178556822555062</v>
      </c>
      <c r="M225" s="31">
        <f t="shared" si="19"/>
        <v>0.15706666666666771</v>
      </c>
    </row>
    <row r="226" spans="1:13" x14ac:dyDescent="0.3">
      <c r="A226">
        <v>2013</v>
      </c>
      <c r="B226">
        <v>9</v>
      </c>
      <c r="C226">
        <v>5</v>
      </c>
      <c r="D226">
        <v>0.67837684290987488</v>
      </c>
      <c r="E226">
        <v>1.5200000000000102E-2</v>
      </c>
      <c r="F226">
        <f t="shared" si="15"/>
        <v>1.0311328012230168E-2</v>
      </c>
      <c r="G226">
        <v>1997</v>
      </c>
      <c r="H226">
        <v>4</v>
      </c>
      <c r="I226" s="26">
        <v>1997.2500000007601</v>
      </c>
      <c r="J226">
        <f t="shared" si="16"/>
        <v>0.63494109835877943</v>
      </c>
      <c r="K226" s="33">
        <f t="shared" si="17"/>
        <v>0.15200000000000102</v>
      </c>
      <c r="L226" s="33">
        <f t="shared" si="18"/>
        <v>9.6511046950535126E-2</v>
      </c>
      <c r="M226" s="31">
        <f t="shared" si="19"/>
        <v>0.16213333333333443</v>
      </c>
    </row>
    <row r="227" spans="1:13" x14ac:dyDescent="0.3">
      <c r="A227">
        <v>2013</v>
      </c>
      <c r="B227">
        <v>8</v>
      </c>
      <c r="C227">
        <v>31</v>
      </c>
      <c r="D227">
        <v>0.6773172239513815</v>
      </c>
      <c r="E227">
        <v>1.5200000000000102E-2</v>
      </c>
      <c r="F227">
        <f t="shared" si="15"/>
        <v>1.0295221804061068E-2</v>
      </c>
      <c r="G227">
        <v>1997</v>
      </c>
      <c r="H227">
        <v>3</v>
      </c>
      <c r="I227" s="26">
        <v>1997.16666666743</v>
      </c>
      <c r="J227">
        <f t="shared" si="16"/>
        <v>0.56348555689602742</v>
      </c>
      <c r="K227" s="33">
        <f t="shared" si="17"/>
        <v>0.16720000000000113</v>
      </c>
      <c r="L227" s="33">
        <f t="shared" si="18"/>
        <v>9.4214785113016425E-2</v>
      </c>
      <c r="M227" s="31">
        <f t="shared" si="19"/>
        <v>0.12666666666666751</v>
      </c>
    </row>
    <row r="228" spans="1:13" x14ac:dyDescent="0.3">
      <c r="A228">
        <v>2013</v>
      </c>
      <c r="B228">
        <v>8</v>
      </c>
      <c r="C228">
        <v>25</v>
      </c>
      <c r="D228">
        <v>0.67881774714500143</v>
      </c>
      <c r="E228">
        <v>1.5200000000000102E-2</v>
      </c>
      <c r="F228">
        <f t="shared" si="15"/>
        <v>1.0318029756604091E-2</v>
      </c>
      <c r="G228">
        <v>1997</v>
      </c>
      <c r="H228">
        <v>2</v>
      </c>
      <c r="I228" s="26">
        <v>1997.0833333341</v>
      </c>
      <c r="J228">
        <f t="shared" si="16"/>
        <v>0.51512150798645173</v>
      </c>
      <c r="K228" s="33">
        <f t="shared" si="17"/>
        <v>6.0800000000000409E-2</v>
      </c>
      <c r="L228" s="33">
        <f t="shared" si="18"/>
        <v>3.1319387685576475E-2</v>
      </c>
      <c r="M228" s="31">
        <f t="shared" si="19"/>
        <v>0.10133333333333401</v>
      </c>
    </row>
    <row r="229" spans="1:13" x14ac:dyDescent="0.3">
      <c r="A229">
        <v>2013</v>
      </c>
      <c r="B229">
        <v>8</v>
      </c>
      <c r="C229">
        <v>19</v>
      </c>
      <c r="D229">
        <v>0.68787770042329821</v>
      </c>
      <c r="E229">
        <v>1.5200000000000102E-2</v>
      </c>
      <c r="F229">
        <f t="shared" si="15"/>
        <v>1.0455741046434203E-2</v>
      </c>
      <c r="G229">
        <v>1997</v>
      </c>
      <c r="H229">
        <v>1</v>
      </c>
      <c r="I229" s="26">
        <v>1997.0000000007699</v>
      </c>
      <c r="J229">
        <f t="shared" si="16"/>
        <v>0.56316005338474251</v>
      </c>
      <c r="K229" s="33">
        <f t="shared" si="17"/>
        <v>7.6000000000000512E-2</v>
      </c>
      <c r="L229" s="33">
        <f t="shared" si="18"/>
        <v>4.2800164057240721E-2</v>
      </c>
      <c r="M229" s="31">
        <f t="shared" si="19"/>
        <v>6.5866666666667115E-2</v>
      </c>
    </row>
    <row r="230" spans="1:13" x14ac:dyDescent="0.3">
      <c r="A230">
        <v>2013</v>
      </c>
      <c r="B230">
        <v>8</v>
      </c>
      <c r="C230">
        <v>14</v>
      </c>
      <c r="D230">
        <v>0.69954205728234986</v>
      </c>
      <c r="E230">
        <v>1.5200000000000102E-2</v>
      </c>
      <c r="F230">
        <f t="shared" si="15"/>
        <v>1.0633039270691789E-2</v>
      </c>
      <c r="G230">
        <v>1996</v>
      </c>
      <c r="H230">
        <v>12</v>
      </c>
      <c r="I230" s="26">
        <v>1996.91666666744</v>
      </c>
      <c r="J230">
        <f t="shared" si="16"/>
        <v>0.59473955422088498</v>
      </c>
      <c r="K230" s="33">
        <f t="shared" si="17"/>
        <v>6.0800000000000409E-2</v>
      </c>
      <c r="L230" s="33">
        <f t="shared" si="18"/>
        <v>3.616016489663005E-2</v>
      </c>
      <c r="M230" s="31">
        <f t="shared" si="19"/>
        <v>6.5866666666667115E-2</v>
      </c>
    </row>
    <row r="231" spans="1:13" x14ac:dyDescent="0.3">
      <c r="A231">
        <v>2013</v>
      </c>
      <c r="B231">
        <v>8</v>
      </c>
      <c r="C231">
        <v>8</v>
      </c>
      <c r="D231">
        <v>0.71288651888357091</v>
      </c>
      <c r="E231">
        <v>1.5200000000000102E-2</v>
      </c>
      <c r="F231">
        <f t="shared" si="15"/>
        <v>1.083587508703035E-2</v>
      </c>
      <c r="G231">
        <v>1996</v>
      </c>
      <c r="H231">
        <v>11</v>
      </c>
      <c r="I231" s="26">
        <v>1996.83333333411</v>
      </c>
      <c r="J231">
        <f t="shared" si="16"/>
        <v>0.63792802640535784</v>
      </c>
      <c r="K231" s="33">
        <f t="shared" si="17"/>
        <v>6.0800000000000409E-2</v>
      </c>
      <c r="L231" s="33">
        <f t="shared" si="18"/>
        <v>3.8786024005446021E-2</v>
      </c>
      <c r="M231" s="31">
        <f t="shared" si="19"/>
        <v>6.0800000000000409E-2</v>
      </c>
    </row>
    <row r="232" spans="1:13" x14ac:dyDescent="0.3">
      <c r="A232">
        <v>2013</v>
      </c>
      <c r="B232">
        <v>8</v>
      </c>
      <c r="C232">
        <v>2</v>
      </c>
      <c r="D232">
        <v>0.72724757124301365</v>
      </c>
      <c r="E232">
        <v>1.5200000000000102E-2</v>
      </c>
      <c r="F232">
        <f t="shared" si="15"/>
        <v>1.1054163082893882E-2</v>
      </c>
      <c r="G232">
        <v>1996</v>
      </c>
      <c r="H232">
        <v>10</v>
      </c>
      <c r="I232" s="26">
        <v>1996.7500000007799</v>
      </c>
      <c r="J232">
        <f t="shared" si="16"/>
        <v>0.69242520713381794</v>
      </c>
      <c r="K232" s="33">
        <f t="shared" si="17"/>
        <v>6.0800000000000409E-2</v>
      </c>
      <c r="L232" s="33">
        <f t="shared" si="18"/>
        <v>4.2099452593736417E-2</v>
      </c>
      <c r="M232" s="31">
        <f t="shared" si="19"/>
        <v>6.5866666666667115E-2</v>
      </c>
    </row>
    <row r="233" spans="1:13" x14ac:dyDescent="0.3">
      <c r="A233">
        <v>2013</v>
      </c>
      <c r="B233">
        <v>7</v>
      </c>
      <c r="C233">
        <v>28</v>
      </c>
      <c r="D233">
        <v>0.74318898085737961</v>
      </c>
      <c r="E233">
        <v>1.5200000000000102E-2</v>
      </c>
      <c r="F233">
        <f t="shared" si="15"/>
        <v>1.1296472509032245E-2</v>
      </c>
      <c r="G233">
        <v>1996</v>
      </c>
      <c r="H233">
        <v>9</v>
      </c>
      <c r="I233" s="26">
        <v>1996.66666666745</v>
      </c>
      <c r="J233">
        <f t="shared" si="16"/>
        <v>0.72596884348476987</v>
      </c>
      <c r="K233" s="33">
        <f t="shared" si="17"/>
        <v>7.6000000000000512E-2</v>
      </c>
      <c r="L233" s="33">
        <f t="shared" si="18"/>
        <v>5.5173632104842885E-2</v>
      </c>
      <c r="M233" s="31">
        <f t="shared" si="19"/>
        <v>6.5866666666667115E-2</v>
      </c>
    </row>
    <row r="234" spans="1:13" x14ac:dyDescent="0.3">
      <c r="A234">
        <v>2013</v>
      </c>
      <c r="B234">
        <v>7</v>
      </c>
      <c r="C234">
        <v>22</v>
      </c>
      <c r="D234">
        <v>0.75478553042325158</v>
      </c>
      <c r="E234">
        <v>1.5200000000000102E-2</v>
      </c>
      <c r="F234">
        <f t="shared" si="15"/>
        <v>1.1472740062433501E-2</v>
      </c>
      <c r="G234">
        <v>1996</v>
      </c>
      <c r="H234">
        <v>8</v>
      </c>
      <c r="I234" s="26">
        <v>1996.58333333412</v>
      </c>
      <c r="J234">
        <f t="shared" si="16"/>
        <v>0.75917923668725584</v>
      </c>
      <c r="K234" s="33">
        <f t="shared" si="17"/>
        <v>6.0800000000000409E-2</v>
      </c>
      <c r="L234" s="33">
        <f t="shared" si="18"/>
        <v>4.6158097590585465E-2</v>
      </c>
      <c r="M234" s="31">
        <f t="shared" si="19"/>
        <v>6.5866666666667115E-2</v>
      </c>
    </row>
    <row r="235" spans="1:13" x14ac:dyDescent="0.3">
      <c r="A235">
        <v>2013</v>
      </c>
      <c r="B235">
        <v>7</v>
      </c>
      <c r="C235">
        <v>16</v>
      </c>
      <c r="D235">
        <v>0.76669986752705455</v>
      </c>
      <c r="E235">
        <v>1.5200000000000102E-2</v>
      </c>
      <c r="F235">
        <f t="shared" si="15"/>
        <v>1.1653837986411307E-2</v>
      </c>
      <c r="G235">
        <v>1996</v>
      </c>
      <c r="H235">
        <v>7</v>
      </c>
      <c r="I235" s="26">
        <v>1996.5000000007899</v>
      </c>
      <c r="J235">
        <f t="shared" si="16"/>
        <v>0.81533398597146656</v>
      </c>
      <c r="K235" s="33">
        <f t="shared" si="17"/>
        <v>6.0800000000000409E-2</v>
      </c>
      <c r="L235" s="33">
        <f t="shared" si="18"/>
        <v>4.9572306347065498E-2</v>
      </c>
      <c r="M235" s="31">
        <f t="shared" si="19"/>
        <v>0.12160000000000082</v>
      </c>
    </row>
    <row r="236" spans="1:13" x14ac:dyDescent="0.3">
      <c r="A236">
        <v>2013</v>
      </c>
      <c r="B236">
        <v>7</v>
      </c>
      <c r="C236">
        <v>11</v>
      </c>
      <c r="D236">
        <v>0.77684779323341735</v>
      </c>
      <c r="E236">
        <v>1.5200000000000102E-2</v>
      </c>
      <c r="F236">
        <f t="shared" si="15"/>
        <v>1.1808086457148023E-2</v>
      </c>
      <c r="G236">
        <v>1996</v>
      </c>
      <c r="H236">
        <v>6</v>
      </c>
      <c r="I236" s="26">
        <v>1996.41666666746</v>
      </c>
      <c r="J236">
        <f t="shared" si="16"/>
        <v>0.7614320300422428</v>
      </c>
      <c r="K236" s="33">
        <f t="shared" si="17"/>
        <v>0.24320000000000164</v>
      </c>
      <c r="L236" s="33">
        <f t="shared" si="18"/>
        <v>0.18518026970627469</v>
      </c>
      <c r="M236" s="31">
        <f t="shared" si="19"/>
        <v>0.18746666666666792</v>
      </c>
    </row>
    <row r="237" spans="1:13" x14ac:dyDescent="0.3">
      <c r="A237">
        <v>2013</v>
      </c>
      <c r="B237">
        <v>7</v>
      </c>
      <c r="C237">
        <v>5</v>
      </c>
      <c r="D237">
        <v>0.78339919004606384</v>
      </c>
      <c r="E237">
        <v>1.5200000000000102E-2</v>
      </c>
      <c r="F237">
        <f t="shared" si="15"/>
        <v>1.190766768870025E-2</v>
      </c>
      <c r="G237">
        <v>1996</v>
      </c>
      <c r="H237">
        <v>5</v>
      </c>
      <c r="I237" s="26">
        <v>1996.33333333413</v>
      </c>
      <c r="J237">
        <f t="shared" si="16"/>
        <v>0.67138012269859182</v>
      </c>
      <c r="K237" s="33">
        <f t="shared" si="17"/>
        <v>0.25840000000000174</v>
      </c>
      <c r="L237" s="33">
        <f t="shared" si="18"/>
        <v>0.17348462370531728</v>
      </c>
      <c r="M237" s="31">
        <f t="shared" si="19"/>
        <v>0.25333333333333502</v>
      </c>
    </row>
    <row r="238" spans="1:13" x14ac:dyDescent="0.3">
      <c r="A238">
        <v>2013</v>
      </c>
      <c r="B238">
        <v>6</v>
      </c>
      <c r="C238">
        <v>30</v>
      </c>
      <c r="D238">
        <v>0.78563518352189454</v>
      </c>
      <c r="E238">
        <v>1.5200000000000102E-2</v>
      </c>
      <c r="F238">
        <f t="shared" si="15"/>
        <v>1.1941654789532878E-2</v>
      </c>
      <c r="G238">
        <v>1996</v>
      </c>
      <c r="H238">
        <v>4</v>
      </c>
      <c r="I238" s="26">
        <v>1996.2500000007999</v>
      </c>
      <c r="J238">
        <f t="shared" si="16"/>
        <v>0.54127662047207292</v>
      </c>
      <c r="K238" s="33">
        <f t="shared" si="17"/>
        <v>0.25840000000000174</v>
      </c>
      <c r="L238" s="33">
        <f t="shared" si="18"/>
        <v>0.13986587872998457</v>
      </c>
      <c r="M238" s="31">
        <f t="shared" si="19"/>
        <v>0.25840000000000174</v>
      </c>
    </row>
    <row r="239" spans="1:13" x14ac:dyDescent="0.3">
      <c r="A239">
        <v>2013</v>
      </c>
      <c r="B239">
        <v>6</v>
      </c>
      <c r="C239">
        <v>27</v>
      </c>
      <c r="D239">
        <v>0.78313058626317689</v>
      </c>
      <c r="E239">
        <v>1.5200000000000102E-2</v>
      </c>
      <c r="F239">
        <f t="shared" si="15"/>
        <v>1.1903584911200369E-2</v>
      </c>
      <c r="G239">
        <v>1996</v>
      </c>
      <c r="H239">
        <v>3</v>
      </c>
      <c r="I239" s="26">
        <v>1996.1666666674701</v>
      </c>
      <c r="J239">
        <f t="shared" si="16"/>
        <v>0.47417966781138832</v>
      </c>
      <c r="K239" s="33">
        <f t="shared" si="17"/>
        <v>0.25840000000000174</v>
      </c>
      <c r="L239" s="33">
        <f t="shared" si="18"/>
        <v>0.12252802616246357</v>
      </c>
      <c r="M239" s="31">
        <f t="shared" si="19"/>
        <v>0.18746666666666792</v>
      </c>
    </row>
    <row r="240" spans="1:13" x14ac:dyDescent="0.3">
      <c r="A240">
        <v>2013</v>
      </c>
      <c r="B240">
        <v>6</v>
      </c>
      <c r="C240">
        <v>25</v>
      </c>
      <c r="D240">
        <v>0.77613667622242077</v>
      </c>
      <c r="E240">
        <v>1.5200000000000102E-2</v>
      </c>
      <c r="F240">
        <f t="shared" si="15"/>
        <v>1.1797277478580875E-2</v>
      </c>
      <c r="G240">
        <v>1996</v>
      </c>
      <c r="H240">
        <v>2</v>
      </c>
      <c r="I240" s="26">
        <v>1996.08333333414</v>
      </c>
      <c r="J240">
        <f t="shared" si="16"/>
        <v>0.41942561700440573</v>
      </c>
      <c r="K240" s="33">
        <f t="shared" si="17"/>
        <v>4.5600000000000307E-2</v>
      </c>
      <c r="L240" s="33">
        <f t="shared" si="18"/>
        <v>1.9125808135401028E-2</v>
      </c>
      <c r="M240" s="31">
        <f t="shared" si="19"/>
        <v>0.11146666666666742</v>
      </c>
    </row>
    <row r="241" spans="1:13" x14ac:dyDescent="0.3">
      <c r="A241">
        <v>2013</v>
      </c>
      <c r="B241">
        <v>6</v>
      </c>
      <c r="C241">
        <v>23</v>
      </c>
      <c r="D241">
        <v>0.76610823138152462</v>
      </c>
      <c r="E241">
        <v>1.5200000000000102E-2</v>
      </c>
      <c r="F241">
        <f t="shared" si="15"/>
        <v>1.1644845116999253E-2</v>
      </c>
      <c r="G241">
        <v>1996</v>
      </c>
      <c r="H241">
        <v>1</v>
      </c>
      <c r="I241" s="26">
        <v>1996.0000000008099</v>
      </c>
      <c r="J241">
        <f t="shared" si="16"/>
        <v>0.43758672819596278</v>
      </c>
      <c r="K241" s="33">
        <f t="shared" si="17"/>
        <v>3.0400000000000205E-2</v>
      </c>
      <c r="L241" s="33">
        <f t="shared" si="18"/>
        <v>1.3302636537157358E-2</v>
      </c>
      <c r="M241" s="31">
        <f t="shared" si="19"/>
        <v>4.0533333333333608E-2</v>
      </c>
    </row>
    <row r="242" spans="1:13" x14ac:dyDescent="0.3">
      <c r="A242">
        <v>2013</v>
      </c>
      <c r="B242">
        <v>6</v>
      </c>
      <c r="C242">
        <v>21</v>
      </c>
      <c r="D242">
        <v>0.75459320717552714</v>
      </c>
      <c r="E242">
        <v>1.5200000000000102E-2</v>
      </c>
      <c r="F242">
        <f t="shared" si="15"/>
        <v>1.146981674906809E-2</v>
      </c>
      <c r="G242">
        <v>1995</v>
      </c>
      <c r="H242">
        <v>12</v>
      </c>
      <c r="I242" s="26">
        <v>1995.9166666674801</v>
      </c>
      <c r="J242">
        <f t="shared" si="16"/>
        <v>0.4917322824265779</v>
      </c>
      <c r="K242" s="33">
        <f t="shared" si="17"/>
        <v>4.5600000000000307E-2</v>
      </c>
      <c r="L242" s="33">
        <f t="shared" si="18"/>
        <v>2.2422992078652105E-2</v>
      </c>
      <c r="M242" s="31">
        <f t="shared" si="19"/>
        <v>3.5466666666666903E-2</v>
      </c>
    </row>
    <row r="243" spans="1:13" x14ac:dyDescent="0.3">
      <c r="A243">
        <v>2013</v>
      </c>
      <c r="B243">
        <v>6</v>
      </c>
      <c r="C243">
        <v>19</v>
      </c>
      <c r="D243">
        <v>0.74229652231364485</v>
      </c>
      <c r="E243">
        <v>1.5200000000000102E-2</v>
      </c>
      <c r="F243">
        <f t="shared" si="15"/>
        <v>1.1282907139167478E-2</v>
      </c>
      <c r="G243">
        <v>1995</v>
      </c>
      <c r="H243">
        <v>11</v>
      </c>
      <c r="I243" s="26">
        <v>1995.83333333415</v>
      </c>
      <c r="J243">
        <f t="shared" si="16"/>
        <v>0.580855663012107</v>
      </c>
      <c r="K243" s="33">
        <f t="shared" si="17"/>
        <v>3.0400000000000205E-2</v>
      </c>
      <c r="L243" s="33">
        <f t="shared" si="18"/>
        <v>1.765801215556817E-2</v>
      </c>
      <c r="M243" s="31">
        <f t="shared" si="19"/>
        <v>3.5466666666666903E-2</v>
      </c>
    </row>
    <row r="244" spans="1:13" x14ac:dyDescent="0.3">
      <c r="A244">
        <v>2013</v>
      </c>
      <c r="B244">
        <v>6</v>
      </c>
      <c r="C244">
        <v>17</v>
      </c>
      <c r="D244">
        <v>0.7308723293616145</v>
      </c>
      <c r="E244">
        <v>1.5200000000000102E-2</v>
      </c>
      <c r="F244">
        <f t="shared" si="15"/>
        <v>1.1109259406296616E-2</v>
      </c>
      <c r="G244">
        <v>1995</v>
      </c>
      <c r="H244">
        <v>10</v>
      </c>
      <c r="I244" s="26">
        <v>1995.7500000008199</v>
      </c>
      <c r="J244">
        <f t="shared" si="16"/>
        <v>0.68402044538115514</v>
      </c>
      <c r="K244" s="33">
        <f t="shared" si="17"/>
        <v>3.0400000000000205E-2</v>
      </c>
      <c r="L244" s="33">
        <f t="shared" si="18"/>
        <v>2.0794221539587255E-2</v>
      </c>
      <c r="M244" s="31">
        <f t="shared" si="19"/>
        <v>3.5466666666666903E-2</v>
      </c>
    </row>
    <row r="245" spans="1:13" x14ac:dyDescent="0.3">
      <c r="A245">
        <v>2013</v>
      </c>
      <c r="B245">
        <v>6</v>
      </c>
      <c r="C245">
        <v>15</v>
      </c>
      <c r="D245">
        <v>0.71621952044327808</v>
      </c>
      <c r="E245">
        <v>1.5200000000000102E-2</v>
      </c>
      <c r="F245">
        <f t="shared" si="15"/>
        <v>1.08865367107379E-2</v>
      </c>
      <c r="G245">
        <v>1995</v>
      </c>
      <c r="H245">
        <v>9</v>
      </c>
      <c r="I245" s="26">
        <v>1995.6666666674901</v>
      </c>
      <c r="J245">
        <f t="shared" si="16"/>
        <v>0.81080539978562338</v>
      </c>
      <c r="K245" s="33">
        <f t="shared" si="17"/>
        <v>4.5600000000000307E-2</v>
      </c>
      <c r="L245" s="33">
        <f t="shared" si="18"/>
        <v>3.6972726230224677E-2</v>
      </c>
      <c r="M245" s="31">
        <f t="shared" si="19"/>
        <v>3.5466666666666903E-2</v>
      </c>
    </row>
    <row r="246" spans="1:13" x14ac:dyDescent="0.3">
      <c r="A246">
        <v>2013</v>
      </c>
      <c r="B246">
        <v>6</v>
      </c>
      <c r="C246">
        <v>13</v>
      </c>
      <c r="D246">
        <v>0.70340403618258929</v>
      </c>
      <c r="E246">
        <v>1.5200000000000102E-2</v>
      </c>
      <c r="F246">
        <f t="shared" si="15"/>
        <v>1.069174134997543E-2</v>
      </c>
      <c r="G246">
        <v>1995</v>
      </c>
      <c r="H246">
        <v>8</v>
      </c>
      <c r="I246" s="26">
        <v>1995.58333333416</v>
      </c>
      <c r="J246">
        <f t="shared" si="16"/>
        <v>0.90418776509132459</v>
      </c>
      <c r="K246" s="33">
        <f t="shared" si="17"/>
        <v>3.0400000000000205E-2</v>
      </c>
      <c r="L246" s="33">
        <f t="shared" si="18"/>
        <v>2.7487308058776451E-2</v>
      </c>
      <c r="M246" s="31">
        <f t="shared" si="19"/>
        <v>3.5466666666666903E-2</v>
      </c>
    </row>
    <row r="247" spans="1:13" x14ac:dyDescent="0.3">
      <c r="A247">
        <v>2013</v>
      </c>
      <c r="B247">
        <v>6</v>
      </c>
      <c r="C247">
        <v>11</v>
      </c>
      <c r="D247">
        <v>0.69294404306800228</v>
      </c>
      <c r="E247">
        <v>1.5200000000000102E-2</v>
      </c>
      <c r="F247">
        <f t="shared" si="15"/>
        <v>1.0532749454633705E-2</v>
      </c>
      <c r="G247">
        <v>1995</v>
      </c>
      <c r="H247">
        <v>7</v>
      </c>
      <c r="I247" s="26">
        <v>1995.5000000008299</v>
      </c>
      <c r="J247">
        <f t="shared" si="16"/>
        <v>0.93890896444986982</v>
      </c>
      <c r="K247" s="33">
        <f t="shared" si="17"/>
        <v>3.0400000000000205E-2</v>
      </c>
      <c r="L247" s="33">
        <f t="shared" si="18"/>
        <v>2.8542832519276234E-2</v>
      </c>
      <c r="M247" s="31">
        <f t="shared" si="19"/>
        <v>8.6133333333333909E-2</v>
      </c>
    </row>
    <row r="248" spans="1:13" x14ac:dyDescent="0.3">
      <c r="A248">
        <v>2013</v>
      </c>
      <c r="B248">
        <v>6</v>
      </c>
      <c r="C248">
        <v>9</v>
      </c>
      <c r="D248">
        <v>0.68562295145239205</v>
      </c>
      <c r="E248">
        <v>1.5200000000000102E-2</v>
      </c>
      <c r="F248">
        <f t="shared" si="15"/>
        <v>1.0421468862076429E-2</v>
      </c>
      <c r="G248">
        <v>1995</v>
      </c>
      <c r="H248">
        <v>6</v>
      </c>
      <c r="I248" s="26">
        <v>1995.4166666675001</v>
      </c>
      <c r="J248">
        <f t="shared" si="16"/>
        <v>0.91661759159375511</v>
      </c>
      <c r="K248" s="33">
        <f t="shared" si="17"/>
        <v>0.19760000000000133</v>
      </c>
      <c r="L248" s="33">
        <f t="shared" si="18"/>
        <v>0.18112363609892723</v>
      </c>
      <c r="M248" s="31">
        <f t="shared" si="19"/>
        <v>0.14693333333333433</v>
      </c>
    </row>
    <row r="249" spans="1:13" x14ac:dyDescent="0.3">
      <c r="A249">
        <v>2013</v>
      </c>
      <c r="B249">
        <v>6</v>
      </c>
      <c r="C249">
        <v>7</v>
      </c>
      <c r="D249">
        <v>0.68047413143997393</v>
      </c>
      <c r="E249">
        <v>1.5200000000000102E-2</v>
      </c>
      <c r="F249">
        <f t="shared" si="15"/>
        <v>1.0343206797887673E-2</v>
      </c>
      <c r="G249">
        <v>1995</v>
      </c>
      <c r="H249">
        <v>5</v>
      </c>
      <c r="I249" s="26">
        <v>1995.33333333417</v>
      </c>
      <c r="J249">
        <f t="shared" si="16"/>
        <v>0.81933519923426701</v>
      </c>
      <c r="K249" s="33">
        <f t="shared" si="17"/>
        <v>0.21280000000000143</v>
      </c>
      <c r="L249" s="33">
        <f t="shared" si="18"/>
        <v>0.1743545303970532</v>
      </c>
      <c r="M249" s="31">
        <f t="shared" si="19"/>
        <v>0.20266666666666802</v>
      </c>
    </row>
    <row r="250" spans="1:13" x14ac:dyDescent="0.3">
      <c r="A250">
        <v>2013</v>
      </c>
      <c r="B250">
        <v>6</v>
      </c>
      <c r="C250">
        <v>5</v>
      </c>
      <c r="D250">
        <v>0.67977175443077054</v>
      </c>
      <c r="E250">
        <v>1.5200000000000102E-2</v>
      </c>
      <c r="F250">
        <f t="shared" si="15"/>
        <v>1.0332530667347782E-2</v>
      </c>
      <c r="G250">
        <v>1995</v>
      </c>
      <c r="H250">
        <v>4</v>
      </c>
      <c r="I250" s="26">
        <v>1995.2500000008399</v>
      </c>
      <c r="J250">
        <f t="shared" si="16"/>
        <v>0.70766550786624061</v>
      </c>
      <c r="K250" s="33">
        <f t="shared" si="17"/>
        <v>0.19760000000000133</v>
      </c>
      <c r="L250" s="33">
        <f t="shared" si="18"/>
        <v>0.13983470435437009</v>
      </c>
      <c r="M250" s="31">
        <f t="shared" si="19"/>
        <v>0.20773333333333474</v>
      </c>
    </row>
    <row r="251" spans="1:13" x14ac:dyDescent="0.3">
      <c r="A251">
        <v>2013</v>
      </c>
      <c r="B251">
        <v>6</v>
      </c>
      <c r="C251">
        <v>3</v>
      </c>
      <c r="D251">
        <v>0.67718690897506828</v>
      </c>
      <c r="E251">
        <v>1.5200000000000102E-2</v>
      </c>
      <c r="F251">
        <f t="shared" si="15"/>
        <v>1.0293241016421107E-2</v>
      </c>
      <c r="G251">
        <v>1995</v>
      </c>
      <c r="H251">
        <v>3</v>
      </c>
      <c r="I251" s="26">
        <v>1995.1666666675101</v>
      </c>
      <c r="J251">
        <f t="shared" si="16"/>
        <v>0.69123085826895669</v>
      </c>
      <c r="K251" s="33">
        <f t="shared" si="17"/>
        <v>0.21280000000000143</v>
      </c>
      <c r="L251" s="33">
        <f t="shared" si="18"/>
        <v>0.14709392663963497</v>
      </c>
      <c r="M251" s="31">
        <f t="shared" si="19"/>
        <v>0.14693333333333433</v>
      </c>
    </row>
    <row r="252" spans="1:13" x14ac:dyDescent="0.3">
      <c r="A252">
        <v>2013</v>
      </c>
      <c r="B252">
        <v>6</v>
      </c>
      <c r="C252">
        <v>1</v>
      </c>
      <c r="D252">
        <v>0.67232243848807105</v>
      </c>
      <c r="E252">
        <v>1.5200000000000102E-2</v>
      </c>
      <c r="F252">
        <f t="shared" si="15"/>
        <v>1.0219301065018749E-2</v>
      </c>
      <c r="G252">
        <v>1995</v>
      </c>
      <c r="H252">
        <v>2</v>
      </c>
      <c r="I252" s="26">
        <v>1995.08333333418</v>
      </c>
      <c r="J252">
        <f t="shared" si="16"/>
        <v>0.66171603576069737</v>
      </c>
      <c r="K252" s="33">
        <f t="shared" si="17"/>
        <v>3.0400000000000205E-2</v>
      </c>
      <c r="L252" s="33">
        <f t="shared" si="18"/>
        <v>2.0116167487125334E-2</v>
      </c>
      <c r="M252" s="31">
        <f t="shared" si="19"/>
        <v>9.1200000000000614E-2</v>
      </c>
    </row>
    <row r="253" spans="1:13" x14ac:dyDescent="0.3">
      <c r="A253">
        <v>2013</v>
      </c>
      <c r="B253">
        <v>5</v>
      </c>
      <c r="C253">
        <v>30</v>
      </c>
      <c r="D253">
        <v>0.67054951676396668</v>
      </c>
      <c r="E253">
        <v>1.5200000000000102E-2</v>
      </c>
      <c r="F253">
        <f t="shared" si="15"/>
        <v>1.0192352654812362E-2</v>
      </c>
      <c r="G253">
        <v>1995</v>
      </c>
      <c r="H253">
        <v>1</v>
      </c>
      <c r="I253" s="26">
        <v>1995.0000000008499</v>
      </c>
      <c r="J253">
        <f t="shared" si="16"/>
        <v>0.68245592820885581</v>
      </c>
      <c r="K253" s="33">
        <f t="shared" si="17"/>
        <v>3.0400000000000205E-2</v>
      </c>
      <c r="L253" s="33">
        <f t="shared" si="18"/>
        <v>2.0746660217549357E-2</v>
      </c>
      <c r="M253" s="31">
        <f t="shared" si="19"/>
        <v>3.0400000000000205E-2</v>
      </c>
    </row>
    <row r="254" spans="1:13" x14ac:dyDescent="0.3">
      <c r="A254">
        <v>2013</v>
      </c>
      <c r="B254">
        <v>5</v>
      </c>
      <c r="C254">
        <v>28</v>
      </c>
      <c r="D254">
        <v>0.66837584106342829</v>
      </c>
      <c r="E254">
        <v>1.5200000000000102E-2</v>
      </c>
      <c r="F254">
        <f t="shared" si="15"/>
        <v>1.0159312784164178E-2</v>
      </c>
      <c r="G254">
        <v>1994</v>
      </c>
      <c r="H254">
        <v>12</v>
      </c>
      <c r="I254" s="26">
        <v>1994.9166666675201</v>
      </c>
      <c r="J254">
        <f t="shared" si="16"/>
        <v>0.71641585376913952</v>
      </c>
      <c r="K254" s="33">
        <f t="shared" si="17"/>
        <v>3.0400000000000205E-2</v>
      </c>
      <c r="L254" s="33">
        <f t="shared" si="18"/>
        <v>2.1779041954581989E-2</v>
      </c>
      <c r="M254" s="31">
        <f t="shared" si="19"/>
        <v>3.0400000000000205E-2</v>
      </c>
    </row>
    <row r="255" spans="1:13" x14ac:dyDescent="0.3">
      <c r="A255">
        <v>2013</v>
      </c>
      <c r="B255">
        <v>5</v>
      </c>
      <c r="C255">
        <v>26</v>
      </c>
      <c r="D255">
        <v>0.66781078822375772</v>
      </c>
      <c r="E255">
        <v>1.5200000000000102E-2</v>
      </c>
      <c r="F255">
        <f t="shared" si="15"/>
        <v>1.0150723981001185E-2</v>
      </c>
      <c r="G255">
        <v>1994</v>
      </c>
      <c r="H255">
        <v>11</v>
      </c>
      <c r="I255" s="26">
        <v>1994.83333333419</v>
      </c>
      <c r="J255">
        <f t="shared" si="16"/>
        <v>0.7436440727280027</v>
      </c>
      <c r="K255" s="33">
        <f t="shared" si="17"/>
        <v>3.0400000000000205E-2</v>
      </c>
      <c r="L255" s="33">
        <f t="shared" si="18"/>
        <v>2.2606779810931434E-2</v>
      </c>
      <c r="M255" s="31">
        <f t="shared" si="19"/>
        <v>3.0400000000000205E-2</v>
      </c>
    </row>
    <row r="256" spans="1:13" x14ac:dyDescent="0.3">
      <c r="A256">
        <v>2013</v>
      </c>
      <c r="B256">
        <v>5</v>
      </c>
      <c r="C256">
        <v>24</v>
      </c>
      <c r="D256">
        <v>0.66992573251718823</v>
      </c>
      <c r="E256">
        <v>1.5200000000000102E-2</v>
      </c>
      <c r="F256">
        <f t="shared" si="15"/>
        <v>1.0182871134261329E-2</v>
      </c>
      <c r="G256">
        <v>1994</v>
      </c>
      <c r="H256">
        <v>10</v>
      </c>
      <c r="I256" s="26">
        <v>1994.7500000008599</v>
      </c>
      <c r="J256">
        <f t="shared" si="16"/>
        <v>0.77154862070221719</v>
      </c>
      <c r="K256" s="33">
        <f t="shared" si="17"/>
        <v>3.0400000000000205E-2</v>
      </c>
      <c r="L256" s="33">
        <f t="shared" si="18"/>
        <v>2.345507806934756E-2</v>
      </c>
      <c r="M256" s="31">
        <f t="shared" si="19"/>
        <v>3.0400000000000205E-2</v>
      </c>
    </row>
    <row r="257" spans="1:13" x14ac:dyDescent="0.3">
      <c r="A257">
        <v>2013</v>
      </c>
      <c r="B257">
        <v>5</v>
      </c>
      <c r="C257">
        <v>22</v>
      </c>
      <c r="D257">
        <v>0.67392098638054387</v>
      </c>
      <c r="E257">
        <v>1.5200000000000102E-2</v>
      </c>
      <c r="F257">
        <f t="shared" si="15"/>
        <v>1.0243598992984335E-2</v>
      </c>
      <c r="G257">
        <v>1994</v>
      </c>
      <c r="H257">
        <v>9</v>
      </c>
      <c r="I257" s="26">
        <v>1994.6666666675301</v>
      </c>
      <c r="J257">
        <f t="shared" si="16"/>
        <v>0.80801935497091859</v>
      </c>
      <c r="K257" s="33">
        <f t="shared" si="17"/>
        <v>3.0400000000000205E-2</v>
      </c>
      <c r="L257" s="33">
        <f t="shared" si="18"/>
        <v>2.456378839111609E-2</v>
      </c>
      <c r="M257" s="31">
        <f t="shared" si="19"/>
        <v>3.0400000000000205E-2</v>
      </c>
    </row>
    <row r="258" spans="1:13" x14ac:dyDescent="0.3">
      <c r="A258">
        <v>2013</v>
      </c>
      <c r="B258">
        <v>5</v>
      </c>
      <c r="C258">
        <v>20</v>
      </c>
      <c r="D258">
        <v>0.67348900457564653</v>
      </c>
      <c r="E258">
        <v>1.5200000000000102E-2</v>
      </c>
      <c r="F258">
        <f t="shared" si="15"/>
        <v>1.0237032869549896E-2</v>
      </c>
      <c r="G258">
        <v>1994</v>
      </c>
      <c r="H258">
        <v>8</v>
      </c>
      <c r="I258" s="26">
        <v>1994.5833333342</v>
      </c>
      <c r="J258">
        <f t="shared" si="16"/>
        <v>0.84864833371688331</v>
      </c>
      <c r="K258" s="33">
        <f t="shared" si="17"/>
        <v>3.0400000000000205E-2</v>
      </c>
      <c r="L258" s="33">
        <f t="shared" si="18"/>
        <v>2.5798909344993425E-2</v>
      </c>
      <c r="M258" s="31">
        <f t="shared" si="19"/>
        <v>3.0400000000000205E-2</v>
      </c>
    </row>
    <row r="259" spans="1:13" x14ac:dyDescent="0.3">
      <c r="A259">
        <v>2013</v>
      </c>
      <c r="B259">
        <v>5</v>
      </c>
      <c r="C259">
        <v>18</v>
      </c>
      <c r="D259">
        <v>0.67198381420733289</v>
      </c>
      <c r="E259">
        <v>1.5200000000000102E-2</v>
      </c>
      <c r="F259">
        <f t="shared" ref="F259:F322" si="20">D259*E259</f>
        <v>1.0214153975951528E-2</v>
      </c>
      <c r="G259">
        <v>1994</v>
      </c>
      <c r="H259">
        <v>7</v>
      </c>
      <c r="I259" s="26">
        <v>1994.5000000008699</v>
      </c>
      <c r="J259">
        <f t="shared" ref="J259:J322" si="21">AVERAGEIFS(D$2:D$3010,A$2:A$3010,G259,B$2:B$3010,H259)</f>
        <v>0.87610605128803076</v>
      </c>
      <c r="K259" s="33">
        <f t="shared" ref="K259:K322" si="22">SUMIFS(E$2:E$3010,A$2:A$3010,G259,B$2:B$3010,H259)</f>
        <v>3.0400000000000205E-2</v>
      </c>
      <c r="L259" s="33">
        <f t="shared" ref="L259:L322" si="23">J259*K259</f>
        <v>2.6633623959156316E-2</v>
      </c>
      <c r="M259" s="31">
        <f t="shared" si="19"/>
        <v>0.10133333333333401</v>
      </c>
    </row>
    <row r="260" spans="1:13" x14ac:dyDescent="0.3">
      <c r="A260">
        <v>2013</v>
      </c>
      <c r="B260">
        <v>5</v>
      </c>
      <c r="C260">
        <v>16</v>
      </c>
      <c r="D260">
        <v>0.67021153151316937</v>
      </c>
      <c r="E260">
        <v>1.5200000000000102E-2</v>
      </c>
      <c r="F260">
        <f t="shared" si="20"/>
        <v>1.0187215279000243E-2</v>
      </c>
      <c r="G260">
        <v>1994</v>
      </c>
      <c r="H260">
        <v>6</v>
      </c>
      <c r="I260" s="26">
        <v>1994.4166666675401</v>
      </c>
      <c r="J260">
        <f t="shared" si="21"/>
        <v>0.81015174360927911</v>
      </c>
      <c r="K260" s="33">
        <f t="shared" si="22"/>
        <v>0.24320000000000164</v>
      </c>
      <c r="L260" s="33">
        <f t="shared" si="23"/>
        <v>0.197028904045778</v>
      </c>
      <c r="M260" s="31">
        <f t="shared" ref="M260:M323" si="24">AVERAGE(K259:K261)</f>
        <v>0.17733333333333454</v>
      </c>
    </row>
    <row r="261" spans="1:13" x14ac:dyDescent="0.3">
      <c r="A261">
        <v>2013</v>
      </c>
      <c r="B261">
        <v>5</v>
      </c>
      <c r="C261">
        <v>14</v>
      </c>
      <c r="D261">
        <v>0.66669970670848033</v>
      </c>
      <c r="E261">
        <v>1.5200000000000102E-2</v>
      </c>
      <c r="F261">
        <f t="shared" si="20"/>
        <v>1.0133835541968969E-2</v>
      </c>
      <c r="G261">
        <v>1994</v>
      </c>
      <c r="H261">
        <v>5</v>
      </c>
      <c r="I261" s="26">
        <v>1994.33333333421</v>
      </c>
      <c r="J261">
        <f t="shared" si="21"/>
        <v>0.83129280432126584</v>
      </c>
      <c r="K261" s="33">
        <f t="shared" si="22"/>
        <v>0.25840000000000174</v>
      </c>
      <c r="L261" s="33">
        <f t="shared" si="23"/>
        <v>0.21480606063661653</v>
      </c>
      <c r="M261" s="31">
        <f t="shared" si="24"/>
        <v>0.24826666666666833</v>
      </c>
    </row>
    <row r="262" spans="1:13" x14ac:dyDescent="0.3">
      <c r="A262">
        <v>2013</v>
      </c>
      <c r="B262">
        <v>5</v>
      </c>
      <c r="C262">
        <v>12</v>
      </c>
      <c r="D262">
        <v>0.66426238369811741</v>
      </c>
      <c r="E262">
        <v>1.5200000000000102E-2</v>
      </c>
      <c r="F262">
        <f t="shared" si="20"/>
        <v>1.0096788232211452E-2</v>
      </c>
      <c r="G262">
        <v>1994</v>
      </c>
      <c r="H262">
        <v>4</v>
      </c>
      <c r="I262" s="26">
        <v>1994.2500000008799</v>
      </c>
      <c r="J262">
        <f t="shared" si="21"/>
        <v>0.81343041608972178</v>
      </c>
      <c r="K262" s="33">
        <f t="shared" si="22"/>
        <v>0.24320000000000164</v>
      </c>
      <c r="L262" s="33">
        <f t="shared" si="23"/>
        <v>0.19782627719302168</v>
      </c>
      <c r="M262" s="31">
        <f t="shared" si="24"/>
        <v>0.25333333333333502</v>
      </c>
    </row>
    <row r="263" spans="1:13" x14ac:dyDescent="0.3">
      <c r="A263">
        <v>2013</v>
      </c>
      <c r="B263">
        <v>5</v>
      </c>
      <c r="C263">
        <v>10</v>
      </c>
      <c r="D263">
        <v>0.66169401207844558</v>
      </c>
      <c r="E263">
        <v>1.5200000000000102E-2</v>
      </c>
      <c r="F263">
        <f t="shared" si="20"/>
        <v>1.005774898359244E-2</v>
      </c>
      <c r="G263">
        <v>1994</v>
      </c>
      <c r="H263">
        <v>3</v>
      </c>
      <c r="I263" s="26">
        <v>1994.1666666675501</v>
      </c>
      <c r="J263">
        <f t="shared" si="21"/>
        <v>0.65714197295555632</v>
      </c>
      <c r="K263" s="33">
        <f t="shared" si="22"/>
        <v>0.25840000000000174</v>
      </c>
      <c r="L263" s="33">
        <f t="shared" si="23"/>
        <v>0.16980548581171689</v>
      </c>
      <c r="M263" s="31">
        <f t="shared" si="24"/>
        <v>0.18240000000000123</v>
      </c>
    </row>
    <row r="264" spans="1:13" x14ac:dyDescent="0.3">
      <c r="A264">
        <v>2013</v>
      </c>
      <c r="B264">
        <v>5</v>
      </c>
      <c r="C264">
        <v>8</v>
      </c>
      <c r="D264">
        <v>0.66059664171728028</v>
      </c>
      <c r="E264">
        <v>1.5200000000000102E-2</v>
      </c>
      <c r="F264">
        <f t="shared" si="20"/>
        <v>1.0041068954102728E-2</v>
      </c>
      <c r="G264">
        <v>1994</v>
      </c>
      <c r="H264">
        <v>2</v>
      </c>
      <c r="I264" s="26">
        <v>1994.08333333422</v>
      </c>
      <c r="J264">
        <f t="shared" si="21"/>
        <v>0.54871092800571697</v>
      </c>
      <c r="K264" s="33">
        <f t="shared" si="22"/>
        <v>4.5600000000000307E-2</v>
      </c>
      <c r="L264" s="33">
        <f t="shared" si="23"/>
        <v>2.5021218317060862E-2</v>
      </c>
      <c r="M264" s="31">
        <f t="shared" si="24"/>
        <v>0.12160000000000082</v>
      </c>
    </row>
    <row r="265" spans="1:13" x14ac:dyDescent="0.3">
      <c r="A265">
        <v>2013</v>
      </c>
      <c r="B265">
        <v>5</v>
      </c>
      <c r="C265">
        <v>6</v>
      </c>
      <c r="D265">
        <v>0.65976670744669275</v>
      </c>
      <c r="E265">
        <v>1.5200000000000102E-2</v>
      </c>
      <c r="F265">
        <f t="shared" si="20"/>
        <v>1.0028453953189798E-2</v>
      </c>
      <c r="G265">
        <v>1994</v>
      </c>
      <c r="H265">
        <v>1</v>
      </c>
      <c r="I265" s="26">
        <v>1994.0000000008899</v>
      </c>
      <c r="J265">
        <f t="shared" si="21"/>
        <v>0.56561032245789244</v>
      </c>
      <c r="K265" s="33">
        <f t="shared" si="22"/>
        <v>6.0800000000000409E-2</v>
      </c>
      <c r="L265" s="33">
        <f t="shared" si="23"/>
        <v>3.4389107605440089E-2</v>
      </c>
      <c r="M265" s="31">
        <f t="shared" si="24"/>
        <v>5.0666666666667005E-2</v>
      </c>
    </row>
    <row r="266" spans="1:13" x14ac:dyDescent="0.3">
      <c r="A266">
        <v>2013</v>
      </c>
      <c r="B266">
        <v>5</v>
      </c>
      <c r="C266">
        <v>4</v>
      </c>
      <c r="D266">
        <v>0.66107334022038011</v>
      </c>
      <c r="E266">
        <v>1.5200000000000102E-2</v>
      </c>
      <c r="F266">
        <f t="shared" si="20"/>
        <v>1.0048314771349846E-2</v>
      </c>
      <c r="G266">
        <v>1993</v>
      </c>
      <c r="H266">
        <v>12</v>
      </c>
      <c r="I266" s="26">
        <v>1993.9166666675601</v>
      </c>
      <c r="J266">
        <f t="shared" si="21"/>
        <v>0.60001324977632031</v>
      </c>
      <c r="K266" s="33">
        <f t="shared" si="22"/>
        <v>4.5600000000000307E-2</v>
      </c>
      <c r="L266" s="33">
        <f t="shared" si="23"/>
        <v>2.7360604189800391E-2</v>
      </c>
      <c r="M266" s="31">
        <f t="shared" si="24"/>
        <v>5.0666666666667005E-2</v>
      </c>
    </row>
    <row r="267" spans="1:13" x14ac:dyDescent="0.3">
      <c r="A267">
        <v>2013</v>
      </c>
      <c r="B267">
        <v>5</v>
      </c>
      <c r="C267">
        <v>2</v>
      </c>
      <c r="D267">
        <v>0.6622467648029321</v>
      </c>
      <c r="E267">
        <v>1.5200000000000102E-2</v>
      </c>
      <c r="F267">
        <f t="shared" si="20"/>
        <v>1.0066150825004635E-2</v>
      </c>
      <c r="G267">
        <v>1993</v>
      </c>
      <c r="H267">
        <v>11</v>
      </c>
      <c r="I267" s="26">
        <v>1993.83333333423</v>
      </c>
      <c r="J267">
        <f t="shared" si="21"/>
        <v>0.63086468929321471</v>
      </c>
      <c r="K267" s="33">
        <f t="shared" si="22"/>
        <v>4.5600000000000307E-2</v>
      </c>
      <c r="L267" s="33">
        <f t="shared" si="23"/>
        <v>2.8767429831770785E-2</v>
      </c>
      <c r="M267" s="31">
        <f t="shared" si="24"/>
        <v>5.0666666666667005E-2</v>
      </c>
    </row>
    <row r="268" spans="1:13" x14ac:dyDescent="0.3">
      <c r="A268">
        <v>2013</v>
      </c>
      <c r="B268">
        <v>4</v>
      </c>
      <c r="C268">
        <v>30</v>
      </c>
      <c r="D268">
        <v>0.6648915054325566</v>
      </c>
      <c r="E268">
        <v>1.5200000000000102E-2</v>
      </c>
      <c r="F268">
        <f t="shared" si="20"/>
        <v>1.0106350882574928E-2</v>
      </c>
      <c r="G268">
        <v>1993</v>
      </c>
      <c r="H268">
        <v>10</v>
      </c>
      <c r="I268" s="26">
        <v>1993.7500000008999</v>
      </c>
      <c r="J268">
        <f t="shared" si="21"/>
        <v>0.66284110350754033</v>
      </c>
      <c r="K268" s="33">
        <f t="shared" si="22"/>
        <v>6.0800000000000409E-2</v>
      </c>
      <c r="L268" s="33">
        <f t="shared" si="23"/>
        <v>4.0300739093258722E-2</v>
      </c>
      <c r="M268" s="31">
        <f t="shared" si="24"/>
        <v>5.0666666666667005E-2</v>
      </c>
    </row>
    <row r="269" spans="1:13" x14ac:dyDescent="0.3">
      <c r="A269">
        <v>2013</v>
      </c>
      <c r="B269">
        <v>4</v>
      </c>
      <c r="C269">
        <v>27</v>
      </c>
      <c r="D269">
        <v>0.66513005984294404</v>
      </c>
      <c r="E269">
        <v>1.5200000000000102E-2</v>
      </c>
      <c r="F269">
        <f t="shared" si="20"/>
        <v>1.0109976909612817E-2</v>
      </c>
      <c r="G269">
        <v>1993</v>
      </c>
      <c r="H269">
        <v>9</v>
      </c>
      <c r="I269" s="26">
        <v>1993.6666666675701</v>
      </c>
      <c r="J269">
        <f t="shared" si="21"/>
        <v>0.71662601787179803</v>
      </c>
      <c r="K269" s="33">
        <f t="shared" si="22"/>
        <v>4.5600000000000307E-2</v>
      </c>
      <c r="L269" s="33">
        <f t="shared" si="23"/>
        <v>3.2678146414954208E-2</v>
      </c>
      <c r="M269" s="31">
        <f t="shared" si="24"/>
        <v>5.0666666666667005E-2</v>
      </c>
    </row>
    <row r="270" spans="1:13" x14ac:dyDescent="0.3">
      <c r="A270">
        <v>2013</v>
      </c>
      <c r="B270">
        <v>4</v>
      </c>
      <c r="C270">
        <v>25</v>
      </c>
      <c r="D270">
        <v>0.66443256585541677</v>
      </c>
      <c r="E270">
        <v>1.5200000000000102E-2</v>
      </c>
      <c r="F270">
        <f t="shared" si="20"/>
        <v>1.0099375001002402E-2</v>
      </c>
      <c r="G270">
        <v>1993</v>
      </c>
      <c r="H270">
        <v>8</v>
      </c>
      <c r="I270" s="26">
        <v>1993.58333333424</v>
      </c>
      <c r="J270">
        <f t="shared" si="21"/>
        <v>0.79637834439851429</v>
      </c>
      <c r="K270" s="33">
        <f t="shared" si="22"/>
        <v>4.5600000000000307E-2</v>
      </c>
      <c r="L270" s="33">
        <f t="shared" si="23"/>
        <v>3.6314852504572497E-2</v>
      </c>
      <c r="M270" s="31">
        <f t="shared" si="24"/>
        <v>4.5600000000000307E-2</v>
      </c>
    </row>
    <row r="271" spans="1:13" x14ac:dyDescent="0.3">
      <c r="A271">
        <v>2013</v>
      </c>
      <c r="B271">
        <v>4</v>
      </c>
      <c r="C271">
        <v>23</v>
      </c>
      <c r="D271">
        <v>0.66066256341951701</v>
      </c>
      <c r="E271">
        <v>1.5200000000000102E-2</v>
      </c>
      <c r="F271">
        <f t="shared" si="20"/>
        <v>1.0042070963976727E-2</v>
      </c>
      <c r="G271">
        <v>1993</v>
      </c>
      <c r="H271">
        <v>7</v>
      </c>
      <c r="I271" s="26">
        <v>1993.5000000009099</v>
      </c>
      <c r="J271">
        <f t="shared" si="21"/>
        <v>0.87652343307450797</v>
      </c>
      <c r="K271" s="33">
        <f t="shared" si="22"/>
        <v>4.5600000000000307E-2</v>
      </c>
      <c r="L271" s="33">
        <f t="shared" si="23"/>
        <v>3.9969468548197835E-2</v>
      </c>
      <c r="M271" s="31">
        <f t="shared" si="24"/>
        <v>0.10640000000000072</v>
      </c>
    </row>
    <row r="272" spans="1:13" x14ac:dyDescent="0.3">
      <c r="A272">
        <v>2013</v>
      </c>
      <c r="B272">
        <v>4</v>
      </c>
      <c r="C272">
        <v>21</v>
      </c>
      <c r="D272">
        <v>0.65356698000912394</v>
      </c>
      <c r="E272">
        <v>1.5200000000000102E-2</v>
      </c>
      <c r="F272">
        <f t="shared" si="20"/>
        <v>9.9342180961387513E-3</v>
      </c>
      <c r="G272">
        <v>1993</v>
      </c>
      <c r="H272">
        <v>6</v>
      </c>
      <c r="I272" s="26">
        <v>1993.4166666675801</v>
      </c>
      <c r="J272">
        <f t="shared" si="21"/>
        <v>0.83032133861471302</v>
      </c>
      <c r="K272" s="33">
        <f t="shared" si="22"/>
        <v>0.22800000000000153</v>
      </c>
      <c r="L272" s="33">
        <f t="shared" si="23"/>
        <v>0.18931326520415584</v>
      </c>
      <c r="M272" s="31">
        <f t="shared" si="24"/>
        <v>0.17226666666666782</v>
      </c>
    </row>
    <row r="273" spans="1:13" x14ac:dyDescent="0.3">
      <c r="A273">
        <v>2013</v>
      </c>
      <c r="B273">
        <v>4</v>
      </c>
      <c r="C273">
        <v>19</v>
      </c>
      <c r="D273">
        <v>0.64105098457839005</v>
      </c>
      <c r="E273">
        <v>1.5200000000000102E-2</v>
      </c>
      <c r="F273">
        <f t="shared" si="20"/>
        <v>9.7439749655915935E-3</v>
      </c>
      <c r="G273">
        <v>1993</v>
      </c>
      <c r="H273">
        <v>5</v>
      </c>
      <c r="I273" s="26">
        <v>1993.33333333425</v>
      </c>
      <c r="J273">
        <f t="shared" si="21"/>
        <v>0.8054577520496049</v>
      </c>
      <c r="K273" s="33">
        <f t="shared" si="22"/>
        <v>0.24320000000000164</v>
      </c>
      <c r="L273" s="33">
        <f t="shared" si="23"/>
        <v>0.19588732529846523</v>
      </c>
      <c r="M273" s="31">
        <f t="shared" si="24"/>
        <v>0.23813333333333495</v>
      </c>
    </row>
    <row r="274" spans="1:13" x14ac:dyDescent="0.3">
      <c r="A274">
        <v>2013</v>
      </c>
      <c r="B274">
        <v>4</v>
      </c>
      <c r="C274">
        <v>17</v>
      </c>
      <c r="D274">
        <v>0.62569564414580925</v>
      </c>
      <c r="E274">
        <v>1.5200000000000102E-2</v>
      </c>
      <c r="F274">
        <f t="shared" si="20"/>
        <v>9.5105737910163649E-3</v>
      </c>
      <c r="G274">
        <v>1993</v>
      </c>
      <c r="H274">
        <v>4</v>
      </c>
      <c r="I274" s="26">
        <v>1993.25000000092</v>
      </c>
      <c r="J274">
        <f t="shared" si="21"/>
        <v>0.68188858877385317</v>
      </c>
      <c r="K274" s="33">
        <f t="shared" si="22"/>
        <v>0.24320000000000164</v>
      </c>
      <c r="L274" s="33">
        <f t="shared" si="23"/>
        <v>0.16583530478980221</v>
      </c>
      <c r="M274" s="31">
        <f t="shared" si="24"/>
        <v>0.24320000000000164</v>
      </c>
    </row>
    <row r="275" spans="1:13" x14ac:dyDescent="0.3">
      <c r="A275">
        <v>2013</v>
      </c>
      <c r="B275">
        <v>4</v>
      </c>
      <c r="C275">
        <v>15</v>
      </c>
      <c r="D275">
        <v>0.60676953052172056</v>
      </c>
      <c r="E275">
        <v>1.5200000000000102E-2</v>
      </c>
      <c r="F275">
        <f t="shared" si="20"/>
        <v>9.2228968639302151E-3</v>
      </c>
      <c r="G275">
        <v>1993</v>
      </c>
      <c r="H275">
        <v>3</v>
      </c>
      <c r="I275" s="26">
        <v>1993.1666666675901</v>
      </c>
      <c r="J275">
        <f t="shared" si="21"/>
        <v>0.57869345539647787</v>
      </c>
      <c r="K275" s="33">
        <f t="shared" si="22"/>
        <v>0.24320000000000164</v>
      </c>
      <c r="L275" s="33">
        <f t="shared" si="23"/>
        <v>0.14073824835242438</v>
      </c>
      <c r="M275" s="31">
        <f t="shared" si="24"/>
        <v>0.18240000000000123</v>
      </c>
    </row>
    <row r="276" spans="1:13" x14ac:dyDescent="0.3">
      <c r="A276">
        <v>2013</v>
      </c>
      <c r="B276">
        <v>4</v>
      </c>
      <c r="C276">
        <v>13</v>
      </c>
      <c r="D276">
        <v>0.58798795431067663</v>
      </c>
      <c r="E276">
        <v>1.5200000000000102E-2</v>
      </c>
      <c r="F276">
        <f t="shared" si="20"/>
        <v>8.9374169055223447E-3</v>
      </c>
      <c r="G276">
        <v>1993</v>
      </c>
      <c r="H276">
        <v>2</v>
      </c>
      <c r="I276" s="26">
        <v>1993.08333333426</v>
      </c>
      <c r="J276">
        <f t="shared" si="21"/>
        <v>0.4804245541474641</v>
      </c>
      <c r="K276" s="33">
        <f t="shared" si="22"/>
        <v>6.0800000000000409E-2</v>
      </c>
      <c r="L276" s="33">
        <f t="shared" si="23"/>
        <v>2.9209812892166013E-2</v>
      </c>
      <c r="M276" s="31">
        <f t="shared" si="24"/>
        <v>0.12160000000000082</v>
      </c>
    </row>
    <row r="277" spans="1:13" x14ac:dyDescent="0.3">
      <c r="A277">
        <v>2013</v>
      </c>
      <c r="B277">
        <v>4</v>
      </c>
      <c r="C277">
        <v>11</v>
      </c>
      <c r="D277">
        <v>0.56780959271897402</v>
      </c>
      <c r="E277">
        <v>1.5200000000000102E-2</v>
      </c>
      <c r="F277">
        <f t="shared" si="20"/>
        <v>8.6307058093284626E-3</v>
      </c>
      <c r="G277">
        <v>1993</v>
      </c>
      <c r="H277">
        <v>1</v>
      </c>
      <c r="I277" s="26">
        <v>1993.00000000093</v>
      </c>
      <c r="J277">
        <f t="shared" si="21"/>
        <v>0.52898733582121094</v>
      </c>
      <c r="K277" s="33">
        <f t="shared" si="22"/>
        <v>6.0800000000000409E-2</v>
      </c>
      <c r="L277" s="33">
        <f t="shared" si="23"/>
        <v>3.2162430017929844E-2</v>
      </c>
      <c r="M277" s="31">
        <f t="shared" si="24"/>
        <v>6.0800000000000409E-2</v>
      </c>
    </row>
    <row r="278" spans="1:13" x14ac:dyDescent="0.3">
      <c r="A278">
        <v>2013</v>
      </c>
      <c r="B278">
        <v>4</v>
      </c>
      <c r="C278">
        <v>9</v>
      </c>
      <c r="D278">
        <v>0.55189069515131139</v>
      </c>
      <c r="E278">
        <v>1.5200000000000102E-2</v>
      </c>
      <c r="F278">
        <f t="shared" si="20"/>
        <v>8.3887385662999893E-3</v>
      </c>
      <c r="G278">
        <v>1992</v>
      </c>
      <c r="H278">
        <v>12</v>
      </c>
      <c r="I278" s="26">
        <v>1992.9166666676001</v>
      </c>
      <c r="J278">
        <f t="shared" si="21"/>
        <v>0.56876441336190431</v>
      </c>
      <c r="K278" s="33">
        <f t="shared" si="22"/>
        <v>6.0800000000000409E-2</v>
      </c>
      <c r="L278" s="33">
        <f t="shared" si="23"/>
        <v>3.4580876332404017E-2</v>
      </c>
      <c r="M278" s="31">
        <f t="shared" si="24"/>
        <v>6.0800000000000409E-2</v>
      </c>
    </row>
    <row r="279" spans="1:13" x14ac:dyDescent="0.3">
      <c r="A279">
        <v>2013</v>
      </c>
      <c r="B279">
        <v>4</v>
      </c>
      <c r="C279">
        <v>7</v>
      </c>
      <c r="D279">
        <v>0.5387495365104632</v>
      </c>
      <c r="E279">
        <v>1.5200000000000102E-2</v>
      </c>
      <c r="F279">
        <f t="shared" si="20"/>
        <v>8.1889929549590953E-3</v>
      </c>
      <c r="G279">
        <v>1992</v>
      </c>
      <c r="H279">
        <v>11</v>
      </c>
      <c r="I279" s="26">
        <v>1992.83333333427</v>
      </c>
      <c r="J279">
        <f t="shared" si="21"/>
        <v>0.58768007171521397</v>
      </c>
      <c r="K279" s="33">
        <f t="shared" si="22"/>
        <v>6.0800000000000409E-2</v>
      </c>
      <c r="L279" s="33">
        <f t="shared" si="23"/>
        <v>3.5730948360285252E-2</v>
      </c>
      <c r="M279" s="31">
        <f t="shared" si="24"/>
        <v>6.0800000000000409E-2</v>
      </c>
    </row>
    <row r="280" spans="1:13" x14ac:dyDescent="0.3">
      <c r="A280">
        <v>2013</v>
      </c>
      <c r="B280">
        <v>4</v>
      </c>
      <c r="C280">
        <v>5</v>
      </c>
      <c r="D280">
        <v>0.52884481334871236</v>
      </c>
      <c r="E280">
        <v>1.5200000000000102E-2</v>
      </c>
      <c r="F280">
        <f t="shared" si="20"/>
        <v>8.0384411629004816E-3</v>
      </c>
      <c r="G280">
        <v>1992</v>
      </c>
      <c r="H280">
        <v>10</v>
      </c>
      <c r="I280" s="26">
        <v>1992.75000000094</v>
      </c>
      <c r="J280">
        <f t="shared" si="21"/>
        <v>0.60610706129825087</v>
      </c>
      <c r="K280" s="33">
        <f t="shared" si="22"/>
        <v>6.0800000000000409E-2</v>
      </c>
      <c r="L280" s="33">
        <f t="shared" si="23"/>
        <v>3.6851309326933902E-2</v>
      </c>
      <c r="M280" s="31">
        <f t="shared" si="24"/>
        <v>6.0800000000000409E-2</v>
      </c>
    </row>
    <row r="281" spans="1:13" x14ac:dyDescent="0.3">
      <c r="A281">
        <v>2013</v>
      </c>
      <c r="B281">
        <v>4</v>
      </c>
      <c r="C281">
        <v>3</v>
      </c>
      <c r="D281">
        <v>0.51974110469053048</v>
      </c>
      <c r="E281">
        <v>1.5200000000000102E-2</v>
      </c>
      <c r="F281">
        <f t="shared" si="20"/>
        <v>7.9000647912961172E-3</v>
      </c>
      <c r="G281">
        <v>1992</v>
      </c>
      <c r="H281">
        <v>9</v>
      </c>
      <c r="I281" s="26">
        <v>1992.6666666676099</v>
      </c>
      <c r="J281">
        <f t="shared" si="21"/>
        <v>0.64274746601840516</v>
      </c>
      <c r="K281" s="33">
        <f t="shared" si="22"/>
        <v>6.0800000000000409E-2</v>
      </c>
      <c r="L281" s="33">
        <f t="shared" si="23"/>
        <v>3.9079045933919296E-2</v>
      </c>
      <c r="M281" s="31">
        <f t="shared" si="24"/>
        <v>6.0800000000000409E-2</v>
      </c>
    </row>
    <row r="282" spans="1:13" x14ac:dyDescent="0.3">
      <c r="A282">
        <v>2013</v>
      </c>
      <c r="B282">
        <v>4</v>
      </c>
      <c r="C282">
        <v>1</v>
      </c>
      <c r="D282">
        <v>0.51343536623527841</v>
      </c>
      <c r="E282">
        <v>1.5200000000000102E-2</v>
      </c>
      <c r="F282">
        <f t="shared" si="20"/>
        <v>7.8042175667762843E-3</v>
      </c>
      <c r="G282">
        <v>1992</v>
      </c>
      <c r="H282">
        <v>8</v>
      </c>
      <c r="I282" s="26">
        <v>1992.58333333428</v>
      </c>
      <c r="J282">
        <f t="shared" si="21"/>
        <v>0.73279500760641125</v>
      </c>
      <c r="K282" s="33">
        <f t="shared" si="22"/>
        <v>6.0800000000000409E-2</v>
      </c>
      <c r="L282" s="33">
        <f t="shared" si="23"/>
        <v>4.4553936462470106E-2</v>
      </c>
      <c r="M282" s="31">
        <f t="shared" si="24"/>
        <v>6.0800000000000409E-2</v>
      </c>
    </row>
    <row r="283" spans="1:13" x14ac:dyDescent="0.3">
      <c r="A283">
        <v>2013</v>
      </c>
      <c r="B283">
        <v>3</v>
      </c>
      <c r="C283">
        <v>30</v>
      </c>
      <c r="D283">
        <v>0.50589847467172422</v>
      </c>
      <c r="E283">
        <v>1.5200000000000102E-2</v>
      </c>
      <c r="F283">
        <f t="shared" si="20"/>
        <v>7.6896568150102602E-3</v>
      </c>
      <c r="G283">
        <v>1992</v>
      </c>
      <c r="H283">
        <v>7</v>
      </c>
      <c r="I283" s="26">
        <v>1992.50000000095</v>
      </c>
      <c r="J283">
        <f t="shared" si="21"/>
        <v>0.86624104333635366</v>
      </c>
      <c r="K283" s="33">
        <f t="shared" si="22"/>
        <v>6.0800000000000409E-2</v>
      </c>
      <c r="L283" s="33">
        <f t="shared" si="23"/>
        <v>5.2667455434850657E-2</v>
      </c>
      <c r="M283" s="31">
        <f t="shared" si="24"/>
        <v>0.11653333333333411</v>
      </c>
    </row>
    <row r="284" spans="1:13" x14ac:dyDescent="0.3">
      <c r="A284">
        <v>2013</v>
      </c>
      <c r="B284">
        <v>3</v>
      </c>
      <c r="C284">
        <v>28</v>
      </c>
      <c r="D284">
        <v>0.49913674657638513</v>
      </c>
      <c r="E284">
        <v>1.5200000000000102E-2</v>
      </c>
      <c r="F284">
        <f t="shared" si="20"/>
        <v>7.5868785479611053E-3</v>
      </c>
      <c r="G284">
        <v>1992</v>
      </c>
      <c r="H284">
        <v>6</v>
      </c>
      <c r="I284" s="26">
        <v>1992.4166666676199</v>
      </c>
      <c r="J284">
        <f t="shared" si="21"/>
        <v>0.75329754219727496</v>
      </c>
      <c r="K284" s="33">
        <f t="shared" si="22"/>
        <v>0.22800000000000153</v>
      </c>
      <c r="L284" s="33">
        <f t="shared" si="23"/>
        <v>0.17175183962097984</v>
      </c>
      <c r="M284" s="31">
        <f t="shared" si="24"/>
        <v>0.17733333333333454</v>
      </c>
    </row>
    <row r="285" spans="1:13" x14ac:dyDescent="0.3">
      <c r="A285">
        <v>2013</v>
      </c>
      <c r="B285">
        <v>3</v>
      </c>
      <c r="C285">
        <v>26</v>
      </c>
      <c r="D285">
        <v>0.49190132467460318</v>
      </c>
      <c r="E285">
        <v>1.5200000000000102E-2</v>
      </c>
      <c r="F285">
        <f t="shared" si="20"/>
        <v>7.476900135054019E-3</v>
      </c>
      <c r="G285">
        <v>1992</v>
      </c>
      <c r="H285">
        <v>5</v>
      </c>
      <c r="I285" s="26">
        <v>1992.33333333429</v>
      </c>
      <c r="J285">
        <f t="shared" si="21"/>
        <v>0.70869617265061613</v>
      </c>
      <c r="K285" s="33">
        <f t="shared" si="22"/>
        <v>0.24320000000000164</v>
      </c>
      <c r="L285" s="33">
        <f t="shared" si="23"/>
        <v>0.172354909188631</v>
      </c>
      <c r="M285" s="31">
        <f t="shared" si="24"/>
        <v>0.23813333333333495</v>
      </c>
    </row>
    <row r="286" spans="1:13" x14ac:dyDescent="0.3">
      <c r="A286">
        <v>2013</v>
      </c>
      <c r="B286">
        <v>3</v>
      </c>
      <c r="C286">
        <v>24</v>
      </c>
      <c r="D286">
        <v>0.4876634464333417</v>
      </c>
      <c r="E286">
        <v>1.5200000000000102E-2</v>
      </c>
      <c r="F286">
        <f t="shared" si="20"/>
        <v>7.4124843857868439E-3</v>
      </c>
      <c r="G286">
        <v>1992</v>
      </c>
      <c r="H286">
        <v>4</v>
      </c>
      <c r="I286" s="26">
        <v>1992.25000000096</v>
      </c>
      <c r="J286">
        <f t="shared" si="21"/>
        <v>0.78740603053059055</v>
      </c>
      <c r="K286" s="33">
        <f t="shared" si="22"/>
        <v>0.24320000000000164</v>
      </c>
      <c r="L286" s="33">
        <f t="shared" si="23"/>
        <v>0.19149714662504091</v>
      </c>
      <c r="M286" s="31">
        <f t="shared" si="24"/>
        <v>0.24320000000000164</v>
      </c>
    </row>
    <row r="287" spans="1:13" x14ac:dyDescent="0.3">
      <c r="A287">
        <v>2013</v>
      </c>
      <c r="B287">
        <v>3</v>
      </c>
      <c r="C287">
        <v>22</v>
      </c>
      <c r="D287">
        <v>0.48677543268380985</v>
      </c>
      <c r="E287">
        <v>1.5200000000000102E-2</v>
      </c>
      <c r="F287">
        <f t="shared" si="20"/>
        <v>7.3989865767939596E-3</v>
      </c>
      <c r="G287">
        <v>1992</v>
      </c>
      <c r="H287">
        <v>3</v>
      </c>
      <c r="I287" s="26">
        <v>1992.1666666676299</v>
      </c>
      <c r="J287">
        <f t="shared" si="21"/>
        <v>0.7583428908224864</v>
      </c>
      <c r="K287" s="33">
        <f t="shared" si="22"/>
        <v>0.24320000000000164</v>
      </c>
      <c r="L287" s="33">
        <f t="shared" si="23"/>
        <v>0.18442899104802993</v>
      </c>
      <c r="M287" s="31">
        <f t="shared" si="24"/>
        <v>0.17226666666666782</v>
      </c>
    </row>
    <row r="288" spans="1:13" x14ac:dyDescent="0.3">
      <c r="A288">
        <v>2013</v>
      </c>
      <c r="B288">
        <v>3</v>
      </c>
      <c r="C288">
        <v>20</v>
      </c>
      <c r="D288">
        <v>0.488860220943451</v>
      </c>
      <c r="E288">
        <v>1.5200000000000102E-2</v>
      </c>
      <c r="F288">
        <f t="shared" si="20"/>
        <v>7.4306753583405051E-3</v>
      </c>
      <c r="G288">
        <v>1992</v>
      </c>
      <c r="H288">
        <v>2</v>
      </c>
      <c r="I288" s="26">
        <v>1992.0833333343001</v>
      </c>
      <c r="J288">
        <f t="shared" si="21"/>
        <v>0.71805254617023873</v>
      </c>
      <c r="K288" s="33">
        <f t="shared" si="22"/>
        <v>3.0400000000000205E-2</v>
      </c>
      <c r="L288" s="33">
        <f t="shared" si="23"/>
        <v>2.1828797403575403E-2</v>
      </c>
      <c r="M288" s="31">
        <f t="shared" si="24"/>
        <v>0.10133333333333401</v>
      </c>
    </row>
    <row r="289" spans="1:13" x14ac:dyDescent="0.3">
      <c r="A289">
        <v>2013</v>
      </c>
      <c r="B289">
        <v>3</v>
      </c>
      <c r="C289">
        <v>18</v>
      </c>
      <c r="D289">
        <v>0.49181599920631613</v>
      </c>
      <c r="E289">
        <v>1.5200000000000102E-2</v>
      </c>
      <c r="F289">
        <f t="shared" si="20"/>
        <v>7.4756031879360555E-3</v>
      </c>
      <c r="G289">
        <v>1992</v>
      </c>
      <c r="H289">
        <v>1</v>
      </c>
      <c r="I289" s="26">
        <v>1992.00000000097</v>
      </c>
      <c r="J289">
        <f t="shared" si="21"/>
        <v>0.73264193060725791</v>
      </c>
      <c r="K289" s="33">
        <f t="shared" si="22"/>
        <v>3.0400000000000205E-2</v>
      </c>
      <c r="L289" s="33">
        <f t="shared" si="23"/>
        <v>2.2272314690460791E-2</v>
      </c>
      <c r="M289" s="31">
        <f t="shared" si="24"/>
        <v>3.0400000000000205E-2</v>
      </c>
    </row>
    <row r="290" spans="1:13" x14ac:dyDescent="0.3">
      <c r="A290">
        <v>2013</v>
      </c>
      <c r="B290">
        <v>3</v>
      </c>
      <c r="C290">
        <v>16</v>
      </c>
      <c r="D290">
        <v>0.49589485849057441</v>
      </c>
      <c r="E290">
        <v>1.5200000000000102E-2</v>
      </c>
      <c r="F290">
        <f t="shared" si="20"/>
        <v>7.537601849056782E-3</v>
      </c>
      <c r="G290">
        <v>1991</v>
      </c>
      <c r="H290">
        <v>12</v>
      </c>
      <c r="I290" s="26">
        <v>1991.9166666676399</v>
      </c>
      <c r="J290">
        <f t="shared" si="21"/>
        <v>0.75962851103482876</v>
      </c>
      <c r="K290" s="33">
        <f t="shared" si="22"/>
        <v>3.0400000000000205E-2</v>
      </c>
      <c r="L290" s="33">
        <f t="shared" si="23"/>
        <v>2.3092706735458948E-2</v>
      </c>
      <c r="M290" s="31">
        <f t="shared" si="24"/>
        <v>2.5333333333333503E-2</v>
      </c>
    </row>
    <row r="291" spans="1:13" x14ac:dyDescent="0.3">
      <c r="A291">
        <v>2013</v>
      </c>
      <c r="B291">
        <v>3</v>
      </c>
      <c r="C291">
        <v>14</v>
      </c>
      <c r="D291">
        <v>0.49873588403479258</v>
      </c>
      <c r="E291">
        <v>1.5200000000000102E-2</v>
      </c>
      <c r="F291">
        <f t="shared" si="20"/>
        <v>7.5807854373288984E-3</v>
      </c>
      <c r="G291">
        <v>1991</v>
      </c>
      <c r="H291">
        <v>11</v>
      </c>
      <c r="I291" s="26">
        <v>1991.8333333343101</v>
      </c>
      <c r="J291">
        <f t="shared" si="21"/>
        <v>0.77570272875976054</v>
      </c>
      <c r="K291" s="33">
        <f t="shared" si="22"/>
        <v>1.5200000000000102E-2</v>
      </c>
      <c r="L291" s="33">
        <f t="shared" si="23"/>
        <v>1.179068147714844E-2</v>
      </c>
      <c r="M291" s="31">
        <f t="shared" si="24"/>
        <v>2.5333333333333503E-2</v>
      </c>
    </row>
    <row r="292" spans="1:13" x14ac:dyDescent="0.3">
      <c r="A292">
        <v>2013</v>
      </c>
      <c r="B292">
        <v>3</v>
      </c>
      <c r="C292">
        <v>12</v>
      </c>
      <c r="D292">
        <v>0.50070763683788133</v>
      </c>
      <c r="E292">
        <v>1.5200000000000102E-2</v>
      </c>
      <c r="F292">
        <f t="shared" si="20"/>
        <v>7.6107560799358476E-3</v>
      </c>
      <c r="G292">
        <v>1991</v>
      </c>
      <c r="H292">
        <v>10</v>
      </c>
      <c r="I292" s="26">
        <v>1991.75000000098</v>
      </c>
      <c r="J292">
        <f t="shared" si="21"/>
        <v>0.78514224315367886</v>
      </c>
      <c r="K292" s="33">
        <f t="shared" si="22"/>
        <v>3.0400000000000205E-2</v>
      </c>
      <c r="L292" s="33">
        <f t="shared" si="23"/>
        <v>2.3868324191871997E-2</v>
      </c>
      <c r="M292" s="31">
        <f t="shared" si="24"/>
        <v>2.5333333333333503E-2</v>
      </c>
    </row>
    <row r="293" spans="1:13" x14ac:dyDescent="0.3">
      <c r="A293">
        <v>2013</v>
      </c>
      <c r="B293">
        <v>3</v>
      </c>
      <c r="C293">
        <v>10</v>
      </c>
      <c r="D293">
        <v>0.49769656009770663</v>
      </c>
      <c r="E293">
        <v>1.5200000000000102E-2</v>
      </c>
      <c r="F293">
        <f t="shared" si="20"/>
        <v>7.5649877134851915E-3</v>
      </c>
      <c r="G293">
        <v>1991</v>
      </c>
      <c r="H293">
        <v>9</v>
      </c>
      <c r="I293" s="26">
        <v>1991.6666666676499</v>
      </c>
      <c r="J293">
        <f t="shared" si="21"/>
        <v>0.81348591714795759</v>
      </c>
      <c r="K293" s="33">
        <f t="shared" si="22"/>
        <v>3.0400000000000205E-2</v>
      </c>
      <c r="L293" s="33">
        <f t="shared" si="23"/>
        <v>2.4729971881298076E-2</v>
      </c>
      <c r="M293" s="31">
        <f t="shared" si="24"/>
        <v>3.0400000000000205E-2</v>
      </c>
    </row>
    <row r="294" spans="1:13" x14ac:dyDescent="0.3">
      <c r="A294">
        <v>2013</v>
      </c>
      <c r="B294">
        <v>3</v>
      </c>
      <c r="C294">
        <v>8</v>
      </c>
      <c r="D294">
        <v>0.49369574095258473</v>
      </c>
      <c r="E294">
        <v>1.5200000000000102E-2</v>
      </c>
      <c r="F294">
        <f t="shared" si="20"/>
        <v>7.5041752624793387E-3</v>
      </c>
      <c r="G294">
        <v>1991</v>
      </c>
      <c r="H294">
        <v>8</v>
      </c>
      <c r="I294" s="26">
        <v>1991.5833333343201</v>
      </c>
      <c r="J294">
        <f t="shared" si="21"/>
        <v>0.86420183128385097</v>
      </c>
      <c r="K294" s="33">
        <f t="shared" si="22"/>
        <v>3.0400000000000205E-2</v>
      </c>
      <c r="L294" s="33">
        <f t="shared" si="23"/>
        <v>2.6271735671029247E-2</v>
      </c>
      <c r="M294" s="31">
        <f t="shared" si="24"/>
        <v>2.5333333333333503E-2</v>
      </c>
    </row>
    <row r="295" spans="1:13" x14ac:dyDescent="0.3">
      <c r="A295">
        <v>2013</v>
      </c>
      <c r="B295">
        <v>3</v>
      </c>
      <c r="C295">
        <v>6</v>
      </c>
      <c r="D295">
        <v>0.4894552568089488</v>
      </c>
      <c r="E295">
        <v>1.5200000000000102E-2</v>
      </c>
      <c r="F295">
        <f t="shared" si="20"/>
        <v>7.4397199034960722E-3</v>
      </c>
      <c r="G295">
        <v>1991</v>
      </c>
      <c r="H295">
        <v>7</v>
      </c>
      <c r="I295" s="26">
        <v>1991.50000000099</v>
      </c>
      <c r="J295">
        <f t="shared" si="21"/>
        <v>0.90147223764162832</v>
      </c>
      <c r="K295" s="33">
        <f t="shared" si="22"/>
        <v>1.5200000000000102E-2</v>
      </c>
      <c r="L295" s="33">
        <f t="shared" si="23"/>
        <v>1.3702378012152842E-2</v>
      </c>
      <c r="M295" s="31">
        <f t="shared" si="24"/>
        <v>9.1200000000000614E-2</v>
      </c>
    </row>
    <row r="296" spans="1:13" x14ac:dyDescent="0.3">
      <c r="A296">
        <v>2013</v>
      </c>
      <c r="B296">
        <v>3</v>
      </c>
      <c r="C296">
        <v>4</v>
      </c>
      <c r="D296">
        <v>0.48522403759050087</v>
      </c>
      <c r="E296">
        <v>1.5200000000000102E-2</v>
      </c>
      <c r="F296">
        <f t="shared" si="20"/>
        <v>7.3754053713756627E-3</v>
      </c>
      <c r="G296">
        <v>1991</v>
      </c>
      <c r="H296">
        <v>6</v>
      </c>
      <c r="I296" s="26">
        <v>1991.4166666676599</v>
      </c>
      <c r="J296">
        <f t="shared" si="21"/>
        <v>0.79714337408956226</v>
      </c>
      <c r="K296" s="33">
        <f t="shared" si="22"/>
        <v>0.22800000000000153</v>
      </c>
      <c r="L296" s="33">
        <f t="shared" si="23"/>
        <v>0.18174868929242141</v>
      </c>
      <c r="M296" s="31">
        <f t="shared" si="24"/>
        <v>0.16213333333333443</v>
      </c>
    </row>
    <row r="297" spans="1:13" x14ac:dyDescent="0.3">
      <c r="A297">
        <v>2013</v>
      </c>
      <c r="B297">
        <v>3</v>
      </c>
      <c r="C297">
        <v>2</v>
      </c>
      <c r="D297">
        <v>0.48075536529187773</v>
      </c>
      <c r="E297">
        <v>1.5200000000000102E-2</v>
      </c>
      <c r="F297">
        <f t="shared" si="20"/>
        <v>7.3074815524365906E-3</v>
      </c>
      <c r="G297">
        <v>1991</v>
      </c>
      <c r="H297">
        <v>5</v>
      </c>
      <c r="I297" s="26">
        <v>1991.3333333343301</v>
      </c>
      <c r="J297">
        <f t="shared" si="21"/>
        <v>0.71338722644640196</v>
      </c>
      <c r="K297" s="33">
        <f t="shared" si="22"/>
        <v>0.24320000000000164</v>
      </c>
      <c r="L297" s="33">
        <f t="shared" si="23"/>
        <v>0.17349577347176612</v>
      </c>
      <c r="M297" s="31">
        <f t="shared" si="24"/>
        <v>0.23813333333333495</v>
      </c>
    </row>
    <row r="298" spans="1:13" x14ac:dyDescent="0.3">
      <c r="A298">
        <v>2013</v>
      </c>
      <c r="B298">
        <v>2</v>
      </c>
      <c r="C298">
        <v>28</v>
      </c>
      <c r="D298">
        <v>0.47999415489791636</v>
      </c>
      <c r="E298">
        <v>1.5200000000000102E-2</v>
      </c>
      <c r="F298">
        <f t="shared" si="20"/>
        <v>7.2959111544483781E-3</v>
      </c>
      <c r="G298">
        <v>1991</v>
      </c>
      <c r="H298">
        <v>4</v>
      </c>
      <c r="I298" s="26">
        <v>1991.250000001</v>
      </c>
      <c r="J298">
        <f t="shared" si="21"/>
        <v>0.78987431661937713</v>
      </c>
      <c r="K298" s="33">
        <f t="shared" si="22"/>
        <v>0.24320000000000164</v>
      </c>
      <c r="L298" s="33">
        <f t="shared" si="23"/>
        <v>0.19209743380183381</v>
      </c>
      <c r="M298" s="31">
        <f t="shared" si="24"/>
        <v>0.24320000000000164</v>
      </c>
    </row>
    <row r="299" spans="1:13" x14ac:dyDescent="0.3">
      <c r="A299">
        <v>2013</v>
      </c>
      <c r="B299">
        <v>2</v>
      </c>
      <c r="C299">
        <v>24</v>
      </c>
      <c r="D299">
        <v>0.48281272366117817</v>
      </c>
      <c r="E299">
        <v>1.5200000000000102E-2</v>
      </c>
      <c r="F299">
        <f t="shared" si="20"/>
        <v>7.3387533996499572E-3</v>
      </c>
      <c r="G299">
        <v>1991</v>
      </c>
      <c r="H299">
        <v>3</v>
      </c>
      <c r="I299" s="26">
        <v>1991.1666666676699</v>
      </c>
      <c r="J299">
        <f t="shared" si="21"/>
        <v>0.81823255174445475</v>
      </c>
      <c r="K299" s="33">
        <f t="shared" si="22"/>
        <v>0.24320000000000164</v>
      </c>
      <c r="L299" s="33">
        <f t="shared" si="23"/>
        <v>0.19899415658425273</v>
      </c>
      <c r="M299" s="31">
        <f t="shared" si="24"/>
        <v>0.17226666666666782</v>
      </c>
    </row>
    <row r="300" spans="1:13" x14ac:dyDescent="0.3">
      <c r="A300">
        <v>2013</v>
      </c>
      <c r="B300">
        <v>2</v>
      </c>
      <c r="C300">
        <v>20</v>
      </c>
      <c r="D300">
        <v>0.48872996228834192</v>
      </c>
      <c r="E300">
        <v>1.5200000000000102E-2</v>
      </c>
      <c r="F300">
        <f t="shared" si="20"/>
        <v>7.4286954267828468E-3</v>
      </c>
      <c r="G300">
        <v>1991</v>
      </c>
      <c r="H300">
        <v>2</v>
      </c>
      <c r="I300" s="26">
        <v>1991.0833333343401</v>
      </c>
      <c r="J300">
        <f t="shared" si="21"/>
        <v>0.73129586173216143</v>
      </c>
      <c r="K300" s="33">
        <f t="shared" si="22"/>
        <v>3.0400000000000205E-2</v>
      </c>
      <c r="L300" s="33">
        <f t="shared" si="23"/>
        <v>2.2231394196657858E-2</v>
      </c>
      <c r="M300" s="31">
        <f t="shared" si="24"/>
        <v>0.10133333333333401</v>
      </c>
    </row>
    <row r="301" spans="1:13" x14ac:dyDescent="0.3">
      <c r="A301">
        <v>2013</v>
      </c>
      <c r="B301">
        <v>2</v>
      </c>
      <c r="C301">
        <v>17</v>
      </c>
      <c r="D301">
        <v>0.50263238042532077</v>
      </c>
      <c r="E301">
        <v>1.5200000000000102E-2</v>
      </c>
      <c r="F301">
        <f t="shared" si="20"/>
        <v>7.6400121824649267E-3</v>
      </c>
      <c r="G301">
        <v>1991</v>
      </c>
      <c r="H301">
        <v>1</v>
      </c>
      <c r="I301" s="26">
        <v>1991.00000000101</v>
      </c>
      <c r="J301">
        <f t="shared" si="21"/>
        <v>0.73610224494000809</v>
      </c>
      <c r="K301" s="33">
        <f t="shared" si="22"/>
        <v>3.0400000000000205E-2</v>
      </c>
      <c r="L301" s="33">
        <f t="shared" si="23"/>
        <v>2.2377508246176396E-2</v>
      </c>
      <c r="M301" s="31">
        <f t="shared" si="24"/>
        <v>3.0400000000000205E-2</v>
      </c>
    </row>
    <row r="302" spans="1:13" x14ac:dyDescent="0.3">
      <c r="A302">
        <v>2013</v>
      </c>
      <c r="B302">
        <v>2</v>
      </c>
      <c r="C302">
        <v>13</v>
      </c>
      <c r="D302">
        <v>0.51725679217186049</v>
      </c>
      <c r="E302">
        <v>1.5200000000000102E-2</v>
      </c>
      <c r="F302">
        <f t="shared" si="20"/>
        <v>7.8623032410123327E-3</v>
      </c>
      <c r="G302">
        <v>1990</v>
      </c>
      <c r="H302">
        <v>12</v>
      </c>
      <c r="I302" s="26">
        <v>1990.9166666676799</v>
      </c>
      <c r="J302">
        <f t="shared" si="21"/>
        <v>0.74370332183343468</v>
      </c>
      <c r="K302" s="33">
        <f t="shared" si="22"/>
        <v>3.0400000000000205E-2</v>
      </c>
      <c r="L302" s="33">
        <f t="shared" si="23"/>
        <v>2.2608580983736568E-2</v>
      </c>
      <c r="M302" s="31">
        <f t="shared" si="24"/>
        <v>3.0400000000000205E-2</v>
      </c>
    </row>
    <row r="303" spans="1:13" x14ac:dyDescent="0.3">
      <c r="A303">
        <v>2013</v>
      </c>
      <c r="B303">
        <v>2</v>
      </c>
      <c r="C303">
        <v>9</v>
      </c>
      <c r="D303">
        <v>0.53375395367105394</v>
      </c>
      <c r="E303">
        <v>1.5200000000000102E-2</v>
      </c>
      <c r="F303">
        <f t="shared" si="20"/>
        <v>8.1130600958000745E-3</v>
      </c>
      <c r="G303">
        <v>1990</v>
      </c>
      <c r="H303">
        <v>11</v>
      </c>
      <c r="I303" s="26">
        <v>1990.8333333343501</v>
      </c>
      <c r="J303">
        <f t="shared" si="21"/>
        <v>0.75069191291384207</v>
      </c>
      <c r="K303" s="33">
        <f t="shared" si="22"/>
        <v>3.0400000000000205E-2</v>
      </c>
      <c r="L303" s="33">
        <f t="shared" si="23"/>
        <v>2.2821034152580952E-2</v>
      </c>
      <c r="M303" s="31">
        <f t="shared" si="24"/>
        <v>3.0400000000000205E-2</v>
      </c>
    </row>
    <row r="304" spans="1:13" x14ac:dyDescent="0.3">
      <c r="A304">
        <v>2013</v>
      </c>
      <c r="B304">
        <v>2</v>
      </c>
      <c r="C304">
        <v>6</v>
      </c>
      <c r="D304">
        <v>0.55139623518256209</v>
      </c>
      <c r="E304">
        <v>1.5200000000000102E-2</v>
      </c>
      <c r="F304">
        <f t="shared" si="20"/>
        <v>8.381222774775E-3</v>
      </c>
      <c r="G304">
        <v>1990</v>
      </c>
      <c r="H304">
        <v>10</v>
      </c>
      <c r="I304" s="26">
        <v>1990.75000000102</v>
      </c>
      <c r="J304">
        <f t="shared" si="21"/>
        <v>0.75923640137472537</v>
      </c>
      <c r="K304" s="33">
        <f t="shared" si="22"/>
        <v>3.0400000000000205E-2</v>
      </c>
      <c r="L304" s="33">
        <f t="shared" si="23"/>
        <v>2.3080786601791806E-2</v>
      </c>
      <c r="M304" s="31">
        <f t="shared" si="24"/>
        <v>3.0400000000000205E-2</v>
      </c>
    </row>
    <row r="305" spans="1:13" x14ac:dyDescent="0.3">
      <c r="A305">
        <v>2013</v>
      </c>
      <c r="B305">
        <v>2</v>
      </c>
      <c r="C305">
        <v>2</v>
      </c>
      <c r="D305">
        <v>0.56990034555779556</v>
      </c>
      <c r="E305">
        <v>1.5200000000000102E-2</v>
      </c>
      <c r="F305">
        <f t="shared" si="20"/>
        <v>8.6624852524785512E-3</v>
      </c>
      <c r="G305">
        <v>1990</v>
      </c>
      <c r="H305">
        <v>9</v>
      </c>
      <c r="I305" s="26">
        <v>1990.6666666676899</v>
      </c>
      <c r="J305">
        <f t="shared" si="21"/>
        <v>0.77709580832840908</v>
      </c>
      <c r="K305" s="33">
        <f t="shared" si="22"/>
        <v>3.0400000000000205E-2</v>
      </c>
      <c r="L305" s="33">
        <f t="shared" si="23"/>
        <v>2.3623712573183794E-2</v>
      </c>
      <c r="M305" s="31">
        <f t="shared" si="24"/>
        <v>3.0400000000000205E-2</v>
      </c>
    </row>
    <row r="306" spans="1:13" x14ac:dyDescent="0.3">
      <c r="A306">
        <v>2013</v>
      </c>
      <c r="B306">
        <v>1</v>
      </c>
      <c r="C306">
        <v>29</v>
      </c>
      <c r="D306">
        <v>0.5818181830112652</v>
      </c>
      <c r="E306">
        <v>1.5200000000000102E-2</v>
      </c>
      <c r="F306">
        <f t="shared" si="20"/>
        <v>8.8436363817712901E-3</v>
      </c>
      <c r="G306">
        <v>1990</v>
      </c>
      <c r="H306">
        <v>8</v>
      </c>
      <c r="I306" s="26">
        <v>1990.5833333343601</v>
      </c>
      <c r="J306">
        <f t="shared" si="21"/>
        <v>0.81717086380349357</v>
      </c>
      <c r="K306" s="33">
        <f t="shared" si="22"/>
        <v>3.0400000000000205E-2</v>
      </c>
      <c r="L306" s="33">
        <f t="shared" si="23"/>
        <v>2.4841994259626372E-2</v>
      </c>
      <c r="M306" s="31">
        <f t="shared" si="24"/>
        <v>3.0400000000000205E-2</v>
      </c>
    </row>
    <row r="307" spans="1:13" x14ac:dyDescent="0.3">
      <c r="A307">
        <v>2013</v>
      </c>
      <c r="B307">
        <v>1</v>
      </c>
      <c r="C307">
        <v>26</v>
      </c>
      <c r="D307">
        <v>0.59184626049133204</v>
      </c>
      <c r="E307">
        <v>1.5200000000000102E-2</v>
      </c>
      <c r="F307">
        <f t="shared" si="20"/>
        <v>8.9960631594683069E-3</v>
      </c>
      <c r="G307">
        <v>1990</v>
      </c>
      <c r="H307">
        <v>7</v>
      </c>
      <c r="I307" s="26">
        <v>1990.50000000103</v>
      </c>
      <c r="J307">
        <f t="shared" si="21"/>
        <v>0.87504808295641301</v>
      </c>
      <c r="K307" s="33">
        <f t="shared" si="22"/>
        <v>3.0400000000000205E-2</v>
      </c>
      <c r="L307" s="33">
        <f t="shared" si="23"/>
        <v>2.6601461721875136E-2</v>
      </c>
      <c r="M307" s="31">
        <f t="shared" si="24"/>
        <v>9.6266666666667319E-2</v>
      </c>
    </row>
    <row r="308" spans="1:13" x14ac:dyDescent="0.3">
      <c r="A308">
        <v>2013</v>
      </c>
      <c r="B308">
        <v>1</v>
      </c>
      <c r="C308">
        <v>22</v>
      </c>
      <c r="D308">
        <v>0.59930901245886647</v>
      </c>
      <c r="E308">
        <v>1.5200000000000102E-2</v>
      </c>
      <c r="F308">
        <f t="shared" si="20"/>
        <v>9.109496989374832E-3</v>
      </c>
      <c r="G308">
        <v>1990</v>
      </c>
      <c r="H308">
        <v>6</v>
      </c>
      <c r="I308" s="26">
        <v>1990.4166666676999</v>
      </c>
      <c r="J308">
        <f t="shared" si="21"/>
        <v>0.81395007392242769</v>
      </c>
      <c r="K308" s="33">
        <f t="shared" si="22"/>
        <v>0.22800000000000153</v>
      </c>
      <c r="L308" s="33">
        <f t="shared" si="23"/>
        <v>0.18558061685431476</v>
      </c>
      <c r="M308" s="31">
        <f t="shared" si="24"/>
        <v>0.16720000000000113</v>
      </c>
    </row>
    <row r="309" spans="1:13" x14ac:dyDescent="0.3">
      <c r="A309">
        <v>2013</v>
      </c>
      <c r="B309">
        <v>1</v>
      </c>
      <c r="C309">
        <v>19</v>
      </c>
      <c r="D309">
        <v>0.59923232544511618</v>
      </c>
      <c r="E309">
        <v>1.5200000000000102E-2</v>
      </c>
      <c r="F309">
        <f t="shared" si="20"/>
        <v>9.1083313467658269E-3</v>
      </c>
      <c r="G309">
        <v>1990</v>
      </c>
      <c r="H309">
        <v>5</v>
      </c>
      <c r="I309" s="26">
        <v>1990.3333333343701</v>
      </c>
      <c r="J309">
        <f t="shared" si="21"/>
        <v>0.83339776199516968</v>
      </c>
      <c r="K309" s="33">
        <f t="shared" si="22"/>
        <v>0.24320000000000164</v>
      </c>
      <c r="L309" s="33">
        <f t="shared" si="23"/>
        <v>0.20268233571722663</v>
      </c>
      <c r="M309" s="31">
        <f t="shared" si="24"/>
        <v>0.23306666666666823</v>
      </c>
    </row>
    <row r="310" spans="1:13" x14ac:dyDescent="0.3">
      <c r="A310">
        <v>2013</v>
      </c>
      <c r="B310">
        <v>1</v>
      </c>
      <c r="C310">
        <v>15</v>
      </c>
      <c r="D310">
        <v>0.59460497267771306</v>
      </c>
      <c r="E310">
        <v>1.5200000000000102E-2</v>
      </c>
      <c r="F310">
        <f t="shared" si="20"/>
        <v>9.0379955847012996E-3</v>
      </c>
      <c r="G310">
        <v>1990</v>
      </c>
      <c r="H310">
        <v>4</v>
      </c>
      <c r="I310" s="26">
        <v>1990.25000000104</v>
      </c>
      <c r="J310">
        <f t="shared" si="21"/>
        <v>0.62954018922411603</v>
      </c>
      <c r="K310" s="33">
        <f t="shared" si="22"/>
        <v>0.22800000000000153</v>
      </c>
      <c r="L310" s="33">
        <f t="shared" si="23"/>
        <v>0.14353516314309941</v>
      </c>
      <c r="M310" s="31">
        <f t="shared" si="24"/>
        <v>0.23306666666666823</v>
      </c>
    </row>
    <row r="311" spans="1:13" x14ac:dyDescent="0.3">
      <c r="A311">
        <v>2013</v>
      </c>
      <c r="B311">
        <v>1</v>
      </c>
      <c r="C311">
        <v>11</v>
      </c>
      <c r="D311">
        <v>0.5866189807407749</v>
      </c>
      <c r="E311">
        <v>1.5200000000000102E-2</v>
      </c>
      <c r="F311">
        <f t="shared" si="20"/>
        <v>8.9166085072598378E-3</v>
      </c>
      <c r="G311">
        <v>1990</v>
      </c>
      <c r="H311">
        <v>3</v>
      </c>
      <c r="I311" s="26">
        <v>1990.1666666677099</v>
      </c>
      <c r="J311">
        <f t="shared" si="21"/>
        <v>0.72299033890053432</v>
      </c>
      <c r="K311" s="33">
        <f t="shared" si="22"/>
        <v>0.22800000000000153</v>
      </c>
      <c r="L311" s="33">
        <f t="shared" si="23"/>
        <v>0.16484179726932294</v>
      </c>
      <c r="M311" s="31">
        <f t="shared" si="24"/>
        <v>0.16213333333333443</v>
      </c>
    </row>
    <row r="312" spans="1:13" x14ac:dyDescent="0.3">
      <c r="A312">
        <v>2013</v>
      </c>
      <c r="B312">
        <v>1</v>
      </c>
      <c r="C312">
        <v>8</v>
      </c>
      <c r="D312">
        <v>0.57762916773698281</v>
      </c>
      <c r="E312">
        <v>1.5200000000000102E-2</v>
      </c>
      <c r="F312">
        <f t="shared" si="20"/>
        <v>8.7799633496021979E-3</v>
      </c>
      <c r="G312">
        <v>1990</v>
      </c>
      <c r="H312">
        <v>2</v>
      </c>
      <c r="I312" s="26">
        <v>1990.0833333343801</v>
      </c>
      <c r="J312">
        <f t="shared" si="21"/>
        <v>0.71483037589746679</v>
      </c>
      <c r="K312" s="33">
        <f t="shared" si="22"/>
        <v>3.0400000000000205E-2</v>
      </c>
      <c r="L312" s="33">
        <f t="shared" si="23"/>
        <v>2.1730843427283136E-2</v>
      </c>
      <c r="M312" s="31">
        <f t="shared" si="24"/>
        <v>9.1200000000000614E-2</v>
      </c>
    </row>
    <row r="313" spans="1:13" x14ac:dyDescent="0.3">
      <c r="A313">
        <v>2013</v>
      </c>
      <c r="B313">
        <v>1</v>
      </c>
      <c r="C313">
        <v>4</v>
      </c>
      <c r="D313">
        <v>0.56687747320706716</v>
      </c>
      <c r="E313">
        <v>1.5200000000000102E-2</v>
      </c>
      <c r="F313">
        <f t="shared" si="20"/>
        <v>8.6165375927474783E-3</v>
      </c>
      <c r="G313">
        <v>1990</v>
      </c>
      <c r="H313">
        <v>1</v>
      </c>
      <c r="I313" s="26">
        <v>1990.00000000105</v>
      </c>
      <c r="J313">
        <f t="shared" si="21"/>
        <v>0.71641229617737301</v>
      </c>
      <c r="K313" s="33">
        <f t="shared" si="22"/>
        <v>1.5200000000000102E-2</v>
      </c>
      <c r="L313" s="33">
        <f t="shared" si="23"/>
        <v>1.0889466901896143E-2</v>
      </c>
      <c r="M313" s="31">
        <f t="shared" si="24"/>
        <v>2.5333333333333503E-2</v>
      </c>
    </row>
    <row r="314" spans="1:13" x14ac:dyDescent="0.3">
      <c r="A314">
        <v>2012</v>
      </c>
      <c r="B314">
        <v>12</v>
      </c>
      <c r="C314">
        <v>31</v>
      </c>
      <c r="D314">
        <v>0.5579668482113378</v>
      </c>
      <c r="E314">
        <v>1.5200000000000102E-2</v>
      </c>
      <c r="F314">
        <f t="shared" si="20"/>
        <v>8.4810960928123919E-3</v>
      </c>
      <c r="G314">
        <v>1989</v>
      </c>
      <c r="H314">
        <v>12</v>
      </c>
      <c r="I314" s="26">
        <v>1989.9166666677199</v>
      </c>
      <c r="J314">
        <f t="shared" si="21"/>
        <v>0.72012246992124429</v>
      </c>
      <c r="K314" s="33">
        <f t="shared" si="22"/>
        <v>3.0400000000000205E-2</v>
      </c>
      <c r="L314" s="33">
        <f t="shared" si="23"/>
        <v>2.1891723085605976E-2</v>
      </c>
      <c r="M314" s="31">
        <f t="shared" si="24"/>
        <v>2.0266666666666804E-2</v>
      </c>
    </row>
    <row r="315" spans="1:13" x14ac:dyDescent="0.3">
      <c r="A315">
        <v>2012</v>
      </c>
      <c r="B315">
        <v>12</v>
      </c>
      <c r="C315">
        <v>28</v>
      </c>
      <c r="D315">
        <v>0.54845582200626075</v>
      </c>
      <c r="E315">
        <v>1.5200000000000102E-2</v>
      </c>
      <c r="F315">
        <f t="shared" si="20"/>
        <v>8.3365284944952201E-3</v>
      </c>
      <c r="G315">
        <v>1989</v>
      </c>
      <c r="H315">
        <v>11</v>
      </c>
      <c r="I315" s="26">
        <v>1989.8333333343901</v>
      </c>
      <c r="J315">
        <f t="shared" si="21"/>
        <v>0.73005446386806394</v>
      </c>
      <c r="K315" s="33">
        <f t="shared" si="22"/>
        <v>1.5200000000000102E-2</v>
      </c>
      <c r="L315" s="33">
        <f t="shared" si="23"/>
        <v>1.1096827850794647E-2</v>
      </c>
      <c r="M315" s="31">
        <f t="shared" si="24"/>
        <v>2.0266666666666804E-2</v>
      </c>
    </row>
    <row r="316" spans="1:13" x14ac:dyDescent="0.3">
      <c r="A316">
        <v>2012</v>
      </c>
      <c r="B316">
        <v>12</v>
      </c>
      <c r="C316">
        <v>24</v>
      </c>
      <c r="D316">
        <v>0.5391137589485836</v>
      </c>
      <c r="E316">
        <v>1.5200000000000102E-2</v>
      </c>
      <c r="F316">
        <f t="shared" si="20"/>
        <v>8.1945291360185253E-3</v>
      </c>
      <c r="G316">
        <v>1989</v>
      </c>
      <c r="H316">
        <v>10</v>
      </c>
      <c r="I316" s="26">
        <v>1989.75000000106</v>
      </c>
      <c r="J316">
        <f t="shared" si="21"/>
        <v>0.74497289407188416</v>
      </c>
      <c r="K316" s="33">
        <f t="shared" si="22"/>
        <v>1.5200000000000102E-2</v>
      </c>
      <c r="L316" s="33">
        <f t="shared" si="23"/>
        <v>1.1323587989892716E-2</v>
      </c>
      <c r="M316" s="31">
        <f t="shared" si="24"/>
        <v>2.0266666666666804E-2</v>
      </c>
    </row>
    <row r="317" spans="1:13" x14ac:dyDescent="0.3">
      <c r="A317">
        <v>2012</v>
      </c>
      <c r="B317">
        <v>12</v>
      </c>
      <c r="C317">
        <v>21</v>
      </c>
      <c r="D317">
        <v>0.5280468793900448</v>
      </c>
      <c r="E317">
        <v>1.5200000000000102E-2</v>
      </c>
      <c r="F317">
        <f t="shared" si="20"/>
        <v>8.0263125667287341E-3</v>
      </c>
      <c r="G317">
        <v>1989</v>
      </c>
      <c r="H317">
        <v>9</v>
      </c>
      <c r="I317" s="26">
        <v>1989.6666666677299</v>
      </c>
      <c r="J317">
        <f t="shared" si="21"/>
        <v>0.77464696732636606</v>
      </c>
      <c r="K317" s="33">
        <f t="shared" si="22"/>
        <v>3.0400000000000205E-2</v>
      </c>
      <c r="L317" s="33">
        <f t="shared" si="23"/>
        <v>2.3549267806721688E-2</v>
      </c>
      <c r="M317" s="31">
        <f t="shared" si="24"/>
        <v>2.0266666666666804E-2</v>
      </c>
    </row>
    <row r="318" spans="1:13" x14ac:dyDescent="0.3">
      <c r="A318">
        <v>2012</v>
      </c>
      <c r="B318">
        <v>12</v>
      </c>
      <c r="C318">
        <v>17</v>
      </c>
      <c r="D318">
        <v>0.51980011157498063</v>
      </c>
      <c r="E318">
        <v>1.5200000000000102E-2</v>
      </c>
      <c r="F318">
        <f t="shared" si="20"/>
        <v>7.9009616959397587E-3</v>
      </c>
      <c r="G318">
        <v>1989</v>
      </c>
      <c r="H318">
        <v>8</v>
      </c>
      <c r="I318" s="26">
        <v>1989.5833333344001</v>
      </c>
      <c r="J318">
        <f t="shared" si="21"/>
        <v>0.80097428643014845</v>
      </c>
      <c r="K318" s="33">
        <f t="shared" si="22"/>
        <v>1.5200000000000102E-2</v>
      </c>
      <c r="L318" s="33">
        <f t="shared" si="23"/>
        <v>1.2174809153738338E-2</v>
      </c>
      <c r="M318" s="31">
        <f t="shared" si="24"/>
        <v>2.0266666666666804E-2</v>
      </c>
    </row>
    <row r="319" spans="1:13" x14ac:dyDescent="0.3">
      <c r="A319">
        <v>2012</v>
      </c>
      <c r="B319">
        <v>12</v>
      </c>
      <c r="C319">
        <v>13</v>
      </c>
      <c r="D319">
        <v>0.51471640597275736</v>
      </c>
      <c r="E319">
        <v>1.5200000000000102E-2</v>
      </c>
      <c r="F319">
        <f t="shared" si="20"/>
        <v>7.8236893707859644E-3</v>
      </c>
      <c r="G319">
        <v>1989</v>
      </c>
      <c r="H319">
        <v>7</v>
      </c>
      <c r="I319" s="26">
        <v>1989.50000000107</v>
      </c>
      <c r="J319">
        <f t="shared" si="21"/>
        <v>0.80931591367705524</v>
      </c>
      <c r="K319" s="33">
        <f t="shared" si="22"/>
        <v>1.5200000000000102E-2</v>
      </c>
      <c r="L319" s="33">
        <f t="shared" si="23"/>
        <v>1.2301601887891322E-2</v>
      </c>
      <c r="M319" s="31">
        <f t="shared" si="24"/>
        <v>5.0666666666667005E-2</v>
      </c>
    </row>
    <row r="320" spans="1:13" x14ac:dyDescent="0.3">
      <c r="A320">
        <v>2012</v>
      </c>
      <c r="B320">
        <v>12</v>
      </c>
      <c r="C320">
        <v>10</v>
      </c>
      <c r="D320">
        <v>0.51277259966106614</v>
      </c>
      <c r="E320">
        <v>1.5200000000000102E-2</v>
      </c>
      <c r="F320">
        <f t="shared" si="20"/>
        <v>7.7941435148482577E-3</v>
      </c>
      <c r="G320">
        <v>1989</v>
      </c>
      <c r="H320">
        <v>6</v>
      </c>
      <c r="I320" s="26">
        <v>1989.4166666677399</v>
      </c>
      <c r="J320">
        <f t="shared" si="21"/>
        <v>0.77412060721805176</v>
      </c>
      <c r="K320" s="33">
        <f t="shared" si="22"/>
        <v>0.12160000000000082</v>
      </c>
      <c r="L320" s="33">
        <f t="shared" si="23"/>
        <v>9.4133065837715732E-2</v>
      </c>
      <c r="M320" s="31">
        <f t="shared" si="24"/>
        <v>9.1200000000000614E-2</v>
      </c>
    </row>
    <row r="321" spans="1:13" x14ac:dyDescent="0.3">
      <c r="A321">
        <v>2012</v>
      </c>
      <c r="B321">
        <v>12</v>
      </c>
      <c r="C321">
        <v>6</v>
      </c>
      <c r="D321">
        <v>0.51370843338977157</v>
      </c>
      <c r="E321">
        <v>1.5200000000000102E-2</v>
      </c>
      <c r="F321">
        <f t="shared" si="20"/>
        <v>7.8083681875245805E-3</v>
      </c>
      <c r="G321">
        <v>1989</v>
      </c>
      <c r="H321">
        <v>5</v>
      </c>
      <c r="I321" s="26">
        <v>1989.3333333344101</v>
      </c>
      <c r="J321">
        <f t="shared" si="21"/>
        <v>0.60579710618145133</v>
      </c>
      <c r="K321" s="33">
        <f t="shared" si="22"/>
        <v>0.13680000000000092</v>
      </c>
      <c r="L321" s="33">
        <f t="shared" si="23"/>
        <v>8.2873044125623102E-2</v>
      </c>
      <c r="M321" s="31">
        <f t="shared" si="24"/>
        <v>0.12666666666666751</v>
      </c>
    </row>
    <row r="322" spans="1:13" x14ac:dyDescent="0.3">
      <c r="A322">
        <v>2012</v>
      </c>
      <c r="B322">
        <v>12</v>
      </c>
      <c r="C322">
        <v>2</v>
      </c>
      <c r="D322">
        <v>0.52091585266031126</v>
      </c>
      <c r="E322">
        <v>1.5200000000000102E-2</v>
      </c>
      <c r="F322">
        <f t="shared" si="20"/>
        <v>7.9179209604367841E-3</v>
      </c>
      <c r="G322">
        <v>1989</v>
      </c>
      <c r="H322">
        <v>4</v>
      </c>
      <c r="I322" s="26">
        <v>1989.25000000108</v>
      </c>
      <c r="J322">
        <f t="shared" si="21"/>
        <v>0.56101165316395307</v>
      </c>
      <c r="K322" s="33">
        <f t="shared" si="22"/>
        <v>0.12160000000000082</v>
      </c>
      <c r="L322" s="33">
        <f t="shared" si="23"/>
        <v>6.821901702473715E-2</v>
      </c>
      <c r="M322" s="31">
        <f t="shared" si="24"/>
        <v>0.12666666666666751</v>
      </c>
    </row>
    <row r="323" spans="1:13" x14ac:dyDescent="0.3">
      <c r="A323">
        <v>2012</v>
      </c>
      <c r="B323">
        <v>11</v>
      </c>
      <c r="C323">
        <v>29</v>
      </c>
      <c r="D323">
        <v>0.53079457446168199</v>
      </c>
      <c r="E323">
        <v>1.5200000000000102E-2</v>
      </c>
      <c r="F323">
        <f t="shared" ref="F323:F386" si="25">D323*E323</f>
        <v>8.0680775318176211E-3</v>
      </c>
      <c r="G323">
        <v>1989</v>
      </c>
      <c r="H323">
        <v>3</v>
      </c>
      <c r="I323" s="26">
        <v>1989.16666666775</v>
      </c>
      <c r="J323">
        <f t="shared" ref="J323:J386" si="26">AVERAGEIFS(D$2:D$3010,A$2:A$3010,G323,B$2:B$3010,H323)</f>
        <v>0.50449935251687406</v>
      </c>
      <c r="K323" s="33">
        <f t="shared" ref="K323:K386" si="27">SUMIFS(E$2:E$3010,A$2:A$3010,G323,B$2:B$3010,H323)</f>
        <v>0.12160000000000082</v>
      </c>
      <c r="L323" s="33">
        <f t="shared" ref="L323:L386" si="28">J323*K323</f>
        <v>6.1347121266052296E-2</v>
      </c>
      <c r="M323" s="31">
        <f t="shared" si="24"/>
        <v>0.11146666666666742</v>
      </c>
    </row>
    <row r="324" spans="1:13" x14ac:dyDescent="0.3">
      <c r="A324">
        <v>2012</v>
      </c>
      <c r="B324">
        <v>11</v>
      </c>
      <c r="C324">
        <v>25</v>
      </c>
      <c r="D324">
        <v>0.54147701443187979</v>
      </c>
      <c r="E324">
        <v>1.5200000000000102E-2</v>
      </c>
      <c r="F324">
        <f t="shared" si="25"/>
        <v>8.2304506193646276E-3</v>
      </c>
      <c r="G324">
        <v>1989</v>
      </c>
      <c r="H324">
        <v>2</v>
      </c>
      <c r="I324" s="26">
        <v>1989.0833333344201</v>
      </c>
      <c r="J324">
        <f t="shared" si="26"/>
        <v>0.46860897085388031</v>
      </c>
      <c r="K324" s="33">
        <f t="shared" si="27"/>
        <v>9.1200000000000614E-2</v>
      </c>
      <c r="L324" s="33">
        <f t="shared" si="28"/>
        <v>4.2737138141874173E-2</v>
      </c>
      <c r="M324" s="31">
        <f t="shared" ref="M324:M387" si="29">AVERAGE(K323:K325)</f>
        <v>0.10640000000000072</v>
      </c>
    </row>
    <row r="325" spans="1:13" x14ac:dyDescent="0.3">
      <c r="A325">
        <v>2012</v>
      </c>
      <c r="B325">
        <v>11</v>
      </c>
      <c r="C325">
        <v>22</v>
      </c>
      <c r="D325">
        <v>0.55526867217476317</v>
      </c>
      <c r="E325">
        <v>1.5200000000000102E-2</v>
      </c>
      <c r="F325">
        <f t="shared" si="25"/>
        <v>8.4400838170564565E-3</v>
      </c>
      <c r="G325">
        <v>1989</v>
      </c>
      <c r="H325">
        <v>1</v>
      </c>
      <c r="I325" s="26">
        <v>1989.00000000109</v>
      </c>
      <c r="J325">
        <f t="shared" si="26"/>
        <v>0.48912376101328314</v>
      </c>
      <c r="K325" s="33">
        <f t="shared" si="27"/>
        <v>0.10640000000000072</v>
      </c>
      <c r="L325" s="33">
        <f t="shared" si="28"/>
        <v>5.2042768171813678E-2</v>
      </c>
      <c r="M325" s="31">
        <f t="shared" si="29"/>
        <v>9.6266666666667319E-2</v>
      </c>
    </row>
    <row r="326" spans="1:13" x14ac:dyDescent="0.3">
      <c r="A326">
        <v>2012</v>
      </c>
      <c r="B326">
        <v>11</v>
      </c>
      <c r="C326">
        <v>18</v>
      </c>
      <c r="D326">
        <v>0.56683359587276816</v>
      </c>
      <c r="E326">
        <v>1.5200000000000102E-2</v>
      </c>
      <c r="F326">
        <f t="shared" si="25"/>
        <v>8.6158706572661333E-3</v>
      </c>
      <c r="G326">
        <v>1988</v>
      </c>
      <c r="H326">
        <v>12</v>
      </c>
      <c r="I326" s="26">
        <v>1988.91666666776</v>
      </c>
      <c r="J326">
        <f t="shared" si="26"/>
        <v>0.53328066575773148</v>
      </c>
      <c r="K326" s="33">
        <f t="shared" si="27"/>
        <v>9.1200000000000614E-2</v>
      </c>
      <c r="L326" s="33">
        <f t="shared" si="28"/>
        <v>4.8635196717105436E-2</v>
      </c>
      <c r="M326" s="31">
        <f t="shared" si="29"/>
        <v>9.6266666666667319E-2</v>
      </c>
    </row>
    <row r="327" spans="1:13" x14ac:dyDescent="0.3">
      <c r="A327">
        <v>2012</v>
      </c>
      <c r="B327">
        <v>11</v>
      </c>
      <c r="C327">
        <v>14</v>
      </c>
      <c r="D327">
        <v>0.57446447955499913</v>
      </c>
      <c r="E327">
        <v>1.5200000000000102E-2</v>
      </c>
      <c r="F327">
        <f t="shared" si="25"/>
        <v>8.7318600892360449E-3</v>
      </c>
      <c r="G327">
        <v>1988</v>
      </c>
      <c r="H327">
        <v>11</v>
      </c>
      <c r="I327" s="26">
        <v>1988.8333333344301</v>
      </c>
      <c r="J327">
        <f t="shared" si="26"/>
        <v>0.59868363614701525</v>
      </c>
      <c r="K327" s="33">
        <f t="shared" si="27"/>
        <v>9.1200000000000614E-2</v>
      </c>
      <c r="L327" s="33">
        <f t="shared" si="28"/>
        <v>5.4599947616608156E-2</v>
      </c>
      <c r="M327" s="31">
        <f t="shared" si="29"/>
        <v>9.6266666666667319E-2</v>
      </c>
    </row>
    <row r="328" spans="1:13" x14ac:dyDescent="0.3">
      <c r="A328">
        <v>2012</v>
      </c>
      <c r="B328">
        <v>11</v>
      </c>
      <c r="C328">
        <v>11</v>
      </c>
      <c r="D328">
        <v>0.57760779579453292</v>
      </c>
      <c r="E328">
        <v>1.5200000000000102E-2</v>
      </c>
      <c r="F328">
        <f t="shared" si="25"/>
        <v>8.7796384960769601E-3</v>
      </c>
      <c r="G328">
        <v>1988</v>
      </c>
      <c r="H328">
        <v>10</v>
      </c>
      <c r="I328" s="26">
        <v>1988.7500000011</v>
      </c>
      <c r="J328">
        <f t="shared" si="26"/>
        <v>0.66164010125575801</v>
      </c>
      <c r="K328" s="33">
        <f t="shared" si="27"/>
        <v>0.10640000000000072</v>
      </c>
      <c r="L328" s="33">
        <f t="shared" si="28"/>
        <v>7.0398506773613131E-2</v>
      </c>
      <c r="M328" s="31">
        <f t="shared" si="29"/>
        <v>9.6266666666667319E-2</v>
      </c>
    </row>
    <row r="329" spans="1:13" x14ac:dyDescent="0.3">
      <c r="A329">
        <v>2012</v>
      </c>
      <c r="B329">
        <v>11</v>
      </c>
      <c r="C329">
        <v>7</v>
      </c>
      <c r="D329">
        <v>0.5788221352862698</v>
      </c>
      <c r="E329">
        <v>1.5200000000000102E-2</v>
      </c>
      <c r="F329">
        <f t="shared" si="25"/>
        <v>8.7980964563513595E-3</v>
      </c>
      <c r="G329">
        <v>1988</v>
      </c>
      <c r="H329">
        <v>9</v>
      </c>
      <c r="I329" s="26">
        <v>1988.66666666776</v>
      </c>
      <c r="J329">
        <f t="shared" si="26"/>
        <v>0.6938688538243013</v>
      </c>
      <c r="K329" s="33">
        <f t="shared" si="27"/>
        <v>9.1200000000000614E-2</v>
      </c>
      <c r="L329" s="33">
        <f t="shared" si="28"/>
        <v>6.3280839468776703E-2</v>
      </c>
      <c r="M329" s="31">
        <f t="shared" si="29"/>
        <v>0.10133333333333401</v>
      </c>
    </row>
    <row r="330" spans="1:13" x14ac:dyDescent="0.3">
      <c r="A330">
        <v>2012</v>
      </c>
      <c r="B330">
        <v>11</v>
      </c>
      <c r="C330">
        <v>3</v>
      </c>
      <c r="D330">
        <v>0.57527319847675729</v>
      </c>
      <c r="E330">
        <v>1.5200000000000102E-2</v>
      </c>
      <c r="F330">
        <f t="shared" si="25"/>
        <v>8.7441526168467697E-3</v>
      </c>
      <c r="G330">
        <v>1988</v>
      </c>
      <c r="H330">
        <v>8</v>
      </c>
      <c r="I330" s="26">
        <v>1988.5833333344301</v>
      </c>
      <c r="J330">
        <f t="shared" si="26"/>
        <v>0.80861490684711712</v>
      </c>
      <c r="K330" s="33">
        <f t="shared" si="27"/>
        <v>0.10640000000000072</v>
      </c>
      <c r="L330" s="33">
        <f t="shared" si="28"/>
        <v>8.6036626088533838E-2</v>
      </c>
      <c r="M330" s="31">
        <f t="shared" si="29"/>
        <v>9.6266666666667319E-2</v>
      </c>
    </row>
    <row r="331" spans="1:13" x14ac:dyDescent="0.3">
      <c r="A331">
        <v>2012</v>
      </c>
      <c r="B331">
        <v>10</v>
      </c>
      <c r="C331">
        <v>31</v>
      </c>
      <c r="D331">
        <v>0.57250093237138833</v>
      </c>
      <c r="E331">
        <v>1.5200000000000102E-2</v>
      </c>
      <c r="F331">
        <f t="shared" si="25"/>
        <v>8.7020141720451603E-3</v>
      </c>
      <c r="G331">
        <v>1988</v>
      </c>
      <c r="H331">
        <v>7</v>
      </c>
      <c r="I331" s="26">
        <v>1988.5000000011</v>
      </c>
      <c r="J331">
        <f t="shared" si="26"/>
        <v>0.91858380772565873</v>
      </c>
      <c r="K331" s="33">
        <f t="shared" si="27"/>
        <v>9.1200000000000614E-2</v>
      </c>
      <c r="L331" s="33">
        <f t="shared" si="28"/>
        <v>8.3774843264580637E-2</v>
      </c>
      <c r="M331" s="31">
        <f t="shared" si="29"/>
        <v>0.15706666666666771</v>
      </c>
    </row>
    <row r="332" spans="1:13" x14ac:dyDescent="0.3">
      <c r="A332">
        <v>2012</v>
      </c>
      <c r="B332">
        <v>10</v>
      </c>
      <c r="C332">
        <v>27</v>
      </c>
      <c r="D332">
        <v>0.57088742216142196</v>
      </c>
      <c r="E332">
        <v>1.5200000000000102E-2</v>
      </c>
      <c r="F332">
        <f t="shared" si="25"/>
        <v>8.6774888168536721E-3</v>
      </c>
      <c r="G332">
        <v>1988</v>
      </c>
      <c r="H332">
        <v>6</v>
      </c>
      <c r="I332" s="26">
        <v>1988.41666666777</v>
      </c>
      <c r="J332">
        <f t="shared" si="26"/>
        <v>0.86152364863408248</v>
      </c>
      <c r="K332" s="33">
        <f t="shared" si="27"/>
        <v>0.27360000000000184</v>
      </c>
      <c r="L332" s="33">
        <f t="shared" si="28"/>
        <v>0.23571287026628657</v>
      </c>
      <c r="M332" s="31">
        <f t="shared" si="29"/>
        <v>0.21786666666666812</v>
      </c>
    </row>
    <row r="333" spans="1:13" x14ac:dyDescent="0.3">
      <c r="A333">
        <v>2012</v>
      </c>
      <c r="B333">
        <v>10</v>
      </c>
      <c r="C333">
        <v>24</v>
      </c>
      <c r="D333">
        <v>0.56966014316660141</v>
      </c>
      <c r="E333">
        <v>1.5200000000000102E-2</v>
      </c>
      <c r="F333">
        <f t="shared" si="25"/>
        <v>8.6588341761323993E-3</v>
      </c>
      <c r="G333">
        <v>1988</v>
      </c>
      <c r="H333">
        <v>5</v>
      </c>
      <c r="I333" s="26">
        <v>1988.3333333344401</v>
      </c>
      <c r="J333">
        <f t="shared" si="26"/>
        <v>0.74480427878248678</v>
      </c>
      <c r="K333" s="33">
        <f t="shared" si="27"/>
        <v>0.28880000000000194</v>
      </c>
      <c r="L333" s="33">
        <f t="shared" si="28"/>
        <v>0.21509947571238364</v>
      </c>
      <c r="M333" s="31">
        <f t="shared" si="29"/>
        <v>0.27866666666666856</v>
      </c>
    </row>
    <row r="334" spans="1:13" x14ac:dyDescent="0.3">
      <c r="A334">
        <v>2012</v>
      </c>
      <c r="B334">
        <v>10</v>
      </c>
      <c r="C334">
        <v>20</v>
      </c>
      <c r="D334">
        <v>0.57010036211156456</v>
      </c>
      <c r="E334">
        <v>1.5200000000000102E-2</v>
      </c>
      <c r="F334">
        <f t="shared" si="25"/>
        <v>8.66552550409584E-3</v>
      </c>
      <c r="G334">
        <v>1988</v>
      </c>
      <c r="H334">
        <v>4</v>
      </c>
      <c r="I334" s="26">
        <v>1988.25000000111</v>
      </c>
      <c r="J334">
        <f t="shared" si="26"/>
        <v>0.721929639993524</v>
      </c>
      <c r="K334" s="33">
        <f t="shared" si="27"/>
        <v>0.27360000000000184</v>
      </c>
      <c r="L334" s="33">
        <f t="shared" si="28"/>
        <v>0.19751994950222951</v>
      </c>
      <c r="M334" s="31">
        <f t="shared" si="29"/>
        <v>0.28373333333333522</v>
      </c>
    </row>
    <row r="335" spans="1:13" x14ac:dyDescent="0.3">
      <c r="A335">
        <v>2012</v>
      </c>
      <c r="B335">
        <v>10</v>
      </c>
      <c r="C335">
        <v>16</v>
      </c>
      <c r="D335">
        <v>0.57143897742211713</v>
      </c>
      <c r="E335">
        <v>1.5200000000000102E-2</v>
      </c>
      <c r="F335">
        <f t="shared" si="25"/>
        <v>8.6858724568162383E-3</v>
      </c>
      <c r="G335">
        <v>1988</v>
      </c>
      <c r="H335">
        <v>3</v>
      </c>
      <c r="I335" s="26">
        <v>1988.16666666778</v>
      </c>
      <c r="J335">
        <f t="shared" si="26"/>
        <v>0.83608130192832308</v>
      </c>
      <c r="K335" s="33">
        <f t="shared" si="27"/>
        <v>0.28880000000000194</v>
      </c>
      <c r="L335" s="33">
        <f t="shared" si="28"/>
        <v>0.24146027999690134</v>
      </c>
      <c r="M335" s="31">
        <f t="shared" si="29"/>
        <v>0.19760000000000133</v>
      </c>
    </row>
    <row r="336" spans="1:13" x14ac:dyDescent="0.3">
      <c r="A336">
        <v>2012</v>
      </c>
      <c r="B336">
        <v>10</v>
      </c>
      <c r="C336">
        <v>13</v>
      </c>
      <c r="D336">
        <v>0.57354837376483347</v>
      </c>
      <c r="E336">
        <v>1.5200000000000102E-2</v>
      </c>
      <c r="F336">
        <f t="shared" si="25"/>
        <v>8.7179352812255268E-3</v>
      </c>
      <c r="G336">
        <v>1988</v>
      </c>
      <c r="H336">
        <v>2</v>
      </c>
      <c r="I336" s="26">
        <v>1988.0833333344499</v>
      </c>
      <c r="J336">
        <f t="shared" si="26"/>
        <v>0.78385579536404193</v>
      </c>
      <c r="K336" s="33">
        <f t="shared" si="27"/>
        <v>3.0400000000000205E-2</v>
      </c>
      <c r="L336" s="33">
        <f t="shared" si="28"/>
        <v>2.3829216179067036E-2</v>
      </c>
      <c r="M336" s="31">
        <f t="shared" si="29"/>
        <v>0.11146666666666742</v>
      </c>
    </row>
    <row r="337" spans="1:13" x14ac:dyDescent="0.3">
      <c r="A337">
        <v>2012</v>
      </c>
      <c r="B337">
        <v>10</v>
      </c>
      <c r="C337">
        <v>9</v>
      </c>
      <c r="D337">
        <v>0.57874635422869158</v>
      </c>
      <c r="E337">
        <v>1.5200000000000102E-2</v>
      </c>
      <c r="F337">
        <f t="shared" si="25"/>
        <v>8.7969445842761718E-3</v>
      </c>
      <c r="G337">
        <v>1988</v>
      </c>
      <c r="H337">
        <v>1</v>
      </c>
      <c r="I337" s="26">
        <v>1988.00000000112</v>
      </c>
      <c r="J337">
        <f t="shared" si="26"/>
        <v>0.79564996151895717</v>
      </c>
      <c r="K337" s="33">
        <f t="shared" si="27"/>
        <v>1.5200000000000102E-2</v>
      </c>
      <c r="L337" s="33">
        <f t="shared" si="28"/>
        <v>1.2093879415088231E-2</v>
      </c>
      <c r="M337" s="31">
        <f t="shared" si="29"/>
        <v>2.0266666666666804E-2</v>
      </c>
    </row>
    <row r="338" spans="1:13" x14ac:dyDescent="0.3">
      <c r="A338">
        <v>2012</v>
      </c>
      <c r="B338">
        <v>10</v>
      </c>
      <c r="C338">
        <v>5</v>
      </c>
      <c r="D338">
        <v>0.5898951678876081</v>
      </c>
      <c r="E338">
        <v>1.5200000000000102E-2</v>
      </c>
      <c r="F338">
        <f t="shared" si="25"/>
        <v>8.9664065518917039E-3</v>
      </c>
      <c r="G338">
        <v>1987</v>
      </c>
      <c r="H338">
        <v>12</v>
      </c>
      <c r="I338" s="26">
        <v>1987.91666666779</v>
      </c>
      <c r="J338">
        <f t="shared" si="26"/>
        <v>0.81130631098917427</v>
      </c>
      <c r="K338" s="33">
        <f t="shared" si="27"/>
        <v>1.5200000000000102E-2</v>
      </c>
      <c r="L338" s="33">
        <f t="shared" si="28"/>
        <v>1.2331855927035533E-2</v>
      </c>
      <c r="M338" s="31">
        <f t="shared" si="29"/>
        <v>1.5200000000000102E-2</v>
      </c>
    </row>
    <row r="339" spans="1:13" x14ac:dyDescent="0.3">
      <c r="A339">
        <v>2012</v>
      </c>
      <c r="B339">
        <v>10</v>
      </c>
      <c r="C339">
        <v>2</v>
      </c>
      <c r="D339">
        <v>0.60343309401330358</v>
      </c>
      <c r="E339">
        <v>1.5200000000000102E-2</v>
      </c>
      <c r="F339">
        <f t="shared" si="25"/>
        <v>9.1721830290022767E-3</v>
      </c>
      <c r="G339">
        <v>1987</v>
      </c>
      <c r="H339">
        <v>11</v>
      </c>
      <c r="I339" s="26">
        <v>1987.8333333344599</v>
      </c>
      <c r="J339">
        <f t="shared" si="26"/>
        <v>0.83003792626460893</v>
      </c>
      <c r="K339" s="33">
        <f t="shared" si="27"/>
        <v>1.5200000000000102E-2</v>
      </c>
      <c r="L339" s="33">
        <f t="shared" si="28"/>
        <v>1.261657647922214E-2</v>
      </c>
      <c r="M339" s="31">
        <f t="shared" si="29"/>
        <v>2.0266666666666804E-2</v>
      </c>
    </row>
    <row r="340" spans="1:13" x14ac:dyDescent="0.3">
      <c r="A340">
        <v>2012</v>
      </c>
      <c r="B340">
        <v>9</v>
      </c>
      <c r="C340">
        <v>28</v>
      </c>
      <c r="D340">
        <v>0.61756601159303981</v>
      </c>
      <c r="E340">
        <v>1.5200000000000102E-2</v>
      </c>
      <c r="F340">
        <f t="shared" si="25"/>
        <v>9.3870033762142677E-3</v>
      </c>
      <c r="G340">
        <v>1987</v>
      </c>
      <c r="H340">
        <v>10</v>
      </c>
      <c r="I340" s="26">
        <v>1987.75000000113</v>
      </c>
      <c r="J340">
        <f t="shared" si="26"/>
        <v>0.86216277221656745</v>
      </c>
      <c r="K340" s="33">
        <f t="shared" si="27"/>
        <v>3.0400000000000205E-2</v>
      </c>
      <c r="L340" s="33">
        <f t="shared" si="28"/>
        <v>2.6209748275383828E-2</v>
      </c>
      <c r="M340" s="31">
        <f t="shared" si="29"/>
        <v>2.0266666666666804E-2</v>
      </c>
    </row>
    <row r="341" spans="1:13" x14ac:dyDescent="0.3">
      <c r="A341">
        <v>2012</v>
      </c>
      <c r="B341">
        <v>9</v>
      </c>
      <c r="C341">
        <v>25</v>
      </c>
      <c r="D341">
        <v>0.63282782110188263</v>
      </c>
      <c r="E341">
        <v>1.5200000000000102E-2</v>
      </c>
      <c r="F341">
        <f t="shared" si="25"/>
        <v>9.6189828807486805E-3</v>
      </c>
      <c r="G341">
        <v>1987</v>
      </c>
      <c r="H341">
        <v>9</v>
      </c>
      <c r="I341" s="26">
        <v>1987.6666666678</v>
      </c>
      <c r="J341">
        <f t="shared" si="26"/>
        <v>0.89192263599895893</v>
      </c>
      <c r="K341" s="33">
        <f t="shared" si="27"/>
        <v>1.5200000000000102E-2</v>
      </c>
      <c r="L341" s="33">
        <f t="shared" si="28"/>
        <v>1.3557224067184266E-2</v>
      </c>
      <c r="M341" s="31">
        <f t="shared" si="29"/>
        <v>2.0266666666666804E-2</v>
      </c>
    </row>
    <row r="342" spans="1:13" x14ac:dyDescent="0.3">
      <c r="A342">
        <v>2012</v>
      </c>
      <c r="B342">
        <v>9</v>
      </c>
      <c r="C342">
        <v>21</v>
      </c>
      <c r="D342">
        <v>0.64460840854271995</v>
      </c>
      <c r="E342">
        <v>1.5200000000000102E-2</v>
      </c>
      <c r="F342">
        <f t="shared" si="25"/>
        <v>9.7980478098494087E-3</v>
      </c>
      <c r="G342">
        <v>1987</v>
      </c>
      <c r="H342">
        <v>8</v>
      </c>
      <c r="I342" s="26">
        <v>1987.5833333344699</v>
      </c>
      <c r="J342">
        <f t="shared" si="26"/>
        <v>0.90888010349036452</v>
      </c>
      <c r="K342" s="33">
        <f t="shared" si="27"/>
        <v>1.5200000000000102E-2</v>
      </c>
      <c r="L342" s="33">
        <f t="shared" si="28"/>
        <v>1.3814977573053633E-2</v>
      </c>
      <c r="M342" s="31">
        <f t="shared" si="29"/>
        <v>1.5200000000000102E-2</v>
      </c>
    </row>
    <row r="343" spans="1:13" x14ac:dyDescent="0.3">
      <c r="A343">
        <v>2012</v>
      </c>
      <c r="B343">
        <v>9</v>
      </c>
      <c r="C343">
        <v>17</v>
      </c>
      <c r="D343">
        <v>0.65246276216511512</v>
      </c>
      <c r="E343">
        <v>1.5200000000000102E-2</v>
      </c>
      <c r="F343">
        <f t="shared" si="25"/>
        <v>9.9174339849098167E-3</v>
      </c>
      <c r="G343">
        <v>1987</v>
      </c>
      <c r="H343">
        <v>7</v>
      </c>
      <c r="I343" s="26">
        <v>1987.5000000011401</v>
      </c>
      <c r="J343">
        <f t="shared" si="26"/>
        <v>0.92047986940176252</v>
      </c>
      <c r="K343" s="33">
        <f t="shared" si="27"/>
        <v>1.5200000000000102E-2</v>
      </c>
      <c r="L343" s="33">
        <f t="shared" si="28"/>
        <v>1.3991294014906884E-2</v>
      </c>
      <c r="M343" s="31">
        <f t="shared" si="29"/>
        <v>4.5600000000000307E-2</v>
      </c>
    </row>
    <row r="344" spans="1:13" x14ac:dyDescent="0.3">
      <c r="A344">
        <v>2012</v>
      </c>
      <c r="B344">
        <v>9</v>
      </c>
      <c r="C344">
        <v>14</v>
      </c>
      <c r="D344">
        <v>0.6567541600310649</v>
      </c>
      <c r="E344">
        <v>1.5200000000000102E-2</v>
      </c>
      <c r="F344">
        <f t="shared" si="25"/>
        <v>9.9826632324722542E-3</v>
      </c>
      <c r="G344">
        <v>1987</v>
      </c>
      <c r="H344">
        <v>6</v>
      </c>
      <c r="I344" s="26">
        <v>1987.41666666781</v>
      </c>
      <c r="J344">
        <f t="shared" si="26"/>
        <v>0.88985100071049028</v>
      </c>
      <c r="K344" s="33">
        <f t="shared" si="27"/>
        <v>0.10640000000000072</v>
      </c>
      <c r="L344" s="33">
        <f t="shared" si="28"/>
        <v>9.4680146475596805E-2</v>
      </c>
      <c r="M344" s="31">
        <f t="shared" si="29"/>
        <v>7.6000000000000512E-2</v>
      </c>
    </row>
    <row r="345" spans="1:13" x14ac:dyDescent="0.3">
      <c r="A345">
        <v>2012</v>
      </c>
      <c r="B345">
        <v>9</v>
      </c>
      <c r="C345">
        <v>10</v>
      </c>
      <c r="D345">
        <v>0.66078596733489914</v>
      </c>
      <c r="E345">
        <v>1.5200000000000102E-2</v>
      </c>
      <c r="F345">
        <f t="shared" si="25"/>
        <v>1.0043946703490535E-2</v>
      </c>
      <c r="G345">
        <v>1987</v>
      </c>
      <c r="H345">
        <v>5</v>
      </c>
      <c r="I345" s="26">
        <v>1987.3333333344799</v>
      </c>
      <c r="J345">
        <f t="shared" si="26"/>
        <v>0.89938313290038241</v>
      </c>
      <c r="K345" s="33">
        <f t="shared" si="27"/>
        <v>0.10640000000000072</v>
      </c>
      <c r="L345" s="33">
        <f t="shared" si="28"/>
        <v>9.5694365340601328E-2</v>
      </c>
      <c r="M345" s="31">
        <f t="shared" si="29"/>
        <v>0.10640000000000072</v>
      </c>
    </row>
    <row r="346" spans="1:13" x14ac:dyDescent="0.3">
      <c r="A346">
        <v>2012</v>
      </c>
      <c r="B346">
        <v>9</v>
      </c>
      <c r="C346">
        <v>6</v>
      </c>
      <c r="D346">
        <v>0.66269544916915224</v>
      </c>
      <c r="E346">
        <v>1.5200000000000102E-2</v>
      </c>
      <c r="F346">
        <f t="shared" si="25"/>
        <v>1.0072970827371183E-2</v>
      </c>
      <c r="G346">
        <v>1987</v>
      </c>
      <c r="H346">
        <v>4</v>
      </c>
      <c r="I346" s="26">
        <v>1987.2500000011501</v>
      </c>
      <c r="J346">
        <f t="shared" si="26"/>
        <v>0.81536504194073223</v>
      </c>
      <c r="K346" s="33">
        <f t="shared" si="27"/>
        <v>0.10640000000000072</v>
      </c>
      <c r="L346" s="33">
        <f t="shared" si="28"/>
        <v>8.6754840462494487E-2</v>
      </c>
      <c r="M346" s="31">
        <f t="shared" si="29"/>
        <v>0.10640000000000072</v>
      </c>
    </row>
    <row r="347" spans="1:13" x14ac:dyDescent="0.3">
      <c r="A347">
        <v>2012</v>
      </c>
      <c r="B347">
        <v>9</v>
      </c>
      <c r="C347">
        <v>3</v>
      </c>
      <c r="D347">
        <v>0.66460557016880595</v>
      </c>
      <c r="E347">
        <v>1.5200000000000102E-2</v>
      </c>
      <c r="F347">
        <f t="shared" si="25"/>
        <v>1.0102004666565918E-2</v>
      </c>
      <c r="G347">
        <v>1987</v>
      </c>
      <c r="H347">
        <v>3</v>
      </c>
      <c r="I347" s="26">
        <v>1987.16666666782</v>
      </c>
      <c r="J347">
        <f t="shared" si="26"/>
        <v>0.6582987994073336</v>
      </c>
      <c r="K347" s="33">
        <f t="shared" si="27"/>
        <v>0.10640000000000072</v>
      </c>
      <c r="L347" s="33">
        <f t="shared" si="28"/>
        <v>7.0042992256940773E-2</v>
      </c>
      <c r="M347" s="31">
        <f t="shared" si="29"/>
        <v>8.6133333333333909E-2</v>
      </c>
    </row>
    <row r="348" spans="1:13" x14ac:dyDescent="0.3">
      <c r="A348">
        <v>2012</v>
      </c>
      <c r="B348">
        <v>8</v>
      </c>
      <c r="C348">
        <v>30</v>
      </c>
      <c r="D348">
        <v>0.66452095015732526</v>
      </c>
      <c r="E348">
        <v>1.5200000000000102E-2</v>
      </c>
      <c r="F348">
        <f t="shared" si="25"/>
        <v>1.0100718442391412E-2</v>
      </c>
      <c r="G348">
        <v>1987</v>
      </c>
      <c r="H348">
        <v>2</v>
      </c>
      <c r="I348" s="26">
        <v>1987.0833333344899</v>
      </c>
      <c r="J348">
        <f t="shared" si="26"/>
        <v>0.62343767837117203</v>
      </c>
      <c r="K348" s="33">
        <f t="shared" si="27"/>
        <v>4.5600000000000307E-2</v>
      </c>
      <c r="L348" s="33">
        <f t="shared" si="28"/>
        <v>2.8428758133725637E-2</v>
      </c>
      <c r="M348" s="31">
        <f t="shared" si="29"/>
        <v>7.0933333333333806E-2</v>
      </c>
    </row>
    <row r="349" spans="1:13" x14ac:dyDescent="0.3">
      <c r="A349">
        <v>2012</v>
      </c>
      <c r="B349">
        <v>8</v>
      </c>
      <c r="C349">
        <v>27</v>
      </c>
      <c r="D349">
        <v>0.665101344974109</v>
      </c>
      <c r="E349">
        <v>1.5200000000000102E-2</v>
      </c>
      <c r="F349">
        <f t="shared" si="25"/>
        <v>1.0109540443606525E-2</v>
      </c>
      <c r="G349">
        <v>1987</v>
      </c>
      <c r="H349">
        <v>1</v>
      </c>
      <c r="I349" s="26">
        <v>1987.0000000011601</v>
      </c>
      <c r="J349">
        <f t="shared" si="26"/>
        <v>0.62778009947225244</v>
      </c>
      <c r="K349" s="33">
        <f t="shared" si="27"/>
        <v>6.0800000000000409E-2</v>
      </c>
      <c r="L349" s="33">
        <f t="shared" si="28"/>
        <v>3.8169030047913208E-2</v>
      </c>
      <c r="M349" s="31">
        <f t="shared" si="29"/>
        <v>5.0666666666667005E-2</v>
      </c>
    </row>
    <row r="350" spans="1:13" x14ac:dyDescent="0.3">
      <c r="A350">
        <v>2012</v>
      </c>
      <c r="B350">
        <v>8</v>
      </c>
      <c r="C350">
        <v>23</v>
      </c>
      <c r="D350">
        <v>0.6652826233356991</v>
      </c>
      <c r="E350">
        <v>1.5200000000000102E-2</v>
      </c>
      <c r="F350">
        <f t="shared" si="25"/>
        <v>1.0112295874702694E-2</v>
      </c>
      <c r="G350">
        <v>1986</v>
      </c>
      <c r="H350">
        <v>12</v>
      </c>
      <c r="I350" s="26">
        <v>1986.91666666783</v>
      </c>
      <c r="J350">
        <f t="shared" si="26"/>
        <v>0.63172278219574329</v>
      </c>
      <c r="K350" s="33">
        <f t="shared" si="27"/>
        <v>4.5600000000000307E-2</v>
      </c>
      <c r="L350" s="33">
        <f t="shared" si="28"/>
        <v>2.8806558868126088E-2</v>
      </c>
      <c r="M350" s="31">
        <f t="shared" si="29"/>
        <v>5.0666666666667005E-2</v>
      </c>
    </row>
    <row r="351" spans="1:13" x14ac:dyDescent="0.3">
      <c r="A351">
        <v>2012</v>
      </c>
      <c r="B351">
        <v>8</v>
      </c>
      <c r="C351">
        <v>19</v>
      </c>
      <c r="D351">
        <v>0.66626218032936424</v>
      </c>
      <c r="E351">
        <v>1.5200000000000102E-2</v>
      </c>
      <c r="F351">
        <f t="shared" si="25"/>
        <v>1.0127185141006405E-2</v>
      </c>
      <c r="G351">
        <v>1986</v>
      </c>
      <c r="H351">
        <v>11</v>
      </c>
      <c r="I351" s="26">
        <v>1986.8333333344999</v>
      </c>
      <c r="J351">
        <f t="shared" si="26"/>
        <v>0.64625448355530879</v>
      </c>
      <c r="K351" s="33">
        <f t="shared" si="27"/>
        <v>4.5600000000000307E-2</v>
      </c>
      <c r="L351" s="33">
        <f t="shared" si="28"/>
        <v>2.9469204450122279E-2</v>
      </c>
      <c r="M351" s="31">
        <f t="shared" si="29"/>
        <v>5.0666666666667005E-2</v>
      </c>
    </row>
    <row r="352" spans="1:13" x14ac:dyDescent="0.3">
      <c r="A352">
        <v>2012</v>
      </c>
      <c r="B352">
        <v>8</v>
      </c>
      <c r="C352">
        <v>16</v>
      </c>
      <c r="D352">
        <v>0.67003818733644005</v>
      </c>
      <c r="E352">
        <v>1.5200000000000102E-2</v>
      </c>
      <c r="F352">
        <f t="shared" si="25"/>
        <v>1.0184580447513957E-2</v>
      </c>
      <c r="G352">
        <v>1986</v>
      </c>
      <c r="H352">
        <v>10</v>
      </c>
      <c r="I352" s="26">
        <v>1986.7500000011701</v>
      </c>
      <c r="J352">
        <f t="shared" si="26"/>
        <v>0.66873014301109268</v>
      </c>
      <c r="K352" s="33">
        <f t="shared" si="27"/>
        <v>6.0800000000000409E-2</v>
      </c>
      <c r="L352" s="33">
        <f t="shared" si="28"/>
        <v>4.0658792695074705E-2</v>
      </c>
      <c r="M352" s="31">
        <f t="shared" si="29"/>
        <v>5.0666666666667005E-2</v>
      </c>
    </row>
    <row r="353" spans="1:13" x14ac:dyDescent="0.3">
      <c r="A353">
        <v>2012</v>
      </c>
      <c r="B353">
        <v>8</v>
      </c>
      <c r="C353">
        <v>12</v>
      </c>
      <c r="D353">
        <v>0.67795700065356324</v>
      </c>
      <c r="E353">
        <v>1.5200000000000102E-2</v>
      </c>
      <c r="F353">
        <f t="shared" si="25"/>
        <v>1.0304946409934231E-2</v>
      </c>
      <c r="G353">
        <v>1986</v>
      </c>
      <c r="H353">
        <v>9</v>
      </c>
      <c r="I353" s="26">
        <v>1986.66666666784</v>
      </c>
      <c r="J353">
        <f t="shared" si="26"/>
        <v>0.71364136320091076</v>
      </c>
      <c r="K353" s="33">
        <f t="shared" si="27"/>
        <v>4.5600000000000307E-2</v>
      </c>
      <c r="L353" s="33">
        <f t="shared" si="28"/>
        <v>3.2542046161961748E-2</v>
      </c>
      <c r="M353" s="31">
        <f t="shared" si="29"/>
        <v>5.0666666666667005E-2</v>
      </c>
    </row>
    <row r="354" spans="1:13" x14ac:dyDescent="0.3">
      <c r="A354">
        <v>2012</v>
      </c>
      <c r="B354">
        <v>8</v>
      </c>
      <c r="C354">
        <v>8</v>
      </c>
      <c r="D354">
        <v>0.68696897389905565</v>
      </c>
      <c r="E354">
        <v>1.5200000000000102E-2</v>
      </c>
      <c r="F354">
        <f t="shared" si="25"/>
        <v>1.0441928403265716E-2</v>
      </c>
      <c r="G354">
        <v>1986</v>
      </c>
      <c r="H354">
        <v>8</v>
      </c>
      <c r="I354" s="26">
        <v>1986.5833333345099</v>
      </c>
      <c r="J354">
        <f t="shared" si="26"/>
        <v>0.75502767989855657</v>
      </c>
      <c r="K354" s="33">
        <f t="shared" si="27"/>
        <v>4.5600000000000307E-2</v>
      </c>
      <c r="L354" s="33">
        <f t="shared" si="28"/>
        <v>3.442926220337441E-2</v>
      </c>
      <c r="M354" s="31">
        <f t="shared" si="29"/>
        <v>4.5600000000000307E-2</v>
      </c>
    </row>
    <row r="355" spans="1:13" x14ac:dyDescent="0.3">
      <c r="A355">
        <v>2012</v>
      </c>
      <c r="B355">
        <v>8</v>
      </c>
      <c r="C355">
        <v>5</v>
      </c>
      <c r="D355">
        <v>0.69560496722766896</v>
      </c>
      <c r="E355">
        <v>1.5200000000000102E-2</v>
      </c>
      <c r="F355">
        <f t="shared" si="25"/>
        <v>1.0573195501860639E-2</v>
      </c>
      <c r="G355">
        <v>1986</v>
      </c>
      <c r="H355">
        <v>7</v>
      </c>
      <c r="I355" s="26">
        <v>1986.5000000011801</v>
      </c>
      <c r="J355">
        <f t="shared" si="26"/>
        <v>0.79335414648095404</v>
      </c>
      <c r="K355" s="33">
        <f t="shared" si="27"/>
        <v>4.5600000000000307E-2</v>
      </c>
      <c r="L355" s="33">
        <f t="shared" si="28"/>
        <v>3.6176949079531749E-2</v>
      </c>
      <c r="M355" s="31">
        <f t="shared" si="29"/>
        <v>0.15200000000000102</v>
      </c>
    </row>
    <row r="356" spans="1:13" x14ac:dyDescent="0.3">
      <c r="A356">
        <v>2012</v>
      </c>
      <c r="B356">
        <v>8</v>
      </c>
      <c r="C356">
        <v>1</v>
      </c>
      <c r="D356">
        <v>0.70332191568995872</v>
      </c>
      <c r="E356">
        <v>1.5200000000000102E-2</v>
      </c>
      <c r="F356">
        <f t="shared" si="25"/>
        <v>1.0690493118487444E-2</v>
      </c>
      <c r="G356">
        <v>1986</v>
      </c>
      <c r="H356">
        <v>6</v>
      </c>
      <c r="I356" s="26">
        <v>1986.41666666785</v>
      </c>
      <c r="J356">
        <f t="shared" si="26"/>
        <v>0.74761292291456016</v>
      </c>
      <c r="K356" s="33">
        <f t="shared" si="27"/>
        <v>0.36480000000000246</v>
      </c>
      <c r="L356" s="33">
        <f t="shared" si="28"/>
        <v>0.27272919427923337</v>
      </c>
      <c r="M356" s="31">
        <f t="shared" si="29"/>
        <v>0.25840000000000174</v>
      </c>
    </row>
    <row r="357" spans="1:13" x14ac:dyDescent="0.3">
      <c r="A357">
        <v>2012</v>
      </c>
      <c r="B357">
        <v>7</v>
      </c>
      <c r="C357">
        <v>29</v>
      </c>
      <c r="D357">
        <v>0.71295088485945379</v>
      </c>
      <c r="E357">
        <v>1.5200000000000102E-2</v>
      </c>
      <c r="F357">
        <f t="shared" si="25"/>
        <v>1.083685344986377E-2</v>
      </c>
      <c r="G357">
        <v>1986</v>
      </c>
      <c r="H357">
        <v>5</v>
      </c>
      <c r="I357" s="26">
        <v>1986.3333333345199</v>
      </c>
      <c r="J357">
        <f t="shared" si="26"/>
        <v>0.7270195000094769</v>
      </c>
      <c r="K357" s="33">
        <f t="shared" si="27"/>
        <v>0.36480000000000246</v>
      </c>
      <c r="L357" s="33">
        <f t="shared" si="28"/>
        <v>0.26521671360345894</v>
      </c>
      <c r="M357" s="31">
        <f t="shared" si="29"/>
        <v>0.36480000000000246</v>
      </c>
    </row>
    <row r="358" spans="1:13" x14ac:dyDescent="0.3">
      <c r="A358">
        <v>2012</v>
      </c>
      <c r="B358">
        <v>7</v>
      </c>
      <c r="C358">
        <v>25</v>
      </c>
      <c r="D358">
        <v>0.71894997941408911</v>
      </c>
      <c r="E358">
        <v>1.5200000000000102E-2</v>
      </c>
      <c r="F358">
        <f t="shared" si="25"/>
        <v>1.0928039687094228E-2</v>
      </c>
      <c r="G358">
        <v>1986</v>
      </c>
      <c r="H358">
        <v>4</v>
      </c>
      <c r="I358" s="26">
        <v>1986.2500000011901</v>
      </c>
      <c r="J358">
        <f t="shared" si="26"/>
        <v>0.64117689281345391</v>
      </c>
      <c r="K358" s="33">
        <f t="shared" si="27"/>
        <v>0.36480000000000246</v>
      </c>
      <c r="L358" s="33">
        <f t="shared" si="28"/>
        <v>0.23390133049834957</v>
      </c>
      <c r="M358" s="31">
        <f t="shared" si="29"/>
        <v>0.36986666666666917</v>
      </c>
    </row>
    <row r="359" spans="1:13" x14ac:dyDescent="0.3">
      <c r="A359">
        <v>2012</v>
      </c>
      <c r="B359">
        <v>7</v>
      </c>
      <c r="C359">
        <v>21</v>
      </c>
      <c r="D359">
        <v>0.72319625333005999</v>
      </c>
      <c r="E359">
        <v>1.5200000000000102E-2</v>
      </c>
      <c r="F359">
        <f t="shared" si="25"/>
        <v>1.0992583050616987E-2</v>
      </c>
      <c r="G359">
        <v>1986</v>
      </c>
      <c r="H359">
        <v>3</v>
      </c>
      <c r="I359" s="26">
        <v>1986.16666666786</v>
      </c>
      <c r="J359">
        <f t="shared" si="26"/>
        <v>0.85315324421264438</v>
      </c>
      <c r="K359" s="33">
        <f t="shared" si="27"/>
        <v>0.38000000000000256</v>
      </c>
      <c r="L359" s="33">
        <f t="shared" si="28"/>
        <v>0.32419823280080706</v>
      </c>
      <c r="M359" s="31">
        <f t="shared" si="29"/>
        <v>0.26346666666666846</v>
      </c>
    </row>
    <row r="360" spans="1:13" x14ac:dyDescent="0.3">
      <c r="A360">
        <v>2012</v>
      </c>
      <c r="B360">
        <v>7</v>
      </c>
      <c r="C360">
        <v>18</v>
      </c>
      <c r="D360">
        <v>0.7289424359666471</v>
      </c>
      <c r="E360">
        <v>1.5200000000000102E-2</v>
      </c>
      <c r="F360">
        <f t="shared" si="25"/>
        <v>1.107992502669311E-2</v>
      </c>
      <c r="G360">
        <v>1986</v>
      </c>
      <c r="H360">
        <v>2</v>
      </c>
      <c r="I360" s="26">
        <v>1986.0833333345299</v>
      </c>
      <c r="J360">
        <f t="shared" si="26"/>
        <v>0.81847869059514833</v>
      </c>
      <c r="K360" s="33">
        <f t="shared" si="27"/>
        <v>4.5600000000000307E-2</v>
      </c>
      <c r="L360" s="33">
        <f t="shared" si="28"/>
        <v>3.7322628291139012E-2</v>
      </c>
      <c r="M360" s="31">
        <f t="shared" si="29"/>
        <v>0.15706666666666771</v>
      </c>
    </row>
    <row r="361" spans="1:13" x14ac:dyDescent="0.3">
      <c r="A361">
        <v>2012</v>
      </c>
      <c r="B361">
        <v>7</v>
      </c>
      <c r="C361">
        <v>14</v>
      </c>
      <c r="D361">
        <v>0.73728634136202109</v>
      </c>
      <c r="E361">
        <v>1.5200000000000102E-2</v>
      </c>
      <c r="F361">
        <f t="shared" si="25"/>
        <v>1.1206752388702796E-2</v>
      </c>
      <c r="G361">
        <v>1986</v>
      </c>
      <c r="H361">
        <v>1</v>
      </c>
      <c r="I361" s="26">
        <v>1986.0000000012001</v>
      </c>
      <c r="J361">
        <f t="shared" si="26"/>
        <v>0.84524263852081771</v>
      </c>
      <c r="K361" s="33">
        <f t="shared" si="27"/>
        <v>4.5600000000000307E-2</v>
      </c>
      <c r="L361" s="33">
        <f t="shared" si="28"/>
        <v>3.8543064316549545E-2</v>
      </c>
      <c r="M361" s="31">
        <f t="shared" si="29"/>
        <v>4.5600000000000307E-2</v>
      </c>
    </row>
    <row r="362" spans="1:13" x14ac:dyDescent="0.3">
      <c r="A362">
        <v>2012</v>
      </c>
      <c r="B362">
        <v>7</v>
      </c>
      <c r="C362">
        <v>10</v>
      </c>
      <c r="D362">
        <v>0.74278394185859342</v>
      </c>
      <c r="E362">
        <v>1.5200000000000102E-2</v>
      </c>
      <c r="F362">
        <f t="shared" si="25"/>
        <v>1.1290315916250696E-2</v>
      </c>
      <c r="G362">
        <v>1985</v>
      </c>
      <c r="H362">
        <v>12</v>
      </c>
      <c r="I362" s="26">
        <v>1985.91666666787</v>
      </c>
      <c r="J362">
        <f t="shared" si="26"/>
        <v>0.88266532384106366</v>
      </c>
      <c r="K362" s="33">
        <f t="shared" si="27"/>
        <v>4.5600000000000307E-2</v>
      </c>
      <c r="L362" s="33">
        <f t="shared" si="28"/>
        <v>4.0249538767152773E-2</v>
      </c>
      <c r="M362" s="31">
        <f t="shared" si="29"/>
        <v>4.5600000000000307E-2</v>
      </c>
    </row>
    <row r="363" spans="1:13" x14ac:dyDescent="0.3">
      <c r="A363">
        <v>2012</v>
      </c>
      <c r="B363">
        <v>7</v>
      </c>
      <c r="C363">
        <v>7</v>
      </c>
      <c r="D363">
        <v>0.7499316162580415</v>
      </c>
      <c r="E363">
        <v>1.5200000000000102E-2</v>
      </c>
      <c r="F363">
        <f t="shared" si="25"/>
        <v>1.1398960567122307E-2</v>
      </c>
      <c r="G363">
        <v>1985</v>
      </c>
      <c r="H363">
        <v>11</v>
      </c>
      <c r="I363" s="26">
        <v>1985.8333333345399</v>
      </c>
      <c r="J363">
        <f t="shared" si="26"/>
        <v>0.91540425591120334</v>
      </c>
      <c r="K363" s="33">
        <f t="shared" si="27"/>
        <v>4.5600000000000307E-2</v>
      </c>
      <c r="L363" s="33">
        <f t="shared" si="28"/>
        <v>4.1742434069551151E-2</v>
      </c>
      <c r="M363" s="31">
        <f t="shared" si="29"/>
        <v>4.5600000000000307E-2</v>
      </c>
    </row>
    <row r="364" spans="1:13" x14ac:dyDescent="0.3">
      <c r="A364">
        <v>2012</v>
      </c>
      <c r="B364">
        <v>7</v>
      </c>
      <c r="C364">
        <v>3</v>
      </c>
      <c r="D364">
        <v>0.75668328550293551</v>
      </c>
      <c r="E364">
        <v>1.5200000000000102E-2</v>
      </c>
      <c r="F364">
        <f t="shared" si="25"/>
        <v>1.1501585939644697E-2</v>
      </c>
      <c r="G364">
        <v>1985</v>
      </c>
      <c r="H364">
        <v>10</v>
      </c>
      <c r="I364" s="26">
        <v>1985.7500000012101</v>
      </c>
      <c r="J364">
        <f t="shared" si="26"/>
        <v>0.93327792347270655</v>
      </c>
      <c r="K364" s="33">
        <f t="shared" si="27"/>
        <v>4.5600000000000307E-2</v>
      </c>
      <c r="L364" s="33">
        <f t="shared" si="28"/>
        <v>4.2557473310355705E-2</v>
      </c>
      <c r="M364" s="31">
        <f t="shared" si="29"/>
        <v>4.5600000000000307E-2</v>
      </c>
    </row>
    <row r="365" spans="1:13" x14ac:dyDescent="0.3">
      <c r="A365">
        <v>2012</v>
      </c>
      <c r="B365">
        <v>6</v>
      </c>
      <c r="C365">
        <v>30</v>
      </c>
      <c r="D365">
        <v>0.75974153797578614</v>
      </c>
      <c r="E365">
        <v>1.5200000000000102E-2</v>
      </c>
      <c r="F365">
        <f t="shared" si="25"/>
        <v>1.1548071377232027E-2</v>
      </c>
      <c r="G365">
        <v>1985</v>
      </c>
      <c r="H365">
        <v>9</v>
      </c>
      <c r="I365" s="26">
        <v>1985.66666666788</v>
      </c>
      <c r="J365">
        <f t="shared" si="26"/>
        <v>0.97042213785748632</v>
      </c>
      <c r="K365" s="33">
        <f t="shared" si="27"/>
        <v>4.5600000000000307E-2</v>
      </c>
      <c r="L365" s="33">
        <f t="shared" si="28"/>
        <v>4.4251249486301672E-2</v>
      </c>
      <c r="M365" s="31">
        <f t="shared" si="29"/>
        <v>4.5600000000000307E-2</v>
      </c>
    </row>
    <row r="366" spans="1:13" x14ac:dyDescent="0.3">
      <c r="A366">
        <v>2012</v>
      </c>
      <c r="B366">
        <v>6</v>
      </c>
      <c r="C366">
        <v>28</v>
      </c>
      <c r="D366">
        <v>0.75813644400861102</v>
      </c>
      <c r="E366">
        <v>1.5200000000000102E-2</v>
      </c>
      <c r="F366">
        <f t="shared" si="25"/>
        <v>1.1523673948930965E-2</v>
      </c>
      <c r="G366">
        <v>1985</v>
      </c>
      <c r="H366">
        <v>8</v>
      </c>
      <c r="I366" s="26">
        <v>1985.5833333345499</v>
      </c>
      <c r="J366">
        <f t="shared" si="26"/>
        <v>1.0331002885818479</v>
      </c>
      <c r="K366" s="33">
        <f t="shared" si="27"/>
        <v>4.5600000000000307E-2</v>
      </c>
      <c r="L366" s="33">
        <f t="shared" si="28"/>
        <v>4.7109373159332578E-2</v>
      </c>
      <c r="M366" s="31">
        <f t="shared" si="29"/>
        <v>4.5600000000000307E-2</v>
      </c>
    </row>
    <row r="367" spans="1:13" x14ac:dyDescent="0.3">
      <c r="A367">
        <v>2012</v>
      </c>
      <c r="B367">
        <v>6</v>
      </c>
      <c r="C367">
        <v>26</v>
      </c>
      <c r="D367">
        <v>0.75064474346256072</v>
      </c>
      <c r="E367">
        <v>1.5200000000000102E-2</v>
      </c>
      <c r="F367">
        <f t="shared" si="25"/>
        <v>1.1409800100631E-2</v>
      </c>
      <c r="G367">
        <v>1985</v>
      </c>
      <c r="H367">
        <v>7</v>
      </c>
      <c r="I367" s="26">
        <v>1985.5000000012201</v>
      </c>
      <c r="J367">
        <f t="shared" si="26"/>
        <v>1.1010754591067766</v>
      </c>
      <c r="K367" s="33">
        <f t="shared" si="27"/>
        <v>4.5600000000000307E-2</v>
      </c>
      <c r="L367" s="33">
        <f t="shared" si="28"/>
        <v>5.0209040935269351E-2</v>
      </c>
      <c r="M367" s="31">
        <f t="shared" si="29"/>
        <v>0.11146666666666742</v>
      </c>
    </row>
    <row r="368" spans="1:13" x14ac:dyDescent="0.3">
      <c r="A368">
        <v>2012</v>
      </c>
      <c r="B368">
        <v>6</v>
      </c>
      <c r="C368">
        <v>24</v>
      </c>
      <c r="D368">
        <v>0.73676682286432094</v>
      </c>
      <c r="E368">
        <v>1.5200000000000102E-2</v>
      </c>
      <c r="F368">
        <f t="shared" si="25"/>
        <v>1.1198855707537753E-2</v>
      </c>
      <c r="G368">
        <v>1985</v>
      </c>
      <c r="H368">
        <v>6</v>
      </c>
      <c r="I368" s="26">
        <v>1985.41666666789</v>
      </c>
      <c r="J368">
        <f t="shared" si="26"/>
        <v>0.99321549204272275</v>
      </c>
      <c r="K368" s="33">
        <f t="shared" si="27"/>
        <v>0.24320000000000164</v>
      </c>
      <c r="L368" s="33">
        <f t="shared" si="28"/>
        <v>0.24155000766479179</v>
      </c>
      <c r="M368" s="31">
        <f t="shared" si="29"/>
        <v>0.17733333333333454</v>
      </c>
    </row>
    <row r="369" spans="1:13" x14ac:dyDescent="0.3">
      <c r="A369">
        <v>2012</v>
      </c>
      <c r="B369">
        <v>6</v>
      </c>
      <c r="C369">
        <v>23</v>
      </c>
      <c r="D369">
        <v>0.71956972529212593</v>
      </c>
      <c r="E369">
        <v>1.5200000000000102E-2</v>
      </c>
      <c r="F369">
        <f t="shared" si="25"/>
        <v>1.0937459824440388E-2</v>
      </c>
      <c r="G369">
        <v>1985</v>
      </c>
      <c r="H369">
        <v>5</v>
      </c>
      <c r="I369" s="26">
        <v>1985.3333333345599</v>
      </c>
      <c r="J369">
        <f t="shared" si="26"/>
        <v>0.90126134946329273</v>
      </c>
      <c r="K369" s="33">
        <f t="shared" si="27"/>
        <v>0.24320000000000164</v>
      </c>
      <c r="L369" s="33">
        <f t="shared" si="28"/>
        <v>0.21918676018947428</v>
      </c>
      <c r="M369" s="31">
        <f t="shared" si="29"/>
        <v>0.24320000000000164</v>
      </c>
    </row>
    <row r="370" spans="1:13" x14ac:dyDescent="0.3">
      <c r="A370">
        <v>2012</v>
      </c>
      <c r="B370">
        <v>6</v>
      </c>
      <c r="C370">
        <v>21</v>
      </c>
      <c r="D370">
        <v>0.70153418658955469</v>
      </c>
      <c r="E370">
        <v>1.5200000000000102E-2</v>
      </c>
      <c r="F370">
        <f t="shared" si="25"/>
        <v>1.0663319636161303E-2</v>
      </c>
      <c r="G370">
        <v>1985</v>
      </c>
      <c r="H370">
        <v>4</v>
      </c>
      <c r="I370" s="26">
        <v>1985.2500000012301</v>
      </c>
      <c r="J370">
        <f t="shared" si="26"/>
        <v>0.87488668293459182</v>
      </c>
      <c r="K370" s="33">
        <f t="shared" si="27"/>
        <v>0.24320000000000164</v>
      </c>
      <c r="L370" s="33">
        <f t="shared" si="28"/>
        <v>0.21277244128969416</v>
      </c>
      <c r="M370" s="31">
        <f t="shared" si="29"/>
        <v>0.24320000000000164</v>
      </c>
    </row>
    <row r="371" spans="1:13" x14ac:dyDescent="0.3">
      <c r="A371">
        <v>2012</v>
      </c>
      <c r="B371">
        <v>6</v>
      </c>
      <c r="C371">
        <v>19</v>
      </c>
      <c r="D371">
        <v>0.68465993165669292</v>
      </c>
      <c r="E371">
        <v>1.5200000000000102E-2</v>
      </c>
      <c r="F371">
        <f t="shared" si="25"/>
        <v>1.0406830961181803E-2</v>
      </c>
      <c r="G371">
        <v>1985</v>
      </c>
      <c r="H371">
        <v>3</v>
      </c>
      <c r="I371" s="26">
        <v>1985.1666666679</v>
      </c>
      <c r="J371">
        <f t="shared" si="26"/>
        <v>0.86617850868367019</v>
      </c>
      <c r="K371" s="33">
        <f t="shared" si="27"/>
        <v>0.24320000000000164</v>
      </c>
      <c r="L371" s="33">
        <f t="shared" si="28"/>
        <v>0.21065461331187002</v>
      </c>
      <c r="M371" s="31">
        <f t="shared" si="29"/>
        <v>0.17226666666666782</v>
      </c>
    </row>
    <row r="372" spans="1:13" x14ac:dyDescent="0.3">
      <c r="A372">
        <v>2012</v>
      </c>
      <c r="B372">
        <v>6</v>
      </c>
      <c r="C372">
        <v>17</v>
      </c>
      <c r="D372">
        <v>0.67186832034984512</v>
      </c>
      <c r="E372">
        <v>1.5200000000000102E-2</v>
      </c>
      <c r="F372">
        <f t="shared" si="25"/>
        <v>1.0212398469317714E-2</v>
      </c>
      <c r="G372">
        <v>1985</v>
      </c>
      <c r="H372">
        <v>2</v>
      </c>
      <c r="I372" s="26">
        <v>1985.0833333345699</v>
      </c>
      <c r="J372">
        <f t="shared" si="26"/>
        <v>0.7860064050876524</v>
      </c>
      <c r="K372" s="33">
        <f t="shared" si="27"/>
        <v>3.0400000000000205E-2</v>
      </c>
      <c r="L372" s="33">
        <f t="shared" si="28"/>
        <v>2.3894594714664794E-2</v>
      </c>
      <c r="M372" s="31">
        <f t="shared" si="29"/>
        <v>0.10133333333333401</v>
      </c>
    </row>
    <row r="373" spans="1:13" x14ac:dyDescent="0.3">
      <c r="A373">
        <v>2012</v>
      </c>
      <c r="B373">
        <v>6</v>
      </c>
      <c r="C373">
        <v>16</v>
      </c>
      <c r="D373">
        <v>0.66962284350251611</v>
      </c>
      <c r="E373">
        <v>1.5200000000000102E-2</v>
      </c>
      <c r="F373">
        <f t="shared" si="25"/>
        <v>1.0178267221238314E-2</v>
      </c>
      <c r="G373">
        <v>1985</v>
      </c>
      <c r="H373">
        <v>1</v>
      </c>
      <c r="I373" s="26">
        <v>1985.0000000012401</v>
      </c>
      <c r="J373">
        <f t="shared" si="26"/>
        <v>0.79959621182271423</v>
      </c>
      <c r="K373" s="33">
        <f t="shared" si="27"/>
        <v>3.0400000000000205E-2</v>
      </c>
      <c r="L373" s="33">
        <f t="shared" si="28"/>
        <v>2.4307724839410676E-2</v>
      </c>
      <c r="M373" s="31">
        <f t="shared" si="29"/>
        <v>3.0400000000000205E-2</v>
      </c>
    </row>
    <row r="374" spans="1:13" x14ac:dyDescent="0.3">
      <c r="A374">
        <v>2012</v>
      </c>
      <c r="B374">
        <v>6</v>
      </c>
      <c r="C374">
        <v>14</v>
      </c>
      <c r="D374">
        <v>0.67243764341593537</v>
      </c>
      <c r="E374">
        <v>1.5200000000000102E-2</v>
      </c>
      <c r="F374">
        <f t="shared" si="25"/>
        <v>1.0221052179922287E-2</v>
      </c>
      <c r="G374">
        <v>1984</v>
      </c>
      <c r="H374">
        <v>12</v>
      </c>
      <c r="I374" s="26">
        <v>1984.91666666791</v>
      </c>
      <c r="J374">
        <f t="shared" si="26"/>
        <v>0.8120787746075504</v>
      </c>
      <c r="K374" s="33">
        <f t="shared" si="27"/>
        <v>3.0400000000000205E-2</v>
      </c>
      <c r="L374" s="33">
        <f t="shared" si="28"/>
        <v>2.4687194748069699E-2</v>
      </c>
      <c r="M374" s="31">
        <f t="shared" si="29"/>
        <v>3.0400000000000205E-2</v>
      </c>
    </row>
    <row r="375" spans="1:13" x14ac:dyDescent="0.3">
      <c r="A375">
        <v>2012</v>
      </c>
      <c r="B375">
        <v>6</v>
      </c>
      <c r="C375">
        <v>12</v>
      </c>
      <c r="D375">
        <v>0.68126985541033025</v>
      </c>
      <c r="E375">
        <v>1.5200000000000102E-2</v>
      </c>
      <c r="F375">
        <f t="shared" si="25"/>
        <v>1.035530180223709E-2</v>
      </c>
      <c r="G375">
        <v>1984</v>
      </c>
      <c r="H375">
        <v>11</v>
      </c>
      <c r="I375" s="26">
        <v>1984.8333333345799</v>
      </c>
      <c r="J375">
        <f t="shared" si="26"/>
        <v>0.82448250250892641</v>
      </c>
      <c r="K375" s="33">
        <f t="shared" si="27"/>
        <v>3.0400000000000205E-2</v>
      </c>
      <c r="L375" s="33">
        <f t="shared" si="28"/>
        <v>2.5064268076271531E-2</v>
      </c>
      <c r="M375" s="31">
        <f t="shared" si="29"/>
        <v>3.0400000000000205E-2</v>
      </c>
    </row>
    <row r="376" spans="1:13" x14ac:dyDescent="0.3">
      <c r="A376">
        <v>2012</v>
      </c>
      <c r="B376">
        <v>6</v>
      </c>
      <c r="C376">
        <v>10</v>
      </c>
      <c r="D376">
        <v>0.69376194224876475</v>
      </c>
      <c r="E376">
        <v>1.5200000000000102E-2</v>
      </c>
      <c r="F376">
        <f t="shared" si="25"/>
        <v>1.0545181522181295E-2</v>
      </c>
      <c r="G376">
        <v>1984</v>
      </c>
      <c r="H376">
        <v>10</v>
      </c>
      <c r="I376" s="26">
        <v>1984.7500000012501</v>
      </c>
      <c r="J376">
        <f t="shared" si="26"/>
        <v>0.84292988154949144</v>
      </c>
      <c r="K376" s="33">
        <f t="shared" si="27"/>
        <v>3.0400000000000205E-2</v>
      </c>
      <c r="L376" s="33">
        <f t="shared" si="28"/>
        <v>2.5625068399104712E-2</v>
      </c>
      <c r="M376" s="31">
        <f t="shared" si="29"/>
        <v>3.0400000000000205E-2</v>
      </c>
    </row>
    <row r="377" spans="1:13" x14ac:dyDescent="0.3">
      <c r="A377">
        <v>2012</v>
      </c>
      <c r="B377">
        <v>6</v>
      </c>
      <c r="C377">
        <v>9</v>
      </c>
      <c r="D377">
        <v>0.70780326035684304</v>
      </c>
      <c r="E377">
        <v>1.5200000000000102E-2</v>
      </c>
      <c r="F377">
        <f t="shared" si="25"/>
        <v>1.0758609557424087E-2</v>
      </c>
      <c r="G377">
        <v>1984</v>
      </c>
      <c r="H377">
        <v>9</v>
      </c>
      <c r="I377" s="26">
        <v>1984.66666666792</v>
      </c>
      <c r="J377">
        <f t="shared" si="26"/>
        <v>0.86282119036642735</v>
      </c>
      <c r="K377" s="33">
        <f t="shared" si="27"/>
        <v>3.0400000000000205E-2</v>
      </c>
      <c r="L377" s="33">
        <f t="shared" si="28"/>
        <v>2.6229764187139567E-2</v>
      </c>
      <c r="M377" s="31">
        <f t="shared" si="29"/>
        <v>3.0400000000000205E-2</v>
      </c>
    </row>
    <row r="378" spans="1:13" x14ac:dyDescent="0.3">
      <c r="A378">
        <v>2012</v>
      </c>
      <c r="B378">
        <v>6</v>
      </c>
      <c r="C378">
        <v>7</v>
      </c>
      <c r="D378">
        <v>0.71744459913330128</v>
      </c>
      <c r="E378">
        <v>1.5200000000000102E-2</v>
      </c>
      <c r="F378">
        <f t="shared" si="25"/>
        <v>1.0905157906826253E-2</v>
      </c>
      <c r="G378">
        <v>1984</v>
      </c>
      <c r="H378">
        <v>8</v>
      </c>
      <c r="I378" s="26">
        <v>1984.58333333459</v>
      </c>
      <c r="J378">
        <f t="shared" si="26"/>
        <v>0.8797398799035776</v>
      </c>
      <c r="K378" s="33">
        <f t="shared" si="27"/>
        <v>3.0400000000000205E-2</v>
      </c>
      <c r="L378" s="33">
        <f t="shared" si="28"/>
        <v>2.6744092349068938E-2</v>
      </c>
      <c r="M378" s="31">
        <f t="shared" si="29"/>
        <v>2.5333333333333503E-2</v>
      </c>
    </row>
    <row r="379" spans="1:13" x14ac:dyDescent="0.3">
      <c r="A379">
        <v>2012</v>
      </c>
      <c r="B379">
        <v>6</v>
      </c>
      <c r="C379">
        <v>5</v>
      </c>
      <c r="D379">
        <v>0.72657960315023373</v>
      </c>
      <c r="E379">
        <v>1.5200000000000102E-2</v>
      </c>
      <c r="F379">
        <f t="shared" si="25"/>
        <v>1.1044009967883628E-2</v>
      </c>
      <c r="G379">
        <v>1984</v>
      </c>
      <c r="H379">
        <v>7</v>
      </c>
      <c r="I379" s="26">
        <v>1984.5000000012601</v>
      </c>
      <c r="J379">
        <f t="shared" si="26"/>
        <v>0.88898960553416817</v>
      </c>
      <c r="K379" s="33">
        <f t="shared" si="27"/>
        <v>1.5200000000000102E-2</v>
      </c>
      <c r="L379" s="33">
        <f t="shared" si="28"/>
        <v>1.3512642004119448E-2</v>
      </c>
      <c r="M379" s="31">
        <f t="shared" si="29"/>
        <v>9.1200000000000614E-2</v>
      </c>
    </row>
    <row r="380" spans="1:13" x14ac:dyDescent="0.3">
      <c r="A380">
        <v>2012</v>
      </c>
      <c r="B380">
        <v>6</v>
      </c>
      <c r="C380">
        <v>3</v>
      </c>
      <c r="D380">
        <v>0.73288329250306794</v>
      </c>
      <c r="E380">
        <v>1.5200000000000102E-2</v>
      </c>
      <c r="F380">
        <f t="shared" si="25"/>
        <v>1.1139826046046708E-2</v>
      </c>
      <c r="G380">
        <v>1984</v>
      </c>
      <c r="H380">
        <v>6</v>
      </c>
      <c r="I380" s="26">
        <v>1984.41666666793</v>
      </c>
      <c r="J380">
        <f t="shared" si="26"/>
        <v>0.87042355834493002</v>
      </c>
      <c r="K380" s="33">
        <f t="shared" si="27"/>
        <v>0.22800000000000153</v>
      </c>
      <c r="L380" s="33">
        <f t="shared" si="28"/>
        <v>0.19845657130264538</v>
      </c>
      <c r="M380" s="31">
        <f t="shared" si="29"/>
        <v>0.15706666666666771</v>
      </c>
    </row>
    <row r="381" spans="1:13" x14ac:dyDescent="0.3">
      <c r="A381">
        <v>2012</v>
      </c>
      <c r="B381">
        <v>6</v>
      </c>
      <c r="C381">
        <v>2</v>
      </c>
      <c r="D381">
        <v>0.73701767477423641</v>
      </c>
      <c r="E381">
        <v>1.5200000000000102E-2</v>
      </c>
      <c r="F381">
        <f t="shared" si="25"/>
        <v>1.1202668656568469E-2</v>
      </c>
      <c r="G381">
        <v>1984</v>
      </c>
      <c r="H381">
        <v>5</v>
      </c>
      <c r="I381" s="26">
        <v>1984.3333333346</v>
      </c>
      <c r="J381">
        <f t="shared" si="26"/>
        <v>0.75600837151346589</v>
      </c>
      <c r="K381" s="33">
        <f t="shared" si="27"/>
        <v>0.22800000000000153</v>
      </c>
      <c r="L381" s="33">
        <f t="shared" si="28"/>
        <v>0.17236990870507138</v>
      </c>
      <c r="M381" s="31">
        <f t="shared" si="29"/>
        <v>0.22293333333333484</v>
      </c>
    </row>
    <row r="382" spans="1:13" x14ac:dyDescent="0.3">
      <c r="A382">
        <v>2012</v>
      </c>
      <c r="B382">
        <v>5</v>
      </c>
      <c r="C382">
        <v>31</v>
      </c>
      <c r="D382">
        <v>0.73787777833976675</v>
      </c>
      <c r="E382">
        <v>1.5200000000000102E-2</v>
      </c>
      <c r="F382">
        <f t="shared" si="25"/>
        <v>1.121574223076453E-2</v>
      </c>
      <c r="G382">
        <v>1984</v>
      </c>
      <c r="H382">
        <v>4</v>
      </c>
      <c r="I382" s="26">
        <v>1984.2500000012701</v>
      </c>
      <c r="J382">
        <f t="shared" si="26"/>
        <v>0.74116447215808512</v>
      </c>
      <c r="K382" s="33">
        <f t="shared" si="27"/>
        <v>0.21280000000000143</v>
      </c>
      <c r="L382" s="33">
        <f t="shared" si="28"/>
        <v>0.15771979967524158</v>
      </c>
      <c r="M382" s="31">
        <f t="shared" si="29"/>
        <v>0.22293333333333484</v>
      </c>
    </row>
    <row r="383" spans="1:13" x14ac:dyDescent="0.3">
      <c r="A383">
        <v>2012</v>
      </c>
      <c r="B383">
        <v>5</v>
      </c>
      <c r="C383">
        <v>29</v>
      </c>
      <c r="D383">
        <v>0.73545798731102041</v>
      </c>
      <c r="E383">
        <v>1.5200000000000102E-2</v>
      </c>
      <c r="F383">
        <f t="shared" si="25"/>
        <v>1.1178961407127586E-2</v>
      </c>
      <c r="G383">
        <v>1984</v>
      </c>
      <c r="H383">
        <v>3</v>
      </c>
      <c r="I383" s="26">
        <v>1984.16666666794</v>
      </c>
      <c r="J383">
        <f t="shared" si="26"/>
        <v>0.81693763222021665</v>
      </c>
      <c r="K383" s="33">
        <f t="shared" si="27"/>
        <v>0.22800000000000153</v>
      </c>
      <c r="L383" s="33">
        <f t="shared" si="28"/>
        <v>0.18626178014621064</v>
      </c>
      <c r="M383" s="31">
        <f t="shared" si="29"/>
        <v>0.15706666666666771</v>
      </c>
    </row>
    <row r="384" spans="1:13" x14ac:dyDescent="0.3">
      <c r="A384">
        <v>2012</v>
      </c>
      <c r="B384">
        <v>5</v>
      </c>
      <c r="C384">
        <v>27</v>
      </c>
      <c r="D384">
        <v>0.7301720632679356</v>
      </c>
      <c r="E384">
        <v>1.5200000000000102E-2</v>
      </c>
      <c r="F384">
        <f t="shared" si="25"/>
        <v>1.1098615361672696E-2</v>
      </c>
      <c r="G384">
        <v>1984</v>
      </c>
      <c r="H384">
        <v>2</v>
      </c>
      <c r="I384" s="26">
        <v>1984.08333333461</v>
      </c>
      <c r="J384">
        <f t="shared" si="26"/>
        <v>0.79337027969998319</v>
      </c>
      <c r="K384" s="33">
        <f t="shared" si="27"/>
        <v>3.0400000000000205E-2</v>
      </c>
      <c r="L384" s="33">
        <f t="shared" si="28"/>
        <v>2.4118456502879651E-2</v>
      </c>
      <c r="M384" s="31">
        <f t="shared" si="29"/>
        <v>9.1200000000000614E-2</v>
      </c>
    </row>
    <row r="385" spans="1:13" x14ac:dyDescent="0.3">
      <c r="A385">
        <v>2012</v>
      </c>
      <c r="B385">
        <v>5</v>
      </c>
      <c r="C385">
        <v>26</v>
      </c>
      <c r="D385">
        <v>0.72393839451520825</v>
      </c>
      <c r="E385">
        <v>1.5200000000000102E-2</v>
      </c>
      <c r="F385">
        <f t="shared" si="25"/>
        <v>1.100386359663124E-2</v>
      </c>
      <c r="G385">
        <v>1984</v>
      </c>
      <c r="H385">
        <v>1</v>
      </c>
      <c r="I385" s="26">
        <v>1984.0000000012799</v>
      </c>
      <c r="J385">
        <f t="shared" si="26"/>
        <v>0.808587960247661</v>
      </c>
      <c r="K385" s="33">
        <f t="shared" si="27"/>
        <v>1.5200000000000102E-2</v>
      </c>
      <c r="L385" s="33">
        <f t="shared" si="28"/>
        <v>1.2290536995764529E-2</v>
      </c>
      <c r="M385" s="31">
        <f t="shared" si="29"/>
        <v>2.5333333333333503E-2</v>
      </c>
    </row>
    <row r="386" spans="1:13" x14ac:dyDescent="0.3">
      <c r="A386">
        <v>2012</v>
      </c>
      <c r="B386">
        <v>5</v>
      </c>
      <c r="C386">
        <v>24</v>
      </c>
      <c r="D386">
        <v>0.7179860759004042</v>
      </c>
      <c r="E386">
        <v>1.5200000000000102E-2</v>
      </c>
      <c r="F386">
        <f t="shared" si="25"/>
        <v>1.0913388353686217E-2</v>
      </c>
      <c r="G386">
        <v>1983</v>
      </c>
      <c r="H386">
        <v>12</v>
      </c>
      <c r="I386" s="26">
        <v>1983.91666666795</v>
      </c>
      <c r="J386">
        <f t="shared" si="26"/>
        <v>0.84117569440355311</v>
      </c>
      <c r="K386" s="33">
        <f t="shared" si="27"/>
        <v>3.0400000000000205E-2</v>
      </c>
      <c r="L386" s="33">
        <f t="shared" si="28"/>
        <v>2.5571741109868186E-2</v>
      </c>
      <c r="M386" s="31">
        <f t="shared" si="29"/>
        <v>2.0266666666666804E-2</v>
      </c>
    </row>
    <row r="387" spans="1:13" x14ac:dyDescent="0.3">
      <c r="A387">
        <v>2012</v>
      </c>
      <c r="B387">
        <v>5</v>
      </c>
      <c r="C387">
        <v>22</v>
      </c>
      <c r="D387">
        <v>0.71584484587939312</v>
      </c>
      <c r="E387">
        <v>1.5200000000000102E-2</v>
      </c>
      <c r="F387">
        <f t="shared" ref="F387:F450" si="30">D387*E387</f>
        <v>1.0880841657366849E-2</v>
      </c>
      <c r="G387">
        <v>1983</v>
      </c>
      <c r="H387">
        <v>11</v>
      </c>
      <c r="I387" s="26">
        <v>1983.83333333462</v>
      </c>
      <c r="J387">
        <f t="shared" ref="J387:J409" si="31">AVERAGEIFS(D$2:D$3010,A$2:A$3010,G387,B$2:B$3010,H387)</f>
        <v>0.88366853955386915</v>
      </c>
      <c r="K387" s="33">
        <f t="shared" ref="K387:K409" si="32">SUMIFS(E$2:E$3010,A$2:A$3010,G387,B$2:B$3010,H387)</f>
        <v>1.5200000000000102E-2</v>
      </c>
      <c r="L387" s="33">
        <f t="shared" ref="L387:L409" si="33">J387*K387</f>
        <v>1.3431761801218901E-2</v>
      </c>
      <c r="M387" s="31">
        <f t="shared" si="29"/>
        <v>2.0266666666666804E-2</v>
      </c>
    </row>
    <row r="388" spans="1:13" x14ac:dyDescent="0.3">
      <c r="A388">
        <v>2012</v>
      </c>
      <c r="B388">
        <v>5</v>
      </c>
      <c r="C388">
        <v>20</v>
      </c>
      <c r="D388">
        <v>0.7168300073962286</v>
      </c>
      <c r="E388">
        <v>1.5200000000000102E-2</v>
      </c>
      <c r="F388">
        <f t="shared" si="30"/>
        <v>1.0895816112422747E-2</v>
      </c>
      <c r="G388">
        <v>1983</v>
      </c>
      <c r="H388">
        <v>10</v>
      </c>
      <c r="I388" s="26">
        <v>1983.7500000012899</v>
      </c>
      <c r="J388">
        <f t="shared" si="31"/>
        <v>0.9137247992930595</v>
      </c>
      <c r="K388" s="33">
        <f t="shared" si="32"/>
        <v>1.5200000000000102E-2</v>
      </c>
      <c r="L388" s="33">
        <f t="shared" si="33"/>
        <v>1.3888616949254598E-2</v>
      </c>
      <c r="M388" s="31">
        <f t="shared" ref="M388:M408" si="34">AVERAGE(K387:K389)</f>
        <v>2.0266666666666804E-2</v>
      </c>
    </row>
    <row r="389" spans="1:13" x14ac:dyDescent="0.3">
      <c r="A389">
        <v>2012</v>
      </c>
      <c r="B389">
        <v>5</v>
      </c>
      <c r="C389">
        <v>19</v>
      </c>
      <c r="D389">
        <v>0.72353736953160641</v>
      </c>
      <c r="E389">
        <v>1.5200000000000102E-2</v>
      </c>
      <c r="F389">
        <f t="shared" si="30"/>
        <v>1.0997768016880492E-2</v>
      </c>
      <c r="G389">
        <v>1983</v>
      </c>
      <c r="H389">
        <v>9</v>
      </c>
      <c r="I389" s="26">
        <v>1983.66666666796</v>
      </c>
      <c r="J389">
        <f t="shared" si="31"/>
        <v>0.9474163843960921</v>
      </c>
      <c r="K389" s="33">
        <f t="shared" si="32"/>
        <v>3.0400000000000205E-2</v>
      </c>
      <c r="L389" s="33">
        <f t="shared" si="33"/>
        <v>2.8801458085641395E-2</v>
      </c>
      <c r="M389" s="31">
        <f t="shared" si="34"/>
        <v>2.0266666666666804E-2</v>
      </c>
    </row>
    <row r="390" spans="1:13" x14ac:dyDescent="0.3">
      <c r="A390">
        <v>2012</v>
      </c>
      <c r="B390">
        <v>5</v>
      </c>
      <c r="C390">
        <v>17</v>
      </c>
      <c r="D390">
        <v>0.73094795077178787</v>
      </c>
      <c r="E390">
        <v>1.5200000000000102E-2</v>
      </c>
      <c r="F390">
        <f t="shared" si="30"/>
        <v>1.111040885173125E-2</v>
      </c>
      <c r="G390">
        <v>1983</v>
      </c>
      <c r="H390">
        <v>8</v>
      </c>
      <c r="I390" s="26">
        <v>1983.58333333463</v>
      </c>
      <c r="J390">
        <f t="shared" si="31"/>
        <v>0.96786038417858922</v>
      </c>
      <c r="K390" s="33">
        <f t="shared" si="32"/>
        <v>1.5200000000000102E-2</v>
      </c>
      <c r="L390" s="33">
        <f t="shared" si="33"/>
        <v>1.4711477839514655E-2</v>
      </c>
      <c r="M390" s="31">
        <f t="shared" si="34"/>
        <v>2.0266666666666804E-2</v>
      </c>
    </row>
    <row r="391" spans="1:13" x14ac:dyDescent="0.3">
      <c r="A391">
        <v>2012</v>
      </c>
      <c r="B391">
        <v>5</v>
      </c>
      <c r="C391">
        <v>15</v>
      </c>
      <c r="D391">
        <v>0.73742189717030127</v>
      </c>
      <c r="E391">
        <v>1.5200000000000102E-2</v>
      </c>
      <c r="F391">
        <f t="shared" si="30"/>
        <v>1.1208812836988654E-2</v>
      </c>
      <c r="G391">
        <v>1983</v>
      </c>
      <c r="H391">
        <v>7</v>
      </c>
      <c r="I391" s="26">
        <v>1983.5000000012999</v>
      </c>
      <c r="J391">
        <f t="shared" si="31"/>
        <v>0.97379492167379766</v>
      </c>
      <c r="K391" s="33">
        <f t="shared" si="32"/>
        <v>1.5200000000000102E-2</v>
      </c>
      <c r="L391" s="33">
        <f t="shared" si="33"/>
        <v>1.4801682809441824E-2</v>
      </c>
      <c r="M391" s="31">
        <f t="shared" si="34"/>
        <v>6.5866666666667115E-2</v>
      </c>
    </row>
    <row r="392" spans="1:13" x14ac:dyDescent="0.3">
      <c r="A392">
        <v>2012</v>
      </c>
      <c r="B392">
        <v>5</v>
      </c>
      <c r="C392">
        <v>13</v>
      </c>
      <c r="D392">
        <v>0.73842264782121758</v>
      </c>
      <c r="E392">
        <v>1.5200000000000102E-2</v>
      </c>
      <c r="F392">
        <f t="shared" si="30"/>
        <v>1.1224024246882583E-2</v>
      </c>
      <c r="G392">
        <v>1983</v>
      </c>
      <c r="H392">
        <v>6</v>
      </c>
      <c r="I392" s="26">
        <v>1983.41666666797</v>
      </c>
      <c r="J392">
        <f t="shared" si="31"/>
        <v>0.94864896245782082</v>
      </c>
      <c r="K392" s="33">
        <f t="shared" si="32"/>
        <v>0.16720000000000113</v>
      </c>
      <c r="L392" s="33">
        <f t="shared" si="33"/>
        <v>0.15861410652294872</v>
      </c>
      <c r="M392" s="31">
        <f t="shared" si="34"/>
        <v>0.11653333333333411</v>
      </c>
    </row>
    <row r="393" spans="1:13" x14ac:dyDescent="0.3">
      <c r="A393">
        <v>2012</v>
      </c>
      <c r="B393">
        <v>5</v>
      </c>
      <c r="C393">
        <v>12</v>
      </c>
      <c r="D393">
        <v>0.73229560270373495</v>
      </c>
      <c r="E393">
        <v>1.5200000000000102E-2</v>
      </c>
      <c r="F393">
        <f t="shared" si="30"/>
        <v>1.1130893161096847E-2</v>
      </c>
      <c r="G393">
        <v>1983</v>
      </c>
      <c r="H393">
        <v>5</v>
      </c>
      <c r="I393" s="26">
        <v>1983.33333333464</v>
      </c>
      <c r="J393">
        <f t="shared" si="31"/>
        <v>0.86979074544830304</v>
      </c>
      <c r="K393" s="33">
        <f t="shared" si="32"/>
        <v>0.16720000000000113</v>
      </c>
      <c r="L393" s="33">
        <f t="shared" si="33"/>
        <v>0.14542901263895724</v>
      </c>
      <c r="M393" s="31">
        <f t="shared" si="34"/>
        <v>0.16720000000000113</v>
      </c>
    </row>
    <row r="394" spans="1:13" x14ac:dyDescent="0.3">
      <c r="A394">
        <v>2012</v>
      </c>
      <c r="B394">
        <v>5</v>
      </c>
      <c r="C394">
        <v>10</v>
      </c>
      <c r="D394">
        <v>0.71676064044542975</v>
      </c>
      <c r="E394">
        <v>1.5200000000000102E-2</v>
      </c>
      <c r="F394">
        <f t="shared" si="30"/>
        <v>1.0894761734770605E-2</v>
      </c>
      <c r="G394">
        <v>1983</v>
      </c>
      <c r="H394">
        <v>4</v>
      </c>
      <c r="I394" s="26">
        <v>1983.2500000013099</v>
      </c>
      <c r="J394">
        <f t="shared" si="31"/>
        <v>0.73500902364507992</v>
      </c>
      <c r="K394" s="33">
        <f t="shared" si="32"/>
        <v>0.16720000000000113</v>
      </c>
      <c r="L394" s="33">
        <f t="shared" si="33"/>
        <v>0.12289350875345818</v>
      </c>
      <c r="M394" s="31">
        <f t="shared" si="34"/>
        <v>0.16720000000000113</v>
      </c>
    </row>
    <row r="395" spans="1:13" x14ac:dyDescent="0.3">
      <c r="A395">
        <v>2012</v>
      </c>
      <c r="B395">
        <v>5</v>
      </c>
      <c r="C395">
        <v>8</v>
      </c>
      <c r="D395">
        <v>0.69709824089014161</v>
      </c>
      <c r="E395">
        <v>1.5200000000000102E-2</v>
      </c>
      <c r="F395">
        <f t="shared" si="30"/>
        <v>1.0595893261530223E-2</v>
      </c>
      <c r="G395">
        <v>1983</v>
      </c>
      <c r="H395">
        <v>3</v>
      </c>
      <c r="I395" s="26">
        <v>1983.1666666679801</v>
      </c>
      <c r="J395">
        <f t="shared" si="31"/>
        <v>0.67297375861386854</v>
      </c>
      <c r="K395" s="33">
        <f t="shared" si="32"/>
        <v>0.16720000000000113</v>
      </c>
      <c r="L395" s="33">
        <f t="shared" si="33"/>
        <v>0.11252121244023958</v>
      </c>
      <c r="M395" s="31">
        <f t="shared" si="34"/>
        <v>0.12666666666666751</v>
      </c>
    </row>
    <row r="396" spans="1:13" x14ac:dyDescent="0.3">
      <c r="A396">
        <v>2012</v>
      </c>
      <c r="B396">
        <v>5</v>
      </c>
      <c r="C396">
        <v>6</v>
      </c>
      <c r="D396">
        <v>0.67688607805559975</v>
      </c>
      <c r="E396">
        <v>1.5200000000000102E-2</v>
      </c>
      <c r="F396">
        <f t="shared" si="30"/>
        <v>1.0288668386445186E-2</v>
      </c>
      <c r="G396">
        <v>1983</v>
      </c>
      <c r="H396">
        <v>2</v>
      </c>
      <c r="I396" s="26">
        <v>1983.08333333465</v>
      </c>
      <c r="J396">
        <f t="shared" si="31"/>
        <v>0.66589606005468305</v>
      </c>
      <c r="K396" s="33">
        <f t="shared" si="32"/>
        <v>4.5600000000000307E-2</v>
      </c>
      <c r="L396" s="33">
        <f t="shared" si="33"/>
        <v>3.0364860338493751E-2</v>
      </c>
      <c r="M396" s="31">
        <f t="shared" si="34"/>
        <v>8.6133333333333909E-2</v>
      </c>
    </row>
    <row r="397" spans="1:13" x14ac:dyDescent="0.3">
      <c r="A397">
        <v>2012</v>
      </c>
      <c r="B397">
        <v>5</v>
      </c>
      <c r="C397">
        <v>5</v>
      </c>
      <c r="D397">
        <v>0.65253930851958508</v>
      </c>
      <c r="E397">
        <v>1.5200000000000102E-2</v>
      </c>
      <c r="F397">
        <f t="shared" si="30"/>
        <v>9.9185974894977595E-3</v>
      </c>
      <c r="G397">
        <v>1983</v>
      </c>
      <c r="H397">
        <v>1</v>
      </c>
      <c r="I397" s="26">
        <v>1983.0000000013199</v>
      </c>
      <c r="J397">
        <f t="shared" si="31"/>
        <v>0.6887218390126405</v>
      </c>
      <c r="K397" s="33">
        <f t="shared" si="32"/>
        <v>4.5600000000000307E-2</v>
      </c>
      <c r="L397" s="33">
        <f t="shared" si="33"/>
        <v>3.140571585897662E-2</v>
      </c>
      <c r="M397" s="31">
        <f t="shared" si="34"/>
        <v>4.5600000000000307E-2</v>
      </c>
    </row>
    <row r="398" spans="1:13" x14ac:dyDescent="0.3">
      <c r="A398">
        <v>2012</v>
      </c>
      <c r="B398">
        <v>5</v>
      </c>
      <c r="C398">
        <v>3</v>
      </c>
      <c r="D398">
        <v>0.63262824649910254</v>
      </c>
      <c r="E398">
        <v>1.5200000000000102E-2</v>
      </c>
      <c r="F398">
        <f t="shared" si="30"/>
        <v>9.6159493467864229E-3</v>
      </c>
      <c r="G398">
        <v>1982</v>
      </c>
      <c r="H398">
        <v>12</v>
      </c>
      <c r="I398" s="26">
        <v>1982.9166666679901</v>
      </c>
      <c r="J398">
        <f t="shared" si="31"/>
        <v>0.7087176119718267</v>
      </c>
      <c r="K398" s="33">
        <f t="shared" si="32"/>
        <v>4.5600000000000307E-2</v>
      </c>
      <c r="L398" s="33">
        <f t="shared" si="33"/>
        <v>3.2317523105915513E-2</v>
      </c>
      <c r="M398" s="31">
        <f t="shared" si="34"/>
        <v>4.0533333333333608E-2</v>
      </c>
    </row>
    <row r="399" spans="1:13" x14ac:dyDescent="0.3">
      <c r="A399">
        <v>2012</v>
      </c>
      <c r="B399">
        <v>5</v>
      </c>
      <c r="C399">
        <v>1</v>
      </c>
      <c r="D399">
        <v>0.61509083889845562</v>
      </c>
      <c r="E399">
        <v>1.5200000000000102E-2</v>
      </c>
      <c r="F399">
        <f t="shared" si="30"/>
        <v>9.3493807512565891E-3</v>
      </c>
      <c r="G399">
        <v>1982</v>
      </c>
      <c r="H399">
        <v>11</v>
      </c>
      <c r="I399" s="26">
        <v>1982.83333333466</v>
      </c>
      <c r="J399">
        <f t="shared" si="31"/>
        <v>0.72329302230156156</v>
      </c>
      <c r="K399" s="33">
        <f t="shared" si="32"/>
        <v>3.0400000000000205E-2</v>
      </c>
      <c r="L399" s="33">
        <f t="shared" si="33"/>
        <v>2.1988107877967619E-2</v>
      </c>
      <c r="M399" s="31">
        <f t="shared" si="34"/>
        <v>4.0533333333333608E-2</v>
      </c>
    </row>
    <row r="400" spans="1:13" x14ac:dyDescent="0.3">
      <c r="A400">
        <v>2012</v>
      </c>
      <c r="B400">
        <v>4</v>
      </c>
      <c r="C400">
        <v>30</v>
      </c>
      <c r="D400">
        <v>0.59936199895472531</v>
      </c>
      <c r="E400">
        <v>1.5200000000000102E-2</v>
      </c>
      <c r="F400">
        <f t="shared" si="30"/>
        <v>9.1103023841118853E-3</v>
      </c>
      <c r="G400">
        <v>1982</v>
      </c>
      <c r="H400">
        <v>10</v>
      </c>
      <c r="I400" s="26">
        <v>1982.7500000013299</v>
      </c>
      <c r="J400">
        <f t="shared" si="31"/>
        <v>0.7500613867689444</v>
      </c>
      <c r="K400" s="33">
        <f t="shared" si="32"/>
        <v>4.5600000000000307E-2</v>
      </c>
      <c r="L400" s="33">
        <f t="shared" si="33"/>
        <v>3.4202799236664097E-2</v>
      </c>
      <c r="M400" s="31">
        <f t="shared" si="34"/>
        <v>4.0533333333333608E-2</v>
      </c>
    </row>
    <row r="401" spans="1:13" x14ac:dyDescent="0.3">
      <c r="A401">
        <v>2012</v>
      </c>
      <c r="B401">
        <v>4</v>
      </c>
      <c r="C401">
        <v>28</v>
      </c>
      <c r="D401">
        <v>0.58346403164524263</v>
      </c>
      <c r="E401">
        <v>1.5200000000000102E-2</v>
      </c>
      <c r="F401">
        <f t="shared" si="30"/>
        <v>8.8686532810077472E-3</v>
      </c>
      <c r="G401">
        <v>1982</v>
      </c>
      <c r="H401">
        <v>9</v>
      </c>
      <c r="I401" s="26">
        <v>1982.6666666680001</v>
      </c>
      <c r="J401">
        <f t="shared" si="31"/>
        <v>0.79726906194382197</v>
      </c>
      <c r="K401" s="33">
        <f t="shared" si="32"/>
        <v>4.5600000000000307E-2</v>
      </c>
      <c r="L401" s="33">
        <f t="shared" si="33"/>
        <v>3.6355469224638524E-2</v>
      </c>
      <c r="M401" s="31">
        <f t="shared" si="34"/>
        <v>4.5600000000000307E-2</v>
      </c>
    </row>
    <row r="402" spans="1:13" x14ac:dyDescent="0.3">
      <c r="A402">
        <v>2012</v>
      </c>
      <c r="B402">
        <v>4</v>
      </c>
      <c r="C402">
        <v>26</v>
      </c>
      <c r="D402">
        <v>0.57386228365721947</v>
      </c>
      <c r="E402">
        <v>1.5200000000000102E-2</v>
      </c>
      <c r="F402">
        <f t="shared" si="30"/>
        <v>8.7227067115897942E-3</v>
      </c>
      <c r="G402">
        <v>1982</v>
      </c>
      <c r="H402">
        <v>8</v>
      </c>
      <c r="I402" s="26">
        <v>1982.58333333467</v>
      </c>
      <c r="J402">
        <f t="shared" si="31"/>
        <v>0.84955347154759187</v>
      </c>
      <c r="K402" s="33">
        <f t="shared" si="32"/>
        <v>4.5600000000000307E-2</v>
      </c>
      <c r="L402" s="33">
        <f t="shared" si="33"/>
        <v>3.8739638302570448E-2</v>
      </c>
      <c r="M402" s="31">
        <f t="shared" si="34"/>
        <v>4.0533333333333608E-2</v>
      </c>
    </row>
    <row r="403" spans="1:13" x14ac:dyDescent="0.3">
      <c r="A403">
        <v>2012</v>
      </c>
      <c r="B403">
        <v>4</v>
      </c>
      <c r="C403">
        <v>24</v>
      </c>
      <c r="D403">
        <v>0.56506706067524803</v>
      </c>
      <c r="E403">
        <v>1.5200000000000102E-2</v>
      </c>
      <c r="F403">
        <f t="shared" si="30"/>
        <v>8.5890193222638283E-3</v>
      </c>
      <c r="G403">
        <v>1982</v>
      </c>
      <c r="H403">
        <v>7</v>
      </c>
      <c r="I403" s="26">
        <v>1982.5000000013399</v>
      </c>
      <c r="J403">
        <f t="shared" si="31"/>
        <v>0.88528555449325219</v>
      </c>
      <c r="K403" s="33">
        <f t="shared" si="32"/>
        <v>3.0400000000000205E-2</v>
      </c>
      <c r="L403" s="33">
        <f t="shared" si="33"/>
        <v>2.6912680856595046E-2</v>
      </c>
      <c r="M403" s="31">
        <f t="shared" si="34"/>
        <v>7.0933333333333806E-2</v>
      </c>
    </row>
    <row r="404" spans="1:13" x14ac:dyDescent="0.3">
      <c r="A404">
        <v>2012</v>
      </c>
      <c r="B404">
        <v>4</v>
      </c>
      <c r="C404">
        <v>23</v>
      </c>
      <c r="D404">
        <v>0.55784156784501981</v>
      </c>
      <c r="E404">
        <v>1.5200000000000102E-2</v>
      </c>
      <c r="F404">
        <f t="shared" si="30"/>
        <v>8.4791918312443586E-3</v>
      </c>
      <c r="G404">
        <v>1982</v>
      </c>
      <c r="H404">
        <v>6</v>
      </c>
      <c r="I404" s="26">
        <v>1982.4166666680101</v>
      </c>
      <c r="J404">
        <f t="shared" si="31"/>
        <v>0.80656171849385128</v>
      </c>
      <c r="K404" s="33">
        <f t="shared" si="32"/>
        <v>0.13680000000000092</v>
      </c>
      <c r="L404" s="33">
        <f t="shared" si="33"/>
        <v>0.11033764308995959</v>
      </c>
      <c r="M404" s="31">
        <f t="shared" si="34"/>
        <v>0.10133333333333401</v>
      </c>
    </row>
    <row r="405" spans="1:13" x14ac:dyDescent="0.3">
      <c r="A405">
        <v>2012</v>
      </c>
      <c r="B405">
        <v>4</v>
      </c>
      <c r="C405">
        <v>21</v>
      </c>
      <c r="D405">
        <v>0.54794408912412229</v>
      </c>
      <c r="E405">
        <v>1.5200000000000102E-2</v>
      </c>
      <c r="F405">
        <f t="shared" si="30"/>
        <v>8.3287501546867142E-3</v>
      </c>
      <c r="G405">
        <v>1982</v>
      </c>
      <c r="H405">
        <v>5</v>
      </c>
      <c r="I405" s="26">
        <v>1982.33333333468</v>
      </c>
      <c r="J405">
        <f t="shared" si="31"/>
        <v>0.7174969545828872</v>
      </c>
      <c r="K405" s="33">
        <f t="shared" si="32"/>
        <v>0.13680000000000092</v>
      </c>
      <c r="L405" s="33">
        <f t="shared" si="33"/>
        <v>9.8153583386939636E-2</v>
      </c>
      <c r="M405" s="31">
        <f t="shared" si="34"/>
        <v>0.13680000000000092</v>
      </c>
    </row>
    <row r="406" spans="1:13" x14ac:dyDescent="0.3">
      <c r="A406">
        <v>2012</v>
      </c>
      <c r="B406">
        <v>4</v>
      </c>
      <c r="C406">
        <v>19</v>
      </c>
      <c r="D406">
        <v>0.53719167764944753</v>
      </c>
      <c r="E406">
        <v>1.5200000000000102E-2</v>
      </c>
      <c r="F406">
        <f t="shared" si="30"/>
        <v>8.1653135002716579E-3</v>
      </c>
      <c r="G406">
        <v>1982</v>
      </c>
      <c r="H406">
        <v>4</v>
      </c>
      <c r="I406" s="26">
        <v>1982.2500000013499</v>
      </c>
      <c r="J406">
        <f t="shared" si="31"/>
        <v>0.85077669391394883</v>
      </c>
      <c r="K406" s="33">
        <f t="shared" si="32"/>
        <v>0.13680000000000092</v>
      </c>
      <c r="L406" s="33">
        <f t="shared" si="33"/>
        <v>0.11638625172742899</v>
      </c>
      <c r="M406" s="31">
        <f t="shared" si="34"/>
        <v>0.13680000000000092</v>
      </c>
    </row>
    <row r="407" spans="1:13" x14ac:dyDescent="0.3">
      <c r="A407">
        <v>2012</v>
      </c>
      <c r="B407">
        <v>4</v>
      </c>
      <c r="C407">
        <v>17</v>
      </c>
      <c r="D407">
        <v>0.52509009811190777</v>
      </c>
      <c r="E407">
        <v>1.5200000000000102E-2</v>
      </c>
      <c r="F407">
        <f t="shared" si="30"/>
        <v>7.9813694913010522E-3</v>
      </c>
      <c r="G407">
        <v>1982</v>
      </c>
      <c r="H407">
        <v>3</v>
      </c>
      <c r="I407" s="26">
        <v>1982.1666666680201</v>
      </c>
      <c r="J407">
        <f t="shared" si="31"/>
        <v>0.86642802653947326</v>
      </c>
      <c r="K407" s="33">
        <f t="shared" si="32"/>
        <v>0.13680000000000092</v>
      </c>
      <c r="L407" s="33">
        <f t="shared" si="33"/>
        <v>0.11852735403060075</v>
      </c>
      <c r="M407" s="31">
        <f t="shared" si="34"/>
        <v>0.10133333333333401</v>
      </c>
    </row>
    <row r="408" spans="1:13" x14ac:dyDescent="0.3">
      <c r="A408">
        <v>2012</v>
      </c>
      <c r="B408">
        <v>4</v>
      </c>
      <c r="C408">
        <v>16</v>
      </c>
      <c r="D408">
        <v>0.51330089110202681</v>
      </c>
      <c r="E408">
        <v>1.5200000000000102E-2</v>
      </c>
      <c r="F408">
        <f t="shared" si="30"/>
        <v>7.8021735447508598E-3</v>
      </c>
      <c r="G408">
        <v>1982</v>
      </c>
      <c r="H408">
        <v>2</v>
      </c>
      <c r="I408" s="26">
        <v>1982.08333333469</v>
      </c>
      <c r="J408">
        <f t="shared" si="31"/>
        <v>0.81130932185659643</v>
      </c>
      <c r="K408" s="33">
        <f t="shared" si="32"/>
        <v>3.0400000000000205E-2</v>
      </c>
      <c r="L408" s="33">
        <f t="shared" si="33"/>
        <v>2.4663803384440696E-2</v>
      </c>
      <c r="M408" s="31">
        <f t="shared" si="34"/>
        <v>6.5866666666667115E-2</v>
      </c>
    </row>
    <row r="409" spans="1:13" x14ac:dyDescent="0.3">
      <c r="A409">
        <v>2012</v>
      </c>
      <c r="B409">
        <v>4</v>
      </c>
      <c r="C409">
        <v>14</v>
      </c>
      <c r="D409">
        <v>0.50295023362233149</v>
      </c>
      <c r="E409">
        <v>1.5200000000000102E-2</v>
      </c>
      <c r="F409">
        <f t="shared" si="30"/>
        <v>7.6448435510594898E-3</v>
      </c>
      <c r="G409">
        <v>1982</v>
      </c>
      <c r="H409">
        <v>1</v>
      </c>
      <c r="I409" s="26">
        <v>1982.0000000013599</v>
      </c>
      <c r="J409">
        <f t="shared" si="31"/>
        <v>0.81645577412738835</v>
      </c>
      <c r="K409" s="33">
        <f t="shared" si="32"/>
        <v>3.0400000000000205E-2</v>
      </c>
      <c r="L409" s="33">
        <f t="shared" si="33"/>
        <v>2.4820255533472772E-2</v>
      </c>
      <c r="M409" s="31">
        <f>AVERAGE(K408:K409)</f>
        <v>3.0400000000000205E-2</v>
      </c>
    </row>
    <row r="410" spans="1:13" x14ac:dyDescent="0.3">
      <c r="A410">
        <v>2012</v>
      </c>
      <c r="B410">
        <v>4</v>
      </c>
      <c r="C410">
        <v>12</v>
      </c>
      <c r="D410">
        <v>0.49777395507694716</v>
      </c>
      <c r="E410">
        <v>1.5200000000000102E-2</v>
      </c>
      <c r="F410">
        <f t="shared" si="30"/>
        <v>7.5661641171696475E-3</v>
      </c>
      <c r="M410" s="31"/>
    </row>
    <row r="411" spans="1:13" x14ac:dyDescent="0.3">
      <c r="A411">
        <v>2012</v>
      </c>
      <c r="B411">
        <v>4</v>
      </c>
      <c r="C411">
        <v>10</v>
      </c>
      <c r="D411">
        <v>0.49410761332947073</v>
      </c>
      <c r="E411">
        <v>1.5200000000000102E-2</v>
      </c>
      <c r="F411">
        <f t="shared" si="30"/>
        <v>7.5104357226080058E-3</v>
      </c>
      <c r="M411" s="31"/>
    </row>
    <row r="412" spans="1:13" x14ac:dyDescent="0.3">
      <c r="A412">
        <v>2012</v>
      </c>
      <c r="B412">
        <v>4</v>
      </c>
      <c r="C412">
        <v>9</v>
      </c>
      <c r="D412">
        <v>0.49181945658263443</v>
      </c>
      <c r="E412">
        <v>1.5200000000000102E-2</v>
      </c>
      <c r="F412">
        <f t="shared" si="30"/>
        <v>7.475655740056094E-3</v>
      </c>
      <c r="M412" s="31"/>
    </row>
    <row r="413" spans="1:13" x14ac:dyDescent="0.3">
      <c r="A413">
        <v>2012</v>
      </c>
      <c r="B413">
        <v>4</v>
      </c>
      <c r="C413">
        <v>7</v>
      </c>
      <c r="D413">
        <v>0.49378227869409247</v>
      </c>
      <c r="E413">
        <v>1.5200000000000102E-2</v>
      </c>
      <c r="F413">
        <f t="shared" si="30"/>
        <v>7.5054906361502558E-3</v>
      </c>
      <c r="M413" s="31"/>
    </row>
    <row r="414" spans="1:13" x14ac:dyDescent="0.3">
      <c r="A414">
        <v>2012</v>
      </c>
      <c r="B414">
        <v>4</v>
      </c>
      <c r="C414">
        <v>5</v>
      </c>
      <c r="D414">
        <v>0.4968763881002059</v>
      </c>
      <c r="E414">
        <v>1.5200000000000102E-2</v>
      </c>
      <c r="F414">
        <f t="shared" si="30"/>
        <v>7.5525210991231806E-3</v>
      </c>
      <c r="M414" s="31"/>
    </row>
    <row r="415" spans="1:13" x14ac:dyDescent="0.3">
      <c r="A415">
        <v>2012</v>
      </c>
      <c r="B415">
        <v>4</v>
      </c>
      <c r="C415">
        <v>3</v>
      </c>
      <c r="D415">
        <v>0.50123352315356728</v>
      </c>
      <c r="E415">
        <v>1.5200000000000102E-2</v>
      </c>
      <c r="F415">
        <f t="shared" si="30"/>
        <v>7.6187495519342736E-3</v>
      </c>
      <c r="M415" s="31"/>
    </row>
    <row r="416" spans="1:13" x14ac:dyDescent="0.3">
      <c r="A416">
        <v>2012</v>
      </c>
      <c r="B416">
        <v>4</v>
      </c>
      <c r="C416">
        <v>2</v>
      </c>
      <c r="D416">
        <v>0.50787165252235733</v>
      </c>
      <c r="E416">
        <v>1.5200000000000102E-2</v>
      </c>
      <c r="F416">
        <f t="shared" si="30"/>
        <v>7.7196491183398833E-3</v>
      </c>
      <c r="M416" s="31"/>
    </row>
    <row r="417" spans="1:13" x14ac:dyDescent="0.3">
      <c r="A417">
        <v>2012</v>
      </c>
      <c r="B417">
        <v>3</v>
      </c>
      <c r="C417">
        <v>31</v>
      </c>
      <c r="D417">
        <v>0.51732183102073925</v>
      </c>
      <c r="E417">
        <v>1.5200000000000102E-2</v>
      </c>
      <c r="F417">
        <f t="shared" si="30"/>
        <v>7.8632918315152903E-3</v>
      </c>
      <c r="M417" s="31"/>
    </row>
    <row r="418" spans="1:13" x14ac:dyDescent="0.3">
      <c r="A418">
        <v>2012</v>
      </c>
      <c r="B418">
        <v>3</v>
      </c>
      <c r="C418">
        <v>29</v>
      </c>
      <c r="D418">
        <v>0.52580227566292403</v>
      </c>
      <c r="E418">
        <v>1.5200000000000102E-2</v>
      </c>
      <c r="F418">
        <f t="shared" si="30"/>
        <v>7.9921945900764992E-3</v>
      </c>
      <c r="M418" s="31"/>
    </row>
    <row r="419" spans="1:13" x14ac:dyDescent="0.3">
      <c r="A419">
        <v>2012</v>
      </c>
      <c r="B419">
        <v>3</v>
      </c>
      <c r="C419">
        <v>27</v>
      </c>
      <c r="D419">
        <v>0.53713599541977486</v>
      </c>
      <c r="E419">
        <v>1.5200000000000102E-2</v>
      </c>
      <c r="F419">
        <f t="shared" si="30"/>
        <v>8.1644671303806333E-3</v>
      </c>
      <c r="M419" s="31"/>
    </row>
    <row r="420" spans="1:13" x14ac:dyDescent="0.3">
      <c r="A420">
        <v>2012</v>
      </c>
      <c r="B420">
        <v>3</v>
      </c>
      <c r="C420">
        <v>26</v>
      </c>
      <c r="D420">
        <v>0.54982333103982284</v>
      </c>
      <c r="E420">
        <v>1.5200000000000102E-2</v>
      </c>
      <c r="F420">
        <f t="shared" si="30"/>
        <v>8.3573146318053626E-3</v>
      </c>
      <c r="M420" s="31"/>
    </row>
    <row r="421" spans="1:13" x14ac:dyDescent="0.3">
      <c r="A421">
        <v>2012</v>
      </c>
      <c r="B421">
        <v>3</v>
      </c>
      <c r="C421">
        <v>24</v>
      </c>
      <c r="D421">
        <v>0.56272056346322064</v>
      </c>
      <c r="E421">
        <v>1.5200000000000102E-2</v>
      </c>
      <c r="F421">
        <f t="shared" si="30"/>
        <v>8.5533525646410112E-3</v>
      </c>
      <c r="M421" s="31"/>
    </row>
    <row r="422" spans="1:13" x14ac:dyDescent="0.3">
      <c r="A422">
        <v>2012</v>
      </c>
      <c r="B422">
        <v>3</v>
      </c>
      <c r="C422">
        <v>22</v>
      </c>
      <c r="D422">
        <v>0.57231400726518744</v>
      </c>
      <c r="E422">
        <v>1.5200000000000102E-2</v>
      </c>
      <c r="F422">
        <f t="shared" si="30"/>
        <v>8.6991729104309076E-3</v>
      </c>
      <c r="M422" s="31"/>
    </row>
    <row r="423" spans="1:13" x14ac:dyDescent="0.3">
      <c r="A423">
        <v>2012</v>
      </c>
      <c r="B423">
        <v>3</v>
      </c>
      <c r="C423">
        <v>20</v>
      </c>
      <c r="D423">
        <v>0.57673119893292701</v>
      </c>
      <c r="E423">
        <v>1.5200000000000102E-2</v>
      </c>
      <c r="F423">
        <f t="shared" si="30"/>
        <v>8.7663142237805504E-3</v>
      </c>
      <c r="M423" s="31"/>
    </row>
    <row r="424" spans="1:13" x14ac:dyDescent="0.3">
      <c r="A424">
        <v>2012</v>
      </c>
      <c r="B424">
        <v>3</v>
      </c>
      <c r="C424">
        <v>19</v>
      </c>
      <c r="D424">
        <v>0.57411239941436676</v>
      </c>
      <c r="E424">
        <v>1.5200000000000102E-2</v>
      </c>
      <c r="F424">
        <f t="shared" si="30"/>
        <v>8.7265084710984337E-3</v>
      </c>
      <c r="M424" s="31"/>
    </row>
    <row r="425" spans="1:13" x14ac:dyDescent="0.3">
      <c r="A425">
        <v>2012</v>
      </c>
      <c r="B425">
        <v>3</v>
      </c>
      <c r="C425">
        <v>17</v>
      </c>
      <c r="D425">
        <v>0.56590310605517413</v>
      </c>
      <c r="E425">
        <v>1.5200000000000102E-2</v>
      </c>
      <c r="F425">
        <f t="shared" si="30"/>
        <v>8.6017272120387043E-3</v>
      </c>
      <c r="M425" s="31"/>
    </row>
    <row r="426" spans="1:13" x14ac:dyDescent="0.3">
      <c r="A426">
        <v>2012</v>
      </c>
      <c r="B426">
        <v>3</v>
      </c>
      <c r="C426">
        <v>15</v>
      </c>
      <c r="D426">
        <v>0.55422489425416688</v>
      </c>
      <c r="E426">
        <v>1.5200000000000102E-2</v>
      </c>
      <c r="F426">
        <f t="shared" si="30"/>
        <v>8.4242183926633938E-3</v>
      </c>
      <c r="M426" s="31"/>
    </row>
    <row r="427" spans="1:13" x14ac:dyDescent="0.3">
      <c r="A427">
        <v>2012</v>
      </c>
      <c r="B427">
        <v>3</v>
      </c>
      <c r="C427">
        <v>13</v>
      </c>
      <c r="D427">
        <v>0.54349936332604809</v>
      </c>
      <c r="E427">
        <v>1.5200000000000102E-2</v>
      </c>
      <c r="F427">
        <f t="shared" si="30"/>
        <v>8.261190322555987E-3</v>
      </c>
      <c r="M427" s="31"/>
    </row>
    <row r="428" spans="1:13" x14ac:dyDescent="0.3">
      <c r="A428">
        <v>2012</v>
      </c>
      <c r="B428">
        <v>3</v>
      </c>
      <c r="C428">
        <v>12</v>
      </c>
      <c r="D428">
        <v>0.53422825634973681</v>
      </c>
      <c r="E428">
        <v>1.5200000000000102E-2</v>
      </c>
      <c r="F428">
        <f t="shared" si="30"/>
        <v>8.1202694965160534E-3</v>
      </c>
      <c r="M428" s="31"/>
    </row>
    <row r="429" spans="1:13" x14ac:dyDescent="0.3">
      <c r="A429">
        <v>2012</v>
      </c>
      <c r="B429">
        <v>3</v>
      </c>
      <c r="C429">
        <v>10</v>
      </c>
      <c r="D429">
        <v>0.5238417279181018</v>
      </c>
      <c r="E429">
        <v>1.5200000000000102E-2</v>
      </c>
      <c r="F429">
        <f t="shared" si="30"/>
        <v>7.9623942643552003E-3</v>
      </c>
      <c r="M429" s="31"/>
    </row>
    <row r="430" spans="1:13" x14ac:dyDescent="0.3">
      <c r="A430">
        <v>2012</v>
      </c>
      <c r="B430">
        <v>3</v>
      </c>
      <c r="C430">
        <v>8</v>
      </c>
      <c r="D430">
        <v>0.51451495027362915</v>
      </c>
      <c r="E430">
        <v>1.5200000000000102E-2</v>
      </c>
      <c r="F430">
        <f t="shared" si="30"/>
        <v>7.8206272441592155E-3</v>
      </c>
      <c r="M430" s="31"/>
    </row>
    <row r="431" spans="1:13" x14ac:dyDescent="0.3">
      <c r="A431">
        <v>2012</v>
      </c>
      <c r="B431">
        <v>3</v>
      </c>
      <c r="C431">
        <v>6</v>
      </c>
      <c r="D431">
        <v>0.50471730934464321</v>
      </c>
      <c r="E431">
        <v>1.5200000000000102E-2</v>
      </c>
      <c r="F431">
        <f t="shared" si="30"/>
        <v>7.6717031020386286E-3</v>
      </c>
      <c r="M431" s="31"/>
    </row>
    <row r="432" spans="1:13" x14ac:dyDescent="0.3">
      <c r="A432">
        <v>2012</v>
      </c>
      <c r="B432">
        <v>3</v>
      </c>
      <c r="C432">
        <v>5</v>
      </c>
      <c r="D432">
        <v>0.49332297835339017</v>
      </c>
      <c r="E432">
        <v>1.5200000000000102E-2</v>
      </c>
      <c r="F432">
        <f t="shared" si="30"/>
        <v>7.4985092709715815E-3</v>
      </c>
      <c r="M432" s="31"/>
    </row>
    <row r="433" spans="1:13" x14ac:dyDescent="0.3">
      <c r="A433">
        <v>2012</v>
      </c>
      <c r="B433">
        <v>3</v>
      </c>
      <c r="C433">
        <v>3</v>
      </c>
      <c r="D433">
        <v>0.48223576415389346</v>
      </c>
      <c r="E433">
        <v>1.5200000000000102E-2</v>
      </c>
      <c r="F433">
        <f t="shared" si="30"/>
        <v>7.3299836151392303E-3</v>
      </c>
      <c r="M433" s="31"/>
    </row>
    <row r="434" spans="1:13" x14ac:dyDescent="0.3">
      <c r="A434">
        <v>2012</v>
      </c>
      <c r="B434">
        <v>3</v>
      </c>
      <c r="C434">
        <v>1</v>
      </c>
      <c r="D434">
        <v>0.47581748655645412</v>
      </c>
      <c r="E434">
        <v>1.5200000000000102E-2</v>
      </c>
      <c r="F434">
        <f t="shared" si="30"/>
        <v>7.2324257956581511E-3</v>
      </c>
      <c r="M434" s="31"/>
    </row>
    <row r="435" spans="1:13" x14ac:dyDescent="0.3">
      <c r="A435">
        <v>2012</v>
      </c>
      <c r="B435">
        <v>2</v>
      </c>
      <c r="C435">
        <v>29</v>
      </c>
      <c r="D435">
        <v>0.47315396047435343</v>
      </c>
      <c r="E435">
        <v>1.5200000000000102E-2</v>
      </c>
      <c r="F435">
        <f t="shared" si="30"/>
        <v>7.1919401992102203E-3</v>
      </c>
      <c r="M435" s="31"/>
    </row>
    <row r="436" spans="1:13" x14ac:dyDescent="0.3">
      <c r="A436">
        <v>2012</v>
      </c>
      <c r="B436">
        <v>2</v>
      </c>
      <c r="C436">
        <v>21</v>
      </c>
      <c r="D436">
        <v>0.47448339615625895</v>
      </c>
      <c r="E436">
        <v>1.5200000000000102E-2</v>
      </c>
      <c r="F436">
        <f t="shared" si="30"/>
        <v>7.2121476215751849E-3</v>
      </c>
      <c r="M436" s="31"/>
    </row>
    <row r="437" spans="1:13" x14ac:dyDescent="0.3">
      <c r="A437">
        <v>2012</v>
      </c>
      <c r="B437">
        <v>2</v>
      </c>
      <c r="C437">
        <v>13</v>
      </c>
      <c r="D437">
        <v>0.48984846038637764</v>
      </c>
      <c r="E437">
        <v>1.5200000000000102E-2</v>
      </c>
      <c r="F437">
        <f t="shared" si="30"/>
        <v>7.4456965978729906E-3</v>
      </c>
      <c r="M437" s="31"/>
    </row>
    <row r="438" spans="1:13" x14ac:dyDescent="0.3">
      <c r="A438">
        <v>2012</v>
      </c>
      <c r="B438">
        <v>2</v>
      </c>
      <c r="C438">
        <v>5</v>
      </c>
      <c r="D438">
        <v>0.50823354485747829</v>
      </c>
      <c r="E438">
        <v>1.5200000000000102E-2</v>
      </c>
      <c r="F438">
        <f t="shared" si="30"/>
        <v>7.7251498818337221E-3</v>
      </c>
      <c r="M438" s="31"/>
    </row>
    <row r="439" spans="1:13" x14ac:dyDescent="0.3">
      <c r="A439">
        <v>2012</v>
      </c>
      <c r="B439">
        <v>1</v>
      </c>
      <c r="C439">
        <v>28</v>
      </c>
      <c r="D439">
        <v>0.5288133703248995</v>
      </c>
      <c r="E439">
        <v>1.5200000000000102E-2</v>
      </c>
      <c r="F439">
        <f t="shared" si="30"/>
        <v>8.0379632289385265E-3</v>
      </c>
      <c r="M439" s="31"/>
    </row>
    <row r="440" spans="1:13" x14ac:dyDescent="0.3">
      <c r="A440">
        <v>2012</v>
      </c>
      <c r="B440">
        <v>1</v>
      </c>
      <c r="C440">
        <v>20</v>
      </c>
      <c r="D440">
        <v>0.54879700322795344</v>
      </c>
      <c r="E440">
        <v>1.5200000000000102E-2</v>
      </c>
      <c r="F440">
        <f t="shared" si="30"/>
        <v>8.3417144490649485E-3</v>
      </c>
      <c r="M440" s="31"/>
    </row>
    <row r="441" spans="1:13" x14ac:dyDescent="0.3">
      <c r="A441">
        <v>2012</v>
      </c>
      <c r="B441">
        <v>1</v>
      </c>
      <c r="C441">
        <v>12</v>
      </c>
      <c r="D441">
        <v>0.56737949250345832</v>
      </c>
      <c r="E441">
        <v>1.5200000000000102E-2</v>
      </c>
      <c r="F441">
        <f t="shared" si="30"/>
        <v>8.6241682860526241E-3</v>
      </c>
      <c r="M441" s="31"/>
    </row>
    <row r="442" spans="1:13" x14ac:dyDescent="0.3">
      <c r="A442">
        <v>2012</v>
      </c>
      <c r="B442">
        <v>1</v>
      </c>
      <c r="C442">
        <v>4</v>
      </c>
      <c r="D442">
        <v>0.57419377521563864</v>
      </c>
      <c r="E442">
        <v>1.5200000000000102E-2</v>
      </c>
      <c r="F442">
        <f t="shared" si="30"/>
        <v>8.7277453832777657E-3</v>
      </c>
      <c r="M442" s="31"/>
    </row>
    <row r="443" spans="1:13" x14ac:dyDescent="0.3">
      <c r="A443">
        <v>2011</v>
      </c>
      <c r="B443">
        <v>12</v>
      </c>
      <c r="C443">
        <v>28</v>
      </c>
      <c r="D443">
        <v>0.58049874556299741</v>
      </c>
      <c r="E443">
        <v>1.5200000000000102E-2</v>
      </c>
      <c r="F443">
        <f t="shared" si="30"/>
        <v>8.8235809325576207E-3</v>
      </c>
      <c r="M443" s="31"/>
    </row>
    <row r="444" spans="1:13" x14ac:dyDescent="0.3">
      <c r="A444">
        <v>2011</v>
      </c>
      <c r="B444">
        <v>12</v>
      </c>
      <c r="C444">
        <v>20</v>
      </c>
      <c r="D444">
        <v>0.58537338294431418</v>
      </c>
      <c r="E444">
        <v>1.5200000000000102E-2</v>
      </c>
      <c r="F444">
        <f t="shared" si="30"/>
        <v>8.8976754207536358E-3</v>
      </c>
      <c r="M444" s="31"/>
    </row>
    <row r="445" spans="1:13" x14ac:dyDescent="0.3">
      <c r="A445">
        <v>2011</v>
      </c>
      <c r="B445">
        <v>12</v>
      </c>
      <c r="C445">
        <v>12</v>
      </c>
      <c r="D445">
        <v>0.59300977804199329</v>
      </c>
      <c r="E445">
        <v>1.5200000000000102E-2</v>
      </c>
      <c r="F445">
        <f t="shared" si="30"/>
        <v>9.0137486262383583E-3</v>
      </c>
      <c r="M445" s="31"/>
    </row>
    <row r="446" spans="1:13" x14ac:dyDescent="0.3">
      <c r="A446">
        <v>2011</v>
      </c>
      <c r="B446">
        <v>12</v>
      </c>
      <c r="C446">
        <v>4</v>
      </c>
      <c r="D446">
        <v>0.60171682820704586</v>
      </c>
      <c r="E446">
        <v>1.5200000000000102E-2</v>
      </c>
      <c r="F446">
        <f t="shared" si="30"/>
        <v>9.1460957887471595E-3</v>
      </c>
      <c r="M446" s="31"/>
    </row>
    <row r="447" spans="1:13" x14ac:dyDescent="0.3">
      <c r="A447">
        <v>2011</v>
      </c>
      <c r="B447">
        <v>11</v>
      </c>
      <c r="C447">
        <v>26</v>
      </c>
      <c r="D447">
        <v>0.60938968772842783</v>
      </c>
      <c r="E447">
        <v>1.5200000000000102E-2</v>
      </c>
      <c r="F447">
        <f t="shared" si="30"/>
        <v>9.2627232534721656E-3</v>
      </c>
      <c r="M447" s="31"/>
    </row>
    <row r="448" spans="1:13" x14ac:dyDescent="0.3">
      <c r="A448">
        <v>2011</v>
      </c>
      <c r="B448">
        <v>11</v>
      </c>
      <c r="C448">
        <v>18</v>
      </c>
      <c r="D448">
        <v>0.61284551973270984</v>
      </c>
      <c r="E448">
        <v>1.5200000000000102E-2</v>
      </c>
      <c r="F448">
        <f t="shared" si="30"/>
        <v>9.3152518999372515E-3</v>
      </c>
      <c r="M448" s="31"/>
    </row>
    <row r="449" spans="1:13" x14ac:dyDescent="0.3">
      <c r="A449">
        <v>2011</v>
      </c>
      <c r="B449">
        <v>11</v>
      </c>
      <c r="C449">
        <v>10</v>
      </c>
      <c r="D449">
        <v>0.60864103711882511</v>
      </c>
      <c r="E449">
        <v>1.5200000000000102E-2</v>
      </c>
      <c r="F449">
        <f t="shared" si="30"/>
        <v>9.2513437642062039E-3</v>
      </c>
      <c r="M449" s="31"/>
    </row>
    <row r="450" spans="1:13" x14ac:dyDescent="0.3">
      <c r="A450">
        <v>2011</v>
      </c>
      <c r="B450">
        <v>11</v>
      </c>
      <c r="C450">
        <v>2</v>
      </c>
      <c r="D450">
        <v>0.59394068235530284</v>
      </c>
      <c r="E450">
        <v>1.5200000000000102E-2</v>
      </c>
      <c r="F450">
        <f t="shared" si="30"/>
        <v>9.0278983718006644E-3</v>
      </c>
      <c r="M450" s="31"/>
    </row>
    <row r="451" spans="1:13" x14ac:dyDescent="0.3">
      <c r="A451">
        <v>2011</v>
      </c>
      <c r="B451">
        <v>10</v>
      </c>
      <c r="C451">
        <v>26</v>
      </c>
      <c r="D451">
        <v>0.57258199747033689</v>
      </c>
      <c r="E451">
        <v>1.5200000000000102E-2</v>
      </c>
      <c r="F451">
        <f t="shared" ref="F451:F514" si="35">D451*E451</f>
        <v>8.703246361549179E-3</v>
      </c>
      <c r="M451" s="31"/>
    </row>
    <row r="452" spans="1:13" x14ac:dyDescent="0.3">
      <c r="A452">
        <v>2011</v>
      </c>
      <c r="B452">
        <v>10</v>
      </c>
      <c r="C452">
        <v>18</v>
      </c>
      <c r="D452">
        <v>0.54848130451736554</v>
      </c>
      <c r="E452">
        <v>1.5200000000000102E-2</v>
      </c>
      <c r="F452">
        <f t="shared" si="35"/>
        <v>8.3369158286640127E-3</v>
      </c>
      <c r="M452" s="31"/>
    </row>
    <row r="453" spans="1:13" x14ac:dyDescent="0.3">
      <c r="A453">
        <v>2011</v>
      </c>
      <c r="B453">
        <v>10</v>
      </c>
      <c r="C453">
        <v>10</v>
      </c>
      <c r="D453">
        <v>0.52504045669900856</v>
      </c>
      <c r="E453">
        <v>1.5200000000000102E-2</v>
      </c>
      <c r="F453">
        <f t="shared" si="35"/>
        <v>7.980614941824983E-3</v>
      </c>
      <c r="M453" s="31"/>
    </row>
    <row r="454" spans="1:13" x14ac:dyDescent="0.3">
      <c r="A454">
        <v>2011</v>
      </c>
      <c r="B454">
        <v>10</v>
      </c>
      <c r="C454">
        <v>2</v>
      </c>
      <c r="D454">
        <v>0.50816053776163206</v>
      </c>
      <c r="E454">
        <v>1.5200000000000102E-2</v>
      </c>
      <c r="F454">
        <f t="shared" si="35"/>
        <v>7.7240401739768596E-3</v>
      </c>
      <c r="M454" s="31"/>
    </row>
    <row r="455" spans="1:13" x14ac:dyDescent="0.3">
      <c r="A455">
        <v>2011</v>
      </c>
      <c r="B455">
        <v>9</v>
      </c>
      <c r="C455">
        <v>24</v>
      </c>
      <c r="D455">
        <v>0.49793312316695804</v>
      </c>
      <c r="E455">
        <v>1.5200000000000102E-2</v>
      </c>
      <c r="F455">
        <f t="shared" si="35"/>
        <v>7.5685834721378135E-3</v>
      </c>
      <c r="M455" s="31"/>
    </row>
    <row r="456" spans="1:13" x14ac:dyDescent="0.3">
      <c r="A456">
        <v>2011</v>
      </c>
      <c r="B456">
        <v>9</v>
      </c>
      <c r="C456">
        <v>16</v>
      </c>
      <c r="D456">
        <v>0.49375298399062661</v>
      </c>
      <c r="E456">
        <v>1.5200000000000102E-2</v>
      </c>
      <c r="F456">
        <f t="shared" si="35"/>
        <v>7.5050453566575751E-3</v>
      </c>
      <c r="M456" s="31"/>
    </row>
    <row r="457" spans="1:13" x14ac:dyDescent="0.3">
      <c r="A457">
        <v>2011</v>
      </c>
      <c r="B457">
        <v>9</v>
      </c>
      <c r="C457">
        <v>8</v>
      </c>
      <c r="D457">
        <v>0.49407552246556002</v>
      </c>
      <c r="E457">
        <v>1.5200000000000102E-2</v>
      </c>
      <c r="F457">
        <f t="shared" si="35"/>
        <v>7.5099479414765628E-3</v>
      </c>
      <c r="M457" s="31"/>
    </row>
    <row r="458" spans="1:13" x14ac:dyDescent="0.3">
      <c r="A458">
        <v>2011</v>
      </c>
      <c r="B458">
        <v>8</v>
      </c>
      <c r="C458">
        <v>31</v>
      </c>
      <c r="D458">
        <v>0.49639616423855426</v>
      </c>
      <c r="E458">
        <v>1.5200000000000102E-2</v>
      </c>
      <c r="F458">
        <f t="shared" si="35"/>
        <v>7.5452216964260752E-3</v>
      </c>
      <c r="M458" s="31"/>
    </row>
    <row r="459" spans="1:13" x14ac:dyDescent="0.3">
      <c r="A459">
        <v>2011</v>
      </c>
      <c r="B459">
        <v>8</v>
      </c>
      <c r="C459">
        <v>24</v>
      </c>
      <c r="D459">
        <v>0.4993426333479401</v>
      </c>
      <c r="E459">
        <v>1.5200000000000102E-2</v>
      </c>
      <c r="F459">
        <f t="shared" si="35"/>
        <v>7.5900080268887409E-3</v>
      </c>
      <c r="M459" s="31"/>
    </row>
    <row r="460" spans="1:13" x14ac:dyDescent="0.3">
      <c r="A460">
        <v>2011</v>
      </c>
      <c r="B460">
        <v>8</v>
      </c>
      <c r="C460">
        <v>16</v>
      </c>
      <c r="D460">
        <v>0.50216570254159387</v>
      </c>
      <c r="E460">
        <v>1.5200000000000102E-2</v>
      </c>
      <c r="F460">
        <f t="shared" si="35"/>
        <v>7.6329186786322787E-3</v>
      </c>
      <c r="M460" s="31"/>
    </row>
    <row r="461" spans="1:13" x14ac:dyDescent="0.3">
      <c r="A461">
        <v>2011</v>
      </c>
      <c r="B461">
        <v>8</v>
      </c>
      <c r="C461">
        <v>8</v>
      </c>
      <c r="D461">
        <v>0.51038516623407582</v>
      </c>
      <c r="E461">
        <v>1.5200000000000102E-2</v>
      </c>
      <c r="F461">
        <f t="shared" si="35"/>
        <v>7.7578545267580042E-3</v>
      </c>
      <c r="M461" s="31"/>
    </row>
    <row r="462" spans="1:13" x14ac:dyDescent="0.3">
      <c r="A462">
        <v>2011</v>
      </c>
      <c r="B462">
        <v>7</v>
      </c>
      <c r="C462">
        <v>31</v>
      </c>
      <c r="D462">
        <v>0.51926007230038262</v>
      </c>
      <c r="E462">
        <v>1.5200000000000102E-2</v>
      </c>
      <c r="F462">
        <f t="shared" si="35"/>
        <v>7.8927530989658691E-3</v>
      </c>
      <c r="M462" s="31"/>
    </row>
    <row r="463" spans="1:13" x14ac:dyDescent="0.3">
      <c r="A463">
        <v>2011</v>
      </c>
      <c r="B463">
        <v>7</v>
      </c>
      <c r="C463">
        <v>23</v>
      </c>
      <c r="D463">
        <v>0.53120420038904448</v>
      </c>
      <c r="E463">
        <v>1.5200000000000102E-2</v>
      </c>
      <c r="F463">
        <f t="shared" si="35"/>
        <v>8.0743038459135299E-3</v>
      </c>
      <c r="M463" s="31"/>
    </row>
    <row r="464" spans="1:13" x14ac:dyDescent="0.3">
      <c r="A464">
        <v>2011</v>
      </c>
      <c r="B464">
        <v>7</v>
      </c>
      <c r="C464">
        <v>15</v>
      </c>
      <c r="D464">
        <v>0.5434582481102479</v>
      </c>
      <c r="E464">
        <v>1.5200000000000102E-2</v>
      </c>
      <c r="F464">
        <f t="shared" si="35"/>
        <v>8.2605653712758235E-3</v>
      </c>
      <c r="M464" s="31"/>
    </row>
    <row r="465" spans="1:13" x14ac:dyDescent="0.3">
      <c r="A465">
        <v>2011</v>
      </c>
      <c r="B465">
        <v>7</v>
      </c>
      <c r="C465">
        <v>7</v>
      </c>
      <c r="D465">
        <v>0.55436094560076365</v>
      </c>
      <c r="E465">
        <v>1.5200000000000102E-2</v>
      </c>
      <c r="F465">
        <f t="shared" si="35"/>
        <v>8.4262863731316643E-3</v>
      </c>
      <c r="M465" s="31"/>
    </row>
    <row r="466" spans="1:13" x14ac:dyDescent="0.3">
      <c r="A466">
        <v>2011</v>
      </c>
      <c r="B466">
        <v>6</v>
      </c>
      <c r="C466">
        <v>30</v>
      </c>
      <c r="D466">
        <v>0.55619914546586124</v>
      </c>
      <c r="E466">
        <v>1.5200000000000102E-2</v>
      </c>
      <c r="F466">
        <f t="shared" si="35"/>
        <v>8.4542270110811481E-3</v>
      </c>
      <c r="M466" s="31"/>
    </row>
    <row r="467" spans="1:13" x14ac:dyDescent="0.3">
      <c r="A467">
        <v>2011</v>
      </c>
      <c r="B467">
        <v>6</v>
      </c>
      <c r="C467">
        <v>27</v>
      </c>
      <c r="D467">
        <v>0.55355971391874426</v>
      </c>
      <c r="E467">
        <v>1.5200000000000102E-2</v>
      </c>
      <c r="F467">
        <f t="shared" si="35"/>
        <v>8.4141076515649692E-3</v>
      </c>
      <c r="M467" s="31"/>
    </row>
    <row r="468" spans="1:13" x14ac:dyDescent="0.3">
      <c r="A468">
        <v>2011</v>
      </c>
      <c r="B468">
        <v>6</v>
      </c>
      <c r="C468">
        <v>25</v>
      </c>
      <c r="D468">
        <v>0.54595498680086463</v>
      </c>
      <c r="E468">
        <v>1.5200000000000102E-2</v>
      </c>
      <c r="F468">
        <f t="shared" si="35"/>
        <v>8.2985157993731989E-3</v>
      </c>
      <c r="M468" s="31"/>
    </row>
    <row r="469" spans="1:13" x14ac:dyDescent="0.3">
      <c r="A469">
        <v>2011</v>
      </c>
      <c r="B469">
        <v>6</v>
      </c>
      <c r="C469">
        <v>23</v>
      </c>
      <c r="D469">
        <v>0.53521464661909202</v>
      </c>
      <c r="E469">
        <v>1.5200000000000102E-2</v>
      </c>
      <c r="F469">
        <f t="shared" si="35"/>
        <v>8.1352626286102531E-3</v>
      </c>
      <c r="M469" s="31"/>
    </row>
    <row r="470" spans="1:13" x14ac:dyDescent="0.3">
      <c r="A470">
        <v>2011</v>
      </c>
      <c r="B470">
        <v>6</v>
      </c>
      <c r="C470">
        <v>21</v>
      </c>
      <c r="D470">
        <v>0.52529267491376264</v>
      </c>
      <c r="E470">
        <v>1.5200000000000102E-2</v>
      </c>
      <c r="F470">
        <f t="shared" si="35"/>
        <v>7.9844486586892454E-3</v>
      </c>
      <c r="M470" s="31"/>
    </row>
    <row r="471" spans="1:13" x14ac:dyDescent="0.3">
      <c r="A471">
        <v>2011</v>
      </c>
      <c r="B471">
        <v>6</v>
      </c>
      <c r="C471">
        <v>19</v>
      </c>
      <c r="D471">
        <v>0.51856203367818587</v>
      </c>
      <c r="E471">
        <v>1.5200000000000102E-2</v>
      </c>
      <c r="F471">
        <f t="shared" si="35"/>
        <v>7.8821429119084775E-3</v>
      </c>
      <c r="M471" s="31"/>
    </row>
    <row r="472" spans="1:13" x14ac:dyDescent="0.3">
      <c r="A472">
        <v>2011</v>
      </c>
      <c r="B472">
        <v>6</v>
      </c>
      <c r="C472">
        <v>17</v>
      </c>
      <c r="D472">
        <v>0.51511344535981651</v>
      </c>
      <c r="E472">
        <v>1.5200000000000102E-2</v>
      </c>
      <c r="F472">
        <f t="shared" si="35"/>
        <v>7.8297243694692639E-3</v>
      </c>
      <c r="M472" s="31"/>
    </row>
    <row r="473" spans="1:13" x14ac:dyDescent="0.3">
      <c r="A473">
        <v>2011</v>
      </c>
      <c r="B473">
        <v>6</v>
      </c>
      <c r="C473">
        <v>15</v>
      </c>
      <c r="D473">
        <v>0.5143008195646156</v>
      </c>
      <c r="E473">
        <v>1.5200000000000102E-2</v>
      </c>
      <c r="F473">
        <f t="shared" si="35"/>
        <v>7.8173724573822097E-3</v>
      </c>
      <c r="M473" s="31"/>
    </row>
    <row r="474" spans="1:13" x14ac:dyDescent="0.3">
      <c r="A474">
        <v>2011</v>
      </c>
      <c r="B474">
        <v>6</v>
      </c>
      <c r="C474">
        <v>12</v>
      </c>
      <c r="D474">
        <v>0.5142402927049986</v>
      </c>
      <c r="E474">
        <v>1.5200000000000102E-2</v>
      </c>
      <c r="F474">
        <f t="shared" si="35"/>
        <v>7.8164524491160306E-3</v>
      </c>
      <c r="M474" s="31"/>
    </row>
    <row r="475" spans="1:13" x14ac:dyDescent="0.3">
      <c r="A475">
        <v>2011</v>
      </c>
      <c r="B475">
        <v>6</v>
      </c>
      <c r="C475">
        <v>10</v>
      </c>
      <c r="D475">
        <v>0.51242967796440442</v>
      </c>
      <c r="E475">
        <v>1.5200000000000102E-2</v>
      </c>
      <c r="F475">
        <f t="shared" si="35"/>
        <v>7.7889311050589995E-3</v>
      </c>
      <c r="M475" s="31"/>
    </row>
    <row r="476" spans="1:13" x14ac:dyDescent="0.3">
      <c r="A476">
        <v>2011</v>
      </c>
      <c r="B476">
        <v>6</v>
      </c>
      <c r="C476">
        <v>8</v>
      </c>
      <c r="D476">
        <v>0.50812785075269362</v>
      </c>
      <c r="E476">
        <v>1.5200000000000102E-2</v>
      </c>
      <c r="F476">
        <f t="shared" si="35"/>
        <v>7.7235433314409947E-3</v>
      </c>
      <c r="M476" s="31"/>
    </row>
    <row r="477" spans="1:13" x14ac:dyDescent="0.3">
      <c r="A477">
        <v>2011</v>
      </c>
      <c r="B477">
        <v>6</v>
      </c>
      <c r="C477">
        <v>6</v>
      </c>
      <c r="D477">
        <v>0.49936854252103891</v>
      </c>
      <c r="E477">
        <v>1.5200000000000102E-2</v>
      </c>
      <c r="F477">
        <f t="shared" si="35"/>
        <v>7.5904018463198424E-3</v>
      </c>
      <c r="M477" s="31"/>
    </row>
    <row r="478" spans="1:13" x14ac:dyDescent="0.3">
      <c r="A478">
        <v>2011</v>
      </c>
      <c r="B478">
        <v>6</v>
      </c>
      <c r="C478">
        <v>4</v>
      </c>
      <c r="D478">
        <v>0.49040756215257053</v>
      </c>
      <c r="E478">
        <v>1.5200000000000102E-2</v>
      </c>
      <c r="F478">
        <f t="shared" si="35"/>
        <v>7.4541949447191223E-3</v>
      </c>
      <c r="M478" s="31"/>
    </row>
    <row r="479" spans="1:13" x14ac:dyDescent="0.3">
      <c r="A479">
        <v>2011</v>
      </c>
      <c r="B479">
        <v>6</v>
      </c>
      <c r="C479">
        <v>2</v>
      </c>
      <c r="D479">
        <v>0.48346077106538621</v>
      </c>
      <c r="E479">
        <v>1.5200000000000102E-2</v>
      </c>
      <c r="F479">
        <f t="shared" si="35"/>
        <v>7.3486037201939197E-3</v>
      </c>
      <c r="M479" s="31"/>
    </row>
    <row r="480" spans="1:13" x14ac:dyDescent="0.3">
      <c r="A480">
        <v>2011</v>
      </c>
      <c r="B480">
        <v>5</v>
      </c>
      <c r="C480">
        <v>31</v>
      </c>
      <c r="D480">
        <v>0.48022239879881351</v>
      </c>
      <c r="E480">
        <v>1.5200000000000102E-2</v>
      </c>
      <c r="F480">
        <f t="shared" si="35"/>
        <v>7.2993804617420147E-3</v>
      </c>
      <c r="M480" s="31"/>
    </row>
    <row r="481" spans="1:13" x14ac:dyDescent="0.3">
      <c r="A481">
        <v>2011</v>
      </c>
      <c r="B481">
        <v>5</v>
      </c>
      <c r="C481">
        <v>28</v>
      </c>
      <c r="D481">
        <v>0.48017842627021773</v>
      </c>
      <c r="E481">
        <v>1.5200000000000102E-2</v>
      </c>
      <c r="F481">
        <f t="shared" si="35"/>
        <v>7.298712079307359E-3</v>
      </c>
      <c r="M481" s="31"/>
    </row>
    <row r="482" spans="1:13" x14ac:dyDescent="0.3">
      <c r="A482">
        <v>2011</v>
      </c>
      <c r="B482">
        <v>5</v>
      </c>
      <c r="C482">
        <v>26</v>
      </c>
      <c r="D482">
        <v>0.48516679734786611</v>
      </c>
      <c r="E482">
        <v>1.5200000000000102E-2</v>
      </c>
      <c r="F482">
        <f t="shared" si="35"/>
        <v>7.3745353196876147E-3</v>
      </c>
      <c r="M482" s="31"/>
    </row>
    <row r="483" spans="1:13" x14ac:dyDescent="0.3">
      <c r="A483">
        <v>2011</v>
      </c>
      <c r="B483">
        <v>5</v>
      </c>
      <c r="C483">
        <v>24</v>
      </c>
      <c r="D483">
        <v>0.49114873629697037</v>
      </c>
      <c r="E483">
        <v>1.5200000000000102E-2</v>
      </c>
      <c r="F483">
        <f t="shared" si="35"/>
        <v>7.4654607917140001E-3</v>
      </c>
      <c r="M483" s="31"/>
    </row>
    <row r="484" spans="1:13" x14ac:dyDescent="0.3">
      <c r="A484">
        <v>2011</v>
      </c>
      <c r="B484">
        <v>5</v>
      </c>
      <c r="C484">
        <v>22</v>
      </c>
      <c r="D484">
        <v>0.49739048654737977</v>
      </c>
      <c r="E484">
        <v>1.5200000000000102E-2</v>
      </c>
      <c r="F484">
        <f t="shared" si="35"/>
        <v>7.5603353955202238E-3</v>
      </c>
      <c r="M484" s="31"/>
    </row>
    <row r="485" spans="1:13" x14ac:dyDescent="0.3">
      <c r="A485">
        <v>2011</v>
      </c>
      <c r="B485">
        <v>5</v>
      </c>
      <c r="C485">
        <v>20</v>
      </c>
      <c r="D485">
        <v>0.50327426288230304</v>
      </c>
      <c r="E485">
        <v>1.5200000000000102E-2</v>
      </c>
      <c r="F485">
        <f t="shared" si="35"/>
        <v>7.649768795811058E-3</v>
      </c>
      <c r="M485" s="31"/>
    </row>
    <row r="486" spans="1:13" x14ac:dyDescent="0.3">
      <c r="A486">
        <v>2011</v>
      </c>
      <c r="B486">
        <v>5</v>
      </c>
      <c r="C486">
        <v>18</v>
      </c>
      <c r="D486">
        <v>0.50892146069553834</v>
      </c>
      <c r="E486">
        <v>1.5200000000000102E-2</v>
      </c>
      <c r="F486">
        <f t="shared" si="35"/>
        <v>7.7356062025722349E-3</v>
      </c>
      <c r="M486" s="31"/>
    </row>
    <row r="487" spans="1:13" x14ac:dyDescent="0.3">
      <c r="A487">
        <v>2011</v>
      </c>
      <c r="B487">
        <v>5</v>
      </c>
      <c r="C487">
        <v>16</v>
      </c>
      <c r="D487">
        <v>0.51420575448835792</v>
      </c>
      <c r="E487">
        <v>1.5200000000000102E-2</v>
      </c>
      <c r="F487">
        <f t="shared" si="35"/>
        <v>7.8159274682230925E-3</v>
      </c>
      <c r="M487" s="31"/>
    </row>
    <row r="488" spans="1:13" x14ac:dyDescent="0.3">
      <c r="A488">
        <v>2011</v>
      </c>
      <c r="B488">
        <v>5</v>
      </c>
      <c r="C488">
        <v>13</v>
      </c>
      <c r="D488">
        <v>0.51738106260225192</v>
      </c>
      <c r="E488">
        <v>1.5200000000000102E-2</v>
      </c>
      <c r="F488">
        <f t="shared" si="35"/>
        <v>7.864192151554282E-3</v>
      </c>
      <c r="M488" s="31"/>
    </row>
    <row r="489" spans="1:13" x14ac:dyDescent="0.3">
      <c r="A489">
        <v>2011</v>
      </c>
      <c r="B489">
        <v>5</v>
      </c>
      <c r="C489">
        <v>11</v>
      </c>
      <c r="D489">
        <v>0.51943670571355605</v>
      </c>
      <c r="E489">
        <v>1.5200000000000102E-2</v>
      </c>
      <c r="F489">
        <f t="shared" si="35"/>
        <v>7.895437926846105E-3</v>
      </c>
      <c r="M489" s="31"/>
    </row>
    <row r="490" spans="1:13" x14ac:dyDescent="0.3">
      <c r="A490">
        <v>2011</v>
      </c>
      <c r="B490">
        <v>5</v>
      </c>
      <c r="C490">
        <v>9</v>
      </c>
      <c r="D490">
        <v>0.52074472864211996</v>
      </c>
      <c r="E490">
        <v>1.5200000000000102E-2</v>
      </c>
      <c r="F490">
        <f t="shared" si="35"/>
        <v>7.9153198753602761E-3</v>
      </c>
      <c r="M490" s="31"/>
    </row>
    <row r="491" spans="1:13" x14ac:dyDescent="0.3">
      <c r="A491">
        <v>2011</v>
      </c>
      <c r="B491">
        <v>5</v>
      </c>
      <c r="C491">
        <v>7</v>
      </c>
      <c r="D491">
        <v>0.52317407794276471</v>
      </c>
      <c r="E491">
        <v>1.5200000000000102E-2</v>
      </c>
      <c r="F491">
        <f t="shared" si="35"/>
        <v>7.9522459847300771E-3</v>
      </c>
      <c r="M491" s="31"/>
    </row>
    <row r="492" spans="1:13" x14ac:dyDescent="0.3">
      <c r="A492">
        <v>2011</v>
      </c>
      <c r="B492">
        <v>5</v>
      </c>
      <c r="C492">
        <v>5</v>
      </c>
      <c r="D492">
        <v>0.52585351614360165</v>
      </c>
      <c r="E492">
        <v>1.5200000000000102E-2</v>
      </c>
      <c r="F492">
        <f t="shared" si="35"/>
        <v>7.9929734453827988E-3</v>
      </c>
      <c r="M492" s="31"/>
    </row>
    <row r="493" spans="1:13" x14ac:dyDescent="0.3">
      <c r="A493">
        <v>2011</v>
      </c>
      <c r="B493">
        <v>5</v>
      </c>
      <c r="C493">
        <v>3</v>
      </c>
      <c r="D493">
        <v>0.53115802660255695</v>
      </c>
      <c r="E493">
        <v>1.5200000000000102E-2</v>
      </c>
      <c r="F493">
        <f t="shared" si="35"/>
        <v>8.0736020043589204E-3</v>
      </c>
      <c r="M493" s="31"/>
    </row>
    <row r="494" spans="1:13" x14ac:dyDescent="0.3">
      <c r="A494">
        <v>2011</v>
      </c>
      <c r="B494">
        <v>5</v>
      </c>
      <c r="C494">
        <v>1</v>
      </c>
      <c r="D494">
        <v>0.53521840337847437</v>
      </c>
      <c r="E494">
        <v>1.5200000000000102E-2</v>
      </c>
      <c r="F494">
        <f t="shared" si="35"/>
        <v>8.1353197313528657E-3</v>
      </c>
      <c r="M494" s="31"/>
    </row>
    <row r="495" spans="1:13" x14ac:dyDescent="0.3">
      <c r="A495">
        <v>2011</v>
      </c>
      <c r="B495">
        <v>4</v>
      </c>
      <c r="C495">
        <v>28</v>
      </c>
      <c r="D495">
        <v>0.53715236558648827</v>
      </c>
      <c r="E495">
        <v>1.5200000000000102E-2</v>
      </c>
      <c r="F495">
        <f t="shared" si="35"/>
        <v>8.1647159569146772E-3</v>
      </c>
      <c r="M495" s="31"/>
    </row>
    <row r="496" spans="1:13" x14ac:dyDescent="0.3">
      <c r="A496">
        <v>2011</v>
      </c>
      <c r="B496">
        <v>4</v>
      </c>
      <c r="C496">
        <v>26</v>
      </c>
      <c r="D496">
        <v>0.53508007912007249</v>
      </c>
      <c r="E496">
        <v>1.5200000000000102E-2</v>
      </c>
      <c r="F496">
        <f t="shared" si="35"/>
        <v>8.1332172026251561E-3</v>
      </c>
      <c r="M496" s="31"/>
    </row>
    <row r="497" spans="1:13" x14ac:dyDescent="0.3">
      <c r="A497">
        <v>2011</v>
      </c>
      <c r="B497">
        <v>4</v>
      </c>
      <c r="C497">
        <v>24</v>
      </c>
      <c r="D497">
        <v>0.52926733432704642</v>
      </c>
      <c r="E497">
        <v>1.5200000000000102E-2</v>
      </c>
      <c r="F497">
        <f t="shared" si="35"/>
        <v>8.0448634817711605E-3</v>
      </c>
      <c r="M497" s="31"/>
    </row>
    <row r="498" spans="1:13" x14ac:dyDescent="0.3">
      <c r="A498">
        <v>2011</v>
      </c>
      <c r="B498">
        <v>4</v>
      </c>
      <c r="C498">
        <v>22</v>
      </c>
      <c r="D498">
        <v>0.51987359295577462</v>
      </c>
      <c r="E498">
        <v>1.5200000000000102E-2</v>
      </c>
      <c r="F498">
        <f t="shared" si="35"/>
        <v>7.9020786129278282E-3</v>
      </c>
      <c r="M498" s="31"/>
    </row>
    <row r="499" spans="1:13" x14ac:dyDescent="0.3">
      <c r="A499">
        <v>2011</v>
      </c>
      <c r="B499">
        <v>4</v>
      </c>
      <c r="C499">
        <v>20</v>
      </c>
      <c r="D499">
        <v>0.51065333840634575</v>
      </c>
      <c r="E499">
        <v>1.5200000000000102E-2</v>
      </c>
      <c r="F499">
        <f t="shared" si="35"/>
        <v>7.7619307437765076E-3</v>
      </c>
      <c r="M499" s="31"/>
    </row>
    <row r="500" spans="1:13" x14ac:dyDescent="0.3">
      <c r="A500">
        <v>2011</v>
      </c>
      <c r="B500">
        <v>4</v>
      </c>
      <c r="C500">
        <v>18</v>
      </c>
      <c r="D500">
        <v>0.50221927199401017</v>
      </c>
      <c r="E500">
        <v>1.5200000000000102E-2</v>
      </c>
      <c r="F500">
        <f t="shared" si="35"/>
        <v>7.6337329343090059E-3</v>
      </c>
      <c r="M500" s="31"/>
    </row>
    <row r="501" spans="1:13" x14ac:dyDescent="0.3">
      <c r="A501">
        <v>2011</v>
      </c>
      <c r="B501">
        <v>4</v>
      </c>
      <c r="C501">
        <v>16</v>
      </c>
      <c r="D501">
        <v>0.49456185163842509</v>
      </c>
      <c r="E501">
        <v>1.5200000000000102E-2</v>
      </c>
      <c r="F501">
        <f t="shared" si="35"/>
        <v>7.5173401449041121E-3</v>
      </c>
      <c r="M501" s="31"/>
    </row>
    <row r="502" spans="1:13" x14ac:dyDescent="0.3">
      <c r="A502">
        <v>2011</v>
      </c>
      <c r="B502">
        <v>4</v>
      </c>
      <c r="C502">
        <v>13</v>
      </c>
      <c r="D502">
        <v>0.49089497440226509</v>
      </c>
      <c r="E502">
        <v>1.5200000000000102E-2</v>
      </c>
      <c r="F502">
        <f t="shared" si="35"/>
        <v>7.4616036109144794E-3</v>
      </c>
      <c r="M502" s="31"/>
    </row>
    <row r="503" spans="1:13" x14ac:dyDescent="0.3">
      <c r="A503">
        <v>2011</v>
      </c>
      <c r="B503">
        <v>4</v>
      </c>
      <c r="C503">
        <v>11</v>
      </c>
      <c r="D503">
        <v>0.48881954602803895</v>
      </c>
      <c r="E503">
        <v>1.5200000000000102E-2</v>
      </c>
      <c r="F503">
        <f t="shared" si="35"/>
        <v>7.4300570996262425E-3</v>
      </c>
      <c r="M503" s="31"/>
    </row>
    <row r="504" spans="1:13" x14ac:dyDescent="0.3">
      <c r="A504">
        <v>2011</v>
      </c>
      <c r="B504">
        <v>4</v>
      </c>
      <c r="C504">
        <v>9</v>
      </c>
      <c r="D504">
        <v>0.48625629250054175</v>
      </c>
      <c r="E504">
        <v>1.5200000000000102E-2</v>
      </c>
      <c r="F504">
        <f t="shared" si="35"/>
        <v>7.3910956460082845E-3</v>
      </c>
      <c r="M504" s="31"/>
    </row>
    <row r="505" spans="1:13" x14ac:dyDescent="0.3">
      <c r="A505">
        <v>2011</v>
      </c>
      <c r="B505">
        <v>4</v>
      </c>
      <c r="C505">
        <v>7</v>
      </c>
      <c r="D505">
        <v>0.48186624615020751</v>
      </c>
      <c r="E505">
        <v>1.5200000000000102E-2</v>
      </c>
      <c r="F505">
        <f t="shared" si="35"/>
        <v>7.3243669414832036E-3</v>
      </c>
      <c r="M505" s="31"/>
    </row>
    <row r="506" spans="1:13" x14ac:dyDescent="0.3">
      <c r="A506">
        <v>2011</v>
      </c>
      <c r="B506">
        <v>4</v>
      </c>
      <c r="C506">
        <v>5</v>
      </c>
      <c r="D506">
        <v>0.47687448612911343</v>
      </c>
      <c r="E506">
        <v>1.5200000000000102E-2</v>
      </c>
      <c r="F506">
        <f t="shared" si="35"/>
        <v>7.2484921891625732E-3</v>
      </c>
      <c r="M506" s="31"/>
    </row>
    <row r="507" spans="1:13" x14ac:dyDescent="0.3">
      <c r="A507">
        <v>2011</v>
      </c>
      <c r="B507">
        <v>4</v>
      </c>
      <c r="C507">
        <v>3</v>
      </c>
      <c r="D507">
        <v>0.46995193913579419</v>
      </c>
      <c r="E507">
        <v>1.5200000000000102E-2</v>
      </c>
      <c r="F507">
        <f t="shared" si="35"/>
        <v>7.1432694748641201E-3</v>
      </c>
      <c r="M507" s="31"/>
    </row>
    <row r="508" spans="1:13" x14ac:dyDescent="0.3">
      <c r="A508">
        <v>2011</v>
      </c>
      <c r="B508">
        <v>4</v>
      </c>
      <c r="C508">
        <v>1</v>
      </c>
      <c r="D508">
        <v>0.46292850971714961</v>
      </c>
      <c r="E508">
        <v>1.5200000000000102E-2</v>
      </c>
      <c r="F508">
        <f t="shared" si="35"/>
        <v>7.036513347700721E-3</v>
      </c>
      <c r="M508" s="31"/>
    </row>
    <row r="509" spans="1:13" x14ac:dyDescent="0.3">
      <c r="A509">
        <v>2011</v>
      </c>
      <c r="B509">
        <v>3</v>
      </c>
      <c r="C509">
        <v>29</v>
      </c>
      <c r="D509">
        <v>0.45388051011955827</v>
      </c>
      <c r="E509">
        <v>1.5200000000000102E-2</v>
      </c>
      <c r="F509">
        <f t="shared" si="35"/>
        <v>6.8989837538173324E-3</v>
      </c>
      <c r="M509" s="31"/>
    </row>
    <row r="510" spans="1:13" x14ac:dyDescent="0.3">
      <c r="A510">
        <v>2011</v>
      </c>
      <c r="B510">
        <v>3</v>
      </c>
      <c r="C510">
        <v>27</v>
      </c>
      <c r="D510">
        <v>0.4476249735146946</v>
      </c>
      <c r="E510">
        <v>1.5200000000000102E-2</v>
      </c>
      <c r="F510">
        <f t="shared" si="35"/>
        <v>6.8038995974234037E-3</v>
      </c>
      <c r="M510" s="31"/>
    </row>
    <row r="511" spans="1:13" x14ac:dyDescent="0.3">
      <c r="A511">
        <v>2011</v>
      </c>
      <c r="B511">
        <v>3</v>
      </c>
      <c r="C511">
        <v>25</v>
      </c>
      <c r="D511">
        <v>0.44341901664743566</v>
      </c>
      <c r="E511">
        <v>1.5200000000000102E-2</v>
      </c>
      <c r="F511">
        <f t="shared" si="35"/>
        <v>6.7399690530410674E-3</v>
      </c>
      <c r="M511" s="31"/>
    </row>
    <row r="512" spans="1:13" x14ac:dyDescent="0.3">
      <c r="A512">
        <v>2011</v>
      </c>
      <c r="B512">
        <v>3</v>
      </c>
      <c r="C512">
        <v>23</v>
      </c>
      <c r="D512">
        <v>0.4399360299315051</v>
      </c>
      <c r="E512">
        <v>1.5200000000000102E-2</v>
      </c>
      <c r="F512">
        <f t="shared" si="35"/>
        <v>6.6870276549589229E-3</v>
      </c>
      <c r="M512" s="31"/>
    </row>
    <row r="513" spans="1:13" x14ac:dyDescent="0.3">
      <c r="A513">
        <v>2011</v>
      </c>
      <c r="B513">
        <v>3</v>
      </c>
      <c r="C513">
        <v>21</v>
      </c>
      <c r="D513">
        <v>0.43657625183921694</v>
      </c>
      <c r="E513">
        <v>1.5200000000000102E-2</v>
      </c>
      <c r="F513">
        <f t="shared" si="35"/>
        <v>6.635959027956142E-3</v>
      </c>
      <c r="M513" s="31"/>
    </row>
    <row r="514" spans="1:13" x14ac:dyDescent="0.3">
      <c r="A514">
        <v>2011</v>
      </c>
      <c r="B514">
        <v>3</v>
      </c>
      <c r="C514">
        <v>19</v>
      </c>
      <c r="D514">
        <v>0.43608130014416618</v>
      </c>
      <c r="E514">
        <v>1.5200000000000102E-2</v>
      </c>
      <c r="F514">
        <f t="shared" si="35"/>
        <v>6.628435762191371E-3</v>
      </c>
      <c r="M514" s="31"/>
    </row>
    <row r="515" spans="1:13" x14ac:dyDescent="0.3">
      <c r="A515">
        <v>2011</v>
      </c>
      <c r="B515">
        <v>3</v>
      </c>
      <c r="C515">
        <v>17</v>
      </c>
      <c r="D515">
        <v>0.4348700621134019</v>
      </c>
      <c r="E515">
        <v>1.5200000000000102E-2</v>
      </c>
      <c r="F515">
        <f t="shared" ref="F515:F578" si="36">D515*E515</f>
        <v>6.6100249441237531E-3</v>
      </c>
      <c r="M515" s="31"/>
    </row>
    <row r="516" spans="1:13" x14ac:dyDescent="0.3">
      <c r="A516">
        <v>2011</v>
      </c>
      <c r="B516">
        <v>3</v>
      </c>
      <c r="C516">
        <v>14</v>
      </c>
      <c r="D516">
        <v>0.43318208911181805</v>
      </c>
      <c r="E516">
        <v>1.5200000000000102E-2</v>
      </c>
      <c r="F516">
        <f t="shared" si="36"/>
        <v>6.5843677544996787E-3</v>
      </c>
      <c r="M516" s="31"/>
    </row>
    <row r="517" spans="1:13" x14ac:dyDescent="0.3">
      <c r="A517">
        <v>2011</v>
      </c>
      <c r="B517">
        <v>3</v>
      </c>
      <c r="C517">
        <v>12</v>
      </c>
      <c r="D517">
        <v>0.42816241737986094</v>
      </c>
      <c r="E517">
        <v>1.5200000000000102E-2</v>
      </c>
      <c r="F517">
        <f t="shared" si="36"/>
        <v>6.5080687441739305E-3</v>
      </c>
      <c r="M517" s="31"/>
    </row>
    <row r="518" spans="1:13" x14ac:dyDescent="0.3">
      <c r="A518">
        <v>2011</v>
      </c>
      <c r="B518">
        <v>3</v>
      </c>
      <c r="C518">
        <v>10</v>
      </c>
      <c r="D518">
        <v>0.42208648821393435</v>
      </c>
      <c r="E518">
        <v>1.5200000000000102E-2</v>
      </c>
      <c r="F518">
        <f t="shared" si="36"/>
        <v>6.4157146208518451E-3</v>
      </c>
      <c r="M518" s="31"/>
    </row>
    <row r="519" spans="1:13" x14ac:dyDescent="0.3">
      <c r="A519">
        <v>2011</v>
      </c>
      <c r="B519">
        <v>3</v>
      </c>
      <c r="C519">
        <v>8</v>
      </c>
      <c r="D519">
        <v>0.41472784040826427</v>
      </c>
      <c r="E519">
        <v>1.5200000000000102E-2</v>
      </c>
      <c r="F519">
        <f t="shared" si="36"/>
        <v>6.3038631742056593E-3</v>
      </c>
      <c r="M519" s="31"/>
    </row>
    <row r="520" spans="1:13" x14ac:dyDescent="0.3">
      <c r="A520">
        <v>2011</v>
      </c>
      <c r="B520">
        <v>3</v>
      </c>
      <c r="C520">
        <v>6</v>
      </c>
      <c r="D520">
        <v>0.40633772756400738</v>
      </c>
      <c r="E520">
        <v>1.5200000000000102E-2</v>
      </c>
      <c r="F520">
        <f t="shared" si="36"/>
        <v>6.1763334589729534E-3</v>
      </c>
      <c r="M520" s="31"/>
    </row>
    <row r="521" spans="1:13" x14ac:dyDescent="0.3">
      <c r="A521">
        <v>2011</v>
      </c>
      <c r="B521">
        <v>3</v>
      </c>
      <c r="C521">
        <v>4</v>
      </c>
      <c r="D521">
        <v>0.39774969470548627</v>
      </c>
      <c r="E521">
        <v>1.5200000000000102E-2</v>
      </c>
      <c r="F521">
        <f t="shared" si="36"/>
        <v>6.0457953595234324E-3</v>
      </c>
      <c r="M521" s="31"/>
    </row>
    <row r="522" spans="1:13" x14ac:dyDescent="0.3">
      <c r="A522">
        <v>2011</v>
      </c>
      <c r="B522">
        <v>3</v>
      </c>
      <c r="C522">
        <v>2</v>
      </c>
      <c r="D522">
        <v>0.39397842560295343</v>
      </c>
      <c r="E522">
        <v>1.5200000000000102E-2</v>
      </c>
      <c r="F522">
        <f t="shared" si="36"/>
        <v>5.9884720691649324E-3</v>
      </c>
      <c r="M522" s="31"/>
    </row>
    <row r="523" spans="1:13" x14ac:dyDescent="0.3">
      <c r="A523">
        <v>2011</v>
      </c>
      <c r="B523">
        <v>2</v>
      </c>
      <c r="C523">
        <v>28</v>
      </c>
      <c r="D523">
        <v>0.39312776515766579</v>
      </c>
      <c r="E523">
        <v>1.5200000000000102E-2</v>
      </c>
      <c r="F523">
        <f t="shared" si="36"/>
        <v>5.9755420303965606E-3</v>
      </c>
      <c r="M523" s="31"/>
    </row>
    <row r="524" spans="1:13" x14ac:dyDescent="0.3">
      <c r="A524">
        <v>2011</v>
      </c>
      <c r="B524">
        <v>2</v>
      </c>
      <c r="C524">
        <v>22</v>
      </c>
      <c r="D524">
        <v>0.39589834373538751</v>
      </c>
      <c r="E524">
        <v>1.5200000000000102E-2</v>
      </c>
      <c r="F524">
        <f t="shared" si="36"/>
        <v>6.0176548247779307E-3</v>
      </c>
      <c r="M524" s="31"/>
    </row>
    <row r="525" spans="1:13" x14ac:dyDescent="0.3">
      <c r="A525">
        <v>2011</v>
      </c>
      <c r="B525">
        <v>2</v>
      </c>
      <c r="C525">
        <v>16</v>
      </c>
      <c r="D525">
        <v>0.40454583390062826</v>
      </c>
      <c r="E525">
        <v>1.5200000000000102E-2</v>
      </c>
      <c r="F525">
        <f t="shared" si="36"/>
        <v>6.1490966752895913E-3</v>
      </c>
      <c r="M525" s="31"/>
    </row>
    <row r="526" spans="1:13" x14ac:dyDescent="0.3">
      <c r="A526">
        <v>2011</v>
      </c>
      <c r="B526">
        <v>2</v>
      </c>
      <c r="C526">
        <v>10</v>
      </c>
      <c r="D526">
        <v>0.41490168342186545</v>
      </c>
      <c r="E526">
        <v>1.5200000000000102E-2</v>
      </c>
      <c r="F526">
        <f t="shared" si="36"/>
        <v>6.306505588012397E-3</v>
      </c>
      <c r="M526" s="31"/>
    </row>
    <row r="527" spans="1:13" x14ac:dyDescent="0.3">
      <c r="A527">
        <v>2011</v>
      </c>
      <c r="B527">
        <v>2</v>
      </c>
      <c r="C527">
        <v>4</v>
      </c>
      <c r="D527">
        <v>0.42616415284107578</v>
      </c>
      <c r="E527">
        <v>1.5200000000000102E-2</v>
      </c>
      <c r="F527">
        <f t="shared" si="36"/>
        <v>6.4776951231843953E-3</v>
      </c>
      <c r="M527" s="31"/>
    </row>
    <row r="528" spans="1:13" x14ac:dyDescent="0.3">
      <c r="A528">
        <v>2011</v>
      </c>
      <c r="B528">
        <v>1</v>
      </c>
      <c r="C528">
        <v>30</v>
      </c>
      <c r="D528">
        <v>0.43906956645607503</v>
      </c>
      <c r="E528">
        <v>1.5200000000000102E-2</v>
      </c>
      <c r="F528">
        <f t="shared" si="36"/>
        <v>6.6738574101323856E-3</v>
      </c>
      <c r="M528" s="31"/>
    </row>
    <row r="529" spans="1:13" x14ac:dyDescent="0.3">
      <c r="A529">
        <v>2011</v>
      </c>
      <c r="B529">
        <v>1</v>
      </c>
      <c r="C529">
        <v>24</v>
      </c>
      <c r="D529">
        <v>0.45498607944417824</v>
      </c>
      <c r="E529">
        <v>1.5200000000000102E-2</v>
      </c>
      <c r="F529">
        <f t="shared" si="36"/>
        <v>6.9157884075515558E-3</v>
      </c>
      <c r="M529" s="31"/>
    </row>
    <row r="530" spans="1:13" x14ac:dyDescent="0.3">
      <c r="A530">
        <v>2011</v>
      </c>
      <c r="B530">
        <v>1</v>
      </c>
      <c r="C530">
        <v>18</v>
      </c>
      <c r="D530">
        <v>0.47105273494067224</v>
      </c>
      <c r="E530">
        <v>1.5200000000000102E-2</v>
      </c>
      <c r="F530">
        <f t="shared" si="36"/>
        <v>7.1600015710982659E-3</v>
      </c>
      <c r="M530" s="31"/>
    </row>
    <row r="531" spans="1:13" x14ac:dyDescent="0.3">
      <c r="A531">
        <v>2011</v>
      </c>
      <c r="B531">
        <v>1</v>
      </c>
      <c r="C531">
        <v>12</v>
      </c>
      <c r="D531">
        <v>0.48998383972647247</v>
      </c>
      <c r="E531">
        <v>1.5200000000000102E-2</v>
      </c>
      <c r="F531">
        <f t="shared" si="36"/>
        <v>7.4477543638424319E-3</v>
      </c>
      <c r="M531" s="31"/>
    </row>
    <row r="532" spans="1:13" x14ac:dyDescent="0.3">
      <c r="A532">
        <v>2011</v>
      </c>
      <c r="B532">
        <v>1</v>
      </c>
      <c r="C532">
        <v>6</v>
      </c>
      <c r="D532">
        <v>0.50948488085744337</v>
      </c>
      <c r="E532">
        <v>1.5200000000000102E-2</v>
      </c>
      <c r="F532">
        <f t="shared" si="36"/>
        <v>7.7441701890331909E-3</v>
      </c>
      <c r="M532" s="31"/>
    </row>
    <row r="533" spans="1:13" x14ac:dyDescent="0.3">
      <c r="A533">
        <v>2011</v>
      </c>
      <c r="B533">
        <v>1</v>
      </c>
      <c r="C533">
        <v>1</v>
      </c>
      <c r="D533">
        <v>0.53221248398612009</v>
      </c>
      <c r="E533">
        <v>1.5200000000000102E-2</v>
      </c>
      <c r="F533">
        <f t="shared" si="36"/>
        <v>8.0896297565890805E-3</v>
      </c>
      <c r="M533" s="31"/>
    </row>
    <row r="534" spans="1:13" x14ac:dyDescent="0.3">
      <c r="A534">
        <v>2010</v>
      </c>
      <c r="B534">
        <v>12</v>
      </c>
      <c r="C534">
        <v>26</v>
      </c>
      <c r="D534">
        <v>0.55073844161230545</v>
      </c>
      <c r="E534">
        <v>1.5200000000000102E-2</v>
      </c>
      <c r="F534">
        <f t="shared" si="36"/>
        <v>8.3712243125070984E-3</v>
      </c>
      <c r="M534" s="31"/>
    </row>
    <row r="535" spans="1:13" x14ac:dyDescent="0.3">
      <c r="A535">
        <v>2010</v>
      </c>
      <c r="B535">
        <v>12</v>
      </c>
      <c r="C535">
        <v>20</v>
      </c>
      <c r="D535">
        <v>0.56481580679218601</v>
      </c>
      <c r="E535">
        <v>1.5200000000000102E-2</v>
      </c>
      <c r="F535">
        <f t="shared" si="36"/>
        <v>8.5852002632412858E-3</v>
      </c>
      <c r="M535" s="31"/>
    </row>
    <row r="536" spans="1:13" x14ac:dyDescent="0.3">
      <c r="A536">
        <v>2010</v>
      </c>
      <c r="B536">
        <v>12</v>
      </c>
      <c r="C536">
        <v>14</v>
      </c>
      <c r="D536">
        <v>0.57396669697219038</v>
      </c>
      <c r="E536">
        <v>1.5200000000000102E-2</v>
      </c>
      <c r="F536">
        <f t="shared" si="36"/>
        <v>8.7242937939773519E-3</v>
      </c>
      <c r="M536" s="31"/>
    </row>
    <row r="537" spans="1:13" x14ac:dyDescent="0.3">
      <c r="A537">
        <v>2010</v>
      </c>
      <c r="B537">
        <v>12</v>
      </c>
      <c r="C537">
        <v>9</v>
      </c>
      <c r="D537">
        <v>0.57902892819066631</v>
      </c>
      <c r="E537">
        <v>1.5200000000000102E-2</v>
      </c>
      <c r="F537">
        <f t="shared" si="36"/>
        <v>8.8012397084981878E-3</v>
      </c>
      <c r="M537" s="31"/>
    </row>
    <row r="538" spans="1:13" x14ac:dyDescent="0.3">
      <c r="A538">
        <v>2010</v>
      </c>
      <c r="B538">
        <v>12</v>
      </c>
      <c r="C538">
        <v>3</v>
      </c>
      <c r="D538">
        <v>0.57726088232375883</v>
      </c>
      <c r="E538">
        <v>1.5200000000000102E-2</v>
      </c>
      <c r="F538">
        <f t="shared" si="36"/>
        <v>8.7743654113211934E-3</v>
      </c>
      <c r="M538" s="31"/>
    </row>
    <row r="539" spans="1:13" x14ac:dyDescent="0.3">
      <c r="A539">
        <v>2010</v>
      </c>
      <c r="B539">
        <v>11</v>
      </c>
      <c r="C539">
        <v>27</v>
      </c>
      <c r="D539">
        <v>0.57678263926759232</v>
      </c>
      <c r="E539">
        <v>1.5200000000000102E-2</v>
      </c>
      <c r="F539">
        <f t="shared" si="36"/>
        <v>8.7670961168674622E-3</v>
      </c>
      <c r="M539" s="31"/>
    </row>
    <row r="540" spans="1:13" x14ac:dyDescent="0.3">
      <c r="A540">
        <v>2010</v>
      </c>
      <c r="B540">
        <v>11</v>
      </c>
      <c r="C540">
        <v>21</v>
      </c>
      <c r="D540">
        <v>0.57811080236333612</v>
      </c>
      <c r="E540">
        <v>1.5200000000000102E-2</v>
      </c>
      <c r="F540">
        <f t="shared" si="36"/>
        <v>8.7872841959227687E-3</v>
      </c>
      <c r="M540" s="31"/>
    </row>
    <row r="541" spans="1:13" x14ac:dyDescent="0.3">
      <c r="A541">
        <v>2010</v>
      </c>
      <c r="B541">
        <v>11</v>
      </c>
      <c r="C541">
        <v>15</v>
      </c>
      <c r="D541">
        <v>0.58539318582456823</v>
      </c>
      <c r="E541">
        <v>1.5200000000000102E-2</v>
      </c>
      <c r="F541">
        <f t="shared" si="36"/>
        <v>8.897976424533497E-3</v>
      </c>
      <c r="M541" s="31"/>
    </row>
    <row r="542" spans="1:13" x14ac:dyDescent="0.3">
      <c r="A542">
        <v>2010</v>
      </c>
      <c r="B542">
        <v>11</v>
      </c>
      <c r="C542">
        <v>10</v>
      </c>
      <c r="D542">
        <v>0.59478419172173969</v>
      </c>
      <c r="E542">
        <v>1.5200000000000102E-2</v>
      </c>
      <c r="F542">
        <f t="shared" si="36"/>
        <v>9.0407197141705049E-3</v>
      </c>
      <c r="M542" s="31"/>
    </row>
    <row r="543" spans="1:13" x14ac:dyDescent="0.3">
      <c r="A543">
        <v>2010</v>
      </c>
      <c r="B543">
        <v>11</v>
      </c>
      <c r="C543">
        <v>4</v>
      </c>
      <c r="D543">
        <v>0.60631066441883175</v>
      </c>
      <c r="E543">
        <v>1.5200000000000102E-2</v>
      </c>
      <c r="F543">
        <f t="shared" si="36"/>
        <v>9.215922099166305E-3</v>
      </c>
      <c r="M543" s="31"/>
    </row>
    <row r="544" spans="1:13" x14ac:dyDescent="0.3">
      <c r="A544">
        <v>2010</v>
      </c>
      <c r="B544">
        <v>10</v>
      </c>
      <c r="C544">
        <v>29</v>
      </c>
      <c r="D544">
        <v>0.61934611345276047</v>
      </c>
      <c r="E544">
        <v>1.5200000000000102E-2</v>
      </c>
      <c r="F544">
        <f t="shared" si="36"/>
        <v>9.4140609244820223E-3</v>
      </c>
      <c r="M544" s="31"/>
    </row>
    <row r="545" spans="1:13" x14ac:dyDescent="0.3">
      <c r="A545">
        <v>2010</v>
      </c>
      <c r="B545">
        <v>10</v>
      </c>
      <c r="C545">
        <v>23</v>
      </c>
      <c r="D545">
        <v>0.6328562117554184</v>
      </c>
      <c r="E545">
        <v>1.5200000000000102E-2</v>
      </c>
      <c r="F545">
        <f t="shared" si="36"/>
        <v>9.6194144186824235E-3</v>
      </c>
      <c r="M545" s="31"/>
    </row>
    <row r="546" spans="1:13" x14ac:dyDescent="0.3">
      <c r="A546">
        <v>2010</v>
      </c>
      <c r="B546">
        <v>10</v>
      </c>
      <c r="C546">
        <v>17</v>
      </c>
      <c r="D546">
        <v>0.64365636266218496</v>
      </c>
      <c r="E546">
        <v>1.5200000000000102E-2</v>
      </c>
      <c r="F546">
        <f t="shared" si="36"/>
        <v>9.7835767124652764E-3</v>
      </c>
      <c r="M546" s="31"/>
    </row>
    <row r="547" spans="1:13" x14ac:dyDescent="0.3">
      <c r="A547">
        <v>2010</v>
      </c>
      <c r="B547">
        <v>10</v>
      </c>
      <c r="C547">
        <v>12</v>
      </c>
      <c r="D547">
        <v>0.65517696406354475</v>
      </c>
      <c r="E547">
        <v>1.5200000000000102E-2</v>
      </c>
      <c r="F547">
        <f t="shared" si="36"/>
        <v>9.9586898537659466E-3</v>
      </c>
      <c r="M547" s="31"/>
    </row>
    <row r="548" spans="1:13" x14ac:dyDescent="0.3">
      <c r="A548">
        <v>2010</v>
      </c>
      <c r="B548">
        <v>10</v>
      </c>
      <c r="C548">
        <v>6</v>
      </c>
      <c r="D548">
        <v>0.66528183363218696</v>
      </c>
      <c r="E548">
        <v>1.5200000000000102E-2</v>
      </c>
      <c r="F548">
        <f t="shared" si="36"/>
        <v>1.0112283871209309E-2</v>
      </c>
      <c r="M548" s="31"/>
    </row>
    <row r="549" spans="1:13" x14ac:dyDescent="0.3">
      <c r="A549">
        <v>2010</v>
      </c>
      <c r="B549">
        <v>9</v>
      </c>
      <c r="C549">
        <v>30</v>
      </c>
      <c r="D549">
        <v>0.66750265434203448</v>
      </c>
      <c r="E549">
        <v>1.5200000000000102E-2</v>
      </c>
      <c r="F549">
        <f t="shared" si="36"/>
        <v>1.0146040345998992E-2</v>
      </c>
      <c r="M549" s="31"/>
    </row>
    <row r="550" spans="1:13" x14ac:dyDescent="0.3">
      <c r="A550">
        <v>2010</v>
      </c>
      <c r="B550">
        <v>9</v>
      </c>
      <c r="C550">
        <v>24</v>
      </c>
      <c r="D550">
        <v>0.66569905530614326</v>
      </c>
      <c r="E550">
        <v>1.5200000000000102E-2</v>
      </c>
      <c r="F550">
        <f t="shared" si="36"/>
        <v>1.0118625640653446E-2</v>
      </c>
      <c r="M550" s="31"/>
    </row>
    <row r="551" spans="1:13" x14ac:dyDescent="0.3">
      <c r="A551">
        <v>2010</v>
      </c>
      <c r="B551">
        <v>9</v>
      </c>
      <c r="C551">
        <v>19</v>
      </c>
      <c r="D551">
        <v>0.65947219646273425</v>
      </c>
      <c r="E551">
        <v>1.5200000000000102E-2</v>
      </c>
      <c r="F551">
        <f t="shared" si="36"/>
        <v>1.0023977386233628E-2</v>
      </c>
      <c r="M551" s="31"/>
    </row>
    <row r="552" spans="1:13" x14ac:dyDescent="0.3">
      <c r="A552">
        <v>2010</v>
      </c>
      <c r="B552">
        <v>9</v>
      </c>
      <c r="C552">
        <v>13</v>
      </c>
      <c r="D552">
        <v>0.65111721988608229</v>
      </c>
      <c r="E552">
        <v>1.5200000000000102E-2</v>
      </c>
      <c r="F552">
        <f t="shared" si="36"/>
        <v>9.8969817422685166E-3</v>
      </c>
      <c r="M552" s="31"/>
    </row>
    <row r="553" spans="1:13" x14ac:dyDescent="0.3">
      <c r="A553">
        <v>2010</v>
      </c>
      <c r="B553">
        <v>9</v>
      </c>
      <c r="C553">
        <v>7</v>
      </c>
      <c r="D553">
        <v>0.64184967556011308</v>
      </c>
      <c r="E553">
        <v>1.5200000000000102E-2</v>
      </c>
      <c r="F553">
        <f t="shared" si="36"/>
        <v>9.7561150685137842E-3</v>
      </c>
      <c r="M553" s="31"/>
    </row>
    <row r="554" spans="1:13" x14ac:dyDescent="0.3">
      <c r="A554">
        <v>2010</v>
      </c>
      <c r="B554">
        <v>9</v>
      </c>
      <c r="C554">
        <v>1</v>
      </c>
      <c r="D554">
        <v>0.6356621669545508</v>
      </c>
      <c r="E554">
        <v>1.5200000000000102E-2</v>
      </c>
      <c r="F554">
        <f t="shared" si="36"/>
        <v>9.6620649377092364E-3</v>
      </c>
      <c r="M554" s="31"/>
    </row>
    <row r="555" spans="1:13" x14ac:dyDescent="0.3">
      <c r="A555">
        <v>2010</v>
      </c>
      <c r="B555">
        <v>8</v>
      </c>
      <c r="C555">
        <v>26</v>
      </c>
      <c r="D555">
        <v>0.62921916865220229</v>
      </c>
      <c r="E555">
        <v>1.5200000000000102E-2</v>
      </c>
      <c r="F555">
        <f t="shared" si="36"/>
        <v>9.5641313635135387E-3</v>
      </c>
      <c r="M555" s="31"/>
    </row>
    <row r="556" spans="1:13" x14ac:dyDescent="0.3">
      <c r="A556">
        <v>2010</v>
      </c>
      <c r="B556">
        <v>8</v>
      </c>
      <c r="C556">
        <v>21</v>
      </c>
      <c r="D556">
        <v>0.62371390039285102</v>
      </c>
      <c r="E556">
        <v>1.5200000000000102E-2</v>
      </c>
      <c r="F556">
        <f t="shared" si="36"/>
        <v>9.4804512859713985E-3</v>
      </c>
      <c r="M556" s="31"/>
    </row>
    <row r="557" spans="1:13" x14ac:dyDescent="0.3">
      <c r="A557">
        <v>2010</v>
      </c>
      <c r="B557">
        <v>8</v>
      </c>
      <c r="C557">
        <v>15</v>
      </c>
      <c r="D557">
        <v>0.62443358935689186</v>
      </c>
      <c r="E557">
        <v>1.5200000000000102E-2</v>
      </c>
      <c r="F557">
        <f t="shared" si="36"/>
        <v>9.4913905582248194E-3</v>
      </c>
      <c r="M557" s="31"/>
    </row>
    <row r="558" spans="1:13" x14ac:dyDescent="0.3">
      <c r="A558">
        <v>2010</v>
      </c>
      <c r="B558">
        <v>8</v>
      </c>
      <c r="C558">
        <v>9</v>
      </c>
      <c r="D558">
        <v>0.6271427880159417</v>
      </c>
      <c r="E558">
        <v>1.5200000000000102E-2</v>
      </c>
      <c r="F558">
        <f t="shared" si="36"/>
        <v>9.5325703778423778E-3</v>
      </c>
      <c r="M558" s="31"/>
    </row>
    <row r="559" spans="1:13" x14ac:dyDescent="0.3">
      <c r="A559">
        <v>2010</v>
      </c>
      <c r="B559">
        <v>8</v>
      </c>
      <c r="C559">
        <v>3</v>
      </c>
      <c r="D559">
        <v>0.63371201256077703</v>
      </c>
      <c r="E559">
        <v>1.5200000000000102E-2</v>
      </c>
      <c r="F559">
        <f t="shared" si="36"/>
        <v>9.6324225909238757E-3</v>
      </c>
      <c r="M559" s="31"/>
    </row>
    <row r="560" spans="1:13" x14ac:dyDescent="0.3">
      <c r="A560">
        <v>2010</v>
      </c>
      <c r="B560">
        <v>7</v>
      </c>
      <c r="C560">
        <v>28</v>
      </c>
      <c r="D560">
        <v>0.64470957465034329</v>
      </c>
      <c r="E560">
        <v>1.5200000000000102E-2</v>
      </c>
      <c r="F560">
        <f t="shared" si="36"/>
        <v>9.7995855346852834E-3</v>
      </c>
      <c r="M560" s="31"/>
    </row>
    <row r="561" spans="1:13" x14ac:dyDescent="0.3">
      <c r="A561">
        <v>2010</v>
      </c>
      <c r="B561">
        <v>7</v>
      </c>
      <c r="C561">
        <v>23</v>
      </c>
      <c r="D561">
        <v>0.65952402192189974</v>
      </c>
      <c r="E561">
        <v>1.5200000000000102E-2</v>
      </c>
      <c r="F561">
        <f t="shared" si="36"/>
        <v>1.0024765133212944E-2</v>
      </c>
      <c r="M561" s="31"/>
    </row>
    <row r="562" spans="1:13" x14ac:dyDescent="0.3">
      <c r="A562">
        <v>2010</v>
      </c>
      <c r="B562">
        <v>7</v>
      </c>
      <c r="C562">
        <v>17</v>
      </c>
      <c r="D562">
        <v>0.66997291117938418</v>
      </c>
      <c r="E562">
        <v>1.5200000000000102E-2</v>
      </c>
      <c r="F562">
        <f t="shared" si="36"/>
        <v>1.0183588249926708E-2</v>
      </c>
      <c r="M562" s="31"/>
    </row>
    <row r="563" spans="1:13" x14ac:dyDescent="0.3">
      <c r="A563">
        <v>2010</v>
      </c>
      <c r="B563">
        <v>7</v>
      </c>
      <c r="C563">
        <v>11</v>
      </c>
      <c r="D563">
        <v>0.68006375646062689</v>
      </c>
      <c r="E563">
        <v>1.5200000000000102E-2</v>
      </c>
      <c r="F563">
        <f t="shared" si="36"/>
        <v>1.0336969098201598E-2</v>
      </c>
      <c r="M563" s="31"/>
    </row>
    <row r="564" spans="1:13" x14ac:dyDescent="0.3">
      <c r="A564">
        <v>2010</v>
      </c>
      <c r="B564">
        <v>7</v>
      </c>
      <c r="C564">
        <v>5</v>
      </c>
      <c r="D564">
        <v>0.68883838039601042</v>
      </c>
      <c r="E564">
        <v>1.5200000000000102E-2</v>
      </c>
      <c r="F564">
        <f t="shared" si="36"/>
        <v>1.0470343382019428E-2</v>
      </c>
      <c r="M564" s="31"/>
    </row>
    <row r="565" spans="1:13" x14ac:dyDescent="0.3">
      <c r="A565">
        <v>2010</v>
      </c>
      <c r="B565">
        <v>6</v>
      </c>
      <c r="C565">
        <v>30</v>
      </c>
      <c r="D565">
        <v>0.69014904532206456</v>
      </c>
      <c r="E565">
        <v>1.5200000000000102E-2</v>
      </c>
      <c r="F565">
        <f t="shared" si="36"/>
        <v>1.0490265488895452E-2</v>
      </c>
      <c r="M565" s="31"/>
    </row>
    <row r="566" spans="1:13" x14ac:dyDescent="0.3">
      <c r="A566">
        <v>2010</v>
      </c>
      <c r="B566">
        <v>6</v>
      </c>
      <c r="C566">
        <v>28</v>
      </c>
      <c r="D566">
        <v>0.68819223161662735</v>
      </c>
      <c r="E566">
        <v>1.5200000000000102E-2</v>
      </c>
      <c r="F566">
        <f t="shared" si="36"/>
        <v>1.0460521920572806E-2</v>
      </c>
      <c r="M566" s="31"/>
    </row>
    <row r="567" spans="1:13" x14ac:dyDescent="0.3">
      <c r="A567">
        <v>2010</v>
      </c>
      <c r="B567">
        <v>6</v>
      </c>
      <c r="C567">
        <v>26</v>
      </c>
      <c r="D567">
        <v>0.68473912865814968</v>
      </c>
      <c r="E567">
        <v>1.5200000000000102E-2</v>
      </c>
      <c r="F567">
        <f t="shared" si="36"/>
        <v>1.0408034755603946E-2</v>
      </c>
      <c r="M567" s="31"/>
    </row>
    <row r="568" spans="1:13" x14ac:dyDescent="0.3">
      <c r="A568">
        <v>2010</v>
      </c>
      <c r="B568">
        <v>6</v>
      </c>
      <c r="C568">
        <v>24</v>
      </c>
      <c r="D568">
        <v>0.67854443617998506</v>
      </c>
      <c r="E568">
        <v>1.5200000000000102E-2</v>
      </c>
      <c r="F568">
        <f t="shared" si="36"/>
        <v>1.0313875429935842E-2</v>
      </c>
      <c r="M568" s="31"/>
    </row>
    <row r="569" spans="1:13" x14ac:dyDescent="0.3">
      <c r="A569">
        <v>2010</v>
      </c>
      <c r="B569">
        <v>6</v>
      </c>
      <c r="C569">
        <v>22</v>
      </c>
      <c r="D569">
        <v>0.67142169708509503</v>
      </c>
      <c r="E569">
        <v>1.5200000000000102E-2</v>
      </c>
      <c r="F569">
        <f t="shared" si="36"/>
        <v>1.0205609795693514E-2</v>
      </c>
      <c r="M569" s="31"/>
    </row>
    <row r="570" spans="1:13" x14ac:dyDescent="0.3">
      <c r="A570">
        <v>2010</v>
      </c>
      <c r="B570">
        <v>6</v>
      </c>
      <c r="C570">
        <v>20</v>
      </c>
      <c r="D570">
        <v>0.66891146903169918</v>
      </c>
      <c r="E570">
        <v>1.5200000000000102E-2</v>
      </c>
      <c r="F570">
        <f t="shared" si="36"/>
        <v>1.0167454329281896E-2</v>
      </c>
      <c r="M570" s="31"/>
    </row>
    <row r="571" spans="1:13" x14ac:dyDescent="0.3">
      <c r="A571">
        <v>2010</v>
      </c>
      <c r="B571">
        <v>6</v>
      </c>
      <c r="C571">
        <v>18</v>
      </c>
      <c r="D571">
        <v>0.66586621036811988</v>
      </c>
      <c r="E571">
        <v>1.5200000000000102E-2</v>
      </c>
      <c r="F571">
        <f t="shared" si="36"/>
        <v>1.012116639759549E-2</v>
      </c>
      <c r="M571" s="31"/>
    </row>
    <row r="572" spans="1:13" x14ac:dyDescent="0.3">
      <c r="A572">
        <v>2010</v>
      </c>
      <c r="B572">
        <v>6</v>
      </c>
      <c r="C572">
        <v>16</v>
      </c>
      <c r="D572">
        <v>0.66228801274292859</v>
      </c>
      <c r="E572">
        <v>1.5200000000000102E-2</v>
      </c>
      <c r="F572">
        <f t="shared" si="36"/>
        <v>1.0066777793692583E-2</v>
      </c>
      <c r="M572" s="31"/>
    </row>
    <row r="573" spans="1:13" x14ac:dyDescent="0.3">
      <c r="A573">
        <v>2010</v>
      </c>
      <c r="B573">
        <v>6</v>
      </c>
      <c r="C573">
        <v>14</v>
      </c>
      <c r="D573">
        <v>0.66248352880508321</v>
      </c>
      <c r="E573">
        <v>1.5200000000000102E-2</v>
      </c>
      <c r="F573">
        <f t="shared" si="36"/>
        <v>1.0069749637837333E-2</v>
      </c>
      <c r="M573" s="31"/>
    </row>
    <row r="574" spans="1:13" x14ac:dyDescent="0.3">
      <c r="A574">
        <v>2010</v>
      </c>
      <c r="B574">
        <v>6</v>
      </c>
      <c r="C574">
        <v>12</v>
      </c>
      <c r="D574">
        <v>0.66415909864129374</v>
      </c>
      <c r="E574">
        <v>1.5200000000000102E-2</v>
      </c>
      <c r="F574">
        <f t="shared" si="36"/>
        <v>1.0095218299347734E-2</v>
      </c>
      <c r="M574" s="31"/>
    </row>
    <row r="575" spans="1:13" x14ac:dyDescent="0.3">
      <c r="A575">
        <v>2010</v>
      </c>
      <c r="B575">
        <v>6</v>
      </c>
      <c r="C575">
        <v>10</v>
      </c>
      <c r="D575">
        <v>0.66785487143471456</v>
      </c>
      <c r="E575">
        <v>1.5200000000000102E-2</v>
      </c>
      <c r="F575">
        <f t="shared" si="36"/>
        <v>1.015139404580773E-2</v>
      </c>
      <c r="M575" s="31"/>
    </row>
    <row r="576" spans="1:13" x14ac:dyDescent="0.3">
      <c r="A576">
        <v>2010</v>
      </c>
      <c r="B576">
        <v>6</v>
      </c>
      <c r="C576">
        <v>8</v>
      </c>
      <c r="D576">
        <v>0.67519715243373357</v>
      </c>
      <c r="E576">
        <v>1.5200000000000102E-2</v>
      </c>
      <c r="F576">
        <f t="shared" si="36"/>
        <v>1.0262996716992819E-2</v>
      </c>
      <c r="M576" s="31"/>
    </row>
    <row r="577" spans="1:13" x14ac:dyDescent="0.3">
      <c r="A577">
        <v>2010</v>
      </c>
      <c r="B577">
        <v>6</v>
      </c>
      <c r="C577">
        <v>6</v>
      </c>
      <c r="D577">
        <v>0.68512660870733899</v>
      </c>
      <c r="E577">
        <v>1.5200000000000102E-2</v>
      </c>
      <c r="F577">
        <f t="shared" si="36"/>
        <v>1.0413924452351623E-2</v>
      </c>
      <c r="M577" s="31"/>
    </row>
    <row r="578" spans="1:13" x14ac:dyDescent="0.3">
      <c r="A578">
        <v>2010</v>
      </c>
      <c r="B578">
        <v>6</v>
      </c>
      <c r="C578">
        <v>4</v>
      </c>
      <c r="D578">
        <v>0.69223050453323121</v>
      </c>
      <c r="E578">
        <v>1.5200000000000102E-2</v>
      </c>
      <c r="F578">
        <f t="shared" si="36"/>
        <v>1.0521903668905186E-2</v>
      </c>
      <c r="M578" s="31"/>
    </row>
    <row r="579" spans="1:13" x14ac:dyDescent="0.3">
      <c r="A579">
        <v>2010</v>
      </c>
      <c r="B579">
        <v>6</v>
      </c>
      <c r="C579">
        <v>2</v>
      </c>
      <c r="D579">
        <v>0.69703508431123384</v>
      </c>
      <c r="E579">
        <v>1.5200000000000102E-2</v>
      </c>
      <c r="F579">
        <f t="shared" ref="F579:F642" si="37">D579*E579</f>
        <v>1.0594933281530826E-2</v>
      </c>
      <c r="M579" s="31"/>
    </row>
    <row r="580" spans="1:13" x14ac:dyDescent="0.3">
      <c r="A580">
        <v>2010</v>
      </c>
      <c r="B580">
        <v>5</v>
      </c>
      <c r="C580">
        <v>31</v>
      </c>
      <c r="D580">
        <v>0.69898665333013377</v>
      </c>
      <c r="E580">
        <v>1.5200000000000102E-2</v>
      </c>
      <c r="F580">
        <f t="shared" si="37"/>
        <v>1.0624597130618104E-2</v>
      </c>
      <c r="M580" s="31"/>
    </row>
    <row r="581" spans="1:13" x14ac:dyDescent="0.3">
      <c r="A581">
        <v>2010</v>
      </c>
      <c r="B581">
        <v>5</v>
      </c>
      <c r="C581">
        <v>29</v>
      </c>
      <c r="D581">
        <v>0.6933298748098552</v>
      </c>
      <c r="E581">
        <v>1.5200000000000102E-2</v>
      </c>
      <c r="F581">
        <f t="shared" si="37"/>
        <v>1.053861409710987E-2</v>
      </c>
      <c r="M581" s="31"/>
    </row>
    <row r="582" spans="1:13" x14ac:dyDescent="0.3">
      <c r="A582">
        <v>2010</v>
      </c>
      <c r="B582">
        <v>5</v>
      </c>
      <c r="C582">
        <v>27</v>
      </c>
      <c r="D582">
        <v>0.68538895643534392</v>
      </c>
      <c r="E582">
        <v>1.5200000000000102E-2</v>
      </c>
      <c r="F582">
        <f t="shared" si="37"/>
        <v>1.0417912137817297E-2</v>
      </c>
      <c r="M582" s="31"/>
    </row>
    <row r="583" spans="1:13" x14ac:dyDescent="0.3">
      <c r="A583">
        <v>2010</v>
      </c>
      <c r="B583">
        <v>5</v>
      </c>
      <c r="C583">
        <v>25</v>
      </c>
      <c r="D583">
        <v>0.67666791648735447</v>
      </c>
      <c r="E583">
        <v>1.5200000000000102E-2</v>
      </c>
      <c r="F583">
        <f t="shared" si="37"/>
        <v>1.0285352330607856E-2</v>
      </c>
      <c r="M583" s="31"/>
    </row>
    <row r="584" spans="1:13" x14ac:dyDescent="0.3">
      <c r="A584">
        <v>2010</v>
      </c>
      <c r="B584">
        <v>5</v>
      </c>
      <c r="C584">
        <v>23</v>
      </c>
      <c r="D584">
        <v>0.66838372977867266</v>
      </c>
      <c r="E584">
        <v>1.5200000000000102E-2</v>
      </c>
      <c r="F584">
        <f t="shared" si="37"/>
        <v>1.0159432692635893E-2</v>
      </c>
      <c r="M584" s="31"/>
    </row>
    <row r="585" spans="1:13" x14ac:dyDescent="0.3">
      <c r="A585">
        <v>2010</v>
      </c>
      <c r="B585">
        <v>5</v>
      </c>
      <c r="C585">
        <v>21</v>
      </c>
      <c r="D585">
        <v>0.66147016718930651</v>
      </c>
      <c r="E585">
        <v>1.5200000000000102E-2</v>
      </c>
      <c r="F585">
        <f t="shared" si="37"/>
        <v>1.0054346541277527E-2</v>
      </c>
      <c r="M585" s="31"/>
    </row>
    <row r="586" spans="1:13" x14ac:dyDescent="0.3">
      <c r="A586">
        <v>2010</v>
      </c>
      <c r="B586">
        <v>5</v>
      </c>
      <c r="C586">
        <v>19</v>
      </c>
      <c r="D586">
        <v>0.65965795971650143</v>
      </c>
      <c r="E586">
        <v>1.5200000000000102E-2</v>
      </c>
      <c r="F586">
        <f t="shared" si="37"/>
        <v>1.002680098769089E-2</v>
      </c>
      <c r="M586" s="31"/>
    </row>
    <row r="587" spans="1:13" x14ac:dyDescent="0.3">
      <c r="A587">
        <v>2010</v>
      </c>
      <c r="B587">
        <v>5</v>
      </c>
      <c r="C587">
        <v>17</v>
      </c>
      <c r="D587">
        <v>0.65798218443282641</v>
      </c>
      <c r="E587">
        <v>1.5200000000000102E-2</v>
      </c>
      <c r="F587">
        <f t="shared" si="37"/>
        <v>1.0001329203379029E-2</v>
      </c>
      <c r="M587" s="31"/>
    </row>
    <row r="588" spans="1:13" x14ac:dyDescent="0.3">
      <c r="A588">
        <v>2010</v>
      </c>
      <c r="B588">
        <v>5</v>
      </c>
      <c r="C588">
        <v>15</v>
      </c>
      <c r="D588">
        <v>0.65577501454119802</v>
      </c>
      <c r="E588">
        <v>1.5200000000000102E-2</v>
      </c>
      <c r="F588">
        <f t="shared" si="37"/>
        <v>9.9677802210262761E-3</v>
      </c>
      <c r="M588" s="31"/>
    </row>
    <row r="589" spans="1:13" x14ac:dyDescent="0.3">
      <c r="A589">
        <v>2010</v>
      </c>
      <c r="B589">
        <v>5</v>
      </c>
      <c r="C589">
        <v>13</v>
      </c>
      <c r="D589">
        <v>0.65077334238709394</v>
      </c>
      <c r="E589">
        <v>1.5200000000000102E-2</v>
      </c>
      <c r="F589">
        <f t="shared" si="37"/>
        <v>9.8917548042838938E-3</v>
      </c>
      <c r="M589" s="31"/>
    </row>
    <row r="590" spans="1:13" x14ac:dyDescent="0.3">
      <c r="A590">
        <v>2010</v>
      </c>
      <c r="B590">
        <v>5</v>
      </c>
      <c r="C590">
        <v>11</v>
      </c>
      <c r="D590">
        <v>0.64498744755423909</v>
      </c>
      <c r="E590">
        <v>1.5200000000000102E-2</v>
      </c>
      <c r="F590">
        <f t="shared" si="37"/>
        <v>9.8038092028245004E-3</v>
      </c>
      <c r="M590" s="31"/>
    </row>
    <row r="591" spans="1:13" x14ac:dyDescent="0.3">
      <c r="A591">
        <v>2010</v>
      </c>
      <c r="B591">
        <v>5</v>
      </c>
      <c r="C591">
        <v>9</v>
      </c>
      <c r="D591">
        <v>0.6386890360028864</v>
      </c>
      <c r="E591">
        <v>1.5200000000000102E-2</v>
      </c>
      <c r="F591">
        <f t="shared" si="37"/>
        <v>9.7080733472439378E-3</v>
      </c>
      <c r="M591" s="31"/>
    </row>
    <row r="592" spans="1:13" x14ac:dyDescent="0.3">
      <c r="A592">
        <v>2010</v>
      </c>
      <c r="B592">
        <v>5</v>
      </c>
      <c r="C592">
        <v>7</v>
      </c>
      <c r="D592">
        <v>0.63465698625282851</v>
      </c>
      <c r="E592">
        <v>1.5200000000000102E-2</v>
      </c>
      <c r="F592">
        <f t="shared" si="37"/>
        <v>9.6467861910430591E-3</v>
      </c>
      <c r="M592" s="31"/>
    </row>
    <row r="593" spans="1:13" x14ac:dyDescent="0.3">
      <c r="A593">
        <v>2010</v>
      </c>
      <c r="B593">
        <v>5</v>
      </c>
      <c r="C593">
        <v>5</v>
      </c>
      <c r="D593">
        <v>0.63472816877424054</v>
      </c>
      <c r="E593">
        <v>1.5200000000000102E-2</v>
      </c>
      <c r="F593">
        <f t="shared" si="37"/>
        <v>9.6478681653685214E-3</v>
      </c>
      <c r="M593" s="31"/>
    </row>
    <row r="594" spans="1:13" x14ac:dyDescent="0.3">
      <c r="A594">
        <v>2010</v>
      </c>
      <c r="B594">
        <v>5</v>
      </c>
      <c r="C594">
        <v>3</v>
      </c>
      <c r="D594">
        <v>0.64154532680409238</v>
      </c>
      <c r="E594">
        <v>1.5200000000000102E-2</v>
      </c>
      <c r="F594">
        <f t="shared" si="37"/>
        <v>9.7514889674222699E-3</v>
      </c>
      <c r="M594" s="31"/>
    </row>
    <row r="595" spans="1:13" x14ac:dyDescent="0.3">
      <c r="A595">
        <v>2010</v>
      </c>
      <c r="B595">
        <v>5</v>
      </c>
      <c r="C595">
        <v>1</v>
      </c>
      <c r="D595">
        <v>0.65143014051304127</v>
      </c>
      <c r="E595">
        <v>1.5200000000000102E-2</v>
      </c>
      <c r="F595">
        <f t="shared" si="37"/>
        <v>9.9017381357982947E-3</v>
      </c>
      <c r="M595" s="31"/>
    </row>
    <row r="596" spans="1:13" x14ac:dyDescent="0.3">
      <c r="A596">
        <v>2010</v>
      </c>
      <c r="B596">
        <v>4</v>
      </c>
      <c r="C596">
        <v>30</v>
      </c>
      <c r="D596">
        <v>0.66401215128992197</v>
      </c>
      <c r="E596">
        <v>1.5200000000000102E-2</v>
      </c>
      <c r="F596">
        <f t="shared" si="37"/>
        <v>1.0092984699606882E-2</v>
      </c>
      <c r="M596" s="31"/>
    </row>
    <row r="597" spans="1:13" x14ac:dyDescent="0.3">
      <c r="A597">
        <v>2010</v>
      </c>
      <c r="B597">
        <v>4</v>
      </c>
      <c r="C597">
        <v>28</v>
      </c>
      <c r="D597">
        <v>0.6773133683127629</v>
      </c>
      <c r="E597">
        <v>1.5200000000000102E-2</v>
      </c>
      <c r="F597">
        <f t="shared" si="37"/>
        <v>1.0295163198354065E-2</v>
      </c>
      <c r="M597" s="31"/>
    </row>
    <row r="598" spans="1:13" x14ac:dyDescent="0.3">
      <c r="A598">
        <v>2010</v>
      </c>
      <c r="B598">
        <v>4</v>
      </c>
      <c r="C598">
        <v>26</v>
      </c>
      <c r="D598">
        <v>0.68864923402174461</v>
      </c>
      <c r="E598">
        <v>1.5200000000000102E-2</v>
      </c>
      <c r="F598">
        <f t="shared" si="37"/>
        <v>1.0467468357130588E-2</v>
      </c>
      <c r="M598" s="31"/>
    </row>
    <row r="599" spans="1:13" x14ac:dyDescent="0.3">
      <c r="A599">
        <v>2010</v>
      </c>
      <c r="B599">
        <v>4</v>
      </c>
      <c r="C599">
        <v>24</v>
      </c>
      <c r="D599">
        <v>0.69732266253482056</v>
      </c>
      <c r="E599">
        <v>1.5200000000000102E-2</v>
      </c>
      <c r="F599">
        <f t="shared" si="37"/>
        <v>1.0599304470529343E-2</v>
      </c>
      <c r="M599" s="31"/>
    </row>
    <row r="600" spans="1:13" x14ac:dyDescent="0.3">
      <c r="A600">
        <v>2010</v>
      </c>
      <c r="B600">
        <v>4</v>
      </c>
      <c r="C600">
        <v>22</v>
      </c>
      <c r="D600">
        <v>0.70398753467106667</v>
      </c>
      <c r="E600">
        <v>1.5200000000000102E-2</v>
      </c>
      <c r="F600">
        <f t="shared" si="37"/>
        <v>1.0700610527000285E-2</v>
      </c>
      <c r="M600" s="31"/>
    </row>
    <row r="601" spans="1:13" x14ac:dyDescent="0.3">
      <c r="A601">
        <v>2010</v>
      </c>
      <c r="B601">
        <v>4</v>
      </c>
      <c r="C601">
        <v>20</v>
      </c>
      <c r="D601">
        <v>0.7071433439580459</v>
      </c>
      <c r="E601">
        <v>1.5200000000000102E-2</v>
      </c>
      <c r="F601">
        <f t="shared" si="37"/>
        <v>1.074857882816237E-2</v>
      </c>
      <c r="M601" s="31"/>
    </row>
    <row r="602" spans="1:13" x14ac:dyDescent="0.3">
      <c r="A602">
        <v>2010</v>
      </c>
      <c r="B602">
        <v>4</v>
      </c>
      <c r="C602">
        <v>18</v>
      </c>
      <c r="D602">
        <v>0.70516059992154234</v>
      </c>
      <c r="E602">
        <v>1.5200000000000102E-2</v>
      </c>
      <c r="F602">
        <f t="shared" si="37"/>
        <v>1.0718441118807516E-2</v>
      </c>
      <c r="M602" s="31"/>
    </row>
    <row r="603" spans="1:13" x14ac:dyDescent="0.3">
      <c r="A603">
        <v>2010</v>
      </c>
      <c r="B603">
        <v>4</v>
      </c>
      <c r="C603">
        <v>16</v>
      </c>
      <c r="D603">
        <v>0.69940326311761658</v>
      </c>
      <c r="E603">
        <v>1.5200000000000102E-2</v>
      </c>
      <c r="F603">
        <f t="shared" si="37"/>
        <v>1.0630929599387844E-2</v>
      </c>
      <c r="M603" s="31"/>
    </row>
    <row r="604" spans="1:13" x14ac:dyDescent="0.3">
      <c r="A604">
        <v>2010</v>
      </c>
      <c r="B604">
        <v>4</v>
      </c>
      <c r="C604">
        <v>14</v>
      </c>
      <c r="D604">
        <v>0.69083944682876552</v>
      </c>
      <c r="E604">
        <v>1.5200000000000102E-2</v>
      </c>
      <c r="F604">
        <f t="shared" si="37"/>
        <v>1.0500759591797307E-2</v>
      </c>
      <c r="M604" s="31"/>
    </row>
    <row r="605" spans="1:13" x14ac:dyDescent="0.3">
      <c r="A605">
        <v>2010</v>
      </c>
      <c r="B605">
        <v>4</v>
      </c>
      <c r="C605">
        <v>12</v>
      </c>
      <c r="D605">
        <v>0.68043415479884051</v>
      </c>
      <c r="E605">
        <v>1.5200000000000102E-2</v>
      </c>
      <c r="F605">
        <f t="shared" si="37"/>
        <v>1.0342599152942446E-2</v>
      </c>
      <c r="M605" s="31"/>
    </row>
    <row r="606" spans="1:13" x14ac:dyDescent="0.3">
      <c r="A606">
        <v>2010</v>
      </c>
      <c r="B606">
        <v>4</v>
      </c>
      <c r="C606">
        <v>10</v>
      </c>
      <c r="D606">
        <v>0.6698093180992768</v>
      </c>
      <c r="E606">
        <v>1.5200000000000102E-2</v>
      </c>
      <c r="F606">
        <f t="shared" si="37"/>
        <v>1.0181101635109076E-2</v>
      </c>
      <c r="M606" s="31"/>
    </row>
    <row r="607" spans="1:13" x14ac:dyDescent="0.3">
      <c r="A607">
        <v>2010</v>
      </c>
      <c r="B607">
        <v>4</v>
      </c>
      <c r="C607">
        <v>8</v>
      </c>
      <c r="D607">
        <v>0.66069327805687228</v>
      </c>
      <c r="E607">
        <v>1.5200000000000102E-2</v>
      </c>
      <c r="F607">
        <f t="shared" si="37"/>
        <v>1.0042537826464526E-2</v>
      </c>
      <c r="M607" s="31"/>
    </row>
    <row r="608" spans="1:13" x14ac:dyDescent="0.3">
      <c r="A608">
        <v>2010</v>
      </c>
      <c r="B608">
        <v>4</v>
      </c>
      <c r="C608">
        <v>6</v>
      </c>
      <c r="D608">
        <v>0.65320253892727975</v>
      </c>
      <c r="E608">
        <v>1.5200000000000102E-2</v>
      </c>
      <c r="F608">
        <f t="shared" si="37"/>
        <v>9.9286785916947191E-3</v>
      </c>
      <c r="M608" s="31"/>
    </row>
    <row r="609" spans="1:13" x14ac:dyDescent="0.3">
      <c r="A609">
        <v>2010</v>
      </c>
      <c r="B609">
        <v>4</v>
      </c>
      <c r="C609">
        <v>4</v>
      </c>
      <c r="D609">
        <v>0.64587025615903415</v>
      </c>
      <c r="E609">
        <v>1.5200000000000102E-2</v>
      </c>
      <c r="F609">
        <f t="shared" si="37"/>
        <v>9.8172278936173845E-3</v>
      </c>
      <c r="M609" s="31"/>
    </row>
    <row r="610" spans="1:13" x14ac:dyDescent="0.3">
      <c r="A610">
        <v>2010</v>
      </c>
      <c r="B610">
        <v>4</v>
      </c>
      <c r="C610">
        <v>2</v>
      </c>
      <c r="D610">
        <v>0.63869558670095072</v>
      </c>
      <c r="E610">
        <v>1.5200000000000102E-2</v>
      </c>
      <c r="F610">
        <f t="shared" si="37"/>
        <v>9.7081729178545156E-3</v>
      </c>
      <c r="M610" s="31"/>
    </row>
    <row r="611" spans="1:13" x14ac:dyDescent="0.3">
      <c r="A611">
        <v>2010</v>
      </c>
      <c r="B611">
        <v>3</v>
      </c>
      <c r="C611">
        <v>31</v>
      </c>
      <c r="D611">
        <v>0.6312837367117845</v>
      </c>
      <c r="E611">
        <v>1.5200000000000102E-2</v>
      </c>
      <c r="F611">
        <f t="shared" si="37"/>
        <v>9.5955127980191894E-3</v>
      </c>
      <c r="M611" s="31"/>
    </row>
    <row r="612" spans="1:13" x14ac:dyDescent="0.3">
      <c r="A612">
        <v>2010</v>
      </c>
      <c r="B612">
        <v>3</v>
      </c>
      <c r="C612">
        <v>29</v>
      </c>
      <c r="D612">
        <v>0.62324612020174319</v>
      </c>
      <c r="E612">
        <v>1.5200000000000102E-2</v>
      </c>
      <c r="F612">
        <f t="shared" si="37"/>
        <v>9.4733410270665605E-3</v>
      </c>
      <c r="M612" s="31"/>
    </row>
    <row r="613" spans="1:13" x14ac:dyDescent="0.3">
      <c r="A613">
        <v>2010</v>
      </c>
      <c r="B613">
        <v>3</v>
      </c>
      <c r="C613">
        <v>27</v>
      </c>
      <c r="D613">
        <v>0.60848183990926941</v>
      </c>
      <c r="E613">
        <v>1.5200000000000102E-2</v>
      </c>
      <c r="F613">
        <f t="shared" si="37"/>
        <v>9.2489239666209578E-3</v>
      </c>
      <c r="M613" s="31"/>
    </row>
    <row r="614" spans="1:13" x14ac:dyDescent="0.3">
      <c r="A614">
        <v>2010</v>
      </c>
      <c r="B614">
        <v>3</v>
      </c>
      <c r="C614">
        <v>25</v>
      </c>
      <c r="D614">
        <v>0.5935582783528619</v>
      </c>
      <c r="E614">
        <v>1.5200000000000102E-2</v>
      </c>
      <c r="F614">
        <f t="shared" si="37"/>
        <v>9.022085830963561E-3</v>
      </c>
      <c r="M614" s="31"/>
    </row>
    <row r="615" spans="1:13" x14ac:dyDescent="0.3">
      <c r="A615">
        <v>2010</v>
      </c>
      <c r="B615">
        <v>3</v>
      </c>
      <c r="C615">
        <v>23</v>
      </c>
      <c r="D615">
        <v>0.57784070492270556</v>
      </c>
      <c r="E615">
        <v>1.5200000000000102E-2</v>
      </c>
      <c r="F615">
        <f t="shared" si="37"/>
        <v>8.7831787148251843E-3</v>
      </c>
      <c r="M615" s="31"/>
    </row>
    <row r="616" spans="1:13" x14ac:dyDescent="0.3">
      <c r="A616">
        <v>2010</v>
      </c>
      <c r="B616">
        <v>3</v>
      </c>
      <c r="C616">
        <v>21</v>
      </c>
      <c r="D616">
        <v>0.5628753516516809</v>
      </c>
      <c r="E616">
        <v>1.5200000000000102E-2</v>
      </c>
      <c r="F616">
        <f t="shared" si="37"/>
        <v>8.5557053451056075E-3</v>
      </c>
      <c r="M616" s="31"/>
    </row>
    <row r="617" spans="1:13" x14ac:dyDescent="0.3">
      <c r="A617">
        <v>2010</v>
      </c>
      <c r="B617">
        <v>3</v>
      </c>
      <c r="C617">
        <v>19</v>
      </c>
      <c r="D617">
        <v>0.549281338606049</v>
      </c>
      <c r="E617">
        <v>1.5200000000000102E-2</v>
      </c>
      <c r="F617">
        <f t="shared" si="37"/>
        <v>8.3490763468120014E-3</v>
      </c>
      <c r="M617" s="31"/>
    </row>
    <row r="618" spans="1:13" x14ac:dyDescent="0.3">
      <c r="A618">
        <v>2010</v>
      </c>
      <c r="B618">
        <v>3</v>
      </c>
      <c r="C618">
        <v>17</v>
      </c>
      <c r="D618">
        <v>0.54446071078600644</v>
      </c>
      <c r="E618">
        <v>1.5200000000000102E-2</v>
      </c>
      <c r="F618">
        <f t="shared" si="37"/>
        <v>8.2758028039473536E-3</v>
      </c>
      <c r="M618" s="31"/>
    </row>
    <row r="619" spans="1:13" x14ac:dyDescent="0.3">
      <c r="A619">
        <v>2010</v>
      </c>
      <c r="B619">
        <v>3</v>
      </c>
      <c r="C619">
        <v>15</v>
      </c>
      <c r="D619">
        <v>0.54179262258587668</v>
      </c>
      <c r="E619">
        <v>1.5200000000000102E-2</v>
      </c>
      <c r="F619">
        <f t="shared" si="37"/>
        <v>8.2352478633053814E-3</v>
      </c>
      <c r="M619" s="31"/>
    </row>
    <row r="620" spans="1:13" x14ac:dyDescent="0.3">
      <c r="A620">
        <v>2010</v>
      </c>
      <c r="B620">
        <v>3</v>
      </c>
      <c r="C620">
        <v>13</v>
      </c>
      <c r="D620">
        <v>0.54101541806205644</v>
      </c>
      <c r="E620">
        <v>1.5200000000000102E-2</v>
      </c>
      <c r="F620">
        <f t="shared" si="37"/>
        <v>8.2234343545433131E-3</v>
      </c>
      <c r="M620" s="31"/>
    </row>
    <row r="621" spans="1:13" x14ac:dyDescent="0.3">
      <c r="A621">
        <v>2010</v>
      </c>
      <c r="B621">
        <v>3</v>
      </c>
      <c r="C621">
        <v>11</v>
      </c>
      <c r="D621">
        <v>0.54225085236022774</v>
      </c>
      <c r="E621">
        <v>1.5200000000000102E-2</v>
      </c>
      <c r="F621">
        <f t="shared" si="37"/>
        <v>8.2422129558755164E-3</v>
      </c>
      <c r="M621" s="31"/>
    </row>
    <row r="622" spans="1:13" x14ac:dyDescent="0.3">
      <c r="A622">
        <v>2010</v>
      </c>
      <c r="B622">
        <v>3</v>
      </c>
      <c r="C622">
        <v>9</v>
      </c>
      <c r="D622">
        <v>0.54348639532013743</v>
      </c>
      <c r="E622">
        <v>1.5200000000000102E-2</v>
      </c>
      <c r="F622">
        <f t="shared" si="37"/>
        <v>8.2609932088661443E-3</v>
      </c>
      <c r="M622" s="31"/>
    </row>
    <row r="623" spans="1:13" x14ac:dyDescent="0.3">
      <c r="A623">
        <v>2010</v>
      </c>
      <c r="B623">
        <v>3</v>
      </c>
      <c r="C623">
        <v>7</v>
      </c>
      <c r="D623">
        <v>0.54170340071725942</v>
      </c>
      <c r="E623">
        <v>1.5200000000000102E-2</v>
      </c>
      <c r="F623">
        <f t="shared" si="37"/>
        <v>8.2338916909023979E-3</v>
      </c>
      <c r="M623" s="31"/>
    </row>
    <row r="624" spans="1:13" x14ac:dyDescent="0.3">
      <c r="A624">
        <v>2010</v>
      </c>
      <c r="B624">
        <v>3</v>
      </c>
      <c r="C624">
        <v>5</v>
      </c>
      <c r="D624">
        <v>0.53703841108791905</v>
      </c>
      <c r="E624">
        <v>1.5200000000000102E-2</v>
      </c>
      <c r="F624">
        <f t="shared" si="37"/>
        <v>8.1629838485364238E-3</v>
      </c>
      <c r="M624" s="31"/>
    </row>
    <row r="625" spans="1:13" x14ac:dyDescent="0.3">
      <c r="A625">
        <v>2010</v>
      </c>
      <c r="B625">
        <v>3</v>
      </c>
      <c r="C625">
        <v>3</v>
      </c>
      <c r="D625">
        <v>0.52976312160302541</v>
      </c>
      <c r="E625">
        <v>1.5200000000000102E-2</v>
      </c>
      <c r="F625">
        <f t="shared" si="37"/>
        <v>8.0523994483660405E-3</v>
      </c>
      <c r="M625" s="31"/>
    </row>
    <row r="626" spans="1:13" x14ac:dyDescent="0.3">
      <c r="A626">
        <v>2010</v>
      </c>
      <c r="B626">
        <v>3</v>
      </c>
      <c r="C626">
        <v>1</v>
      </c>
      <c r="D626">
        <v>0.52226872799229507</v>
      </c>
      <c r="E626">
        <v>1.5200000000000102E-2</v>
      </c>
      <c r="F626">
        <f t="shared" si="37"/>
        <v>7.9384846654829387E-3</v>
      </c>
      <c r="M626" s="31"/>
    </row>
    <row r="627" spans="1:13" x14ac:dyDescent="0.3">
      <c r="A627">
        <v>2010</v>
      </c>
      <c r="B627">
        <v>2</v>
      </c>
      <c r="C627">
        <v>28</v>
      </c>
      <c r="D627">
        <v>0.51889930885108637</v>
      </c>
      <c r="E627">
        <v>1.5200000000000102E-2</v>
      </c>
      <c r="F627">
        <f t="shared" si="37"/>
        <v>7.8872694945365668E-3</v>
      </c>
      <c r="M627" s="31"/>
    </row>
    <row r="628" spans="1:13" x14ac:dyDescent="0.3">
      <c r="A628">
        <v>2010</v>
      </c>
      <c r="B628">
        <v>2</v>
      </c>
      <c r="C628">
        <v>17</v>
      </c>
      <c r="D628">
        <v>0.52025182858073094</v>
      </c>
      <c r="E628">
        <v>1.5200000000000102E-2</v>
      </c>
      <c r="F628">
        <f t="shared" si="37"/>
        <v>7.9078277944271639E-3</v>
      </c>
      <c r="M628" s="31"/>
    </row>
    <row r="629" spans="1:13" x14ac:dyDescent="0.3">
      <c r="A629">
        <v>2010</v>
      </c>
      <c r="B629">
        <v>2</v>
      </c>
      <c r="C629">
        <v>7</v>
      </c>
      <c r="D629">
        <v>0.53081625436415003</v>
      </c>
      <c r="E629">
        <v>1.5200000000000102E-2</v>
      </c>
      <c r="F629">
        <f t="shared" si="37"/>
        <v>8.068407066335135E-3</v>
      </c>
      <c r="M629" s="31"/>
    </row>
    <row r="630" spans="1:13" x14ac:dyDescent="0.3">
      <c r="A630">
        <v>2010</v>
      </c>
      <c r="B630">
        <v>1</v>
      </c>
      <c r="C630">
        <v>28</v>
      </c>
      <c r="D630">
        <v>0.54568880575421785</v>
      </c>
      <c r="E630">
        <v>1.5200000000000102E-2</v>
      </c>
      <c r="F630">
        <f t="shared" si="37"/>
        <v>8.294469847464167E-3</v>
      </c>
      <c r="M630" s="31"/>
    </row>
    <row r="631" spans="1:13" x14ac:dyDescent="0.3">
      <c r="A631">
        <v>2010</v>
      </c>
      <c r="B631">
        <v>1</v>
      </c>
      <c r="C631">
        <v>18</v>
      </c>
      <c r="D631">
        <v>0.56229337448605188</v>
      </c>
      <c r="E631">
        <v>1.5200000000000102E-2</v>
      </c>
      <c r="F631">
        <f t="shared" si="37"/>
        <v>8.5468592921880467E-3</v>
      </c>
      <c r="M631" s="31"/>
    </row>
    <row r="632" spans="1:13" x14ac:dyDescent="0.3">
      <c r="A632">
        <v>2010</v>
      </c>
      <c r="B632">
        <v>1</v>
      </c>
      <c r="C632">
        <v>8</v>
      </c>
      <c r="D632">
        <v>0.57849705077122826</v>
      </c>
      <c r="E632">
        <v>1.5200000000000102E-2</v>
      </c>
      <c r="F632">
        <f t="shared" si="37"/>
        <v>8.7931551717227285E-3</v>
      </c>
      <c r="M632" s="31"/>
    </row>
    <row r="633" spans="1:13" x14ac:dyDescent="0.3">
      <c r="A633">
        <v>2009</v>
      </c>
      <c r="B633">
        <v>12</v>
      </c>
      <c r="C633">
        <v>29</v>
      </c>
      <c r="D633">
        <v>0.59544089537783917</v>
      </c>
      <c r="E633">
        <v>1.5200000000000102E-2</v>
      </c>
      <c r="F633">
        <f t="shared" si="37"/>
        <v>9.0507016097432155E-3</v>
      </c>
      <c r="M633" s="31"/>
    </row>
    <row r="634" spans="1:13" x14ac:dyDescent="0.3">
      <c r="A634">
        <v>2009</v>
      </c>
      <c r="B634">
        <v>12</v>
      </c>
      <c r="C634">
        <v>19</v>
      </c>
      <c r="D634">
        <v>0.60926660400126953</v>
      </c>
      <c r="E634">
        <v>1.5200000000000102E-2</v>
      </c>
      <c r="F634">
        <f t="shared" si="37"/>
        <v>9.2608523808193587E-3</v>
      </c>
      <c r="M634" s="31"/>
    </row>
    <row r="635" spans="1:13" x14ac:dyDescent="0.3">
      <c r="A635">
        <v>2009</v>
      </c>
      <c r="B635">
        <v>12</v>
      </c>
      <c r="C635">
        <v>9</v>
      </c>
      <c r="D635">
        <v>0.62434389697103931</v>
      </c>
      <c r="E635">
        <v>1.5200000000000102E-2</v>
      </c>
      <c r="F635">
        <f t="shared" si="37"/>
        <v>9.4900272339598617E-3</v>
      </c>
      <c r="M635" s="31"/>
    </row>
    <row r="636" spans="1:13" x14ac:dyDescent="0.3">
      <c r="A636">
        <v>2009</v>
      </c>
      <c r="B636">
        <v>11</v>
      </c>
      <c r="C636">
        <v>28</v>
      </c>
      <c r="D636">
        <v>0.63886651285895713</v>
      </c>
      <c r="E636">
        <v>1.5200000000000102E-2</v>
      </c>
      <c r="F636">
        <f t="shared" si="37"/>
        <v>9.7107709954562145E-3</v>
      </c>
      <c r="M636" s="31"/>
    </row>
    <row r="637" spans="1:13" x14ac:dyDescent="0.3">
      <c r="A637">
        <v>2009</v>
      </c>
      <c r="B637">
        <v>11</v>
      </c>
      <c r="C637">
        <v>18</v>
      </c>
      <c r="D637">
        <v>0.6491517425266996</v>
      </c>
      <c r="E637">
        <v>1.5200000000000102E-2</v>
      </c>
      <c r="F637">
        <f t="shared" si="37"/>
        <v>9.8671064864059004E-3</v>
      </c>
      <c r="M637" s="31"/>
    </row>
    <row r="638" spans="1:13" x14ac:dyDescent="0.3">
      <c r="A638">
        <v>2009</v>
      </c>
      <c r="B638">
        <v>11</v>
      </c>
      <c r="C638">
        <v>8</v>
      </c>
      <c r="D638">
        <v>0.65540783001057334</v>
      </c>
      <c r="E638">
        <v>1.5200000000000102E-2</v>
      </c>
      <c r="F638">
        <f t="shared" si="37"/>
        <v>9.9621990161607825E-3</v>
      </c>
      <c r="M638" s="31"/>
    </row>
    <row r="639" spans="1:13" x14ac:dyDescent="0.3">
      <c r="A639">
        <v>2009</v>
      </c>
      <c r="B639">
        <v>10</v>
      </c>
      <c r="C639">
        <v>29</v>
      </c>
      <c r="D639">
        <v>0.65799705002563069</v>
      </c>
      <c r="E639">
        <v>1.5200000000000102E-2</v>
      </c>
      <c r="F639">
        <f t="shared" si="37"/>
        <v>1.0001555160389653E-2</v>
      </c>
      <c r="M639" s="31"/>
    </row>
    <row r="640" spans="1:13" x14ac:dyDescent="0.3">
      <c r="A640">
        <v>2009</v>
      </c>
      <c r="B640">
        <v>10</v>
      </c>
      <c r="C640">
        <v>19</v>
      </c>
      <c r="D640">
        <v>0.65743203835749708</v>
      </c>
      <c r="E640">
        <v>1.5200000000000102E-2</v>
      </c>
      <c r="F640">
        <f t="shared" si="37"/>
        <v>9.9929669830340229E-3</v>
      </c>
      <c r="M640" s="31"/>
    </row>
    <row r="641" spans="1:13" x14ac:dyDescent="0.3">
      <c r="A641">
        <v>2009</v>
      </c>
      <c r="B641">
        <v>10</v>
      </c>
      <c r="C641">
        <v>9</v>
      </c>
      <c r="D641">
        <v>0.65542054971407993</v>
      </c>
      <c r="E641">
        <v>1.5200000000000102E-2</v>
      </c>
      <c r="F641">
        <f t="shared" si="37"/>
        <v>9.9623923556540813E-3</v>
      </c>
      <c r="M641" s="31"/>
    </row>
    <row r="642" spans="1:13" x14ac:dyDescent="0.3">
      <c r="A642">
        <v>2009</v>
      </c>
      <c r="B642">
        <v>9</v>
      </c>
      <c r="C642">
        <v>29</v>
      </c>
      <c r="D642">
        <v>0.65419803612935312</v>
      </c>
      <c r="E642">
        <v>1.5200000000000102E-2</v>
      </c>
      <c r="F642">
        <f t="shared" si="37"/>
        <v>9.943810149166234E-3</v>
      </c>
      <c r="M642" s="31"/>
    </row>
    <row r="643" spans="1:13" x14ac:dyDescent="0.3">
      <c r="A643">
        <v>2009</v>
      </c>
      <c r="B643">
        <v>9</v>
      </c>
      <c r="C643">
        <v>19</v>
      </c>
      <c r="D643">
        <v>0.65402681385522476</v>
      </c>
      <c r="E643">
        <v>1.5200000000000102E-2</v>
      </c>
      <c r="F643">
        <f t="shared" ref="F643:F706" si="38">D643*E643</f>
        <v>9.9412075705994831E-3</v>
      </c>
      <c r="M643" s="31"/>
    </row>
    <row r="644" spans="1:13" x14ac:dyDescent="0.3">
      <c r="A644">
        <v>2009</v>
      </c>
      <c r="B644">
        <v>9</v>
      </c>
      <c r="C644">
        <v>8</v>
      </c>
      <c r="D644">
        <v>0.65490749296044348</v>
      </c>
      <c r="E644">
        <v>1.5200000000000102E-2</v>
      </c>
      <c r="F644">
        <f t="shared" si="38"/>
        <v>9.954593892998808E-3</v>
      </c>
      <c r="M644" s="31"/>
    </row>
    <row r="645" spans="1:13" x14ac:dyDescent="0.3">
      <c r="A645">
        <v>2009</v>
      </c>
      <c r="B645">
        <v>8</v>
      </c>
      <c r="C645">
        <v>29</v>
      </c>
      <c r="D645">
        <v>0.65802716772214431</v>
      </c>
      <c r="E645">
        <v>1.5200000000000102E-2</v>
      </c>
      <c r="F645">
        <f t="shared" si="38"/>
        <v>1.0002012949376662E-2</v>
      </c>
      <c r="M645" s="31"/>
    </row>
    <row r="646" spans="1:13" x14ac:dyDescent="0.3">
      <c r="A646">
        <v>2009</v>
      </c>
      <c r="B646">
        <v>8</v>
      </c>
      <c r="C646">
        <v>19</v>
      </c>
      <c r="D646">
        <v>0.66088806797803001</v>
      </c>
      <c r="E646">
        <v>1.5200000000000102E-2</v>
      </c>
      <c r="F646">
        <f t="shared" si="38"/>
        <v>1.0045498633266123E-2</v>
      </c>
      <c r="M646" s="31"/>
    </row>
    <row r="647" spans="1:13" x14ac:dyDescent="0.3">
      <c r="A647">
        <v>2009</v>
      </c>
      <c r="B647">
        <v>8</v>
      </c>
      <c r="C647">
        <v>9</v>
      </c>
      <c r="D647">
        <v>0.66454604394133776</v>
      </c>
      <c r="E647">
        <v>1.5200000000000102E-2</v>
      </c>
      <c r="F647">
        <f t="shared" si="38"/>
        <v>1.0101099867908402E-2</v>
      </c>
      <c r="M647" s="31"/>
    </row>
    <row r="648" spans="1:13" x14ac:dyDescent="0.3">
      <c r="A648">
        <v>2009</v>
      </c>
      <c r="B648">
        <v>7</v>
      </c>
      <c r="C648">
        <v>30</v>
      </c>
      <c r="D648">
        <v>0.66821087299964532</v>
      </c>
      <c r="E648">
        <v>1.5200000000000102E-2</v>
      </c>
      <c r="F648">
        <f t="shared" si="38"/>
        <v>1.0156805269594678E-2</v>
      </c>
      <c r="M648" s="31"/>
    </row>
    <row r="649" spans="1:13" x14ac:dyDescent="0.3">
      <c r="A649">
        <v>2009</v>
      </c>
      <c r="B649">
        <v>7</v>
      </c>
      <c r="C649">
        <v>20</v>
      </c>
      <c r="D649">
        <v>0.67135269687775523</v>
      </c>
      <c r="E649">
        <v>1.5200000000000102E-2</v>
      </c>
      <c r="F649">
        <f t="shared" si="38"/>
        <v>1.0204560992541948E-2</v>
      </c>
      <c r="M649" s="31"/>
    </row>
    <row r="650" spans="1:13" x14ac:dyDescent="0.3">
      <c r="A650">
        <v>2009</v>
      </c>
      <c r="B650">
        <v>7</v>
      </c>
      <c r="C650">
        <v>10</v>
      </c>
      <c r="D650">
        <v>0.67264279538756211</v>
      </c>
      <c r="E650">
        <v>1.5200000000000102E-2</v>
      </c>
      <c r="F650">
        <f t="shared" si="38"/>
        <v>1.0224170489891013E-2</v>
      </c>
      <c r="M650" s="31"/>
    </row>
    <row r="651" spans="1:13" x14ac:dyDescent="0.3">
      <c r="A651">
        <v>2009</v>
      </c>
      <c r="B651">
        <v>6</v>
      </c>
      <c r="C651">
        <v>30</v>
      </c>
      <c r="D651">
        <v>0.67340366278821606</v>
      </c>
      <c r="E651">
        <v>1.5200000000000102E-2</v>
      </c>
      <c r="F651">
        <f t="shared" si="38"/>
        <v>1.0235735674380953E-2</v>
      </c>
      <c r="M651" s="31"/>
    </row>
    <row r="652" spans="1:13" x14ac:dyDescent="0.3">
      <c r="A652">
        <v>2009</v>
      </c>
      <c r="B652">
        <v>6</v>
      </c>
      <c r="C652">
        <v>27</v>
      </c>
      <c r="D652">
        <v>0.67336878857657334</v>
      </c>
      <c r="E652">
        <v>1.5200000000000102E-2</v>
      </c>
      <c r="F652">
        <f t="shared" si="38"/>
        <v>1.0235205586363984E-2</v>
      </c>
      <c r="M652" s="31"/>
    </row>
    <row r="653" spans="1:13" x14ac:dyDescent="0.3">
      <c r="A653">
        <v>2009</v>
      </c>
      <c r="B653">
        <v>6</v>
      </c>
      <c r="C653">
        <v>24</v>
      </c>
      <c r="D653">
        <v>0.67001763082311783</v>
      </c>
      <c r="E653">
        <v>1.5200000000000102E-2</v>
      </c>
      <c r="F653">
        <f t="shared" si="38"/>
        <v>1.0184267988511459E-2</v>
      </c>
      <c r="M653" s="31"/>
    </row>
    <row r="654" spans="1:13" x14ac:dyDescent="0.3">
      <c r="A654">
        <v>2009</v>
      </c>
      <c r="B654">
        <v>6</v>
      </c>
      <c r="C654">
        <v>22</v>
      </c>
      <c r="D654">
        <v>0.66415402299413029</v>
      </c>
      <c r="E654">
        <v>1.5200000000000102E-2</v>
      </c>
      <c r="F654">
        <f t="shared" si="38"/>
        <v>1.0095141149510848E-2</v>
      </c>
      <c r="M654" s="31"/>
    </row>
    <row r="655" spans="1:13" x14ac:dyDescent="0.3">
      <c r="A655">
        <v>2009</v>
      </c>
      <c r="B655">
        <v>6</v>
      </c>
      <c r="C655">
        <v>19</v>
      </c>
      <c r="D655">
        <v>0.65341827734123958</v>
      </c>
      <c r="E655">
        <v>1.5200000000000102E-2</v>
      </c>
      <c r="F655">
        <f t="shared" si="38"/>
        <v>9.9319578155869087E-3</v>
      </c>
      <c r="M655" s="31"/>
    </row>
    <row r="656" spans="1:13" x14ac:dyDescent="0.3">
      <c r="A656">
        <v>2009</v>
      </c>
      <c r="B656">
        <v>6</v>
      </c>
      <c r="C656">
        <v>17</v>
      </c>
      <c r="D656">
        <v>0.63917674737253516</v>
      </c>
      <c r="E656">
        <v>1.5200000000000102E-2</v>
      </c>
      <c r="F656">
        <f t="shared" si="38"/>
        <v>9.7154865600625993E-3</v>
      </c>
      <c r="M656" s="31"/>
    </row>
    <row r="657" spans="1:13" x14ac:dyDescent="0.3">
      <c r="A657">
        <v>2009</v>
      </c>
      <c r="B657">
        <v>6</v>
      </c>
      <c r="C657">
        <v>14</v>
      </c>
      <c r="D657">
        <v>0.62252773364685454</v>
      </c>
      <c r="E657">
        <v>1.5200000000000102E-2</v>
      </c>
      <c r="F657">
        <f t="shared" si="38"/>
        <v>9.4624215514322527E-3</v>
      </c>
      <c r="M657" s="31"/>
    </row>
    <row r="658" spans="1:13" x14ac:dyDescent="0.3">
      <c r="A658">
        <v>2009</v>
      </c>
      <c r="B658">
        <v>6</v>
      </c>
      <c r="C658">
        <v>11</v>
      </c>
      <c r="D658">
        <v>0.60714464089330533</v>
      </c>
      <c r="E658">
        <v>1.5200000000000102E-2</v>
      </c>
      <c r="F658">
        <f t="shared" si="38"/>
        <v>9.2285985415783024E-3</v>
      </c>
      <c r="M658" s="31"/>
    </row>
    <row r="659" spans="1:13" x14ac:dyDescent="0.3">
      <c r="A659">
        <v>2009</v>
      </c>
      <c r="B659">
        <v>6</v>
      </c>
      <c r="C659">
        <v>9</v>
      </c>
      <c r="D659">
        <v>0.59326584424512385</v>
      </c>
      <c r="E659">
        <v>1.5200000000000102E-2</v>
      </c>
      <c r="F659">
        <f t="shared" si="38"/>
        <v>9.0176408325259427E-3</v>
      </c>
      <c r="M659" s="31"/>
    </row>
    <row r="660" spans="1:13" x14ac:dyDescent="0.3">
      <c r="A660">
        <v>2009</v>
      </c>
      <c r="B660">
        <v>6</v>
      </c>
      <c r="C660">
        <v>6</v>
      </c>
      <c r="D660">
        <v>0.5833068041056354</v>
      </c>
      <c r="E660">
        <v>1.5200000000000102E-2</v>
      </c>
      <c r="F660">
        <f t="shared" si="38"/>
        <v>8.8662634224057173E-3</v>
      </c>
      <c r="M660" s="31"/>
    </row>
    <row r="661" spans="1:13" x14ac:dyDescent="0.3">
      <c r="A661">
        <v>2009</v>
      </c>
      <c r="B661">
        <v>6</v>
      </c>
      <c r="C661">
        <v>4</v>
      </c>
      <c r="D661">
        <v>0.57312853705952904</v>
      </c>
      <c r="E661">
        <v>1.5200000000000102E-2</v>
      </c>
      <c r="F661">
        <f t="shared" si="38"/>
        <v>8.7115537633049005E-3</v>
      </c>
      <c r="M661" s="31"/>
    </row>
    <row r="662" spans="1:13" x14ac:dyDescent="0.3">
      <c r="A662">
        <v>2009</v>
      </c>
      <c r="B662">
        <v>6</v>
      </c>
      <c r="C662">
        <v>1</v>
      </c>
      <c r="D662">
        <v>0.56400799253137857</v>
      </c>
      <c r="E662">
        <v>1.5200000000000102E-2</v>
      </c>
      <c r="F662">
        <f t="shared" si="38"/>
        <v>8.5729214864770122E-3</v>
      </c>
      <c r="M662" s="31"/>
    </row>
    <row r="663" spans="1:13" x14ac:dyDescent="0.3">
      <c r="A663">
        <v>2009</v>
      </c>
      <c r="B663">
        <v>5</v>
      </c>
      <c r="C663">
        <v>29</v>
      </c>
      <c r="D663">
        <v>0.55491911080665102</v>
      </c>
      <c r="E663">
        <v>1.5200000000000102E-2</v>
      </c>
      <c r="F663">
        <f t="shared" si="38"/>
        <v>8.4347704842611514E-3</v>
      </c>
      <c r="M663" s="31"/>
    </row>
    <row r="664" spans="1:13" x14ac:dyDescent="0.3">
      <c r="A664">
        <v>2009</v>
      </c>
      <c r="B664">
        <v>5</v>
      </c>
      <c r="C664">
        <v>27</v>
      </c>
      <c r="D664">
        <v>0.54636719258770294</v>
      </c>
      <c r="E664">
        <v>1.5200000000000102E-2</v>
      </c>
      <c r="F664">
        <f t="shared" si="38"/>
        <v>8.3047813273331404E-3</v>
      </c>
      <c r="M664" s="31"/>
    </row>
    <row r="665" spans="1:13" x14ac:dyDescent="0.3">
      <c r="A665">
        <v>2009</v>
      </c>
      <c r="B665">
        <v>5</v>
      </c>
      <c r="C665">
        <v>24</v>
      </c>
      <c r="D665">
        <v>0.53960841990296593</v>
      </c>
      <c r="E665">
        <v>1.5200000000000102E-2</v>
      </c>
      <c r="F665">
        <f t="shared" si="38"/>
        <v>8.2020479825251381E-3</v>
      </c>
      <c r="M665" s="31"/>
    </row>
    <row r="666" spans="1:13" x14ac:dyDescent="0.3">
      <c r="A666">
        <v>2009</v>
      </c>
      <c r="B666">
        <v>5</v>
      </c>
      <c r="C666">
        <v>22</v>
      </c>
      <c r="D666">
        <v>0.53739873041576347</v>
      </c>
      <c r="E666">
        <v>1.5200000000000102E-2</v>
      </c>
      <c r="F666">
        <f t="shared" si="38"/>
        <v>8.1684607023196597E-3</v>
      </c>
      <c r="M666" s="31"/>
    </row>
    <row r="667" spans="1:13" x14ac:dyDescent="0.3">
      <c r="A667">
        <v>2009</v>
      </c>
      <c r="B667">
        <v>5</v>
      </c>
      <c r="C667">
        <v>19</v>
      </c>
      <c r="D667">
        <v>0.53556763272655838</v>
      </c>
      <c r="E667">
        <v>1.5200000000000102E-2</v>
      </c>
      <c r="F667">
        <f t="shared" si="38"/>
        <v>8.1406280174437431E-3</v>
      </c>
      <c r="M667" s="31"/>
    </row>
    <row r="668" spans="1:13" x14ac:dyDescent="0.3">
      <c r="A668">
        <v>2009</v>
      </c>
      <c r="B668">
        <v>5</v>
      </c>
      <c r="C668">
        <v>16</v>
      </c>
      <c r="D668">
        <v>0.53373713426546476</v>
      </c>
      <c r="E668">
        <v>1.5200000000000102E-2</v>
      </c>
      <c r="F668">
        <f t="shared" si="38"/>
        <v>8.1128044408351196E-3</v>
      </c>
      <c r="M668" s="31"/>
    </row>
    <row r="669" spans="1:13" x14ac:dyDescent="0.3">
      <c r="A669">
        <v>2009</v>
      </c>
      <c r="B669">
        <v>5</v>
      </c>
      <c r="C669">
        <v>14</v>
      </c>
      <c r="D669">
        <v>0.53115286195743749</v>
      </c>
      <c r="E669">
        <v>1.5200000000000102E-2</v>
      </c>
      <c r="F669">
        <f t="shared" si="38"/>
        <v>8.0735235017531035E-3</v>
      </c>
      <c r="M669" s="31"/>
    </row>
    <row r="670" spans="1:13" x14ac:dyDescent="0.3">
      <c r="A670">
        <v>2009</v>
      </c>
      <c r="B670">
        <v>5</v>
      </c>
      <c r="C670">
        <v>11</v>
      </c>
      <c r="D670">
        <v>0.52944981702414529</v>
      </c>
      <c r="E670">
        <v>1.5200000000000102E-2</v>
      </c>
      <c r="F670">
        <f t="shared" si="38"/>
        <v>8.0476372187670633E-3</v>
      </c>
      <c r="M670" s="31"/>
    </row>
    <row r="671" spans="1:13" x14ac:dyDescent="0.3">
      <c r="A671">
        <v>2009</v>
      </c>
      <c r="B671">
        <v>5</v>
      </c>
      <c r="C671">
        <v>9</v>
      </c>
      <c r="D671">
        <v>0.53038642105286771</v>
      </c>
      <c r="E671">
        <v>1.5200000000000102E-2</v>
      </c>
      <c r="F671">
        <f t="shared" si="38"/>
        <v>8.0618736000036429E-3</v>
      </c>
      <c r="M671" s="31"/>
    </row>
    <row r="672" spans="1:13" x14ac:dyDescent="0.3">
      <c r="A672">
        <v>2009</v>
      </c>
      <c r="B672">
        <v>5</v>
      </c>
      <c r="C672">
        <v>6</v>
      </c>
      <c r="D672">
        <v>0.53409495506010207</v>
      </c>
      <c r="E672">
        <v>1.5200000000000102E-2</v>
      </c>
      <c r="F672">
        <f t="shared" si="38"/>
        <v>8.1182433169136054E-3</v>
      </c>
      <c r="M672" s="31"/>
    </row>
    <row r="673" spans="1:13" x14ac:dyDescent="0.3">
      <c r="A673">
        <v>2009</v>
      </c>
      <c r="B673">
        <v>5</v>
      </c>
      <c r="C673">
        <v>3</v>
      </c>
      <c r="D673">
        <v>0.53932696703398308</v>
      </c>
      <c r="E673">
        <v>1.5200000000000102E-2</v>
      </c>
      <c r="F673">
        <f t="shared" si="38"/>
        <v>8.197769898916598E-3</v>
      </c>
      <c r="M673" s="31"/>
    </row>
    <row r="674" spans="1:13" x14ac:dyDescent="0.3">
      <c r="A674">
        <v>2009</v>
      </c>
      <c r="B674">
        <v>5</v>
      </c>
      <c r="C674">
        <v>1</v>
      </c>
      <c r="D674">
        <v>0.54609510401442962</v>
      </c>
      <c r="E674">
        <v>1.5200000000000102E-2</v>
      </c>
      <c r="F674">
        <f t="shared" si="38"/>
        <v>8.300645581019386E-3</v>
      </c>
      <c r="M674" s="31"/>
    </row>
    <row r="675" spans="1:13" x14ac:dyDescent="0.3">
      <c r="A675">
        <v>2009</v>
      </c>
      <c r="B675">
        <v>4</v>
      </c>
      <c r="C675">
        <v>28</v>
      </c>
      <c r="D675">
        <v>0.5518701400165682</v>
      </c>
      <c r="E675">
        <v>1.5200000000000102E-2</v>
      </c>
      <c r="F675">
        <f t="shared" si="38"/>
        <v>8.3884261282518927E-3</v>
      </c>
      <c r="M675" s="31"/>
    </row>
    <row r="676" spans="1:13" x14ac:dyDescent="0.3">
      <c r="A676">
        <v>2009</v>
      </c>
      <c r="B676">
        <v>4</v>
      </c>
      <c r="C676">
        <v>26</v>
      </c>
      <c r="D676">
        <v>0.55524231700753501</v>
      </c>
      <c r="E676">
        <v>1.5200000000000102E-2</v>
      </c>
      <c r="F676">
        <f t="shared" si="38"/>
        <v>8.4396832185145883E-3</v>
      </c>
      <c r="M676" s="31"/>
    </row>
    <row r="677" spans="1:13" x14ac:dyDescent="0.3">
      <c r="A677">
        <v>2009</v>
      </c>
      <c r="B677">
        <v>4</v>
      </c>
      <c r="C677">
        <v>23</v>
      </c>
      <c r="D677">
        <v>0.55913150281311996</v>
      </c>
      <c r="E677">
        <v>1.5200000000000102E-2</v>
      </c>
      <c r="F677">
        <f t="shared" si="38"/>
        <v>8.4987988427594804E-3</v>
      </c>
      <c r="M677" s="31"/>
    </row>
    <row r="678" spans="1:13" x14ac:dyDescent="0.3">
      <c r="A678">
        <v>2009</v>
      </c>
      <c r="B678">
        <v>4</v>
      </c>
      <c r="C678">
        <v>20</v>
      </c>
      <c r="D678">
        <v>0.56328502675942904</v>
      </c>
      <c r="E678">
        <v>1.5200000000000102E-2</v>
      </c>
      <c r="F678">
        <f t="shared" si="38"/>
        <v>8.5619324067433798E-3</v>
      </c>
      <c r="M678" s="31"/>
    </row>
    <row r="679" spans="1:13" x14ac:dyDescent="0.3">
      <c r="A679">
        <v>2009</v>
      </c>
      <c r="B679">
        <v>4</v>
      </c>
      <c r="C679">
        <v>18</v>
      </c>
      <c r="D679">
        <v>0.56706384331893878</v>
      </c>
      <c r="E679">
        <v>1.5200000000000102E-2</v>
      </c>
      <c r="F679">
        <f t="shared" si="38"/>
        <v>8.6193704184479268E-3</v>
      </c>
      <c r="M679" s="31"/>
    </row>
    <row r="680" spans="1:13" x14ac:dyDescent="0.3">
      <c r="A680">
        <v>2009</v>
      </c>
      <c r="B680">
        <v>4</v>
      </c>
      <c r="C680">
        <v>15</v>
      </c>
      <c r="D680">
        <v>0.56931122321234551</v>
      </c>
      <c r="E680">
        <v>1.5200000000000102E-2</v>
      </c>
      <c r="F680">
        <f t="shared" si="38"/>
        <v>8.6535305928277101E-3</v>
      </c>
      <c r="M680" s="31"/>
    </row>
    <row r="681" spans="1:13" x14ac:dyDescent="0.3">
      <c r="A681">
        <v>2009</v>
      </c>
      <c r="B681">
        <v>4</v>
      </c>
      <c r="C681">
        <v>13</v>
      </c>
      <c r="D681">
        <v>0.5709196169635018</v>
      </c>
      <c r="E681">
        <v>1.5200000000000102E-2</v>
      </c>
      <c r="F681">
        <f t="shared" si="38"/>
        <v>8.6779781778452865E-3</v>
      </c>
      <c r="M681" s="31"/>
    </row>
    <row r="682" spans="1:13" x14ac:dyDescent="0.3">
      <c r="A682">
        <v>2009</v>
      </c>
      <c r="B682">
        <v>4</v>
      </c>
      <c r="C682">
        <v>10</v>
      </c>
      <c r="D682">
        <v>0.56983272610339042</v>
      </c>
      <c r="E682">
        <v>1.5200000000000102E-2</v>
      </c>
      <c r="F682">
        <f t="shared" si="38"/>
        <v>8.661457436771592E-3</v>
      </c>
      <c r="M682" s="31"/>
    </row>
    <row r="683" spans="1:13" x14ac:dyDescent="0.3">
      <c r="A683">
        <v>2009</v>
      </c>
      <c r="B683">
        <v>4</v>
      </c>
      <c r="C683">
        <v>7</v>
      </c>
      <c r="D683">
        <v>0.5678480338920594</v>
      </c>
      <c r="E683">
        <v>1.5200000000000102E-2</v>
      </c>
      <c r="F683">
        <f t="shared" si="38"/>
        <v>8.631290115159361E-3</v>
      </c>
      <c r="M683" s="31"/>
    </row>
    <row r="684" spans="1:13" x14ac:dyDescent="0.3">
      <c r="A684">
        <v>2009</v>
      </c>
      <c r="B684">
        <v>4</v>
      </c>
      <c r="C684">
        <v>5</v>
      </c>
      <c r="D684">
        <v>0.56573568545854092</v>
      </c>
      <c r="E684">
        <v>1.5200000000000102E-2</v>
      </c>
      <c r="F684">
        <f t="shared" si="38"/>
        <v>8.59918241896988E-3</v>
      </c>
      <c r="M684" s="31"/>
    </row>
    <row r="685" spans="1:13" x14ac:dyDescent="0.3">
      <c r="A685">
        <v>2009</v>
      </c>
      <c r="B685">
        <v>4</v>
      </c>
      <c r="C685">
        <v>2</v>
      </c>
      <c r="D685">
        <v>0.56029545199771302</v>
      </c>
      <c r="E685">
        <v>1.5200000000000102E-2</v>
      </c>
      <c r="F685">
        <f t="shared" si="38"/>
        <v>8.5164908703652953E-3</v>
      </c>
      <c r="M685" s="31"/>
    </row>
    <row r="686" spans="1:13" x14ac:dyDescent="0.3">
      <c r="A686">
        <v>2009</v>
      </c>
      <c r="B686">
        <v>3</v>
      </c>
      <c r="C686">
        <v>31</v>
      </c>
      <c r="D686">
        <v>0.55346171549737622</v>
      </c>
      <c r="E686">
        <v>1.5200000000000102E-2</v>
      </c>
      <c r="F686">
        <f t="shared" si="38"/>
        <v>8.4126180755601746E-3</v>
      </c>
      <c r="M686" s="31"/>
    </row>
    <row r="687" spans="1:13" x14ac:dyDescent="0.3">
      <c r="A687">
        <v>2009</v>
      </c>
      <c r="B687">
        <v>3</v>
      </c>
      <c r="C687">
        <v>28</v>
      </c>
      <c r="D687">
        <v>0.54410168136830328</v>
      </c>
      <c r="E687">
        <v>1.5200000000000102E-2</v>
      </c>
      <c r="F687">
        <f t="shared" si="38"/>
        <v>8.2703455567982656E-3</v>
      </c>
      <c r="M687" s="31"/>
    </row>
    <row r="688" spans="1:13" x14ac:dyDescent="0.3">
      <c r="A688">
        <v>2009</v>
      </c>
      <c r="B688">
        <v>3</v>
      </c>
      <c r="C688">
        <v>25</v>
      </c>
      <c r="D688">
        <v>0.53237230673710789</v>
      </c>
      <c r="E688">
        <v>1.5200000000000102E-2</v>
      </c>
      <c r="F688">
        <f t="shared" si="38"/>
        <v>8.0920590624040944E-3</v>
      </c>
      <c r="M688" s="31"/>
    </row>
    <row r="689" spans="1:13" x14ac:dyDescent="0.3">
      <c r="A689">
        <v>2009</v>
      </c>
      <c r="B689">
        <v>3</v>
      </c>
      <c r="C689">
        <v>23</v>
      </c>
      <c r="D689">
        <v>0.51730618974460996</v>
      </c>
      <c r="E689">
        <v>1.5200000000000102E-2</v>
      </c>
      <c r="F689">
        <f t="shared" si="38"/>
        <v>7.8630540841181235E-3</v>
      </c>
      <c r="M689" s="31"/>
    </row>
    <row r="690" spans="1:13" x14ac:dyDescent="0.3">
      <c r="A690">
        <v>2009</v>
      </c>
      <c r="B690">
        <v>3</v>
      </c>
      <c r="C690">
        <v>20</v>
      </c>
      <c r="D690">
        <v>0.50358695249508412</v>
      </c>
      <c r="E690">
        <v>1.5200000000000102E-2</v>
      </c>
      <c r="F690">
        <f t="shared" si="38"/>
        <v>7.6545216779253305E-3</v>
      </c>
      <c r="M690" s="31"/>
    </row>
    <row r="691" spans="1:13" x14ac:dyDescent="0.3">
      <c r="A691">
        <v>2009</v>
      </c>
      <c r="B691">
        <v>3</v>
      </c>
      <c r="C691">
        <v>18</v>
      </c>
      <c r="D691">
        <v>0.48920775038740683</v>
      </c>
      <c r="E691">
        <v>1.5200000000000102E-2</v>
      </c>
      <c r="F691">
        <f t="shared" si="38"/>
        <v>7.4359578058886336E-3</v>
      </c>
      <c r="M691" s="31"/>
    </row>
    <row r="692" spans="1:13" x14ac:dyDescent="0.3">
      <c r="A692">
        <v>2009</v>
      </c>
      <c r="B692">
        <v>3</v>
      </c>
      <c r="C692">
        <v>15</v>
      </c>
      <c r="D692">
        <v>0.47615513118751074</v>
      </c>
      <c r="E692">
        <v>1.5200000000000102E-2</v>
      </c>
      <c r="F692">
        <f t="shared" si="38"/>
        <v>7.2375579940502123E-3</v>
      </c>
      <c r="M692" s="31"/>
    </row>
    <row r="693" spans="1:13" x14ac:dyDescent="0.3">
      <c r="A693">
        <v>2009</v>
      </c>
      <c r="B693">
        <v>3</v>
      </c>
      <c r="C693">
        <v>12</v>
      </c>
      <c r="D693">
        <v>0.46648957079328535</v>
      </c>
      <c r="E693">
        <v>1.5200000000000102E-2</v>
      </c>
      <c r="F693">
        <f t="shared" si="38"/>
        <v>7.0906414760579847E-3</v>
      </c>
      <c r="M693" s="31"/>
    </row>
    <row r="694" spans="1:13" x14ac:dyDescent="0.3">
      <c r="A694">
        <v>2009</v>
      </c>
      <c r="B694">
        <v>3</v>
      </c>
      <c r="C694">
        <v>10</v>
      </c>
      <c r="D694">
        <v>0.45967542188427557</v>
      </c>
      <c r="E694">
        <v>1.5200000000000102E-2</v>
      </c>
      <c r="F694">
        <f t="shared" si="38"/>
        <v>6.987066412641036E-3</v>
      </c>
      <c r="M694" s="31"/>
    </row>
    <row r="695" spans="1:13" x14ac:dyDescent="0.3">
      <c r="A695">
        <v>2009</v>
      </c>
      <c r="B695">
        <v>3</v>
      </c>
      <c r="C695">
        <v>7</v>
      </c>
      <c r="D695">
        <v>0.45446582244242933</v>
      </c>
      <c r="E695">
        <v>1.5200000000000102E-2</v>
      </c>
      <c r="F695">
        <f t="shared" si="38"/>
        <v>6.9078805011249722E-3</v>
      </c>
      <c r="M695" s="31"/>
    </row>
    <row r="696" spans="1:13" x14ac:dyDescent="0.3">
      <c r="A696">
        <v>2009</v>
      </c>
      <c r="B696">
        <v>3</v>
      </c>
      <c r="C696">
        <v>5</v>
      </c>
      <c r="D696">
        <v>0.45036214833279425</v>
      </c>
      <c r="E696">
        <v>1.5200000000000102E-2</v>
      </c>
      <c r="F696">
        <f t="shared" si="38"/>
        <v>6.8455046546585189E-3</v>
      </c>
      <c r="M696" s="31"/>
    </row>
    <row r="697" spans="1:13" x14ac:dyDescent="0.3">
      <c r="A697">
        <v>2009</v>
      </c>
      <c r="B697">
        <v>3</v>
      </c>
      <c r="C697">
        <v>2</v>
      </c>
      <c r="D697">
        <v>0.44796563881205481</v>
      </c>
      <c r="E697">
        <v>1.5200000000000102E-2</v>
      </c>
      <c r="F697">
        <f t="shared" si="38"/>
        <v>6.8090777099432788E-3</v>
      </c>
      <c r="M697" s="31"/>
    </row>
    <row r="698" spans="1:13" x14ac:dyDescent="0.3">
      <c r="A698">
        <v>2009</v>
      </c>
      <c r="B698">
        <v>2</v>
      </c>
      <c r="C698">
        <v>28</v>
      </c>
      <c r="D698">
        <v>0.44581368877473032</v>
      </c>
      <c r="E698">
        <v>1.5200000000000102E-2</v>
      </c>
      <c r="F698">
        <f t="shared" si="38"/>
        <v>6.7763680693759465E-3</v>
      </c>
      <c r="M698" s="31"/>
    </row>
    <row r="699" spans="1:13" x14ac:dyDescent="0.3">
      <c r="A699">
        <v>2009</v>
      </c>
      <c r="B699">
        <v>2</v>
      </c>
      <c r="C699">
        <v>20</v>
      </c>
      <c r="D699">
        <v>0.44601820357445515</v>
      </c>
      <c r="E699">
        <v>1.5200000000000102E-2</v>
      </c>
      <c r="F699">
        <f t="shared" si="38"/>
        <v>6.7794766943317635E-3</v>
      </c>
      <c r="M699" s="31"/>
    </row>
    <row r="700" spans="1:13" x14ac:dyDescent="0.3">
      <c r="A700">
        <v>2009</v>
      </c>
      <c r="B700">
        <v>2</v>
      </c>
      <c r="C700">
        <v>13</v>
      </c>
      <c r="D700">
        <v>0.44865198214483776</v>
      </c>
      <c r="E700">
        <v>1.5200000000000102E-2</v>
      </c>
      <c r="F700">
        <f t="shared" si="38"/>
        <v>6.8195101286015799E-3</v>
      </c>
      <c r="M700" s="31"/>
    </row>
    <row r="701" spans="1:13" x14ac:dyDescent="0.3">
      <c r="A701">
        <v>2009</v>
      </c>
      <c r="B701">
        <v>2</v>
      </c>
      <c r="C701">
        <v>5</v>
      </c>
      <c r="D701">
        <v>0.45640841838449131</v>
      </c>
      <c r="E701">
        <v>1.5200000000000102E-2</v>
      </c>
      <c r="F701">
        <f t="shared" si="38"/>
        <v>6.9374079594443144E-3</v>
      </c>
      <c r="M701" s="31"/>
    </row>
    <row r="702" spans="1:13" x14ac:dyDescent="0.3">
      <c r="A702">
        <v>2009</v>
      </c>
      <c r="B702">
        <v>1</v>
      </c>
      <c r="C702">
        <v>29</v>
      </c>
      <c r="D702">
        <v>0.46579047068072055</v>
      </c>
      <c r="E702">
        <v>1.5200000000000102E-2</v>
      </c>
      <c r="F702">
        <f t="shared" si="38"/>
        <v>7.0800151543469999E-3</v>
      </c>
      <c r="M702" s="31"/>
    </row>
    <row r="703" spans="1:13" x14ac:dyDescent="0.3">
      <c r="A703">
        <v>2009</v>
      </c>
      <c r="B703">
        <v>1</v>
      </c>
      <c r="C703">
        <v>22</v>
      </c>
      <c r="D703">
        <v>0.47805467216917003</v>
      </c>
      <c r="E703">
        <v>1.5200000000000102E-2</v>
      </c>
      <c r="F703">
        <f t="shared" si="38"/>
        <v>7.2664310169714332E-3</v>
      </c>
      <c r="M703" s="31"/>
    </row>
    <row r="704" spans="1:13" x14ac:dyDescent="0.3">
      <c r="A704">
        <v>2009</v>
      </c>
      <c r="B704">
        <v>1</v>
      </c>
      <c r="C704">
        <v>14</v>
      </c>
      <c r="D704">
        <v>0.4930047705707612</v>
      </c>
      <c r="E704">
        <v>1.5200000000000102E-2</v>
      </c>
      <c r="F704">
        <f t="shared" si="38"/>
        <v>7.4936725126756205E-3</v>
      </c>
      <c r="M704" s="31"/>
    </row>
    <row r="705" spans="1:13" x14ac:dyDescent="0.3">
      <c r="A705">
        <v>2009</v>
      </c>
      <c r="B705">
        <v>1</v>
      </c>
      <c r="C705">
        <v>7</v>
      </c>
      <c r="D705">
        <v>0.51032099897325311</v>
      </c>
      <c r="E705">
        <v>1.5200000000000102E-2</v>
      </c>
      <c r="F705">
        <f t="shared" si="38"/>
        <v>7.7568791843935E-3</v>
      </c>
      <c r="M705" s="31"/>
    </row>
    <row r="706" spans="1:13" x14ac:dyDescent="0.3">
      <c r="A706">
        <v>2008</v>
      </c>
      <c r="B706">
        <v>12</v>
      </c>
      <c r="C706">
        <v>31</v>
      </c>
      <c r="D706">
        <v>0.52651628690742358</v>
      </c>
      <c r="E706">
        <v>1.5200000000000102E-2</v>
      </c>
      <c r="F706">
        <f t="shared" si="38"/>
        <v>8.003047560992892E-3</v>
      </c>
      <c r="M706" s="31"/>
    </row>
    <row r="707" spans="1:13" x14ac:dyDescent="0.3">
      <c r="A707">
        <v>2008</v>
      </c>
      <c r="B707">
        <v>12</v>
      </c>
      <c r="C707">
        <v>23</v>
      </c>
      <c r="D707">
        <v>0.54308675079078328</v>
      </c>
      <c r="E707">
        <v>1.5200000000000102E-2</v>
      </c>
      <c r="F707">
        <f t="shared" ref="F707:F770" si="39">D707*E707</f>
        <v>8.2549186120199607E-3</v>
      </c>
      <c r="M707" s="31"/>
    </row>
    <row r="708" spans="1:13" x14ac:dyDescent="0.3">
      <c r="A708">
        <v>2008</v>
      </c>
      <c r="B708">
        <v>12</v>
      </c>
      <c r="C708">
        <v>16</v>
      </c>
      <c r="D708">
        <v>0.55696016973174567</v>
      </c>
      <c r="E708">
        <v>1.5200000000000102E-2</v>
      </c>
      <c r="F708">
        <f t="shared" si="39"/>
        <v>8.4657945799225913E-3</v>
      </c>
      <c r="M708" s="31"/>
    </row>
    <row r="709" spans="1:13" x14ac:dyDescent="0.3">
      <c r="A709">
        <v>2008</v>
      </c>
      <c r="B709">
        <v>12</v>
      </c>
      <c r="C709">
        <v>9</v>
      </c>
      <c r="D709">
        <v>0.5674399578807271</v>
      </c>
      <c r="E709">
        <v>1.5200000000000102E-2</v>
      </c>
      <c r="F709">
        <f t="shared" si="39"/>
        <v>8.6250873597871099E-3</v>
      </c>
      <c r="M709" s="31"/>
    </row>
    <row r="710" spans="1:13" x14ac:dyDescent="0.3">
      <c r="A710">
        <v>2008</v>
      </c>
      <c r="B710">
        <v>12</v>
      </c>
      <c r="C710">
        <v>1</v>
      </c>
      <c r="D710">
        <v>0.57460789644309196</v>
      </c>
      <c r="E710">
        <v>1.5200000000000102E-2</v>
      </c>
      <c r="F710">
        <f t="shared" si="39"/>
        <v>8.7340400259350564E-3</v>
      </c>
      <c r="M710" s="31"/>
    </row>
    <row r="711" spans="1:13" x14ac:dyDescent="0.3">
      <c r="A711">
        <v>2008</v>
      </c>
      <c r="B711">
        <v>11</v>
      </c>
      <c r="C711">
        <v>24</v>
      </c>
      <c r="D711">
        <v>0.57998544963762011</v>
      </c>
      <c r="E711">
        <v>1.5200000000000102E-2</v>
      </c>
      <c r="F711">
        <f t="shared" si="39"/>
        <v>8.8157788344918851E-3</v>
      </c>
      <c r="M711" s="31"/>
    </row>
    <row r="712" spans="1:13" x14ac:dyDescent="0.3">
      <c r="A712">
        <v>2008</v>
      </c>
      <c r="B712">
        <v>11</v>
      </c>
      <c r="C712">
        <v>16</v>
      </c>
      <c r="D712">
        <v>0.5839492086578757</v>
      </c>
      <c r="E712">
        <v>1.5200000000000102E-2</v>
      </c>
      <c r="F712">
        <f t="shared" si="39"/>
        <v>8.876027971599771E-3</v>
      </c>
      <c r="M712" s="31"/>
    </row>
    <row r="713" spans="1:13" x14ac:dyDescent="0.3">
      <c r="A713">
        <v>2008</v>
      </c>
      <c r="B713">
        <v>11</v>
      </c>
      <c r="C713">
        <v>9</v>
      </c>
      <c r="D713">
        <v>0.5881782003787156</v>
      </c>
      <c r="E713">
        <v>1.5200000000000102E-2</v>
      </c>
      <c r="F713">
        <f t="shared" si="39"/>
        <v>8.9403086457565378E-3</v>
      </c>
      <c r="M713" s="31"/>
    </row>
    <row r="714" spans="1:13" x14ac:dyDescent="0.3">
      <c r="A714">
        <v>2008</v>
      </c>
      <c r="B714">
        <v>11</v>
      </c>
      <c r="C714">
        <v>2</v>
      </c>
      <c r="D714">
        <v>0.59228432198518466</v>
      </c>
      <c r="E714">
        <v>1.5200000000000102E-2</v>
      </c>
      <c r="F714">
        <f t="shared" si="39"/>
        <v>9.0027216941748669E-3</v>
      </c>
      <c r="M714" s="31"/>
    </row>
    <row r="715" spans="1:13" x14ac:dyDescent="0.3">
      <c r="A715">
        <v>2008</v>
      </c>
      <c r="B715">
        <v>10</v>
      </c>
      <c r="C715">
        <v>25</v>
      </c>
      <c r="D715">
        <v>0.59769928758760071</v>
      </c>
      <c r="E715">
        <v>1.5200000000000102E-2</v>
      </c>
      <c r="F715">
        <f t="shared" si="39"/>
        <v>9.0850291713315927E-3</v>
      </c>
      <c r="M715" s="31"/>
    </row>
    <row r="716" spans="1:13" x14ac:dyDescent="0.3">
      <c r="A716">
        <v>2008</v>
      </c>
      <c r="B716">
        <v>10</v>
      </c>
      <c r="C716">
        <v>18</v>
      </c>
      <c r="D716">
        <v>0.60299492158060619</v>
      </c>
      <c r="E716">
        <v>1.5200000000000102E-2</v>
      </c>
      <c r="F716">
        <f t="shared" si="39"/>
        <v>9.1655228080252758E-3</v>
      </c>
      <c r="M716" s="31"/>
    </row>
    <row r="717" spans="1:13" x14ac:dyDescent="0.3">
      <c r="A717">
        <v>2008</v>
      </c>
      <c r="B717">
        <v>10</v>
      </c>
      <c r="C717">
        <v>11</v>
      </c>
      <c r="D717">
        <v>0.61813241326815083</v>
      </c>
      <c r="E717">
        <v>1.5200000000000102E-2</v>
      </c>
      <c r="F717">
        <f t="shared" si="39"/>
        <v>9.3956126816759564E-3</v>
      </c>
      <c r="M717" s="31"/>
    </row>
    <row r="718" spans="1:13" x14ac:dyDescent="0.3">
      <c r="A718">
        <v>2008</v>
      </c>
      <c r="B718">
        <v>10</v>
      </c>
      <c r="C718">
        <v>3</v>
      </c>
      <c r="D718">
        <v>0.63362388719290197</v>
      </c>
      <c r="E718">
        <v>1.5200000000000102E-2</v>
      </c>
      <c r="F718">
        <f t="shared" si="39"/>
        <v>9.631083085332174E-3</v>
      </c>
      <c r="M718" s="31"/>
    </row>
    <row r="719" spans="1:13" x14ac:dyDescent="0.3">
      <c r="A719">
        <v>2008</v>
      </c>
      <c r="B719">
        <v>9</v>
      </c>
      <c r="C719">
        <v>26</v>
      </c>
      <c r="D719">
        <v>0.65120110947622278</v>
      </c>
      <c r="E719">
        <v>1.5200000000000102E-2</v>
      </c>
      <c r="F719">
        <f t="shared" si="39"/>
        <v>9.8982568640386525E-3</v>
      </c>
      <c r="M719" s="31"/>
    </row>
    <row r="720" spans="1:13" x14ac:dyDescent="0.3">
      <c r="A720">
        <v>2008</v>
      </c>
      <c r="B720">
        <v>9</v>
      </c>
      <c r="C720">
        <v>19</v>
      </c>
      <c r="D720">
        <v>0.66902681531281882</v>
      </c>
      <c r="E720">
        <v>1.5200000000000102E-2</v>
      </c>
      <c r="F720">
        <f t="shared" si="39"/>
        <v>1.0169207592754914E-2</v>
      </c>
      <c r="M720" s="31"/>
    </row>
    <row r="721" spans="1:13" x14ac:dyDescent="0.3">
      <c r="A721">
        <v>2008</v>
      </c>
      <c r="B721">
        <v>9</v>
      </c>
      <c r="C721">
        <v>11</v>
      </c>
      <c r="D721">
        <v>0.68723719960111385</v>
      </c>
      <c r="E721">
        <v>1.5200000000000102E-2</v>
      </c>
      <c r="F721">
        <f t="shared" si="39"/>
        <v>1.0446005433937E-2</v>
      </c>
      <c r="M721" s="31"/>
    </row>
    <row r="722" spans="1:13" x14ac:dyDescent="0.3">
      <c r="A722">
        <v>2008</v>
      </c>
      <c r="B722">
        <v>9</v>
      </c>
      <c r="C722">
        <v>4</v>
      </c>
      <c r="D722">
        <v>0.69662682934699904</v>
      </c>
      <c r="E722">
        <v>1.5200000000000102E-2</v>
      </c>
      <c r="F722">
        <f t="shared" si="39"/>
        <v>1.0588727806074456E-2</v>
      </c>
      <c r="M722" s="31"/>
    </row>
    <row r="723" spans="1:13" x14ac:dyDescent="0.3">
      <c r="A723">
        <v>2008</v>
      </c>
      <c r="B723">
        <v>8</v>
      </c>
      <c r="C723">
        <v>27</v>
      </c>
      <c r="D723">
        <v>0.70713172327964136</v>
      </c>
      <c r="E723">
        <v>1.5200000000000102E-2</v>
      </c>
      <c r="F723">
        <f t="shared" si="39"/>
        <v>1.074840219385062E-2</v>
      </c>
      <c r="M723" s="31"/>
    </row>
    <row r="724" spans="1:13" x14ac:dyDescent="0.3">
      <c r="A724">
        <v>2008</v>
      </c>
      <c r="B724">
        <v>8</v>
      </c>
      <c r="C724">
        <v>20</v>
      </c>
      <c r="D724">
        <v>0.71631227882027126</v>
      </c>
      <c r="E724">
        <v>1.5200000000000102E-2</v>
      </c>
      <c r="F724">
        <f t="shared" si="39"/>
        <v>1.0887946638068196E-2</v>
      </c>
      <c r="M724" s="31"/>
    </row>
    <row r="725" spans="1:13" x14ac:dyDescent="0.3">
      <c r="A725">
        <v>2008</v>
      </c>
      <c r="B725">
        <v>8</v>
      </c>
      <c r="C725">
        <v>13</v>
      </c>
      <c r="D725">
        <v>0.72415565702040352</v>
      </c>
      <c r="E725">
        <v>1.5200000000000102E-2</v>
      </c>
      <c r="F725">
        <f t="shared" si="39"/>
        <v>1.1007165986710208E-2</v>
      </c>
      <c r="M725" s="31"/>
    </row>
    <row r="726" spans="1:13" x14ac:dyDescent="0.3">
      <c r="A726">
        <v>2008</v>
      </c>
      <c r="B726">
        <v>8</v>
      </c>
      <c r="C726">
        <v>5</v>
      </c>
      <c r="D726">
        <v>0.73393477595117074</v>
      </c>
      <c r="E726">
        <v>1.5200000000000102E-2</v>
      </c>
      <c r="F726">
        <f t="shared" si="39"/>
        <v>1.115580859445787E-2</v>
      </c>
      <c r="M726" s="31"/>
    </row>
    <row r="727" spans="1:13" x14ac:dyDescent="0.3">
      <c r="A727">
        <v>2008</v>
      </c>
      <c r="B727">
        <v>7</v>
      </c>
      <c r="C727">
        <v>29</v>
      </c>
      <c r="D727">
        <v>0.74525593331909623</v>
      </c>
      <c r="E727">
        <v>1.5200000000000102E-2</v>
      </c>
      <c r="F727">
        <f t="shared" si="39"/>
        <v>1.132789018645034E-2</v>
      </c>
      <c r="M727" s="31"/>
    </row>
    <row r="728" spans="1:13" x14ac:dyDescent="0.3">
      <c r="A728">
        <v>2008</v>
      </c>
      <c r="B728">
        <v>7</v>
      </c>
      <c r="C728">
        <v>22</v>
      </c>
      <c r="D728">
        <v>0.75537679515066847</v>
      </c>
      <c r="E728">
        <v>1.5200000000000102E-2</v>
      </c>
      <c r="F728">
        <f t="shared" si="39"/>
        <v>1.1481727286290239E-2</v>
      </c>
      <c r="M728" s="31"/>
    </row>
    <row r="729" spans="1:13" x14ac:dyDescent="0.3">
      <c r="A729">
        <v>2008</v>
      </c>
      <c r="B729">
        <v>7</v>
      </c>
      <c r="C729">
        <v>14</v>
      </c>
      <c r="D729">
        <v>0.7626266699703026</v>
      </c>
      <c r="E729">
        <v>1.5200000000000102E-2</v>
      </c>
      <c r="F729">
        <f t="shared" si="39"/>
        <v>1.1591925383548677E-2</v>
      </c>
      <c r="M729" s="31"/>
    </row>
    <row r="730" spans="1:13" x14ac:dyDescent="0.3">
      <c r="A730">
        <v>2008</v>
      </c>
      <c r="B730">
        <v>7</v>
      </c>
      <c r="C730">
        <v>7</v>
      </c>
      <c r="D730">
        <v>0.76753932148998916</v>
      </c>
      <c r="E730">
        <v>1.5200000000000102E-2</v>
      </c>
      <c r="F730">
        <f t="shared" si="39"/>
        <v>1.1666597686647913E-2</v>
      </c>
      <c r="M730" s="31"/>
    </row>
    <row r="731" spans="1:13" x14ac:dyDescent="0.3">
      <c r="A731">
        <v>2008</v>
      </c>
      <c r="B731">
        <v>6</v>
      </c>
      <c r="C731">
        <v>30</v>
      </c>
      <c r="D731">
        <v>0.76816570725200894</v>
      </c>
      <c r="E731">
        <v>1.5200000000000102E-2</v>
      </c>
      <c r="F731">
        <f t="shared" si="39"/>
        <v>1.1676118750230615E-2</v>
      </c>
      <c r="M731" s="31"/>
    </row>
    <row r="732" spans="1:13" x14ac:dyDescent="0.3">
      <c r="A732">
        <v>2008</v>
      </c>
      <c r="B732">
        <v>6</v>
      </c>
      <c r="C732">
        <v>27</v>
      </c>
      <c r="D732">
        <v>0.76574856670738867</v>
      </c>
      <c r="E732">
        <v>1.5200000000000102E-2</v>
      </c>
      <c r="F732">
        <f t="shared" si="39"/>
        <v>1.1639378213952386E-2</v>
      </c>
      <c r="M732" s="31"/>
    </row>
    <row r="733" spans="1:13" x14ac:dyDescent="0.3">
      <c r="A733">
        <v>2008</v>
      </c>
      <c r="B733">
        <v>6</v>
      </c>
      <c r="C733">
        <v>25</v>
      </c>
      <c r="D733">
        <v>0.76112362186266869</v>
      </c>
      <c r="E733">
        <v>1.5200000000000102E-2</v>
      </c>
      <c r="F733">
        <f t="shared" si="39"/>
        <v>1.1569079052312642E-2</v>
      </c>
      <c r="M733" s="31"/>
    </row>
    <row r="734" spans="1:13" x14ac:dyDescent="0.3">
      <c r="A734">
        <v>2008</v>
      </c>
      <c r="B734">
        <v>6</v>
      </c>
      <c r="C734">
        <v>22</v>
      </c>
      <c r="D734">
        <v>0.75595494002835373</v>
      </c>
      <c r="E734">
        <v>1.5200000000000102E-2</v>
      </c>
      <c r="F734">
        <f t="shared" si="39"/>
        <v>1.1490515088431054E-2</v>
      </c>
      <c r="M734" s="31"/>
    </row>
    <row r="735" spans="1:13" x14ac:dyDescent="0.3">
      <c r="A735">
        <v>2008</v>
      </c>
      <c r="B735">
        <v>6</v>
      </c>
      <c r="C735">
        <v>20</v>
      </c>
      <c r="D735">
        <v>0.75038276989830299</v>
      </c>
      <c r="E735">
        <v>1.5200000000000102E-2</v>
      </c>
      <c r="F735">
        <f t="shared" si="39"/>
        <v>1.1405818102454283E-2</v>
      </c>
      <c r="M735" s="31"/>
    </row>
    <row r="736" spans="1:13" x14ac:dyDescent="0.3">
      <c r="A736">
        <v>2008</v>
      </c>
      <c r="B736">
        <v>6</v>
      </c>
      <c r="C736">
        <v>17</v>
      </c>
      <c r="D736">
        <v>0.74386014969526892</v>
      </c>
      <c r="E736">
        <v>1.5200000000000102E-2</v>
      </c>
      <c r="F736">
        <f t="shared" si="39"/>
        <v>1.1306674275368163E-2</v>
      </c>
      <c r="M736" s="31"/>
    </row>
    <row r="737" spans="1:13" x14ac:dyDescent="0.3">
      <c r="A737">
        <v>2008</v>
      </c>
      <c r="B737">
        <v>6</v>
      </c>
      <c r="C737">
        <v>15</v>
      </c>
      <c r="D737">
        <v>0.73680435333748717</v>
      </c>
      <c r="E737">
        <v>1.5200000000000102E-2</v>
      </c>
      <c r="F737">
        <f t="shared" si="39"/>
        <v>1.119942617072988E-2</v>
      </c>
      <c r="M737" s="31"/>
    </row>
    <row r="738" spans="1:13" x14ac:dyDescent="0.3">
      <c r="A738">
        <v>2008</v>
      </c>
      <c r="B738">
        <v>6</v>
      </c>
      <c r="C738">
        <v>12</v>
      </c>
      <c r="D738">
        <v>0.73195261893233976</v>
      </c>
      <c r="E738">
        <v>1.5200000000000102E-2</v>
      </c>
      <c r="F738">
        <f t="shared" si="39"/>
        <v>1.1125679807771639E-2</v>
      </c>
      <c r="M738" s="31"/>
    </row>
    <row r="739" spans="1:13" x14ac:dyDescent="0.3">
      <c r="A739">
        <v>2008</v>
      </c>
      <c r="B739">
        <v>6</v>
      </c>
      <c r="C739">
        <v>10</v>
      </c>
      <c r="D739">
        <v>0.73011361997196078</v>
      </c>
      <c r="E739">
        <v>1.5200000000000102E-2</v>
      </c>
      <c r="F739">
        <f t="shared" si="39"/>
        <v>1.1097727023573879E-2</v>
      </c>
      <c r="M739" s="31"/>
    </row>
    <row r="740" spans="1:13" x14ac:dyDescent="0.3">
      <c r="A740">
        <v>2008</v>
      </c>
      <c r="B740">
        <v>6</v>
      </c>
      <c r="C740">
        <v>7</v>
      </c>
      <c r="D740">
        <v>0.73182775495776919</v>
      </c>
      <c r="E740">
        <v>1.5200000000000102E-2</v>
      </c>
      <c r="F740">
        <f t="shared" si="39"/>
        <v>1.1123781875358167E-2</v>
      </c>
      <c r="M740" s="31"/>
    </row>
    <row r="741" spans="1:13" x14ac:dyDescent="0.3">
      <c r="A741">
        <v>2008</v>
      </c>
      <c r="B741">
        <v>6</v>
      </c>
      <c r="C741">
        <v>5</v>
      </c>
      <c r="D741">
        <v>0.73874380289346309</v>
      </c>
      <c r="E741">
        <v>1.5200000000000102E-2</v>
      </c>
      <c r="F741">
        <f t="shared" si="39"/>
        <v>1.1228905803980714E-2</v>
      </c>
      <c r="M741" s="31"/>
    </row>
    <row r="742" spans="1:13" x14ac:dyDescent="0.3">
      <c r="A742">
        <v>2008</v>
      </c>
      <c r="B742">
        <v>6</v>
      </c>
      <c r="C742">
        <v>2</v>
      </c>
      <c r="D742">
        <v>0.74773533447888085</v>
      </c>
      <c r="E742">
        <v>1.5200000000000102E-2</v>
      </c>
      <c r="F742">
        <f t="shared" si="39"/>
        <v>1.1365577084079065E-2</v>
      </c>
      <c r="M742" s="31"/>
    </row>
    <row r="743" spans="1:13" x14ac:dyDescent="0.3">
      <c r="A743">
        <v>2008</v>
      </c>
      <c r="B743">
        <v>5</v>
      </c>
      <c r="C743">
        <v>31</v>
      </c>
      <c r="D743">
        <v>0.75813042405387088</v>
      </c>
      <c r="E743">
        <v>1.5200000000000102E-2</v>
      </c>
      <c r="F743">
        <f t="shared" si="39"/>
        <v>1.1523582445618914E-2</v>
      </c>
      <c r="M743" s="31"/>
    </row>
    <row r="744" spans="1:13" x14ac:dyDescent="0.3">
      <c r="A744">
        <v>2008</v>
      </c>
      <c r="B744">
        <v>5</v>
      </c>
      <c r="C744">
        <v>28</v>
      </c>
      <c r="D744">
        <v>0.76897386547203694</v>
      </c>
      <c r="E744">
        <v>1.5200000000000102E-2</v>
      </c>
      <c r="F744">
        <f t="shared" si="39"/>
        <v>1.1688402755175041E-2</v>
      </c>
      <c r="M744" s="31"/>
    </row>
    <row r="745" spans="1:13" x14ac:dyDescent="0.3">
      <c r="A745">
        <v>2008</v>
      </c>
      <c r="B745">
        <v>5</v>
      </c>
      <c r="C745">
        <v>26</v>
      </c>
      <c r="D745">
        <v>0.77804977009252108</v>
      </c>
      <c r="E745">
        <v>1.5200000000000102E-2</v>
      </c>
      <c r="F745">
        <f t="shared" si="39"/>
        <v>1.18263565054064E-2</v>
      </c>
      <c r="M745" s="31"/>
    </row>
    <row r="746" spans="1:13" x14ac:dyDescent="0.3">
      <c r="A746">
        <v>2008</v>
      </c>
      <c r="B746">
        <v>5</v>
      </c>
      <c r="C746">
        <v>23</v>
      </c>
      <c r="D746">
        <v>0.78339730894504578</v>
      </c>
      <c r="E746">
        <v>1.5200000000000102E-2</v>
      </c>
      <c r="F746">
        <f t="shared" si="39"/>
        <v>1.1907639095964775E-2</v>
      </c>
      <c r="M746" s="31"/>
    </row>
    <row r="747" spans="1:13" x14ac:dyDescent="0.3">
      <c r="A747">
        <v>2008</v>
      </c>
      <c r="B747">
        <v>5</v>
      </c>
      <c r="C747">
        <v>21</v>
      </c>
      <c r="D747">
        <v>0.78583209742452464</v>
      </c>
      <c r="E747">
        <v>1.5200000000000102E-2</v>
      </c>
      <c r="F747">
        <f t="shared" si="39"/>
        <v>1.1944647880852855E-2</v>
      </c>
      <c r="M747" s="31"/>
    </row>
    <row r="748" spans="1:13" x14ac:dyDescent="0.3">
      <c r="A748">
        <v>2008</v>
      </c>
      <c r="B748">
        <v>5</v>
      </c>
      <c r="C748">
        <v>18</v>
      </c>
      <c r="D748">
        <v>0.78618225832563238</v>
      </c>
      <c r="E748">
        <v>1.5200000000000102E-2</v>
      </c>
      <c r="F748">
        <f t="shared" si="39"/>
        <v>1.1949970326549693E-2</v>
      </c>
      <c r="M748" s="31"/>
    </row>
    <row r="749" spans="1:13" x14ac:dyDescent="0.3">
      <c r="A749">
        <v>2008</v>
      </c>
      <c r="B749">
        <v>5</v>
      </c>
      <c r="C749">
        <v>16</v>
      </c>
      <c r="D749">
        <v>0.78153078189481406</v>
      </c>
      <c r="E749">
        <v>1.5200000000000102E-2</v>
      </c>
      <c r="F749">
        <f t="shared" si="39"/>
        <v>1.1879267884801254E-2</v>
      </c>
      <c r="M749" s="31"/>
    </row>
    <row r="750" spans="1:13" x14ac:dyDescent="0.3">
      <c r="A750">
        <v>2008</v>
      </c>
      <c r="B750">
        <v>5</v>
      </c>
      <c r="C750">
        <v>13</v>
      </c>
      <c r="D750">
        <v>0.77563922201639435</v>
      </c>
      <c r="E750">
        <v>1.5200000000000102E-2</v>
      </c>
      <c r="F750">
        <f t="shared" si="39"/>
        <v>1.1789716174649273E-2</v>
      </c>
      <c r="M750" s="31"/>
    </row>
    <row r="751" spans="1:13" x14ac:dyDescent="0.3">
      <c r="A751">
        <v>2008</v>
      </c>
      <c r="B751">
        <v>5</v>
      </c>
      <c r="C751">
        <v>11</v>
      </c>
      <c r="D751">
        <v>0.76740942464110518</v>
      </c>
      <c r="E751">
        <v>1.5200000000000102E-2</v>
      </c>
      <c r="F751">
        <f t="shared" si="39"/>
        <v>1.1664623254544877E-2</v>
      </c>
      <c r="M751" s="31"/>
    </row>
    <row r="752" spans="1:13" x14ac:dyDescent="0.3">
      <c r="A752">
        <v>2008</v>
      </c>
      <c r="B752">
        <v>5</v>
      </c>
      <c r="C752">
        <v>8</v>
      </c>
      <c r="D752">
        <v>0.75741115728971098</v>
      </c>
      <c r="E752">
        <v>1.5200000000000102E-2</v>
      </c>
      <c r="F752">
        <f t="shared" si="39"/>
        <v>1.1512649590803684E-2</v>
      </c>
      <c r="M752" s="31"/>
    </row>
    <row r="753" spans="1:13" x14ac:dyDescent="0.3">
      <c r="A753">
        <v>2008</v>
      </c>
      <c r="B753">
        <v>5</v>
      </c>
      <c r="C753">
        <v>6</v>
      </c>
      <c r="D753">
        <v>0.74415335063154187</v>
      </c>
      <c r="E753">
        <v>1.5200000000000102E-2</v>
      </c>
      <c r="F753">
        <f t="shared" si="39"/>
        <v>1.1311130929599513E-2</v>
      </c>
      <c r="M753" s="31"/>
    </row>
    <row r="754" spans="1:13" x14ac:dyDescent="0.3">
      <c r="A754">
        <v>2008</v>
      </c>
      <c r="B754">
        <v>5</v>
      </c>
      <c r="C754">
        <v>3</v>
      </c>
      <c r="D754">
        <v>0.73177391287159421</v>
      </c>
      <c r="E754">
        <v>1.5200000000000102E-2</v>
      </c>
      <c r="F754">
        <f t="shared" si="39"/>
        <v>1.1122963475648307E-2</v>
      </c>
      <c r="M754" s="31"/>
    </row>
    <row r="755" spans="1:13" x14ac:dyDescent="0.3">
      <c r="A755">
        <v>2008</v>
      </c>
      <c r="B755">
        <v>5</v>
      </c>
      <c r="C755">
        <v>1</v>
      </c>
      <c r="D755">
        <v>0.71890381631766331</v>
      </c>
      <c r="E755">
        <v>1.5200000000000102E-2</v>
      </c>
      <c r="F755">
        <f t="shared" si="39"/>
        <v>1.0927338008028555E-2</v>
      </c>
      <c r="M755" s="31"/>
    </row>
    <row r="756" spans="1:13" x14ac:dyDescent="0.3">
      <c r="A756">
        <v>2008</v>
      </c>
      <c r="B756">
        <v>4</v>
      </c>
      <c r="C756">
        <v>28</v>
      </c>
      <c r="D756">
        <v>0.70785139255887164</v>
      </c>
      <c r="E756">
        <v>1.5200000000000102E-2</v>
      </c>
      <c r="F756">
        <f t="shared" si="39"/>
        <v>1.0759341166894922E-2</v>
      </c>
      <c r="M756" s="31"/>
    </row>
    <row r="757" spans="1:13" x14ac:dyDescent="0.3">
      <c r="A757">
        <v>2008</v>
      </c>
      <c r="B757">
        <v>4</v>
      </c>
      <c r="C757">
        <v>26</v>
      </c>
      <c r="D757">
        <v>0.69576344457369432</v>
      </c>
      <c r="E757">
        <v>1.5200000000000102E-2</v>
      </c>
      <c r="F757">
        <f t="shared" si="39"/>
        <v>1.0575604357520224E-2</v>
      </c>
      <c r="M757" s="31"/>
    </row>
    <row r="758" spans="1:13" x14ac:dyDescent="0.3">
      <c r="A758">
        <v>2008</v>
      </c>
      <c r="B758">
        <v>4</v>
      </c>
      <c r="C758">
        <v>23</v>
      </c>
      <c r="D758">
        <v>0.68534026601328424</v>
      </c>
      <c r="E758">
        <v>1.5200000000000102E-2</v>
      </c>
      <c r="F758">
        <f t="shared" si="39"/>
        <v>1.0417172043401991E-2</v>
      </c>
      <c r="M758" s="31"/>
    </row>
    <row r="759" spans="1:13" x14ac:dyDescent="0.3">
      <c r="A759">
        <v>2008</v>
      </c>
      <c r="B759">
        <v>4</v>
      </c>
      <c r="C759">
        <v>21</v>
      </c>
      <c r="D759">
        <v>0.67589407304679683</v>
      </c>
      <c r="E759">
        <v>1.5200000000000102E-2</v>
      </c>
      <c r="F759">
        <f t="shared" si="39"/>
        <v>1.0273589910311381E-2</v>
      </c>
      <c r="M759" s="31"/>
    </row>
    <row r="760" spans="1:13" x14ac:dyDescent="0.3">
      <c r="A760">
        <v>2008</v>
      </c>
      <c r="B760">
        <v>4</v>
      </c>
      <c r="C760">
        <v>18</v>
      </c>
      <c r="D760">
        <v>0.66688133358863344</v>
      </c>
      <c r="E760">
        <v>1.5200000000000102E-2</v>
      </c>
      <c r="F760">
        <f t="shared" si="39"/>
        <v>1.0136596270547296E-2</v>
      </c>
      <c r="M760" s="31"/>
    </row>
    <row r="761" spans="1:13" x14ac:dyDescent="0.3">
      <c r="A761">
        <v>2008</v>
      </c>
      <c r="B761">
        <v>4</v>
      </c>
      <c r="C761">
        <v>16</v>
      </c>
      <c r="D761">
        <v>0.65829889743678505</v>
      </c>
      <c r="E761">
        <v>1.5200000000000102E-2</v>
      </c>
      <c r="F761">
        <f t="shared" si="39"/>
        <v>1.0006143241039199E-2</v>
      </c>
      <c r="M761" s="31"/>
    </row>
    <row r="762" spans="1:13" x14ac:dyDescent="0.3">
      <c r="A762">
        <v>2008</v>
      </c>
      <c r="B762">
        <v>4</v>
      </c>
      <c r="C762">
        <v>13</v>
      </c>
      <c r="D762">
        <v>0.65292824685536466</v>
      </c>
      <c r="E762">
        <v>1.5200000000000102E-2</v>
      </c>
      <c r="F762">
        <f t="shared" si="39"/>
        <v>9.9245093522016097E-3</v>
      </c>
      <c r="M762" s="31"/>
    </row>
    <row r="763" spans="1:13" x14ac:dyDescent="0.3">
      <c r="A763">
        <v>2008</v>
      </c>
      <c r="B763">
        <v>4</v>
      </c>
      <c r="C763">
        <v>11</v>
      </c>
      <c r="D763">
        <v>0.64915887922370086</v>
      </c>
      <c r="E763">
        <v>1.5200000000000102E-2</v>
      </c>
      <c r="F763">
        <f t="shared" si="39"/>
        <v>9.8672149642003194E-3</v>
      </c>
      <c r="M763" s="31"/>
    </row>
    <row r="764" spans="1:13" x14ac:dyDescent="0.3">
      <c r="A764">
        <v>2008</v>
      </c>
      <c r="B764">
        <v>4</v>
      </c>
      <c r="C764">
        <v>8</v>
      </c>
      <c r="D764">
        <v>0.64658714755050428</v>
      </c>
      <c r="E764">
        <v>1.5200000000000102E-2</v>
      </c>
      <c r="F764">
        <f t="shared" si="39"/>
        <v>9.828124642767732E-3</v>
      </c>
      <c r="M764" s="31"/>
    </row>
    <row r="765" spans="1:13" x14ac:dyDescent="0.3">
      <c r="A765">
        <v>2008</v>
      </c>
      <c r="B765">
        <v>4</v>
      </c>
      <c r="C765">
        <v>6</v>
      </c>
      <c r="D765">
        <v>0.64797397357337538</v>
      </c>
      <c r="E765">
        <v>1.5200000000000102E-2</v>
      </c>
      <c r="F765">
        <f t="shared" si="39"/>
        <v>9.8492043983153723E-3</v>
      </c>
      <c r="M765" s="31"/>
    </row>
    <row r="766" spans="1:13" x14ac:dyDescent="0.3">
      <c r="A766">
        <v>2008</v>
      </c>
      <c r="B766">
        <v>4</v>
      </c>
      <c r="C766">
        <v>3</v>
      </c>
      <c r="D766">
        <v>0.64724189258822473</v>
      </c>
      <c r="E766">
        <v>1.5200000000000102E-2</v>
      </c>
      <c r="F766">
        <f t="shared" si="39"/>
        <v>9.8380767673410825E-3</v>
      </c>
      <c r="M766" s="31"/>
    </row>
    <row r="767" spans="1:13" x14ac:dyDescent="0.3">
      <c r="A767">
        <v>2008</v>
      </c>
      <c r="B767">
        <v>4</v>
      </c>
      <c r="C767">
        <v>1</v>
      </c>
      <c r="D767">
        <v>0.64465796929081787</v>
      </c>
      <c r="E767">
        <v>1.5200000000000102E-2</v>
      </c>
      <c r="F767">
        <f t="shared" si="39"/>
        <v>9.7988011332204982E-3</v>
      </c>
      <c r="M767" s="31"/>
    </row>
    <row r="768" spans="1:13" x14ac:dyDescent="0.3">
      <c r="A768">
        <v>2008</v>
      </c>
      <c r="B768">
        <v>3</v>
      </c>
      <c r="C768">
        <v>29</v>
      </c>
      <c r="D768">
        <v>0.64075579422751849</v>
      </c>
      <c r="E768">
        <v>1.5200000000000102E-2</v>
      </c>
      <c r="F768">
        <f t="shared" si="39"/>
        <v>9.7394880722583461E-3</v>
      </c>
      <c r="M768" s="31"/>
    </row>
    <row r="769" spans="1:13" x14ac:dyDescent="0.3">
      <c r="A769">
        <v>2008</v>
      </c>
      <c r="B769">
        <v>3</v>
      </c>
      <c r="C769">
        <v>27</v>
      </c>
      <c r="D769">
        <v>0.6365964644772234</v>
      </c>
      <c r="E769">
        <v>1.5200000000000102E-2</v>
      </c>
      <c r="F769">
        <f t="shared" si="39"/>
        <v>9.6762662600538615E-3</v>
      </c>
      <c r="M769" s="31"/>
    </row>
    <row r="770" spans="1:13" x14ac:dyDescent="0.3">
      <c r="A770">
        <v>2008</v>
      </c>
      <c r="B770">
        <v>3</v>
      </c>
      <c r="C770">
        <v>24</v>
      </c>
      <c r="D770">
        <v>0.63033942938706566</v>
      </c>
      <c r="E770">
        <v>1.5200000000000102E-2</v>
      </c>
      <c r="F770">
        <f t="shared" si="39"/>
        <v>9.5811593266834621E-3</v>
      </c>
      <c r="M770" s="31"/>
    </row>
    <row r="771" spans="1:13" x14ac:dyDescent="0.3">
      <c r="A771">
        <v>2008</v>
      </c>
      <c r="B771">
        <v>3</v>
      </c>
      <c r="C771">
        <v>22</v>
      </c>
      <c r="D771">
        <v>0.62541065364324955</v>
      </c>
      <c r="E771">
        <v>1.5200000000000102E-2</v>
      </c>
      <c r="F771">
        <f t="shared" ref="F771:F834" si="40">D771*E771</f>
        <v>9.5062419353774564E-3</v>
      </c>
      <c r="M771" s="31"/>
    </row>
    <row r="772" spans="1:13" x14ac:dyDescent="0.3">
      <c r="A772">
        <v>2008</v>
      </c>
      <c r="B772">
        <v>3</v>
      </c>
      <c r="C772">
        <v>19</v>
      </c>
      <c r="D772">
        <v>0.62219549296693477</v>
      </c>
      <c r="E772">
        <v>1.5200000000000102E-2</v>
      </c>
      <c r="F772">
        <f t="shared" si="40"/>
        <v>9.4573714930974717E-3</v>
      </c>
      <c r="M772" s="31"/>
    </row>
    <row r="773" spans="1:13" x14ac:dyDescent="0.3">
      <c r="A773">
        <v>2008</v>
      </c>
      <c r="B773">
        <v>3</v>
      </c>
      <c r="C773">
        <v>17</v>
      </c>
      <c r="D773">
        <v>0.6148001305373676</v>
      </c>
      <c r="E773">
        <v>1.5200000000000102E-2</v>
      </c>
      <c r="F773">
        <f t="shared" si="40"/>
        <v>9.3449619841680497E-3</v>
      </c>
      <c r="M773" s="31"/>
    </row>
    <row r="774" spans="1:13" x14ac:dyDescent="0.3">
      <c r="A774">
        <v>2008</v>
      </c>
      <c r="B774">
        <v>3</v>
      </c>
      <c r="C774">
        <v>14</v>
      </c>
      <c r="D774">
        <v>0.60573435726722624</v>
      </c>
      <c r="E774">
        <v>1.5200000000000102E-2</v>
      </c>
      <c r="F774">
        <f t="shared" si="40"/>
        <v>9.2071622304619009E-3</v>
      </c>
      <c r="M774" s="31"/>
    </row>
    <row r="775" spans="1:13" x14ac:dyDescent="0.3">
      <c r="A775">
        <v>2008</v>
      </c>
      <c r="B775">
        <v>3</v>
      </c>
      <c r="C775">
        <v>12</v>
      </c>
      <c r="D775">
        <v>0.5948883045181258</v>
      </c>
      <c r="E775">
        <v>1.5200000000000102E-2</v>
      </c>
      <c r="F775">
        <f t="shared" si="40"/>
        <v>9.0423022286755736E-3</v>
      </c>
      <c r="M775" s="31"/>
    </row>
    <row r="776" spans="1:13" x14ac:dyDescent="0.3">
      <c r="A776">
        <v>2008</v>
      </c>
      <c r="B776">
        <v>3</v>
      </c>
      <c r="C776">
        <v>9</v>
      </c>
      <c r="D776">
        <v>0.58357644399516684</v>
      </c>
      <c r="E776">
        <v>1.5200000000000102E-2</v>
      </c>
      <c r="F776">
        <f t="shared" si="40"/>
        <v>8.8703619487265958E-3</v>
      </c>
      <c r="M776" s="31"/>
    </row>
    <row r="777" spans="1:13" x14ac:dyDescent="0.3">
      <c r="A777">
        <v>2008</v>
      </c>
      <c r="B777">
        <v>3</v>
      </c>
      <c r="C777">
        <v>7</v>
      </c>
      <c r="D777">
        <v>0.57206296149363389</v>
      </c>
      <c r="E777">
        <v>1.5200000000000102E-2</v>
      </c>
      <c r="F777">
        <f t="shared" si="40"/>
        <v>8.6953570147032932E-3</v>
      </c>
      <c r="M777" s="31"/>
    </row>
    <row r="778" spans="1:13" x14ac:dyDescent="0.3">
      <c r="A778">
        <v>2008</v>
      </c>
      <c r="B778">
        <v>3</v>
      </c>
      <c r="C778">
        <v>4</v>
      </c>
      <c r="D778">
        <v>0.56482602922923819</v>
      </c>
      <c r="E778">
        <v>1.5200000000000102E-2</v>
      </c>
      <c r="F778">
        <f t="shared" si="40"/>
        <v>8.5853556442844776E-3</v>
      </c>
      <c r="M778" s="31"/>
    </row>
    <row r="779" spans="1:13" x14ac:dyDescent="0.3">
      <c r="A779">
        <v>2008</v>
      </c>
      <c r="B779">
        <v>3</v>
      </c>
      <c r="C779">
        <v>2</v>
      </c>
      <c r="D779">
        <v>0.55914356475903337</v>
      </c>
      <c r="E779">
        <v>1.5200000000000102E-2</v>
      </c>
      <c r="F779">
        <f t="shared" si="40"/>
        <v>8.4989821843373652E-3</v>
      </c>
      <c r="M779" s="31"/>
    </row>
    <row r="780" spans="1:13" x14ac:dyDescent="0.3">
      <c r="A780">
        <v>2008</v>
      </c>
      <c r="B780">
        <v>2</v>
      </c>
      <c r="C780">
        <v>29</v>
      </c>
      <c r="D780">
        <v>0.55500386461626661</v>
      </c>
      <c r="E780">
        <v>1.5200000000000102E-2</v>
      </c>
      <c r="F780">
        <f t="shared" si="40"/>
        <v>8.43605874216731E-3</v>
      </c>
      <c r="M780" s="31"/>
    </row>
    <row r="781" spans="1:13" x14ac:dyDescent="0.3">
      <c r="A781">
        <v>2008</v>
      </c>
      <c r="B781">
        <v>2</v>
      </c>
      <c r="C781">
        <v>21</v>
      </c>
      <c r="D781">
        <v>0.55774725989227114</v>
      </c>
      <c r="E781">
        <v>1.5200000000000102E-2</v>
      </c>
      <c r="F781">
        <f t="shared" si="40"/>
        <v>8.4777583503625777E-3</v>
      </c>
      <c r="M781" s="31"/>
    </row>
    <row r="782" spans="1:13" x14ac:dyDescent="0.3">
      <c r="A782">
        <v>2008</v>
      </c>
      <c r="B782">
        <v>2</v>
      </c>
      <c r="C782">
        <v>14</v>
      </c>
      <c r="D782">
        <v>0.56177066232246353</v>
      </c>
      <c r="E782">
        <v>1.5200000000000102E-2</v>
      </c>
      <c r="F782">
        <f t="shared" si="40"/>
        <v>8.5389140673015028E-3</v>
      </c>
      <c r="M782" s="31"/>
    </row>
    <row r="783" spans="1:13" x14ac:dyDescent="0.3">
      <c r="A783">
        <v>2008</v>
      </c>
      <c r="B783">
        <v>2</v>
      </c>
      <c r="C783">
        <v>6</v>
      </c>
      <c r="D783">
        <v>0.56618404290594149</v>
      </c>
      <c r="E783">
        <v>1.5200000000000102E-2</v>
      </c>
      <c r="F783">
        <f t="shared" si="40"/>
        <v>8.6059974521703678E-3</v>
      </c>
      <c r="M783" s="31"/>
    </row>
    <row r="784" spans="1:13" x14ac:dyDescent="0.3">
      <c r="A784">
        <v>2008</v>
      </c>
      <c r="B784">
        <v>1</v>
      </c>
      <c r="C784">
        <v>30</v>
      </c>
      <c r="D784">
        <v>0.57060548858758187</v>
      </c>
      <c r="E784">
        <v>1.5200000000000102E-2</v>
      </c>
      <c r="F784">
        <f t="shared" si="40"/>
        <v>8.6732034265313025E-3</v>
      </c>
      <c r="M784" s="31"/>
    </row>
    <row r="785" spans="1:13" x14ac:dyDescent="0.3">
      <c r="A785">
        <v>2008</v>
      </c>
      <c r="B785">
        <v>1</v>
      </c>
      <c r="C785">
        <v>23</v>
      </c>
      <c r="D785">
        <v>0.57567680753251249</v>
      </c>
      <c r="E785">
        <v>1.5200000000000102E-2</v>
      </c>
      <c r="F785">
        <f t="shared" si="40"/>
        <v>8.7502874744942484E-3</v>
      </c>
      <c r="M785" s="31"/>
    </row>
    <row r="786" spans="1:13" x14ac:dyDescent="0.3">
      <c r="A786">
        <v>2008</v>
      </c>
      <c r="B786">
        <v>1</v>
      </c>
      <c r="C786">
        <v>15</v>
      </c>
      <c r="D786">
        <v>0.57458740423852572</v>
      </c>
      <c r="E786">
        <v>1.5200000000000102E-2</v>
      </c>
      <c r="F786">
        <f t="shared" si="40"/>
        <v>8.73372854442565E-3</v>
      </c>
      <c r="M786" s="31"/>
    </row>
    <row r="787" spans="1:13" x14ac:dyDescent="0.3">
      <c r="A787">
        <v>2008</v>
      </c>
      <c r="B787">
        <v>1</v>
      </c>
      <c r="C787">
        <v>8</v>
      </c>
      <c r="D787">
        <v>0.57311371218103457</v>
      </c>
      <c r="E787">
        <v>1.5200000000000102E-2</v>
      </c>
      <c r="F787">
        <f t="shared" si="40"/>
        <v>8.7113284251517844E-3</v>
      </c>
      <c r="M787" s="31"/>
    </row>
    <row r="788" spans="1:13" x14ac:dyDescent="0.3">
      <c r="A788">
        <v>2007</v>
      </c>
      <c r="B788">
        <v>12</v>
      </c>
      <c r="C788">
        <v>31</v>
      </c>
      <c r="D788">
        <v>0.57176952703919537</v>
      </c>
      <c r="E788">
        <v>1.5200000000000102E-2</v>
      </c>
      <c r="F788">
        <f t="shared" si="40"/>
        <v>8.6908968109958278E-3</v>
      </c>
      <c r="M788" s="31"/>
    </row>
    <row r="789" spans="1:13" x14ac:dyDescent="0.3">
      <c r="A789">
        <v>2007</v>
      </c>
      <c r="B789">
        <v>12</v>
      </c>
      <c r="C789">
        <v>24</v>
      </c>
      <c r="D789">
        <v>0.57440167401411935</v>
      </c>
      <c r="E789">
        <v>1.5200000000000102E-2</v>
      </c>
      <c r="F789">
        <f t="shared" si="40"/>
        <v>8.7309054450146733E-3</v>
      </c>
      <c r="M789" s="31"/>
    </row>
    <row r="790" spans="1:13" x14ac:dyDescent="0.3">
      <c r="A790">
        <v>2007</v>
      </c>
      <c r="B790">
        <v>12</v>
      </c>
      <c r="C790">
        <v>17</v>
      </c>
      <c r="D790">
        <v>0.5788358935734903</v>
      </c>
      <c r="E790">
        <v>1.5200000000000102E-2</v>
      </c>
      <c r="F790">
        <f t="shared" si="40"/>
        <v>8.7983055823171123E-3</v>
      </c>
      <c r="M790" s="31"/>
    </row>
    <row r="791" spans="1:13" x14ac:dyDescent="0.3">
      <c r="A791">
        <v>2007</v>
      </c>
      <c r="B791">
        <v>12</v>
      </c>
      <c r="C791">
        <v>9</v>
      </c>
      <c r="D791">
        <v>0.58701618086271579</v>
      </c>
      <c r="E791">
        <v>1.5200000000000102E-2</v>
      </c>
      <c r="F791">
        <f t="shared" si="40"/>
        <v>8.9226459491133399E-3</v>
      </c>
      <c r="M791" s="31"/>
    </row>
    <row r="792" spans="1:13" x14ac:dyDescent="0.3">
      <c r="A792">
        <v>2007</v>
      </c>
      <c r="B792">
        <v>12</v>
      </c>
      <c r="C792">
        <v>2</v>
      </c>
      <c r="D792">
        <v>0.59910933610157402</v>
      </c>
      <c r="E792">
        <v>1.5200000000000102E-2</v>
      </c>
      <c r="F792">
        <f t="shared" si="40"/>
        <v>9.106461908743986E-3</v>
      </c>
      <c r="M792" s="31"/>
    </row>
    <row r="793" spans="1:13" x14ac:dyDescent="0.3">
      <c r="A793">
        <v>2007</v>
      </c>
      <c r="B793">
        <v>11</v>
      </c>
      <c r="C793">
        <v>24</v>
      </c>
      <c r="D793">
        <v>0.61634660457141222</v>
      </c>
      <c r="E793">
        <v>1.5200000000000102E-2</v>
      </c>
      <c r="F793">
        <f t="shared" si="40"/>
        <v>9.3684683894855285E-3</v>
      </c>
      <c r="M793" s="31"/>
    </row>
    <row r="794" spans="1:13" x14ac:dyDescent="0.3">
      <c r="A794">
        <v>2007</v>
      </c>
      <c r="B794">
        <v>11</v>
      </c>
      <c r="C794">
        <v>17</v>
      </c>
      <c r="D794">
        <v>0.63527747513064525</v>
      </c>
      <c r="E794">
        <v>1.5200000000000102E-2</v>
      </c>
      <c r="F794">
        <f t="shared" si="40"/>
        <v>9.6562176219858725E-3</v>
      </c>
      <c r="M794" s="31"/>
    </row>
    <row r="795" spans="1:13" x14ac:dyDescent="0.3">
      <c r="A795">
        <v>2007</v>
      </c>
      <c r="B795">
        <v>11</v>
      </c>
      <c r="C795">
        <v>10</v>
      </c>
      <c r="D795">
        <v>0.65487426223585798</v>
      </c>
      <c r="E795">
        <v>1.5200000000000102E-2</v>
      </c>
      <c r="F795">
        <f t="shared" si="40"/>
        <v>9.9540887859851084E-3</v>
      </c>
      <c r="M795" s="31"/>
    </row>
    <row r="796" spans="1:13" x14ac:dyDescent="0.3">
      <c r="A796">
        <v>2007</v>
      </c>
      <c r="B796">
        <v>11</v>
      </c>
      <c r="C796">
        <v>2</v>
      </c>
      <c r="D796">
        <v>0.67221198229542678</v>
      </c>
      <c r="E796">
        <v>1.5200000000000102E-2</v>
      </c>
      <c r="F796">
        <f t="shared" si="40"/>
        <v>1.0217622130890556E-2</v>
      </c>
      <c r="M796" s="31"/>
    </row>
    <row r="797" spans="1:13" x14ac:dyDescent="0.3">
      <c r="A797">
        <v>2007</v>
      </c>
      <c r="B797">
        <v>10</v>
      </c>
      <c r="C797">
        <v>26</v>
      </c>
      <c r="D797">
        <v>0.68751200165453685</v>
      </c>
      <c r="E797">
        <v>1.5200000000000102E-2</v>
      </c>
      <c r="F797">
        <f t="shared" si="40"/>
        <v>1.0450182425149031E-2</v>
      </c>
      <c r="M797" s="31"/>
    </row>
    <row r="798" spans="1:13" x14ac:dyDescent="0.3">
      <c r="A798">
        <v>2007</v>
      </c>
      <c r="B798">
        <v>10</v>
      </c>
      <c r="C798">
        <v>18</v>
      </c>
      <c r="D798">
        <v>0.69777693234535731</v>
      </c>
      <c r="E798">
        <v>1.5200000000000102E-2</v>
      </c>
      <c r="F798">
        <f t="shared" si="40"/>
        <v>1.0606209371649503E-2</v>
      </c>
      <c r="M798" s="31"/>
    </row>
    <row r="799" spans="1:13" x14ac:dyDescent="0.3">
      <c r="A799">
        <v>2007</v>
      </c>
      <c r="B799">
        <v>10</v>
      </c>
      <c r="C799">
        <v>11</v>
      </c>
      <c r="D799">
        <v>0.70241319034446148</v>
      </c>
      <c r="E799">
        <v>1.5200000000000102E-2</v>
      </c>
      <c r="F799">
        <f t="shared" si="40"/>
        <v>1.0676680493235887E-2</v>
      </c>
      <c r="M799" s="31"/>
    </row>
    <row r="800" spans="1:13" x14ac:dyDescent="0.3">
      <c r="A800">
        <v>2007</v>
      </c>
      <c r="B800">
        <v>10</v>
      </c>
      <c r="C800">
        <v>4</v>
      </c>
      <c r="D800">
        <v>0.70476341488590599</v>
      </c>
      <c r="E800">
        <v>1.5200000000000102E-2</v>
      </c>
      <c r="F800">
        <f t="shared" si="40"/>
        <v>1.0712403906265842E-2</v>
      </c>
      <c r="M800" s="31"/>
    </row>
    <row r="801" spans="1:13" x14ac:dyDescent="0.3">
      <c r="A801">
        <v>2007</v>
      </c>
      <c r="B801">
        <v>9</v>
      </c>
      <c r="C801">
        <v>26</v>
      </c>
      <c r="D801">
        <v>0.70873495620460891</v>
      </c>
      <c r="E801">
        <v>1.5200000000000102E-2</v>
      </c>
      <c r="F801">
        <f t="shared" si="40"/>
        <v>1.0772771334310129E-2</v>
      </c>
      <c r="M801" s="31"/>
    </row>
    <row r="802" spans="1:13" x14ac:dyDescent="0.3">
      <c r="A802">
        <v>2007</v>
      </c>
      <c r="B802">
        <v>9</v>
      </c>
      <c r="C802">
        <v>19</v>
      </c>
      <c r="D802">
        <v>0.71460417100230544</v>
      </c>
      <c r="E802">
        <v>1.5200000000000102E-2</v>
      </c>
      <c r="F802">
        <f t="shared" si="40"/>
        <v>1.0861983399235116E-2</v>
      </c>
      <c r="M802" s="31"/>
    </row>
    <row r="803" spans="1:13" x14ac:dyDescent="0.3">
      <c r="A803">
        <v>2007</v>
      </c>
      <c r="B803">
        <v>9</v>
      </c>
      <c r="C803">
        <v>11</v>
      </c>
      <c r="D803">
        <v>0.72197550064771898</v>
      </c>
      <c r="E803">
        <v>1.5200000000000102E-2</v>
      </c>
      <c r="F803">
        <f t="shared" si="40"/>
        <v>1.0974027609845402E-2</v>
      </c>
      <c r="M803" s="31"/>
    </row>
    <row r="804" spans="1:13" x14ac:dyDescent="0.3">
      <c r="A804">
        <v>2007</v>
      </c>
      <c r="B804">
        <v>9</v>
      </c>
      <c r="C804">
        <v>4</v>
      </c>
      <c r="D804">
        <v>0.72936412887180946</v>
      </c>
      <c r="E804">
        <v>1.5200000000000102E-2</v>
      </c>
      <c r="F804">
        <f t="shared" si="40"/>
        <v>1.1086334758851579E-2</v>
      </c>
      <c r="M804" s="31"/>
    </row>
    <row r="805" spans="1:13" x14ac:dyDescent="0.3">
      <c r="A805">
        <v>2007</v>
      </c>
      <c r="B805">
        <v>8</v>
      </c>
      <c r="C805">
        <v>28</v>
      </c>
      <c r="D805">
        <v>0.73704237569869957</v>
      </c>
      <c r="E805">
        <v>1.5200000000000102E-2</v>
      </c>
      <c r="F805">
        <f t="shared" si="40"/>
        <v>1.1203044110620309E-2</v>
      </c>
      <c r="M805" s="31"/>
    </row>
    <row r="806" spans="1:13" x14ac:dyDescent="0.3">
      <c r="A806">
        <v>2007</v>
      </c>
      <c r="B806">
        <v>8</v>
      </c>
      <c r="C806">
        <v>20</v>
      </c>
      <c r="D806">
        <v>0.74310011088379579</v>
      </c>
      <c r="E806">
        <v>1.5200000000000102E-2</v>
      </c>
      <c r="F806">
        <f t="shared" si="40"/>
        <v>1.1295121685433772E-2</v>
      </c>
      <c r="M806" s="31"/>
    </row>
    <row r="807" spans="1:13" x14ac:dyDescent="0.3">
      <c r="A807">
        <v>2007</v>
      </c>
      <c r="B807">
        <v>8</v>
      </c>
      <c r="C807">
        <v>13</v>
      </c>
      <c r="D807">
        <v>0.74643466209553144</v>
      </c>
      <c r="E807">
        <v>1.5200000000000102E-2</v>
      </c>
      <c r="F807">
        <f t="shared" si="40"/>
        <v>1.1345806863852155E-2</v>
      </c>
      <c r="M807" s="31"/>
    </row>
    <row r="808" spans="1:13" x14ac:dyDescent="0.3">
      <c r="A808">
        <v>2007</v>
      </c>
      <c r="B808">
        <v>8</v>
      </c>
      <c r="C808">
        <v>5</v>
      </c>
      <c r="D808">
        <v>0.74895189064948575</v>
      </c>
      <c r="E808">
        <v>1.5200000000000102E-2</v>
      </c>
      <c r="F808">
        <f t="shared" si="40"/>
        <v>1.138406873787226E-2</v>
      </c>
      <c r="M808" s="31"/>
    </row>
    <row r="809" spans="1:13" x14ac:dyDescent="0.3">
      <c r="A809">
        <v>2007</v>
      </c>
      <c r="B809">
        <v>7</v>
      </c>
      <c r="C809">
        <v>29</v>
      </c>
      <c r="D809">
        <v>0.7532505361497488</v>
      </c>
      <c r="E809">
        <v>1.5200000000000102E-2</v>
      </c>
      <c r="F809">
        <f t="shared" si="40"/>
        <v>1.1449408149476259E-2</v>
      </c>
      <c r="M809" s="31"/>
    </row>
    <row r="810" spans="1:13" x14ac:dyDescent="0.3">
      <c r="A810">
        <v>2007</v>
      </c>
      <c r="B810">
        <v>7</v>
      </c>
      <c r="C810">
        <v>22</v>
      </c>
      <c r="D810">
        <v>0.75728035454662834</v>
      </c>
      <c r="E810">
        <v>1.5200000000000102E-2</v>
      </c>
      <c r="F810">
        <f t="shared" si="40"/>
        <v>1.1510661389108829E-2</v>
      </c>
      <c r="M810" s="31"/>
    </row>
    <row r="811" spans="1:13" x14ac:dyDescent="0.3">
      <c r="A811">
        <v>2007</v>
      </c>
      <c r="B811">
        <v>7</v>
      </c>
      <c r="C811">
        <v>14</v>
      </c>
      <c r="D811">
        <v>0.76076552423882571</v>
      </c>
      <c r="E811">
        <v>1.5200000000000102E-2</v>
      </c>
      <c r="F811">
        <f t="shared" si="40"/>
        <v>1.1563635968430229E-2</v>
      </c>
      <c r="M811" s="31"/>
    </row>
    <row r="812" spans="1:13" x14ac:dyDescent="0.3">
      <c r="A812">
        <v>2007</v>
      </c>
      <c r="B812">
        <v>7</v>
      </c>
      <c r="C812">
        <v>7</v>
      </c>
      <c r="D812">
        <v>0.76301754959486046</v>
      </c>
      <c r="E812">
        <v>1.5200000000000102E-2</v>
      </c>
      <c r="F812">
        <f t="shared" si="40"/>
        <v>1.1597866753841958E-2</v>
      </c>
      <c r="M812" s="31"/>
    </row>
    <row r="813" spans="1:13" x14ac:dyDescent="0.3">
      <c r="A813">
        <v>2007</v>
      </c>
      <c r="B813">
        <v>6</v>
      </c>
      <c r="C813">
        <v>30</v>
      </c>
      <c r="D813">
        <v>0.76348474607721972</v>
      </c>
      <c r="E813">
        <v>1.5200000000000102E-2</v>
      </c>
      <c r="F813">
        <f t="shared" si="40"/>
        <v>1.1604968140373819E-2</v>
      </c>
      <c r="M813" s="31"/>
    </row>
    <row r="814" spans="1:13" x14ac:dyDescent="0.3">
      <c r="A814">
        <v>2007</v>
      </c>
      <c r="B814">
        <v>6</v>
      </c>
      <c r="C814">
        <v>28</v>
      </c>
      <c r="D814">
        <v>0.76202968295037454</v>
      </c>
      <c r="E814">
        <v>1.5200000000000102E-2</v>
      </c>
      <c r="F814">
        <f t="shared" si="40"/>
        <v>1.1582851180845771E-2</v>
      </c>
      <c r="M814" s="31"/>
    </row>
    <row r="815" spans="1:13" x14ac:dyDescent="0.3">
      <c r="A815">
        <v>2007</v>
      </c>
      <c r="B815">
        <v>6</v>
      </c>
      <c r="C815">
        <v>26</v>
      </c>
      <c r="D815">
        <v>0.75879242719704587</v>
      </c>
      <c r="E815">
        <v>1.5200000000000102E-2</v>
      </c>
      <c r="F815">
        <f t="shared" si="40"/>
        <v>1.1533644893395175E-2</v>
      </c>
      <c r="M815" s="31"/>
    </row>
    <row r="816" spans="1:13" x14ac:dyDescent="0.3">
      <c r="A816">
        <v>2007</v>
      </c>
      <c r="B816">
        <v>6</v>
      </c>
      <c r="C816">
        <v>24</v>
      </c>
      <c r="D816">
        <v>0.75405271472550006</v>
      </c>
      <c r="E816">
        <v>1.5200000000000102E-2</v>
      </c>
      <c r="F816">
        <f t="shared" si="40"/>
        <v>1.1461601263827679E-2</v>
      </c>
      <c r="M816" s="31"/>
    </row>
    <row r="817" spans="1:13" x14ac:dyDescent="0.3">
      <c r="A817">
        <v>2007</v>
      </c>
      <c r="B817">
        <v>6</v>
      </c>
      <c r="C817">
        <v>22</v>
      </c>
      <c r="D817">
        <v>0.74781823657874258</v>
      </c>
      <c r="E817">
        <v>1.5200000000000102E-2</v>
      </c>
      <c r="F817">
        <f t="shared" si="40"/>
        <v>1.1366837195996963E-2</v>
      </c>
      <c r="M817" s="31"/>
    </row>
    <row r="818" spans="1:13" x14ac:dyDescent="0.3">
      <c r="A818">
        <v>2007</v>
      </c>
      <c r="B818">
        <v>6</v>
      </c>
      <c r="C818">
        <v>20</v>
      </c>
      <c r="D818">
        <v>0.74050708400883614</v>
      </c>
      <c r="E818">
        <v>1.5200000000000102E-2</v>
      </c>
      <c r="F818">
        <f t="shared" si="40"/>
        <v>1.1255707676934385E-2</v>
      </c>
      <c r="M818" s="31"/>
    </row>
    <row r="819" spans="1:13" x14ac:dyDescent="0.3">
      <c r="A819">
        <v>2007</v>
      </c>
      <c r="B819">
        <v>6</v>
      </c>
      <c r="C819">
        <v>18</v>
      </c>
      <c r="D819">
        <v>0.73239883309961096</v>
      </c>
      <c r="E819">
        <v>1.5200000000000102E-2</v>
      </c>
      <c r="F819">
        <f t="shared" si="40"/>
        <v>1.1132462263114162E-2</v>
      </c>
      <c r="M819" s="31"/>
    </row>
    <row r="820" spans="1:13" x14ac:dyDescent="0.3">
      <c r="A820">
        <v>2007</v>
      </c>
      <c r="B820">
        <v>6</v>
      </c>
      <c r="C820">
        <v>16</v>
      </c>
      <c r="D820">
        <v>0.72444949390444013</v>
      </c>
      <c r="E820">
        <v>1.5200000000000102E-2</v>
      </c>
      <c r="F820">
        <f t="shared" si="40"/>
        <v>1.1011632307347564E-2</v>
      </c>
      <c r="M820" s="31"/>
    </row>
    <row r="821" spans="1:13" x14ac:dyDescent="0.3">
      <c r="A821">
        <v>2007</v>
      </c>
      <c r="B821">
        <v>6</v>
      </c>
      <c r="C821">
        <v>14</v>
      </c>
      <c r="D821">
        <v>0.71638784423777491</v>
      </c>
      <c r="E821">
        <v>1.5200000000000102E-2</v>
      </c>
      <c r="F821">
        <f t="shared" si="40"/>
        <v>1.0889095232414252E-2</v>
      </c>
      <c r="M821" s="31"/>
    </row>
    <row r="822" spans="1:13" x14ac:dyDescent="0.3">
      <c r="A822">
        <v>2007</v>
      </c>
      <c r="B822">
        <v>6</v>
      </c>
      <c r="C822">
        <v>13</v>
      </c>
      <c r="D822">
        <v>0.70902349631882611</v>
      </c>
      <c r="E822">
        <v>1.5200000000000102E-2</v>
      </c>
      <c r="F822">
        <f t="shared" si="40"/>
        <v>1.0777157144046229E-2</v>
      </c>
      <c r="M822" s="31"/>
    </row>
    <row r="823" spans="1:13" x14ac:dyDescent="0.3">
      <c r="A823">
        <v>2007</v>
      </c>
      <c r="B823">
        <v>6</v>
      </c>
      <c r="C823">
        <v>11</v>
      </c>
      <c r="D823">
        <v>0.70275436521388568</v>
      </c>
      <c r="E823">
        <v>1.5200000000000102E-2</v>
      </c>
      <c r="F823">
        <f t="shared" si="40"/>
        <v>1.0681866351251134E-2</v>
      </c>
      <c r="M823" s="31"/>
    </row>
    <row r="824" spans="1:13" x14ac:dyDescent="0.3">
      <c r="A824">
        <v>2007</v>
      </c>
      <c r="B824">
        <v>6</v>
      </c>
      <c r="C824">
        <v>9</v>
      </c>
      <c r="D824">
        <v>0.69730555224342061</v>
      </c>
      <c r="E824">
        <v>1.5200000000000102E-2</v>
      </c>
      <c r="F824">
        <f t="shared" si="40"/>
        <v>1.0599044394100065E-2</v>
      </c>
      <c r="M824" s="31"/>
    </row>
    <row r="825" spans="1:13" x14ac:dyDescent="0.3">
      <c r="A825">
        <v>2007</v>
      </c>
      <c r="B825">
        <v>6</v>
      </c>
      <c r="C825">
        <v>7</v>
      </c>
      <c r="D825">
        <v>0.69159989503512975</v>
      </c>
      <c r="E825">
        <v>1.5200000000000102E-2</v>
      </c>
      <c r="F825">
        <f t="shared" si="40"/>
        <v>1.0512318404534043E-2</v>
      </c>
      <c r="M825" s="31"/>
    </row>
    <row r="826" spans="1:13" x14ac:dyDescent="0.3">
      <c r="A826">
        <v>2007</v>
      </c>
      <c r="B826">
        <v>6</v>
      </c>
      <c r="C826">
        <v>5</v>
      </c>
      <c r="D826">
        <v>0.68630771206922447</v>
      </c>
      <c r="E826">
        <v>1.5200000000000102E-2</v>
      </c>
      <c r="F826">
        <f t="shared" si="40"/>
        <v>1.0431877223452282E-2</v>
      </c>
      <c r="M826" s="31"/>
    </row>
    <row r="827" spans="1:13" x14ac:dyDescent="0.3">
      <c r="A827">
        <v>2007</v>
      </c>
      <c r="B827">
        <v>6</v>
      </c>
      <c r="C827">
        <v>3</v>
      </c>
      <c r="D827">
        <v>0.68035910294062296</v>
      </c>
      <c r="E827">
        <v>1.5200000000000102E-2</v>
      </c>
      <c r="F827">
        <f t="shared" si="40"/>
        <v>1.0341458364697539E-2</v>
      </c>
      <c r="M827" s="31"/>
    </row>
    <row r="828" spans="1:13" x14ac:dyDescent="0.3">
      <c r="A828">
        <v>2007</v>
      </c>
      <c r="B828">
        <v>6</v>
      </c>
      <c r="C828">
        <v>1</v>
      </c>
      <c r="D828">
        <v>0.67469061315159795</v>
      </c>
      <c r="E828">
        <v>1.5200000000000102E-2</v>
      </c>
      <c r="F828">
        <f t="shared" si="40"/>
        <v>1.0255297319904358E-2</v>
      </c>
      <c r="M828" s="31"/>
    </row>
    <row r="829" spans="1:13" x14ac:dyDescent="0.3">
      <c r="A829">
        <v>2007</v>
      </c>
      <c r="B829">
        <v>5</v>
      </c>
      <c r="C829">
        <v>30</v>
      </c>
      <c r="D829">
        <v>0.67009736237153494</v>
      </c>
      <c r="E829">
        <v>1.5200000000000102E-2</v>
      </c>
      <c r="F829">
        <f t="shared" si="40"/>
        <v>1.01854799080474E-2</v>
      </c>
      <c r="M829" s="31"/>
    </row>
    <row r="830" spans="1:13" x14ac:dyDescent="0.3">
      <c r="A830">
        <v>2007</v>
      </c>
      <c r="B830">
        <v>5</v>
      </c>
      <c r="C830">
        <v>29</v>
      </c>
      <c r="D830">
        <v>0.66728314702620506</v>
      </c>
      <c r="E830">
        <v>1.5200000000000102E-2</v>
      </c>
      <c r="F830">
        <f t="shared" si="40"/>
        <v>1.0142703834798384E-2</v>
      </c>
      <c r="M830" s="31"/>
    </row>
    <row r="831" spans="1:13" x14ac:dyDescent="0.3">
      <c r="A831">
        <v>2007</v>
      </c>
      <c r="B831">
        <v>5</v>
      </c>
      <c r="C831">
        <v>27</v>
      </c>
      <c r="D831">
        <v>0.66553179936368223</v>
      </c>
      <c r="E831">
        <v>1.5200000000000102E-2</v>
      </c>
      <c r="F831">
        <f t="shared" si="40"/>
        <v>1.0116083350328039E-2</v>
      </c>
      <c r="M831" s="31"/>
    </row>
    <row r="832" spans="1:13" x14ac:dyDescent="0.3">
      <c r="A832">
        <v>2007</v>
      </c>
      <c r="B832">
        <v>5</v>
      </c>
      <c r="C832">
        <v>25</v>
      </c>
      <c r="D832">
        <v>0.66590403302287204</v>
      </c>
      <c r="E832">
        <v>1.5200000000000102E-2</v>
      </c>
      <c r="F832">
        <f t="shared" si="40"/>
        <v>1.0121741301947724E-2</v>
      </c>
      <c r="M832" s="31"/>
    </row>
    <row r="833" spans="1:13" x14ac:dyDescent="0.3">
      <c r="A833">
        <v>2007</v>
      </c>
      <c r="B833">
        <v>5</v>
      </c>
      <c r="C833">
        <v>23</v>
      </c>
      <c r="D833">
        <v>0.66760495419702004</v>
      </c>
      <c r="E833">
        <v>1.5200000000000102E-2</v>
      </c>
      <c r="F833">
        <f t="shared" si="40"/>
        <v>1.0147595303794773E-2</v>
      </c>
      <c r="M833" s="31"/>
    </row>
    <row r="834" spans="1:13" x14ac:dyDescent="0.3">
      <c r="A834">
        <v>2007</v>
      </c>
      <c r="B834">
        <v>5</v>
      </c>
      <c r="C834">
        <v>21</v>
      </c>
      <c r="D834">
        <v>0.66944067324588452</v>
      </c>
      <c r="E834">
        <v>1.5200000000000102E-2</v>
      </c>
      <c r="F834">
        <f t="shared" si="40"/>
        <v>1.0175498233337514E-2</v>
      </c>
      <c r="M834" s="31"/>
    </row>
    <row r="835" spans="1:13" x14ac:dyDescent="0.3">
      <c r="A835">
        <v>2007</v>
      </c>
      <c r="B835">
        <v>5</v>
      </c>
      <c r="C835">
        <v>19</v>
      </c>
      <c r="D835">
        <v>0.6719446990390906</v>
      </c>
      <c r="E835">
        <v>1.5200000000000102E-2</v>
      </c>
      <c r="F835">
        <f t="shared" ref="F835:F898" si="41">D835*E835</f>
        <v>1.0213559425394246E-2</v>
      </c>
      <c r="M835" s="31"/>
    </row>
    <row r="836" spans="1:13" x14ac:dyDescent="0.3">
      <c r="A836">
        <v>2007</v>
      </c>
      <c r="B836">
        <v>5</v>
      </c>
      <c r="C836">
        <v>17</v>
      </c>
      <c r="D836">
        <v>0.67578552749800647</v>
      </c>
      <c r="E836">
        <v>1.5200000000000102E-2</v>
      </c>
      <c r="F836">
        <f t="shared" si="41"/>
        <v>1.0271940017969768E-2</v>
      </c>
      <c r="M836" s="31"/>
    </row>
    <row r="837" spans="1:13" x14ac:dyDescent="0.3">
      <c r="A837">
        <v>2007</v>
      </c>
      <c r="B837">
        <v>5</v>
      </c>
      <c r="C837">
        <v>15</v>
      </c>
      <c r="D837">
        <v>0.67709669559410179</v>
      </c>
      <c r="E837">
        <v>1.5200000000000102E-2</v>
      </c>
      <c r="F837">
        <f t="shared" si="41"/>
        <v>1.0291869773030416E-2</v>
      </c>
      <c r="M837" s="31"/>
    </row>
    <row r="838" spans="1:13" x14ac:dyDescent="0.3">
      <c r="A838">
        <v>2007</v>
      </c>
      <c r="B838">
        <v>5</v>
      </c>
      <c r="C838">
        <v>14</v>
      </c>
      <c r="D838">
        <v>0.67573892890848219</v>
      </c>
      <c r="E838">
        <v>1.5200000000000102E-2</v>
      </c>
      <c r="F838">
        <f t="shared" si="41"/>
        <v>1.0271231719408998E-2</v>
      </c>
      <c r="M838" s="31"/>
    </row>
    <row r="839" spans="1:13" x14ac:dyDescent="0.3">
      <c r="A839">
        <v>2007</v>
      </c>
      <c r="B839">
        <v>5</v>
      </c>
      <c r="C839">
        <v>12</v>
      </c>
      <c r="D839">
        <v>0.67198052305728673</v>
      </c>
      <c r="E839">
        <v>1.5200000000000102E-2</v>
      </c>
      <c r="F839">
        <f t="shared" si="41"/>
        <v>1.0214103950470827E-2</v>
      </c>
      <c r="M839" s="31"/>
    </row>
    <row r="840" spans="1:13" x14ac:dyDescent="0.3">
      <c r="A840">
        <v>2007</v>
      </c>
      <c r="B840">
        <v>5</v>
      </c>
      <c r="C840">
        <v>10</v>
      </c>
      <c r="D840">
        <v>0.66609507681213997</v>
      </c>
      <c r="E840">
        <v>1.5200000000000102E-2</v>
      </c>
      <c r="F840">
        <f t="shared" si="41"/>
        <v>1.0124645167544596E-2</v>
      </c>
      <c r="M840" s="31"/>
    </row>
    <row r="841" spans="1:13" x14ac:dyDescent="0.3">
      <c r="A841">
        <v>2007</v>
      </c>
      <c r="B841">
        <v>5</v>
      </c>
      <c r="C841">
        <v>8</v>
      </c>
      <c r="D841">
        <v>0.65875897726390531</v>
      </c>
      <c r="E841">
        <v>1.5200000000000102E-2</v>
      </c>
      <c r="F841">
        <f t="shared" si="41"/>
        <v>1.0013136454411427E-2</v>
      </c>
      <c r="M841" s="31"/>
    </row>
    <row r="842" spans="1:13" x14ac:dyDescent="0.3">
      <c r="A842">
        <v>2007</v>
      </c>
      <c r="B842">
        <v>5</v>
      </c>
      <c r="C842">
        <v>6</v>
      </c>
      <c r="D842">
        <v>0.6530281150000915</v>
      </c>
      <c r="E842">
        <v>1.5200000000000102E-2</v>
      </c>
      <c r="F842">
        <f t="shared" si="41"/>
        <v>9.926027348001458E-3</v>
      </c>
      <c r="M842" s="31"/>
    </row>
    <row r="843" spans="1:13" x14ac:dyDescent="0.3">
      <c r="A843">
        <v>2007</v>
      </c>
      <c r="B843">
        <v>5</v>
      </c>
      <c r="C843">
        <v>4</v>
      </c>
      <c r="D843">
        <v>0.64743883586445916</v>
      </c>
      <c r="E843">
        <v>1.5200000000000102E-2</v>
      </c>
      <c r="F843">
        <f t="shared" si="41"/>
        <v>9.8410703051398461E-3</v>
      </c>
      <c r="M843" s="31"/>
    </row>
    <row r="844" spans="1:13" x14ac:dyDescent="0.3">
      <c r="A844">
        <v>2007</v>
      </c>
      <c r="B844">
        <v>5</v>
      </c>
      <c r="C844">
        <v>2</v>
      </c>
      <c r="D844">
        <v>0.64212227560243529</v>
      </c>
      <c r="E844">
        <v>1.5200000000000102E-2</v>
      </c>
      <c r="F844">
        <f t="shared" si="41"/>
        <v>9.7602585891570816E-3</v>
      </c>
      <c r="M844" s="31"/>
    </row>
    <row r="845" spans="1:13" x14ac:dyDescent="0.3">
      <c r="A845">
        <v>2007</v>
      </c>
      <c r="B845">
        <v>4</v>
      </c>
      <c r="C845">
        <v>30</v>
      </c>
      <c r="D845">
        <v>0.64011039573905182</v>
      </c>
      <c r="E845">
        <v>1.5200000000000102E-2</v>
      </c>
      <c r="F845">
        <f t="shared" si="41"/>
        <v>9.7296780152336532E-3</v>
      </c>
      <c r="M845" s="31"/>
    </row>
    <row r="846" spans="1:13" x14ac:dyDescent="0.3">
      <c r="A846">
        <v>2007</v>
      </c>
      <c r="B846">
        <v>4</v>
      </c>
      <c r="C846">
        <v>29</v>
      </c>
      <c r="D846">
        <v>0.6380989890122275</v>
      </c>
      <c r="E846">
        <v>1.5200000000000102E-2</v>
      </c>
      <c r="F846">
        <f t="shared" si="41"/>
        <v>9.6991046329859242E-3</v>
      </c>
      <c r="M846" s="31"/>
    </row>
    <row r="847" spans="1:13" x14ac:dyDescent="0.3">
      <c r="A847">
        <v>2007</v>
      </c>
      <c r="B847">
        <v>4</v>
      </c>
      <c r="C847">
        <v>27</v>
      </c>
      <c r="D847">
        <v>0.63661521216436201</v>
      </c>
      <c r="E847">
        <v>1.5200000000000102E-2</v>
      </c>
      <c r="F847">
        <f t="shared" si="41"/>
        <v>9.6765512248983675E-3</v>
      </c>
      <c r="M847" s="31"/>
    </row>
    <row r="848" spans="1:13" x14ac:dyDescent="0.3">
      <c r="A848">
        <v>2007</v>
      </c>
      <c r="B848">
        <v>4</v>
      </c>
      <c r="C848">
        <v>25</v>
      </c>
      <c r="D848">
        <v>0.63790083329313452</v>
      </c>
      <c r="E848">
        <v>1.5200000000000102E-2</v>
      </c>
      <c r="F848">
        <f t="shared" si="41"/>
        <v>9.6960926660557105E-3</v>
      </c>
      <c r="M848" s="31"/>
    </row>
    <row r="849" spans="1:13" x14ac:dyDescent="0.3">
      <c r="A849">
        <v>2007</v>
      </c>
      <c r="B849">
        <v>4</v>
      </c>
      <c r="C849">
        <v>23</v>
      </c>
      <c r="D849">
        <v>0.64182991673525636</v>
      </c>
      <c r="E849">
        <v>1.5200000000000102E-2</v>
      </c>
      <c r="F849">
        <f t="shared" si="41"/>
        <v>9.7558147343759626E-3</v>
      </c>
      <c r="M849" s="31"/>
    </row>
    <row r="850" spans="1:13" x14ac:dyDescent="0.3">
      <c r="A850">
        <v>2007</v>
      </c>
      <c r="B850">
        <v>4</v>
      </c>
      <c r="C850">
        <v>21</v>
      </c>
      <c r="D850">
        <v>0.64404628853857993</v>
      </c>
      <c r="E850">
        <v>1.5200000000000102E-2</v>
      </c>
      <c r="F850">
        <f t="shared" si="41"/>
        <v>9.7895035857864816E-3</v>
      </c>
      <c r="M850" s="31"/>
    </row>
    <row r="851" spans="1:13" x14ac:dyDescent="0.3">
      <c r="A851">
        <v>2007</v>
      </c>
      <c r="B851">
        <v>4</v>
      </c>
      <c r="C851">
        <v>19</v>
      </c>
      <c r="D851">
        <v>0.64560351036057362</v>
      </c>
      <c r="E851">
        <v>1.5200000000000102E-2</v>
      </c>
      <c r="F851">
        <f t="shared" si="41"/>
        <v>9.8131733574807842E-3</v>
      </c>
      <c r="M851" s="31"/>
    </row>
    <row r="852" spans="1:13" x14ac:dyDescent="0.3">
      <c r="A852">
        <v>2007</v>
      </c>
      <c r="B852">
        <v>4</v>
      </c>
      <c r="C852">
        <v>17</v>
      </c>
      <c r="D852">
        <v>0.64636755936622625</v>
      </c>
      <c r="E852">
        <v>1.5200000000000102E-2</v>
      </c>
      <c r="F852">
        <f t="shared" si="41"/>
        <v>9.8247869023667059E-3</v>
      </c>
      <c r="M852" s="31"/>
    </row>
    <row r="853" spans="1:13" x14ac:dyDescent="0.3">
      <c r="A853">
        <v>2007</v>
      </c>
      <c r="B853">
        <v>4</v>
      </c>
      <c r="C853">
        <v>15</v>
      </c>
      <c r="D853">
        <v>0.64262772613791652</v>
      </c>
      <c r="E853">
        <v>1.5200000000000102E-2</v>
      </c>
      <c r="F853">
        <f t="shared" si="41"/>
        <v>9.7679414372963975E-3</v>
      </c>
      <c r="M853" s="31"/>
    </row>
    <row r="854" spans="1:13" x14ac:dyDescent="0.3">
      <c r="A854">
        <v>2007</v>
      </c>
      <c r="B854">
        <v>4</v>
      </c>
      <c r="C854">
        <v>14</v>
      </c>
      <c r="D854">
        <v>0.63664477180214507</v>
      </c>
      <c r="E854">
        <v>1.5200000000000102E-2</v>
      </c>
      <c r="F854">
        <f t="shared" si="41"/>
        <v>9.677000531392671E-3</v>
      </c>
      <c r="M854" s="31"/>
    </row>
    <row r="855" spans="1:13" x14ac:dyDescent="0.3">
      <c r="A855">
        <v>2007</v>
      </c>
      <c r="B855">
        <v>4</v>
      </c>
      <c r="C855">
        <v>12</v>
      </c>
      <c r="D855">
        <v>0.62856391986216775</v>
      </c>
      <c r="E855">
        <v>1.5200000000000102E-2</v>
      </c>
      <c r="F855">
        <f t="shared" si="41"/>
        <v>9.5541715819050139E-3</v>
      </c>
      <c r="M855" s="31"/>
    </row>
    <row r="856" spans="1:13" x14ac:dyDescent="0.3">
      <c r="A856">
        <v>2007</v>
      </c>
      <c r="B856">
        <v>4</v>
      </c>
      <c r="C856">
        <v>10</v>
      </c>
      <c r="D856">
        <v>0.62011003889686034</v>
      </c>
      <c r="E856">
        <v>1.5200000000000102E-2</v>
      </c>
      <c r="F856">
        <f t="shared" si="41"/>
        <v>9.4256725912323404E-3</v>
      </c>
      <c r="M856" s="31"/>
    </row>
    <row r="857" spans="1:13" x14ac:dyDescent="0.3">
      <c r="A857">
        <v>2007</v>
      </c>
      <c r="B857">
        <v>4</v>
      </c>
      <c r="C857">
        <v>8</v>
      </c>
      <c r="D857">
        <v>0.61115629098632462</v>
      </c>
      <c r="E857">
        <v>1.5200000000000102E-2</v>
      </c>
      <c r="F857">
        <f t="shared" si="41"/>
        <v>9.2895756229921973E-3</v>
      </c>
      <c r="M857" s="31"/>
    </row>
    <row r="858" spans="1:13" x14ac:dyDescent="0.3">
      <c r="A858">
        <v>2007</v>
      </c>
      <c r="B858">
        <v>4</v>
      </c>
      <c r="C858">
        <v>6</v>
      </c>
      <c r="D858">
        <v>0.60431787235434387</v>
      </c>
      <c r="E858">
        <v>1.5200000000000102E-2</v>
      </c>
      <c r="F858">
        <f t="shared" si="41"/>
        <v>9.1856316597860883E-3</v>
      </c>
      <c r="M858" s="31"/>
    </row>
    <row r="859" spans="1:13" x14ac:dyDescent="0.3">
      <c r="A859">
        <v>2007</v>
      </c>
      <c r="B859">
        <v>4</v>
      </c>
      <c r="C859">
        <v>4</v>
      </c>
      <c r="D859">
        <v>0.59788544453753667</v>
      </c>
      <c r="E859">
        <v>1.5200000000000102E-2</v>
      </c>
      <c r="F859">
        <f t="shared" si="41"/>
        <v>9.0878587569706189E-3</v>
      </c>
      <c r="M859" s="31"/>
    </row>
    <row r="860" spans="1:13" x14ac:dyDescent="0.3">
      <c r="A860">
        <v>2007</v>
      </c>
      <c r="B860">
        <v>4</v>
      </c>
      <c r="C860">
        <v>2</v>
      </c>
      <c r="D860">
        <v>0.59211623646543554</v>
      </c>
      <c r="E860">
        <v>1.5200000000000102E-2</v>
      </c>
      <c r="F860">
        <f t="shared" si="41"/>
        <v>9.0001667942746812E-3</v>
      </c>
      <c r="M860" s="31"/>
    </row>
    <row r="861" spans="1:13" x14ac:dyDescent="0.3">
      <c r="A861">
        <v>2007</v>
      </c>
      <c r="B861">
        <v>3</v>
      </c>
      <c r="C861">
        <v>31</v>
      </c>
      <c r="D861">
        <v>0.58687670257173929</v>
      </c>
      <c r="E861">
        <v>1.5200000000000102E-2</v>
      </c>
      <c r="F861">
        <f t="shared" si="41"/>
        <v>8.9205258790904969E-3</v>
      </c>
      <c r="M861" s="31"/>
    </row>
    <row r="862" spans="1:13" x14ac:dyDescent="0.3">
      <c r="A862">
        <v>2007</v>
      </c>
      <c r="B862">
        <v>3</v>
      </c>
      <c r="C862">
        <v>30</v>
      </c>
      <c r="D862">
        <v>0.58112736491975625</v>
      </c>
      <c r="E862">
        <v>1.5200000000000102E-2</v>
      </c>
      <c r="F862">
        <f t="shared" si="41"/>
        <v>8.8331359467803544E-3</v>
      </c>
      <c r="M862" s="31"/>
    </row>
    <row r="863" spans="1:13" x14ac:dyDescent="0.3">
      <c r="A863">
        <v>2007</v>
      </c>
      <c r="B863">
        <v>3</v>
      </c>
      <c r="C863">
        <v>28</v>
      </c>
      <c r="D863">
        <v>0.57396855125364055</v>
      </c>
      <c r="E863">
        <v>1.5200000000000102E-2</v>
      </c>
      <c r="F863">
        <f t="shared" si="41"/>
        <v>8.7243219790553942E-3</v>
      </c>
      <c r="M863" s="31"/>
    </row>
    <row r="864" spans="1:13" x14ac:dyDescent="0.3">
      <c r="A864">
        <v>2007</v>
      </c>
      <c r="B864">
        <v>3</v>
      </c>
      <c r="C864">
        <v>26</v>
      </c>
      <c r="D864">
        <v>0.56566915420754871</v>
      </c>
      <c r="E864">
        <v>1.5200000000000102E-2</v>
      </c>
      <c r="F864">
        <f t="shared" si="41"/>
        <v>8.5981711439547977E-3</v>
      </c>
      <c r="M864" s="31"/>
    </row>
    <row r="865" spans="1:13" x14ac:dyDescent="0.3">
      <c r="A865">
        <v>2007</v>
      </c>
      <c r="B865">
        <v>3</v>
      </c>
      <c r="C865">
        <v>24</v>
      </c>
      <c r="D865">
        <v>0.55816469290008885</v>
      </c>
      <c r="E865">
        <v>1.5200000000000102E-2</v>
      </c>
      <c r="F865">
        <f t="shared" si="41"/>
        <v>8.4841033320814073E-3</v>
      </c>
      <c r="M865" s="31"/>
    </row>
    <row r="866" spans="1:13" x14ac:dyDescent="0.3">
      <c r="A866">
        <v>2007</v>
      </c>
      <c r="B866">
        <v>3</v>
      </c>
      <c r="C866">
        <v>22</v>
      </c>
      <c r="D866">
        <v>0.55208788680250698</v>
      </c>
      <c r="E866">
        <v>1.5200000000000102E-2</v>
      </c>
      <c r="F866">
        <f t="shared" si="41"/>
        <v>8.3917358793981628E-3</v>
      </c>
      <c r="M866" s="31"/>
    </row>
    <row r="867" spans="1:13" x14ac:dyDescent="0.3">
      <c r="A867">
        <v>2007</v>
      </c>
      <c r="B867">
        <v>3</v>
      </c>
      <c r="C867">
        <v>20</v>
      </c>
      <c r="D867">
        <v>0.5488351022752963</v>
      </c>
      <c r="E867">
        <v>1.5200000000000102E-2</v>
      </c>
      <c r="F867">
        <f t="shared" si="41"/>
        <v>8.3422935545845595E-3</v>
      </c>
      <c r="M867" s="31"/>
    </row>
    <row r="868" spans="1:13" x14ac:dyDescent="0.3">
      <c r="A868">
        <v>2007</v>
      </c>
      <c r="B868">
        <v>3</v>
      </c>
      <c r="C868">
        <v>18</v>
      </c>
      <c r="D868">
        <v>0.54916274349094885</v>
      </c>
      <c r="E868">
        <v>1.5200000000000102E-2</v>
      </c>
      <c r="F868">
        <f t="shared" si="41"/>
        <v>8.3472737010624794E-3</v>
      </c>
      <c r="M868" s="31"/>
    </row>
    <row r="869" spans="1:13" x14ac:dyDescent="0.3">
      <c r="A869">
        <v>2007</v>
      </c>
      <c r="B869">
        <v>3</v>
      </c>
      <c r="C869">
        <v>16</v>
      </c>
      <c r="D869">
        <v>0.55628169466106525</v>
      </c>
      <c r="E869">
        <v>1.5200000000000102E-2</v>
      </c>
      <c r="F869">
        <f t="shared" si="41"/>
        <v>8.4554817588482489E-3</v>
      </c>
      <c r="M869" s="31"/>
    </row>
    <row r="870" spans="1:13" x14ac:dyDescent="0.3">
      <c r="A870">
        <v>2007</v>
      </c>
      <c r="B870">
        <v>3</v>
      </c>
      <c r="C870">
        <v>15</v>
      </c>
      <c r="D870">
        <v>0.56368446679411022</v>
      </c>
      <c r="E870">
        <v>1.5200000000000102E-2</v>
      </c>
      <c r="F870">
        <f t="shared" si="41"/>
        <v>8.5680038952705324E-3</v>
      </c>
      <c r="M870" s="31"/>
    </row>
    <row r="871" spans="1:13" x14ac:dyDescent="0.3">
      <c r="A871">
        <v>2007</v>
      </c>
      <c r="B871">
        <v>3</v>
      </c>
      <c r="C871">
        <v>13</v>
      </c>
      <c r="D871">
        <v>0.56879073359467114</v>
      </c>
      <c r="E871">
        <v>1.5200000000000102E-2</v>
      </c>
      <c r="F871">
        <f t="shared" si="41"/>
        <v>8.6456191506390587E-3</v>
      </c>
      <c r="M871" s="31"/>
    </row>
    <row r="872" spans="1:13" x14ac:dyDescent="0.3">
      <c r="A872">
        <v>2007</v>
      </c>
      <c r="B872">
        <v>3</v>
      </c>
      <c r="C872">
        <v>11</v>
      </c>
      <c r="D872">
        <v>0.56848157611440409</v>
      </c>
      <c r="E872">
        <v>1.5200000000000102E-2</v>
      </c>
      <c r="F872">
        <f t="shared" si="41"/>
        <v>8.6409199569390006E-3</v>
      </c>
      <c r="M872" s="31"/>
    </row>
    <row r="873" spans="1:13" x14ac:dyDescent="0.3">
      <c r="A873">
        <v>2007</v>
      </c>
      <c r="B873">
        <v>3</v>
      </c>
      <c r="C873">
        <v>9</v>
      </c>
      <c r="D873">
        <v>0.56185383944371892</v>
      </c>
      <c r="E873">
        <v>1.5200000000000102E-2</v>
      </c>
      <c r="F873">
        <f t="shared" si="41"/>
        <v>8.5401783595445858E-3</v>
      </c>
      <c r="M873" s="31"/>
    </row>
    <row r="874" spans="1:13" x14ac:dyDescent="0.3">
      <c r="A874">
        <v>2007</v>
      </c>
      <c r="B874">
        <v>3</v>
      </c>
      <c r="C874">
        <v>7</v>
      </c>
      <c r="D874">
        <v>0.54409469996765614</v>
      </c>
      <c r="E874">
        <v>1.5200000000000102E-2</v>
      </c>
      <c r="F874">
        <f t="shared" si="41"/>
        <v>8.2702394395084283E-3</v>
      </c>
      <c r="M874" s="31"/>
    </row>
    <row r="875" spans="1:13" x14ac:dyDescent="0.3">
      <c r="A875">
        <v>2007</v>
      </c>
      <c r="B875">
        <v>3</v>
      </c>
      <c r="C875">
        <v>5</v>
      </c>
      <c r="D875">
        <v>0.52266608375962176</v>
      </c>
      <c r="E875">
        <v>1.5200000000000102E-2</v>
      </c>
      <c r="F875">
        <f t="shared" si="41"/>
        <v>7.9445244731463048E-3</v>
      </c>
      <c r="M875" s="31"/>
    </row>
    <row r="876" spans="1:13" x14ac:dyDescent="0.3">
      <c r="A876">
        <v>2007</v>
      </c>
      <c r="B876">
        <v>3</v>
      </c>
      <c r="C876">
        <v>3</v>
      </c>
      <c r="D876">
        <v>0.50131366686846179</v>
      </c>
      <c r="E876">
        <v>1.5200000000000102E-2</v>
      </c>
      <c r="F876">
        <f t="shared" si="41"/>
        <v>7.6199677364006705E-3</v>
      </c>
      <c r="M876" s="31"/>
    </row>
    <row r="877" spans="1:13" x14ac:dyDescent="0.3">
      <c r="A877">
        <v>2007</v>
      </c>
      <c r="B877">
        <v>3</v>
      </c>
      <c r="C877">
        <v>1</v>
      </c>
      <c r="D877">
        <v>0.48762752350911209</v>
      </c>
      <c r="E877">
        <v>1.5200000000000102E-2</v>
      </c>
      <c r="F877">
        <f t="shared" si="41"/>
        <v>7.4119383573385536E-3</v>
      </c>
      <c r="M877" s="31"/>
    </row>
    <row r="878" spans="1:13" x14ac:dyDescent="0.3">
      <c r="A878">
        <v>2007</v>
      </c>
      <c r="B878">
        <v>2</v>
      </c>
      <c r="C878">
        <v>28</v>
      </c>
      <c r="D878">
        <v>0.48071833803742858</v>
      </c>
      <c r="E878">
        <v>1.5200000000000102E-2</v>
      </c>
      <c r="F878">
        <f t="shared" si="41"/>
        <v>7.3069187381689634E-3</v>
      </c>
      <c r="M878" s="31"/>
    </row>
    <row r="879" spans="1:13" x14ac:dyDescent="0.3">
      <c r="A879">
        <v>2007</v>
      </c>
      <c r="B879">
        <v>2</v>
      </c>
      <c r="C879">
        <v>16</v>
      </c>
      <c r="D879">
        <v>0.48163941872175858</v>
      </c>
      <c r="E879">
        <v>1.5200000000000102E-2</v>
      </c>
      <c r="F879">
        <f t="shared" si="41"/>
        <v>7.3209191645707801E-3</v>
      </c>
      <c r="M879" s="31"/>
    </row>
    <row r="880" spans="1:13" x14ac:dyDescent="0.3">
      <c r="A880">
        <v>2007</v>
      </c>
      <c r="B880">
        <v>2</v>
      </c>
      <c r="C880">
        <v>4</v>
      </c>
      <c r="D880">
        <v>0.48753969875235542</v>
      </c>
      <c r="E880">
        <v>1.5200000000000102E-2</v>
      </c>
      <c r="F880">
        <f t="shared" si="41"/>
        <v>7.410603421035852E-3</v>
      </c>
      <c r="M880" s="31"/>
    </row>
    <row r="881" spans="1:13" x14ac:dyDescent="0.3">
      <c r="A881">
        <v>2007</v>
      </c>
      <c r="B881">
        <v>1</v>
      </c>
      <c r="C881">
        <v>24</v>
      </c>
      <c r="D881">
        <v>0.49621300173425115</v>
      </c>
      <c r="E881">
        <v>1.5200000000000102E-2</v>
      </c>
      <c r="F881">
        <f t="shared" si="41"/>
        <v>7.5424376263606681E-3</v>
      </c>
      <c r="M881" s="31"/>
    </row>
    <row r="882" spans="1:13" x14ac:dyDescent="0.3">
      <c r="A882">
        <v>2007</v>
      </c>
      <c r="B882">
        <v>1</v>
      </c>
      <c r="C882">
        <v>12</v>
      </c>
      <c r="D882">
        <v>0.50379710213760898</v>
      </c>
      <c r="E882">
        <v>1.5200000000000102E-2</v>
      </c>
      <c r="F882">
        <f t="shared" si="41"/>
        <v>7.6577159524917077E-3</v>
      </c>
      <c r="M882" s="31"/>
    </row>
    <row r="883" spans="1:13" x14ac:dyDescent="0.3">
      <c r="A883">
        <v>2007</v>
      </c>
      <c r="B883">
        <v>1</v>
      </c>
      <c r="C883">
        <v>1</v>
      </c>
      <c r="D883">
        <v>0.51343361940175103</v>
      </c>
      <c r="E883">
        <v>1.5200000000000102E-2</v>
      </c>
      <c r="F883">
        <f t="shared" si="41"/>
        <v>7.8041910149066682E-3</v>
      </c>
      <c r="M883" s="31"/>
    </row>
    <row r="884" spans="1:13" x14ac:dyDescent="0.3">
      <c r="A884">
        <v>2006</v>
      </c>
      <c r="B884">
        <v>12</v>
      </c>
      <c r="C884">
        <v>20</v>
      </c>
      <c r="D884">
        <v>0.52350094133676872</v>
      </c>
      <c r="E884">
        <v>1.5200000000000102E-2</v>
      </c>
      <c r="F884">
        <f t="shared" si="41"/>
        <v>7.9572143083189387E-3</v>
      </c>
      <c r="M884" s="31"/>
    </row>
    <row r="885" spans="1:13" x14ac:dyDescent="0.3">
      <c r="A885">
        <v>2006</v>
      </c>
      <c r="B885">
        <v>12</v>
      </c>
      <c r="C885">
        <v>9</v>
      </c>
      <c r="D885">
        <v>0.53809174625225564</v>
      </c>
      <c r="E885">
        <v>1.5200000000000102E-2</v>
      </c>
      <c r="F885">
        <f t="shared" si="41"/>
        <v>8.1789945430343416E-3</v>
      </c>
      <c r="M885" s="31"/>
    </row>
    <row r="886" spans="1:13" x14ac:dyDescent="0.3">
      <c r="A886">
        <v>2006</v>
      </c>
      <c r="B886">
        <v>11</v>
      </c>
      <c r="C886">
        <v>27</v>
      </c>
      <c r="D886">
        <v>0.5554933185587444</v>
      </c>
      <c r="E886">
        <v>1.5200000000000102E-2</v>
      </c>
      <c r="F886">
        <f t="shared" si="41"/>
        <v>8.4434984420929723E-3</v>
      </c>
      <c r="M886" s="31"/>
    </row>
    <row r="887" spans="1:13" x14ac:dyDescent="0.3">
      <c r="A887">
        <v>2006</v>
      </c>
      <c r="B887">
        <v>11</v>
      </c>
      <c r="C887">
        <v>15</v>
      </c>
      <c r="D887">
        <v>0.57589882006222015</v>
      </c>
      <c r="E887">
        <v>1.5200000000000102E-2</v>
      </c>
      <c r="F887">
        <f t="shared" si="41"/>
        <v>8.7536620649458045E-3</v>
      </c>
      <c r="M887" s="31"/>
    </row>
    <row r="888" spans="1:13" x14ac:dyDescent="0.3">
      <c r="A888">
        <v>2006</v>
      </c>
      <c r="B888">
        <v>11</v>
      </c>
      <c r="C888">
        <v>4</v>
      </c>
      <c r="D888">
        <v>0.59662599353112233</v>
      </c>
      <c r="E888">
        <v>1.5200000000000102E-2</v>
      </c>
      <c r="F888">
        <f t="shared" si="41"/>
        <v>9.0687151016731211E-3</v>
      </c>
      <c r="M888" s="31"/>
    </row>
    <row r="889" spans="1:13" x14ac:dyDescent="0.3">
      <c r="A889">
        <v>2006</v>
      </c>
      <c r="B889">
        <v>10</v>
      </c>
      <c r="C889">
        <v>23</v>
      </c>
      <c r="D889">
        <v>0.61727788818324103</v>
      </c>
      <c r="E889">
        <v>1.5200000000000102E-2</v>
      </c>
      <c r="F889">
        <f t="shared" si="41"/>
        <v>9.3826239003853267E-3</v>
      </c>
      <c r="M889" s="31"/>
    </row>
    <row r="890" spans="1:13" x14ac:dyDescent="0.3">
      <c r="A890">
        <v>2006</v>
      </c>
      <c r="B890">
        <v>10</v>
      </c>
      <c r="C890">
        <v>12</v>
      </c>
      <c r="D890">
        <v>0.63344456535519467</v>
      </c>
      <c r="E890">
        <v>1.5200000000000102E-2</v>
      </c>
      <c r="F890">
        <f t="shared" si="41"/>
        <v>9.628357393399024E-3</v>
      </c>
      <c r="M890" s="31"/>
    </row>
    <row r="891" spans="1:13" x14ac:dyDescent="0.3">
      <c r="A891">
        <v>2006</v>
      </c>
      <c r="B891">
        <v>9</v>
      </c>
      <c r="C891">
        <v>30</v>
      </c>
      <c r="D891">
        <v>0.6466393161234808</v>
      </c>
      <c r="E891">
        <v>1.5200000000000102E-2</v>
      </c>
      <c r="F891">
        <f t="shared" si="41"/>
        <v>9.8289176050769742E-3</v>
      </c>
      <c r="M891" s="31"/>
    </row>
    <row r="892" spans="1:13" x14ac:dyDescent="0.3">
      <c r="A892">
        <v>2006</v>
      </c>
      <c r="B892">
        <v>9</v>
      </c>
      <c r="C892">
        <v>19</v>
      </c>
      <c r="D892">
        <v>0.65640879673362473</v>
      </c>
      <c r="E892">
        <v>1.5200000000000102E-2</v>
      </c>
      <c r="F892">
        <f t="shared" si="41"/>
        <v>9.9774137103511625E-3</v>
      </c>
      <c r="M892" s="31"/>
    </row>
    <row r="893" spans="1:13" x14ac:dyDescent="0.3">
      <c r="A893">
        <v>2006</v>
      </c>
      <c r="B893">
        <v>9</v>
      </c>
      <c r="C893">
        <v>7</v>
      </c>
      <c r="D893">
        <v>0.66513923029306743</v>
      </c>
      <c r="E893">
        <v>1.5200000000000102E-2</v>
      </c>
      <c r="F893">
        <f t="shared" si="41"/>
        <v>1.0110116300454693E-2</v>
      </c>
      <c r="M893" s="31"/>
    </row>
    <row r="894" spans="1:13" x14ac:dyDescent="0.3">
      <c r="A894">
        <v>2006</v>
      </c>
      <c r="B894">
        <v>8</v>
      </c>
      <c r="C894">
        <v>26</v>
      </c>
      <c r="D894">
        <v>0.67607096096348129</v>
      </c>
      <c r="E894">
        <v>1.5200000000000102E-2</v>
      </c>
      <c r="F894">
        <f t="shared" si="41"/>
        <v>1.0276278606644984E-2</v>
      </c>
      <c r="M894" s="31"/>
    </row>
    <row r="895" spans="1:13" x14ac:dyDescent="0.3">
      <c r="A895">
        <v>2006</v>
      </c>
      <c r="B895">
        <v>8</v>
      </c>
      <c r="C895">
        <v>15</v>
      </c>
      <c r="D895">
        <v>0.6907296496023726</v>
      </c>
      <c r="E895">
        <v>1.5200000000000102E-2</v>
      </c>
      <c r="F895">
        <f t="shared" si="41"/>
        <v>1.0499090673956135E-2</v>
      </c>
      <c r="M895" s="31"/>
    </row>
    <row r="896" spans="1:13" x14ac:dyDescent="0.3">
      <c r="A896">
        <v>2006</v>
      </c>
      <c r="B896">
        <v>8</v>
      </c>
      <c r="C896">
        <v>3</v>
      </c>
      <c r="D896">
        <v>0.70679618215886597</v>
      </c>
      <c r="E896">
        <v>1.5200000000000102E-2</v>
      </c>
      <c r="F896">
        <f t="shared" si="41"/>
        <v>1.0743301968814836E-2</v>
      </c>
      <c r="M896" s="31"/>
    </row>
    <row r="897" spans="1:13" x14ac:dyDescent="0.3">
      <c r="A897">
        <v>2006</v>
      </c>
      <c r="B897">
        <v>7</v>
      </c>
      <c r="C897">
        <v>23</v>
      </c>
      <c r="D897">
        <v>0.72170644359672675</v>
      </c>
      <c r="E897">
        <v>1.5200000000000102E-2</v>
      </c>
      <c r="F897">
        <f t="shared" si="41"/>
        <v>1.0969937942670321E-2</v>
      </c>
      <c r="M897" s="31"/>
    </row>
    <row r="898" spans="1:13" x14ac:dyDescent="0.3">
      <c r="A898">
        <v>2006</v>
      </c>
      <c r="B898">
        <v>7</v>
      </c>
      <c r="C898">
        <v>11</v>
      </c>
      <c r="D898">
        <v>0.73350536024151947</v>
      </c>
      <c r="E898">
        <v>1.5200000000000102E-2</v>
      </c>
      <c r="F898">
        <f t="shared" si="41"/>
        <v>1.1149281475671171E-2</v>
      </c>
      <c r="M898" s="31"/>
    </row>
    <row r="899" spans="1:13" x14ac:dyDescent="0.3">
      <c r="A899">
        <v>2006</v>
      </c>
      <c r="B899">
        <v>6</v>
      </c>
      <c r="C899">
        <v>30</v>
      </c>
      <c r="D899">
        <v>0.7378628209514293</v>
      </c>
      <c r="E899">
        <v>1.5200000000000102E-2</v>
      </c>
      <c r="F899">
        <f t="shared" ref="F899:F962" si="42">D899*E899</f>
        <v>1.1215514878461801E-2</v>
      </c>
      <c r="M899" s="31"/>
    </row>
    <row r="900" spans="1:13" x14ac:dyDescent="0.3">
      <c r="A900">
        <v>2006</v>
      </c>
      <c r="B900">
        <v>6</v>
      </c>
      <c r="C900">
        <v>26</v>
      </c>
      <c r="D900">
        <v>0.73350732270431829</v>
      </c>
      <c r="E900">
        <v>1.5200000000000102E-2</v>
      </c>
      <c r="F900">
        <f t="shared" si="42"/>
        <v>1.1149311305105714E-2</v>
      </c>
      <c r="M900" s="31"/>
    </row>
    <row r="901" spans="1:13" x14ac:dyDescent="0.3">
      <c r="A901">
        <v>2006</v>
      </c>
      <c r="B901">
        <v>6</v>
      </c>
      <c r="C901">
        <v>22</v>
      </c>
      <c r="D901">
        <v>0.71910747800082153</v>
      </c>
      <c r="E901">
        <v>1.5200000000000102E-2</v>
      </c>
      <c r="F901">
        <f t="shared" si="42"/>
        <v>1.0930433665612561E-2</v>
      </c>
      <c r="M901" s="31"/>
    </row>
    <row r="902" spans="1:13" x14ac:dyDescent="0.3">
      <c r="A902">
        <v>2006</v>
      </c>
      <c r="B902">
        <v>6</v>
      </c>
      <c r="C902">
        <v>18</v>
      </c>
      <c r="D902">
        <v>0.7034167849128018</v>
      </c>
      <c r="E902">
        <v>1.5200000000000102E-2</v>
      </c>
      <c r="F902">
        <f t="shared" si="42"/>
        <v>1.069193513067466E-2</v>
      </c>
      <c r="M902" s="31"/>
    </row>
    <row r="903" spans="1:13" x14ac:dyDescent="0.3">
      <c r="A903">
        <v>2006</v>
      </c>
      <c r="B903">
        <v>6</v>
      </c>
      <c r="C903">
        <v>14</v>
      </c>
      <c r="D903">
        <v>0.68686686480472992</v>
      </c>
      <c r="E903">
        <v>1.5200000000000102E-2</v>
      </c>
      <c r="F903">
        <f t="shared" si="42"/>
        <v>1.0440376345031964E-2</v>
      </c>
      <c r="M903" s="31"/>
    </row>
    <row r="904" spans="1:13" x14ac:dyDescent="0.3">
      <c r="A904">
        <v>2006</v>
      </c>
      <c r="B904">
        <v>6</v>
      </c>
      <c r="C904">
        <v>10</v>
      </c>
      <c r="D904">
        <v>0.67285327505964831</v>
      </c>
      <c r="E904">
        <v>1.5200000000000102E-2</v>
      </c>
      <c r="F904">
        <f t="shared" si="42"/>
        <v>1.0227369780906723E-2</v>
      </c>
      <c r="M904" s="31"/>
    </row>
    <row r="905" spans="1:13" x14ac:dyDescent="0.3">
      <c r="A905">
        <v>2006</v>
      </c>
      <c r="B905">
        <v>6</v>
      </c>
      <c r="C905">
        <v>6</v>
      </c>
      <c r="D905">
        <v>0.66295291105815535</v>
      </c>
      <c r="E905">
        <v>1.5200000000000102E-2</v>
      </c>
      <c r="F905">
        <f t="shared" si="42"/>
        <v>1.0076884248084029E-2</v>
      </c>
      <c r="M905" s="31"/>
    </row>
    <row r="906" spans="1:13" x14ac:dyDescent="0.3">
      <c r="A906">
        <v>2006</v>
      </c>
      <c r="B906">
        <v>6</v>
      </c>
      <c r="C906">
        <v>2</v>
      </c>
      <c r="D906">
        <v>0.66195966951432039</v>
      </c>
      <c r="E906">
        <v>1.5200000000000102E-2</v>
      </c>
      <c r="F906">
        <f t="shared" si="42"/>
        <v>1.0061786976617738E-2</v>
      </c>
      <c r="M906" s="31"/>
    </row>
    <row r="907" spans="1:13" x14ac:dyDescent="0.3">
      <c r="A907">
        <v>2006</v>
      </c>
      <c r="B907">
        <v>5</v>
      </c>
      <c r="C907">
        <v>29</v>
      </c>
      <c r="D907">
        <v>0.66285049490714965</v>
      </c>
      <c r="E907">
        <v>1.5200000000000102E-2</v>
      </c>
      <c r="F907">
        <f t="shared" si="42"/>
        <v>1.0075327522588742E-2</v>
      </c>
      <c r="M907" s="31"/>
    </row>
    <row r="908" spans="1:13" x14ac:dyDescent="0.3">
      <c r="A908">
        <v>2006</v>
      </c>
      <c r="B908">
        <v>5</v>
      </c>
      <c r="C908">
        <v>25</v>
      </c>
      <c r="D908">
        <v>0.66549157955254234</v>
      </c>
      <c r="E908">
        <v>1.5200000000000102E-2</v>
      </c>
      <c r="F908">
        <f t="shared" si="42"/>
        <v>1.0115472009198712E-2</v>
      </c>
      <c r="M908" s="31"/>
    </row>
    <row r="909" spans="1:13" x14ac:dyDescent="0.3">
      <c r="A909">
        <v>2006</v>
      </c>
      <c r="B909">
        <v>5</v>
      </c>
      <c r="C909">
        <v>21</v>
      </c>
      <c r="D909">
        <v>0.67826177495407225</v>
      </c>
      <c r="E909">
        <v>1.5200000000000102E-2</v>
      </c>
      <c r="F909">
        <f t="shared" si="42"/>
        <v>1.0309578979301967E-2</v>
      </c>
      <c r="M909" s="31"/>
    </row>
    <row r="910" spans="1:13" x14ac:dyDescent="0.3">
      <c r="A910">
        <v>2006</v>
      </c>
      <c r="B910">
        <v>5</v>
      </c>
      <c r="C910">
        <v>17</v>
      </c>
      <c r="D910">
        <v>0.69203696874262388</v>
      </c>
      <c r="E910">
        <v>1.5200000000000102E-2</v>
      </c>
      <c r="F910">
        <f t="shared" si="42"/>
        <v>1.0518961924887953E-2</v>
      </c>
      <c r="M910" s="31"/>
    </row>
    <row r="911" spans="1:13" x14ac:dyDescent="0.3">
      <c r="A911">
        <v>2006</v>
      </c>
      <c r="B911">
        <v>5</v>
      </c>
      <c r="C911">
        <v>13</v>
      </c>
      <c r="D911">
        <v>0.70805965905498114</v>
      </c>
      <c r="E911">
        <v>1.5200000000000102E-2</v>
      </c>
      <c r="F911">
        <f t="shared" si="42"/>
        <v>1.0762506817635785E-2</v>
      </c>
      <c r="M911" s="31"/>
    </row>
    <row r="912" spans="1:13" x14ac:dyDescent="0.3">
      <c r="A912">
        <v>2006</v>
      </c>
      <c r="B912">
        <v>5</v>
      </c>
      <c r="C912">
        <v>9</v>
      </c>
      <c r="D912">
        <v>0.72718915144034457</v>
      </c>
      <c r="E912">
        <v>1.5200000000000102E-2</v>
      </c>
      <c r="F912">
        <f t="shared" si="42"/>
        <v>1.1053275101893311E-2</v>
      </c>
      <c r="M912" s="31"/>
    </row>
    <row r="913" spans="1:13" x14ac:dyDescent="0.3">
      <c r="A913">
        <v>2006</v>
      </c>
      <c r="B913">
        <v>5</v>
      </c>
      <c r="C913">
        <v>5</v>
      </c>
      <c r="D913">
        <v>0.74906481849089512</v>
      </c>
      <c r="E913">
        <v>1.5200000000000102E-2</v>
      </c>
      <c r="F913">
        <f t="shared" si="42"/>
        <v>1.1385785241061682E-2</v>
      </c>
      <c r="M913" s="31"/>
    </row>
    <row r="914" spans="1:13" x14ac:dyDescent="0.3">
      <c r="A914">
        <v>2006</v>
      </c>
      <c r="B914">
        <v>5</v>
      </c>
      <c r="C914">
        <v>1</v>
      </c>
      <c r="D914">
        <v>0.76259363712513295</v>
      </c>
      <c r="E914">
        <v>1.5200000000000102E-2</v>
      </c>
      <c r="F914">
        <f t="shared" si="42"/>
        <v>1.1591423284302099E-2</v>
      </c>
      <c r="M914" s="31"/>
    </row>
    <row r="915" spans="1:13" x14ac:dyDescent="0.3">
      <c r="A915">
        <v>2006</v>
      </c>
      <c r="B915">
        <v>4</v>
      </c>
      <c r="C915">
        <v>28</v>
      </c>
      <c r="D915">
        <v>0.77366306102444182</v>
      </c>
      <c r="E915">
        <v>1.5200000000000102E-2</v>
      </c>
      <c r="F915">
        <f t="shared" si="42"/>
        <v>1.1759678527571595E-2</v>
      </c>
      <c r="M915" s="31"/>
    </row>
    <row r="916" spans="1:13" x14ac:dyDescent="0.3">
      <c r="A916">
        <v>2006</v>
      </c>
      <c r="B916">
        <v>4</v>
      </c>
      <c r="C916">
        <v>24</v>
      </c>
      <c r="D916">
        <v>0.77931133033703626</v>
      </c>
      <c r="E916">
        <v>1.5200000000000102E-2</v>
      </c>
      <c r="F916">
        <f t="shared" si="42"/>
        <v>1.184553222112303E-2</v>
      </c>
      <c r="M916" s="31"/>
    </row>
    <row r="917" spans="1:13" x14ac:dyDescent="0.3">
      <c r="A917">
        <v>2006</v>
      </c>
      <c r="B917">
        <v>4</v>
      </c>
      <c r="C917">
        <v>20</v>
      </c>
      <c r="D917">
        <v>0.78035096384126612</v>
      </c>
      <c r="E917">
        <v>1.5200000000000102E-2</v>
      </c>
      <c r="F917">
        <f t="shared" si="42"/>
        <v>1.1861334650387325E-2</v>
      </c>
      <c r="M917" s="31"/>
    </row>
    <row r="918" spans="1:13" x14ac:dyDescent="0.3">
      <c r="A918">
        <v>2006</v>
      </c>
      <c r="B918">
        <v>4</v>
      </c>
      <c r="C918">
        <v>16</v>
      </c>
      <c r="D918">
        <v>0.77817725589048181</v>
      </c>
      <c r="E918">
        <v>1.5200000000000102E-2</v>
      </c>
      <c r="F918">
        <f t="shared" si="42"/>
        <v>1.1828294289535404E-2</v>
      </c>
      <c r="M918" s="31"/>
    </row>
    <row r="919" spans="1:13" x14ac:dyDescent="0.3">
      <c r="A919">
        <v>2006</v>
      </c>
      <c r="B919">
        <v>4</v>
      </c>
      <c r="C919">
        <v>12</v>
      </c>
      <c r="D919">
        <v>0.77433183422362795</v>
      </c>
      <c r="E919">
        <v>1.5200000000000102E-2</v>
      </c>
      <c r="F919">
        <f t="shared" si="42"/>
        <v>1.1769843880199225E-2</v>
      </c>
      <c r="M919" s="31"/>
    </row>
    <row r="920" spans="1:13" x14ac:dyDescent="0.3">
      <c r="A920">
        <v>2006</v>
      </c>
      <c r="B920">
        <v>4</v>
      </c>
      <c r="C920">
        <v>8</v>
      </c>
      <c r="D920">
        <v>0.77188553859768816</v>
      </c>
      <c r="E920">
        <v>1.5200000000000102E-2</v>
      </c>
      <c r="F920">
        <f t="shared" si="42"/>
        <v>1.1732660186684939E-2</v>
      </c>
      <c r="M920" s="31"/>
    </row>
    <row r="921" spans="1:13" x14ac:dyDescent="0.3">
      <c r="A921">
        <v>2006</v>
      </c>
      <c r="B921">
        <v>4</v>
      </c>
      <c r="C921">
        <v>4</v>
      </c>
      <c r="D921">
        <v>0.77306296174806532</v>
      </c>
      <c r="E921">
        <v>1.5200000000000102E-2</v>
      </c>
      <c r="F921">
        <f t="shared" si="42"/>
        <v>1.1750557018570673E-2</v>
      </c>
      <c r="M921" s="31"/>
    </row>
    <row r="922" spans="1:13" x14ac:dyDescent="0.3">
      <c r="A922">
        <v>2006</v>
      </c>
      <c r="B922">
        <v>3</v>
      </c>
      <c r="C922">
        <v>31</v>
      </c>
      <c r="D922">
        <v>0.77493757058377399</v>
      </c>
      <c r="E922">
        <v>1.5200000000000102E-2</v>
      </c>
      <c r="F922">
        <f t="shared" si="42"/>
        <v>1.1779051072873444E-2</v>
      </c>
      <c r="M922" s="31"/>
    </row>
    <row r="923" spans="1:13" x14ac:dyDescent="0.3">
      <c r="A923">
        <v>2006</v>
      </c>
      <c r="B923">
        <v>3</v>
      </c>
      <c r="C923">
        <v>27</v>
      </c>
      <c r="D923">
        <v>0.77444260481267235</v>
      </c>
      <c r="E923">
        <v>1.5200000000000102E-2</v>
      </c>
      <c r="F923">
        <f t="shared" si="42"/>
        <v>1.1771527593152699E-2</v>
      </c>
      <c r="M923" s="31"/>
    </row>
    <row r="924" spans="1:13" x14ac:dyDescent="0.3">
      <c r="A924">
        <v>2006</v>
      </c>
      <c r="B924">
        <v>3</v>
      </c>
      <c r="C924">
        <v>23</v>
      </c>
      <c r="D924">
        <v>0.77004990691430752</v>
      </c>
      <c r="E924">
        <v>1.5200000000000102E-2</v>
      </c>
      <c r="F924">
        <f t="shared" si="42"/>
        <v>1.1704758585097553E-2</v>
      </c>
      <c r="M924" s="31"/>
    </row>
    <row r="925" spans="1:13" x14ac:dyDescent="0.3">
      <c r="A925">
        <v>2006</v>
      </c>
      <c r="B925">
        <v>3</v>
      </c>
      <c r="C925">
        <v>19</v>
      </c>
      <c r="D925">
        <v>0.76080784703191673</v>
      </c>
      <c r="E925">
        <v>1.5200000000000102E-2</v>
      </c>
      <c r="F925">
        <f t="shared" si="42"/>
        <v>1.1564279274885212E-2</v>
      </c>
      <c r="M925" s="31"/>
    </row>
    <row r="926" spans="1:13" x14ac:dyDescent="0.3">
      <c r="A926">
        <v>2006</v>
      </c>
      <c r="B926">
        <v>3</v>
      </c>
      <c r="C926">
        <v>15</v>
      </c>
      <c r="D926">
        <v>0.74980057600400285</v>
      </c>
      <c r="E926">
        <v>1.5200000000000102E-2</v>
      </c>
      <c r="F926">
        <f t="shared" si="42"/>
        <v>1.139696875526092E-2</v>
      </c>
      <c r="M926" s="31"/>
    </row>
    <row r="927" spans="1:13" x14ac:dyDescent="0.3">
      <c r="A927">
        <v>2006</v>
      </c>
      <c r="B927">
        <v>3</v>
      </c>
      <c r="C927">
        <v>11</v>
      </c>
      <c r="D927">
        <v>0.7375988402170377</v>
      </c>
      <c r="E927">
        <v>1.5200000000000102E-2</v>
      </c>
      <c r="F927">
        <f t="shared" si="42"/>
        <v>1.1211502371299049E-2</v>
      </c>
      <c r="M927" s="31"/>
    </row>
    <row r="928" spans="1:13" x14ac:dyDescent="0.3">
      <c r="A928">
        <v>2006</v>
      </c>
      <c r="B928">
        <v>3</v>
      </c>
      <c r="C928">
        <v>7</v>
      </c>
      <c r="D928">
        <v>0.72668478691337435</v>
      </c>
      <c r="E928">
        <v>1.5200000000000102E-2</v>
      </c>
      <c r="F928">
        <f t="shared" si="42"/>
        <v>1.1045608761083365E-2</v>
      </c>
      <c r="M928" s="31"/>
    </row>
    <row r="929" spans="1:13" x14ac:dyDescent="0.3">
      <c r="A929">
        <v>2006</v>
      </c>
      <c r="B929">
        <v>3</v>
      </c>
      <c r="C929">
        <v>3</v>
      </c>
      <c r="D929">
        <v>0.71922988011499867</v>
      </c>
      <c r="E929">
        <v>1.5200000000000102E-2</v>
      </c>
      <c r="F929">
        <f t="shared" si="42"/>
        <v>1.0932294177748053E-2</v>
      </c>
      <c r="M929" s="31"/>
    </row>
    <row r="930" spans="1:13" x14ac:dyDescent="0.3">
      <c r="A930">
        <v>2006</v>
      </c>
      <c r="B930">
        <v>2</v>
      </c>
      <c r="C930">
        <v>28</v>
      </c>
      <c r="D930">
        <v>0.71725384719778185</v>
      </c>
      <c r="E930">
        <v>1.5200000000000102E-2</v>
      </c>
      <c r="F930">
        <f t="shared" si="42"/>
        <v>1.0902258477406357E-2</v>
      </c>
      <c r="M930" s="31"/>
    </row>
    <row r="931" spans="1:13" x14ac:dyDescent="0.3">
      <c r="A931">
        <v>2006</v>
      </c>
      <c r="B931">
        <v>2</v>
      </c>
      <c r="C931">
        <v>19</v>
      </c>
      <c r="D931">
        <v>0.71773663462487536</v>
      </c>
      <c r="E931">
        <v>1.5200000000000102E-2</v>
      </c>
      <c r="F931">
        <f t="shared" si="42"/>
        <v>1.090959684629818E-2</v>
      </c>
      <c r="M931" s="31"/>
    </row>
    <row r="932" spans="1:13" x14ac:dyDescent="0.3">
      <c r="A932">
        <v>2006</v>
      </c>
      <c r="B932">
        <v>2</v>
      </c>
      <c r="C932">
        <v>11</v>
      </c>
      <c r="D932">
        <v>0.72190815232024541</v>
      </c>
      <c r="E932">
        <v>1.5200000000000102E-2</v>
      </c>
      <c r="F932">
        <f t="shared" si="42"/>
        <v>1.0973003915267805E-2</v>
      </c>
      <c r="M932" s="31"/>
    </row>
    <row r="933" spans="1:13" x14ac:dyDescent="0.3">
      <c r="A933">
        <v>2006</v>
      </c>
      <c r="B933">
        <v>2</v>
      </c>
      <c r="C933">
        <v>2</v>
      </c>
      <c r="D933">
        <v>0.73183761574546746</v>
      </c>
      <c r="E933">
        <v>1.5200000000000102E-2</v>
      </c>
      <c r="F933">
        <f t="shared" si="42"/>
        <v>1.112393175933118E-2</v>
      </c>
      <c r="M933" s="31"/>
    </row>
    <row r="934" spans="1:13" x14ac:dyDescent="0.3">
      <c r="A934">
        <v>2006</v>
      </c>
      <c r="B934">
        <v>1</v>
      </c>
      <c r="C934">
        <v>25</v>
      </c>
      <c r="D934">
        <v>0.74193409903927621</v>
      </c>
      <c r="E934">
        <v>1.5200000000000102E-2</v>
      </c>
      <c r="F934">
        <f t="shared" si="42"/>
        <v>1.1277398305397075E-2</v>
      </c>
      <c r="M934" s="31"/>
    </row>
    <row r="935" spans="1:13" x14ac:dyDescent="0.3">
      <c r="A935">
        <v>2006</v>
      </c>
      <c r="B935">
        <v>1</v>
      </c>
      <c r="C935">
        <v>17</v>
      </c>
      <c r="D935">
        <v>0.7505424727581439</v>
      </c>
      <c r="E935">
        <v>1.5200000000000102E-2</v>
      </c>
      <c r="F935">
        <f t="shared" si="42"/>
        <v>1.1408245585923864E-2</v>
      </c>
      <c r="M935" s="31"/>
    </row>
    <row r="936" spans="1:13" x14ac:dyDescent="0.3">
      <c r="A936">
        <v>2006</v>
      </c>
      <c r="B936">
        <v>1</v>
      </c>
      <c r="C936">
        <v>8</v>
      </c>
      <c r="D936">
        <v>0.75834179328966322</v>
      </c>
      <c r="E936">
        <v>1.5200000000000102E-2</v>
      </c>
      <c r="F936">
        <f t="shared" si="42"/>
        <v>1.1526795258002959E-2</v>
      </c>
      <c r="M936" s="31"/>
    </row>
    <row r="937" spans="1:13" x14ac:dyDescent="0.3">
      <c r="A937">
        <v>2005</v>
      </c>
      <c r="B937">
        <v>12</v>
      </c>
      <c r="C937">
        <v>31</v>
      </c>
      <c r="D937">
        <v>0.76546446516183353</v>
      </c>
      <c r="E937">
        <v>1.5200000000000102E-2</v>
      </c>
      <c r="F937">
        <f t="shared" si="42"/>
        <v>1.1635059870459949E-2</v>
      </c>
      <c r="M937" s="31"/>
    </row>
    <row r="938" spans="1:13" x14ac:dyDescent="0.3">
      <c r="A938">
        <v>2005</v>
      </c>
      <c r="B938">
        <v>12</v>
      </c>
      <c r="C938">
        <v>22</v>
      </c>
      <c r="D938">
        <v>0.76816148928525141</v>
      </c>
      <c r="E938">
        <v>1.5200000000000102E-2</v>
      </c>
      <c r="F938">
        <f t="shared" si="42"/>
        <v>1.16760546371359E-2</v>
      </c>
      <c r="M938" s="31"/>
    </row>
    <row r="939" spans="1:13" x14ac:dyDescent="0.3">
      <c r="A939">
        <v>2005</v>
      </c>
      <c r="B939">
        <v>12</v>
      </c>
      <c r="C939">
        <v>14</v>
      </c>
      <c r="D939">
        <v>0.76975015026874538</v>
      </c>
      <c r="E939">
        <v>1.5200000000000102E-2</v>
      </c>
      <c r="F939">
        <f t="shared" si="42"/>
        <v>1.1700202284085009E-2</v>
      </c>
      <c r="M939" s="31"/>
    </row>
    <row r="940" spans="1:13" x14ac:dyDescent="0.3">
      <c r="A940">
        <v>2005</v>
      </c>
      <c r="B940">
        <v>12</v>
      </c>
      <c r="C940">
        <v>6</v>
      </c>
      <c r="D940">
        <v>0.77009066289124495</v>
      </c>
      <c r="E940">
        <v>1.5200000000000102E-2</v>
      </c>
      <c r="F940">
        <f t="shared" si="42"/>
        <v>1.1705378075947003E-2</v>
      </c>
      <c r="M940" s="31"/>
    </row>
    <row r="941" spans="1:13" x14ac:dyDescent="0.3">
      <c r="A941">
        <v>2005</v>
      </c>
      <c r="B941">
        <v>11</v>
      </c>
      <c r="C941">
        <v>27</v>
      </c>
      <c r="D941">
        <v>0.769599604115761</v>
      </c>
      <c r="E941">
        <v>1.5200000000000102E-2</v>
      </c>
      <c r="F941">
        <f t="shared" si="42"/>
        <v>1.1697913982559646E-2</v>
      </c>
      <c r="M941" s="31"/>
    </row>
    <row r="942" spans="1:13" x14ac:dyDescent="0.3">
      <c r="A942">
        <v>2005</v>
      </c>
      <c r="B942">
        <v>11</v>
      </c>
      <c r="C942">
        <v>19</v>
      </c>
      <c r="D942">
        <v>0.76869315711246855</v>
      </c>
      <c r="E942">
        <v>1.5200000000000102E-2</v>
      </c>
      <c r="F942">
        <f t="shared" si="42"/>
        <v>1.1684135988109601E-2</v>
      </c>
      <c r="M942" s="31"/>
    </row>
    <row r="943" spans="1:13" x14ac:dyDescent="0.3">
      <c r="A943">
        <v>2005</v>
      </c>
      <c r="B943">
        <v>11</v>
      </c>
      <c r="C943">
        <v>11</v>
      </c>
      <c r="D943">
        <v>0.77069651012229168</v>
      </c>
      <c r="E943">
        <v>1.5200000000000102E-2</v>
      </c>
      <c r="F943">
        <f t="shared" si="42"/>
        <v>1.1714586953858913E-2</v>
      </c>
      <c r="M943" s="31"/>
    </row>
    <row r="944" spans="1:13" x14ac:dyDescent="0.3">
      <c r="A944">
        <v>2005</v>
      </c>
      <c r="B944">
        <v>11</v>
      </c>
      <c r="C944">
        <v>2</v>
      </c>
      <c r="D944">
        <v>0.77700145017169875</v>
      </c>
      <c r="E944">
        <v>1.5200000000000102E-2</v>
      </c>
      <c r="F944">
        <f t="shared" si="42"/>
        <v>1.1810422042609901E-2</v>
      </c>
      <c r="M944" s="31"/>
    </row>
    <row r="945" spans="1:13" x14ac:dyDescent="0.3">
      <c r="A945">
        <v>2005</v>
      </c>
      <c r="B945">
        <v>10</v>
      </c>
      <c r="C945">
        <v>25</v>
      </c>
      <c r="D945">
        <v>0.78693466271916834</v>
      </c>
      <c r="E945">
        <v>1.5200000000000102E-2</v>
      </c>
      <c r="F945">
        <f t="shared" si="42"/>
        <v>1.1961406873331439E-2</v>
      </c>
      <c r="M945" s="31"/>
    </row>
    <row r="946" spans="1:13" x14ac:dyDescent="0.3">
      <c r="A946">
        <v>2005</v>
      </c>
      <c r="B946">
        <v>10</v>
      </c>
      <c r="C946">
        <v>16</v>
      </c>
      <c r="D946">
        <v>0.79703397260490072</v>
      </c>
      <c r="E946">
        <v>1.5200000000000102E-2</v>
      </c>
      <c r="F946">
        <f t="shared" si="42"/>
        <v>1.2114916383594573E-2</v>
      </c>
      <c r="M946" s="31"/>
    </row>
    <row r="947" spans="1:13" x14ac:dyDescent="0.3">
      <c r="A947">
        <v>2005</v>
      </c>
      <c r="B947">
        <v>10</v>
      </c>
      <c r="C947">
        <v>8</v>
      </c>
      <c r="D947">
        <v>0.80534066329207921</v>
      </c>
      <c r="E947">
        <v>1.5200000000000102E-2</v>
      </c>
      <c r="F947">
        <f t="shared" si="42"/>
        <v>1.2241178082039686E-2</v>
      </c>
      <c r="M947" s="31"/>
    </row>
    <row r="948" spans="1:13" x14ac:dyDescent="0.3">
      <c r="A948">
        <v>2005</v>
      </c>
      <c r="B948">
        <v>9</v>
      </c>
      <c r="C948">
        <v>30</v>
      </c>
      <c r="D948">
        <v>0.81015901032497051</v>
      </c>
      <c r="E948">
        <v>1.5200000000000102E-2</v>
      </c>
      <c r="F948">
        <f t="shared" si="42"/>
        <v>1.2314416956939635E-2</v>
      </c>
      <c r="M948" s="31"/>
    </row>
    <row r="949" spans="1:13" x14ac:dyDescent="0.3">
      <c r="A949">
        <v>2005</v>
      </c>
      <c r="B949">
        <v>9</v>
      </c>
      <c r="C949">
        <v>21</v>
      </c>
      <c r="D949">
        <v>0.81203676540738035</v>
      </c>
      <c r="E949">
        <v>1.5200000000000102E-2</v>
      </c>
      <c r="F949">
        <f t="shared" si="42"/>
        <v>1.2342958834192265E-2</v>
      </c>
      <c r="M949" s="31"/>
    </row>
    <row r="950" spans="1:13" x14ac:dyDescent="0.3">
      <c r="A950">
        <v>2005</v>
      </c>
      <c r="B950">
        <v>9</v>
      </c>
      <c r="C950">
        <v>13</v>
      </c>
      <c r="D950">
        <v>0.81433566012420966</v>
      </c>
      <c r="E950">
        <v>1.5200000000000102E-2</v>
      </c>
      <c r="F950">
        <f t="shared" si="42"/>
        <v>1.2377902033888071E-2</v>
      </c>
      <c r="M950" s="31"/>
    </row>
    <row r="951" spans="1:13" x14ac:dyDescent="0.3">
      <c r="A951">
        <v>2005</v>
      </c>
      <c r="B951">
        <v>9</v>
      </c>
      <c r="C951">
        <v>5</v>
      </c>
      <c r="D951">
        <v>0.81944306230626074</v>
      </c>
      <c r="E951">
        <v>1.5200000000000102E-2</v>
      </c>
      <c r="F951">
        <f t="shared" si="42"/>
        <v>1.2455534547055247E-2</v>
      </c>
      <c r="M951" s="31"/>
    </row>
    <row r="952" spans="1:13" x14ac:dyDescent="0.3">
      <c r="A952">
        <v>2005</v>
      </c>
      <c r="B952">
        <v>8</v>
      </c>
      <c r="C952">
        <v>27</v>
      </c>
      <c r="D952">
        <v>0.82948242005398087</v>
      </c>
      <c r="E952">
        <v>1.5200000000000102E-2</v>
      </c>
      <c r="F952">
        <f t="shared" si="42"/>
        <v>1.2608132784820595E-2</v>
      </c>
      <c r="M952" s="31"/>
    </row>
    <row r="953" spans="1:13" x14ac:dyDescent="0.3">
      <c r="A953">
        <v>2005</v>
      </c>
      <c r="B953">
        <v>8</v>
      </c>
      <c r="C953">
        <v>19</v>
      </c>
      <c r="D953">
        <v>0.84364580183633342</v>
      </c>
      <c r="E953">
        <v>1.5200000000000102E-2</v>
      </c>
      <c r="F953">
        <f t="shared" si="42"/>
        <v>1.2823416187912355E-2</v>
      </c>
      <c r="M953" s="31"/>
    </row>
    <row r="954" spans="1:13" x14ac:dyDescent="0.3">
      <c r="A954">
        <v>2005</v>
      </c>
      <c r="B954">
        <v>8</v>
      </c>
      <c r="C954">
        <v>10</v>
      </c>
      <c r="D954">
        <v>0.86013349435160436</v>
      </c>
      <c r="E954">
        <v>1.5200000000000102E-2</v>
      </c>
      <c r="F954">
        <f t="shared" si="42"/>
        <v>1.3074029114144474E-2</v>
      </c>
      <c r="M954" s="31"/>
    </row>
    <row r="955" spans="1:13" x14ac:dyDescent="0.3">
      <c r="A955">
        <v>2005</v>
      </c>
      <c r="B955">
        <v>8</v>
      </c>
      <c r="C955">
        <v>2</v>
      </c>
      <c r="D955">
        <v>0.87412514307252176</v>
      </c>
      <c r="E955">
        <v>1.5200000000000102E-2</v>
      </c>
      <c r="F955">
        <f t="shared" si="42"/>
        <v>1.328670217470242E-2</v>
      </c>
      <c r="M955" s="31"/>
    </row>
    <row r="956" spans="1:13" x14ac:dyDescent="0.3">
      <c r="A956">
        <v>2005</v>
      </c>
      <c r="B956">
        <v>7</v>
      </c>
      <c r="C956">
        <v>25</v>
      </c>
      <c r="D956">
        <v>0.88401821592738195</v>
      </c>
      <c r="E956">
        <v>1.5200000000000102E-2</v>
      </c>
      <c r="F956">
        <f t="shared" si="42"/>
        <v>1.3437076882096296E-2</v>
      </c>
      <c r="M956" s="31"/>
    </row>
    <row r="957" spans="1:13" x14ac:dyDescent="0.3">
      <c r="A957">
        <v>2005</v>
      </c>
      <c r="B957">
        <v>7</v>
      </c>
      <c r="C957">
        <v>16</v>
      </c>
      <c r="D957">
        <v>0.89278807666853899</v>
      </c>
      <c r="E957">
        <v>1.5200000000000102E-2</v>
      </c>
      <c r="F957">
        <f t="shared" si="42"/>
        <v>1.3570378765361884E-2</v>
      </c>
      <c r="M957" s="31"/>
    </row>
    <row r="958" spans="1:13" x14ac:dyDescent="0.3">
      <c r="A958">
        <v>2005</v>
      </c>
      <c r="B958">
        <v>7</v>
      </c>
      <c r="C958">
        <v>8</v>
      </c>
      <c r="D958">
        <v>0.89870479969201922</v>
      </c>
      <c r="E958">
        <v>1.5200000000000102E-2</v>
      </c>
      <c r="F958">
        <f t="shared" si="42"/>
        <v>1.3660312955318783E-2</v>
      </c>
      <c r="M958" s="31"/>
    </row>
    <row r="959" spans="1:13" x14ac:dyDescent="0.3">
      <c r="A959">
        <v>2005</v>
      </c>
      <c r="B959">
        <v>6</v>
      </c>
      <c r="C959">
        <v>30</v>
      </c>
      <c r="D959">
        <v>0.901469558793074</v>
      </c>
      <c r="E959">
        <v>1.5200000000000102E-2</v>
      </c>
      <c r="F959">
        <f t="shared" si="42"/>
        <v>1.3702337293654818E-2</v>
      </c>
      <c r="M959" s="31"/>
    </row>
    <row r="960" spans="1:13" x14ac:dyDescent="0.3">
      <c r="A960">
        <v>2005</v>
      </c>
      <c r="B960">
        <v>6</v>
      </c>
      <c r="C960">
        <v>28</v>
      </c>
      <c r="D960">
        <v>0.90050304325241715</v>
      </c>
      <c r="E960">
        <v>1.5200000000000102E-2</v>
      </c>
      <c r="F960">
        <f t="shared" si="42"/>
        <v>1.3687646257436833E-2</v>
      </c>
      <c r="M960" s="31"/>
    </row>
    <row r="961" spans="1:13" x14ac:dyDescent="0.3">
      <c r="A961">
        <v>2005</v>
      </c>
      <c r="B961">
        <v>6</v>
      </c>
      <c r="C961">
        <v>27</v>
      </c>
      <c r="D961">
        <v>0.89323278291666341</v>
      </c>
      <c r="E961">
        <v>1.5200000000000102E-2</v>
      </c>
      <c r="F961">
        <f t="shared" si="42"/>
        <v>1.3577138300333375E-2</v>
      </c>
      <c r="M961" s="31"/>
    </row>
    <row r="962" spans="1:13" x14ac:dyDescent="0.3">
      <c r="A962">
        <v>2005</v>
      </c>
      <c r="B962">
        <v>6</v>
      </c>
      <c r="C962">
        <v>26</v>
      </c>
      <c r="D962">
        <v>0.87880215154720964</v>
      </c>
      <c r="E962">
        <v>1.5200000000000102E-2</v>
      </c>
      <c r="F962">
        <f t="shared" si="42"/>
        <v>1.3357792703517677E-2</v>
      </c>
      <c r="M962" s="31"/>
    </row>
    <row r="963" spans="1:13" x14ac:dyDescent="0.3">
      <c r="A963">
        <v>2005</v>
      </c>
      <c r="B963">
        <v>6</v>
      </c>
      <c r="C963">
        <v>25</v>
      </c>
      <c r="D963">
        <v>0.86371978654523374</v>
      </c>
      <c r="E963">
        <v>1.5200000000000102E-2</v>
      </c>
      <c r="F963">
        <f t="shared" ref="F963:F1026" si="43">D963*E963</f>
        <v>1.3128540755487641E-2</v>
      </c>
      <c r="M963" s="31"/>
    </row>
    <row r="964" spans="1:13" x14ac:dyDescent="0.3">
      <c r="A964">
        <v>2005</v>
      </c>
      <c r="B964">
        <v>6</v>
      </c>
      <c r="C964">
        <v>24</v>
      </c>
      <c r="D964">
        <v>0.85138900963769559</v>
      </c>
      <c r="E964">
        <v>1.5200000000000102E-2</v>
      </c>
      <c r="F964">
        <f t="shared" si="43"/>
        <v>1.294111294649306E-2</v>
      </c>
      <c r="M964" s="31"/>
    </row>
    <row r="965" spans="1:13" x14ac:dyDescent="0.3">
      <c r="A965">
        <v>2005</v>
      </c>
      <c r="B965">
        <v>6</v>
      </c>
      <c r="C965">
        <v>23</v>
      </c>
      <c r="D965">
        <v>0.84502790611867651</v>
      </c>
      <c r="E965">
        <v>1.5200000000000102E-2</v>
      </c>
      <c r="F965">
        <f t="shared" si="43"/>
        <v>1.2844424173003969E-2</v>
      </c>
      <c r="M965" s="31"/>
    </row>
    <row r="966" spans="1:13" x14ac:dyDescent="0.3">
      <c r="A966">
        <v>2005</v>
      </c>
      <c r="B966">
        <v>6</v>
      </c>
      <c r="C966">
        <v>21</v>
      </c>
      <c r="D966">
        <v>0.84403958370034615</v>
      </c>
      <c r="E966">
        <v>1.5200000000000102E-2</v>
      </c>
      <c r="F966">
        <f t="shared" si="43"/>
        <v>1.2829401672245349E-2</v>
      </c>
      <c r="M966" s="31"/>
    </row>
    <row r="967" spans="1:13" x14ac:dyDescent="0.3">
      <c r="A967">
        <v>2005</v>
      </c>
      <c r="B967">
        <v>6</v>
      </c>
      <c r="C967">
        <v>20</v>
      </c>
      <c r="D967">
        <v>0.84545203181174566</v>
      </c>
      <c r="E967">
        <v>1.5200000000000102E-2</v>
      </c>
      <c r="F967">
        <f t="shared" si="43"/>
        <v>1.2850870883538621E-2</v>
      </c>
      <c r="M967" s="31"/>
    </row>
    <row r="968" spans="1:13" x14ac:dyDescent="0.3">
      <c r="A968">
        <v>2005</v>
      </c>
      <c r="B968">
        <v>6</v>
      </c>
      <c r="C968">
        <v>19</v>
      </c>
      <c r="D968">
        <v>0.84587584239851044</v>
      </c>
      <c r="E968">
        <v>1.5200000000000102E-2</v>
      </c>
      <c r="F968">
        <f t="shared" si="43"/>
        <v>1.2857312804457444E-2</v>
      </c>
      <c r="M968" s="31"/>
    </row>
    <row r="969" spans="1:13" x14ac:dyDescent="0.3">
      <c r="A969">
        <v>2005</v>
      </c>
      <c r="B969">
        <v>6</v>
      </c>
      <c r="C969">
        <v>18</v>
      </c>
      <c r="D969">
        <v>0.84403995078083471</v>
      </c>
      <c r="E969">
        <v>1.5200000000000102E-2</v>
      </c>
      <c r="F969">
        <f t="shared" si="43"/>
        <v>1.2829407251868773E-2</v>
      </c>
      <c r="M969" s="31"/>
    </row>
    <row r="970" spans="1:13" x14ac:dyDescent="0.3">
      <c r="A970">
        <v>2005</v>
      </c>
      <c r="B970">
        <v>6</v>
      </c>
      <c r="C970">
        <v>17</v>
      </c>
      <c r="D970">
        <v>0.83670618028917809</v>
      </c>
      <c r="E970">
        <v>1.5200000000000102E-2</v>
      </c>
      <c r="F970">
        <f t="shared" si="43"/>
        <v>1.2717933940395592E-2</v>
      </c>
      <c r="M970" s="31"/>
    </row>
    <row r="971" spans="1:13" x14ac:dyDescent="0.3">
      <c r="A971">
        <v>2005</v>
      </c>
      <c r="B971">
        <v>6</v>
      </c>
      <c r="C971">
        <v>16</v>
      </c>
      <c r="D971">
        <v>0.82587523899113979</v>
      </c>
      <c r="E971">
        <v>1.5200000000000102E-2</v>
      </c>
      <c r="F971">
        <f t="shared" si="43"/>
        <v>1.255330363266541E-2</v>
      </c>
      <c r="M971" s="31"/>
    </row>
    <row r="972" spans="1:13" x14ac:dyDescent="0.3">
      <c r="A972">
        <v>2005</v>
      </c>
      <c r="B972">
        <v>6</v>
      </c>
      <c r="C972">
        <v>15</v>
      </c>
      <c r="D972">
        <v>0.81298003707984123</v>
      </c>
      <c r="E972">
        <v>1.5200000000000102E-2</v>
      </c>
      <c r="F972">
        <f t="shared" si="43"/>
        <v>1.235729656361367E-2</v>
      </c>
      <c r="M972" s="31"/>
    </row>
    <row r="973" spans="1:13" x14ac:dyDescent="0.3">
      <c r="A973">
        <v>2005</v>
      </c>
      <c r="B973">
        <v>6</v>
      </c>
      <c r="C973">
        <v>13</v>
      </c>
      <c r="D973">
        <v>0.79150673803786653</v>
      </c>
      <c r="E973">
        <v>1.5200000000000102E-2</v>
      </c>
      <c r="F973">
        <f t="shared" si="43"/>
        <v>1.2030902418175652E-2</v>
      </c>
      <c r="M973" s="31"/>
    </row>
    <row r="974" spans="1:13" x14ac:dyDescent="0.3">
      <c r="A974">
        <v>2005</v>
      </c>
      <c r="B974">
        <v>6</v>
      </c>
      <c r="C974">
        <v>12</v>
      </c>
      <c r="D974">
        <v>0.76672611543498526</v>
      </c>
      <c r="E974">
        <v>1.5200000000000102E-2</v>
      </c>
      <c r="F974">
        <f t="shared" si="43"/>
        <v>1.1654236954611855E-2</v>
      </c>
      <c r="M974" s="31"/>
    </row>
    <row r="975" spans="1:13" x14ac:dyDescent="0.3">
      <c r="A975">
        <v>2005</v>
      </c>
      <c r="B975">
        <v>6</v>
      </c>
      <c r="C975">
        <v>11</v>
      </c>
      <c r="D975">
        <v>0.73954212167253031</v>
      </c>
      <c r="E975">
        <v>1.5200000000000102E-2</v>
      </c>
      <c r="F975">
        <f t="shared" si="43"/>
        <v>1.1241040249422535E-2</v>
      </c>
      <c r="M975" s="31"/>
    </row>
    <row r="976" spans="1:13" x14ac:dyDescent="0.3">
      <c r="A976">
        <v>2005</v>
      </c>
      <c r="B976">
        <v>6</v>
      </c>
      <c r="C976">
        <v>10</v>
      </c>
      <c r="D976">
        <v>0.71138239216841037</v>
      </c>
      <c r="E976">
        <v>1.5200000000000102E-2</v>
      </c>
      <c r="F976">
        <f t="shared" si="43"/>
        <v>1.081301236095991E-2</v>
      </c>
      <c r="M976" s="31"/>
    </row>
    <row r="977" spans="1:13" x14ac:dyDescent="0.3">
      <c r="A977">
        <v>2005</v>
      </c>
      <c r="B977">
        <v>6</v>
      </c>
      <c r="C977">
        <v>9</v>
      </c>
      <c r="D977">
        <v>0.68309114217867939</v>
      </c>
      <c r="E977">
        <v>1.5200000000000102E-2</v>
      </c>
      <c r="F977">
        <f t="shared" si="43"/>
        <v>1.0382985361115997E-2</v>
      </c>
      <c r="M977" s="31"/>
    </row>
    <row r="978" spans="1:13" x14ac:dyDescent="0.3">
      <c r="A978">
        <v>2005</v>
      </c>
      <c r="B978">
        <v>6</v>
      </c>
      <c r="C978">
        <v>8</v>
      </c>
      <c r="D978">
        <v>0.66252452112946114</v>
      </c>
      <c r="E978">
        <v>1.5200000000000102E-2</v>
      </c>
      <c r="F978">
        <f t="shared" si="43"/>
        <v>1.0070372721167876E-2</v>
      </c>
      <c r="M978" s="31"/>
    </row>
    <row r="979" spans="1:13" x14ac:dyDescent="0.3">
      <c r="A979">
        <v>2005</v>
      </c>
      <c r="B979">
        <v>6</v>
      </c>
      <c r="C979">
        <v>6</v>
      </c>
      <c r="D979">
        <v>0.64568029320611364</v>
      </c>
      <c r="E979">
        <v>1.5200000000000102E-2</v>
      </c>
      <c r="F979">
        <f t="shared" si="43"/>
        <v>9.814340456732993E-3</v>
      </c>
      <c r="M979" s="31"/>
    </row>
    <row r="980" spans="1:13" x14ac:dyDescent="0.3">
      <c r="A980">
        <v>2005</v>
      </c>
      <c r="B980">
        <v>6</v>
      </c>
      <c r="C980">
        <v>5</v>
      </c>
      <c r="D980">
        <v>0.63433484133101337</v>
      </c>
      <c r="E980">
        <v>1.5200000000000102E-2</v>
      </c>
      <c r="F980">
        <f t="shared" si="43"/>
        <v>9.6418895882314677E-3</v>
      </c>
      <c r="M980" s="31"/>
    </row>
    <row r="981" spans="1:13" x14ac:dyDescent="0.3">
      <c r="A981">
        <v>2005</v>
      </c>
      <c r="B981">
        <v>6</v>
      </c>
      <c r="C981">
        <v>4</v>
      </c>
      <c r="D981">
        <v>0.63078296959097968</v>
      </c>
      <c r="E981">
        <v>1.5200000000000102E-2</v>
      </c>
      <c r="F981">
        <f t="shared" si="43"/>
        <v>9.5879011377829563E-3</v>
      </c>
      <c r="M981" s="31"/>
    </row>
    <row r="982" spans="1:13" x14ac:dyDescent="0.3">
      <c r="A982">
        <v>2005</v>
      </c>
      <c r="B982">
        <v>6</v>
      </c>
      <c r="C982">
        <v>3</v>
      </c>
      <c r="D982">
        <v>0.63183485350915425</v>
      </c>
      <c r="E982">
        <v>1.5200000000000102E-2</v>
      </c>
      <c r="F982">
        <f t="shared" si="43"/>
        <v>9.6038897733392095E-3</v>
      </c>
      <c r="M982" s="31"/>
    </row>
    <row r="983" spans="1:13" x14ac:dyDescent="0.3">
      <c r="A983">
        <v>2005</v>
      </c>
      <c r="B983">
        <v>6</v>
      </c>
      <c r="C983">
        <v>2</v>
      </c>
      <c r="D983">
        <v>0.6347298334367254</v>
      </c>
      <c r="E983">
        <v>1.5200000000000102E-2</v>
      </c>
      <c r="F983">
        <f t="shared" si="43"/>
        <v>9.6478934682382913E-3</v>
      </c>
      <c r="M983" s="31"/>
    </row>
    <row r="984" spans="1:13" x14ac:dyDescent="0.3">
      <c r="A984">
        <v>2005</v>
      </c>
      <c r="B984">
        <v>6</v>
      </c>
      <c r="C984">
        <v>1</v>
      </c>
      <c r="D984">
        <v>0.63604702314419737</v>
      </c>
      <c r="E984">
        <v>1.5200000000000102E-2</v>
      </c>
      <c r="F984">
        <f t="shared" si="43"/>
        <v>9.6679147517918645E-3</v>
      </c>
      <c r="M984" s="31"/>
    </row>
    <row r="985" spans="1:13" x14ac:dyDescent="0.3">
      <c r="A985">
        <v>2005</v>
      </c>
      <c r="B985">
        <v>5</v>
      </c>
      <c r="C985">
        <v>31</v>
      </c>
      <c r="D985">
        <v>0.6344669550310198</v>
      </c>
      <c r="E985">
        <v>1.5200000000000102E-2</v>
      </c>
      <c r="F985">
        <f t="shared" si="43"/>
        <v>9.6438977164715663E-3</v>
      </c>
      <c r="M985" s="31"/>
    </row>
    <row r="986" spans="1:13" x14ac:dyDescent="0.3">
      <c r="A986">
        <v>2005</v>
      </c>
      <c r="B986">
        <v>5</v>
      </c>
      <c r="C986">
        <v>29</v>
      </c>
      <c r="D986">
        <v>0.62763058128912741</v>
      </c>
      <c r="E986">
        <v>1.5200000000000102E-2</v>
      </c>
      <c r="F986">
        <f t="shared" si="43"/>
        <v>9.5399848355948013E-3</v>
      </c>
      <c r="M986" s="31"/>
    </row>
    <row r="987" spans="1:13" x14ac:dyDescent="0.3">
      <c r="A987">
        <v>2005</v>
      </c>
      <c r="B987">
        <v>5</v>
      </c>
      <c r="C987">
        <v>28</v>
      </c>
      <c r="D987">
        <v>0.6195030377618046</v>
      </c>
      <c r="E987">
        <v>1.5200000000000102E-2</v>
      </c>
      <c r="F987">
        <f t="shared" si="43"/>
        <v>9.4164461739794925E-3</v>
      </c>
      <c r="M987" s="31"/>
    </row>
    <row r="988" spans="1:13" x14ac:dyDescent="0.3">
      <c r="A988">
        <v>2005</v>
      </c>
      <c r="B988">
        <v>5</v>
      </c>
      <c r="C988">
        <v>27</v>
      </c>
      <c r="D988">
        <v>0.61114073816991676</v>
      </c>
      <c r="E988">
        <v>1.5200000000000102E-2</v>
      </c>
      <c r="F988">
        <f t="shared" si="43"/>
        <v>9.289339220182798E-3</v>
      </c>
      <c r="M988" s="31"/>
    </row>
    <row r="989" spans="1:13" x14ac:dyDescent="0.3">
      <c r="A989">
        <v>2005</v>
      </c>
      <c r="B989">
        <v>5</v>
      </c>
      <c r="C989">
        <v>26</v>
      </c>
      <c r="D989">
        <v>0.61009741263335449</v>
      </c>
      <c r="E989">
        <v>1.5200000000000102E-2</v>
      </c>
      <c r="F989">
        <f t="shared" si="43"/>
        <v>9.2734806720270509E-3</v>
      </c>
      <c r="M989" s="31"/>
    </row>
    <row r="990" spans="1:13" x14ac:dyDescent="0.3">
      <c r="A990">
        <v>2005</v>
      </c>
      <c r="B990">
        <v>5</v>
      </c>
      <c r="C990">
        <v>25</v>
      </c>
      <c r="D990">
        <v>0.61401188018279806</v>
      </c>
      <c r="E990">
        <v>1.5200000000000102E-2</v>
      </c>
      <c r="F990">
        <f t="shared" si="43"/>
        <v>9.3329805787785939E-3</v>
      </c>
      <c r="M990" s="31"/>
    </row>
    <row r="991" spans="1:13" x14ac:dyDescent="0.3">
      <c r="A991">
        <v>2005</v>
      </c>
      <c r="B991">
        <v>5</v>
      </c>
      <c r="C991">
        <v>24</v>
      </c>
      <c r="D991">
        <v>0.62369427111434395</v>
      </c>
      <c r="E991">
        <v>1.5200000000000102E-2</v>
      </c>
      <c r="F991">
        <f t="shared" si="43"/>
        <v>9.4801529209380918E-3</v>
      </c>
      <c r="M991" s="31"/>
    </row>
    <row r="992" spans="1:13" x14ac:dyDescent="0.3">
      <c r="A992">
        <v>2005</v>
      </c>
      <c r="B992">
        <v>5</v>
      </c>
      <c r="C992">
        <v>23</v>
      </c>
      <c r="D992">
        <v>0.63604668066322756</v>
      </c>
      <c r="E992">
        <v>1.5200000000000102E-2</v>
      </c>
      <c r="F992">
        <f t="shared" si="43"/>
        <v>9.6679095460811236E-3</v>
      </c>
      <c r="M992" s="31"/>
    </row>
    <row r="993" spans="1:13" x14ac:dyDescent="0.3">
      <c r="A993">
        <v>2005</v>
      </c>
      <c r="B993">
        <v>5</v>
      </c>
      <c r="C993">
        <v>21</v>
      </c>
      <c r="D993">
        <v>0.64938503172984907</v>
      </c>
      <c r="E993">
        <v>1.5200000000000102E-2</v>
      </c>
      <c r="F993">
        <f t="shared" si="43"/>
        <v>9.8706524822937715E-3</v>
      </c>
      <c r="M993" s="31"/>
    </row>
    <row r="994" spans="1:13" x14ac:dyDescent="0.3">
      <c r="A994">
        <v>2005</v>
      </c>
      <c r="B994">
        <v>5</v>
      </c>
      <c r="C994">
        <v>20</v>
      </c>
      <c r="D994">
        <v>0.65866885640377637</v>
      </c>
      <c r="E994">
        <v>1.5200000000000102E-2</v>
      </c>
      <c r="F994">
        <f t="shared" si="43"/>
        <v>1.0011766617337468E-2</v>
      </c>
      <c r="M994" s="31"/>
    </row>
    <row r="995" spans="1:13" x14ac:dyDescent="0.3">
      <c r="A995">
        <v>2005</v>
      </c>
      <c r="B995">
        <v>5</v>
      </c>
      <c r="C995">
        <v>19</v>
      </c>
      <c r="D995">
        <v>0.66785177571876775</v>
      </c>
      <c r="E995">
        <v>1.5200000000000102E-2</v>
      </c>
      <c r="F995">
        <f t="shared" si="43"/>
        <v>1.0151346990925339E-2</v>
      </c>
      <c r="M995" s="31"/>
    </row>
    <row r="996" spans="1:13" x14ac:dyDescent="0.3">
      <c r="A996">
        <v>2005</v>
      </c>
      <c r="B996">
        <v>5</v>
      </c>
      <c r="C996">
        <v>18</v>
      </c>
      <c r="D996">
        <v>0.67532711210070206</v>
      </c>
      <c r="E996">
        <v>1.5200000000000102E-2</v>
      </c>
      <c r="F996">
        <f t="shared" si="43"/>
        <v>1.026497210393074E-2</v>
      </c>
      <c r="M996" s="31"/>
    </row>
    <row r="997" spans="1:13" x14ac:dyDescent="0.3">
      <c r="A997">
        <v>2005</v>
      </c>
      <c r="B997">
        <v>5</v>
      </c>
      <c r="C997">
        <v>17</v>
      </c>
      <c r="D997">
        <v>0.6809471443888262</v>
      </c>
      <c r="E997">
        <v>1.5200000000000102E-2</v>
      </c>
      <c r="F997">
        <f t="shared" si="43"/>
        <v>1.0350396594710229E-2</v>
      </c>
      <c r="M997" s="31"/>
    </row>
    <row r="998" spans="1:13" x14ac:dyDescent="0.3">
      <c r="A998">
        <v>2005</v>
      </c>
      <c r="B998">
        <v>5</v>
      </c>
      <c r="C998">
        <v>16</v>
      </c>
      <c r="D998">
        <v>0.68563897858284295</v>
      </c>
      <c r="E998">
        <v>1.5200000000000102E-2</v>
      </c>
      <c r="F998">
        <f t="shared" si="43"/>
        <v>1.0421712474459282E-2</v>
      </c>
      <c r="M998" s="31"/>
    </row>
    <row r="999" spans="1:13" x14ac:dyDescent="0.3">
      <c r="A999">
        <v>2005</v>
      </c>
      <c r="B999">
        <v>5</v>
      </c>
      <c r="C999">
        <v>14</v>
      </c>
      <c r="D999">
        <v>0.68765217996307471</v>
      </c>
      <c r="E999">
        <v>1.5200000000000102E-2</v>
      </c>
      <c r="F999">
        <f t="shared" si="43"/>
        <v>1.0452313135438806E-2</v>
      </c>
      <c r="M999" s="31"/>
    </row>
    <row r="1000" spans="1:13" x14ac:dyDescent="0.3">
      <c r="A1000">
        <v>2005</v>
      </c>
      <c r="B1000">
        <v>5</v>
      </c>
      <c r="C1000">
        <v>13</v>
      </c>
      <c r="D1000">
        <v>0.6844315435427254</v>
      </c>
      <c r="E1000">
        <v>1.5200000000000102E-2</v>
      </c>
      <c r="F1000">
        <f t="shared" si="43"/>
        <v>1.0403359461849495E-2</v>
      </c>
      <c r="M1000" s="31"/>
    </row>
    <row r="1001" spans="1:13" x14ac:dyDescent="0.3">
      <c r="A1001">
        <v>2005</v>
      </c>
      <c r="B1001">
        <v>5</v>
      </c>
      <c r="C1001">
        <v>12</v>
      </c>
      <c r="D1001">
        <v>0.67559439082890838</v>
      </c>
      <c r="E1001">
        <v>1.5200000000000102E-2</v>
      </c>
      <c r="F1001">
        <f t="shared" si="43"/>
        <v>1.0269034740599476E-2</v>
      </c>
      <c r="M1001" s="31"/>
    </row>
    <row r="1002" spans="1:13" x14ac:dyDescent="0.3">
      <c r="A1002">
        <v>2005</v>
      </c>
      <c r="B1002">
        <v>5</v>
      </c>
      <c r="C1002">
        <v>11</v>
      </c>
      <c r="D1002">
        <v>0.66159345765560684</v>
      </c>
      <c r="E1002">
        <v>1.5200000000000102E-2</v>
      </c>
      <c r="F1002">
        <f t="shared" si="43"/>
        <v>1.0056220556365292E-2</v>
      </c>
      <c r="M1002" s="31"/>
    </row>
    <row r="1003" spans="1:13" x14ac:dyDescent="0.3">
      <c r="A1003">
        <v>2005</v>
      </c>
      <c r="B1003">
        <v>5</v>
      </c>
      <c r="C1003">
        <v>10</v>
      </c>
      <c r="D1003">
        <v>0.64541630990033039</v>
      </c>
      <c r="E1003">
        <v>1.5200000000000102E-2</v>
      </c>
      <c r="F1003">
        <f t="shared" si="43"/>
        <v>9.8103279104850873E-3</v>
      </c>
      <c r="M1003" s="31"/>
    </row>
    <row r="1004" spans="1:13" x14ac:dyDescent="0.3">
      <c r="A1004">
        <v>2005</v>
      </c>
      <c r="B1004">
        <v>5</v>
      </c>
      <c r="C1004">
        <v>9</v>
      </c>
      <c r="D1004">
        <v>0.62986339356813059</v>
      </c>
      <c r="E1004">
        <v>1.5200000000000102E-2</v>
      </c>
      <c r="F1004">
        <f t="shared" si="43"/>
        <v>9.5739235822356501E-3</v>
      </c>
      <c r="M1004" s="31"/>
    </row>
    <row r="1005" spans="1:13" x14ac:dyDescent="0.3">
      <c r="A1005">
        <v>2005</v>
      </c>
      <c r="B1005">
        <v>5</v>
      </c>
      <c r="C1005">
        <v>8</v>
      </c>
      <c r="D1005">
        <v>0.61479598518004441</v>
      </c>
      <c r="E1005">
        <v>1.5200000000000102E-2</v>
      </c>
      <c r="F1005">
        <f t="shared" si="43"/>
        <v>9.3448989747367383E-3</v>
      </c>
      <c r="M1005" s="31"/>
    </row>
    <row r="1006" spans="1:13" x14ac:dyDescent="0.3">
      <c r="A1006">
        <v>2005</v>
      </c>
      <c r="B1006">
        <v>5</v>
      </c>
      <c r="C1006">
        <v>6</v>
      </c>
      <c r="D1006">
        <v>0.60267660820666713</v>
      </c>
      <c r="E1006">
        <v>1.5200000000000102E-2</v>
      </c>
      <c r="F1006">
        <f t="shared" si="43"/>
        <v>9.1606844447414022E-3</v>
      </c>
      <c r="M1006" s="31"/>
    </row>
    <row r="1007" spans="1:13" x14ac:dyDescent="0.3">
      <c r="A1007">
        <v>2005</v>
      </c>
      <c r="B1007">
        <v>5</v>
      </c>
      <c r="C1007">
        <v>5</v>
      </c>
      <c r="D1007">
        <v>0.59333463682535836</v>
      </c>
      <c r="E1007">
        <v>1.5200000000000102E-2</v>
      </c>
      <c r="F1007">
        <f t="shared" si="43"/>
        <v>9.0186864797455087E-3</v>
      </c>
      <c r="M1007" s="31"/>
    </row>
    <row r="1008" spans="1:13" x14ac:dyDescent="0.3">
      <c r="A1008">
        <v>2005</v>
      </c>
      <c r="B1008">
        <v>5</v>
      </c>
      <c r="C1008">
        <v>4</v>
      </c>
      <c r="D1008">
        <v>0.58531918854961751</v>
      </c>
      <c r="E1008">
        <v>1.5200000000000102E-2</v>
      </c>
      <c r="F1008">
        <f t="shared" si="43"/>
        <v>8.8968516659542456E-3</v>
      </c>
      <c r="M1008" s="31"/>
    </row>
    <row r="1009" spans="1:13" x14ac:dyDescent="0.3">
      <c r="A1009">
        <v>2005</v>
      </c>
      <c r="B1009">
        <v>5</v>
      </c>
      <c r="C1009">
        <v>3</v>
      </c>
      <c r="D1009">
        <v>0.57771654179359599</v>
      </c>
      <c r="E1009">
        <v>1.5200000000000102E-2</v>
      </c>
      <c r="F1009">
        <f t="shared" si="43"/>
        <v>8.7812914352627183E-3</v>
      </c>
      <c r="M1009" s="31"/>
    </row>
    <row r="1010" spans="1:13" x14ac:dyDescent="0.3">
      <c r="A1010">
        <v>2005</v>
      </c>
      <c r="B1010">
        <v>5</v>
      </c>
      <c r="C1010">
        <v>2</v>
      </c>
      <c r="D1010">
        <v>0.57270440826071212</v>
      </c>
      <c r="E1010">
        <v>1.5200000000000102E-2</v>
      </c>
      <c r="F1010">
        <f t="shared" si="43"/>
        <v>8.7051070055628836E-3</v>
      </c>
      <c r="M1010" s="31"/>
    </row>
    <row r="1011" spans="1:13" x14ac:dyDescent="0.3">
      <c r="A1011">
        <v>2005</v>
      </c>
      <c r="B1011">
        <v>5</v>
      </c>
      <c r="C1011">
        <v>1</v>
      </c>
      <c r="D1011">
        <v>0.56949727168863651</v>
      </c>
      <c r="E1011">
        <v>1.5200000000000102E-2</v>
      </c>
      <c r="F1011">
        <f t="shared" si="43"/>
        <v>8.6563585296673337E-3</v>
      </c>
      <c r="M1011" s="31"/>
    </row>
    <row r="1012" spans="1:13" x14ac:dyDescent="0.3">
      <c r="A1012">
        <v>2005</v>
      </c>
      <c r="B1012">
        <v>4</v>
      </c>
      <c r="C1012">
        <v>30</v>
      </c>
      <c r="D1012">
        <v>0.567575111456323</v>
      </c>
      <c r="E1012">
        <v>1.5200000000000102E-2</v>
      </c>
      <c r="F1012">
        <f t="shared" si="43"/>
        <v>8.6271416941361683E-3</v>
      </c>
      <c r="M1012" s="31"/>
    </row>
    <row r="1013" spans="1:13" x14ac:dyDescent="0.3">
      <c r="A1013">
        <v>2005</v>
      </c>
      <c r="B1013">
        <v>4</v>
      </c>
      <c r="C1013">
        <v>28</v>
      </c>
      <c r="D1013">
        <v>0.56693474560658941</v>
      </c>
      <c r="E1013">
        <v>1.5200000000000102E-2</v>
      </c>
      <c r="F1013">
        <f t="shared" si="43"/>
        <v>8.6174081332202179E-3</v>
      </c>
      <c r="M1013" s="31"/>
    </row>
    <row r="1014" spans="1:13" x14ac:dyDescent="0.3">
      <c r="A1014">
        <v>2005</v>
      </c>
      <c r="B1014">
        <v>4</v>
      </c>
      <c r="C1014">
        <v>27</v>
      </c>
      <c r="D1014">
        <v>0.56706293778747574</v>
      </c>
      <c r="E1014">
        <v>1.5200000000000102E-2</v>
      </c>
      <c r="F1014">
        <f t="shared" si="43"/>
        <v>8.6193566543696885E-3</v>
      </c>
      <c r="M1014" s="31"/>
    </row>
    <row r="1015" spans="1:13" x14ac:dyDescent="0.3">
      <c r="A1015">
        <v>2005</v>
      </c>
      <c r="B1015">
        <v>4</v>
      </c>
      <c r="C1015">
        <v>26</v>
      </c>
      <c r="D1015">
        <v>0.56872841634457549</v>
      </c>
      <c r="E1015">
        <v>1.5200000000000102E-2</v>
      </c>
      <c r="F1015">
        <f t="shared" si="43"/>
        <v>8.6446719284376059E-3</v>
      </c>
      <c r="M1015" s="31"/>
    </row>
    <row r="1016" spans="1:13" x14ac:dyDescent="0.3">
      <c r="A1016">
        <v>2005</v>
      </c>
      <c r="B1016">
        <v>4</v>
      </c>
      <c r="C1016">
        <v>25</v>
      </c>
      <c r="D1016">
        <v>0.5716779111347432</v>
      </c>
      <c r="E1016">
        <v>1.5200000000000102E-2</v>
      </c>
      <c r="F1016">
        <f t="shared" si="43"/>
        <v>8.6895042492481558E-3</v>
      </c>
      <c r="M1016" s="31"/>
    </row>
    <row r="1017" spans="1:13" x14ac:dyDescent="0.3">
      <c r="A1017">
        <v>2005</v>
      </c>
      <c r="B1017">
        <v>4</v>
      </c>
      <c r="C1017">
        <v>24</v>
      </c>
      <c r="D1017">
        <v>0.57655912563321576</v>
      </c>
      <c r="E1017">
        <v>1.5200000000000102E-2</v>
      </c>
      <c r="F1017">
        <f t="shared" si="43"/>
        <v>8.763698709624939E-3</v>
      </c>
      <c r="M1017" s="31"/>
    </row>
    <row r="1018" spans="1:13" x14ac:dyDescent="0.3">
      <c r="A1018">
        <v>2005</v>
      </c>
      <c r="B1018">
        <v>4</v>
      </c>
      <c r="C1018">
        <v>23</v>
      </c>
      <c r="D1018">
        <v>0.58106390249049211</v>
      </c>
      <c r="E1018">
        <v>1.5200000000000102E-2</v>
      </c>
      <c r="F1018">
        <f t="shared" si="43"/>
        <v>8.8321713178555403E-3</v>
      </c>
      <c r="M1018" s="31"/>
    </row>
    <row r="1019" spans="1:13" x14ac:dyDescent="0.3">
      <c r="A1019">
        <v>2005</v>
      </c>
      <c r="B1019">
        <v>4</v>
      </c>
      <c r="C1019">
        <v>21</v>
      </c>
      <c r="D1019">
        <v>0.58364191449383362</v>
      </c>
      <c r="E1019">
        <v>1.5200000000000102E-2</v>
      </c>
      <c r="F1019">
        <f t="shared" si="43"/>
        <v>8.8713571003063308E-3</v>
      </c>
      <c r="M1019" s="31"/>
    </row>
    <row r="1020" spans="1:13" x14ac:dyDescent="0.3">
      <c r="A1020">
        <v>2005</v>
      </c>
      <c r="B1020">
        <v>4</v>
      </c>
      <c r="C1020">
        <v>20</v>
      </c>
      <c r="D1020">
        <v>0.58325496731045723</v>
      </c>
      <c r="E1020">
        <v>1.5200000000000102E-2</v>
      </c>
      <c r="F1020">
        <f t="shared" si="43"/>
        <v>8.8654755031190094E-3</v>
      </c>
      <c r="M1020" s="31"/>
    </row>
    <row r="1021" spans="1:13" x14ac:dyDescent="0.3">
      <c r="A1021">
        <v>2005</v>
      </c>
      <c r="B1021">
        <v>4</v>
      </c>
      <c r="C1021">
        <v>19</v>
      </c>
      <c r="D1021">
        <v>0.57668751357137427</v>
      </c>
      <c r="E1021">
        <v>1.5200000000000102E-2</v>
      </c>
      <c r="F1021">
        <f t="shared" si="43"/>
        <v>8.7656502062849473E-3</v>
      </c>
      <c r="M1021" s="31"/>
    </row>
    <row r="1022" spans="1:13" x14ac:dyDescent="0.3">
      <c r="A1022">
        <v>2005</v>
      </c>
      <c r="B1022">
        <v>4</v>
      </c>
      <c r="C1022">
        <v>18</v>
      </c>
      <c r="D1022">
        <v>0.56860013195089065</v>
      </c>
      <c r="E1022">
        <v>1.5200000000000102E-2</v>
      </c>
      <c r="F1022">
        <f t="shared" si="43"/>
        <v>8.6427220056535959E-3</v>
      </c>
      <c r="M1022" s="31"/>
    </row>
    <row r="1023" spans="1:13" x14ac:dyDescent="0.3">
      <c r="A1023">
        <v>2005</v>
      </c>
      <c r="B1023">
        <v>4</v>
      </c>
      <c r="C1023">
        <v>17</v>
      </c>
      <c r="D1023">
        <v>0.55964686491334215</v>
      </c>
      <c r="E1023">
        <v>1.5200000000000102E-2</v>
      </c>
      <c r="F1023">
        <f t="shared" si="43"/>
        <v>8.5066323466828579E-3</v>
      </c>
      <c r="M1023" s="31"/>
    </row>
    <row r="1024" spans="1:13" x14ac:dyDescent="0.3">
      <c r="A1024">
        <v>2005</v>
      </c>
      <c r="B1024">
        <v>4</v>
      </c>
      <c r="C1024">
        <v>16</v>
      </c>
      <c r="D1024">
        <v>0.5509828229972199</v>
      </c>
      <c r="E1024">
        <v>1.5200000000000102E-2</v>
      </c>
      <c r="F1024">
        <f t="shared" si="43"/>
        <v>8.374938909557799E-3</v>
      </c>
      <c r="M1024" s="31"/>
    </row>
    <row r="1025" spans="1:13" x14ac:dyDescent="0.3">
      <c r="A1025">
        <v>2005</v>
      </c>
      <c r="B1025">
        <v>4</v>
      </c>
      <c r="C1025">
        <v>15</v>
      </c>
      <c r="D1025">
        <v>0.54247886206092766</v>
      </c>
      <c r="E1025">
        <v>1.5200000000000102E-2</v>
      </c>
      <c r="F1025">
        <f t="shared" si="43"/>
        <v>8.2456787033261553E-3</v>
      </c>
      <c r="M1025" s="31"/>
    </row>
    <row r="1026" spans="1:13" x14ac:dyDescent="0.3">
      <c r="A1026">
        <v>2005</v>
      </c>
      <c r="B1026">
        <v>4</v>
      </c>
      <c r="C1026">
        <v>13</v>
      </c>
      <c r="D1026">
        <v>0.53678535621873691</v>
      </c>
      <c r="E1026">
        <v>1.5200000000000102E-2</v>
      </c>
      <c r="F1026">
        <f t="shared" si="43"/>
        <v>8.1591374145248557E-3</v>
      </c>
      <c r="M1026" s="31"/>
    </row>
    <row r="1027" spans="1:13" x14ac:dyDescent="0.3">
      <c r="A1027">
        <v>2005</v>
      </c>
      <c r="B1027">
        <v>4</v>
      </c>
      <c r="C1027">
        <v>12</v>
      </c>
      <c r="D1027">
        <v>0.52933390049858819</v>
      </c>
      <c r="E1027">
        <v>1.5200000000000102E-2</v>
      </c>
      <c r="F1027">
        <f t="shared" ref="F1027:F1090" si="44">D1027*E1027</f>
        <v>8.0458752875785956E-3</v>
      </c>
      <c r="M1027" s="31"/>
    </row>
    <row r="1028" spans="1:13" x14ac:dyDescent="0.3">
      <c r="A1028">
        <v>2005</v>
      </c>
      <c r="B1028">
        <v>4</v>
      </c>
      <c r="C1028">
        <v>11</v>
      </c>
      <c r="D1028">
        <v>0.52140938237124734</v>
      </c>
      <c r="E1028">
        <v>1.5200000000000102E-2</v>
      </c>
      <c r="F1028">
        <f t="shared" si="44"/>
        <v>7.9254226120430132E-3</v>
      </c>
      <c r="M1028" s="31"/>
    </row>
    <row r="1029" spans="1:13" x14ac:dyDescent="0.3">
      <c r="A1029">
        <v>2005</v>
      </c>
      <c r="B1029">
        <v>4</v>
      </c>
      <c r="C1029">
        <v>10</v>
      </c>
      <c r="D1029">
        <v>0.51239320577961989</v>
      </c>
      <c r="E1029">
        <v>1.5200000000000102E-2</v>
      </c>
      <c r="F1029">
        <f t="shared" si="44"/>
        <v>7.7883767278502745E-3</v>
      </c>
      <c r="M1029" s="31"/>
    </row>
    <row r="1030" spans="1:13" x14ac:dyDescent="0.3">
      <c r="A1030">
        <v>2005</v>
      </c>
      <c r="B1030">
        <v>4</v>
      </c>
      <c r="C1030">
        <v>9</v>
      </c>
      <c r="D1030">
        <v>0.50254947979035514</v>
      </c>
      <c r="E1030">
        <v>1.5200000000000102E-2</v>
      </c>
      <c r="F1030">
        <f t="shared" si="44"/>
        <v>7.6387520928134492E-3</v>
      </c>
      <c r="M1030" s="31"/>
    </row>
    <row r="1031" spans="1:13" x14ac:dyDescent="0.3">
      <c r="A1031">
        <v>2005</v>
      </c>
      <c r="B1031">
        <v>4</v>
      </c>
      <c r="C1031">
        <v>8</v>
      </c>
      <c r="D1031">
        <v>0.49325125665610087</v>
      </c>
      <c r="E1031">
        <v>1.5200000000000102E-2</v>
      </c>
      <c r="F1031">
        <f t="shared" si="44"/>
        <v>7.4974191011727837E-3</v>
      </c>
      <c r="M1031" s="31"/>
    </row>
    <row r="1032" spans="1:13" x14ac:dyDescent="0.3">
      <c r="A1032">
        <v>2005</v>
      </c>
      <c r="B1032">
        <v>4</v>
      </c>
      <c r="C1032">
        <v>6</v>
      </c>
      <c r="D1032">
        <v>0.48559931748705432</v>
      </c>
      <c r="E1032">
        <v>1.5200000000000102E-2</v>
      </c>
      <c r="F1032">
        <f t="shared" si="44"/>
        <v>7.3811096258032749E-3</v>
      </c>
      <c r="M1032" s="31"/>
    </row>
    <row r="1033" spans="1:13" x14ac:dyDescent="0.3">
      <c r="A1033">
        <v>2005</v>
      </c>
      <c r="B1033">
        <v>4</v>
      </c>
      <c r="C1033">
        <v>5</v>
      </c>
      <c r="D1033">
        <v>0.47957514408740565</v>
      </c>
      <c r="E1033">
        <v>1.5200000000000102E-2</v>
      </c>
      <c r="F1033">
        <f t="shared" si="44"/>
        <v>7.2895421901286147E-3</v>
      </c>
      <c r="M1033" s="31"/>
    </row>
    <row r="1034" spans="1:13" x14ac:dyDescent="0.3">
      <c r="A1034">
        <v>2005</v>
      </c>
      <c r="B1034">
        <v>4</v>
      </c>
      <c r="C1034">
        <v>4</v>
      </c>
      <c r="D1034">
        <v>0.47663271235398236</v>
      </c>
      <c r="E1034">
        <v>1.5200000000000102E-2</v>
      </c>
      <c r="F1034">
        <f t="shared" si="44"/>
        <v>7.2448172277805806E-3</v>
      </c>
      <c r="M1034" s="31"/>
    </row>
    <row r="1035" spans="1:13" x14ac:dyDescent="0.3">
      <c r="A1035">
        <v>2005</v>
      </c>
      <c r="B1035">
        <v>4</v>
      </c>
      <c r="C1035">
        <v>3</v>
      </c>
      <c r="D1035">
        <v>0.47785957284669556</v>
      </c>
      <c r="E1035">
        <v>1.5200000000000102E-2</v>
      </c>
      <c r="F1035">
        <f t="shared" si="44"/>
        <v>7.263465507269821E-3</v>
      </c>
      <c r="M1035" s="31"/>
    </row>
    <row r="1036" spans="1:13" x14ac:dyDescent="0.3">
      <c r="A1036">
        <v>2005</v>
      </c>
      <c r="B1036">
        <v>4</v>
      </c>
      <c r="C1036">
        <v>2</v>
      </c>
      <c r="D1036">
        <v>0.4819095891467936</v>
      </c>
      <c r="E1036">
        <v>1.5200000000000102E-2</v>
      </c>
      <c r="F1036">
        <f t="shared" si="44"/>
        <v>7.3250257550313124E-3</v>
      </c>
      <c r="M1036" s="31"/>
    </row>
    <row r="1037" spans="1:13" x14ac:dyDescent="0.3">
      <c r="A1037">
        <v>2005</v>
      </c>
      <c r="B1037">
        <v>4</v>
      </c>
      <c r="C1037">
        <v>1</v>
      </c>
      <c r="D1037">
        <v>0.49237542584500837</v>
      </c>
      <c r="E1037">
        <v>1.5200000000000102E-2</v>
      </c>
      <c r="F1037">
        <f t="shared" si="44"/>
        <v>7.4841064728441778E-3</v>
      </c>
      <c r="M1037" s="31"/>
    </row>
    <row r="1038" spans="1:13" x14ac:dyDescent="0.3">
      <c r="A1038">
        <v>2005</v>
      </c>
      <c r="B1038">
        <v>3</v>
      </c>
      <c r="C1038">
        <v>31</v>
      </c>
      <c r="D1038">
        <v>0.50326400765210044</v>
      </c>
      <c r="E1038">
        <v>1.5200000000000102E-2</v>
      </c>
      <c r="F1038">
        <f t="shared" si="44"/>
        <v>7.6496129163119786E-3</v>
      </c>
      <c r="M1038" s="31"/>
    </row>
    <row r="1039" spans="1:13" x14ac:dyDescent="0.3">
      <c r="A1039">
        <v>2005</v>
      </c>
      <c r="B1039">
        <v>3</v>
      </c>
      <c r="C1039">
        <v>29</v>
      </c>
      <c r="D1039">
        <v>0.51483044756344087</v>
      </c>
      <c r="E1039">
        <v>1.5200000000000102E-2</v>
      </c>
      <c r="F1039">
        <f t="shared" si="44"/>
        <v>7.8254228029643533E-3</v>
      </c>
      <c r="M1039" s="31"/>
    </row>
    <row r="1040" spans="1:13" x14ac:dyDescent="0.3">
      <c r="A1040">
        <v>2005</v>
      </c>
      <c r="B1040">
        <v>3</v>
      </c>
      <c r="C1040">
        <v>28</v>
      </c>
      <c r="D1040">
        <v>0.52520272357011655</v>
      </c>
      <c r="E1040">
        <v>1.5200000000000102E-2</v>
      </c>
      <c r="F1040">
        <f t="shared" si="44"/>
        <v>7.9830813982658261E-3</v>
      </c>
      <c r="M1040" s="31"/>
    </row>
    <row r="1041" spans="1:13" x14ac:dyDescent="0.3">
      <c r="A1041">
        <v>2005</v>
      </c>
      <c r="B1041">
        <v>3</v>
      </c>
      <c r="C1041">
        <v>27</v>
      </c>
      <c r="D1041">
        <v>0.5342363227341127</v>
      </c>
      <c r="E1041">
        <v>1.5200000000000102E-2</v>
      </c>
      <c r="F1041">
        <f t="shared" si="44"/>
        <v>8.1203921055585677E-3</v>
      </c>
      <c r="M1041" s="31"/>
    </row>
    <row r="1042" spans="1:13" x14ac:dyDescent="0.3">
      <c r="A1042">
        <v>2005</v>
      </c>
      <c r="B1042">
        <v>3</v>
      </c>
      <c r="C1042">
        <v>26</v>
      </c>
      <c r="D1042">
        <v>0.53750038801460431</v>
      </c>
      <c r="E1042">
        <v>1.5200000000000102E-2</v>
      </c>
      <c r="F1042">
        <f t="shared" si="44"/>
        <v>8.17000589782204E-3</v>
      </c>
      <c r="M1042" s="31"/>
    </row>
    <row r="1043" spans="1:13" x14ac:dyDescent="0.3">
      <c r="A1043">
        <v>2005</v>
      </c>
      <c r="B1043">
        <v>3</v>
      </c>
      <c r="C1043">
        <v>25</v>
      </c>
      <c r="D1043">
        <v>0.53988514233441309</v>
      </c>
      <c r="E1043">
        <v>1.5200000000000102E-2</v>
      </c>
      <c r="F1043">
        <f t="shared" si="44"/>
        <v>8.2062541634831346E-3</v>
      </c>
      <c r="M1043" s="31"/>
    </row>
    <row r="1044" spans="1:13" x14ac:dyDescent="0.3">
      <c r="A1044">
        <v>2005</v>
      </c>
      <c r="B1044">
        <v>3</v>
      </c>
      <c r="C1044">
        <v>24</v>
      </c>
      <c r="D1044">
        <v>0.54050487107022316</v>
      </c>
      <c r="E1044">
        <v>1.5200000000000102E-2</v>
      </c>
      <c r="F1044">
        <f t="shared" si="44"/>
        <v>8.2156740402674466E-3</v>
      </c>
      <c r="M1044" s="31"/>
    </row>
    <row r="1045" spans="1:13" x14ac:dyDescent="0.3">
      <c r="A1045">
        <v>2005</v>
      </c>
      <c r="B1045">
        <v>3</v>
      </c>
      <c r="C1045">
        <v>23</v>
      </c>
      <c r="D1045">
        <v>0.53721721897338648</v>
      </c>
      <c r="E1045">
        <v>1.5200000000000102E-2</v>
      </c>
      <c r="F1045">
        <f t="shared" si="44"/>
        <v>8.1657017283955288E-3</v>
      </c>
      <c r="M1045" s="31"/>
    </row>
    <row r="1046" spans="1:13" x14ac:dyDescent="0.3">
      <c r="A1046">
        <v>2005</v>
      </c>
      <c r="B1046">
        <v>3</v>
      </c>
      <c r="C1046">
        <v>21</v>
      </c>
      <c r="D1046">
        <v>0.53343346122552271</v>
      </c>
      <c r="E1046">
        <v>1.5200000000000102E-2</v>
      </c>
      <c r="F1046">
        <f t="shared" si="44"/>
        <v>8.1081886106280001E-3</v>
      </c>
      <c r="M1046" s="31"/>
    </row>
    <row r="1047" spans="1:13" x14ac:dyDescent="0.3">
      <c r="A1047">
        <v>2005</v>
      </c>
      <c r="B1047">
        <v>3</v>
      </c>
      <c r="C1047">
        <v>20</v>
      </c>
      <c r="D1047">
        <v>0.52827796735797627</v>
      </c>
      <c r="E1047">
        <v>1.5200000000000102E-2</v>
      </c>
      <c r="F1047">
        <f t="shared" si="44"/>
        <v>8.0298251038412941E-3</v>
      </c>
      <c r="M1047" s="31"/>
    </row>
    <row r="1048" spans="1:13" x14ac:dyDescent="0.3">
      <c r="A1048">
        <v>2005</v>
      </c>
      <c r="B1048">
        <v>3</v>
      </c>
      <c r="C1048">
        <v>19</v>
      </c>
      <c r="D1048">
        <v>0.52226181082422807</v>
      </c>
      <c r="E1048">
        <v>1.5200000000000102E-2</v>
      </c>
      <c r="F1048">
        <f t="shared" si="44"/>
        <v>7.9383795245283207E-3</v>
      </c>
      <c r="M1048" s="31"/>
    </row>
    <row r="1049" spans="1:13" x14ac:dyDescent="0.3">
      <c r="A1049">
        <v>2005</v>
      </c>
      <c r="B1049">
        <v>3</v>
      </c>
      <c r="C1049">
        <v>18</v>
      </c>
      <c r="D1049">
        <v>0.51614017446946392</v>
      </c>
      <c r="E1049">
        <v>1.5200000000000102E-2</v>
      </c>
      <c r="F1049">
        <f t="shared" si="44"/>
        <v>7.8453306519359039E-3</v>
      </c>
      <c r="M1049" s="31"/>
    </row>
    <row r="1050" spans="1:13" x14ac:dyDescent="0.3">
      <c r="A1050">
        <v>2005</v>
      </c>
      <c r="B1050">
        <v>3</v>
      </c>
      <c r="C1050">
        <v>17</v>
      </c>
      <c r="D1050">
        <v>0.51289767830207278</v>
      </c>
      <c r="E1050">
        <v>1.5200000000000102E-2</v>
      </c>
      <c r="F1050">
        <f t="shared" si="44"/>
        <v>7.7960447101915586E-3</v>
      </c>
      <c r="M1050" s="31"/>
    </row>
    <row r="1051" spans="1:13" x14ac:dyDescent="0.3">
      <c r="A1051">
        <v>2005</v>
      </c>
      <c r="B1051">
        <v>3</v>
      </c>
      <c r="C1051">
        <v>16</v>
      </c>
      <c r="D1051">
        <v>0.50953716205034782</v>
      </c>
      <c r="E1051">
        <v>1.5200000000000102E-2</v>
      </c>
      <c r="F1051">
        <f t="shared" si="44"/>
        <v>7.7449648631653387E-3</v>
      </c>
      <c r="M1051" s="31"/>
    </row>
    <row r="1052" spans="1:13" x14ac:dyDescent="0.3">
      <c r="A1052">
        <v>2005</v>
      </c>
      <c r="B1052">
        <v>3</v>
      </c>
      <c r="C1052">
        <v>14</v>
      </c>
      <c r="D1052">
        <v>0.5066793187871752</v>
      </c>
      <c r="E1052">
        <v>1.5200000000000102E-2</v>
      </c>
      <c r="F1052">
        <f t="shared" si="44"/>
        <v>7.7015256455651151E-3</v>
      </c>
      <c r="M1052" s="31"/>
    </row>
    <row r="1053" spans="1:13" x14ac:dyDescent="0.3">
      <c r="A1053">
        <v>2005</v>
      </c>
      <c r="B1053">
        <v>3</v>
      </c>
      <c r="C1053">
        <v>13</v>
      </c>
      <c r="D1053">
        <v>0.50667473178394384</v>
      </c>
      <c r="E1053">
        <v>1.5200000000000102E-2</v>
      </c>
      <c r="F1053">
        <f t="shared" si="44"/>
        <v>7.701455923115998E-3</v>
      </c>
      <c r="M1053" s="31"/>
    </row>
    <row r="1054" spans="1:13" x14ac:dyDescent="0.3">
      <c r="A1054">
        <v>2005</v>
      </c>
      <c r="B1054">
        <v>3</v>
      </c>
      <c r="C1054">
        <v>12</v>
      </c>
      <c r="D1054">
        <v>0.5072901099109719</v>
      </c>
      <c r="E1054">
        <v>1.5200000000000102E-2</v>
      </c>
      <c r="F1054">
        <f t="shared" si="44"/>
        <v>7.7108096706468244E-3</v>
      </c>
      <c r="M1054" s="31"/>
    </row>
    <row r="1055" spans="1:13" x14ac:dyDescent="0.3">
      <c r="A1055">
        <v>2005</v>
      </c>
      <c r="B1055">
        <v>3</v>
      </c>
      <c r="C1055">
        <v>11</v>
      </c>
      <c r="D1055">
        <v>0.50964145830754881</v>
      </c>
      <c r="E1055">
        <v>1.5200000000000102E-2</v>
      </c>
      <c r="F1055">
        <f t="shared" si="44"/>
        <v>7.7465501662747939E-3</v>
      </c>
      <c r="M1055" s="31"/>
    </row>
    <row r="1056" spans="1:13" x14ac:dyDescent="0.3">
      <c r="A1056">
        <v>2005</v>
      </c>
      <c r="B1056">
        <v>3</v>
      </c>
      <c r="C1056">
        <v>10</v>
      </c>
      <c r="D1056">
        <v>0.51398250849817628</v>
      </c>
      <c r="E1056">
        <v>1.5200000000000102E-2</v>
      </c>
      <c r="F1056">
        <f t="shared" si="44"/>
        <v>7.812534129172332E-3</v>
      </c>
      <c r="M1056" s="31"/>
    </row>
    <row r="1057" spans="1:13" x14ac:dyDescent="0.3">
      <c r="A1057">
        <v>2005</v>
      </c>
      <c r="B1057">
        <v>3</v>
      </c>
      <c r="C1057">
        <v>9</v>
      </c>
      <c r="D1057">
        <v>0.51932744903119266</v>
      </c>
      <c r="E1057">
        <v>1.5200000000000102E-2</v>
      </c>
      <c r="F1057">
        <f t="shared" si="44"/>
        <v>7.8937772252741806E-3</v>
      </c>
      <c r="M1057" s="31"/>
    </row>
    <row r="1058" spans="1:13" x14ac:dyDescent="0.3">
      <c r="A1058">
        <v>2005</v>
      </c>
      <c r="B1058">
        <v>3</v>
      </c>
      <c r="C1058">
        <v>8</v>
      </c>
      <c r="D1058">
        <v>0.52243717433518666</v>
      </c>
      <c r="E1058">
        <v>1.5200000000000102E-2</v>
      </c>
      <c r="F1058">
        <f t="shared" si="44"/>
        <v>7.941045049894891E-3</v>
      </c>
      <c r="M1058" s="31"/>
    </row>
    <row r="1059" spans="1:13" x14ac:dyDescent="0.3">
      <c r="A1059">
        <v>2005</v>
      </c>
      <c r="B1059">
        <v>3</v>
      </c>
      <c r="C1059">
        <v>6</v>
      </c>
      <c r="D1059">
        <v>0.52267930676702323</v>
      </c>
      <c r="E1059">
        <v>1.5200000000000102E-2</v>
      </c>
      <c r="F1059">
        <f t="shared" si="44"/>
        <v>7.9447254628588065E-3</v>
      </c>
      <c r="M1059" s="31"/>
    </row>
    <row r="1060" spans="1:13" x14ac:dyDescent="0.3">
      <c r="A1060">
        <v>2005</v>
      </c>
      <c r="B1060">
        <v>3</v>
      </c>
      <c r="C1060">
        <v>5</v>
      </c>
      <c r="D1060">
        <v>0.51955613295787895</v>
      </c>
      <c r="E1060">
        <v>1.5200000000000102E-2</v>
      </c>
      <c r="F1060">
        <f t="shared" si="44"/>
        <v>7.8972532209598129E-3</v>
      </c>
      <c r="M1060" s="31"/>
    </row>
    <row r="1061" spans="1:13" x14ac:dyDescent="0.3">
      <c r="A1061">
        <v>2005</v>
      </c>
      <c r="B1061">
        <v>3</v>
      </c>
      <c r="C1061">
        <v>4</v>
      </c>
      <c r="D1061">
        <v>0.51171971048541431</v>
      </c>
      <c r="E1061">
        <v>1.5200000000000102E-2</v>
      </c>
      <c r="F1061">
        <f t="shared" si="44"/>
        <v>7.7781395993783498E-3</v>
      </c>
      <c r="M1061" s="31"/>
    </row>
    <row r="1062" spans="1:13" x14ac:dyDescent="0.3">
      <c r="A1062">
        <v>2005</v>
      </c>
      <c r="B1062">
        <v>3</v>
      </c>
      <c r="C1062">
        <v>3</v>
      </c>
      <c r="D1062">
        <v>0.50255681167603539</v>
      </c>
      <c r="E1062">
        <v>1.5200000000000102E-2</v>
      </c>
      <c r="F1062">
        <f t="shared" si="44"/>
        <v>7.6388635374757896E-3</v>
      </c>
      <c r="M1062" s="31"/>
    </row>
    <row r="1063" spans="1:13" x14ac:dyDescent="0.3">
      <c r="A1063">
        <v>2005</v>
      </c>
      <c r="B1063">
        <v>3</v>
      </c>
      <c r="C1063">
        <v>2</v>
      </c>
      <c r="D1063">
        <v>0.49282378659135351</v>
      </c>
      <c r="E1063">
        <v>1.5200000000000102E-2</v>
      </c>
      <c r="F1063">
        <f t="shared" si="44"/>
        <v>7.490921556188624E-3</v>
      </c>
      <c r="M1063" s="31"/>
    </row>
    <row r="1064" spans="1:13" x14ac:dyDescent="0.3">
      <c r="A1064">
        <v>2005</v>
      </c>
      <c r="B1064">
        <v>3</v>
      </c>
      <c r="C1064">
        <v>1</v>
      </c>
      <c r="D1064">
        <v>0.48619968164778787</v>
      </c>
      <c r="E1064">
        <v>1.5200000000000102E-2</v>
      </c>
      <c r="F1064">
        <f t="shared" si="44"/>
        <v>7.3902351610464255E-3</v>
      </c>
      <c r="M1064" s="31"/>
    </row>
    <row r="1065" spans="1:13" x14ac:dyDescent="0.3">
      <c r="A1065">
        <v>2005</v>
      </c>
      <c r="B1065">
        <v>2</v>
      </c>
      <c r="C1065">
        <v>28</v>
      </c>
      <c r="D1065">
        <v>0.48277502909874342</v>
      </c>
      <c r="E1065">
        <v>1.5200000000000102E-2</v>
      </c>
      <c r="F1065">
        <f t="shared" si="44"/>
        <v>7.338180442300949E-3</v>
      </c>
      <c r="M1065" s="31"/>
    </row>
    <row r="1066" spans="1:13" x14ac:dyDescent="0.3">
      <c r="A1066">
        <v>2005</v>
      </c>
      <c r="B1066">
        <v>2</v>
      </c>
      <c r="C1066">
        <v>15</v>
      </c>
      <c r="D1066">
        <v>0.48497547090306498</v>
      </c>
      <c r="E1066">
        <v>1.5200000000000102E-2</v>
      </c>
      <c r="F1066">
        <f t="shared" si="44"/>
        <v>7.3716271577266368E-3</v>
      </c>
      <c r="M1066" s="31"/>
    </row>
    <row r="1067" spans="1:13" x14ac:dyDescent="0.3">
      <c r="A1067">
        <v>2005</v>
      </c>
      <c r="B1067">
        <v>2</v>
      </c>
      <c r="C1067">
        <v>2</v>
      </c>
      <c r="D1067">
        <v>0.49036339007647334</v>
      </c>
      <c r="E1067">
        <v>1.5200000000000102E-2</v>
      </c>
      <c r="F1067">
        <f t="shared" si="44"/>
        <v>7.4535235291624449E-3</v>
      </c>
      <c r="M1067" s="31"/>
    </row>
    <row r="1068" spans="1:13" x14ac:dyDescent="0.3">
      <c r="A1068">
        <v>2005</v>
      </c>
      <c r="B1068">
        <v>1</v>
      </c>
      <c r="C1068">
        <v>20</v>
      </c>
      <c r="D1068">
        <v>0.4982237031517307</v>
      </c>
      <c r="E1068">
        <v>1.5200000000000102E-2</v>
      </c>
      <c r="F1068">
        <f t="shared" si="44"/>
        <v>7.5730002879063575E-3</v>
      </c>
      <c r="M1068" s="31"/>
    </row>
    <row r="1069" spans="1:13" x14ac:dyDescent="0.3">
      <c r="A1069">
        <v>2005</v>
      </c>
      <c r="B1069">
        <v>1</v>
      </c>
      <c r="C1069">
        <v>7</v>
      </c>
      <c r="D1069">
        <v>0.51031569508282448</v>
      </c>
      <c r="E1069">
        <v>1.5200000000000102E-2</v>
      </c>
      <c r="F1069">
        <f t="shared" si="44"/>
        <v>7.7567985652589842E-3</v>
      </c>
      <c r="M1069" s="31"/>
    </row>
    <row r="1070" spans="1:13" x14ac:dyDescent="0.3">
      <c r="A1070">
        <v>2004</v>
      </c>
      <c r="B1070">
        <v>12</v>
      </c>
      <c r="C1070">
        <v>26</v>
      </c>
      <c r="D1070">
        <v>0.52371871765573774</v>
      </c>
      <c r="E1070">
        <v>1.5200000000000102E-2</v>
      </c>
      <c r="F1070">
        <f t="shared" si="44"/>
        <v>7.9605245083672668E-3</v>
      </c>
      <c r="M1070" s="31"/>
    </row>
    <row r="1071" spans="1:13" x14ac:dyDescent="0.3">
      <c r="A1071">
        <v>2004</v>
      </c>
      <c r="B1071">
        <v>12</v>
      </c>
      <c r="C1071">
        <v>13</v>
      </c>
      <c r="D1071">
        <v>0.5385800018553506</v>
      </c>
      <c r="E1071">
        <v>1.5200000000000102E-2</v>
      </c>
      <c r="F1071">
        <f t="shared" si="44"/>
        <v>8.1864160282013841E-3</v>
      </c>
      <c r="M1071" s="31"/>
    </row>
    <row r="1072" spans="1:13" x14ac:dyDescent="0.3">
      <c r="A1072">
        <v>2004</v>
      </c>
      <c r="B1072">
        <v>11</v>
      </c>
      <c r="C1072">
        <v>30</v>
      </c>
      <c r="D1072">
        <v>0.55479907574440901</v>
      </c>
      <c r="E1072">
        <v>1.5200000000000102E-2</v>
      </c>
      <c r="F1072">
        <f t="shared" si="44"/>
        <v>8.4329459513150743E-3</v>
      </c>
      <c r="M1072" s="31"/>
    </row>
    <row r="1073" spans="1:13" x14ac:dyDescent="0.3">
      <c r="A1073">
        <v>2004</v>
      </c>
      <c r="B1073">
        <v>11</v>
      </c>
      <c r="C1073">
        <v>17</v>
      </c>
      <c r="D1073">
        <v>0.5721464154477377</v>
      </c>
      <c r="E1073">
        <v>1.5200000000000102E-2</v>
      </c>
      <c r="F1073">
        <f t="shared" si="44"/>
        <v>8.6966255148056715E-3</v>
      </c>
      <c r="M1073" s="31"/>
    </row>
    <row r="1074" spans="1:13" x14ac:dyDescent="0.3">
      <c r="A1074">
        <v>2004</v>
      </c>
      <c r="B1074">
        <v>11</v>
      </c>
      <c r="C1074">
        <v>4</v>
      </c>
      <c r="D1074">
        <v>0.58628830957240152</v>
      </c>
      <c r="E1074">
        <v>1.5200000000000102E-2</v>
      </c>
      <c r="F1074">
        <f t="shared" si="44"/>
        <v>8.9115823055005636E-3</v>
      </c>
      <c r="M1074" s="31"/>
    </row>
    <row r="1075" spans="1:13" x14ac:dyDescent="0.3">
      <c r="A1075">
        <v>2004</v>
      </c>
      <c r="B1075">
        <v>10</v>
      </c>
      <c r="C1075">
        <v>23</v>
      </c>
      <c r="D1075">
        <v>0.59896518732288428</v>
      </c>
      <c r="E1075">
        <v>1.5200000000000102E-2</v>
      </c>
      <c r="F1075">
        <f t="shared" si="44"/>
        <v>9.104270847307902E-3</v>
      </c>
      <c r="M1075" s="31"/>
    </row>
    <row r="1076" spans="1:13" x14ac:dyDescent="0.3">
      <c r="A1076">
        <v>2004</v>
      </c>
      <c r="B1076">
        <v>10</v>
      </c>
      <c r="C1076">
        <v>10</v>
      </c>
      <c r="D1076">
        <v>0.60821685240476109</v>
      </c>
      <c r="E1076">
        <v>1.5200000000000102E-2</v>
      </c>
      <c r="F1076">
        <f t="shared" si="44"/>
        <v>9.2448961565524315E-3</v>
      </c>
      <c r="M1076" s="31"/>
    </row>
    <row r="1077" spans="1:13" x14ac:dyDescent="0.3">
      <c r="A1077">
        <v>2004</v>
      </c>
      <c r="B1077">
        <v>9</v>
      </c>
      <c r="C1077">
        <v>27</v>
      </c>
      <c r="D1077">
        <v>0.6193130951679543</v>
      </c>
      <c r="E1077">
        <v>1.5200000000000102E-2</v>
      </c>
      <c r="F1077">
        <f t="shared" si="44"/>
        <v>9.4135590465529682E-3</v>
      </c>
      <c r="M1077" s="31"/>
    </row>
    <row r="1078" spans="1:13" x14ac:dyDescent="0.3">
      <c r="A1078">
        <v>2004</v>
      </c>
      <c r="B1078">
        <v>9</v>
      </c>
      <c r="C1078">
        <v>14</v>
      </c>
      <c r="D1078">
        <v>0.62928326931517109</v>
      </c>
      <c r="E1078">
        <v>1.5200000000000102E-2</v>
      </c>
      <c r="F1078">
        <f t="shared" si="44"/>
        <v>9.5651056935906649E-3</v>
      </c>
      <c r="M1078" s="31"/>
    </row>
    <row r="1079" spans="1:13" x14ac:dyDescent="0.3">
      <c r="A1079">
        <v>2004</v>
      </c>
      <c r="B1079">
        <v>9</v>
      </c>
      <c r="C1079">
        <v>1</v>
      </c>
      <c r="D1079">
        <v>0.63981099111073425</v>
      </c>
      <c r="E1079">
        <v>1.5200000000000102E-2</v>
      </c>
      <c r="F1079">
        <f t="shared" si="44"/>
        <v>9.7251270648832256E-3</v>
      </c>
      <c r="M1079" s="31"/>
    </row>
    <row r="1080" spans="1:13" x14ac:dyDescent="0.3">
      <c r="A1080">
        <v>2004</v>
      </c>
      <c r="B1080">
        <v>8</v>
      </c>
      <c r="C1080">
        <v>20</v>
      </c>
      <c r="D1080">
        <v>0.65050822214876702</v>
      </c>
      <c r="E1080">
        <v>1.5200000000000102E-2</v>
      </c>
      <c r="F1080">
        <f t="shared" si="44"/>
        <v>9.8877249766613252E-3</v>
      </c>
      <c r="M1080" s="31"/>
    </row>
    <row r="1081" spans="1:13" x14ac:dyDescent="0.3">
      <c r="A1081">
        <v>2004</v>
      </c>
      <c r="B1081">
        <v>8</v>
      </c>
      <c r="C1081">
        <v>7</v>
      </c>
      <c r="D1081">
        <v>0.66150780146013299</v>
      </c>
      <c r="E1081">
        <v>1.5200000000000102E-2</v>
      </c>
      <c r="F1081">
        <f t="shared" si="44"/>
        <v>1.0054918582194089E-2</v>
      </c>
      <c r="M1081" s="31"/>
    </row>
    <row r="1082" spans="1:13" x14ac:dyDescent="0.3">
      <c r="A1082">
        <v>2004</v>
      </c>
      <c r="B1082">
        <v>7</v>
      </c>
      <c r="C1082">
        <v>25</v>
      </c>
      <c r="D1082">
        <v>0.6672688734766975</v>
      </c>
      <c r="E1082">
        <v>1.5200000000000102E-2</v>
      </c>
      <c r="F1082">
        <f t="shared" si="44"/>
        <v>1.0142486876845871E-2</v>
      </c>
      <c r="M1082" s="31"/>
    </row>
    <row r="1083" spans="1:13" x14ac:dyDescent="0.3">
      <c r="A1083">
        <v>2004</v>
      </c>
      <c r="B1083">
        <v>7</v>
      </c>
      <c r="C1083">
        <v>12</v>
      </c>
      <c r="D1083">
        <v>0.67356833526388704</v>
      </c>
      <c r="E1083">
        <v>1.5200000000000102E-2</v>
      </c>
      <c r="F1083">
        <f t="shared" si="44"/>
        <v>1.0238238696011152E-2</v>
      </c>
      <c r="M1083" s="31"/>
    </row>
    <row r="1084" spans="1:13" x14ac:dyDescent="0.3">
      <c r="A1084">
        <v>2004</v>
      </c>
      <c r="B1084">
        <v>6</v>
      </c>
      <c r="C1084">
        <v>30</v>
      </c>
      <c r="D1084">
        <v>0.67882072117088521</v>
      </c>
      <c r="E1084">
        <v>1.5200000000000102E-2</v>
      </c>
      <c r="F1084">
        <f t="shared" si="44"/>
        <v>1.0318074961797525E-2</v>
      </c>
      <c r="M1084" s="31"/>
    </row>
    <row r="1085" spans="1:13" x14ac:dyDescent="0.3">
      <c r="A1085">
        <v>2004</v>
      </c>
      <c r="B1085">
        <v>6</v>
      </c>
      <c r="C1085">
        <v>28</v>
      </c>
      <c r="D1085">
        <v>0.6787826539642865</v>
      </c>
      <c r="E1085">
        <v>1.5200000000000102E-2</v>
      </c>
      <c r="F1085">
        <f t="shared" si="44"/>
        <v>1.0317496340257224E-2</v>
      </c>
      <c r="M1085" s="31"/>
    </row>
    <row r="1086" spans="1:13" x14ac:dyDescent="0.3">
      <c r="A1086">
        <v>2004</v>
      </c>
      <c r="B1086">
        <v>6</v>
      </c>
      <c r="C1086">
        <v>26</v>
      </c>
      <c r="D1086">
        <v>0.67781868017630986</v>
      </c>
      <c r="E1086">
        <v>1.5200000000000102E-2</v>
      </c>
      <c r="F1086">
        <f t="shared" si="44"/>
        <v>1.030284393867998E-2</v>
      </c>
      <c r="M1086" s="31"/>
    </row>
    <row r="1087" spans="1:13" x14ac:dyDescent="0.3">
      <c r="A1087">
        <v>2004</v>
      </c>
      <c r="B1087">
        <v>6</v>
      </c>
      <c r="C1087">
        <v>24</v>
      </c>
      <c r="D1087">
        <v>0.6757976682111354</v>
      </c>
      <c r="E1087">
        <v>1.5200000000000102E-2</v>
      </c>
      <c r="F1087">
        <f t="shared" si="44"/>
        <v>1.0272124556809327E-2</v>
      </c>
      <c r="M1087" s="31"/>
    </row>
    <row r="1088" spans="1:13" x14ac:dyDescent="0.3">
      <c r="A1088">
        <v>2004</v>
      </c>
      <c r="B1088">
        <v>6</v>
      </c>
      <c r="C1088">
        <v>22</v>
      </c>
      <c r="D1088">
        <v>0.67127181630759691</v>
      </c>
      <c r="E1088">
        <v>1.5200000000000102E-2</v>
      </c>
      <c r="F1088">
        <f t="shared" si="44"/>
        <v>1.0203331607875541E-2</v>
      </c>
      <c r="M1088" s="31"/>
    </row>
    <row r="1089" spans="1:13" x14ac:dyDescent="0.3">
      <c r="A1089">
        <v>2004</v>
      </c>
      <c r="B1089">
        <v>6</v>
      </c>
      <c r="C1089">
        <v>20</v>
      </c>
      <c r="D1089">
        <v>0.66557030089808178</v>
      </c>
      <c r="E1089">
        <v>1.5200000000000102E-2</v>
      </c>
      <c r="F1089">
        <f t="shared" si="44"/>
        <v>1.011666857365091E-2</v>
      </c>
      <c r="M1089" s="31"/>
    </row>
    <row r="1090" spans="1:13" x14ac:dyDescent="0.3">
      <c r="A1090">
        <v>2004</v>
      </c>
      <c r="B1090">
        <v>6</v>
      </c>
      <c r="C1090">
        <v>18</v>
      </c>
      <c r="D1090">
        <v>0.66461388600368576</v>
      </c>
      <c r="E1090">
        <v>1.5200000000000102E-2</v>
      </c>
      <c r="F1090">
        <f t="shared" si="44"/>
        <v>1.0102131067256092E-2</v>
      </c>
      <c r="M1090" s="31"/>
    </row>
    <row r="1091" spans="1:13" x14ac:dyDescent="0.3">
      <c r="A1091">
        <v>2004</v>
      </c>
      <c r="B1091">
        <v>6</v>
      </c>
      <c r="C1091">
        <v>17</v>
      </c>
      <c r="D1091">
        <v>0.66326377231453171</v>
      </c>
      <c r="E1091">
        <v>1.5200000000000102E-2</v>
      </c>
      <c r="F1091">
        <f t="shared" ref="F1091:F1154" si="45">D1091*E1091</f>
        <v>1.0081609339180949E-2</v>
      </c>
      <c r="M1091" s="31"/>
    </row>
    <row r="1092" spans="1:13" x14ac:dyDescent="0.3">
      <c r="A1092">
        <v>2004</v>
      </c>
      <c r="B1092">
        <v>6</v>
      </c>
      <c r="C1092">
        <v>15</v>
      </c>
      <c r="D1092">
        <v>0.66296624061940002</v>
      </c>
      <c r="E1092">
        <v>1.5200000000000102E-2</v>
      </c>
      <c r="F1092">
        <f t="shared" si="45"/>
        <v>1.0077086857414949E-2</v>
      </c>
      <c r="M1092" s="31"/>
    </row>
    <row r="1093" spans="1:13" x14ac:dyDescent="0.3">
      <c r="A1093">
        <v>2004</v>
      </c>
      <c r="B1093">
        <v>6</v>
      </c>
      <c r="C1093">
        <v>13</v>
      </c>
      <c r="D1093">
        <v>0.66799399273042048</v>
      </c>
      <c r="E1093">
        <v>1.5200000000000102E-2</v>
      </c>
      <c r="F1093">
        <f t="shared" si="45"/>
        <v>1.0153508689502459E-2</v>
      </c>
      <c r="M1093" s="31"/>
    </row>
    <row r="1094" spans="1:13" x14ac:dyDescent="0.3">
      <c r="A1094">
        <v>2004</v>
      </c>
      <c r="B1094">
        <v>6</v>
      </c>
      <c r="C1094">
        <v>11</v>
      </c>
      <c r="D1094">
        <v>0.6739583026799113</v>
      </c>
      <c r="E1094">
        <v>1.5200000000000102E-2</v>
      </c>
      <c r="F1094">
        <f t="shared" si="45"/>
        <v>1.0244166200734721E-2</v>
      </c>
      <c r="M1094" s="31"/>
    </row>
    <row r="1095" spans="1:13" x14ac:dyDescent="0.3">
      <c r="A1095">
        <v>2004</v>
      </c>
      <c r="B1095">
        <v>6</v>
      </c>
      <c r="C1095">
        <v>9</v>
      </c>
      <c r="D1095">
        <v>0.68126370488068932</v>
      </c>
      <c r="E1095">
        <v>1.5200000000000102E-2</v>
      </c>
      <c r="F1095">
        <f t="shared" si="45"/>
        <v>1.0355208314186548E-2</v>
      </c>
      <c r="M1095" s="31"/>
    </row>
    <row r="1096" spans="1:13" x14ac:dyDescent="0.3">
      <c r="A1096">
        <v>2004</v>
      </c>
      <c r="B1096">
        <v>6</v>
      </c>
      <c r="C1096">
        <v>7</v>
      </c>
      <c r="D1096">
        <v>0.69071902549196573</v>
      </c>
      <c r="E1096">
        <v>1.5200000000000102E-2</v>
      </c>
      <c r="F1096">
        <f t="shared" si="45"/>
        <v>1.049892918747795E-2</v>
      </c>
      <c r="M1096" s="31"/>
    </row>
    <row r="1097" spans="1:13" x14ac:dyDescent="0.3">
      <c r="A1097">
        <v>2004</v>
      </c>
      <c r="B1097">
        <v>6</v>
      </c>
      <c r="C1097">
        <v>5</v>
      </c>
      <c r="D1097">
        <v>0.69914518092125844</v>
      </c>
      <c r="E1097">
        <v>1.5200000000000102E-2</v>
      </c>
      <c r="F1097">
        <f t="shared" si="45"/>
        <v>1.06270067500032E-2</v>
      </c>
      <c r="M1097" s="31"/>
    </row>
    <row r="1098" spans="1:13" x14ac:dyDescent="0.3">
      <c r="A1098">
        <v>2004</v>
      </c>
      <c r="B1098">
        <v>6</v>
      </c>
      <c r="C1098">
        <v>4</v>
      </c>
      <c r="D1098">
        <v>0.69998668497852268</v>
      </c>
      <c r="E1098">
        <v>1.5200000000000102E-2</v>
      </c>
      <c r="F1098">
        <f t="shared" si="45"/>
        <v>1.0639797611673616E-2</v>
      </c>
      <c r="M1098" s="31"/>
    </row>
    <row r="1099" spans="1:13" x14ac:dyDescent="0.3">
      <c r="A1099">
        <v>2004</v>
      </c>
      <c r="B1099">
        <v>6</v>
      </c>
      <c r="C1099">
        <v>2</v>
      </c>
      <c r="D1099">
        <v>0.69762640521172214</v>
      </c>
      <c r="E1099">
        <v>1.5200000000000102E-2</v>
      </c>
      <c r="F1099">
        <f t="shared" si="45"/>
        <v>1.0603921359218248E-2</v>
      </c>
      <c r="M1099" s="31"/>
    </row>
    <row r="1100" spans="1:13" x14ac:dyDescent="0.3">
      <c r="A1100">
        <v>2004</v>
      </c>
      <c r="B1100">
        <v>5</v>
      </c>
      <c r="C1100">
        <v>31</v>
      </c>
      <c r="D1100">
        <v>0.69233535008956404</v>
      </c>
      <c r="E1100">
        <v>1.5200000000000102E-2</v>
      </c>
      <c r="F1100">
        <f t="shared" si="45"/>
        <v>1.0523497321361444E-2</v>
      </c>
      <c r="M1100" s="31"/>
    </row>
    <row r="1101" spans="1:13" x14ac:dyDescent="0.3">
      <c r="A1101">
        <v>2004</v>
      </c>
      <c r="B1101">
        <v>5</v>
      </c>
      <c r="C1101">
        <v>29</v>
      </c>
      <c r="D1101">
        <v>0.67881975215137547</v>
      </c>
      <c r="E1101">
        <v>1.5200000000000102E-2</v>
      </c>
      <c r="F1101">
        <f t="shared" si="45"/>
        <v>1.0318060232700977E-2</v>
      </c>
      <c r="M1101" s="31"/>
    </row>
    <row r="1102" spans="1:13" x14ac:dyDescent="0.3">
      <c r="A1102">
        <v>2004</v>
      </c>
      <c r="B1102">
        <v>5</v>
      </c>
      <c r="C1102">
        <v>27</v>
      </c>
      <c r="D1102">
        <v>0.66562476340061638</v>
      </c>
      <c r="E1102">
        <v>1.5200000000000102E-2</v>
      </c>
      <c r="F1102">
        <f t="shared" si="45"/>
        <v>1.0117496403689438E-2</v>
      </c>
      <c r="M1102" s="31"/>
    </row>
    <row r="1103" spans="1:13" x14ac:dyDescent="0.3">
      <c r="A1103">
        <v>2004</v>
      </c>
      <c r="B1103">
        <v>5</v>
      </c>
      <c r="C1103">
        <v>25</v>
      </c>
      <c r="D1103">
        <v>0.65577104151139154</v>
      </c>
      <c r="E1103">
        <v>1.5200000000000102E-2</v>
      </c>
      <c r="F1103">
        <f t="shared" si="45"/>
        <v>9.9677198309732189E-3</v>
      </c>
      <c r="M1103" s="31"/>
    </row>
    <row r="1104" spans="1:13" x14ac:dyDescent="0.3">
      <c r="A1104">
        <v>2004</v>
      </c>
      <c r="B1104">
        <v>5</v>
      </c>
      <c r="C1104">
        <v>24</v>
      </c>
      <c r="D1104">
        <v>0.64791432821215544</v>
      </c>
      <c r="E1104">
        <v>1.5200000000000102E-2</v>
      </c>
      <c r="F1104">
        <f t="shared" si="45"/>
        <v>9.848297788824829E-3</v>
      </c>
      <c r="M1104" s="31"/>
    </row>
    <row r="1105" spans="1:13" x14ac:dyDescent="0.3">
      <c r="A1105">
        <v>2004</v>
      </c>
      <c r="B1105">
        <v>5</v>
      </c>
      <c r="C1105">
        <v>22</v>
      </c>
      <c r="D1105">
        <v>0.6404683242464555</v>
      </c>
      <c r="E1105">
        <v>1.5200000000000102E-2</v>
      </c>
      <c r="F1105">
        <f t="shared" si="45"/>
        <v>9.7351185285461887E-3</v>
      </c>
      <c r="M1105" s="31"/>
    </row>
    <row r="1106" spans="1:13" x14ac:dyDescent="0.3">
      <c r="A1106">
        <v>2004</v>
      </c>
      <c r="B1106">
        <v>5</v>
      </c>
      <c r="C1106">
        <v>20</v>
      </c>
      <c r="D1106">
        <v>0.63839572472450012</v>
      </c>
      <c r="E1106">
        <v>1.5200000000000102E-2</v>
      </c>
      <c r="F1106">
        <f t="shared" si="45"/>
        <v>9.7036150158124664E-3</v>
      </c>
      <c r="M1106" s="31"/>
    </row>
    <row r="1107" spans="1:13" x14ac:dyDescent="0.3">
      <c r="A1107">
        <v>2004</v>
      </c>
      <c r="B1107">
        <v>5</v>
      </c>
      <c r="C1107">
        <v>18</v>
      </c>
      <c r="D1107">
        <v>0.63488596100418471</v>
      </c>
      <c r="E1107">
        <v>1.5200000000000102E-2</v>
      </c>
      <c r="F1107">
        <f t="shared" si="45"/>
        <v>9.6502666072636727E-3</v>
      </c>
      <c r="M1107" s="31"/>
    </row>
    <row r="1108" spans="1:13" x14ac:dyDescent="0.3">
      <c r="A1108">
        <v>2004</v>
      </c>
      <c r="B1108">
        <v>5</v>
      </c>
      <c r="C1108">
        <v>16</v>
      </c>
      <c r="D1108">
        <v>0.6302039636339748</v>
      </c>
      <c r="E1108">
        <v>1.5200000000000102E-2</v>
      </c>
      <c r="F1108">
        <f t="shared" si="45"/>
        <v>9.5791002472364814E-3</v>
      </c>
      <c r="M1108" s="31"/>
    </row>
    <row r="1109" spans="1:13" x14ac:dyDescent="0.3">
      <c r="A1109">
        <v>2004</v>
      </c>
      <c r="B1109">
        <v>5</v>
      </c>
      <c r="C1109">
        <v>14</v>
      </c>
      <c r="D1109">
        <v>0.6237040229136136</v>
      </c>
      <c r="E1109">
        <v>1.5200000000000102E-2</v>
      </c>
      <c r="F1109">
        <f t="shared" si="45"/>
        <v>9.4803011482869903E-3</v>
      </c>
      <c r="M1109" s="31"/>
    </row>
    <row r="1110" spans="1:13" x14ac:dyDescent="0.3">
      <c r="A1110">
        <v>2004</v>
      </c>
      <c r="B1110">
        <v>5</v>
      </c>
      <c r="C1110">
        <v>12</v>
      </c>
      <c r="D1110">
        <v>0.61539835371676932</v>
      </c>
      <c r="E1110">
        <v>1.5200000000000102E-2</v>
      </c>
      <c r="F1110">
        <f t="shared" si="45"/>
        <v>9.3540549764949566E-3</v>
      </c>
      <c r="M1110" s="31"/>
    </row>
    <row r="1111" spans="1:13" x14ac:dyDescent="0.3">
      <c r="A1111">
        <v>2004</v>
      </c>
      <c r="B1111">
        <v>5</v>
      </c>
      <c r="C1111">
        <v>11</v>
      </c>
      <c r="D1111">
        <v>0.60607946758146169</v>
      </c>
      <c r="E1111">
        <v>1.5200000000000102E-2</v>
      </c>
      <c r="F1111">
        <f t="shared" si="45"/>
        <v>9.2124079072382799E-3</v>
      </c>
      <c r="M1111" s="31"/>
    </row>
    <row r="1112" spans="1:13" x14ac:dyDescent="0.3">
      <c r="A1112">
        <v>2004</v>
      </c>
      <c r="B1112">
        <v>5</v>
      </c>
      <c r="C1112">
        <v>9</v>
      </c>
      <c r="D1112">
        <v>0.59782096767455173</v>
      </c>
      <c r="E1112">
        <v>1.5200000000000102E-2</v>
      </c>
      <c r="F1112">
        <f t="shared" si="45"/>
        <v>9.0868787086532468E-3</v>
      </c>
      <c r="M1112" s="31"/>
    </row>
    <row r="1113" spans="1:13" x14ac:dyDescent="0.3">
      <c r="A1113">
        <v>2004</v>
      </c>
      <c r="B1113">
        <v>5</v>
      </c>
      <c r="C1113">
        <v>7</v>
      </c>
      <c r="D1113">
        <v>0.59087123754455761</v>
      </c>
      <c r="E1113">
        <v>1.5200000000000102E-2</v>
      </c>
      <c r="F1113">
        <f t="shared" si="45"/>
        <v>8.9812428106773364E-3</v>
      </c>
      <c r="M1113" s="31"/>
    </row>
    <row r="1114" spans="1:13" x14ac:dyDescent="0.3">
      <c r="A1114">
        <v>2004</v>
      </c>
      <c r="B1114">
        <v>5</v>
      </c>
      <c r="C1114">
        <v>5</v>
      </c>
      <c r="D1114">
        <v>0.58445004356172525</v>
      </c>
      <c r="E1114">
        <v>1.5200000000000102E-2</v>
      </c>
      <c r="F1114">
        <f t="shared" si="45"/>
        <v>8.8836406621382834E-3</v>
      </c>
      <c r="M1114" s="31"/>
    </row>
    <row r="1115" spans="1:13" x14ac:dyDescent="0.3">
      <c r="A1115">
        <v>2004</v>
      </c>
      <c r="B1115">
        <v>5</v>
      </c>
      <c r="C1115">
        <v>3</v>
      </c>
      <c r="D1115">
        <v>0.57714586096613885</v>
      </c>
      <c r="E1115">
        <v>1.5200000000000102E-2</v>
      </c>
      <c r="F1115">
        <f t="shared" si="45"/>
        <v>8.7726170866853689E-3</v>
      </c>
      <c r="M1115" s="31"/>
    </row>
    <row r="1116" spans="1:13" x14ac:dyDescent="0.3">
      <c r="A1116">
        <v>2004</v>
      </c>
      <c r="B1116">
        <v>5</v>
      </c>
      <c r="C1116">
        <v>1</v>
      </c>
      <c r="D1116">
        <v>0.56871086556696016</v>
      </c>
      <c r="E1116">
        <v>1.5200000000000102E-2</v>
      </c>
      <c r="F1116">
        <f t="shared" si="45"/>
        <v>8.6444051566178532E-3</v>
      </c>
      <c r="M1116" s="31"/>
    </row>
    <row r="1117" spans="1:13" x14ac:dyDescent="0.3">
      <c r="A1117">
        <v>2004</v>
      </c>
      <c r="B1117">
        <v>4</v>
      </c>
      <c r="C1117">
        <v>30</v>
      </c>
      <c r="D1117">
        <v>0.55902977086418892</v>
      </c>
      <c r="E1117">
        <v>1.5200000000000102E-2</v>
      </c>
      <c r="F1117">
        <f t="shared" si="45"/>
        <v>8.4972525171357286E-3</v>
      </c>
      <c r="M1117" s="31"/>
    </row>
    <row r="1118" spans="1:13" x14ac:dyDescent="0.3">
      <c r="A1118">
        <v>2004</v>
      </c>
      <c r="B1118">
        <v>4</v>
      </c>
      <c r="C1118">
        <v>28</v>
      </c>
      <c r="D1118">
        <v>0.55026930672693863</v>
      </c>
      <c r="E1118">
        <v>1.5200000000000102E-2</v>
      </c>
      <c r="F1118">
        <f t="shared" si="45"/>
        <v>8.3640934622495229E-3</v>
      </c>
      <c r="M1118" s="31"/>
    </row>
    <row r="1119" spans="1:13" x14ac:dyDescent="0.3">
      <c r="A1119">
        <v>2004</v>
      </c>
      <c r="B1119">
        <v>4</v>
      </c>
      <c r="C1119">
        <v>26</v>
      </c>
      <c r="D1119">
        <v>0.54444096004106557</v>
      </c>
      <c r="E1119">
        <v>1.5200000000000102E-2</v>
      </c>
      <c r="F1119">
        <f t="shared" si="45"/>
        <v>8.2755025926242523E-3</v>
      </c>
      <c r="M1119" s="31"/>
    </row>
    <row r="1120" spans="1:13" x14ac:dyDescent="0.3">
      <c r="A1120">
        <v>2004</v>
      </c>
      <c r="B1120">
        <v>4</v>
      </c>
      <c r="C1120">
        <v>24</v>
      </c>
      <c r="D1120">
        <v>0.5422825423759684</v>
      </c>
      <c r="E1120">
        <v>1.5200000000000102E-2</v>
      </c>
      <c r="F1120">
        <f t="shared" si="45"/>
        <v>8.2426946441147755E-3</v>
      </c>
      <c r="M1120" s="31"/>
    </row>
    <row r="1121" spans="1:13" x14ac:dyDescent="0.3">
      <c r="A1121">
        <v>2004</v>
      </c>
      <c r="B1121">
        <v>4</v>
      </c>
      <c r="C1121">
        <v>22</v>
      </c>
      <c r="D1121">
        <v>0.54126085847593153</v>
      </c>
      <c r="E1121">
        <v>1.5200000000000102E-2</v>
      </c>
      <c r="F1121">
        <f t="shared" si="45"/>
        <v>8.2271650488342143E-3</v>
      </c>
      <c r="M1121" s="31"/>
    </row>
    <row r="1122" spans="1:13" x14ac:dyDescent="0.3">
      <c r="A1122">
        <v>2004</v>
      </c>
      <c r="B1122">
        <v>4</v>
      </c>
      <c r="C1122">
        <v>20</v>
      </c>
      <c r="D1122">
        <v>0.54011263811176979</v>
      </c>
      <c r="E1122">
        <v>1.5200000000000102E-2</v>
      </c>
      <c r="F1122">
        <f t="shared" si="45"/>
        <v>8.2097120992989554E-3</v>
      </c>
      <c r="M1122" s="31"/>
    </row>
    <row r="1123" spans="1:13" x14ac:dyDescent="0.3">
      <c r="A1123">
        <v>2004</v>
      </c>
      <c r="B1123">
        <v>4</v>
      </c>
      <c r="C1123">
        <v>18</v>
      </c>
      <c r="D1123">
        <v>0.53644189116204444</v>
      </c>
      <c r="E1123">
        <v>1.5200000000000102E-2</v>
      </c>
      <c r="F1123">
        <f t="shared" si="45"/>
        <v>8.1539167456631308E-3</v>
      </c>
      <c r="M1123" s="31"/>
    </row>
    <row r="1124" spans="1:13" x14ac:dyDescent="0.3">
      <c r="A1124">
        <v>2004</v>
      </c>
      <c r="B1124">
        <v>4</v>
      </c>
      <c r="C1124">
        <v>17</v>
      </c>
      <c r="D1124">
        <v>0.53101342638663318</v>
      </c>
      <c r="E1124">
        <v>1.5200000000000102E-2</v>
      </c>
      <c r="F1124">
        <f t="shared" si="45"/>
        <v>8.0714040810768786E-3</v>
      </c>
      <c r="M1124" s="31"/>
    </row>
    <row r="1125" spans="1:13" x14ac:dyDescent="0.3">
      <c r="A1125">
        <v>2004</v>
      </c>
      <c r="B1125">
        <v>4</v>
      </c>
      <c r="C1125">
        <v>15</v>
      </c>
      <c r="D1125">
        <v>0.52584587520887383</v>
      </c>
      <c r="E1125">
        <v>1.5200000000000102E-2</v>
      </c>
      <c r="F1125">
        <f t="shared" si="45"/>
        <v>7.9928573031749356E-3</v>
      </c>
      <c r="M1125" s="31"/>
    </row>
    <row r="1126" spans="1:13" x14ac:dyDescent="0.3">
      <c r="A1126">
        <v>2004</v>
      </c>
      <c r="B1126">
        <v>4</v>
      </c>
      <c r="C1126">
        <v>13</v>
      </c>
      <c r="D1126">
        <v>0.52168932193725015</v>
      </c>
      <c r="E1126">
        <v>1.5200000000000102E-2</v>
      </c>
      <c r="F1126">
        <f t="shared" si="45"/>
        <v>7.9296776934462548E-3</v>
      </c>
      <c r="M1126" s="31"/>
    </row>
    <row r="1127" spans="1:13" x14ac:dyDescent="0.3">
      <c r="A1127">
        <v>2004</v>
      </c>
      <c r="B1127">
        <v>4</v>
      </c>
      <c r="C1127">
        <v>11</v>
      </c>
      <c r="D1127">
        <v>0.51891490655863792</v>
      </c>
      <c r="E1127">
        <v>1.5200000000000102E-2</v>
      </c>
      <c r="F1127">
        <f t="shared" si="45"/>
        <v>7.8875065796913495E-3</v>
      </c>
      <c r="M1127" s="31"/>
    </row>
    <row r="1128" spans="1:13" x14ac:dyDescent="0.3">
      <c r="A1128">
        <v>2004</v>
      </c>
      <c r="B1128">
        <v>4</v>
      </c>
      <c r="C1128">
        <v>9</v>
      </c>
      <c r="D1128">
        <v>0.51776888806522547</v>
      </c>
      <c r="E1128">
        <v>1.5200000000000102E-2</v>
      </c>
      <c r="F1128">
        <f t="shared" si="45"/>
        <v>7.87008709859148E-3</v>
      </c>
      <c r="M1128" s="31"/>
    </row>
    <row r="1129" spans="1:13" x14ac:dyDescent="0.3">
      <c r="A1129">
        <v>2004</v>
      </c>
      <c r="B1129">
        <v>4</v>
      </c>
      <c r="C1129">
        <v>7</v>
      </c>
      <c r="D1129">
        <v>0.51862607771739733</v>
      </c>
      <c r="E1129">
        <v>1.5200000000000102E-2</v>
      </c>
      <c r="F1129">
        <f t="shared" si="45"/>
        <v>7.8831163813044922E-3</v>
      </c>
      <c r="M1129" s="31"/>
    </row>
    <row r="1130" spans="1:13" x14ac:dyDescent="0.3">
      <c r="A1130">
        <v>2004</v>
      </c>
      <c r="B1130">
        <v>4</v>
      </c>
      <c r="C1130">
        <v>5</v>
      </c>
      <c r="D1130">
        <v>0.51960937868665935</v>
      </c>
      <c r="E1130">
        <v>1.5200000000000102E-2</v>
      </c>
      <c r="F1130">
        <f t="shared" si="45"/>
        <v>7.8980625560372761E-3</v>
      </c>
      <c r="M1130" s="31"/>
    </row>
    <row r="1131" spans="1:13" x14ac:dyDescent="0.3">
      <c r="A1131">
        <v>2004</v>
      </c>
      <c r="B1131">
        <v>4</v>
      </c>
      <c r="C1131">
        <v>4</v>
      </c>
      <c r="D1131">
        <v>0.52285370331372805</v>
      </c>
      <c r="E1131">
        <v>1.5200000000000102E-2</v>
      </c>
      <c r="F1131">
        <f t="shared" si="45"/>
        <v>7.9473762903687194E-3</v>
      </c>
      <c r="M1131" s="31"/>
    </row>
    <row r="1132" spans="1:13" x14ac:dyDescent="0.3">
      <c r="A1132">
        <v>2004</v>
      </c>
      <c r="B1132">
        <v>4</v>
      </c>
      <c r="C1132">
        <v>2</v>
      </c>
      <c r="D1132">
        <v>0.52711210783569706</v>
      </c>
      <c r="E1132">
        <v>1.5200000000000102E-2</v>
      </c>
      <c r="F1132">
        <f t="shared" si="45"/>
        <v>8.012104039102649E-3</v>
      </c>
      <c r="M1132" s="31"/>
    </row>
    <row r="1133" spans="1:13" x14ac:dyDescent="0.3">
      <c r="A1133">
        <v>2004</v>
      </c>
      <c r="B1133">
        <v>3</v>
      </c>
      <c r="C1133">
        <v>31</v>
      </c>
      <c r="D1133">
        <v>0.53554980225064075</v>
      </c>
      <c r="E1133">
        <v>1.5200000000000102E-2</v>
      </c>
      <c r="F1133">
        <f t="shared" si="45"/>
        <v>8.140356994209794E-3</v>
      </c>
      <c r="M1133" s="31"/>
    </row>
    <row r="1134" spans="1:13" x14ac:dyDescent="0.3">
      <c r="A1134">
        <v>2004</v>
      </c>
      <c r="B1134">
        <v>3</v>
      </c>
      <c r="C1134">
        <v>29</v>
      </c>
      <c r="D1134">
        <v>0.54529583645090396</v>
      </c>
      <c r="E1134">
        <v>1.5200000000000102E-2</v>
      </c>
      <c r="F1134">
        <f t="shared" si="45"/>
        <v>8.2884967140537964E-3</v>
      </c>
      <c r="M1134" s="31"/>
    </row>
    <row r="1135" spans="1:13" x14ac:dyDescent="0.3">
      <c r="A1135">
        <v>2004</v>
      </c>
      <c r="B1135">
        <v>3</v>
      </c>
      <c r="C1135">
        <v>27</v>
      </c>
      <c r="D1135">
        <v>0.5596909171194171</v>
      </c>
      <c r="E1135">
        <v>1.5200000000000102E-2</v>
      </c>
      <c r="F1135">
        <f t="shared" si="45"/>
        <v>8.5073019402151975E-3</v>
      </c>
      <c r="M1135" s="31"/>
    </row>
    <row r="1136" spans="1:13" x14ac:dyDescent="0.3">
      <c r="A1136">
        <v>2004</v>
      </c>
      <c r="B1136">
        <v>3</v>
      </c>
      <c r="C1136">
        <v>25</v>
      </c>
      <c r="D1136">
        <v>0.57805220952726211</v>
      </c>
      <c r="E1136">
        <v>1.5200000000000102E-2</v>
      </c>
      <c r="F1136">
        <f t="shared" si="45"/>
        <v>8.7863935848144434E-3</v>
      </c>
      <c r="M1136" s="31"/>
    </row>
    <row r="1137" spans="1:13" x14ac:dyDescent="0.3">
      <c r="A1137">
        <v>2004</v>
      </c>
      <c r="B1137">
        <v>3</v>
      </c>
      <c r="C1137">
        <v>24</v>
      </c>
      <c r="D1137">
        <v>0.60125427671162734</v>
      </c>
      <c r="E1137">
        <v>1.5200000000000102E-2</v>
      </c>
      <c r="F1137">
        <f t="shared" si="45"/>
        <v>9.1390650060167965E-3</v>
      </c>
      <c r="M1137" s="31"/>
    </row>
    <row r="1138" spans="1:13" x14ac:dyDescent="0.3">
      <c r="A1138">
        <v>2004</v>
      </c>
      <c r="B1138">
        <v>3</v>
      </c>
      <c r="C1138">
        <v>22</v>
      </c>
      <c r="D1138">
        <v>0.62285332193027942</v>
      </c>
      <c r="E1138">
        <v>1.5200000000000102E-2</v>
      </c>
      <c r="F1138">
        <f t="shared" si="45"/>
        <v>9.4673704933403106E-3</v>
      </c>
      <c r="M1138" s="31"/>
    </row>
    <row r="1139" spans="1:13" x14ac:dyDescent="0.3">
      <c r="A1139">
        <v>2004</v>
      </c>
      <c r="B1139">
        <v>3</v>
      </c>
      <c r="C1139">
        <v>20</v>
      </c>
      <c r="D1139">
        <v>0.64226722235826827</v>
      </c>
      <c r="E1139">
        <v>1.5200000000000102E-2</v>
      </c>
      <c r="F1139">
        <f t="shared" si="45"/>
        <v>9.7624617798457436E-3</v>
      </c>
      <c r="M1139" s="31"/>
    </row>
    <row r="1140" spans="1:13" x14ac:dyDescent="0.3">
      <c r="A1140">
        <v>2004</v>
      </c>
      <c r="B1140">
        <v>3</v>
      </c>
      <c r="C1140">
        <v>18</v>
      </c>
      <c r="D1140">
        <v>0.65610619473249343</v>
      </c>
      <c r="E1140">
        <v>1.5200000000000102E-2</v>
      </c>
      <c r="F1140">
        <f t="shared" si="45"/>
        <v>9.9728141599339671E-3</v>
      </c>
      <c r="M1140" s="31"/>
    </row>
    <row r="1141" spans="1:13" x14ac:dyDescent="0.3">
      <c r="A1141">
        <v>2004</v>
      </c>
      <c r="B1141">
        <v>3</v>
      </c>
      <c r="C1141">
        <v>16</v>
      </c>
      <c r="D1141">
        <v>0.66200292699107044</v>
      </c>
      <c r="E1141">
        <v>1.5200000000000102E-2</v>
      </c>
      <c r="F1141">
        <f t="shared" si="45"/>
        <v>1.0062444490264338E-2</v>
      </c>
      <c r="M1141" s="31"/>
    </row>
    <row r="1142" spans="1:13" x14ac:dyDescent="0.3">
      <c r="A1142">
        <v>2004</v>
      </c>
      <c r="B1142">
        <v>3</v>
      </c>
      <c r="C1142">
        <v>14</v>
      </c>
      <c r="D1142">
        <v>0.66336893258932694</v>
      </c>
      <c r="E1142">
        <v>1.5200000000000102E-2</v>
      </c>
      <c r="F1142">
        <f t="shared" si="45"/>
        <v>1.0083207775357837E-2</v>
      </c>
      <c r="M1142" s="31"/>
    </row>
    <row r="1143" spans="1:13" x14ac:dyDescent="0.3">
      <c r="A1143">
        <v>2004</v>
      </c>
      <c r="B1143">
        <v>3</v>
      </c>
      <c r="C1143">
        <v>12</v>
      </c>
      <c r="D1143">
        <v>0.66233009361347994</v>
      </c>
      <c r="E1143">
        <v>1.5200000000000102E-2</v>
      </c>
      <c r="F1143">
        <f t="shared" si="45"/>
        <v>1.0067417422924963E-2</v>
      </c>
      <c r="M1143" s="31"/>
    </row>
    <row r="1144" spans="1:13" x14ac:dyDescent="0.3">
      <c r="A1144">
        <v>2004</v>
      </c>
      <c r="B1144">
        <v>3</v>
      </c>
      <c r="C1144">
        <v>11</v>
      </c>
      <c r="D1144">
        <v>0.6602221282151447</v>
      </c>
      <c r="E1144">
        <v>1.5200000000000102E-2</v>
      </c>
      <c r="F1144">
        <f t="shared" si="45"/>
        <v>1.0035376348870266E-2</v>
      </c>
      <c r="M1144" s="31"/>
    </row>
    <row r="1145" spans="1:13" x14ac:dyDescent="0.3">
      <c r="A1145">
        <v>2004</v>
      </c>
      <c r="B1145">
        <v>3</v>
      </c>
      <c r="C1145">
        <v>9</v>
      </c>
      <c r="D1145">
        <v>0.65704646143205558</v>
      </c>
      <c r="E1145">
        <v>1.5200000000000102E-2</v>
      </c>
      <c r="F1145">
        <f t="shared" si="45"/>
        <v>9.9871062137673119E-3</v>
      </c>
      <c r="M1145" s="31"/>
    </row>
    <row r="1146" spans="1:13" x14ac:dyDescent="0.3">
      <c r="A1146">
        <v>2004</v>
      </c>
      <c r="B1146">
        <v>3</v>
      </c>
      <c r="C1146">
        <v>7</v>
      </c>
      <c r="D1146">
        <v>0.65507267957865756</v>
      </c>
      <c r="E1146">
        <v>1.5200000000000102E-2</v>
      </c>
      <c r="F1146">
        <f t="shared" si="45"/>
        <v>9.9571047295956613E-3</v>
      </c>
      <c r="M1146" s="31"/>
    </row>
    <row r="1147" spans="1:13" x14ac:dyDescent="0.3">
      <c r="A1147">
        <v>2004</v>
      </c>
      <c r="B1147">
        <v>3</v>
      </c>
      <c r="C1147">
        <v>5</v>
      </c>
      <c r="D1147">
        <v>0.65136596084093723</v>
      </c>
      <c r="E1147">
        <v>1.5200000000000102E-2</v>
      </c>
      <c r="F1147">
        <f t="shared" si="45"/>
        <v>9.9007626047823132E-3</v>
      </c>
      <c r="M1147" s="31"/>
    </row>
    <row r="1148" spans="1:13" x14ac:dyDescent="0.3">
      <c r="A1148">
        <v>2004</v>
      </c>
      <c r="B1148">
        <v>3</v>
      </c>
      <c r="C1148">
        <v>3</v>
      </c>
      <c r="D1148">
        <v>0.64659742055964131</v>
      </c>
      <c r="E1148">
        <v>1.5200000000000102E-2</v>
      </c>
      <c r="F1148">
        <f t="shared" si="45"/>
        <v>9.8282807925066142E-3</v>
      </c>
      <c r="M1148" s="31"/>
    </row>
    <row r="1149" spans="1:13" x14ac:dyDescent="0.3">
      <c r="A1149">
        <v>2004</v>
      </c>
      <c r="B1149">
        <v>3</v>
      </c>
      <c r="C1149">
        <v>1</v>
      </c>
      <c r="D1149">
        <v>0.64409406951655934</v>
      </c>
      <c r="E1149">
        <v>1.5200000000000102E-2</v>
      </c>
      <c r="F1149">
        <f t="shared" si="45"/>
        <v>9.7902298566517679E-3</v>
      </c>
      <c r="M1149" s="31"/>
    </row>
    <row r="1150" spans="1:13" x14ac:dyDescent="0.3">
      <c r="A1150">
        <v>2004</v>
      </c>
      <c r="B1150">
        <v>2</v>
      </c>
      <c r="C1150">
        <v>29</v>
      </c>
      <c r="D1150">
        <v>0.64345266871431606</v>
      </c>
      <c r="E1150">
        <v>1.5200000000000102E-2</v>
      </c>
      <c r="F1150">
        <f t="shared" si="45"/>
        <v>9.7804805644576692E-3</v>
      </c>
      <c r="M1150" s="31"/>
    </row>
    <row r="1151" spans="1:13" x14ac:dyDescent="0.3">
      <c r="A1151">
        <v>2004</v>
      </c>
      <c r="B1151">
        <v>2</v>
      </c>
      <c r="C1151">
        <v>8</v>
      </c>
      <c r="D1151">
        <v>0.6454730171179125</v>
      </c>
      <c r="E1151">
        <v>1.5200000000000102E-2</v>
      </c>
      <c r="F1151">
        <f t="shared" si="45"/>
        <v>9.8111898601923354E-3</v>
      </c>
      <c r="M1151" s="31"/>
    </row>
    <row r="1152" spans="1:13" x14ac:dyDescent="0.3">
      <c r="A1152">
        <v>2004</v>
      </c>
      <c r="B1152">
        <v>1</v>
      </c>
      <c r="C1152">
        <v>19</v>
      </c>
      <c r="D1152">
        <v>0.64989718527796869</v>
      </c>
      <c r="E1152">
        <v>1.5200000000000102E-2</v>
      </c>
      <c r="F1152">
        <f t="shared" si="45"/>
        <v>9.8784372162251909E-3</v>
      </c>
      <c r="M1152" s="31"/>
    </row>
    <row r="1153" spans="1:13" x14ac:dyDescent="0.3">
      <c r="A1153">
        <v>2003</v>
      </c>
      <c r="B1153">
        <v>12</v>
      </c>
      <c r="C1153">
        <v>30</v>
      </c>
      <c r="D1153">
        <v>0.65620358230717946</v>
      </c>
      <c r="E1153">
        <v>1.5200000000000102E-2</v>
      </c>
      <c r="F1153">
        <f t="shared" si="45"/>
        <v>9.974294451069194E-3</v>
      </c>
      <c r="M1153" s="31"/>
    </row>
    <row r="1154" spans="1:13" x14ac:dyDescent="0.3">
      <c r="A1154">
        <v>2003</v>
      </c>
      <c r="B1154">
        <v>12</v>
      </c>
      <c r="C1154">
        <v>9</v>
      </c>
      <c r="D1154">
        <v>0.66360297543743341</v>
      </c>
      <c r="E1154">
        <v>1.5200000000000102E-2</v>
      </c>
      <c r="F1154">
        <f t="shared" si="45"/>
        <v>1.0086765226649056E-2</v>
      </c>
      <c r="M1154" s="31"/>
    </row>
    <row r="1155" spans="1:13" x14ac:dyDescent="0.3">
      <c r="A1155">
        <v>2003</v>
      </c>
      <c r="B1155">
        <v>11</v>
      </c>
      <c r="C1155">
        <v>19</v>
      </c>
      <c r="D1155">
        <v>0.67304759075835086</v>
      </c>
      <c r="E1155">
        <v>1.5200000000000102E-2</v>
      </c>
      <c r="F1155">
        <f t="shared" ref="F1155:F1218" si="46">D1155*E1155</f>
        <v>1.0230323379527001E-2</v>
      </c>
      <c r="M1155" s="31"/>
    </row>
    <row r="1156" spans="1:13" x14ac:dyDescent="0.3">
      <c r="A1156">
        <v>2003</v>
      </c>
      <c r="B1156">
        <v>10</v>
      </c>
      <c r="C1156">
        <v>30</v>
      </c>
      <c r="D1156">
        <v>0.68334286417311452</v>
      </c>
      <c r="E1156">
        <v>1.5200000000000102E-2</v>
      </c>
      <c r="F1156">
        <f t="shared" si="46"/>
        <v>1.038681153543141E-2</v>
      </c>
      <c r="M1156" s="31"/>
    </row>
    <row r="1157" spans="1:13" x14ac:dyDescent="0.3">
      <c r="A1157">
        <v>2003</v>
      </c>
      <c r="B1157">
        <v>10</v>
      </c>
      <c r="C1157">
        <v>9</v>
      </c>
      <c r="D1157">
        <v>0.6998009653065056</v>
      </c>
      <c r="E1157">
        <v>1.5200000000000102E-2</v>
      </c>
      <c r="F1157">
        <f t="shared" si="46"/>
        <v>1.0636974672658957E-2</v>
      </c>
      <c r="M1157" s="31"/>
    </row>
    <row r="1158" spans="1:13" x14ac:dyDescent="0.3">
      <c r="A1158">
        <v>2003</v>
      </c>
      <c r="B1158">
        <v>9</v>
      </c>
      <c r="C1158">
        <v>19</v>
      </c>
      <c r="D1158">
        <v>0.71773577316609505</v>
      </c>
      <c r="E1158">
        <v>1.5200000000000102E-2</v>
      </c>
      <c r="F1158">
        <f t="shared" si="46"/>
        <v>1.0909583752124719E-2</v>
      </c>
      <c r="M1158" s="31"/>
    </row>
    <row r="1159" spans="1:13" x14ac:dyDescent="0.3">
      <c r="A1159">
        <v>2003</v>
      </c>
      <c r="B1159">
        <v>8</v>
      </c>
      <c r="C1159">
        <v>30</v>
      </c>
      <c r="D1159">
        <v>0.73617510888244142</v>
      </c>
      <c r="E1159">
        <v>1.5200000000000102E-2</v>
      </c>
      <c r="F1159">
        <f t="shared" si="46"/>
        <v>1.1189861655013185E-2</v>
      </c>
      <c r="M1159" s="31"/>
    </row>
    <row r="1160" spans="1:13" x14ac:dyDescent="0.3">
      <c r="A1160">
        <v>2003</v>
      </c>
      <c r="B1160">
        <v>8</v>
      </c>
      <c r="C1160">
        <v>9</v>
      </c>
      <c r="D1160">
        <v>0.75319915725242004</v>
      </c>
      <c r="E1160">
        <v>1.5200000000000102E-2</v>
      </c>
      <c r="F1160">
        <f t="shared" si="46"/>
        <v>1.1448627190236862E-2</v>
      </c>
      <c r="M1160" s="31"/>
    </row>
    <row r="1161" spans="1:13" x14ac:dyDescent="0.3">
      <c r="A1161">
        <v>2003</v>
      </c>
      <c r="B1161">
        <v>7</v>
      </c>
      <c r="C1161">
        <v>20</v>
      </c>
      <c r="D1161">
        <v>0.76613692290222568</v>
      </c>
      <c r="E1161">
        <v>1.5200000000000102E-2</v>
      </c>
      <c r="F1161">
        <f t="shared" si="46"/>
        <v>1.1645281228113908E-2</v>
      </c>
      <c r="M1161" s="31"/>
    </row>
    <row r="1162" spans="1:13" x14ac:dyDescent="0.3">
      <c r="A1162">
        <v>2003</v>
      </c>
      <c r="B1162">
        <v>6</v>
      </c>
      <c r="C1162">
        <v>30</v>
      </c>
      <c r="D1162">
        <v>0.76643727415343521</v>
      </c>
      <c r="E1162">
        <v>1.5200000000000102E-2</v>
      </c>
      <c r="F1162">
        <f t="shared" si="46"/>
        <v>1.1649846567132294E-2</v>
      </c>
      <c r="M1162" s="31"/>
    </row>
    <row r="1163" spans="1:13" x14ac:dyDescent="0.3">
      <c r="A1163">
        <v>2003</v>
      </c>
      <c r="B1163">
        <v>6</v>
      </c>
      <c r="C1163">
        <v>27</v>
      </c>
      <c r="D1163">
        <v>0.75839990123229362</v>
      </c>
      <c r="E1163">
        <v>1.5200000000000102E-2</v>
      </c>
      <c r="F1163">
        <f t="shared" si="46"/>
        <v>1.152767849873094E-2</v>
      </c>
      <c r="M1163" s="31"/>
    </row>
    <row r="1164" spans="1:13" x14ac:dyDescent="0.3">
      <c r="A1164">
        <v>2003</v>
      </c>
      <c r="B1164">
        <v>6</v>
      </c>
      <c r="C1164">
        <v>25</v>
      </c>
      <c r="D1164">
        <v>0.7426445793099955</v>
      </c>
      <c r="E1164">
        <v>1.5200000000000102E-2</v>
      </c>
      <c r="F1164">
        <f t="shared" si="46"/>
        <v>1.1288197605512008E-2</v>
      </c>
      <c r="M1164" s="31"/>
    </row>
    <row r="1165" spans="1:13" x14ac:dyDescent="0.3">
      <c r="A1165">
        <v>2003</v>
      </c>
      <c r="B1165">
        <v>6</v>
      </c>
      <c r="C1165">
        <v>23</v>
      </c>
      <c r="D1165">
        <v>0.72436689220434647</v>
      </c>
      <c r="E1165">
        <v>1.5200000000000102E-2</v>
      </c>
      <c r="F1165">
        <f t="shared" si="46"/>
        <v>1.101037676150614E-2</v>
      </c>
      <c r="M1165" s="31"/>
    </row>
    <row r="1166" spans="1:13" x14ac:dyDescent="0.3">
      <c r="A1166">
        <v>2003</v>
      </c>
      <c r="B1166">
        <v>6</v>
      </c>
      <c r="C1166">
        <v>21</v>
      </c>
      <c r="D1166">
        <v>0.70770543407564535</v>
      </c>
      <c r="E1166">
        <v>1.5200000000000102E-2</v>
      </c>
      <c r="F1166">
        <f t="shared" si="46"/>
        <v>1.0757122597949881E-2</v>
      </c>
      <c r="M1166" s="31"/>
    </row>
    <row r="1167" spans="1:13" x14ac:dyDescent="0.3">
      <c r="A1167">
        <v>2003</v>
      </c>
      <c r="B1167">
        <v>6</v>
      </c>
      <c r="C1167">
        <v>19</v>
      </c>
      <c r="D1167">
        <v>0.69534975016704603</v>
      </c>
      <c r="E1167">
        <v>1.5200000000000102E-2</v>
      </c>
      <c r="F1167">
        <f t="shared" si="46"/>
        <v>1.0569316202539172E-2</v>
      </c>
      <c r="M1167" s="31"/>
    </row>
    <row r="1168" spans="1:13" x14ac:dyDescent="0.3">
      <c r="A1168">
        <v>2003</v>
      </c>
      <c r="B1168">
        <v>6</v>
      </c>
      <c r="C1168">
        <v>17</v>
      </c>
      <c r="D1168">
        <v>0.68819234365776827</v>
      </c>
      <c r="E1168">
        <v>1.5200000000000102E-2</v>
      </c>
      <c r="F1168">
        <f t="shared" si="46"/>
        <v>1.0460523623598148E-2</v>
      </c>
      <c r="M1168" s="31"/>
    </row>
    <row r="1169" spans="1:13" x14ac:dyDescent="0.3">
      <c r="A1169">
        <v>2003</v>
      </c>
      <c r="B1169">
        <v>6</v>
      </c>
      <c r="C1169">
        <v>15</v>
      </c>
      <c r="D1169">
        <v>0.68619236726146682</v>
      </c>
      <c r="E1169">
        <v>1.5200000000000102E-2</v>
      </c>
      <c r="F1169">
        <f t="shared" si="46"/>
        <v>1.0430123982374365E-2</v>
      </c>
      <c r="M1169" s="31"/>
    </row>
    <row r="1170" spans="1:13" x14ac:dyDescent="0.3">
      <c r="A1170">
        <v>2003</v>
      </c>
      <c r="B1170">
        <v>6</v>
      </c>
      <c r="C1170">
        <v>13</v>
      </c>
      <c r="D1170">
        <v>0.68446462722272017</v>
      </c>
      <c r="E1170">
        <v>1.5200000000000102E-2</v>
      </c>
      <c r="F1170">
        <f t="shared" si="46"/>
        <v>1.0403862333785416E-2</v>
      </c>
      <c r="M1170" s="31"/>
    </row>
    <row r="1171" spans="1:13" x14ac:dyDescent="0.3">
      <c r="A1171">
        <v>2003</v>
      </c>
      <c r="B1171">
        <v>6</v>
      </c>
      <c r="C1171">
        <v>11</v>
      </c>
      <c r="D1171">
        <v>0.6808471888900921</v>
      </c>
      <c r="E1171">
        <v>1.5200000000000102E-2</v>
      </c>
      <c r="F1171">
        <f t="shared" si="46"/>
        <v>1.0348877271129469E-2</v>
      </c>
      <c r="M1171" s="31"/>
    </row>
    <row r="1172" spans="1:13" x14ac:dyDescent="0.3">
      <c r="A1172">
        <v>2003</v>
      </c>
      <c r="B1172">
        <v>6</v>
      </c>
      <c r="C1172">
        <v>9</v>
      </c>
      <c r="D1172">
        <v>0.6760222204443509</v>
      </c>
      <c r="E1172">
        <v>1.5200000000000102E-2</v>
      </c>
      <c r="F1172">
        <f t="shared" si="46"/>
        <v>1.0275537750754203E-2</v>
      </c>
      <c r="M1172" s="31"/>
    </row>
    <row r="1173" spans="1:13" x14ac:dyDescent="0.3">
      <c r="A1173">
        <v>2003</v>
      </c>
      <c r="B1173">
        <v>6</v>
      </c>
      <c r="C1173">
        <v>7</v>
      </c>
      <c r="D1173">
        <v>0.66918938391483396</v>
      </c>
      <c r="E1173">
        <v>1.5200000000000102E-2</v>
      </c>
      <c r="F1173">
        <f t="shared" si="46"/>
        <v>1.0171678635505544E-2</v>
      </c>
      <c r="M1173" s="31"/>
    </row>
    <row r="1174" spans="1:13" x14ac:dyDescent="0.3">
      <c r="A1174">
        <v>2003</v>
      </c>
      <c r="B1174">
        <v>6</v>
      </c>
      <c r="C1174">
        <v>5</v>
      </c>
      <c r="D1174">
        <v>0.66224097698872331</v>
      </c>
      <c r="E1174">
        <v>1.5200000000000102E-2</v>
      </c>
      <c r="F1174">
        <f t="shared" si="46"/>
        <v>1.0066062850228662E-2</v>
      </c>
      <c r="M1174" s="31"/>
    </row>
    <row r="1175" spans="1:13" x14ac:dyDescent="0.3">
      <c r="A1175">
        <v>2003</v>
      </c>
      <c r="B1175">
        <v>6</v>
      </c>
      <c r="C1175">
        <v>3</v>
      </c>
      <c r="D1175">
        <v>0.65731861659310609</v>
      </c>
      <c r="E1175">
        <v>1.5200000000000102E-2</v>
      </c>
      <c r="F1175">
        <f t="shared" si="46"/>
        <v>9.9912429722152796E-3</v>
      </c>
      <c r="M1175" s="31"/>
    </row>
    <row r="1176" spans="1:13" x14ac:dyDescent="0.3">
      <c r="A1176">
        <v>2003</v>
      </c>
      <c r="B1176">
        <v>6</v>
      </c>
      <c r="C1176">
        <v>1</v>
      </c>
      <c r="D1176">
        <v>0.65374215003706748</v>
      </c>
      <c r="E1176">
        <v>1.5200000000000102E-2</v>
      </c>
      <c r="F1176">
        <f t="shared" si="46"/>
        <v>9.9368806805634931E-3</v>
      </c>
      <c r="M1176" s="31"/>
    </row>
    <row r="1177" spans="1:13" x14ac:dyDescent="0.3">
      <c r="A1177">
        <v>2003</v>
      </c>
      <c r="B1177">
        <v>5</v>
      </c>
      <c r="C1177">
        <v>29</v>
      </c>
      <c r="D1177">
        <v>0.6512388854902138</v>
      </c>
      <c r="E1177">
        <v>1.5200000000000102E-2</v>
      </c>
      <c r="F1177">
        <f t="shared" si="46"/>
        <v>9.8988310594513157E-3</v>
      </c>
      <c r="M1177" s="31"/>
    </row>
    <row r="1178" spans="1:13" x14ac:dyDescent="0.3">
      <c r="A1178">
        <v>2003</v>
      </c>
      <c r="B1178">
        <v>5</v>
      </c>
      <c r="C1178">
        <v>27</v>
      </c>
      <c r="D1178">
        <v>0.65073919071332287</v>
      </c>
      <c r="E1178">
        <v>1.5200000000000102E-2</v>
      </c>
      <c r="F1178">
        <f t="shared" si="46"/>
        <v>9.891235698842574E-3</v>
      </c>
      <c r="M1178" s="31"/>
    </row>
    <row r="1179" spans="1:13" x14ac:dyDescent="0.3">
      <c r="A1179">
        <v>2003</v>
      </c>
      <c r="B1179">
        <v>5</v>
      </c>
      <c r="C1179">
        <v>25</v>
      </c>
      <c r="D1179">
        <v>0.64970635931965059</v>
      </c>
      <c r="E1179">
        <v>1.5200000000000102E-2</v>
      </c>
      <c r="F1179">
        <f t="shared" si="46"/>
        <v>9.8755366616587563E-3</v>
      </c>
      <c r="M1179" s="31"/>
    </row>
    <row r="1180" spans="1:13" x14ac:dyDescent="0.3">
      <c r="A1180">
        <v>2003</v>
      </c>
      <c r="B1180">
        <v>5</v>
      </c>
      <c r="C1180">
        <v>23</v>
      </c>
      <c r="D1180">
        <v>0.64840732521670752</v>
      </c>
      <c r="E1180">
        <v>1.5200000000000102E-2</v>
      </c>
      <c r="F1180">
        <f t="shared" si="46"/>
        <v>9.8557913432940208E-3</v>
      </c>
      <c r="M1180" s="31"/>
    </row>
    <row r="1181" spans="1:13" x14ac:dyDescent="0.3">
      <c r="A1181">
        <v>2003</v>
      </c>
      <c r="B1181">
        <v>5</v>
      </c>
      <c r="C1181">
        <v>21</v>
      </c>
      <c r="D1181">
        <v>0.65084179725620916</v>
      </c>
      <c r="E1181">
        <v>1.5200000000000102E-2</v>
      </c>
      <c r="F1181">
        <f t="shared" si="46"/>
        <v>9.8927953182944457E-3</v>
      </c>
      <c r="M1181" s="31"/>
    </row>
    <row r="1182" spans="1:13" x14ac:dyDescent="0.3">
      <c r="A1182">
        <v>2003</v>
      </c>
      <c r="B1182">
        <v>5</v>
      </c>
      <c r="C1182">
        <v>19</v>
      </c>
      <c r="D1182">
        <v>0.65421248417176492</v>
      </c>
      <c r="E1182">
        <v>1.5200000000000102E-2</v>
      </c>
      <c r="F1182">
        <f t="shared" si="46"/>
        <v>9.9440297594108936E-3</v>
      </c>
      <c r="M1182" s="31"/>
    </row>
    <row r="1183" spans="1:13" x14ac:dyDescent="0.3">
      <c r="A1183">
        <v>2003</v>
      </c>
      <c r="B1183">
        <v>5</v>
      </c>
      <c r="C1183">
        <v>17</v>
      </c>
      <c r="D1183">
        <v>0.65825520344336375</v>
      </c>
      <c r="E1183">
        <v>1.5200000000000102E-2</v>
      </c>
      <c r="F1183">
        <f t="shared" si="46"/>
        <v>1.0005479092339196E-2</v>
      </c>
      <c r="M1183" s="31"/>
    </row>
    <row r="1184" spans="1:13" x14ac:dyDescent="0.3">
      <c r="A1184">
        <v>2003</v>
      </c>
      <c r="B1184">
        <v>5</v>
      </c>
      <c r="C1184">
        <v>15</v>
      </c>
      <c r="D1184">
        <v>0.66417870232771203</v>
      </c>
      <c r="E1184">
        <v>1.5200000000000102E-2</v>
      </c>
      <c r="F1184">
        <f t="shared" si="46"/>
        <v>1.0095516275381291E-2</v>
      </c>
      <c r="M1184" s="31"/>
    </row>
    <row r="1185" spans="1:13" x14ac:dyDescent="0.3">
      <c r="A1185">
        <v>2003</v>
      </c>
      <c r="B1185">
        <v>5</v>
      </c>
      <c r="C1185">
        <v>13</v>
      </c>
      <c r="D1185">
        <v>0.6723974768047235</v>
      </c>
      <c r="E1185">
        <v>1.5200000000000102E-2</v>
      </c>
      <c r="F1185">
        <f t="shared" si="46"/>
        <v>1.0220441647431865E-2</v>
      </c>
      <c r="M1185" s="31"/>
    </row>
    <row r="1186" spans="1:13" x14ac:dyDescent="0.3">
      <c r="A1186">
        <v>2003</v>
      </c>
      <c r="B1186">
        <v>5</v>
      </c>
      <c r="C1186">
        <v>11</v>
      </c>
      <c r="D1186">
        <v>0.68010013515320489</v>
      </c>
      <c r="E1186">
        <v>1.5200000000000102E-2</v>
      </c>
      <c r="F1186">
        <f t="shared" si="46"/>
        <v>1.0337522054328785E-2</v>
      </c>
      <c r="M1186" s="31"/>
    </row>
    <row r="1187" spans="1:13" x14ac:dyDescent="0.3">
      <c r="A1187">
        <v>2003</v>
      </c>
      <c r="B1187">
        <v>5</v>
      </c>
      <c r="C1187">
        <v>9</v>
      </c>
      <c r="D1187">
        <v>0.6883628236271454</v>
      </c>
      <c r="E1187">
        <v>1.5200000000000102E-2</v>
      </c>
      <c r="F1187">
        <f t="shared" si="46"/>
        <v>1.046311491913268E-2</v>
      </c>
      <c r="M1187" s="31"/>
    </row>
    <row r="1188" spans="1:13" x14ac:dyDescent="0.3">
      <c r="A1188">
        <v>2003</v>
      </c>
      <c r="B1188">
        <v>5</v>
      </c>
      <c r="C1188">
        <v>7</v>
      </c>
      <c r="D1188">
        <v>0.69664799622126106</v>
      </c>
      <c r="E1188">
        <v>1.5200000000000102E-2</v>
      </c>
      <c r="F1188">
        <f t="shared" si="46"/>
        <v>1.0589049542563239E-2</v>
      </c>
      <c r="M1188" s="31"/>
    </row>
    <row r="1189" spans="1:13" x14ac:dyDescent="0.3">
      <c r="A1189">
        <v>2003</v>
      </c>
      <c r="B1189">
        <v>5</v>
      </c>
      <c r="C1189">
        <v>5</v>
      </c>
      <c r="D1189">
        <v>0.70169558814578703</v>
      </c>
      <c r="E1189">
        <v>1.5200000000000102E-2</v>
      </c>
      <c r="F1189">
        <f t="shared" si="46"/>
        <v>1.0665772939816034E-2</v>
      </c>
      <c r="M1189" s="31"/>
    </row>
    <row r="1190" spans="1:13" x14ac:dyDescent="0.3">
      <c r="A1190">
        <v>2003</v>
      </c>
      <c r="B1190">
        <v>5</v>
      </c>
      <c r="C1190">
        <v>3</v>
      </c>
      <c r="D1190">
        <v>0.7026748277651631</v>
      </c>
      <c r="E1190">
        <v>1.5200000000000102E-2</v>
      </c>
      <c r="F1190">
        <f t="shared" si="46"/>
        <v>1.0680657382030551E-2</v>
      </c>
      <c r="M1190" s="31"/>
    </row>
    <row r="1191" spans="1:13" x14ac:dyDescent="0.3">
      <c r="A1191">
        <v>2003</v>
      </c>
      <c r="B1191">
        <v>5</v>
      </c>
      <c r="C1191">
        <v>1</v>
      </c>
      <c r="D1191">
        <v>0.6997183364308871</v>
      </c>
      <c r="E1191">
        <v>1.5200000000000102E-2</v>
      </c>
      <c r="F1191">
        <f t="shared" si="46"/>
        <v>1.0635718713749555E-2</v>
      </c>
      <c r="M1191" s="31"/>
    </row>
    <row r="1192" spans="1:13" x14ac:dyDescent="0.3">
      <c r="A1192">
        <v>2003</v>
      </c>
      <c r="B1192">
        <v>4</v>
      </c>
      <c r="C1192">
        <v>28</v>
      </c>
      <c r="D1192">
        <v>0.69365159901226436</v>
      </c>
      <c r="E1192">
        <v>1.5200000000000102E-2</v>
      </c>
      <c r="F1192">
        <f t="shared" si="46"/>
        <v>1.054350430498649E-2</v>
      </c>
      <c r="M1192" s="31"/>
    </row>
    <row r="1193" spans="1:13" x14ac:dyDescent="0.3">
      <c r="A1193">
        <v>2003</v>
      </c>
      <c r="B1193">
        <v>4</v>
      </c>
      <c r="C1193">
        <v>26</v>
      </c>
      <c r="D1193">
        <v>0.68395647658702574</v>
      </c>
      <c r="E1193">
        <v>1.5200000000000102E-2</v>
      </c>
      <c r="F1193">
        <f t="shared" si="46"/>
        <v>1.0396138444122861E-2</v>
      </c>
      <c r="M1193" s="31"/>
    </row>
    <row r="1194" spans="1:13" x14ac:dyDescent="0.3">
      <c r="A1194">
        <v>2003</v>
      </c>
      <c r="B1194">
        <v>4</v>
      </c>
      <c r="C1194">
        <v>24</v>
      </c>
      <c r="D1194">
        <v>0.6724167276853793</v>
      </c>
      <c r="E1194">
        <v>1.5200000000000102E-2</v>
      </c>
      <c r="F1194">
        <f t="shared" si="46"/>
        <v>1.0220734260817835E-2</v>
      </c>
      <c r="M1194" s="31"/>
    </row>
    <row r="1195" spans="1:13" x14ac:dyDescent="0.3">
      <c r="A1195">
        <v>2003</v>
      </c>
      <c r="B1195">
        <v>4</v>
      </c>
      <c r="C1195">
        <v>22</v>
      </c>
      <c r="D1195">
        <v>0.65985872157055092</v>
      </c>
      <c r="E1195">
        <v>1.5200000000000102E-2</v>
      </c>
      <c r="F1195">
        <f t="shared" si="46"/>
        <v>1.0029852567872442E-2</v>
      </c>
      <c r="M1195" s="31"/>
    </row>
    <row r="1196" spans="1:13" x14ac:dyDescent="0.3">
      <c r="A1196">
        <v>2003</v>
      </c>
      <c r="B1196">
        <v>4</v>
      </c>
      <c r="C1196">
        <v>20</v>
      </c>
      <c r="D1196">
        <v>0.64789374371302533</v>
      </c>
      <c r="E1196">
        <v>1.5200000000000102E-2</v>
      </c>
      <c r="F1196">
        <f t="shared" si="46"/>
        <v>9.8479849044380511E-3</v>
      </c>
      <c r="M1196" s="31"/>
    </row>
    <row r="1197" spans="1:13" x14ac:dyDescent="0.3">
      <c r="A1197">
        <v>2003</v>
      </c>
      <c r="B1197">
        <v>4</v>
      </c>
      <c r="C1197">
        <v>18</v>
      </c>
      <c r="D1197">
        <v>0.63373552850137116</v>
      </c>
      <c r="E1197">
        <v>1.5200000000000102E-2</v>
      </c>
      <c r="F1197">
        <f t="shared" si="46"/>
        <v>9.6327800332209057E-3</v>
      </c>
      <c r="M1197" s="31"/>
    </row>
    <row r="1198" spans="1:13" x14ac:dyDescent="0.3">
      <c r="A1198">
        <v>2003</v>
      </c>
      <c r="B1198">
        <v>4</v>
      </c>
      <c r="C1198">
        <v>16</v>
      </c>
      <c r="D1198">
        <v>0.62149999138301926</v>
      </c>
      <c r="E1198">
        <v>1.5200000000000102E-2</v>
      </c>
      <c r="F1198">
        <f t="shared" si="46"/>
        <v>9.4467998690219556E-3</v>
      </c>
      <c r="M1198" s="31"/>
    </row>
    <row r="1199" spans="1:13" x14ac:dyDescent="0.3">
      <c r="A1199">
        <v>2003</v>
      </c>
      <c r="B1199">
        <v>4</v>
      </c>
      <c r="C1199">
        <v>14</v>
      </c>
      <c r="D1199">
        <v>0.61102935611852871</v>
      </c>
      <c r="E1199">
        <v>1.5200000000000102E-2</v>
      </c>
      <c r="F1199">
        <f t="shared" si="46"/>
        <v>9.2876462130016997E-3</v>
      </c>
      <c r="M1199" s="31"/>
    </row>
    <row r="1200" spans="1:13" x14ac:dyDescent="0.3">
      <c r="A1200">
        <v>2003</v>
      </c>
      <c r="B1200">
        <v>4</v>
      </c>
      <c r="C1200">
        <v>12</v>
      </c>
      <c r="D1200">
        <v>0.60164919783772264</v>
      </c>
      <c r="E1200">
        <v>1.5200000000000102E-2</v>
      </c>
      <c r="F1200">
        <f t="shared" si="46"/>
        <v>9.1450678071334449E-3</v>
      </c>
      <c r="M1200" s="31"/>
    </row>
    <row r="1201" spans="1:13" x14ac:dyDescent="0.3">
      <c r="A1201">
        <v>2003</v>
      </c>
      <c r="B1201">
        <v>4</v>
      </c>
      <c r="C1201">
        <v>10</v>
      </c>
      <c r="D1201">
        <v>0.59230690162203081</v>
      </c>
      <c r="E1201">
        <v>1.5200000000000102E-2</v>
      </c>
      <c r="F1201">
        <f t="shared" si="46"/>
        <v>9.003064904654929E-3</v>
      </c>
      <c r="M1201" s="31"/>
    </row>
    <row r="1202" spans="1:13" x14ac:dyDescent="0.3">
      <c r="A1202">
        <v>2003</v>
      </c>
      <c r="B1202">
        <v>4</v>
      </c>
      <c r="C1202">
        <v>8</v>
      </c>
      <c r="D1202">
        <v>0.58663247324626333</v>
      </c>
      <c r="E1202">
        <v>1.5200000000000102E-2</v>
      </c>
      <c r="F1202">
        <f t="shared" si="46"/>
        <v>8.9168135933432625E-3</v>
      </c>
      <c r="M1202" s="31"/>
    </row>
    <row r="1203" spans="1:13" x14ac:dyDescent="0.3">
      <c r="A1203">
        <v>2003</v>
      </c>
      <c r="B1203">
        <v>4</v>
      </c>
      <c r="C1203">
        <v>6</v>
      </c>
      <c r="D1203">
        <v>0.58136071813122014</v>
      </c>
      <c r="E1203">
        <v>1.5200000000000102E-2</v>
      </c>
      <c r="F1203">
        <f t="shared" si="46"/>
        <v>8.8366829155946056E-3</v>
      </c>
      <c r="M1203" s="31"/>
    </row>
    <row r="1204" spans="1:13" x14ac:dyDescent="0.3">
      <c r="A1204">
        <v>2003</v>
      </c>
      <c r="B1204">
        <v>4</v>
      </c>
      <c r="C1204">
        <v>4</v>
      </c>
      <c r="D1204">
        <v>0.57648930492541994</v>
      </c>
      <c r="E1204">
        <v>1.5200000000000102E-2</v>
      </c>
      <c r="F1204">
        <f t="shared" si="46"/>
        <v>8.7626374348664417E-3</v>
      </c>
      <c r="M1204" s="31"/>
    </row>
    <row r="1205" spans="1:13" x14ac:dyDescent="0.3">
      <c r="A1205">
        <v>2003</v>
      </c>
      <c r="B1205">
        <v>4</v>
      </c>
      <c r="C1205">
        <v>2</v>
      </c>
      <c r="D1205">
        <v>0.57472378321181794</v>
      </c>
      <c r="E1205">
        <v>1.5200000000000102E-2</v>
      </c>
      <c r="F1205">
        <f t="shared" si="46"/>
        <v>8.7358015048196909E-3</v>
      </c>
      <c r="M1205" s="31"/>
    </row>
    <row r="1206" spans="1:13" x14ac:dyDescent="0.3">
      <c r="A1206">
        <v>2003</v>
      </c>
      <c r="B1206">
        <v>3</v>
      </c>
      <c r="C1206">
        <v>31</v>
      </c>
      <c r="D1206">
        <v>0.57450770888060065</v>
      </c>
      <c r="E1206">
        <v>1.5200000000000102E-2</v>
      </c>
      <c r="F1206">
        <f t="shared" si="46"/>
        <v>8.7325171749851882E-3</v>
      </c>
      <c r="M1206" s="31"/>
    </row>
    <row r="1207" spans="1:13" x14ac:dyDescent="0.3">
      <c r="A1207">
        <v>2003</v>
      </c>
      <c r="B1207">
        <v>3</v>
      </c>
      <c r="C1207">
        <v>28</v>
      </c>
      <c r="D1207">
        <v>0.57622704861378948</v>
      </c>
      <c r="E1207">
        <v>1.5200000000000102E-2</v>
      </c>
      <c r="F1207">
        <f t="shared" si="46"/>
        <v>8.7586511389296587E-3</v>
      </c>
      <c r="M1207" s="31"/>
    </row>
    <row r="1208" spans="1:13" x14ac:dyDescent="0.3">
      <c r="A1208">
        <v>2003</v>
      </c>
      <c r="B1208">
        <v>3</v>
      </c>
      <c r="C1208">
        <v>26</v>
      </c>
      <c r="D1208">
        <v>0.57975632776179786</v>
      </c>
      <c r="E1208">
        <v>1.5200000000000102E-2</v>
      </c>
      <c r="F1208">
        <f t="shared" si="46"/>
        <v>8.8122961819793871E-3</v>
      </c>
      <c r="M1208" s="31"/>
    </row>
    <row r="1209" spans="1:13" x14ac:dyDescent="0.3">
      <c r="A1209">
        <v>2003</v>
      </c>
      <c r="B1209">
        <v>3</v>
      </c>
      <c r="C1209">
        <v>24</v>
      </c>
      <c r="D1209">
        <v>0.58367813445681938</v>
      </c>
      <c r="E1209">
        <v>1.5200000000000102E-2</v>
      </c>
      <c r="F1209">
        <f t="shared" si="46"/>
        <v>8.8719076437437146E-3</v>
      </c>
      <c r="M1209" s="31"/>
    </row>
    <row r="1210" spans="1:13" x14ac:dyDescent="0.3">
      <c r="A1210">
        <v>2003</v>
      </c>
      <c r="B1210">
        <v>3</v>
      </c>
      <c r="C1210">
        <v>22</v>
      </c>
      <c r="D1210">
        <v>0.58294247137914867</v>
      </c>
      <c r="E1210">
        <v>1.5200000000000102E-2</v>
      </c>
      <c r="F1210">
        <f t="shared" si="46"/>
        <v>8.8607255649631195E-3</v>
      </c>
      <c r="M1210" s="31"/>
    </row>
    <row r="1211" spans="1:13" x14ac:dyDescent="0.3">
      <c r="A1211">
        <v>2003</v>
      </c>
      <c r="B1211">
        <v>3</v>
      </c>
      <c r="C1211">
        <v>20</v>
      </c>
      <c r="D1211">
        <v>0.57871722675481052</v>
      </c>
      <c r="E1211">
        <v>1.5200000000000102E-2</v>
      </c>
      <c r="F1211">
        <f t="shared" si="46"/>
        <v>8.7965018466731795E-3</v>
      </c>
      <c r="M1211" s="31"/>
    </row>
    <row r="1212" spans="1:13" x14ac:dyDescent="0.3">
      <c r="A1212">
        <v>2003</v>
      </c>
      <c r="B1212">
        <v>3</v>
      </c>
      <c r="C1212">
        <v>18</v>
      </c>
      <c r="D1212">
        <v>0.57089381554641305</v>
      </c>
      <c r="E1212">
        <v>1.5200000000000102E-2</v>
      </c>
      <c r="F1212">
        <f t="shared" si="46"/>
        <v>8.6775859963055361E-3</v>
      </c>
      <c r="M1212" s="31"/>
    </row>
    <row r="1213" spans="1:13" x14ac:dyDescent="0.3">
      <c r="A1213">
        <v>2003</v>
      </c>
      <c r="B1213">
        <v>3</v>
      </c>
      <c r="C1213">
        <v>16</v>
      </c>
      <c r="D1213">
        <v>0.55963770167256588</v>
      </c>
      <c r="E1213">
        <v>1.5200000000000102E-2</v>
      </c>
      <c r="F1213">
        <f t="shared" si="46"/>
        <v>8.506493065423058E-3</v>
      </c>
      <c r="M1213" s="31"/>
    </row>
    <row r="1214" spans="1:13" x14ac:dyDescent="0.3">
      <c r="A1214">
        <v>2003</v>
      </c>
      <c r="B1214">
        <v>3</v>
      </c>
      <c r="C1214">
        <v>14</v>
      </c>
      <c r="D1214">
        <v>0.5470384127088006</v>
      </c>
      <c r="E1214">
        <v>1.5200000000000102E-2</v>
      </c>
      <c r="F1214">
        <f t="shared" si="46"/>
        <v>8.3149838731738247E-3</v>
      </c>
      <c r="M1214" s="31"/>
    </row>
    <row r="1215" spans="1:13" x14ac:dyDescent="0.3">
      <c r="A1215">
        <v>2003</v>
      </c>
      <c r="B1215">
        <v>3</v>
      </c>
      <c r="C1215">
        <v>12</v>
      </c>
      <c r="D1215">
        <v>0.5353990755473671</v>
      </c>
      <c r="E1215">
        <v>1.5200000000000102E-2</v>
      </c>
      <c r="F1215">
        <f t="shared" si="46"/>
        <v>8.1380659483200352E-3</v>
      </c>
      <c r="M1215" s="31"/>
    </row>
    <row r="1216" spans="1:13" x14ac:dyDescent="0.3">
      <c r="A1216">
        <v>2003</v>
      </c>
      <c r="B1216">
        <v>3</v>
      </c>
      <c r="C1216">
        <v>10</v>
      </c>
      <c r="D1216">
        <v>0.52571438657367175</v>
      </c>
      <c r="E1216">
        <v>1.5200000000000102E-2</v>
      </c>
      <c r="F1216">
        <f t="shared" si="46"/>
        <v>7.9908586759198652E-3</v>
      </c>
      <c r="M1216" s="31"/>
    </row>
    <row r="1217" spans="1:13" x14ac:dyDescent="0.3">
      <c r="A1217">
        <v>2003</v>
      </c>
      <c r="B1217">
        <v>3</v>
      </c>
      <c r="C1217">
        <v>8</v>
      </c>
      <c r="D1217">
        <v>0.51858674330899901</v>
      </c>
      <c r="E1217">
        <v>1.5200000000000102E-2</v>
      </c>
      <c r="F1217">
        <f t="shared" si="46"/>
        <v>7.8825184982968376E-3</v>
      </c>
      <c r="M1217" s="31"/>
    </row>
    <row r="1218" spans="1:13" x14ac:dyDescent="0.3">
      <c r="A1218">
        <v>2003</v>
      </c>
      <c r="B1218">
        <v>3</v>
      </c>
      <c r="C1218">
        <v>6</v>
      </c>
      <c r="D1218">
        <v>0.51348929824321365</v>
      </c>
      <c r="E1218">
        <v>1.5200000000000102E-2</v>
      </c>
      <c r="F1218">
        <f t="shared" si="46"/>
        <v>7.8050373332969004E-3</v>
      </c>
      <c r="M1218" s="31"/>
    </row>
    <row r="1219" spans="1:13" x14ac:dyDescent="0.3">
      <c r="A1219">
        <v>2003</v>
      </c>
      <c r="B1219">
        <v>3</v>
      </c>
      <c r="C1219">
        <v>4</v>
      </c>
      <c r="D1219">
        <v>0.5104061880493872</v>
      </c>
      <c r="E1219">
        <v>1.5200000000000102E-2</v>
      </c>
      <c r="F1219">
        <f t="shared" ref="F1219:F1282" si="47">D1219*E1219</f>
        <v>7.7581740583507379E-3</v>
      </c>
      <c r="M1219" s="31"/>
    </row>
    <row r="1220" spans="1:13" x14ac:dyDescent="0.3">
      <c r="A1220">
        <v>2003</v>
      </c>
      <c r="B1220">
        <v>3</v>
      </c>
      <c r="C1220">
        <v>2</v>
      </c>
      <c r="D1220">
        <v>0.50820324442602594</v>
      </c>
      <c r="E1220">
        <v>1.5200000000000102E-2</v>
      </c>
      <c r="F1220">
        <f t="shared" si="47"/>
        <v>7.7246893152756466E-3</v>
      </c>
      <c r="M1220" s="31"/>
    </row>
    <row r="1221" spans="1:13" x14ac:dyDescent="0.3">
      <c r="A1221">
        <v>2003</v>
      </c>
      <c r="B1221">
        <v>2</v>
      </c>
      <c r="C1221">
        <v>28</v>
      </c>
      <c r="D1221">
        <v>0.50775134610657569</v>
      </c>
      <c r="E1221">
        <v>1.5200000000000102E-2</v>
      </c>
      <c r="F1221">
        <f t="shared" si="47"/>
        <v>7.7178204608200022E-3</v>
      </c>
      <c r="M1221" s="31"/>
    </row>
    <row r="1222" spans="1:13" x14ac:dyDescent="0.3">
      <c r="A1222">
        <v>2003</v>
      </c>
      <c r="B1222">
        <v>2</v>
      </c>
      <c r="C1222">
        <v>22</v>
      </c>
      <c r="D1222">
        <v>0.50817434103363501</v>
      </c>
      <c r="E1222">
        <v>1.5200000000000102E-2</v>
      </c>
      <c r="F1222">
        <f t="shared" si="47"/>
        <v>7.7242499837113041E-3</v>
      </c>
      <c r="M1222" s="31"/>
    </row>
    <row r="1223" spans="1:13" x14ac:dyDescent="0.3">
      <c r="A1223">
        <v>2003</v>
      </c>
      <c r="B1223">
        <v>2</v>
      </c>
      <c r="C1223">
        <v>16</v>
      </c>
      <c r="D1223">
        <v>0.51122286648089232</v>
      </c>
      <c r="E1223">
        <v>1.5200000000000102E-2</v>
      </c>
      <c r="F1223">
        <f t="shared" si="47"/>
        <v>7.7705875705096159E-3</v>
      </c>
      <c r="M1223" s="31"/>
    </row>
    <row r="1224" spans="1:13" x14ac:dyDescent="0.3">
      <c r="A1224">
        <v>2003</v>
      </c>
      <c r="B1224">
        <v>2</v>
      </c>
      <c r="C1224">
        <v>10</v>
      </c>
      <c r="D1224">
        <v>0.51658120489739168</v>
      </c>
      <c r="E1224">
        <v>1.5200000000000102E-2</v>
      </c>
      <c r="F1224">
        <f t="shared" si="47"/>
        <v>7.8520343144404068E-3</v>
      </c>
      <c r="M1224" s="31"/>
    </row>
    <row r="1225" spans="1:13" x14ac:dyDescent="0.3">
      <c r="A1225">
        <v>2003</v>
      </c>
      <c r="B1225">
        <v>2</v>
      </c>
      <c r="C1225">
        <v>4</v>
      </c>
      <c r="D1225">
        <v>0.52585105827341516</v>
      </c>
      <c r="E1225">
        <v>1.5200000000000102E-2</v>
      </c>
      <c r="F1225">
        <f t="shared" si="47"/>
        <v>7.9929360857559639E-3</v>
      </c>
      <c r="M1225" s="31"/>
    </row>
    <row r="1226" spans="1:13" x14ac:dyDescent="0.3">
      <c r="A1226">
        <v>2003</v>
      </c>
      <c r="B1226">
        <v>1</v>
      </c>
      <c r="C1226">
        <v>29</v>
      </c>
      <c r="D1226">
        <v>0.53794067208771734</v>
      </c>
      <c r="E1226">
        <v>1.5200000000000102E-2</v>
      </c>
      <c r="F1226">
        <f t="shared" si="47"/>
        <v>8.1766982157333579E-3</v>
      </c>
      <c r="M1226" s="31"/>
    </row>
    <row r="1227" spans="1:13" x14ac:dyDescent="0.3">
      <c r="A1227">
        <v>2003</v>
      </c>
      <c r="B1227">
        <v>1</v>
      </c>
      <c r="C1227">
        <v>23</v>
      </c>
      <c r="D1227">
        <v>0.55238351339004521</v>
      </c>
      <c r="E1227">
        <v>1.5200000000000102E-2</v>
      </c>
      <c r="F1227">
        <f t="shared" si="47"/>
        <v>8.3962294035287433E-3</v>
      </c>
      <c r="M1227" s="31"/>
    </row>
    <row r="1228" spans="1:13" x14ac:dyDescent="0.3">
      <c r="A1228">
        <v>2003</v>
      </c>
      <c r="B1228">
        <v>1</v>
      </c>
      <c r="C1228">
        <v>17</v>
      </c>
      <c r="D1228">
        <v>0.56678501734226394</v>
      </c>
      <c r="E1228">
        <v>1.5200000000000102E-2</v>
      </c>
      <c r="F1228">
        <f t="shared" si="47"/>
        <v>8.6151322636024708E-3</v>
      </c>
      <c r="M1228" s="31"/>
    </row>
    <row r="1229" spans="1:13" x14ac:dyDescent="0.3">
      <c r="A1229">
        <v>2003</v>
      </c>
      <c r="B1229">
        <v>1</v>
      </c>
      <c r="C1229">
        <v>11</v>
      </c>
      <c r="D1229">
        <v>0.58720945008509073</v>
      </c>
      <c r="E1229">
        <v>1.5200000000000102E-2</v>
      </c>
      <c r="F1229">
        <f t="shared" si="47"/>
        <v>8.9255836412934393E-3</v>
      </c>
      <c r="M1229" s="31"/>
    </row>
    <row r="1230" spans="1:13" x14ac:dyDescent="0.3">
      <c r="A1230">
        <v>2003</v>
      </c>
      <c r="B1230">
        <v>1</v>
      </c>
      <c r="C1230">
        <v>5</v>
      </c>
      <c r="D1230">
        <v>0.60740892164272275</v>
      </c>
      <c r="E1230">
        <v>1.5200000000000102E-2</v>
      </c>
      <c r="F1230">
        <f t="shared" si="47"/>
        <v>9.2326156089694474E-3</v>
      </c>
      <c r="M1230" s="31"/>
    </row>
    <row r="1231" spans="1:13" x14ac:dyDescent="0.3">
      <c r="A1231">
        <v>2002</v>
      </c>
      <c r="B1231">
        <v>12</v>
      </c>
      <c r="C1231">
        <v>30</v>
      </c>
      <c r="D1231">
        <v>0.62566494488669644</v>
      </c>
      <c r="E1231">
        <v>1.5200000000000102E-2</v>
      </c>
      <c r="F1231">
        <f t="shared" si="47"/>
        <v>9.5101071622778494E-3</v>
      </c>
      <c r="M1231" s="31"/>
    </row>
    <row r="1232" spans="1:13" x14ac:dyDescent="0.3">
      <c r="A1232">
        <v>2002</v>
      </c>
      <c r="B1232">
        <v>12</v>
      </c>
      <c r="C1232">
        <v>24</v>
      </c>
      <c r="D1232">
        <v>0.64113895160799328</v>
      </c>
      <c r="E1232">
        <v>1.5200000000000102E-2</v>
      </c>
      <c r="F1232">
        <f t="shared" si="47"/>
        <v>9.745312064441564E-3</v>
      </c>
      <c r="M1232" s="31"/>
    </row>
    <row r="1233" spans="1:13" x14ac:dyDescent="0.3">
      <c r="A1233">
        <v>2002</v>
      </c>
      <c r="B1233">
        <v>12</v>
      </c>
      <c r="C1233">
        <v>18</v>
      </c>
      <c r="D1233">
        <v>0.65550350123356549</v>
      </c>
      <c r="E1233">
        <v>1.5200000000000102E-2</v>
      </c>
      <c r="F1233">
        <f t="shared" si="47"/>
        <v>9.9636532187502621E-3</v>
      </c>
      <c r="M1233" s="31"/>
    </row>
    <row r="1234" spans="1:13" x14ac:dyDescent="0.3">
      <c r="A1234">
        <v>2002</v>
      </c>
      <c r="B1234">
        <v>12</v>
      </c>
      <c r="C1234">
        <v>12</v>
      </c>
      <c r="D1234">
        <v>0.6618159514265527</v>
      </c>
      <c r="E1234">
        <v>1.5200000000000102E-2</v>
      </c>
      <c r="F1234">
        <f t="shared" si="47"/>
        <v>1.005960246168367E-2</v>
      </c>
      <c r="M1234" s="31"/>
    </row>
    <row r="1235" spans="1:13" x14ac:dyDescent="0.3">
      <c r="A1235">
        <v>2002</v>
      </c>
      <c r="B1235">
        <v>12</v>
      </c>
      <c r="C1235">
        <v>7</v>
      </c>
      <c r="D1235">
        <v>0.66574337195303623</v>
      </c>
      <c r="E1235">
        <v>1.5200000000000102E-2</v>
      </c>
      <c r="F1235">
        <f t="shared" si="47"/>
        <v>1.011929925368622E-2</v>
      </c>
      <c r="M1235" s="31"/>
    </row>
    <row r="1236" spans="1:13" x14ac:dyDescent="0.3">
      <c r="A1236">
        <v>2002</v>
      </c>
      <c r="B1236">
        <v>12</v>
      </c>
      <c r="C1236">
        <v>1</v>
      </c>
      <c r="D1236">
        <v>0.66740919148181044</v>
      </c>
      <c r="E1236">
        <v>1.5200000000000102E-2</v>
      </c>
      <c r="F1236">
        <f t="shared" si="47"/>
        <v>1.0144619710523587E-2</v>
      </c>
      <c r="M1236" s="31"/>
    </row>
    <row r="1237" spans="1:13" x14ac:dyDescent="0.3">
      <c r="A1237">
        <v>2002</v>
      </c>
      <c r="B1237">
        <v>11</v>
      </c>
      <c r="C1237">
        <v>25</v>
      </c>
      <c r="D1237">
        <v>0.66827626375174143</v>
      </c>
      <c r="E1237">
        <v>1.5200000000000102E-2</v>
      </c>
      <c r="F1237">
        <f t="shared" si="47"/>
        <v>1.0157799209026538E-2</v>
      </c>
      <c r="M1237" s="31"/>
    </row>
    <row r="1238" spans="1:13" x14ac:dyDescent="0.3">
      <c r="A1238">
        <v>2002</v>
      </c>
      <c r="B1238">
        <v>11</v>
      </c>
      <c r="C1238">
        <v>19</v>
      </c>
      <c r="D1238">
        <v>0.66927623272288661</v>
      </c>
      <c r="E1238">
        <v>1.5200000000000102E-2</v>
      </c>
      <c r="F1238">
        <f t="shared" si="47"/>
        <v>1.0172998737387945E-2</v>
      </c>
      <c r="M1238" s="31"/>
    </row>
    <row r="1239" spans="1:13" x14ac:dyDescent="0.3">
      <c r="A1239">
        <v>2002</v>
      </c>
      <c r="B1239">
        <v>11</v>
      </c>
      <c r="C1239">
        <v>13</v>
      </c>
      <c r="D1239">
        <v>0.6700097657802434</v>
      </c>
      <c r="E1239">
        <v>1.5200000000000102E-2</v>
      </c>
      <c r="F1239">
        <f t="shared" si="47"/>
        <v>1.0184148439859769E-2</v>
      </c>
      <c r="M1239" s="31"/>
    </row>
    <row r="1240" spans="1:13" x14ac:dyDescent="0.3">
      <c r="A1240">
        <v>2002</v>
      </c>
      <c r="B1240">
        <v>11</v>
      </c>
      <c r="C1240">
        <v>7</v>
      </c>
      <c r="D1240">
        <v>0.67047682728597746</v>
      </c>
      <c r="E1240">
        <v>1.5200000000000102E-2</v>
      </c>
      <c r="F1240">
        <f t="shared" si="47"/>
        <v>1.0191247774746927E-2</v>
      </c>
      <c r="M1240" s="31"/>
    </row>
    <row r="1241" spans="1:13" x14ac:dyDescent="0.3">
      <c r="A1241">
        <v>2002</v>
      </c>
      <c r="B1241">
        <v>11</v>
      </c>
      <c r="C1241">
        <v>1</v>
      </c>
      <c r="D1241">
        <v>0.67427609721156012</v>
      </c>
      <c r="E1241">
        <v>1.5200000000000102E-2</v>
      </c>
      <c r="F1241">
        <f t="shared" si="47"/>
        <v>1.0248996677615783E-2</v>
      </c>
      <c r="M1241" s="31"/>
    </row>
    <row r="1242" spans="1:13" x14ac:dyDescent="0.3">
      <c r="A1242">
        <v>2002</v>
      </c>
      <c r="B1242">
        <v>10</v>
      </c>
      <c r="C1242">
        <v>26</v>
      </c>
      <c r="D1242">
        <v>0.68168609030389449</v>
      </c>
      <c r="E1242">
        <v>1.5200000000000102E-2</v>
      </c>
      <c r="F1242">
        <f t="shared" si="47"/>
        <v>1.0361628572619266E-2</v>
      </c>
      <c r="M1242" s="31"/>
    </row>
    <row r="1243" spans="1:13" x14ac:dyDescent="0.3">
      <c r="A1243">
        <v>2002</v>
      </c>
      <c r="B1243">
        <v>10</v>
      </c>
      <c r="C1243">
        <v>20</v>
      </c>
      <c r="D1243">
        <v>0.68924672378917029</v>
      </c>
      <c r="E1243">
        <v>1.5200000000000102E-2</v>
      </c>
      <c r="F1243">
        <f t="shared" si="47"/>
        <v>1.0476550201595458E-2</v>
      </c>
      <c r="M1243" s="31"/>
    </row>
    <row r="1244" spans="1:13" x14ac:dyDescent="0.3">
      <c r="A1244">
        <v>2002</v>
      </c>
      <c r="B1244">
        <v>10</v>
      </c>
      <c r="C1244">
        <v>14</v>
      </c>
      <c r="D1244">
        <v>0.69601823991531619</v>
      </c>
      <c r="E1244">
        <v>1.5200000000000102E-2</v>
      </c>
      <c r="F1244">
        <f t="shared" si="47"/>
        <v>1.0579477246712878E-2</v>
      </c>
      <c r="M1244" s="31"/>
    </row>
    <row r="1245" spans="1:13" x14ac:dyDescent="0.3">
      <c r="A1245">
        <v>2002</v>
      </c>
      <c r="B1245">
        <v>10</v>
      </c>
      <c r="C1245">
        <v>8</v>
      </c>
      <c r="D1245">
        <v>0.70266818252200702</v>
      </c>
      <c r="E1245">
        <v>1.5200000000000102E-2</v>
      </c>
      <c r="F1245">
        <f t="shared" si="47"/>
        <v>1.0680556374334578E-2</v>
      </c>
      <c r="M1245" s="31"/>
    </row>
    <row r="1246" spans="1:13" x14ac:dyDescent="0.3">
      <c r="A1246">
        <v>2002</v>
      </c>
      <c r="B1246">
        <v>10</v>
      </c>
      <c r="C1246">
        <v>2</v>
      </c>
      <c r="D1246">
        <v>0.70528716127197977</v>
      </c>
      <c r="E1246">
        <v>1.5200000000000102E-2</v>
      </c>
      <c r="F1246">
        <f t="shared" si="47"/>
        <v>1.0720364851334164E-2</v>
      </c>
      <c r="M1246" s="31"/>
    </row>
    <row r="1247" spans="1:13" x14ac:dyDescent="0.3">
      <c r="A1247">
        <v>2002</v>
      </c>
      <c r="B1247">
        <v>9</v>
      </c>
      <c r="C1247">
        <v>26</v>
      </c>
      <c r="D1247">
        <v>0.70413558179768154</v>
      </c>
      <c r="E1247">
        <v>1.5200000000000102E-2</v>
      </c>
      <c r="F1247">
        <f t="shared" si="47"/>
        <v>1.0702860843324832E-2</v>
      </c>
      <c r="M1247" s="31"/>
    </row>
    <row r="1248" spans="1:13" x14ac:dyDescent="0.3">
      <c r="A1248">
        <v>2002</v>
      </c>
      <c r="B1248">
        <v>9</v>
      </c>
      <c r="C1248">
        <v>20</v>
      </c>
      <c r="D1248">
        <v>0.70392706377278158</v>
      </c>
      <c r="E1248">
        <v>1.5200000000000102E-2</v>
      </c>
      <c r="F1248">
        <f t="shared" si="47"/>
        <v>1.0699691369346353E-2</v>
      </c>
      <c r="M1248" s="31"/>
    </row>
    <row r="1249" spans="1:13" x14ac:dyDescent="0.3">
      <c r="A1249">
        <v>2002</v>
      </c>
      <c r="B1249">
        <v>9</v>
      </c>
      <c r="C1249">
        <v>15</v>
      </c>
      <c r="D1249">
        <v>0.70748822299928715</v>
      </c>
      <c r="E1249">
        <v>1.5200000000000102E-2</v>
      </c>
      <c r="F1249">
        <f t="shared" si="47"/>
        <v>1.0753820989589238E-2</v>
      </c>
      <c r="M1249" s="31"/>
    </row>
    <row r="1250" spans="1:13" x14ac:dyDescent="0.3">
      <c r="A1250">
        <v>2002</v>
      </c>
      <c r="B1250">
        <v>9</v>
      </c>
      <c r="C1250">
        <v>9</v>
      </c>
      <c r="D1250">
        <v>0.71469498683489885</v>
      </c>
      <c r="E1250">
        <v>1.5200000000000102E-2</v>
      </c>
      <c r="F1250">
        <f t="shared" si="47"/>
        <v>1.0863363799890535E-2</v>
      </c>
      <c r="M1250" s="31"/>
    </row>
    <row r="1251" spans="1:13" x14ac:dyDescent="0.3">
      <c r="A1251">
        <v>2002</v>
      </c>
      <c r="B1251">
        <v>9</v>
      </c>
      <c r="C1251">
        <v>3</v>
      </c>
      <c r="D1251">
        <v>0.72516543451142701</v>
      </c>
      <c r="E1251">
        <v>1.5200000000000102E-2</v>
      </c>
      <c r="F1251">
        <f t="shared" si="47"/>
        <v>1.1022514604573765E-2</v>
      </c>
      <c r="M1251" s="31"/>
    </row>
    <row r="1252" spans="1:13" x14ac:dyDescent="0.3">
      <c r="A1252">
        <v>2002</v>
      </c>
      <c r="B1252">
        <v>8</v>
      </c>
      <c r="C1252">
        <v>28</v>
      </c>
      <c r="D1252">
        <v>0.73675625551589641</v>
      </c>
      <c r="E1252">
        <v>1.5200000000000102E-2</v>
      </c>
      <c r="F1252">
        <f t="shared" si="47"/>
        <v>1.1198695083841701E-2</v>
      </c>
      <c r="M1252" s="31"/>
    </row>
    <row r="1253" spans="1:13" x14ac:dyDescent="0.3">
      <c r="A1253">
        <v>2002</v>
      </c>
      <c r="B1253">
        <v>8</v>
      </c>
      <c r="C1253">
        <v>22</v>
      </c>
      <c r="D1253">
        <v>0.74797738457136609</v>
      </c>
      <c r="E1253">
        <v>1.5200000000000102E-2</v>
      </c>
      <c r="F1253">
        <f t="shared" si="47"/>
        <v>1.136925624548484E-2</v>
      </c>
      <c r="M1253" s="31"/>
    </row>
    <row r="1254" spans="1:13" x14ac:dyDescent="0.3">
      <c r="A1254">
        <v>2002</v>
      </c>
      <c r="B1254">
        <v>8</v>
      </c>
      <c r="C1254">
        <v>16</v>
      </c>
      <c r="D1254">
        <v>0.75472013764217483</v>
      </c>
      <c r="E1254">
        <v>1.5200000000000102E-2</v>
      </c>
      <c r="F1254">
        <f t="shared" si="47"/>
        <v>1.1471746092161134E-2</v>
      </c>
      <c r="M1254" s="31"/>
    </row>
    <row r="1255" spans="1:13" x14ac:dyDescent="0.3">
      <c r="A1255">
        <v>2002</v>
      </c>
      <c r="B1255">
        <v>8</v>
      </c>
      <c r="C1255">
        <v>10</v>
      </c>
      <c r="D1255">
        <v>0.75818901135949557</v>
      </c>
      <c r="E1255">
        <v>1.5200000000000102E-2</v>
      </c>
      <c r="F1255">
        <f t="shared" si="47"/>
        <v>1.152447297266441E-2</v>
      </c>
      <c r="M1255" s="31"/>
    </row>
    <row r="1256" spans="1:13" x14ac:dyDescent="0.3">
      <c r="A1256">
        <v>2002</v>
      </c>
      <c r="B1256">
        <v>8</v>
      </c>
      <c r="C1256">
        <v>4</v>
      </c>
      <c r="D1256">
        <v>0.7601544355670945</v>
      </c>
      <c r="E1256">
        <v>1.5200000000000102E-2</v>
      </c>
      <c r="F1256">
        <f t="shared" si="47"/>
        <v>1.1554347420619913E-2</v>
      </c>
      <c r="M1256" s="31"/>
    </row>
    <row r="1257" spans="1:13" x14ac:dyDescent="0.3">
      <c r="A1257">
        <v>2002</v>
      </c>
      <c r="B1257">
        <v>7</v>
      </c>
      <c r="C1257">
        <v>29</v>
      </c>
      <c r="D1257">
        <v>0.76294174617081878</v>
      </c>
      <c r="E1257">
        <v>1.5200000000000102E-2</v>
      </c>
      <c r="F1257">
        <f t="shared" si="47"/>
        <v>1.1596714541796524E-2</v>
      </c>
      <c r="M1257" s="31"/>
    </row>
    <row r="1258" spans="1:13" x14ac:dyDescent="0.3">
      <c r="A1258">
        <v>2002</v>
      </c>
      <c r="B1258">
        <v>7</v>
      </c>
      <c r="C1258">
        <v>23</v>
      </c>
      <c r="D1258">
        <v>0.76573032774200755</v>
      </c>
      <c r="E1258">
        <v>1.5200000000000102E-2</v>
      </c>
      <c r="F1258">
        <f t="shared" si="47"/>
        <v>1.1639100981678594E-2</v>
      </c>
      <c r="M1258" s="31"/>
    </row>
    <row r="1259" spans="1:13" x14ac:dyDescent="0.3">
      <c r="A1259">
        <v>2002</v>
      </c>
      <c r="B1259">
        <v>7</v>
      </c>
      <c r="C1259">
        <v>17</v>
      </c>
      <c r="D1259">
        <v>0.77099034854335413</v>
      </c>
      <c r="E1259">
        <v>1.5200000000000102E-2</v>
      </c>
      <c r="F1259">
        <f t="shared" si="47"/>
        <v>1.1719053297859062E-2</v>
      </c>
      <c r="M1259" s="31"/>
    </row>
    <row r="1260" spans="1:13" x14ac:dyDescent="0.3">
      <c r="A1260">
        <v>2002</v>
      </c>
      <c r="B1260">
        <v>7</v>
      </c>
      <c r="C1260">
        <v>11</v>
      </c>
      <c r="D1260">
        <v>0.77749445279559781</v>
      </c>
      <c r="E1260">
        <v>1.5200000000000102E-2</v>
      </c>
      <c r="F1260">
        <f t="shared" si="47"/>
        <v>1.1817915682493166E-2</v>
      </c>
      <c r="M1260" s="31"/>
    </row>
    <row r="1261" spans="1:13" x14ac:dyDescent="0.3">
      <c r="A1261">
        <v>2002</v>
      </c>
      <c r="B1261">
        <v>7</v>
      </c>
      <c r="C1261">
        <v>5</v>
      </c>
      <c r="D1261">
        <v>0.78552459850664613</v>
      </c>
      <c r="E1261">
        <v>1.5200000000000102E-2</v>
      </c>
      <c r="F1261">
        <f t="shared" si="47"/>
        <v>1.1939973897301101E-2</v>
      </c>
      <c r="M1261" s="31"/>
    </row>
    <row r="1262" spans="1:13" x14ac:dyDescent="0.3">
      <c r="A1262">
        <v>2002</v>
      </c>
      <c r="B1262">
        <v>6</v>
      </c>
      <c r="C1262">
        <v>30</v>
      </c>
      <c r="D1262">
        <v>0.78901571477806298</v>
      </c>
      <c r="E1262">
        <v>1.5200000000000102E-2</v>
      </c>
      <c r="F1262">
        <f t="shared" si="47"/>
        <v>1.1993038864626639E-2</v>
      </c>
      <c r="M1262" s="31"/>
    </row>
    <row r="1263" spans="1:13" x14ac:dyDescent="0.3">
      <c r="A1263">
        <v>2002</v>
      </c>
      <c r="B1263">
        <v>6</v>
      </c>
      <c r="C1263">
        <v>27</v>
      </c>
      <c r="D1263">
        <v>0.78671512164483204</v>
      </c>
      <c r="E1263">
        <v>1.5200000000000102E-2</v>
      </c>
      <c r="F1263">
        <f t="shared" si="47"/>
        <v>1.1958069849001527E-2</v>
      </c>
      <c r="M1263" s="31"/>
    </row>
    <row r="1264" spans="1:13" x14ac:dyDescent="0.3">
      <c r="A1264">
        <v>2002</v>
      </c>
      <c r="B1264">
        <v>6</v>
      </c>
      <c r="C1264">
        <v>25</v>
      </c>
      <c r="D1264">
        <v>0.77877637059437421</v>
      </c>
      <c r="E1264">
        <v>1.5200000000000102E-2</v>
      </c>
      <c r="F1264">
        <f t="shared" si="47"/>
        <v>1.1837400833034568E-2</v>
      </c>
      <c r="M1264" s="31"/>
    </row>
    <row r="1265" spans="1:13" x14ac:dyDescent="0.3">
      <c r="A1265">
        <v>2002</v>
      </c>
      <c r="B1265">
        <v>6</v>
      </c>
      <c r="C1265">
        <v>22</v>
      </c>
      <c r="D1265">
        <v>0.76579304483931732</v>
      </c>
      <c r="E1265">
        <v>1.5200000000000102E-2</v>
      </c>
      <c r="F1265">
        <f t="shared" si="47"/>
        <v>1.1640054281557701E-2</v>
      </c>
      <c r="M1265" s="31"/>
    </row>
    <row r="1266" spans="1:13" x14ac:dyDescent="0.3">
      <c r="A1266">
        <v>2002</v>
      </c>
      <c r="B1266">
        <v>6</v>
      </c>
      <c r="C1266">
        <v>20</v>
      </c>
      <c r="D1266">
        <v>0.74824030296438049</v>
      </c>
      <c r="E1266">
        <v>1.5200000000000102E-2</v>
      </c>
      <c r="F1266">
        <f t="shared" si="47"/>
        <v>1.137325260505866E-2</v>
      </c>
      <c r="M1266" s="31"/>
    </row>
    <row r="1267" spans="1:13" x14ac:dyDescent="0.3">
      <c r="A1267">
        <v>2002</v>
      </c>
      <c r="B1267">
        <v>6</v>
      </c>
      <c r="C1267">
        <v>18</v>
      </c>
      <c r="D1267">
        <v>0.73336640344404402</v>
      </c>
      <c r="E1267">
        <v>1.5200000000000102E-2</v>
      </c>
      <c r="F1267">
        <f t="shared" si="47"/>
        <v>1.1147169332349544E-2</v>
      </c>
      <c r="M1267" s="31"/>
    </row>
    <row r="1268" spans="1:13" x14ac:dyDescent="0.3">
      <c r="A1268">
        <v>2002</v>
      </c>
      <c r="B1268">
        <v>6</v>
      </c>
      <c r="C1268">
        <v>15</v>
      </c>
      <c r="D1268">
        <v>0.72369364754865428</v>
      </c>
      <c r="E1268">
        <v>1.5200000000000102E-2</v>
      </c>
      <c r="F1268">
        <f t="shared" si="47"/>
        <v>1.100014344273962E-2</v>
      </c>
      <c r="M1268" s="31"/>
    </row>
    <row r="1269" spans="1:13" x14ac:dyDescent="0.3">
      <c r="A1269">
        <v>2002</v>
      </c>
      <c r="B1269">
        <v>6</v>
      </c>
      <c r="C1269">
        <v>13</v>
      </c>
      <c r="D1269">
        <v>0.7127130344620074</v>
      </c>
      <c r="E1269">
        <v>1.5200000000000102E-2</v>
      </c>
      <c r="F1269">
        <f t="shared" si="47"/>
        <v>1.0833238123822586E-2</v>
      </c>
      <c r="M1269" s="31"/>
    </row>
    <row r="1270" spans="1:13" x14ac:dyDescent="0.3">
      <c r="A1270">
        <v>2002</v>
      </c>
      <c r="B1270">
        <v>6</v>
      </c>
      <c r="C1270">
        <v>10</v>
      </c>
      <c r="D1270">
        <v>0.70418818530391403</v>
      </c>
      <c r="E1270">
        <v>1.5200000000000102E-2</v>
      </c>
      <c r="F1270">
        <f t="shared" si="47"/>
        <v>1.0703660416619565E-2</v>
      </c>
      <c r="M1270" s="31"/>
    </row>
    <row r="1271" spans="1:13" x14ac:dyDescent="0.3">
      <c r="A1271">
        <v>2002</v>
      </c>
      <c r="B1271">
        <v>6</v>
      </c>
      <c r="C1271">
        <v>8</v>
      </c>
      <c r="D1271">
        <v>0.69809625661057628</v>
      </c>
      <c r="E1271">
        <v>1.5200000000000102E-2</v>
      </c>
      <c r="F1271">
        <f t="shared" si="47"/>
        <v>1.0611063100480831E-2</v>
      </c>
      <c r="M1271" s="31"/>
    </row>
    <row r="1272" spans="1:13" x14ac:dyDescent="0.3">
      <c r="A1272">
        <v>2002</v>
      </c>
      <c r="B1272">
        <v>6</v>
      </c>
      <c r="C1272">
        <v>6</v>
      </c>
      <c r="D1272">
        <v>0.69255310586478969</v>
      </c>
      <c r="E1272">
        <v>1.5200000000000102E-2</v>
      </c>
      <c r="F1272">
        <f t="shared" si="47"/>
        <v>1.0526807209144874E-2</v>
      </c>
      <c r="M1272" s="31"/>
    </row>
    <row r="1273" spans="1:13" x14ac:dyDescent="0.3">
      <c r="A1273">
        <v>2002</v>
      </c>
      <c r="B1273">
        <v>6</v>
      </c>
      <c r="C1273">
        <v>3</v>
      </c>
      <c r="D1273">
        <v>0.68662417397719278</v>
      </c>
      <c r="E1273">
        <v>1.5200000000000102E-2</v>
      </c>
      <c r="F1273">
        <f t="shared" si="47"/>
        <v>1.0436687444453401E-2</v>
      </c>
      <c r="M1273" s="31"/>
    </row>
    <row r="1274" spans="1:13" x14ac:dyDescent="0.3">
      <c r="A1274">
        <v>2002</v>
      </c>
      <c r="B1274">
        <v>6</v>
      </c>
      <c r="C1274">
        <v>1</v>
      </c>
      <c r="D1274">
        <v>0.68482735919647497</v>
      </c>
      <c r="E1274">
        <v>1.5200000000000102E-2</v>
      </c>
      <c r="F1274">
        <f t="shared" si="47"/>
        <v>1.040937585978649E-2</v>
      </c>
      <c r="M1274" s="31"/>
    </row>
    <row r="1275" spans="1:13" x14ac:dyDescent="0.3">
      <c r="A1275">
        <v>2002</v>
      </c>
      <c r="B1275">
        <v>5</v>
      </c>
      <c r="C1275">
        <v>29</v>
      </c>
      <c r="D1275">
        <v>0.68130693239090134</v>
      </c>
      <c r="E1275">
        <v>1.5200000000000102E-2</v>
      </c>
      <c r="F1275">
        <f t="shared" si="47"/>
        <v>1.0355865372341771E-2</v>
      </c>
      <c r="M1275" s="31"/>
    </row>
    <row r="1276" spans="1:13" x14ac:dyDescent="0.3">
      <c r="A1276">
        <v>2002</v>
      </c>
      <c r="B1276">
        <v>5</v>
      </c>
      <c r="C1276">
        <v>27</v>
      </c>
      <c r="D1276">
        <v>0.67593804952754644</v>
      </c>
      <c r="E1276">
        <v>1.5200000000000102E-2</v>
      </c>
      <c r="F1276">
        <f t="shared" si="47"/>
        <v>1.0274258352818776E-2</v>
      </c>
      <c r="M1276" s="31"/>
    </row>
    <row r="1277" spans="1:13" x14ac:dyDescent="0.3">
      <c r="A1277">
        <v>2002</v>
      </c>
      <c r="B1277">
        <v>5</v>
      </c>
      <c r="C1277">
        <v>25</v>
      </c>
      <c r="D1277">
        <v>0.6709784357183316</v>
      </c>
      <c r="E1277">
        <v>1.5200000000000102E-2</v>
      </c>
      <c r="F1277">
        <f t="shared" si="47"/>
        <v>1.0198872222918709E-2</v>
      </c>
      <c r="M1277" s="31"/>
    </row>
    <row r="1278" spans="1:13" x14ac:dyDescent="0.3">
      <c r="A1278">
        <v>2002</v>
      </c>
      <c r="B1278">
        <v>5</v>
      </c>
      <c r="C1278">
        <v>22</v>
      </c>
      <c r="D1278">
        <v>0.66655772392257184</v>
      </c>
      <c r="E1278">
        <v>1.5200000000000102E-2</v>
      </c>
      <c r="F1278">
        <f t="shared" si="47"/>
        <v>1.013167740362316E-2</v>
      </c>
      <c r="M1278" s="31"/>
    </row>
    <row r="1279" spans="1:13" x14ac:dyDescent="0.3">
      <c r="A1279">
        <v>2002</v>
      </c>
      <c r="B1279">
        <v>5</v>
      </c>
      <c r="C1279">
        <v>20</v>
      </c>
      <c r="D1279">
        <v>0.66385785796931029</v>
      </c>
      <c r="E1279">
        <v>1.5200000000000102E-2</v>
      </c>
      <c r="F1279">
        <f t="shared" si="47"/>
        <v>1.0090639441133585E-2</v>
      </c>
      <c r="M1279" s="31"/>
    </row>
    <row r="1280" spans="1:13" x14ac:dyDescent="0.3">
      <c r="A1280">
        <v>2002</v>
      </c>
      <c r="B1280">
        <v>5</v>
      </c>
      <c r="C1280">
        <v>17</v>
      </c>
      <c r="D1280">
        <v>0.66195157127835746</v>
      </c>
      <c r="E1280">
        <v>1.5200000000000102E-2</v>
      </c>
      <c r="F1280">
        <f t="shared" si="47"/>
        <v>1.0061663883431101E-2</v>
      </c>
      <c r="M1280" s="31"/>
    </row>
    <row r="1281" spans="1:13" x14ac:dyDescent="0.3">
      <c r="A1281">
        <v>2002</v>
      </c>
      <c r="B1281">
        <v>5</v>
      </c>
      <c r="C1281">
        <v>15</v>
      </c>
      <c r="D1281">
        <v>0.66202052986480742</v>
      </c>
      <c r="E1281">
        <v>1.5200000000000102E-2</v>
      </c>
      <c r="F1281">
        <f t="shared" si="47"/>
        <v>1.006271205394514E-2</v>
      </c>
      <c r="M1281" s="31"/>
    </row>
    <row r="1282" spans="1:13" x14ac:dyDescent="0.3">
      <c r="A1282">
        <v>2002</v>
      </c>
      <c r="B1282">
        <v>5</v>
      </c>
      <c r="C1282">
        <v>13</v>
      </c>
      <c r="D1282">
        <v>0.6626159644589491</v>
      </c>
      <c r="E1282">
        <v>1.5200000000000102E-2</v>
      </c>
      <c r="F1282">
        <f t="shared" si="47"/>
        <v>1.0071762659776095E-2</v>
      </c>
      <c r="M1282" s="31"/>
    </row>
    <row r="1283" spans="1:13" x14ac:dyDescent="0.3">
      <c r="A1283">
        <v>2002</v>
      </c>
      <c r="B1283">
        <v>5</v>
      </c>
      <c r="C1283">
        <v>10</v>
      </c>
      <c r="D1283">
        <v>0.66334266263026376</v>
      </c>
      <c r="E1283">
        <v>1.5200000000000102E-2</v>
      </c>
      <c r="F1283">
        <f t="shared" ref="F1283:F1346" si="48">D1283*E1283</f>
        <v>1.0082808471980077E-2</v>
      </c>
      <c r="M1283" s="31"/>
    </row>
    <row r="1284" spans="1:13" x14ac:dyDescent="0.3">
      <c r="A1284">
        <v>2002</v>
      </c>
      <c r="B1284">
        <v>5</v>
      </c>
      <c r="C1284">
        <v>8</v>
      </c>
      <c r="D1284">
        <v>0.66262193526042801</v>
      </c>
      <c r="E1284">
        <v>1.5200000000000102E-2</v>
      </c>
      <c r="F1284">
        <f t="shared" si="48"/>
        <v>1.0071853415958574E-2</v>
      </c>
      <c r="M1284" s="31"/>
    </row>
    <row r="1285" spans="1:13" x14ac:dyDescent="0.3">
      <c r="A1285">
        <v>2002</v>
      </c>
      <c r="B1285">
        <v>5</v>
      </c>
      <c r="C1285">
        <v>5</v>
      </c>
      <c r="D1285">
        <v>0.66598026886695438</v>
      </c>
      <c r="E1285">
        <v>1.5200000000000102E-2</v>
      </c>
      <c r="F1285">
        <f t="shared" si="48"/>
        <v>1.0122900086777775E-2</v>
      </c>
      <c r="M1285" s="31"/>
    </row>
    <row r="1286" spans="1:13" x14ac:dyDescent="0.3">
      <c r="A1286">
        <v>2002</v>
      </c>
      <c r="B1286">
        <v>5</v>
      </c>
      <c r="C1286">
        <v>3</v>
      </c>
      <c r="D1286">
        <v>0.67145128002298915</v>
      </c>
      <c r="E1286">
        <v>1.5200000000000102E-2</v>
      </c>
      <c r="F1286">
        <f t="shared" si="48"/>
        <v>1.0206059456349503E-2</v>
      </c>
      <c r="M1286" s="31"/>
    </row>
    <row r="1287" spans="1:13" x14ac:dyDescent="0.3">
      <c r="A1287">
        <v>2002</v>
      </c>
      <c r="B1287">
        <v>5</v>
      </c>
      <c r="C1287">
        <v>1</v>
      </c>
      <c r="D1287">
        <v>0.67825209697086852</v>
      </c>
      <c r="E1287">
        <v>1.5200000000000102E-2</v>
      </c>
      <c r="F1287">
        <f t="shared" si="48"/>
        <v>1.030943187395727E-2</v>
      </c>
      <c r="M1287" s="31"/>
    </row>
    <row r="1288" spans="1:13" x14ac:dyDescent="0.3">
      <c r="A1288">
        <v>2002</v>
      </c>
      <c r="B1288">
        <v>4</v>
      </c>
      <c r="C1288">
        <v>28</v>
      </c>
      <c r="D1288">
        <v>0.68493439412429569</v>
      </c>
      <c r="E1288">
        <v>1.5200000000000102E-2</v>
      </c>
      <c r="F1288">
        <f t="shared" si="48"/>
        <v>1.0411002790689364E-2</v>
      </c>
      <c r="M1288" s="31"/>
    </row>
    <row r="1289" spans="1:13" x14ac:dyDescent="0.3">
      <c r="A1289">
        <v>2002</v>
      </c>
      <c r="B1289">
        <v>4</v>
      </c>
      <c r="C1289">
        <v>26</v>
      </c>
      <c r="D1289">
        <v>0.69149720701916173</v>
      </c>
      <c r="E1289">
        <v>1.5200000000000102E-2</v>
      </c>
      <c r="F1289">
        <f t="shared" si="48"/>
        <v>1.0510757546691328E-2</v>
      </c>
      <c r="M1289" s="31"/>
    </row>
    <row r="1290" spans="1:13" x14ac:dyDescent="0.3">
      <c r="A1290">
        <v>2002</v>
      </c>
      <c r="B1290">
        <v>4</v>
      </c>
      <c r="C1290">
        <v>24</v>
      </c>
      <c r="D1290">
        <v>0.69457704194672687</v>
      </c>
      <c r="E1290">
        <v>1.5200000000000102E-2</v>
      </c>
      <c r="F1290">
        <f t="shared" si="48"/>
        <v>1.055757103759032E-2</v>
      </c>
      <c r="M1290" s="31"/>
    </row>
    <row r="1291" spans="1:13" x14ac:dyDescent="0.3">
      <c r="A1291">
        <v>2002</v>
      </c>
      <c r="B1291">
        <v>4</v>
      </c>
      <c r="C1291">
        <v>21</v>
      </c>
      <c r="D1291">
        <v>0.69406954654846365</v>
      </c>
      <c r="E1291">
        <v>1.5200000000000102E-2</v>
      </c>
      <c r="F1291">
        <f t="shared" si="48"/>
        <v>1.0549857107536718E-2</v>
      </c>
      <c r="M1291" s="31"/>
    </row>
    <row r="1292" spans="1:13" x14ac:dyDescent="0.3">
      <c r="A1292">
        <v>2002</v>
      </c>
      <c r="B1292">
        <v>4</v>
      </c>
      <c r="C1292">
        <v>19</v>
      </c>
      <c r="D1292">
        <v>0.68997360277117314</v>
      </c>
      <c r="E1292">
        <v>1.5200000000000102E-2</v>
      </c>
      <c r="F1292">
        <f t="shared" si="48"/>
        <v>1.0487598762121903E-2</v>
      </c>
      <c r="M1292" s="31"/>
    </row>
    <row r="1293" spans="1:13" x14ac:dyDescent="0.3">
      <c r="A1293">
        <v>2002</v>
      </c>
      <c r="B1293">
        <v>4</v>
      </c>
      <c r="C1293">
        <v>16</v>
      </c>
      <c r="D1293">
        <v>0.67806427649995138</v>
      </c>
      <c r="E1293">
        <v>1.5200000000000102E-2</v>
      </c>
      <c r="F1293">
        <f t="shared" si="48"/>
        <v>1.0306577002799331E-2</v>
      </c>
      <c r="M1293" s="31"/>
    </row>
    <row r="1294" spans="1:13" x14ac:dyDescent="0.3">
      <c r="A1294">
        <v>2002</v>
      </c>
      <c r="B1294">
        <v>4</v>
      </c>
      <c r="C1294">
        <v>14</v>
      </c>
      <c r="D1294">
        <v>0.66685745447991829</v>
      </c>
      <c r="E1294">
        <v>1.5200000000000102E-2</v>
      </c>
      <c r="F1294">
        <f t="shared" si="48"/>
        <v>1.0136233308094825E-2</v>
      </c>
      <c r="M1294" s="31"/>
    </row>
    <row r="1295" spans="1:13" x14ac:dyDescent="0.3">
      <c r="A1295">
        <v>2002</v>
      </c>
      <c r="B1295">
        <v>4</v>
      </c>
      <c r="C1295">
        <v>12</v>
      </c>
      <c r="D1295">
        <v>0.65568994357074928</v>
      </c>
      <c r="E1295">
        <v>1.5200000000000102E-2</v>
      </c>
      <c r="F1295">
        <f t="shared" si="48"/>
        <v>9.9664871422754566E-3</v>
      </c>
      <c r="M1295" s="31"/>
    </row>
    <row r="1296" spans="1:13" x14ac:dyDescent="0.3">
      <c r="A1296">
        <v>2002</v>
      </c>
      <c r="B1296">
        <v>4</v>
      </c>
      <c r="C1296">
        <v>9</v>
      </c>
      <c r="D1296">
        <v>0.64364628484303188</v>
      </c>
      <c r="E1296">
        <v>1.5200000000000102E-2</v>
      </c>
      <c r="F1296">
        <f t="shared" si="48"/>
        <v>9.7834235296141506E-3</v>
      </c>
      <c r="M1296" s="31"/>
    </row>
    <row r="1297" spans="1:13" x14ac:dyDescent="0.3">
      <c r="A1297">
        <v>2002</v>
      </c>
      <c r="B1297">
        <v>4</v>
      </c>
      <c r="C1297">
        <v>7</v>
      </c>
      <c r="D1297">
        <v>0.63138980917499254</v>
      </c>
      <c r="E1297">
        <v>1.5200000000000102E-2</v>
      </c>
      <c r="F1297">
        <f t="shared" si="48"/>
        <v>9.5971250994599504E-3</v>
      </c>
      <c r="M1297" s="31"/>
    </row>
    <row r="1298" spans="1:13" x14ac:dyDescent="0.3">
      <c r="A1298">
        <v>2002</v>
      </c>
      <c r="B1298">
        <v>4</v>
      </c>
      <c r="C1298">
        <v>4</v>
      </c>
      <c r="D1298">
        <v>0.62554179791950759</v>
      </c>
      <c r="E1298">
        <v>1.5200000000000102E-2</v>
      </c>
      <c r="F1298">
        <f t="shared" si="48"/>
        <v>9.5082353283765797E-3</v>
      </c>
      <c r="M1298" s="31"/>
    </row>
    <row r="1299" spans="1:13" x14ac:dyDescent="0.3">
      <c r="A1299">
        <v>2002</v>
      </c>
      <c r="B1299">
        <v>4</v>
      </c>
      <c r="C1299">
        <v>2</v>
      </c>
      <c r="D1299">
        <v>0.62203801835318129</v>
      </c>
      <c r="E1299">
        <v>1.5200000000000102E-2</v>
      </c>
      <c r="F1299">
        <f t="shared" si="48"/>
        <v>9.4549778789684187E-3</v>
      </c>
      <c r="M1299" s="31"/>
    </row>
    <row r="1300" spans="1:13" x14ac:dyDescent="0.3">
      <c r="A1300">
        <v>2002</v>
      </c>
      <c r="B1300">
        <v>3</v>
      </c>
      <c r="C1300">
        <v>31</v>
      </c>
      <c r="D1300">
        <v>0.62177976477552765</v>
      </c>
      <c r="E1300">
        <v>1.5200000000000102E-2</v>
      </c>
      <c r="F1300">
        <f t="shared" si="48"/>
        <v>9.4510524245880832E-3</v>
      </c>
      <c r="M1300" s="31"/>
    </row>
    <row r="1301" spans="1:13" x14ac:dyDescent="0.3">
      <c r="A1301">
        <v>2002</v>
      </c>
      <c r="B1301">
        <v>3</v>
      </c>
      <c r="C1301">
        <v>28</v>
      </c>
      <c r="D1301">
        <v>0.62854224179054774</v>
      </c>
      <c r="E1301">
        <v>1.5200000000000102E-2</v>
      </c>
      <c r="F1301">
        <f t="shared" si="48"/>
        <v>9.5538420752163903E-3</v>
      </c>
      <c r="M1301" s="31"/>
    </row>
    <row r="1302" spans="1:13" x14ac:dyDescent="0.3">
      <c r="A1302">
        <v>2002</v>
      </c>
      <c r="B1302">
        <v>3</v>
      </c>
      <c r="C1302">
        <v>26</v>
      </c>
      <c r="D1302">
        <v>0.63663295654751628</v>
      </c>
      <c r="E1302">
        <v>1.5200000000000102E-2</v>
      </c>
      <c r="F1302">
        <f t="shared" si="48"/>
        <v>9.6768209395223133E-3</v>
      </c>
      <c r="M1302" s="31"/>
    </row>
    <row r="1303" spans="1:13" x14ac:dyDescent="0.3">
      <c r="A1303">
        <v>2002</v>
      </c>
      <c r="B1303">
        <v>3</v>
      </c>
      <c r="C1303">
        <v>23</v>
      </c>
      <c r="D1303">
        <v>0.64501625635248294</v>
      </c>
      <c r="E1303">
        <v>1.5200000000000102E-2</v>
      </c>
      <c r="F1303">
        <f t="shared" si="48"/>
        <v>9.8042470965578072E-3</v>
      </c>
      <c r="M1303" s="31"/>
    </row>
    <row r="1304" spans="1:13" x14ac:dyDescent="0.3">
      <c r="A1304">
        <v>2002</v>
      </c>
      <c r="B1304">
        <v>3</v>
      </c>
      <c r="C1304">
        <v>21</v>
      </c>
      <c r="D1304">
        <v>0.64988218417484334</v>
      </c>
      <c r="E1304">
        <v>1.5200000000000102E-2</v>
      </c>
      <c r="F1304">
        <f t="shared" si="48"/>
        <v>9.8782091994576854E-3</v>
      </c>
      <c r="M1304" s="31"/>
    </row>
    <row r="1305" spans="1:13" x14ac:dyDescent="0.3">
      <c r="A1305">
        <v>2002</v>
      </c>
      <c r="B1305">
        <v>3</v>
      </c>
      <c r="C1305">
        <v>19</v>
      </c>
      <c r="D1305">
        <v>0.64989285802941987</v>
      </c>
      <c r="E1305">
        <v>1.5200000000000102E-2</v>
      </c>
      <c r="F1305">
        <f t="shared" si="48"/>
        <v>9.8783714420472481E-3</v>
      </c>
      <c r="M1305" s="31"/>
    </row>
    <row r="1306" spans="1:13" x14ac:dyDescent="0.3">
      <c r="A1306">
        <v>2002</v>
      </c>
      <c r="B1306">
        <v>3</v>
      </c>
      <c r="C1306">
        <v>16</v>
      </c>
      <c r="D1306">
        <v>0.64019258517160715</v>
      </c>
      <c r="E1306">
        <v>1.5200000000000102E-2</v>
      </c>
      <c r="F1306">
        <f t="shared" si="48"/>
        <v>9.7309272946084942E-3</v>
      </c>
      <c r="M1306" s="31"/>
    </row>
    <row r="1307" spans="1:13" x14ac:dyDescent="0.3">
      <c r="A1307">
        <v>2002</v>
      </c>
      <c r="B1307">
        <v>3</v>
      </c>
      <c r="C1307">
        <v>14</v>
      </c>
      <c r="D1307">
        <v>0.6266087584852853</v>
      </c>
      <c r="E1307">
        <v>1.5200000000000102E-2</v>
      </c>
      <c r="F1307">
        <f t="shared" si="48"/>
        <v>9.5244531289764012E-3</v>
      </c>
      <c r="M1307" s="31"/>
    </row>
    <row r="1308" spans="1:13" x14ac:dyDescent="0.3">
      <c r="A1308">
        <v>2002</v>
      </c>
      <c r="B1308">
        <v>3</v>
      </c>
      <c r="C1308">
        <v>11</v>
      </c>
      <c r="D1308">
        <v>0.61088468274139596</v>
      </c>
      <c r="E1308">
        <v>1.5200000000000102E-2</v>
      </c>
      <c r="F1308">
        <f t="shared" si="48"/>
        <v>9.2854471776692808E-3</v>
      </c>
      <c r="M1308" s="31"/>
    </row>
    <row r="1309" spans="1:13" x14ac:dyDescent="0.3">
      <c r="A1309">
        <v>2002</v>
      </c>
      <c r="B1309">
        <v>3</v>
      </c>
      <c r="C1309">
        <v>9</v>
      </c>
      <c r="D1309">
        <v>0.58971780850275102</v>
      </c>
      <c r="E1309">
        <v>1.5200000000000102E-2</v>
      </c>
      <c r="F1309">
        <f t="shared" si="48"/>
        <v>8.9637106892418751E-3</v>
      </c>
      <c r="M1309" s="31"/>
    </row>
    <row r="1310" spans="1:13" x14ac:dyDescent="0.3">
      <c r="A1310">
        <v>2002</v>
      </c>
      <c r="B1310">
        <v>3</v>
      </c>
      <c r="C1310">
        <v>7</v>
      </c>
      <c r="D1310">
        <v>0.57152697564674326</v>
      </c>
      <c r="E1310">
        <v>1.5200000000000102E-2</v>
      </c>
      <c r="F1310">
        <f t="shared" si="48"/>
        <v>8.6872100298305555E-3</v>
      </c>
      <c r="M1310" s="31"/>
    </row>
    <row r="1311" spans="1:13" x14ac:dyDescent="0.3">
      <c r="A1311">
        <v>2002</v>
      </c>
      <c r="B1311">
        <v>3</v>
      </c>
      <c r="C1311">
        <v>4</v>
      </c>
      <c r="D1311">
        <v>0.55802750276624635</v>
      </c>
      <c r="E1311">
        <v>1.5200000000000102E-2</v>
      </c>
      <c r="F1311">
        <f t="shared" si="48"/>
        <v>8.4820180420470022E-3</v>
      </c>
      <c r="M1311" s="31"/>
    </row>
    <row r="1312" spans="1:13" x14ac:dyDescent="0.3">
      <c r="A1312">
        <v>2002</v>
      </c>
      <c r="B1312">
        <v>3</v>
      </c>
      <c r="C1312">
        <v>2</v>
      </c>
      <c r="D1312">
        <v>0.55104111529016186</v>
      </c>
      <c r="E1312">
        <v>1.5200000000000102E-2</v>
      </c>
      <c r="F1312">
        <f t="shared" si="48"/>
        <v>8.3758249524105172E-3</v>
      </c>
      <c r="M1312" s="31"/>
    </row>
    <row r="1313" spans="1:13" x14ac:dyDescent="0.3">
      <c r="A1313">
        <v>2002</v>
      </c>
      <c r="B1313">
        <v>2</v>
      </c>
      <c r="C1313">
        <v>28</v>
      </c>
      <c r="D1313">
        <v>0.55102075699943376</v>
      </c>
      <c r="E1313">
        <v>1.5200000000000102E-2</v>
      </c>
      <c r="F1313">
        <f t="shared" si="48"/>
        <v>8.3755155063914496E-3</v>
      </c>
      <c r="M1313" s="31"/>
    </row>
    <row r="1314" spans="1:13" x14ac:dyDescent="0.3">
      <c r="A1314">
        <v>2002</v>
      </c>
      <c r="B1314">
        <v>2</v>
      </c>
      <c r="C1314">
        <v>15</v>
      </c>
      <c r="D1314">
        <v>0.56445729692433999</v>
      </c>
      <c r="E1314">
        <v>1.5200000000000102E-2</v>
      </c>
      <c r="F1314">
        <f t="shared" si="48"/>
        <v>8.5797509132500248E-3</v>
      </c>
      <c r="M1314" s="31"/>
    </row>
    <row r="1315" spans="1:13" x14ac:dyDescent="0.3">
      <c r="A1315">
        <v>2002</v>
      </c>
      <c r="B1315">
        <v>2</v>
      </c>
      <c r="C1315">
        <v>3</v>
      </c>
      <c r="D1315">
        <v>0.5843952851920895</v>
      </c>
      <c r="E1315">
        <v>1.5200000000000102E-2</v>
      </c>
      <c r="F1315">
        <f t="shared" si="48"/>
        <v>8.88280833491982E-3</v>
      </c>
      <c r="M1315" s="31"/>
    </row>
    <row r="1316" spans="1:13" x14ac:dyDescent="0.3">
      <c r="A1316">
        <v>2002</v>
      </c>
      <c r="B1316">
        <v>1</v>
      </c>
      <c r="C1316">
        <v>22</v>
      </c>
      <c r="D1316">
        <v>0.608145217581057</v>
      </c>
      <c r="E1316">
        <v>1.5200000000000102E-2</v>
      </c>
      <c r="F1316">
        <f t="shared" si="48"/>
        <v>9.2438073072321283E-3</v>
      </c>
      <c r="M1316" s="31"/>
    </row>
    <row r="1317" spans="1:13" x14ac:dyDescent="0.3">
      <c r="A1317">
        <v>2002</v>
      </c>
      <c r="B1317">
        <v>1</v>
      </c>
      <c r="C1317">
        <v>10</v>
      </c>
      <c r="D1317">
        <v>0.64461886946079394</v>
      </c>
      <c r="E1317">
        <v>1.5200000000000102E-2</v>
      </c>
      <c r="F1317">
        <f t="shared" si="48"/>
        <v>9.7982068158041346E-3</v>
      </c>
      <c r="M1317" s="31"/>
    </row>
    <row r="1318" spans="1:13" x14ac:dyDescent="0.3">
      <c r="A1318">
        <v>2001</v>
      </c>
      <c r="B1318">
        <v>12</v>
      </c>
      <c r="C1318">
        <v>29</v>
      </c>
      <c r="D1318">
        <v>0.68002756438849798</v>
      </c>
      <c r="E1318">
        <v>1.5200000000000102E-2</v>
      </c>
      <c r="F1318">
        <f t="shared" si="48"/>
        <v>1.0336418978705238E-2</v>
      </c>
      <c r="M1318" s="31"/>
    </row>
    <row r="1319" spans="1:13" x14ac:dyDescent="0.3">
      <c r="A1319">
        <v>2001</v>
      </c>
      <c r="B1319">
        <v>12</v>
      </c>
      <c r="C1319">
        <v>17</v>
      </c>
      <c r="D1319">
        <v>0.71267467708771171</v>
      </c>
      <c r="E1319">
        <v>1.5200000000000102E-2</v>
      </c>
      <c r="F1319">
        <f t="shared" si="48"/>
        <v>1.0832655091733291E-2</v>
      </c>
      <c r="M1319" s="31"/>
    </row>
    <row r="1320" spans="1:13" x14ac:dyDescent="0.3">
      <c r="A1320">
        <v>2001</v>
      </c>
      <c r="B1320">
        <v>12</v>
      </c>
      <c r="C1320">
        <v>4</v>
      </c>
      <c r="D1320">
        <v>0.74312018845412109</v>
      </c>
      <c r="E1320">
        <v>1.5200000000000102E-2</v>
      </c>
      <c r="F1320">
        <f t="shared" si="48"/>
        <v>1.1295426864502717E-2</v>
      </c>
      <c r="M1320" s="31"/>
    </row>
    <row r="1321" spans="1:13" x14ac:dyDescent="0.3">
      <c r="A1321">
        <v>2001</v>
      </c>
      <c r="B1321">
        <v>11</v>
      </c>
      <c r="C1321">
        <v>22</v>
      </c>
      <c r="D1321">
        <v>0.7721022166518382</v>
      </c>
      <c r="E1321">
        <v>1.5200000000000102E-2</v>
      </c>
      <c r="F1321">
        <f t="shared" si="48"/>
        <v>1.1735953693108019E-2</v>
      </c>
      <c r="M1321" s="31"/>
    </row>
    <row r="1322" spans="1:13" x14ac:dyDescent="0.3">
      <c r="A1322">
        <v>2001</v>
      </c>
      <c r="B1322">
        <v>11</v>
      </c>
      <c r="C1322">
        <v>10</v>
      </c>
      <c r="D1322">
        <v>0.78596823026504103</v>
      </c>
      <c r="E1322">
        <v>1.5200000000000102E-2</v>
      </c>
      <c r="F1322">
        <f t="shared" si="48"/>
        <v>1.1946717100028705E-2</v>
      </c>
      <c r="M1322" s="31"/>
    </row>
    <row r="1323" spans="1:13" x14ac:dyDescent="0.3">
      <c r="A1323">
        <v>2001</v>
      </c>
      <c r="B1323">
        <v>10</v>
      </c>
      <c r="C1323">
        <v>29</v>
      </c>
      <c r="D1323">
        <v>0.79615045405050955</v>
      </c>
      <c r="E1323">
        <v>1.5200000000000102E-2</v>
      </c>
      <c r="F1323">
        <f t="shared" si="48"/>
        <v>1.2101486901567827E-2</v>
      </c>
      <c r="M1323" s="31"/>
    </row>
    <row r="1324" spans="1:13" x14ac:dyDescent="0.3">
      <c r="A1324">
        <v>2001</v>
      </c>
      <c r="B1324">
        <v>10</v>
      </c>
      <c r="C1324">
        <v>17</v>
      </c>
      <c r="D1324">
        <v>0.80316653572531804</v>
      </c>
      <c r="E1324">
        <v>1.5200000000000102E-2</v>
      </c>
      <c r="F1324">
        <f t="shared" si="48"/>
        <v>1.2208131343024916E-2</v>
      </c>
      <c r="M1324" s="31"/>
    </row>
    <row r="1325" spans="1:13" x14ac:dyDescent="0.3">
      <c r="A1325">
        <v>2001</v>
      </c>
      <c r="B1325">
        <v>10</v>
      </c>
      <c r="C1325">
        <v>5</v>
      </c>
      <c r="D1325">
        <v>0.80824805729497906</v>
      </c>
      <c r="E1325">
        <v>1.5200000000000102E-2</v>
      </c>
      <c r="F1325">
        <f t="shared" si="48"/>
        <v>1.2285370470883765E-2</v>
      </c>
      <c r="M1325" s="31"/>
    </row>
    <row r="1326" spans="1:13" x14ac:dyDescent="0.3">
      <c r="A1326">
        <v>2001</v>
      </c>
      <c r="B1326">
        <v>9</v>
      </c>
      <c r="C1326">
        <v>23</v>
      </c>
      <c r="D1326">
        <v>0.81026693038201747</v>
      </c>
      <c r="E1326">
        <v>1.5200000000000102E-2</v>
      </c>
      <c r="F1326">
        <f t="shared" si="48"/>
        <v>1.2316057341806748E-2</v>
      </c>
      <c r="M1326" s="31"/>
    </row>
    <row r="1327" spans="1:13" x14ac:dyDescent="0.3">
      <c r="A1327">
        <v>2001</v>
      </c>
      <c r="B1327">
        <v>9</v>
      </c>
      <c r="C1327">
        <v>10</v>
      </c>
      <c r="D1327">
        <v>0.81061106583769049</v>
      </c>
      <c r="E1327">
        <v>1.5200000000000102E-2</v>
      </c>
      <c r="F1327">
        <f t="shared" si="48"/>
        <v>1.2321288200732979E-2</v>
      </c>
      <c r="M1327" s="31"/>
    </row>
    <row r="1328" spans="1:13" x14ac:dyDescent="0.3">
      <c r="A1328">
        <v>2001</v>
      </c>
      <c r="B1328">
        <v>8</v>
      </c>
      <c r="C1328">
        <v>29</v>
      </c>
      <c r="D1328">
        <v>0.81235353870858373</v>
      </c>
      <c r="E1328">
        <v>1.5200000000000102E-2</v>
      </c>
      <c r="F1328">
        <f t="shared" si="48"/>
        <v>1.2347773788370556E-2</v>
      </c>
      <c r="M1328" s="31"/>
    </row>
    <row r="1329" spans="1:13" x14ac:dyDescent="0.3">
      <c r="A1329">
        <v>2001</v>
      </c>
      <c r="B1329">
        <v>8</v>
      </c>
      <c r="C1329">
        <v>17</v>
      </c>
      <c r="D1329">
        <v>0.81577786464997271</v>
      </c>
      <c r="E1329">
        <v>1.5200000000000102E-2</v>
      </c>
      <c r="F1329">
        <f t="shared" si="48"/>
        <v>1.2399823542679669E-2</v>
      </c>
      <c r="M1329" s="31"/>
    </row>
    <row r="1330" spans="1:13" x14ac:dyDescent="0.3">
      <c r="A1330">
        <v>2001</v>
      </c>
      <c r="B1330">
        <v>8</v>
      </c>
      <c r="C1330">
        <v>5</v>
      </c>
      <c r="D1330">
        <v>0.81892761611002618</v>
      </c>
      <c r="E1330">
        <v>1.5200000000000102E-2</v>
      </c>
      <c r="F1330">
        <f t="shared" si="48"/>
        <v>1.2447699764872481E-2</v>
      </c>
      <c r="M1330" s="31"/>
    </row>
    <row r="1331" spans="1:13" x14ac:dyDescent="0.3">
      <c r="A1331">
        <v>2001</v>
      </c>
      <c r="B1331">
        <v>7</v>
      </c>
      <c r="C1331">
        <v>24</v>
      </c>
      <c r="D1331">
        <v>0.82306511828929352</v>
      </c>
      <c r="E1331">
        <v>1.5200000000000102E-2</v>
      </c>
      <c r="F1331">
        <f t="shared" si="48"/>
        <v>1.2510589797997346E-2</v>
      </c>
      <c r="M1331" s="31"/>
    </row>
    <row r="1332" spans="1:13" x14ac:dyDescent="0.3">
      <c r="A1332">
        <v>2001</v>
      </c>
      <c r="B1332">
        <v>7</v>
      </c>
      <c r="C1332">
        <v>12</v>
      </c>
      <c r="D1332">
        <v>0.82763280258901417</v>
      </c>
      <c r="E1332">
        <v>1.5200000000000102E-2</v>
      </c>
      <c r="F1332">
        <f t="shared" si="48"/>
        <v>1.25800185993531E-2</v>
      </c>
      <c r="M1332" s="31"/>
    </row>
    <row r="1333" spans="1:13" x14ac:dyDescent="0.3">
      <c r="A1333">
        <v>2001</v>
      </c>
      <c r="B1333">
        <v>6</v>
      </c>
      <c r="C1333">
        <v>30</v>
      </c>
      <c r="D1333">
        <v>0.83108227929733558</v>
      </c>
      <c r="E1333">
        <v>1.5200000000000102E-2</v>
      </c>
      <c r="F1333">
        <f t="shared" si="48"/>
        <v>1.2632450645319586E-2</v>
      </c>
      <c r="M1333" s="31"/>
    </row>
    <row r="1334" spans="1:13" x14ac:dyDescent="0.3">
      <c r="A1334">
        <v>2001</v>
      </c>
      <c r="B1334">
        <v>6</v>
      </c>
      <c r="C1334">
        <v>28</v>
      </c>
      <c r="D1334">
        <v>0.83101355043667624</v>
      </c>
      <c r="E1334">
        <v>1.5200000000000102E-2</v>
      </c>
      <c r="F1334">
        <f t="shared" si="48"/>
        <v>1.2631405966637563E-2</v>
      </c>
      <c r="M1334" s="31"/>
    </row>
    <row r="1335" spans="1:13" x14ac:dyDescent="0.3">
      <c r="A1335">
        <v>2001</v>
      </c>
      <c r="B1335">
        <v>6</v>
      </c>
      <c r="C1335">
        <v>27</v>
      </c>
      <c r="D1335">
        <v>0.82812741986500571</v>
      </c>
      <c r="E1335">
        <v>1.5200000000000102E-2</v>
      </c>
      <c r="F1335">
        <f t="shared" si="48"/>
        <v>1.2587536781948171E-2</v>
      </c>
      <c r="M1335" s="31"/>
    </row>
    <row r="1336" spans="1:13" x14ac:dyDescent="0.3">
      <c r="A1336">
        <v>2001</v>
      </c>
      <c r="B1336">
        <v>6</v>
      </c>
      <c r="C1336">
        <v>26</v>
      </c>
      <c r="D1336">
        <v>0.82538282030199395</v>
      </c>
      <c r="E1336">
        <v>1.5200000000000102E-2</v>
      </c>
      <c r="F1336">
        <f t="shared" si="48"/>
        <v>1.2545818868590393E-2</v>
      </c>
      <c r="M1336" s="31"/>
    </row>
    <row r="1337" spans="1:13" x14ac:dyDescent="0.3">
      <c r="A1337">
        <v>2001</v>
      </c>
      <c r="B1337">
        <v>6</v>
      </c>
      <c r="C1337">
        <v>25</v>
      </c>
      <c r="D1337">
        <v>0.82362313947465382</v>
      </c>
      <c r="E1337">
        <v>1.5200000000000102E-2</v>
      </c>
      <c r="F1337">
        <f t="shared" si="48"/>
        <v>1.2519071720014822E-2</v>
      </c>
      <c r="M1337" s="31"/>
    </row>
    <row r="1338" spans="1:13" x14ac:dyDescent="0.3">
      <c r="A1338">
        <v>2001</v>
      </c>
      <c r="B1338">
        <v>6</v>
      </c>
      <c r="C1338">
        <v>24</v>
      </c>
      <c r="D1338">
        <v>0.82087907235080415</v>
      </c>
      <c r="E1338">
        <v>1.5200000000000102E-2</v>
      </c>
      <c r="F1338">
        <f t="shared" si="48"/>
        <v>1.2477361899732307E-2</v>
      </c>
      <c r="M1338" s="31"/>
    </row>
    <row r="1339" spans="1:13" x14ac:dyDescent="0.3">
      <c r="A1339">
        <v>2001</v>
      </c>
      <c r="B1339">
        <v>6</v>
      </c>
      <c r="C1339">
        <v>23</v>
      </c>
      <c r="D1339">
        <v>0.81658942550487035</v>
      </c>
      <c r="E1339">
        <v>1.5200000000000102E-2</v>
      </c>
      <c r="F1339">
        <f t="shared" si="48"/>
        <v>1.2412159267674113E-2</v>
      </c>
      <c r="M1339" s="31"/>
    </row>
    <row r="1340" spans="1:13" x14ac:dyDescent="0.3">
      <c r="A1340">
        <v>2001</v>
      </c>
      <c r="B1340">
        <v>6</v>
      </c>
      <c r="C1340">
        <v>22</v>
      </c>
      <c r="D1340">
        <v>0.8117409114024724</v>
      </c>
      <c r="E1340">
        <v>1.5200000000000102E-2</v>
      </c>
      <c r="F1340">
        <f t="shared" si="48"/>
        <v>1.2338461853317663E-2</v>
      </c>
      <c r="M1340" s="31"/>
    </row>
    <row r="1341" spans="1:13" x14ac:dyDescent="0.3">
      <c r="A1341">
        <v>2001</v>
      </c>
      <c r="B1341">
        <v>6</v>
      </c>
      <c r="C1341">
        <v>20</v>
      </c>
      <c r="D1341">
        <v>0.79989411323776793</v>
      </c>
      <c r="E1341">
        <v>1.5200000000000102E-2</v>
      </c>
      <c r="F1341">
        <f t="shared" si="48"/>
        <v>1.2158390521214155E-2</v>
      </c>
      <c r="M1341" s="31"/>
    </row>
    <row r="1342" spans="1:13" x14ac:dyDescent="0.3">
      <c r="A1342">
        <v>2001</v>
      </c>
      <c r="B1342">
        <v>6</v>
      </c>
      <c r="C1342">
        <v>19</v>
      </c>
      <c r="D1342">
        <v>0.78641002475817756</v>
      </c>
      <c r="E1342">
        <v>1.5200000000000102E-2</v>
      </c>
      <c r="F1342">
        <f t="shared" si="48"/>
        <v>1.195343237632438E-2</v>
      </c>
      <c r="M1342" s="31"/>
    </row>
    <row r="1343" spans="1:13" x14ac:dyDescent="0.3">
      <c r="A1343">
        <v>2001</v>
      </c>
      <c r="B1343">
        <v>6</v>
      </c>
      <c r="C1343">
        <v>18</v>
      </c>
      <c r="D1343">
        <v>0.77158598497450526</v>
      </c>
      <c r="E1343">
        <v>1.5200000000000102E-2</v>
      </c>
      <c r="F1343">
        <f t="shared" si="48"/>
        <v>1.1728106971612558E-2</v>
      </c>
      <c r="M1343" s="31"/>
    </row>
    <row r="1344" spans="1:13" x14ac:dyDescent="0.3">
      <c r="A1344">
        <v>2001</v>
      </c>
      <c r="B1344">
        <v>6</v>
      </c>
      <c r="C1344">
        <v>17</v>
      </c>
      <c r="D1344">
        <v>0.7570981894898059</v>
      </c>
      <c r="E1344">
        <v>1.5200000000000102E-2</v>
      </c>
      <c r="F1344">
        <f t="shared" si="48"/>
        <v>1.1507892480245127E-2</v>
      </c>
      <c r="M1344" s="31"/>
    </row>
    <row r="1345" spans="1:13" x14ac:dyDescent="0.3">
      <c r="A1345">
        <v>2001</v>
      </c>
      <c r="B1345">
        <v>6</v>
      </c>
      <c r="C1345">
        <v>16</v>
      </c>
      <c r="D1345">
        <v>0.74239378614214668</v>
      </c>
      <c r="E1345">
        <v>1.5200000000000102E-2</v>
      </c>
      <c r="F1345">
        <f t="shared" si="48"/>
        <v>1.1284385549360705E-2</v>
      </c>
      <c r="M1345" s="31"/>
    </row>
    <row r="1346" spans="1:13" x14ac:dyDescent="0.3">
      <c r="A1346">
        <v>2001</v>
      </c>
      <c r="B1346">
        <v>6</v>
      </c>
      <c r="C1346">
        <v>15</v>
      </c>
      <c r="D1346">
        <v>0.73309535536603654</v>
      </c>
      <c r="E1346">
        <v>1.5200000000000102E-2</v>
      </c>
      <c r="F1346">
        <f t="shared" si="48"/>
        <v>1.1143049401563831E-2</v>
      </c>
      <c r="M1346" s="31"/>
    </row>
    <row r="1347" spans="1:13" x14ac:dyDescent="0.3">
      <c r="A1347">
        <v>2001</v>
      </c>
      <c r="B1347">
        <v>6</v>
      </c>
      <c r="C1347">
        <v>14</v>
      </c>
      <c r="D1347">
        <v>0.72409363155361006</v>
      </c>
      <c r="E1347">
        <v>1.5200000000000102E-2</v>
      </c>
      <c r="F1347">
        <f t="shared" ref="F1347:F1410" si="49">D1347*E1347</f>
        <v>1.1006223199614947E-2</v>
      </c>
      <c r="M1347" s="31"/>
    </row>
    <row r="1348" spans="1:13" x14ac:dyDescent="0.3">
      <c r="A1348">
        <v>2001</v>
      </c>
      <c r="B1348">
        <v>6</v>
      </c>
      <c r="C1348">
        <v>13</v>
      </c>
      <c r="D1348">
        <v>0.7164775272677596</v>
      </c>
      <c r="E1348">
        <v>1.5200000000000102E-2</v>
      </c>
      <c r="F1348">
        <f t="shared" si="49"/>
        <v>1.0890458414470019E-2</v>
      </c>
      <c r="M1348" s="31"/>
    </row>
    <row r="1349" spans="1:13" x14ac:dyDescent="0.3">
      <c r="A1349">
        <v>2001</v>
      </c>
      <c r="B1349">
        <v>6</v>
      </c>
      <c r="C1349">
        <v>11</v>
      </c>
      <c r="D1349">
        <v>0.71391885715093173</v>
      </c>
      <c r="E1349">
        <v>1.5200000000000102E-2</v>
      </c>
      <c r="F1349">
        <f t="shared" si="49"/>
        <v>1.0851566628694236E-2</v>
      </c>
      <c r="M1349" s="31"/>
    </row>
    <row r="1350" spans="1:13" x14ac:dyDescent="0.3">
      <c r="A1350">
        <v>2001</v>
      </c>
      <c r="B1350">
        <v>6</v>
      </c>
      <c r="C1350">
        <v>10</v>
      </c>
      <c r="D1350">
        <v>0.71490740960560639</v>
      </c>
      <c r="E1350">
        <v>1.5200000000000102E-2</v>
      </c>
      <c r="F1350">
        <f t="shared" si="49"/>
        <v>1.0866592626005291E-2</v>
      </c>
      <c r="M1350" s="31"/>
    </row>
    <row r="1351" spans="1:13" x14ac:dyDescent="0.3">
      <c r="A1351">
        <v>2001</v>
      </c>
      <c r="B1351">
        <v>6</v>
      </c>
      <c r="C1351">
        <v>9</v>
      </c>
      <c r="D1351">
        <v>0.71931371569503755</v>
      </c>
      <c r="E1351">
        <v>1.5200000000000102E-2</v>
      </c>
      <c r="F1351">
        <f t="shared" si="49"/>
        <v>1.0933568478564644E-2</v>
      </c>
      <c r="M1351" s="31"/>
    </row>
    <row r="1352" spans="1:13" x14ac:dyDescent="0.3">
      <c r="A1352">
        <v>2001</v>
      </c>
      <c r="B1352">
        <v>6</v>
      </c>
      <c r="C1352">
        <v>8</v>
      </c>
      <c r="D1352">
        <v>0.72688159408283415</v>
      </c>
      <c r="E1352">
        <v>1.5200000000000102E-2</v>
      </c>
      <c r="F1352">
        <f t="shared" si="49"/>
        <v>1.1048600230059153E-2</v>
      </c>
      <c r="M1352" s="31"/>
    </row>
    <row r="1353" spans="1:13" x14ac:dyDescent="0.3">
      <c r="A1353">
        <v>2001</v>
      </c>
      <c r="B1353">
        <v>6</v>
      </c>
      <c r="C1353">
        <v>7</v>
      </c>
      <c r="D1353">
        <v>0.73695070638822313</v>
      </c>
      <c r="E1353">
        <v>1.5200000000000102E-2</v>
      </c>
      <c r="F1353">
        <f t="shared" si="49"/>
        <v>1.1201650737101066E-2</v>
      </c>
      <c r="M1353" s="31"/>
    </row>
    <row r="1354" spans="1:13" x14ac:dyDescent="0.3">
      <c r="A1354">
        <v>2001</v>
      </c>
      <c r="B1354">
        <v>6</v>
      </c>
      <c r="C1354">
        <v>6</v>
      </c>
      <c r="D1354">
        <v>0.74761274246328535</v>
      </c>
      <c r="E1354">
        <v>1.5200000000000102E-2</v>
      </c>
      <c r="F1354">
        <f t="shared" si="49"/>
        <v>1.1363713685442013E-2</v>
      </c>
      <c r="M1354" s="31"/>
    </row>
    <row r="1355" spans="1:13" x14ac:dyDescent="0.3">
      <c r="A1355">
        <v>2001</v>
      </c>
      <c r="B1355">
        <v>6</v>
      </c>
      <c r="C1355">
        <v>5</v>
      </c>
      <c r="D1355">
        <v>0.76081679990491446</v>
      </c>
      <c r="E1355">
        <v>1.5200000000000102E-2</v>
      </c>
      <c r="F1355">
        <f t="shared" si="49"/>
        <v>1.1564415358554778E-2</v>
      </c>
      <c r="M1355" s="31"/>
    </row>
    <row r="1356" spans="1:13" x14ac:dyDescent="0.3">
      <c r="A1356">
        <v>2001</v>
      </c>
      <c r="B1356">
        <v>6</v>
      </c>
      <c r="C1356">
        <v>4</v>
      </c>
      <c r="D1356">
        <v>0.7751854568816291</v>
      </c>
      <c r="E1356">
        <v>1.5200000000000102E-2</v>
      </c>
      <c r="F1356">
        <f t="shared" si="49"/>
        <v>1.1782818944600842E-2</v>
      </c>
      <c r="M1356" s="31"/>
    </row>
    <row r="1357" spans="1:13" x14ac:dyDescent="0.3">
      <c r="A1357">
        <v>2001</v>
      </c>
      <c r="B1357">
        <v>6</v>
      </c>
      <c r="C1357">
        <v>2</v>
      </c>
      <c r="D1357">
        <v>0.78723693792679961</v>
      </c>
      <c r="E1357">
        <v>1.5200000000000102E-2</v>
      </c>
      <c r="F1357">
        <f t="shared" si="49"/>
        <v>1.1966001456487435E-2</v>
      </c>
      <c r="M1357" s="31"/>
    </row>
    <row r="1358" spans="1:13" x14ac:dyDescent="0.3">
      <c r="A1358">
        <v>2001</v>
      </c>
      <c r="B1358">
        <v>6</v>
      </c>
      <c r="C1358">
        <v>1</v>
      </c>
      <c r="D1358">
        <v>0.79554098440248155</v>
      </c>
      <c r="E1358">
        <v>1.5200000000000102E-2</v>
      </c>
      <c r="F1358">
        <f t="shared" si="49"/>
        <v>1.2092222962917801E-2</v>
      </c>
      <c r="M1358" s="31"/>
    </row>
    <row r="1359" spans="1:13" x14ac:dyDescent="0.3">
      <c r="A1359">
        <v>2001</v>
      </c>
      <c r="B1359">
        <v>5</v>
      </c>
      <c r="C1359">
        <v>31</v>
      </c>
      <c r="D1359">
        <v>0.79936741522669752</v>
      </c>
      <c r="E1359">
        <v>1.5200000000000102E-2</v>
      </c>
      <c r="F1359">
        <f t="shared" si="49"/>
        <v>1.2150384711445883E-2</v>
      </c>
      <c r="M1359" s="31"/>
    </row>
    <row r="1360" spans="1:13" x14ac:dyDescent="0.3">
      <c r="A1360">
        <v>2001</v>
      </c>
      <c r="B1360">
        <v>5</v>
      </c>
      <c r="C1360">
        <v>30</v>
      </c>
      <c r="D1360">
        <v>0.80094867355387456</v>
      </c>
      <c r="E1360">
        <v>1.5200000000000102E-2</v>
      </c>
      <c r="F1360">
        <f t="shared" si="49"/>
        <v>1.2174419838018976E-2</v>
      </c>
      <c r="M1360" s="31"/>
    </row>
    <row r="1361" spans="1:13" x14ac:dyDescent="0.3">
      <c r="A1361">
        <v>2001</v>
      </c>
      <c r="B1361">
        <v>5</v>
      </c>
      <c r="C1361">
        <v>29</v>
      </c>
      <c r="D1361">
        <v>0.80070326094294975</v>
      </c>
      <c r="E1361">
        <v>1.5200000000000102E-2</v>
      </c>
      <c r="F1361">
        <f t="shared" si="49"/>
        <v>1.2170689566332918E-2</v>
      </c>
      <c r="M1361" s="31"/>
    </row>
    <row r="1362" spans="1:13" x14ac:dyDescent="0.3">
      <c r="A1362">
        <v>2001</v>
      </c>
      <c r="B1362">
        <v>5</v>
      </c>
      <c r="C1362">
        <v>28</v>
      </c>
      <c r="D1362">
        <v>0.79947498371020687</v>
      </c>
      <c r="E1362">
        <v>1.5200000000000102E-2</v>
      </c>
      <c r="F1362">
        <f t="shared" si="49"/>
        <v>1.2152019752395226E-2</v>
      </c>
      <c r="M1362" s="31"/>
    </row>
    <row r="1363" spans="1:13" x14ac:dyDescent="0.3">
      <c r="A1363">
        <v>2001</v>
      </c>
      <c r="B1363">
        <v>5</v>
      </c>
      <c r="C1363">
        <v>27</v>
      </c>
      <c r="D1363">
        <v>0.79474039694741871</v>
      </c>
      <c r="E1363">
        <v>1.5200000000000102E-2</v>
      </c>
      <c r="F1363">
        <f t="shared" si="49"/>
        <v>1.2080054033600846E-2</v>
      </c>
      <c r="M1363" s="31"/>
    </row>
    <row r="1364" spans="1:13" x14ac:dyDescent="0.3">
      <c r="A1364">
        <v>2001</v>
      </c>
      <c r="B1364">
        <v>5</v>
      </c>
      <c r="C1364">
        <v>25</v>
      </c>
      <c r="D1364">
        <v>0.78637629880304427</v>
      </c>
      <c r="E1364">
        <v>1.5200000000000102E-2</v>
      </c>
      <c r="F1364">
        <f t="shared" si="49"/>
        <v>1.1952919741806354E-2</v>
      </c>
      <c r="M1364" s="31"/>
    </row>
    <row r="1365" spans="1:13" x14ac:dyDescent="0.3">
      <c r="A1365">
        <v>2001</v>
      </c>
      <c r="B1365">
        <v>5</v>
      </c>
      <c r="C1365">
        <v>24</v>
      </c>
      <c r="D1365">
        <v>0.76926333138079972</v>
      </c>
      <c r="E1365">
        <v>1.5200000000000102E-2</v>
      </c>
      <c r="F1365">
        <f t="shared" si="49"/>
        <v>1.1692802636988235E-2</v>
      </c>
      <c r="M1365" s="31"/>
    </row>
    <row r="1366" spans="1:13" x14ac:dyDescent="0.3">
      <c r="A1366">
        <v>2001</v>
      </c>
      <c r="B1366">
        <v>5</v>
      </c>
      <c r="C1366">
        <v>23</v>
      </c>
      <c r="D1366">
        <v>0.75017315087483749</v>
      </c>
      <c r="E1366">
        <v>1.5200000000000102E-2</v>
      </c>
      <c r="F1366">
        <f t="shared" si="49"/>
        <v>1.1402631893297606E-2</v>
      </c>
      <c r="M1366" s="31"/>
    </row>
    <row r="1367" spans="1:13" x14ac:dyDescent="0.3">
      <c r="A1367">
        <v>2001</v>
      </c>
      <c r="B1367">
        <v>5</v>
      </c>
      <c r="C1367">
        <v>22</v>
      </c>
      <c r="D1367">
        <v>0.73051829427332315</v>
      </c>
      <c r="E1367">
        <v>1.5200000000000102E-2</v>
      </c>
      <c r="F1367">
        <f t="shared" si="49"/>
        <v>1.1103878072954586E-2</v>
      </c>
      <c r="M1367" s="31"/>
    </row>
    <row r="1368" spans="1:13" x14ac:dyDescent="0.3">
      <c r="A1368">
        <v>2001</v>
      </c>
      <c r="B1368">
        <v>5</v>
      </c>
      <c r="C1368">
        <v>21</v>
      </c>
      <c r="D1368">
        <v>0.71413421083457895</v>
      </c>
      <c r="E1368">
        <v>1.5200000000000102E-2</v>
      </c>
      <c r="F1368">
        <f t="shared" si="49"/>
        <v>1.0854840004685673E-2</v>
      </c>
      <c r="M1368" s="31"/>
    </row>
    <row r="1369" spans="1:13" x14ac:dyDescent="0.3">
      <c r="A1369">
        <v>2001</v>
      </c>
      <c r="B1369">
        <v>5</v>
      </c>
      <c r="C1369">
        <v>20</v>
      </c>
      <c r="D1369">
        <v>0.70042488437306472</v>
      </c>
      <c r="E1369">
        <v>1.5200000000000102E-2</v>
      </c>
      <c r="F1369">
        <f t="shared" si="49"/>
        <v>1.0646458242470656E-2</v>
      </c>
      <c r="M1369" s="31"/>
    </row>
    <row r="1370" spans="1:13" x14ac:dyDescent="0.3">
      <c r="A1370">
        <v>2001</v>
      </c>
      <c r="B1370">
        <v>5</v>
      </c>
      <c r="C1370">
        <v>19</v>
      </c>
      <c r="D1370">
        <v>0.69124787585736591</v>
      </c>
      <c r="E1370">
        <v>1.5200000000000102E-2</v>
      </c>
      <c r="F1370">
        <f t="shared" si="49"/>
        <v>1.0506967713032032E-2</v>
      </c>
      <c r="M1370" s="31"/>
    </row>
    <row r="1371" spans="1:13" x14ac:dyDescent="0.3">
      <c r="A1371">
        <v>2001</v>
      </c>
      <c r="B1371">
        <v>5</v>
      </c>
      <c r="C1371">
        <v>18</v>
      </c>
      <c r="D1371">
        <v>0.68345205243625684</v>
      </c>
      <c r="E1371">
        <v>1.5200000000000102E-2</v>
      </c>
      <c r="F1371">
        <f t="shared" si="49"/>
        <v>1.0388471197031174E-2</v>
      </c>
      <c r="M1371" s="31"/>
    </row>
    <row r="1372" spans="1:13" x14ac:dyDescent="0.3">
      <c r="A1372">
        <v>2001</v>
      </c>
      <c r="B1372">
        <v>5</v>
      </c>
      <c r="C1372">
        <v>16</v>
      </c>
      <c r="D1372">
        <v>0.67877751067059988</v>
      </c>
      <c r="E1372">
        <v>1.5200000000000102E-2</v>
      </c>
      <c r="F1372">
        <f t="shared" si="49"/>
        <v>1.0317418162193188E-2</v>
      </c>
      <c r="M1372" s="31"/>
    </row>
    <row r="1373" spans="1:13" x14ac:dyDescent="0.3">
      <c r="A1373">
        <v>2001</v>
      </c>
      <c r="B1373">
        <v>5</v>
      </c>
      <c r="C1373">
        <v>15</v>
      </c>
      <c r="D1373">
        <v>0.68017147343962203</v>
      </c>
      <c r="E1373">
        <v>1.5200000000000102E-2</v>
      </c>
      <c r="F1373">
        <f t="shared" si="49"/>
        <v>1.0338606396282325E-2</v>
      </c>
      <c r="M1373" s="31"/>
    </row>
    <row r="1374" spans="1:13" x14ac:dyDescent="0.3">
      <c r="A1374">
        <v>2001</v>
      </c>
      <c r="B1374">
        <v>5</v>
      </c>
      <c r="C1374">
        <v>14</v>
      </c>
      <c r="D1374">
        <v>0.68399451164132696</v>
      </c>
      <c r="E1374">
        <v>1.5200000000000102E-2</v>
      </c>
      <c r="F1374">
        <f t="shared" si="49"/>
        <v>1.0396716576948239E-2</v>
      </c>
      <c r="M1374" s="31"/>
    </row>
    <row r="1375" spans="1:13" x14ac:dyDescent="0.3">
      <c r="A1375">
        <v>2001</v>
      </c>
      <c r="B1375">
        <v>5</v>
      </c>
      <c r="C1375">
        <v>13</v>
      </c>
      <c r="D1375">
        <v>0.68985004367182068</v>
      </c>
      <c r="E1375">
        <v>1.5200000000000102E-2</v>
      </c>
      <c r="F1375">
        <f t="shared" si="49"/>
        <v>1.0485720663811746E-2</v>
      </c>
      <c r="M1375" s="31"/>
    </row>
    <row r="1376" spans="1:13" x14ac:dyDescent="0.3">
      <c r="A1376">
        <v>2001</v>
      </c>
      <c r="B1376">
        <v>5</v>
      </c>
      <c r="C1376">
        <v>12</v>
      </c>
      <c r="D1376">
        <v>0.69544532974185258</v>
      </c>
      <c r="E1376">
        <v>1.5200000000000102E-2</v>
      </c>
      <c r="F1376">
        <f t="shared" si="49"/>
        <v>1.057076901207623E-2</v>
      </c>
      <c r="M1376" s="31"/>
    </row>
    <row r="1377" spans="1:13" x14ac:dyDescent="0.3">
      <c r="A1377">
        <v>2001</v>
      </c>
      <c r="B1377">
        <v>5</v>
      </c>
      <c r="C1377">
        <v>11</v>
      </c>
      <c r="D1377">
        <v>0.69928620289855947</v>
      </c>
      <c r="E1377">
        <v>1.5200000000000102E-2</v>
      </c>
      <c r="F1377">
        <f t="shared" si="49"/>
        <v>1.0629150284058175E-2</v>
      </c>
      <c r="M1377" s="31"/>
    </row>
    <row r="1378" spans="1:13" x14ac:dyDescent="0.3">
      <c r="A1378">
        <v>2001</v>
      </c>
      <c r="B1378">
        <v>5</v>
      </c>
      <c r="C1378">
        <v>10</v>
      </c>
      <c r="D1378">
        <v>0.69946617175050974</v>
      </c>
      <c r="E1378">
        <v>1.5200000000000102E-2</v>
      </c>
      <c r="F1378">
        <f t="shared" si="49"/>
        <v>1.0631885810607819E-2</v>
      </c>
      <c r="M1378" s="31"/>
    </row>
    <row r="1379" spans="1:13" x14ac:dyDescent="0.3">
      <c r="A1379">
        <v>2001</v>
      </c>
      <c r="B1379">
        <v>5</v>
      </c>
      <c r="C1379">
        <v>9</v>
      </c>
      <c r="D1379">
        <v>0.69896788167777246</v>
      </c>
      <c r="E1379">
        <v>1.5200000000000102E-2</v>
      </c>
      <c r="F1379">
        <f t="shared" si="49"/>
        <v>1.0624311801502213E-2</v>
      </c>
      <c r="M1379" s="31"/>
    </row>
    <row r="1380" spans="1:13" x14ac:dyDescent="0.3">
      <c r="A1380">
        <v>2001</v>
      </c>
      <c r="B1380">
        <v>5</v>
      </c>
      <c r="C1380">
        <v>7</v>
      </c>
      <c r="D1380">
        <v>0.6988766623783691</v>
      </c>
      <c r="E1380">
        <v>1.5200000000000102E-2</v>
      </c>
      <c r="F1380">
        <f t="shared" si="49"/>
        <v>1.0622925268151283E-2</v>
      </c>
      <c r="M1380" s="31"/>
    </row>
    <row r="1381" spans="1:13" x14ac:dyDescent="0.3">
      <c r="A1381">
        <v>2001</v>
      </c>
      <c r="B1381">
        <v>5</v>
      </c>
      <c r="C1381">
        <v>6</v>
      </c>
      <c r="D1381">
        <v>0.69661696806288331</v>
      </c>
      <c r="E1381">
        <v>1.5200000000000102E-2</v>
      </c>
      <c r="F1381">
        <f t="shared" si="49"/>
        <v>1.0588577914555898E-2</v>
      </c>
      <c r="M1381" s="31"/>
    </row>
    <row r="1382" spans="1:13" x14ac:dyDescent="0.3">
      <c r="A1382">
        <v>2001</v>
      </c>
      <c r="B1382">
        <v>5</v>
      </c>
      <c r="C1382">
        <v>5</v>
      </c>
      <c r="D1382">
        <v>0.69219425890216368</v>
      </c>
      <c r="E1382">
        <v>1.5200000000000102E-2</v>
      </c>
      <c r="F1382">
        <f t="shared" si="49"/>
        <v>1.0521352735312959E-2</v>
      </c>
      <c r="M1382" s="31"/>
    </row>
    <row r="1383" spans="1:13" x14ac:dyDescent="0.3">
      <c r="A1383">
        <v>2001</v>
      </c>
      <c r="B1383">
        <v>5</v>
      </c>
      <c r="C1383">
        <v>4</v>
      </c>
      <c r="D1383">
        <v>0.68480969382510903</v>
      </c>
      <c r="E1383">
        <v>1.5200000000000102E-2</v>
      </c>
      <c r="F1383">
        <f t="shared" si="49"/>
        <v>1.0409107346141727E-2</v>
      </c>
      <c r="M1383" s="31"/>
    </row>
    <row r="1384" spans="1:13" x14ac:dyDescent="0.3">
      <c r="A1384">
        <v>2001</v>
      </c>
      <c r="B1384">
        <v>5</v>
      </c>
      <c r="C1384">
        <v>3</v>
      </c>
      <c r="D1384">
        <v>0.67650422842568103</v>
      </c>
      <c r="E1384">
        <v>1.5200000000000102E-2</v>
      </c>
      <c r="F1384">
        <f t="shared" si="49"/>
        <v>1.0282864272070421E-2</v>
      </c>
      <c r="M1384" s="31"/>
    </row>
    <row r="1385" spans="1:13" x14ac:dyDescent="0.3">
      <c r="A1385">
        <v>2001</v>
      </c>
      <c r="B1385">
        <v>5</v>
      </c>
      <c r="C1385">
        <v>2</v>
      </c>
      <c r="D1385">
        <v>0.66849339109618588</v>
      </c>
      <c r="E1385">
        <v>1.5200000000000102E-2</v>
      </c>
      <c r="F1385">
        <f t="shared" si="49"/>
        <v>1.0161099544662093E-2</v>
      </c>
      <c r="M1385" s="31"/>
    </row>
    <row r="1386" spans="1:13" x14ac:dyDescent="0.3">
      <c r="A1386">
        <v>2001</v>
      </c>
      <c r="B1386">
        <v>5</v>
      </c>
      <c r="C1386">
        <v>1</v>
      </c>
      <c r="D1386">
        <v>0.66331626980465941</v>
      </c>
      <c r="E1386">
        <v>1.5200000000000102E-2</v>
      </c>
      <c r="F1386">
        <f t="shared" si="49"/>
        <v>1.0082407301030891E-2</v>
      </c>
      <c r="M1386" s="31"/>
    </row>
    <row r="1387" spans="1:13" x14ac:dyDescent="0.3">
      <c r="A1387">
        <v>2001</v>
      </c>
      <c r="B1387">
        <v>4</v>
      </c>
      <c r="C1387">
        <v>30</v>
      </c>
      <c r="D1387">
        <v>0.66055491999183624</v>
      </c>
      <c r="E1387">
        <v>1.5200000000000102E-2</v>
      </c>
      <c r="F1387">
        <f t="shared" si="49"/>
        <v>1.0040434783875979E-2</v>
      </c>
      <c r="M1387" s="31"/>
    </row>
    <row r="1388" spans="1:13" x14ac:dyDescent="0.3">
      <c r="A1388">
        <v>2001</v>
      </c>
      <c r="B1388">
        <v>4</v>
      </c>
      <c r="C1388">
        <v>28</v>
      </c>
      <c r="D1388">
        <v>0.65926608560514066</v>
      </c>
      <c r="E1388">
        <v>1.5200000000000102E-2</v>
      </c>
      <c r="F1388">
        <f t="shared" si="49"/>
        <v>1.0020844501198205E-2</v>
      </c>
      <c r="M1388" s="31"/>
    </row>
    <row r="1389" spans="1:13" x14ac:dyDescent="0.3">
      <c r="A1389">
        <v>2001</v>
      </c>
      <c r="B1389">
        <v>4</v>
      </c>
      <c r="C1389">
        <v>27</v>
      </c>
      <c r="D1389">
        <v>0.65504268907530627</v>
      </c>
      <c r="E1389">
        <v>1.5200000000000102E-2</v>
      </c>
      <c r="F1389">
        <f t="shared" si="49"/>
        <v>9.9566488739447224E-3</v>
      </c>
      <c r="M1389" s="31"/>
    </row>
    <row r="1390" spans="1:13" x14ac:dyDescent="0.3">
      <c r="A1390">
        <v>2001</v>
      </c>
      <c r="B1390">
        <v>4</v>
      </c>
      <c r="C1390">
        <v>26</v>
      </c>
      <c r="D1390">
        <v>0.64909653214924889</v>
      </c>
      <c r="E1390">
        <v>1.5200000000000102E-2</v>
      </c>
      <c r="F1390">
        <f t="shared" si="49"/>
        <v>9.8662672886686495E-3</v>
      </c>
      <c r="M1390" s="31"/>
    </row>
    <row r="1391" spans="1:13" x14ac:dyDescent="0.3">
      <c r="A1391">
        <v>2001</v>
      </c>
      <c r="B1391">
        <v>4</v>
      </c>
      <c r="C1391">
        <v>25</v>
      </c>
      <c r="D1391">
        <v>0.64130736377935271</v>
      </c>
      <c r="E1391">
        <v>1.5200000000000102E-2</v>
      </c>
      <c r="F1391">
        <f t="shared" si="49"/>
        <v>9.7478719294462265E-3</v>
      </c>
      <c r="M1391" s="31"/>
    </row>
    <row r="1392" spans="1:13" x14ac:dyDescent="0.3">
      <c r="A1392">
        <v>2001</v>
      </c>
      <c r="B1392">
        <v>4</v>
      </c>
      <c r="C1392">
        <v>24</v>
      </c>
      <c r="D1392">
        <v>0.63460099997490216</v>
      </c>
      <c r="E1392">
        <v>1.5200000000000102E-2</v>
      </c>
      <c r="F1392">
        <f t="shared" si="49"/>
        <v>9.6459351996185782E-3</v>
      </c>
      <c r="M1392" s="31"/>
    </row>
    <row r="1393" spans="1:13" x14ac:dyDescent="0.3">
      <c r="A1393">
        <v>2001</v>
      </c>
      <c r="B1393">
        <v>4</v>
      </c>
      <c r="C1393">
        <v>23</v>
      </c>
      <c r="D1393">
        <v>0.63134558242194827</v>
      </c>
      <c r="E1393">
        <v>1.5200000000000102E-2</v>
      </c>
      <c r="F1393">
        <f t="shared" si="49"/>
        <v>9.5964528528136792E-3</v>
      </c>
      <c r="M1393" s="31"/>
    </row>
    <row r="1394" spans="1:13" x14ac:dyDescent="0.3">
      <c r="A1394">
        <v>2001</v>
      </c>
      <c r="B1394">
        <v>4</v>
      </c>
      <c r="C1394">
        <v>22</v>
      </c>
      <c r="D1394">
        <v>0.63232034705452467</v>
      </c>
      <c r="E1394">
        <v>1.5200000000000102E-2</v>
      </c>
      <c r="F1394">
        <f t="shared" si="49"/>
        <v>9.6112692752288401E-3</v>
      </c>
      <c r="M1394" s="31"/>
    </row>
    <row r="1395" spans="1:13" x14ac:dyDescent="0.3">
      <c r="A1395">
        <v>2001</v>
      </c>
      <c r="B1395">
        <v>4</v>
      </c>
      <c r="C1395">
        <v>20</v>
      </c>
      <c r="D1395">
        <v>0.63223798686604471</v>
      </c>
      <c r="E1395">
        <v>1.5200000000000102E-2</v>
      </c>
      <c r="F1395">
        <f t="shared" si="49"/>
        <v>9.6100174003639436E-3</v>
      </c>
      <c r="M1395" s="31"/>
    </row>
    <row r="1396" spans="1:13" x14ac:dyDescent="0.3">
      <c r="A1396">
        <v>2001</v>
      </c>
      <c r="B1396">
        <v>4</v>
      </c>
      <c r="C1396">
        <v>19</v>
      </c>
      <c r="D1396">
        <v>0.63070270876908663</v>
      </c>
      <c r="E1396">
        <v>1.5200000000000102E-2</v>
      </c>
      <c r="F1396">
        <f t="shared" si="49"/>
        <v>9.5866811732901805E-3</v>
      </c>
      <c r="M1396" s="31"/>
    </row>
    <row r="1397" spans="1:13" x14ac:dyDescent="0.3">
      <c r="A1397">
        <v>2001</v>
      </c>
      <c r="B1397">
        <v>4</v>
      </c>
      <c r="C1397">
        <v>18</v>
      </c>
      <c r="D1397">
        <v>0.63022448716311619</v>
      </c>
      <c r="E1397">
        <v>1.5200000000000102E-2</v>
      </c>
      <c r="F1397">
        <f t="shared" si="49"/>
        <v>9.5794122048794301E-3</v>
      </c>
      <c r="M1397" s="31"/>
    </row>
    <row r="1398" spans="1:13" x14ac:dyDescent="0.3">
      <c r="A1398">
        <v>2001</v>
      </c>
      <c r="B1398">
        <v>4</v>
      </c>
      <c r="C1398">
        <v>17</v>
      </c>
      <c r="D1398">
        <v>0.62684502843477508</v>
      </c>
      <c r="E1398">
        <v>1.5200000000000102E-2</v>
      </c>
      <c r="F1398">
        <f t="shared" si="49"/>
        <v>9.528044432208645E-3</v>
      </c>
      <c r="M1398" s="31"/>
    </row>
    <row r="1399" spans="1:13" x14ac:dyDescent="0.3">
      <c r="A1399">
        <v>2001</v>
      </c>
      <c r="B1399">
        <v>4</v>
      </c>
      <c r="C1399">
        <v>16</v>
      </c>
      <c r="D1399">
        <v>0.62281266116730161</v>
      </c>
      <c r="E1399">
        <v>1.5200000000000102E-2</v>
      </c>
      <c r="F1399">
        <f t="shared" si="49"/>
        <v>9.4667524497430485E-3</v>
      </c>
      <c r="M1399" s="31"/>
    </row>
    <row r="1400" spans="1:13" x14ac:dyDescent="0.3">
      <c r="A1400">
        <v>2001</v>
      </c>
      <c r="B1400">
        <v>4</v>
      </c>
      <c r="C1400">
        <v>15</v>
      </c>
      <c r="D1400">
        <v>0.61983870894630422</v>
      </c>
      <c r="E1400">
        <v>1.5200000000000102E-2</v>
      </c>
      <c r="F1400">
        <f t="shared" si="49"/>
        <v>9.4215483759838882E-3</v>
      </c>
      <c r="M1400" s="31"/>
    </row>
    <row r="1401" spans="1:13" x14ac:dyDescent="0.3">
      <c r="A1401">
        <v>2001</v>
      </c>
      <c r="B1401">
        <v>4</v>
      </c>
      <c r="C1401">
        <v>14</v>
      </c>
      <c r="D1401">
        <v>0.61594994558181071</v>
      </c>
      <c r="E1401">
        <v>1.5200000000000102E-2</v>
      </c>
      <c r="F1401">
        <f t="shared" si="49"/>
        <v>9.3624391728435851E-3</v>
      </c>
      <c r="M1401" s="31"/>
    </row>
    <row r="1402" spans="1:13" x14ac:dyDescent="0.3">
      <c r="A1402">
        <v>2001</v>
      </c>
      <c r="B1402">
        <v>4</v>
      </c>
      <c r="C1402">
        <v>13</v>
      </c>
      <c r="D1402">
        <v>0.60683347941151944</v>
      </c>
      <c r="E1402">
        <v>1.5200000000000102E-2</v>
      </c>
      <c r="F1402">
        <f t="shared" si="49"/>
        <v>9.2238688870551581E-3</v>
      </c>
      <c r="M1402" s="31"/>
    </row>
    <row r="1403" spans="1:13" x14ac:dyDescent="0.3">
      <c r="A1403">
        <v>2001</v>
      </c>
      <c r="B1403">
        <v>4</v>
      </c>
      <c r="C1403">
        <v>11</v>
      </c>
      <c r="D1403">
        <v>0.59514923489642291</v>
      </c>
      <c r="E1403">
        <v>1.5200000000000102E-2</v>
      </c>
      <c r="F1403">
        <f t="shared" si="49"/>
        <v>9.0462683704256898E-3</v>
      </c>
      <c r="M1403" s="31"/>
    </row>
    <row r="1404" spans="1:13" x14ac:dyDescent="0.3">
      <c r="A1404">
        <v>2001</v>
      </c>
      <c r="B1404">
        <v>4</v>
      </c>
      <c r="C1404">
        <v>10</v>
      </c>
      <c r="D1404">
        <v>0.58132349823611096</v>
      </c>
      <c r="E1404">
        <v>1.5200000000000102E-2</v>
      </c>
      <c r="F1404">
        <f t="shared" si="49"/>
        <v>8.8361171731889468E-3</v>
      </c>
      <c r="M1404" s="31"/>
    </row>
    <row r="1405" spans="1:13" x14ac:dyDescent="0.3">
      <c r="A1405">
        <v>2001</v>
      </c>
      <c r="B1405">
        <v>4</v>
      </c>
      <c r="C1405">
        <v>9</v>
      </c>
      <c r="D1405">
        <v>0.57092550824460131</v>
      </c>
      <c r="E1405">
        <v>1.5200000000000102E-2</v>
      </c>
      <c r="F1405">
        <f t="shared" si="49"/>
        <v>8.6780677253179977E-3</v>
      </c>
      <c r="M1405" s="31"/>
    </row>
    <row r="1406" spans="1:13" x14ac:dyDescent="0.3">
      <c r="A1406">
        <v>2001</v>
      </c>
      <c r="B1406">
        <v>4</v>
      </c>
      <c r="C1406">
        <v>8</v>
      </c>
      <c r="D1406">
        <v>0.56557956049822256</v>
      </c>
      <c r="E1406">
        <v>1.5200000000000102E-2</v>
      </c>
      <c r="F1406">
        <f t="shared" si="49"/>
        <v>8.5968093195730403E-3</v>
      </c>
      <c r="M1406" s="31"/>
    </row>
    <row r="1407" spans="1:13" x14ac:dyDescent="0.3">
      <c r="A1407">
        <v>2001</v>
      </c>
      <c r="B1407">
        <v>4</v>
      </c>
      <c r="C1407">
        <v>7</v>
      </c>
      <c r="D1407">
        <v>0.56358064029770483</v>
      </c>
      <c r="E1407">
        <v>1.5200000000000102E-2</v>
      </c>
      <c r="F1407">
        <f t="shared" si="49"/>
        <v>8.5664257325251715E-3</v>
      </c>
      <c r="M1407" s="31"/>
    </row>
    <row r="1408" spans="1:13" x14ac:dyDescent="0.3">
      <c r="A1408">
        <v>2001</v>
      </c>
      <c r="B1408">
        <v>4</v>
      </c>
      <c r="C1408">
        <v>6</v>
      </c>
      <c r="D1408">
        <v>0.56337927379331276</v>
      </c>
      <c r="E1408">
        <v>1.5200000000000102E-2</v>
      </c>
      <c r="F1408">
        <f t="shared" si="49"/>
        <v>8.5633649616584113E-3</v>
      </c>
      <c r="M1408" s="31"/>
    </row>
    <row r="1409" spans="1:13" x14ac:dyDescent="0.3">
      <c r="A1409">
        <v>2001</v>
      </c>
      <c r="B1409">
        <v>4</v>
      </c>
      <c r="C1409">
        <v>5</v>
      </c>
      <c r="D1409">
        <v>0.56433243200442662</v>
      </c>
      <c r="E1409">
        <v>1.5200000000000102E-2</v>
      </c>
      <c r="F1409">
        <f t="shared" si="49"/>
        <v>8.5778529664673423E-3</v>
      </c>
      <c r="M1409" s="31"/>
    </row>
    <row r="1410" spans="1:13" x14ac:dyDescent="0.3">
      <c r="A1410">
        <v>2001</v>
      </c>
      <c r="B1410">
        <v>4</v>
      </c>
      <c r="C1410">
        <v>4</v>
      </c>
      <c r="D1410">
        <v>0.562720001465015</v>
      </c>
      <c r="E1410">
        <v>1.5200000000000102E-2</v>
      </c>
      <c r="F1410">
        <f t="shared" si="49"/>
        <v>8.5533440222682854E-3</v>
      </c>
      <c r="M1410" s="31"/>
    </row>
    <row r="1411" spans="1:13" x14ac:dyDescent="0.3">
      <c r="A1411">
        <v>2001</v>
      </c>
      <c r="B1411">
        <v>4</v>
      </c>
      <c r="C1411">
        <v>2</v>
      </c>
      <c r="D1411">
        <v>0.55841970833899202</v>
      </c>
      <c r="E1411">
        <v>1.5200000000000102E-2</v>
      </c>
      <c r="F1411">
        <f t="shared" ref="F1411:F1474" si="50">D1411*E1411</f>
        <v>8.4879795667527364E-3</v>
      </c>
      <c r="M1411" s="31"/>
    </row>
    <row r="1412" spans="1:13" x14ac:dyDescent="0.3">
      <c r="A1412">
        <v>2001</v>
      </c>
      <c r="B1412">
        <v>4</v>
      </c>
      <c r="C1412">
        <v>1</v>
      </c>
      <c r="D1412">
        <v>0.55297939268100871</v>
      </c>
      <c r="E1412">
        <v>1.5200000000000102E-2</v>
      </c>
      <c r="F1412">
        <f t="shared" si="50"/>
        <v>8.4052867687513886E-3</v>
      </c>
      <c r="M1412" s="31"/>
    </row>
    <row r="1413" spans="1:13" x14ac:dyDescent="0.3">
      <c r="A1413">
        <v>2001</v>
      </c>
      <c r="B1413">
        <v>3</v>
      </c>
      <c r="C1413">
        <v>31</v>
      </c>
      <c r="D1413">
        <v>0.54984632249350573</v>
      </c>
      <c r="E1413">
        <v>1.5200000000000102E-2</v>
      </c>
      <c r="F1413">
        <f t="shared" si="50"/>
        <v>8.357664101901344E-3</v>
      </c>
      <c r="M1413" s="31"/>
    </row>
    <row r="1414" spans="1:13" x14ac:dyDescent="0.3">
      <c r="A1414">
        <v>2001</v>
      </c>
      <c r="B1414">
        <v>3</v>
      </c>
      <c r="C1414">
        <v>30</v>
      </c>
      <c r="D1414">
        <v>0.54913777778628148</v>
      </c>
      <c r="E1414">
        <v>1.5200000000000102E-2</v>
      </c>
      <c r="F1414">
        <f t="shared" si="50"/>
        <v>8.3468942223515353E-3</v>
      </c>
      <c r="M1414" s="31"/>
    </row>
    <row r="1415" spans="1:13" x14ac:dyDescent="0.3">
      <c r="A1415">
        <v>2001</v>
      </c>
      <c r="B1415">
        <v>3</v>
      </c>
      <c r="C1415">
        <v>29</v>
      </c>
      <c r="D1415">
        <v>0.55085075144860463</v>
      </c>
      <c r="E1415">
        <v>1.5200000000000102E-2</v>
      </c>
      <c r="F1415">
        <f t="shared" si="50"/>
        <v>8.3729314220188471E-3</v>
      </c>
      <c r="M1415" s="31"/>
    </row>
    <row r="1416" spans="1:13" x14ac:dyDescent="0.3">
      <c r="A1416">
        <v>2001</v>
      </c>
      <c r="B1416">
        <v>3</v>
      </c>
      <c r="C1416">
        <v>28</v>
      </c>
      <c r="D1416">
        <v>0.55575625378226667</v>
      </c>
      <c r="E1416">
        <v>1.5200000000000102E-2</v>
      </c>
      <c r="F1416">
        <f t="shared" si="50"/>
        <v>8.4474950574905099E-3</v>
      </c>
      <c r="M1416" s="31"/>
    </row>
    <row r="1417" spans="1:13" x14ac:dyDescent="0.3">
      <c r="A1417">
        <v>2001</v>
      </c>
      <c r="B1417">
        <v>3</v>
      </c>
      <c r="C1417">
        <v>27</v>
      </c>
      <c r="D1417">
        <v>0.56464349612121167</v>
      </c>
      <c r="E1417">
        <v>1.5200000000000102E-2</v>
      </c>
      <c r="F1417">
        <f t="shared" si="50"/>
        <v>8.5825811410424752E-3</v>
      </c>
      <c r="M1417" s="31"/>
    </row>
    <row r="1418" spans="1:13" x14ac:dyDescent="0.3">
      <c r="A1418">
        <v>2001</v>
      </c>
      <c r="B1418">
        <v>3</v>
      </c>
      <c r="C1418">
        <v>25</v>
      </c>
      <c r="D1418">
        <v>0.57665490494818461</v>
      </c>
      <c r="E1418">
        <v>1.5200000000000102E-2</v>
      </c>
      <c r="F1418">
        <f t="shared" si="50"/>
        <v>8.7651545552124652E-3</v>
      </c>
      <c r="M1418" s="31"/>
    </row>
    <row r="1419" spans="1:13" x14ac:dyDescent="0.3">
      <c r="A1419">
        <v>2001</v>
      </c>
      <c r="B1419">
        <v>3</v>
      </c>
      <c r="C1419">
        <v>24</v>
      </c>
      <c r="D1419">
        <v>0.5937828595537924</v>
      </c>
      <c r="E1419">
        <v>1.5200000000000102E-2</v>
      </c>
      <c r="F1419">
        <f t="shared" si="50"/>
        <v>9.0254994652177057E-3</v>
      </c>
      <c r="M1419" s="31"/>
    </row>
    <row r="1420" spans="1:13" x14ac:dyDescent="0.3">
      <c r="A1420">
        <v>2001</v>
      </c>
      <c r="B1420">
        <v>3</v>
      </c>
      <c r="C1420">
        <v>23</v>
      </c>
      <c r="D1420">
        <v>0.61403753423266272</v>
      </c>
      <c r="E1420">
        <v>1.5200000000000102E-2</v>
      </c>
      <c r="F1420">
        <f t="shared" si="50"/>
        <v>9.3333705203365366E-3</v>
      </c>
      <c r="M1420" s="31"/>
    </row>
    <row r="1421" spans="1:13" x14ac:dyDescent="0.3">
      <c r="A1421">
        <v>2001</v>
      </c>
      <c r="B1421">
        <v>3</v>
      </c>
      <c r="C1421">
        <v>22</v>
      </c>
      <c r="D1421">
        <v>0.64208498633378408</v>
      </c>
      <c r="E1421">
        <v>1.5200000000000102E-2</v>
      </c>
      <c r="F1421">
        <f t="shared" si="50"/>
        <v>9.7596917922735844E-3</v>
      </c>
      <c r="M1421" s="31"/>
    </row>
    <row r="1422" spans="1:13" x14ac:dyDescent="0.3">
      <c r="A1422">
        <v>2001</v>
      </c>
      <c r="B1422">
        <v>3</v>
      </c>
      <c r="C1422">
        <v>21</v>
      </c>
      <c r="D1422">
        <v>0.66721410014550619</v>
      </c>
      <c r="E1422">
        <v>1.5200000000000102E-2</v>
      </c>
      <c r="F1422">
        <f t="shared" si="50"/>
        <v>1.0141654322211762E-2</v>
      </c>
      <c r="M1422" s="31"/>
    </row>
    <row r="1423" spans="1:13" x14ac:dyDescent="0.3">
      <c r="A1423">
        <v>2001</v>
      </c>
      <c r="B1423">
        <v>3</v>
      </c>
      <c r="C1423">
        <v>20</v>
      </c>
      <c r="D1423">
        <v>0.687315144906256</v>
      </c>
      <c r="E1423">
        <v>1.5200000000000102E-2</v>
      </c>
      <c r="F1423">
        <f t="shared" si="50"/>
        <v>1.0447190202575162E-2</v>
      </c>
      <c r="M1423" s="31"/>
    </row>
    <row r="1424" spans="1:13" x14ac:dyDescent="0.3">
      <c r="A1424">
        <v>2001</v>
      </c>
      <c r="B1424">
        <v>3</v>
      </c>
      <c r="C1424">
        <v>19</v>
      </c>
      <c r="D1424">
        <v>0.69849625479886757</v>
      </c>
      <c r="E1424">
        <v>1.5200000000000102E-2</v>
      </c>
      <c r="F1424">
        <f t="shared" si="50"/>
        <v>1.0617143072942859E-2</v>
      </c>
      <c r="M1424" s="31"/>
    </row>
    <row r="1425" spans="1:13" x14ac:dyDescent="0.3">
      <c r="A1425">
        <v>2001</v>
      </c>
      <c r="B1425">
        <v>3</v>
      </c>
      <c r="C1425">
        <v>18</v>
      </c>
      <c r="D1425">
        <v>0.7003874881390022</v>
      </c>
      <c r="E1425">
        <v>1.5200000000000102E-2</v>
      </c>
      <c r="F1425">
        <f t="shared" si="50"/>
        <v>1.0645889819712906E-2</v>
      </c>
      <c r="M1425" s="31"/>
    </row>
    <row r="1426" spans="1:13" x14ac:dyDescent="0.3">
      <c r="A1426">
        <v>2001</v>
      </c>
      <c r="B1426">
        <v>3</v>
      </c>
      <c r="C1426">
        <v>16</v>
      </c>
      <c r="D1426">
        <v>0.68719741197379969</v>
      </c>
      <c r="E1426">
        <v>1.5200000000000102E-2</v>
      </c>
      <c r="F1426">
        <f t="shared" si="50"/>
        <v>1.0445400662001825E-2</v>
      </c>
      <c r="M1426" s="31"/>
    </row>
    <row r="1427" spans="1:13" x14ac:dyDescent="0.3">
      <c r="A1427">
        <v>2001</v>
      </c>
      <c r="B1427">
        <v>3</v>
      </c>
      <c r="C1427">
        <v>15</v>
      </c>
      <c r="D1427">
        <v>0.67047106404883916</v>
      </c>
      <c r="E1427">
        <v>1.5200000000000102E-2</v>
      </c>
      <c r="F1427">
        <f t="shared" si="50"/>
        <v>1.0191160173542425E-2</v>
      </c>
      <c r="M1427" s="31"/>
    </row>
    <row r="1428" spans="1:13" x14ac:dyDescent="0.3">
      <c r="A1428">
        <v>2001</v>
      </c>
      <c r="B1428">
        <v>3</v>
      </c>
      <c r="C1428">
        <v>14</v>
      </c>
      <c r="D1428">
        <v>0.65213319264300651</v>
      </c>
      <c r="E1428">
        <v>1.5200000000000102E-2</v>
      </c>
      <c r="F1428">
        <f t="shared" si="50"/>
        <v>9.9124245281737664E-3</v>
      </c>
      <c r="M1428" s="31"/>
    </row>
    <row r="1429" spans="1:13" x14ac:dyDescent="0.3">
      <c r="A1429">
        <v>2001</v>
      </c>
      <c r="B1429">
        <v>3</v>
      </c>
      <c r="C1429">
        <v>13</v>
      </c>
      <c r="D1429">
        <v>0.63788081622810544</v>
      </c>
      <c r="E1429">
        <v>1.5200000000000102E-2</v>
      </c>
      <c r="F1429">
        <f t="shared" si="50"/>
        <v>9.6957884066672679E-3</v>
      </c>
      <c r="M1429" s="31"/>
    </row>
    <row r="1430" spans="1:13" x14ac:dyDescent="0.3">
      <c r="A1430">
        <v>2001</v>
      </c>
      <c r="B1430">
        <v>3</v>
      </c>
      <c r="C1430">
        <v>12</v>
      </c>
      <c r="D1430">
        <v>0.62476210519853836</v>
      </c>
      <c r="E1430">
        <v>1.5200000000000102E-2</v>
      </c>
      <c r="F1430">
        <f t="shared" si="50"/>
        <v>9.4963839990178465E-3</v>
      </c>
      <c r="M1430" s="31"/>
    </row>
    <row r="1431" spans="1:13" x14ac:dyDescent="0.3">
      <c r="A1431">
        <v>2001</v>
      </c>
      <c r="B1431">
        <v>3</v>
      </c>
      <c r="C1431">
        <v>11</v>
      </c>
      <c r="D1431">
        <v>0.61341300764536633</v>
      </c>
      <c r="E1431">
        <v>1.5200000000000102E-2</v>
      </c>
      <c r="F1431">
        <f t="shared" si="50"/>
        <v>9.323877716209631E-3</v>
      </c>
      <c r="M1431" s="31"/>
    </row>
    <row r="1432" spans="1:13" x14ac:dyDescent="0.3">
      <c r="A1432">
        <v>2001</v>
      </c>
      <c r="B1432">
        <v>3</v>
      </c>
      <c r="C1432">
        <v>10</v>
      </c>
      <c r="D1432">
        <v>0.60614878254292759</v>
      </c>
      <c r="E1432">
        <v>1.5200000000000102E-2</v>
      </c>
      <c r="F1432">
        <f t="shared" si="50"/>
        <v>9.2134614946525611E-3</v>
      </c>
      <c r="M1432" s="31"/>
    </row>
    <row r="1433" spans="1:13" x14ac:dyDescent="0.3">
      <c r="A1433">
        <v>2001</v>
      </c>
      <c r="B1433">
        <v>3</v>
      </c>
      <c r="C1433">
        <v>9</v>
      </c>
      <c r="D1433">
        <v>0.60357940828475942</v>
      </c>
      <c r="E1433">
        <v>1.5200000000000102E-2</v>
      </c>
      <c r="F1433">
        <f t="shared" si="50"/>
        <v>9.1744070059284043E-3</v>
      </c>
      <c r="M1433" s="31"/>
    </row>
    <row r="1434" spans="1:13" x14ac:dyDescent="0.3">
      <c r="A1434">
        <v>2001</v>
      </c>
      <c r="B1434">
        <v>3</v>
      </c>
      <c r="C1434">
        <v>7</v>
      </c>
      <c r="D1434">
        <v>0.60114400216035435</v>
      </c>
      <c r="E1434">
        <v>1.5200000000000102E-2</v>
      </c>
      <c r="F1434">
        <f t="shared" si="50"/>
        <v>9.1373888328374481E-3</v>
      </c>
      <c r="M1434" s="31"/>
    </row>
    <row r="1435" spans="1:13" x14ac:dyDescent="0.3">
      <c r="A1435">
        <v>2001</v>
      </c>
      <c r="B1435">
        <v>3</v>
      </c>
      <c r="C1435">
        <v>6</v>
      </c>
      <c r="D1435">
        <v>0.60000770362241429</v>
      </c>
      <c r="E1435">
        <v>1.5200000000000102E-2</v>
      </c>
      <c r="F1435">
        <f t="shared" si="50"/>
        <v>9.1201170950607584E-3</v>
      </c>
      <c r="M1435" s="31"/>
    </row>
    <row r="1436" spans="1:13" x14ac:dyDescent="0.3">
      <c r="A1436">
        <v>2001</v>
      </c>
      <c r="B1436">
        <v>3</v>
      </c>
      <c r="C1436">
        <v>5</v>
      </c>
      <c r="D1436">
        <v>0.60016758871909559</v>
      </c>
      <c r="E1436">
        <v>1.5200000000000102E-2</v>
      </c>
      <c r="F1436">
        <f t="shared" si="50"/>
        <v>9.1225473485303139E-3</v>
      </c>
      <c r="M1436" s="31"/>
    </row>
    <row r="1437" spans="1:13" x14ac:dyDescent="0.3">
      <c r="A1437">
        <v>2001</v>
      </c>
      <c r="B1437">
        <v>3</v>
      </c>
      <c r="C1437">
        <v>4</v>
      </c>
      <c r="D1437">
        <v>0.59838563053330152</v>
      </c>
      <c r="E1437">
        <v>1.5200000000000102E-2</v>
      </c>
      <c r="F1437">
        <f t="shared" si="50"/>
        <v>9.0954615841062434E-3</v>
      </c>
      <c r="M1437" s="31"/>
    </row>
    <row r="1438" spans="1:13" x14ac:dyDescent="0.3">
      <c r="A1438">
        <v>2001</v>
      </c>
      <c r="B1438">
        <v>3</v>
      </c>
      <c r="C1438">
        <v>3</v>
      </c>
      <c r="D1438">
        <v>0.59376349100362646</v>
      </c>
      <c r="E1438">
        <v>1.5200000000000102E-2</v>
      </c>
      <c r="F1438">
        <f t="shared" si="50"/>
        <v>9.0252050632551838E-3</v>
      </c>
      <c r="M1438" s="31"/>
    </row>
    <row r="1439" spans="1:13" x14ac:dyDescent="0.3">
      <c r="A1439">
        <v>2001</v>
      </c>
      <c r="B1439">
        <v>3</v>
      </c>
      <c r="C1439">
        <v>2</v>
      </c>
      <c r="D1439">
        <v>0.58876628833689204</v>
      </c>
      <c r="E1439">
        <v>1.5200000000000102E-2</v>
      </c>
      <c r="F1439">
        <f t="shared" si="50"/>
        <v>8.94924758272082E-3</v>
      </c>
      <c r="M1439" s="31"/>
    </row>
    <row r="1440" spans="1:13" x14ac:dyDescent="0.3">
      <c r="A1440">
        <v>2001</v>
      </c>
      <c r="B1440">
        <v>3</v>
      </c>
      <c r="C1440">
        <v>1</v>
      </c>
      <c r="D1440">
        <v>0.58635390134747467</v>
      </c>
      <c r="E1440">
        <v>1.5200000000000102E-2</v>
      </c>
      <c r="F1440">
        <f t="shared" si="50"/>
        <v>8.9125793004816746E-3</v>
      </c>
      <c r="M1440" s="31"/>
    </row>
    <row r="1441" spans="1:13" x14ac:dyDescent="0.3">
      <c r="A1441">
        <v>2001</v>
      </c>
      <c r="B1441">
        <v>2</v>
      </c>
      <c r="C1441">
        <v>28</v>
      </c>
      <c r="D1441">
        <v>0.58574495360646195</v>
      </c>
      <c r="E1441">
        <v>1.5200000000000102E-2</v>
      </c>
      <c r="F1441">
        <f t="shared" si="50"/>
        <v>8.9033232948182821E-3</v>
      </c>
      <c r="M1441" s="31"/>
    </row>
    <row r="1442" spans="1:13" x14ac:dyDescent="0.3">
      <c r="A1442">
        <v>2001</v>
      </c>
      <c r="B1442">
        <v>2</v>
      </c>
      <c r="C1442">
        <v>12</v>
      </c>
      <c r="D1442">
        <v>0.58655033289341962</v>
      </c>
      <c r="E1442">
        <v>1.5200000000000102E-2</v>
      </c>
      <c r="F1442">
        <f t="shared" si="50"/>
        <v>8.9155650599800386E-3</v>
      </c>
      <c r="M1442" s="31"/>
    </row>
    <row r="1443" spans="1:13" x14ac:dyDescent="0.3">
      <c r="A1443">
        <v>2001</v>
      </c>
      <c r="B1443">
        <v>1</v>
      </c>
      <c r="C1443">
        <v>28</v>
      </c>
      <c r="D1443">
        <v>0.5887705827930646</v>
      </c>
      <c r="E1443">
        <v>1.5200000000000102E-2</v>
      </c>
      <c r="F1443">
        <f t="shared" si="50"/>
        <v>8.9493128584546416E-3</v>
      </c>
      <c r="M1443" s="31"/>
    </row>
    <row r="1444" spans="1:13" x14ac:dyDescent="0.3">
      <c r="A1444">
        <v>2001</v>
      </c>
      <c r="B1444">
        <v>1</v>
      </c>
      <c r="C1444">
        <v>13</v>
      </c>
      <c r="D1444">
        <v>0.59137797348428767</v>
      </c>
      <c r="E1444">
        <v>1.5200000000000102E-2</v>
      </c>
      <c r="F1444">
        <f t="shared" si="50"/>
        <v>8.9889451969612337E-3</v>
      </c>
      <c r="M1444" s="31"/>
    </row>
    <row r="1445" spans="1:13" x14ac:dyDescent="0.3">
      <c r="A1445">
        <v>2000</v>
      </c>
      <c r="B1445">
        <v>12</v>
      </c>
      <c r="C1445">
        <v>29</v>
      </c>
      <c r="D1445">
        <v>0.59837279805417842</v>
      </c>
      <c r="E1445">
        <v>1.5200000000000102E-2</v>
      </c>
      <c r="F1445">
        <f t="shared" si="50"/>
        <v>9.0952665304235725E-3</v>
      </c>
      <c r="M1445" s="31"/>
    </row>
    <row r="1446" spans="1:13" x14ac:dyDescent="0.3">
      <c r="A1446">
        <v>2000</v>
      </c>
      <c r="B1446">
        <v>12</v>
      </c>
      <c r="C1446">
        <v>14</v>
      </c>
      <c r="D1446">
        <v>0.60499537808306869</v>
      </c>
      <c r="E1446">
        <v>1.5200000000000102E-2</v>
      </c>
      <c r="F1446">
        <f t="shared" si="50"/>
        <v>9.1959297468627056E-3</v>
      </c>
      <c r="M1446" s="31"/>
    </row>
    <row r="1447" spans="1:13" x14ac:dyDescent="0.3">
      <c r="A1447">
        <v>2000</v>
      </c>
      <c r="B1447">
        <v>11</v>
      </c>
      <c r="C1447">
        <v>28</v>
      </c>
      <c r="D1447">
        <v>0.61318909895961027</v>
      </c>
      <c r="E1447">
        <v>1.5200000000000102E-2</v>
      </c>
      <c r="F1447">
        <f t="shared" si="50"/>
        <v>9.3204743041861386E-3</v>
      </c>
      <c r="M1447" s="31"/>
    </row>
    <row r="1448" spans="1:13" x14ac:dyDescent="0.3">
      <c r="A1448">
        <v>2000</v>
      </c>
      <c r="B1448">
        <v>11</v>
      </c>
      <c r="C1448">
        <v>13</v>
      </c>
      <c r="D1448">
        <v>0.62348912068407047</v>
      </c>
      <c r="E1448">
        <v>1.5200000000000102E-2</v>
      </c>
      <c r="F1448">
        <f t="shared" si="50"/>
        <v>9.4770346343979357E-3</v>
      </c>
      <c r="M1448" s="31"/>
    </row>
    <row r="1449" spans="1:13" x14ac:dyDescent="0.3">
      <c r="A1449">
        <v>2000</v>
      </c>
      <c r="B1449">
        <v>10</v>
      </c>
      <c r="C1449">
        <v>29</v>
      </c>
      <c r="D1449">
        <v>0.6348716997988969</v>
      </c>
      <c r="E1449">
        <v>1.5200000000000102E-2</v>
      </c>
      <c r="F1449">
        <f t="shared" si="50"/>
        <v>9.6500498369432985E-3</v>
      </c>
      <c r="M1449" s="31"/>
    </row>
    <row r="1450" spans="1:13" x14ac:dyDescent="0.3">
      <c r="A1450">
        <v>2000</v>
      </c>
      <c r="B1450">
        <v>10</v>
      </c>
      <c r="C1450">
        <v>14</v>
      </c>
      <c r="D1450">
        <v>0.64144127688685348</v>
      </c>
      <c r="E1450">
        <v>1.5200000000000102E-2</v>
      </c>
      <c r="F1450">
        <f t="shared" si="50"/>
        <v>9.7499074086802393E-3</v>
      </c>
      <c r="M1450" s="31"/>
    </row>
    <row r="1451" spans="1:13" x14ac:dyDescent="0.3">
      <c r="A1451">
        <v>2000</v>
      </c>
      <c r="B1451">
        <v>9</v>
      </c>
      <c r="C1451">
        <v>29</v>
      </c>
      <c r="D1451">
        <v>0.64697238186160355</v>
      </c>
      <c r="E1451">
        <v>1.5200000000000102E-2</v>
      </c>
      <c r="F1451">
        <f t="shared" si="50"/>
        <v>9.83398020429644E-3</v>
      </c>
      <c r="M1451" s="31"/>
    </row>
    <row r="1452" spans="1:13" x14ac:dyDescent="0.3">
      <c r="A1452">
        <v>2000</v>
      </c>
      <c r="B1452">
        <v>9</v>
      </c>
      <c r="C1452">
        <v>13</v>
      </c>
      <c r="D1452">
        <v>0.65027559472573049</v>
      </c>
      <c r="E1452">
        <v>1.5200000000000102E-2</v>
      </c>
      <c r="F1452">
        <f t="shared" si="50"/>
        <v>9.8841890398311694E-3</v>
      </c>
      <c r="M1452" s="31"/>
    </row>
    <row r="1453" spans="1:13" x14ac:dyDescent="0.3">
      <c r="A1453">
        <v>2000</v>
      </c>
      <c r="B1453">
        <v>8</v>
      </c>
      <c r="C1453">
        <v>29</v>
      </c>
      <c r="D1453">
        <v>0.65371247974889723</v>
      </c>
      <c r="E1453">
        <v>1.5200000000000102E-2</v>
      </c>
      <c r="F1453">
        <f t="shared" si="50"/>
        <v>9.9364296921833056E-3</v>
      </c>
      <c r="M1453" s="31"/>
    </row>
    <row r="1454" spans="1:13" x14ac:dyDescent="0.3">
      <c r="A1454">
        <v>2000</v>
      </c>
      <c r="B1454">
        <v>8</v>
      </c>
      <c r="C1454">
        <v>14</v>
      </c>
      <c r="D1454">
        <v>0.65543941093728841</v>
      </c>
      <c r="E1454">
        <v>1.5200000000000102E-2</v>
      </c>
      <c r="F1454">
        <f t="shared" si="50"/>
        <v>9.9626790462468504E-3</v>
      </c>
      <c r="M1454" s="31"/>
    </row>
    <row r="1455" spans="1:13" x14ac:dyDescent="0.3">
      <c r="A1455">
        <v>2000</v>
      </c>
      <c r="B1455">
        <v>7</v>
      </c>
      <c r="C1455">
        <v>30</v>
      </c>
      <c r="D1455">
        <v>0.65650794257757639</v>
      </c>
      <c r="E1455">
        <v>1.5200000000000102E-2</v>
      </c>
      <c r="F1455">
        <f t="shared" si="50"/>
        <v>9.9789207271792288E-3</v>
      </c>
      <c r="M1455" s="31"/>
    </row>
    <row r="1456" spans="1:13" x14ac:dyDescent="0.3">
      <c r="A1456">
        <v>2000</v>
      </c>
      <c r="B1456">
        <v>7</v>
      </c>
      <c r="C1456">
        <v>15</v>
      </c>
      <c r="D1456">
        <v>0.65863025968281586</v>
      </c>
      <c r="E1456">
        <v>1.5200000000000102E-2</v>
      </c>
      <c r="F1456">
        <f t="shared" si="50"/>
        <v>1.0011179947178869E-2</v>
      </c>
      <c r="M1456" s="31"/>
    </row>
    <row r="1457" spans="1:13" x14ac:dyDescent="0.3">
      <c r="A1457">
        <v>2000</v>
      </c>
      <c r="B1457">
        <v>6</v>
      </c>
      <c r="C1457">
        <v>30</v>
      </c>
      <c r="D1457">
        <v>0.66154427953222572</v>
      </c>
      <c r="E1457">
        <v>1.5200000000000102E-2</v>
      </c>
      <c r="F1457">
        <f t="shared" si="50"/>
        <v>1.0055473048889898E-2</v>
      </c>
      <c r="M1457" s="31"/>
    </row>
    <row r="1458" spans="1:13" x14ac:dyDescent="0.3">
      <c r="A1458">
        <v>2000</v>
      </c>
      <c r="B1458">
        <v>6</v>
      </c>
      <c r="C1458">
        <v>28</v>
      </c>
      <c r="D1458">
        <v>0.66063516984390425</v>
      </c>
      <c r="E1458">
        <v>1.5200000000000102E-2</v>
      </c>
      <c r="F1458">
        <f t="shared" si="50"/>
        <v>1.0041654581627412E-2</v>
      </c>
      <c r="M1458" s="31"/>
    </row>
    <row r="1459" spans="1:13" x14ac:dyDescent="0.3">
      <c r="A1459">
        <v>2000</v>
      </c>
      <c r="B1459">
        <v>6</v>
      </c>
      <c r="C1459">
        <v>26</v>
      </c>
      <c r="D1459">
        <v>0.65801526470488325</v>
      </c>
      <c r="E1459">
        <v>1.5200000000000102E-2</v>
      </c>
      <c r="F1459">
        <f t="shared" si="50"/>
        <v>1.0001832023514293E-2</v>
      </c>
      <c r="M1459" s="31"/>
    </row>
    <row r="1460" spans="1:13" x14ac:dyDescent="0.3">
      <c r="A1460">
        <v>2000</v>
      </c>
      <c r="B1460">
        <v>6</v>
      </c>
      <c r="C1460">
        <v>25</v>
      </c>
      <c r="D1460">
        <v>0.65474225185008983</v>
      </c>
      <c r="E1460">
        <v>1.5200000000000102E-2</v>
      </c>
      <c r="F1460">
        <f t="shared" si="50"/>
        <v>9.9520822281214325E-3</v>
      </c>
      <c r="M1460" s="31"/>
    </row>
    <row r="1461" spans="1:13" x14ac:dyDescent="0.3">
      <c r="A1461">
        <v>2000</v>
      </c>
      <c r="B1461">
        <v>6</v>
      </c>
      <c r="C1461">
        <v>23</v>
      </c>
      <c r="D1461">
        <v>0.64963846922511759</v>
      </c>
      <c r="E1461">
        <v>1.5200000000000102E-2</v>
      </c>
      <c r="F1461">
        <f t="shared" si="50"/>
        <v>9.8745047322218536E-3</v>
      </c>
      <c r="M1461" s="31"/>
    </row>
    <row r="1462" spans="1:13" x14ac:dyDescent="0.3">
      <c r="A1462">
        <v>2000</v>
      </c>
      <c r="B1462">
        <v>6</v>
      </c>
      <c r="C1462">
        <v>22</v>
      </c>
      <c r="D1462">
        <v>0.64480904671950456</v>
      </c>
      <c r="E1462">
        <v>1.5200000000000102E-2</v>
      </c>
      <c r="F1462">
        <f t="shared" si="50"/>
        <v>9.8010975101365354E-3</v>
      </c>
      <c r="M1462" s="31"/>
    </row>
    <row r="1463" spans="1:13" x14ac:dyDescent="0.3">
      <c r="A1463">
        <v>2000</v>
      </c>
      <c r="B1463">
        <v>6</v>
      </c>
      <c r="C1463">
        <v>20</v>
      </c>
      <c r="D1463">
        <v>0.6410364633501402</v>
      </c>
      <c r="E1463">
        <v>1.5200000000000102E-2</v>
      </c>
      <c r="F1463">
        <f t="shared" si="50"/>
        <v>9.7437542429221966E-3</v>
      </c>
      <c r="M1463" s="31"/>
    </row>
    <row r="1464" spans="1:13" x14ac:dyDescent="0.3">
      <c r="A1464">
        <v>2000</v>
      </c>
      <c r="B1464">
        <v>6</v>
      </c>
      <c r="C1464">
        <v>19</v>
      </c>
      <c r="D1464">
        <v>0.63779300696072028</v>
      </c>
      <c r="E1464">
        <v>1.5200000000000102E-2</v>
      </c>
      <c r="F1464">
        <f t="shared" si="50"/>
        <v>9.6944537058030137E-3</v>
      </c>
      <c r="M1464" s="31"/>
    </row>
    <row r="1465" spans="1:13" x14ac:dyDescent="0.3">
      <c r="A1465">
        <v>2000</v>
      </c>
      <c r="B1465">
        <v>6</v>
      </c>
      <c r="C1465">
        <v>17</v>
      </c>
      <c r="D1465">
        <v>0.6355975608356027</v>
      </c>
      <c r="E1465">
        <v>1.5200000000000102E-2</v>
      </c>
      <c r="F1465">
        <f t="shared" si="50"/>
        <v>9.6610829247012267E-3</v>
      </c>
      <c r="M1465" s="31"/>
    </row>
    <row r="1466" spans="1:13" x14ac:dyDescent="0.3">
      <c r="A1466">
        <v>2000</v>
      </c>
      <c r="B1466">
        <v>6</v>
      </c>
      <c r="C1466">
        <v>16</v>
      </c>
      <c r="D1466">
        <v>0.63522795846664915</v>
      </c>
      <c r="E1466">
        <v>1.5200000000000102E-2</v>
      </c>
      <c r="F1466">
        <f t="shared" si="50"/>
        <v>9.6554649686931317E-3</v>
      </c>
      <c r="M1466" s="31"/>
    </row>
    <row r="1467" spans="1:13" x14ac:dyDescent="0.3">
      <c r="A1467">
        <v>2000</v>
      </c>
      <c r="B1467">
        <v>6</v>
      </c>
      <c r="C1467">
        <v>14</v>
      </c>
      <c r="D1467">
        <v>0.63550957166806654</v>
      </c>
      <c r="E1467">
        <v>1.5200000000000102E-2</v>
      </c>
      <c r="F1467">
        <f t="shared" si="50"/>
        <v>9.6597454893546757E-3</v>
      </c>
      <c r="M1467" s="31"/>
    </row>
    <row r="1468" spans="1:13" x14ac:dyDescent="0.3">
      <c r="A1468">
        <v>2000</v>
      </c>
      <c r="B1468">
        <v>6</v>
      </c>
      <c r="C1468">
        <v>13</v>
      </c>
      <c r="D1468">
        <v>0.6360510434108877</v>
      </c>
      <c r="E1468">
        <v>1.5200000000000102E-2</v>
      </c>
      <c r="F1468">
        <f t="shared" si="50"/>
        <v>9.6679758598455581E-3</v>
      </c>
      <c r="M1468" s="31"/>
    </row>
    <row r="1469" spans="1:13" x14ac:dyDescent="0.3">
      <c r="A1469">
        <v>2000</v>
      </c>
      <c r="B1469">
        <v>6</v>
      </c>
      <c r="C1469">
        <v>11</v>
      </c>
      <c r="D1469">
        <v>0.63815527630415703</v>
      </c>
      <c r="E1469">
        <v>1.5200000000000102E-2</v>
      </c>
      <c r="F1469">
        <f t="shared" si="50"/>
        <v>9.6999601998232522E-3</v>
      </c>
      <c r="M1469" s="31"/>
    </row>
    <row r="1470" spans="1:13" x14ac:dyDescent="0.3">
      <c r="A1470">
        <v>2000</v>
      </c>
      <c r="B1470">
        <v>6</v>
      </c>
      <c r="C1470">
        <v>10</v>
      </c>
      <c r="D1470">
        <v>0.64130294631547458</v>
      </c>
      <c r="E1470">
        <v>1.5200000000000102E-2</v>
      </c>
      <c r="F1470">
        <f t="shared" si="50"/>
        <v>9.747804783995279E-3</v>
      </c>
      <c r="M1470" s="31"/>
    </row>
    <row r="1471" spans="1:13" x14ac:dyDescent="0.3">
      <c r="A1471">
        <v>2000</v>
      </c>
      <c r="B1471">
        <v>6</v>
      </c>
      <c r="C1471">
        <v>8</v>
      </c>
      <c r="D1471">
        <v>0.64667202219215147</v>
      </c>
      <c r="E1471">
        <v>1.5200000000000102E-2</v>
      </c>
      <c r="F1471">
        <f t="shared" si="50"/>
        <v>9.8294147373207685E-3</v>
      </c>
      <c r="M1471" s="31"/>
    </row>
    <row r="1472" spans="1:13" x14ac:dyDescent="0.3">
      <c r="A1472">
        <v>2000</v>
      </c>
      <c r="B1472">
        <v>6</v>
      </c>
      <c r="C1472">
        <v>7</v>
      </c>
      <c r="D1472">
        <v>0.65453632373615001</v>
      </c>
      <c r="E1472">
        <v>1.5200000000000102E-2</v>
      </c>
      <c r="F1472">
        <f t="shared" si="50"/>
        <v>9.9489521207895473E-3</v>
      </c>
      <c r="M1472" s="31"/>
    </row>
    <row r="1473" spans="1:13" x14ac:dyDescent="0.3">
      <c r="A1473">
        <v>2000</v>
      </c>
      <c r="B1473">
        <v>6</v>
      </c>
      <c r="C1473">
        <v>5</v>
      </c>
      <c r="D1473">
        <v>0.66425855610039186</v>
      </c>
      <c r="E1473">
        <v>1.5200000000000102E-2</v>
      </c>
      <c r="F1473">
        <f t="shared" si="50"/>
        <v>1.0096730052726025E-2</v>
      </c>
      <c r="M1473" s="31"/>
    </row>
    <row r="1474" spans="1:13" x14ac:dyDescent="0.3">
      <c r="A1474">
        <v>2000</v>
      </c>
      <c r="B1474">
        <v>6</v>
      </c>
      <c r="C1474">
        <v>4</v>
      </c>
      <c r="D1474">
        <v>0.67387831362625106</v>
      </c>
      <c r="E1474">
        <v>1.5200000000000102E-2</v>
      </c>
      <c r="F1474">
        <f t="shared" si="50"/>
        <v>1.0242950367119086E-2</v>
      </c>
      <c r="M1474" s="31"/>
    </row>
    <row r="1475" spans="1:13" x14ac:dyDescent="0.3">
      <c r="A1475">
        <v>2000</v>
      </c>
      <c r="B1475">
        <v>6</v>
      </c>
      <c r="C1475">
        <v>2</v>
      </c>
      <c r="D1475">
        <v>0.68088269872527063</v>
      </c>
      <c r="E1475">
        <v>1.5200000000000102E-2</v>
      </c>
      <c r="F1475">
        <f t="shared" ref="F1475:F1538" si="51">D1475*E1475</f>
        <v>1.0349417020624183E-2</v>
      </c>
      <c r="M1475" s="31"/>
    </row>
    <row r="1476" spans="1:13" x14ac:dyDescent="0.3">
      <c r="A1476">
        <v>2000</v>
      </c>
      <c r="B1476">
        <v>6</v>
      </c>
      <c r="C1476">
        <v>1</v>
      </c>
      <c r="D1476">
        <v>0.68379876959175423</v>
      </c>
      <c r="E1476">
        <v>1.5200000000000102E-2</v>
      </c>
      <c r="F1476">
        <f t="shared" si="51"/>
        <v>1.0393741297794735E-2</v>
      </c>
      <c r="M1476" s="31"/>
    </row>
    <row r="1477" spans="1:13" x14ac:dyDescent="0.3">
      <c r="A1477">
        <v>2000</v>
      </c>
      <c r="B1477">
        <v>5</v>
      </c>
      <c r="C1477">
        <v>30</v>
      </c>
      <c r="D1477">
        <v>0.67865569039629314</v>
      </c>
      <c r="E1477">
        <v>1.5200000000000102E-2</v>
      </c>
      <c r="F1477">
        <f t="shared" si="51"/>
        <v>1.0315566494023725E-2</v>
      </c>
      <c r="M1477" s="31"/>
    </row>
    <row r="1478" spans="1:13" x14ac:dyDescent="0.3">
      <c r="A1478">
        <v>2000</v>
      </c>
      <c r="B1478">
        <v>5</v>
      </c>
      <c r="C1478">
        <v>29</v>
      </c>
      <c r="D1478">
        <v>0.66695004736129837</v>
      </c>
      <c r="E1478">
        <v>1.5200000000000102E-2</v>
      </c>
      <c r="F1478">
        <f t="shared" si="51"/>
        <v>1.0137640719891804E-2</v>
      </c>
      <c r="M1478" s="31"/>
    </row>
    <row r="1479" spans="1:13" x14ac:dyDescent="0.3">
      <c r="A1479">
        <v>2000</v>
      </c>
      <c r="B1479">
        <v>5</v>
      </c>
      <c r="C1479">
        <v>27</v>
      </c>
      <c r="D1479">
        <v>0.64838058441654778</v>
      </c>
      <c r="E1479">
        <v>1.5200000000000102E-2</v>
      </c>
      <c r="F1479">
        <f t="shared" si="51"/>
        <v>9.8553848831315922E-3</v>
      </c>
      <c r="M1479" s="31"/>
    </row>
    <row r="1480" spans="1:13" x14ac:dyDescent="0.3">
      <c r="A1480">
        <v>2000</v>
      </c>
      <c r="B1480">
        <v>5</v>
      </c>
      <c r="C1480">
        <v>26</v>
      </c>
      <c r="D1480">
        <v>0.62568253435361942</v>
      </c>
      <c r="E1480">
        <v>1.5200000000000102E-2</v>
      </c>
      <c r="F1480">
        <f t="shared" si="51"/>
        <v>9.5103745221750795E-3</v>
      </c>
      <c r="M1480" s="31"/>
    </row>
    <row r="1481" spans="1:13" x14ac:dyDescent="0.3">
      <c r="A1481">
        <v>2000</v>
      </c>
      <c r="B1481">
        <v>5</v>
      </c>
      <c r="C1481">
        <v>24</v>
      </c>
      <c r="D1481">
        <v>0.6019172616250259</v>
      </c>
      <c r="E1481">
        <v>1.5200000000000102E-2</v>
      </c>
      <c r="F1481">
        <f t="shared" si="51"/>
        <v>9.1491423767004545E-3</v>
      </c>
      <c r="M1481" s="31"/>
    </row>
    <row r="1482" spans="1:13" x14ac:dyDescent="0.3">
      <c r="A1482">
        <v>2000</v>
      </c>
      <c r="B1482">
        <v>5</v>
      </c>
      <c r="C1482">
        <v>23</v>
      </c>
      <c r="D1482">
        <v>0.57991417841760218</v>
      </c>
      <c r="E1482">
        <v>1.5200000000000102E-2</v>
      </c>
      <c r="F1482">
        <f t="shared" si="51"/>
        <v>8.8146955119476119E-3</v>
      </c>
      <c r="M1482" s="31"/>
    </row>
    <row r="1483" spans="1:13" x14ac:dyDescent="0.3">
      <c r="A1483">
        <v>2000</v>
      </c>
      <c r="B1483">
        <v>5</v>
      </c>
      <c r="C1483">
        <v>21</v>
      </c>
      <c r="D1483">
        <v>0.55975870665479954</v>
      </c>
      <c r="E1483">
        <v>1.5200000000000102E-2</v>
      </c>
      <c r="F1483">
        <f t="shared" si="51"/>
        <v>8.5083323411530107E-3</v>
      </c>
      <c r="M1483" s="31"/>
    </row>
    <row r="1484" spans="1:13" x14ac:dyDescent="0.3">
      <c r="A1484">
        <v>2000</v>
      </c>
      <c r="B1484">
        <v>5</v>
      </c>
      <c r="C1484">
        <v>20</v>
      </c>
      <c r="D1484">
        <v>0.54352949331840439</v>
      </c>
      <c r="E1484">
        <v>1.5200000000000102E-2</v>
      </c>
      <c r="F1484">
        <f t="shared" si="51"/>
        <v>8.2616482984398023E-3</v>
      </c>
      <c r="M1484" s="31"/>
    </row>
    <row r="1485" spans="1:13" x14ac:dyDescent="0.3">
      <c r="A1485">
        <v>2000</v>
      </c>
      <c r="B1485">
        <v>5</v>
      </c>
      <c r="C1485">
        <v>18</v>
      </c>
      <c r="D1485">
        <v>0.53250728456999086</v>
      </c>
      <c r="E1485">
        <v>1.5200000000000102E-2</v>
      </c>
      <c r="F1485">
        <f t="shared" si="51"/>
        <v>8.0941107254639162E-3</v>
      </c>
      <c r="M1485" s="31"/>
    </row>
    <row r="1486" spans="1:13" x14ac:dyDescent="0.3">
      <c r="A1486">
        <v>2000</v>
      </c>
      <c r="B1486">
        <v>5</v>
      </c>
      <c r="C1486">
        <v>17</v>
      </c>
      <c r="D1486">
        <v>0.52191715757684698</v>
      </c>
      <c r="E1486">
        <v>1.5200000000000102E-2</v>
      </c>
      <c r="F1486">
        <f t="shared" si="51"/>
        <v>7.9331407951681275E-3</v>
      </c>
      <c r="M1486" s="31"/>
    </row>
    <row r="1487" spans="1:13" x14ac:dyDescent="0.3">
      <c r="A1487">
        <v>2000</v>
      </c>
      <c r="B1487">
        <v>5</v>
      </c>
      <c r="C1487">
        <v>15</v>
      </c>
      <c r="D1487">
        <v>0.51289524820431054</v>
      </c>
      <c r="E1487">
        <v>1.5200000000000102E-2</v>
      </c>
      <c r="F1487">
        <f t="shared" si="51"/>
        <v>7.7960077727055729E-3</v>
      </c>
      <c r="M1487" s="31"/>
    </row>
    <row r="1488" spans="1:13" x14ac:dyDescent="0.3">
      <c r="A1488">
        <v>2000</v>
      </c>
      <c r="B1488">
        <v>5</v>
      </c>
      <c r="C1488">
        <v>14</v>
      </c>
      <c r="D1488">
        <v>0.50464124284549694</v>
      </c>
      <c r="E1488">
        <v>1.5200000000000102E-2</v>
      </c>
      <c r="F1488">
        <f t="shared" si="51"/>
        <v>7.6705468912516049E-3</v>
      </c>
      <c r="M1488" s="31"/>
    </row>
    <row r="1489" spans="1:13" x14ac:dyDescent="0.3">
      <c r="A1489">
        <v>2000</v>
      </c>
      <c r="B1489">
        <v>5</v>
      </c>
      <c r="C1489">
        <v>12</v>
      </c>
      <c r="D1489">
        <v>0.4954388618664155</v>
      </c>
      <c r="E1489">
        <v>1.5200000000000102E-2</v>
      </c>
      <c r="F1489">
        <f t="shared" si="51"/>
        <v>7.5306707003695668E-3</v>
      </c>
      <c r="M1489" s="31"/>
    </row>
    <row r="1490" spans="1:13" x14ac:dyDescent="0.3">
      <c r="A1490">
        <v>2000</v>
      </c>
      <c r="B1490">
        <v>5</v>
      </c>
      <c r="C1490">
        <v>11</v>
      </c>
      <c r="D1490">
        <v>0.48154216643681796</v>
      </c>
      <c r="E1490">
        <v>1.5200000000000102E-2</v>
      </c>
      <c r="F1490">
        <f t="shared" si="51"/>
        <v>7.3194409298396827E-3</v>
      </c>
      <c r="M1490" s="31"/>
    </row>
    <row r="1491" spans="1:13" x14ac:dyDescent="0.3">
      <c r="A1491">
        <v>2000</v>
      </c>
      <c r="B1491">
        <v>5</v>
      </c>
      <c r="C1491">
        <v>9</v>
      </c>
      <c r="D1491">
        <v>0.46629129796370267</v>
      </c>
      <c r="E1491">
        <v>1.5200000000000102E-2</v>
      </c>
      <c r="F1491">
        <f t="shared" si="51"/>
        <v>7.0876277290483286E-3</v>
      </c>
      <c r="M1491" s="31"/>
    </row>
    <row r="1492" spans="1:13" x14ac:dyDescent="0.3">
      <c r="A1492">
        <v>2000</v>
      </c>
      <c r="B1492">
        <v>5</v>
      </c>
      <c r="C1492">
        <v>8</v>
      </c>
      <c r="D1492">
        <v>0.45174887023831101</v>
      </c>
      <c r="E1492">
        <v>1.5200000000000102E-2</v>
      </c>
      <c r="F1492">
        <f t="shared" si="51"/>
        <v>6.8665828276223738E-3</v>
      </c>
      <c r="M1492" s="31"/>
    </row>
    <row r="1493" spans="1:13" x14ac:dyDescent="0.3">
      <c r="A1493">
        <v>2000</v>
      </c>
      <c r="B1493">
        <v>5</v>
      </c>
      <c r="C1493">
        <v>6</v>
      </c>
      <c r="D1493">
        <v>0.43885153478405525</v>
      </c>
      <c r="E1493">
        <v>1.5200000000000102E-2</v>
      </c>
      <c r="F1493">
        <f t="shared" si="51"/>
        <v>6.6705433287176851E-3</v>
      </c>
      <c r="M1493" s="31"/>
    </row>
    <row r="1494" spans="1:13" x14ac:dyDescent="0.3">
      <c r="A1494">
        <v>2000</v>
      </c>
      <c r="B1494">
        <v>5</v>
      </c>
      <c r="C1494">
        <v>5</v>
      </c>
      <c r="D1494">
        <v>0.43181602227916571</v>
      </c>
      <c r="E1494">
        <v>1.5200000000000102E-2</v>
      </c>
      <c r="F1494">
        <f t="shared" si="51"/>
        <v>6.5636035386433629E-3</v>
      </c>
      <c r="M1494" s="31"/>
    </row>
    <row r="1495" spans="1:13" x14ac:dyDescent="0.3">
      <c r="A1495">
        <v>2000</v>
      </c>
      <c r="B1495">
        <v>5</v>
      </c>
      <c r="C1495">
        <v>3</v>
      </c>
      <c r="D1495">
        <v>0.43530736556255278</v>
      </c>
      <c r="E1495">
        <v>1.5200000000000102E-2</v>
      </c>
      <c r="F1495">
        <f t="shared" si="51"/>
        <v>6.6166719565508465E-3</v>
      </c>
      <c r="M1495" s="31"/>
    </row>
    <row r="1496" spans="1:13" x14ac:dyDescent="0.3">
      <c r="A1496">
        <v>2000</v>
      </c>
      <c r="B1496">
        <v>5</v>
      </c>
      <c r="C1496">
        <v>2</v>
      </c>
      <c r="D1496">
        <v>0.44880124988279746</v>
      </c>
      <c r="E1496">
        <v>1.5200000000000102E-2</v>
      </c>
      <c r="F1496">
        <f t="shared" si="51"/>
        <v>6.8217789982185674E-3</v>
      </c>
      <c r="M1496" s="31"/>
    </row>
    <row r="1497" spans="1:13" x14ac:dyDescent="0.3">
      <c r="A1497">
        <v>2000</v>
      </c>
      <c r="B1497">
        <v>4</v>
      </c>
      <c r="C1497">
        <v>30</v>
      </c>
      <c r="D1497">
        <v>0.46938913181432329</v>
      </c>
      <c r="E1497">
        <v>1.5200000000000102E-2</v>
      </c>
      <c r="F1497">
        <f t="shared" si="51"/>
        <v>7.134714803577762E-3</v>
      </c>
      <c r="M1497" s="31"/>
    </row>
    <row r="1498" spans="1:13" x14ac:dyDescent="0.3">
      <c r="A1498">
        <v>2000</v>
      </c>
      <c r="B1498">
        <v>4</v>
      </c>
      <c r="C1498">
        <v>29</v>
      </c>
      <c r="D1498">
        <v>0.49620008601554988</v>
      </c>
      <c r="E1498">
        <v>1.5200000000000102E-2</v>
      </c>
      <c r="F1498">
        <f t="shared" si="51"/>
        <v>7.5422413074364087E-3</v>
      </c>
      <c r="M1498" s="31"/>
    </row>
    <row r="1499" spans="1:13" x14ac:dyDescent="0.3">
      <c r="A1499">
        <v>2000</v>
      </c>
      <c r="B1499">
        <v>4</v>
      </c>
      <c r="C1499">
        <v>27</v>
      </c>
      <c r="D1499">
        <v>0.52400809181009966</v>
      </c>
      <c r="E1499">
        <v>1.5200000000000102E-2</v>
      </c>
      <c r="F1499">
        <f t="shared" si="51"/>
        <v>7.9649229955135684E-3</v>
      </c>
      <c r="M1499" s="31"/>
    </row>
    <row r="1500" spans="1:13" x14ac:dyDescent="0.3">
      <c r="A1500">
        <v>2000</v>
      </c>
      <c r="B1500">
        <v>4</v>
      </c>
      <c r="C1500">
        <v>26</v>
      </c>
      <c r="D1500">
        <v>0.54843407903034869</v>
      </c>
      <c r="E1500">
        <v>1.5200000000000102E-2</v>
      </c>
      <c r="F1500">
        <f t="shared" si="51"/>
        <v>8.3361980012613569E-3</v>
      </c>
      <c r="M1500" s="31"/>
    </row>
    <row r="1501" spans="1:13" x14ac:dyDescent="0.3">
      <c r="A1501">
        <v>2000</v>
      </c>
      <c r="B1501">
        <v>4</v>
      </c>
      <c r="C1501">
        <v>24</v>
      </c>
      <c r="D1501">
        <v>0.56794945498455207</v>
      </c>
      <c r="E1501">
        <v>1.5200000000000102E-2</v>
      </c>
      <c r="F1501">
        <f t="shared" si="51"/>
        <v>8.6328317157652497E-3</v>
      </c>
      <c r="M1501" s="31"/>
    </row>
    <row r="1502" spans="1:13" x14ac:dyDescent="0.3">
      <c r="A1502">
        <v>2000</v>
      </c>
      <c r="B1502">
        <v>4</v>
      </c>
      <c r="C1502">
        <v>23</v>
      </c>
      <c r="D1502">
        <v>0.58177685475956131</v>
      </c>
      <c r="E1502">
        <v>1.5200000000000102E-2</v>
      </c>
      <c r="F1502">
        <f t="shared" si="51"/>
        <v>8.8430081923453908E-3</v>
      </c>
      <c r="M1502" s="31"/>
    </row>
    <row r="1503" spans="1:13" x14ac:dyDescent="0.3">
      <c r="A1503">
        <v>2000</v>
      </c>
      <c r="B1503">
        <v>4</v>
      </c>
      <c r="C1503">
        <v>21</v>
      </c>
      <c r="D1503">
        <v>0.58993394501006102</v>
      </c>
      <c r="E1503">
        <v>1.5200000000000102E-2</v>
      </c>
      <c r="F1503">
        <f t="shared" si="51"/>
        <v>8.9669959641529885E-3</v>
      </c>
      <c r="M1503" s="31"/>
    </row>
    <row r="1504" spans="1:13" x14ac:dyDescent="0.3">
      <c r="A1504">
        <v>2000</v>
      </c>
      <c r="B1504">
        <v>4</v>
      </c>
      <c r="C1504">
        <v>20</v>
      </c>
      <c r="D1504">
        <v>0.59389311332917027</v>
      </c>
      <c r="E1504">
        <v>1.5200000000000102E-2</v>
      </c>
      <c r="F1504">
        <f t="shared" si="51"/>
        <v>9.0271753226034493E-3</v>
      </c>
      <c r="M1504" s="31"/>
    </row>
    <row r="1505" spans="1:13" x14ac:dyDescent="0.3">
      <c r="A1505">
        <v>2000</v>
      </c>
      <c r="B1505">
        <v>4</v>
      </c>
      <c r="C1505">
        <v>18</v>
      </c>
      <c r="D1505">
        <v>0.59452649018548087</v>
      </c>
      <c r="E1505">
        <v>1.5200000000000102E-2</v>
      </c>
      <c r="F1505">
        <f t="shared" si="51"/>
        <v>9.0368026508193706E-3</v>
      </c>
      <c r="M1505" s="31"/>
    </row>
    <row r="1506" spans="1:13" x14ac:dyDescent="0.3">
      <c r="A1506">
        <v>2000</v>
      </c>
      <c r="B1506">
        <v>4</v>
      </c>
      <c r="C1506">
        <v>17</v>
      </c>
      <c r="D1506">
        <v>0.59362176665827082</v>
      </c>
      <c r="E1506">
        <v>1.5200000000000102E-2</v>
      </c>
      <c r="F1506">
        <f t="shared" si="51"/>
        <v>9.0230508532057781E-3</v>
      </c>
      <c r="M1506" s="31"/>
    </row>
    <row r="1507" spans="1:13" x14ac:dyDescent="0.3">
      <c r="A1507">
        <v>2000</v>
      </c>
      <c r="B1507">
        <v>4</v>
      </c>
      <c r="C1507">
        <v>15</v>
      </c>
      <c r="D1507">
        <v>0.59297308934584492</v>
      </c>
      <c r="E1507">
        <v>1.5200000000000102E-2</v>
      </c>
      <c r="F1507">
        <f t="shared" si="51"/>
        <v>9.0131909580569037E-3</v>
      </c>
      <c r="M1507" s="31"/>
    </row>
    <row r="1508" spans="1:13" x14ac:dyDescent="0.3">
      <c r="A1508">
        <v>2000</v>
      </c>
      <c r="B1508">
        <v>4</v>
      </c>
      <c r="C1508">
        <v>14</v>
      </c>
      <c r="D1508">
        <v>0.59232453417568742</v>
      </c>
      <c r="E1508">
        <v>1.5200000000000102E-2</v>
      </c>
      <c r="F1508">
        <f t="shared" si="51"/>
        <v>9.0033329194705095E-3</v>
      </c>
      <c r="M1508" s="31"/>
    </row>
    <row r="1509" spans="1:13" x14ac:dyDescent="0.3">
      <c r="A1509">
        <v>2000</v>
      </c>
      <c r="B1509">
        <v>4</v>
      </c>
      <c r="C1509">
        <v>12</v>
      </c>
      <c r="D1509">
        <v>0.59539604805314994</v>
      </c>
      <c r="E1509">
        <v>1.5200000000000102E-2</v>
      </c>
      <c r="F1509">
        <f t="shared" si="51"/>
        <v>9.0500199304079394E-3</v>
      </c>
      <c r="M1509" s="31"/>
    </row>
    <row r="1510" spans="1:13" x14ac:dyDescent="0.3">
      <c r="A1510">
        <v>2000</v>
      </c>
      <c r="B1510">
        <v>4</v>
      </c>
      <c r="C1510">
        <v>11</v>
      </c>
      <c r="D1510">
        <v>0.60143229521571551</v>
      </c>
      <c r="E1510">
        <v>1.5200000000000102E-2</v>
      </c>
      <c r="F1510">
        <f t="shared" si="51"/>
        <v>9.1417708872789365E-3</v>
      </c>
      <c r="M1510" s="31"/>
    </row>
    <row r="1511" spans="1:13" x14ac:dyDescent="0.3">
      <c r="A1511">
        <v>2000</v>
      </c>
      <c r="B1511">
        <v>4</v>
      </c>
      <c r="C1511">
        <v>9</v>
      </c>
      <c r="D1511">
        <v>0.61175143873736337</v>
      </c>
      <c r="E1511">
        <v>1.5200000000000102E-2</v>
      </c>
      <c r="F1511">
        <f t="shared" si="51"/>
        <v>9.2986218688079856E-3</v>
      </c>
      <c r="M1511" s="31"/>
    </row>
    <row r="1512" spans="1:13" x14ac:dyDescent="0.3">
      <c r="A1512">
        <v>2000</v>
      </c>
      <c r="B1512">
        <v>4</v>
      </c>
      <c r="C1512">
        <v>8</v>
      </c>
      <c r="D1512">
        <v>0.62523952473980338</v>
      </c>
      <c r="E1512">
        <v>1.5200000000000102E-2</v>
      </c>
      <c r="F1512">
        <f t="shared" si="51"/>
        <v>9.5036407760450761E-3</v>
      </c>
      <c r="M1512" s="31"/>
    </row>
    <row r="1513" spans="1:13" x14ac:dyDescent="0.3">
      <c r="A1513">
        <v>2000</v>
      </c>
      <c r="B1513">
        <v>4</v>
      </c>
      <c r="C1513">
        <v>6</v>
      </c>
      <c r="D1513">
        <v>0.64155588924599638</v>
      </c>
      <c r="E1513">
        <v>1.5200000000000102E-2</v>
      </c>
      <c r="F1513">
        <f t="shared" si="51"/>
        <v>9.7516495165392101E-3</v>
      </c>
      <c r="M1513" s="31"/>
    </row>
    <row r="1514" spans="1:13" x14ac:dyDescent="0.3">
      <c r="A1514">
        <v>2000</v>
      </c>
      <c r="B1514">
        <v>4</v>
      </c>
      <c r="C1514">
        <v>5</v>
      </c>
      <c r="D1514">
        <v>0.65600894418238997</v>
      </c>
      <c r="E1514">
        <v>1.5200000000000102E-2</v>
      </c>
      <c r="F1514">
        <f t="shared" si="51"/>
        <v>9.9713359515723951E-3</v>
      </c>
      <c r="M1514" s="31"/>
    </row>
    <row r="1515" spans="1:13" x14ac:dyDescent="0.3">
      <c r="A1515">
        <v>2000</v>
      </c>
      <c r="B1515">
        <v>4</v>
      </c>
      <c r="C1515">
        <v>3</v>
      </c>
      <c r="D1515">
        <v>0.66869659006210869</v>
      </c>
      <c r="E1515">
        <v>1.5200000000000102E-2</v>
      </c>
      <c r="F1515">
        <f t="shared" si="51"/>
        <v>1.016418816894412E-2</v>
      </c>
      <c r="M1515" s="31"/>
    </row>
    <row r="1516" spans="1:13" x14ac:dyDescent="0.3">
      <c r="A1516">
        <v>2000</v>
      </c>
      <c r="B1516">
        <v>4</v>
      </c>
      <c r="C1516">
        <v>2</v>
      </c>
      <c r="D1516">
        <v>0.67746478120368647</v>
      </c>
      <c r="E1516">
        <v>1.5200000000000102E-2</v>
      </c>
      <c r="F1516">
        <f t="shared" si="51"/>
        <v>1.0297464674296104E-2</v>
      </c>
      <c r="M1516" s="31"/>
    </row>
    <row r="1517" spans="1:13" x14ac:dyDescent="0.3">
      <c r="A1517">
        <v>2000</v>
      </c>
      <c r="B1517">
        <v>3</v>
      </c>
      <c r="C1517">
        <v>31</v>
      </c>
      <c r="D1517">
        <v>0.67854746041423952</v>
      </c>
      <c r="E1517">
        <v>1.5200000000000102E-2</v>
      </c>
      <c r="F1517">
        <f t="shared" si="51"/>
        <v>1.0313921398296511E-2</v>
      </c>
      <c r="M1517" s="31"/>
    </row>
    <row r="1518" spans="1:13" x14ac:dyDescent="0.3">
      <c r="A1518">
        <v>2000</v>
      </c>
      <c r="B1518">
        <v>3</v>
      </c>
      <c r="C1518">
        <v>30</v>
      </c>
      <c r="D1518">
        <v>0.67484731416082855</v>
      </c>
      <c r="E1518">
        <v>1.5200000000000102E-2</v>
      </c>
      <c r="F1518">
        <f t="shared" si="51"/>
        <v>1.0257679175244663E-2</v>
      </c>
      <c r="M1518" s="31"/>
    </row>
    <row r="1519" spans="1:13" x14ac:dyDescent="0.3">
      <c r="A1519">
        <v>2000</v>
      </c>
      <c r="B1519">
        <v>3</v>
      </c>
      <c r="C1519">
        <v>28</v>
      </c>
      <c r="D1519">
        <v>0.6690288784750309</v>
      </c>
      <c r="E1519">
        <v>1.5200000000000102E-2</v>
      </c>
      <c r="F1519">
        <f t="shared" si="51"/>
        <v>1.0169238952820538E-2</v>
      </c>
      <c r="M1519" s="31"/>
    </row>
    <row r="1520" spans="1:13" x14ac:dyDescent="0.3">
      <c r="A1520">
        <v>2000</v>
      </c>
      <c r="B1520">
        <v>3</v>
      </c>
      <c r="C1520">
        <v>27</v>
      </c>
      <c r="D1520">
        <v>0.66255784588636368</v>
      </c>
      <c r="E1520">
        <v>1.5200000000000102E-2</v>
      </c>
      <c r="F1520">
        <f t="shared" si="51"/>
        <v>1.0070879257472796E-2</v>
      </c>
      <c r="M1520" s="31"/>
    </row>
    <row r="1521" spans="1:13" x14ac:dyDescent="0.3">
      <c r="A1521">
        <v>2000</v>
      </c>
      <c r="B1521">
        <v>3</v>
      </c>
      <c r="C1521">
        <v>25</v>
      </c>
      <c r="D1521">
        <v>0.65649386361187878</v>
      </c>
      <c r="E1521">
        <v>1.5200000000000102E-2</v>
      </c>
      <c r="F1521">
        <f t="shared" si="51"/>
        <v>9.9787067269006251E-3</v>
      </c>
      <c r="M1521" s="31"/>
    </row>
    <row r="1522" spans="1:13" x14ac:dyDescent="0.3">
      <c r="A1522">
        <v>2000</v>
      </c>
      <c r="B1522">
        <v>3</v>
      </c>
      <c r="C1522">
        <v>24</v>
      </c>
      <c r="D1522">
        <v>0.65597860045624801</v>
      </c>
      <c r="E1522">
        <v>1.5200000000000102E-2</v>
      </c>
      <c r="F1522">
        <f t="shared" si="51"/>
        <v>9.9708747269350376E-3</v>
      </c>
      <c r="M1522" s="31"/>
    </row>
    <row r="1523" spans="1:13" x14ac:dyDescent="0.3">
      <c r="A1523">
        <v>2000</v>
      </c>
      <c r="B1523">
        <v>3</v>
      </c>
      <c r="C1523">
        <v>22</v>
      </c>
      <c r="D1523">
        <v>0.65731231998337036</v>
      </c>
      <c r="E1523">
        <v>1.5200000000000102E-2</v>
      </c>
      <c r="F1523">
        <f t="shared" si="51"/>
        <v>9.9911472637472971E-3</v>
      </c>
      <c r="M1523" s="31"/>
    </row>
    <row r="1524" spans="1:13" x14ac:dyDescent="0.3">
      <c r="A1524">
        <v>2000</v>
      </c>
      <c r="B1524">
        <v>3</v>
      </c>
      <c r="C1524">
        <v>21</v>
      </c>
      <c r="D1524">
        <v>0.65917639060255595</v>
      </c>
      <c r="E1524">
        <v>1.5200000000000102E-2</v>
      </c>
      <c r="F1524">
        <f t="shared" si="51"/>
        <v>1.0019481137158918E-2</v>
      </c>
      <c r="M1524" s="31"/>
    </row>
    <row r="1525" spans="1:13" x14ac:dyDescent="0.3">
      <c r="A1525">
        <v>2000</v>
      </c>
      <c r="B1525">
        <v>3</v>
      </c>
      <c r="C1525">
        <v>19</v>
      </c>
      <c r="D1525">
        <v>0.66249971972686683</v>
      </c>
      <c r="E1525">
        <v>1.5200000000000102E-2</v>
      </c>
      <c r="F1525">
        <f t="shared" si="51"/>
        <v>1.0069995739848443E-2</v>
      </c>
      <c r="M1525" s="31"/>
    </row>
    <row r="1526" spans="1:13" x14ac:dyDescent="0.3">
      <c r="A1526">
        <v>2000</v>
      </c>
      <c r="B1526">
        <v>3</v>
      </c>
      <c r="C1526">
        <v>18</v>
      </c>
      <c r="D1526">
        <v>0.66755448953061869</v>
      </c>
      <c r="E1526">
        <v>1.5200000000000102E-2</v>
      </c>
      <c r="F1526">
        <f t="shared" si="51"/>
        <v>1.0146828240865472E-2</v>
      </c>
      <c r="M1526" s="31"/>
    </row>
    <row r="1527" spans="1:13" x14ac:dyDescent="0.3">
      <c r="A1527">
        <v>2000</v>
      </c>
      <c r="B1527">
        <v>3</v>
      </c>
      <c r="C1527">
        <v>16</v>
      </c>
      <c r="D1527">
        <v>0.67448522549347456</v>
      </c>
      <c r="E1527">
        <v>1.5200000000000102E-2</v>
      </c>
      <c r="F1527">
        <f t="shared" si="51"/>
        <v>1.0252175427500882E-2</v>
      </c>
      <c r="M1527" s="31"/>
    </row>
    <row r="1528" spans="1:13" x14ac:dyDescent="0.3">
      <c r="A1528">
        <v>2000</v>
      </c>
      <c r="B1528">
        <v>3</v>
      </c>
      <c r="C1528">
        <v>15</v>
      </c>
      <c r="D1528">
        <v>0.68330744006681177</v>
      </c>
      <c r="E1528">
        <v>1.5200000000000102E-2</v>
      </c>
      <c r="F1528">
        <f t="shared" si="51"/>
        <v>1.0386273089015609E-2</v>
      </c>
      <c r="M1528" s="31"/>
    </row>
    <row r="1529" spans="1:13" x14ac:dyDescent="0.3">
      <c r="A1529">
        <v>2000</v>
      </c>
      <c r="B1529">
        <v>3</v>
      </c>
      <c r="C1529">
        <v>13</v>
      </c>
      <c r="D1529">
        <v>0.69310218846945137</v>
      </c>
      <c r="E1529">
        <v>1.5200000000000102E-2</v>
      </c>
      <c r="F1529">
        <f t="shared" si="51"/>
        <v>1.0535153264735732E-2</v>
      </c>
      <c r="M1529" s="31"/>
    </row>
    <row r="1530" spans="1:13" x14ac:dyDescent="0.3">
      <c r="A1530">
        <v>2000</v>
      </c>
      <c r="B1530">
        <v>3</v>
      </c>
      <c r="C1530">
        <v>12</v>
      </c>
      <c r="D1530">
        <v>0.70091856488062954</v>
      </c>
      <c r="E1530">
        <v>1.5200000000000102E-2</v>
      </c>
      <c r="F1530">
        <f t="shared" si="51"/>
        <v>1.0653962186185641E-2</v>
      </c>
      <c r="M1530" s="31"/>
    </row>
    <row r="1531" spans="1:13" x14ac:dyDescent="0.3">
      <c r="A1531">
        <v>2000</v>
      </c>
      <c r="B1531">
        <v>3</v>
      </c>
      <c r="C1531">
        <v>10</v>
      </c>
      <c r="D1531">
        <v>0.70512086263900531</v>
      </c>
      <c r="E1531">
        <v>1.5200000000000102E-2</v>
      </c>
      <c r="F1531">
        <f t="shared" si="51"/>
        <v>1.0717837112112953E-2</v>
      </c>
      <c r="M1531" s="31"/>
    </row>
    <row r="1532" spans="1:13" x14ac:dyDescent="0.3">
      <c r="A1532">
        <v>2000</v>
      </c>
      <c r="B1532">
        <v>3</v>
      </c>
      <c r="C1532">
        <v>9</v>
      </c>
      <c r="D1532">
        <v>0.70501520898806513</v>
      </c>
      <c r="E1532">
        <v>1.5200000000000102E-2</v>
      </c>
      <c r="F1532">
        <f t="shared" si="51"/>
        <v>1.0716231176618662E-2</v>
      </c>
      <c r="M1532" s="31"/>
    </row>
    <row r="1533" spans="1:13" x14ac:dyDescent="0.3">
      <c r="A1533">
        <v>2000</v>
      </c>
      <c r="B1533">
        <v>3</v>
      </c>
      <c r="C1533">
        <v>7</v>
      </c>
      <c r="D1533">
        <v>0.70275327502655549</v>
      </c>
      <c r="E1533">
        <v>1.5200000000000102E-2</v>
      </c>
      <c r="F1533">
        <f t="shared" si="51"/>
        <v>1.0681849780403716E-2</v>
      </c>
      <c r="M1533" s="31"/>
    </row>
    <row r="1534" spans="1:13" x14ac:dyDescent="0.3">
      <c r="A1534">
        <v>2000</v>
      </c>
      <c r="B1534">
        <v>3</v>
      </c>
      <c r="C1534">
        <v>6</v>
      </c>
      <c r="D1534">
        <v>0.69820304764494878</v>
      </c>
      <c r="E1534">
        <v>1.5200000000000102E-2</v>
      </c>
      <c r="F1534">
        <f t="shared" si="51"/>
        <v>1.0612686324203292E-2</v>
      </c>
      <c r="M1534" s="31"/>
    </row>
    <row r="1535" spans="1:13" x14ac:dyDescent="0.3">
      <c r="A1535">
        <v>2000</v>
      </c>
      <c r="B1535">
        <v>3</v>
      </c>
      <c r="C1535">
        <v>4</v>
      </c>
      <c r="D1535">
        <v>0.69285122050345627</v>
      </c>
      <c r="E1535">
        <v>1.5200000000000102E-2</v>
      </c>
      <c r="F1535">
        <f t="shared" si="51"/>
        <v>1.0531338551652607E-2</v>
      </c>
      <c r="M1535" s="31"/>
    </row>
    <row r="1536" spans="1:13" x14ac:dyDescent="0.3">
      <c r="A1536">
        <v>2000</v>
      </c>
      <c r="B1536">
        <v>3</v>
      </c>
      <c r="C1536">
        <v>3</v>
      </c>
      <c r="D1536">
        <v>0.6883108315747184</v>
      </c>
      <c r="E1536">
        <v>1.5200000000000102E-2</v>
      </c>
      <c r="F1536">
        <f t="shared" si="51"/>
        <v>1.046232463993579E-2</v>
      </c>
      <c r="M1536" s="31"/>
    </row>
    <row r="1537" spans="1:13" x14ac:dyDescent="0.3">
      <c r="A1537">
        <v>2000</v>
      </c>
      <c r="B1537">
        <v>3</v>
      </c>
      <c r="C1537">
        <v>1</v>
      </c>
      <c r="D1537">
        <v>0.68578559866694511</v>
      </c>
      <c r="E1537">
        <v>1.5200000000000102E-2</v>
      </c>
      <c r="F1537">
        <f t="shared" si="51"/>
        <v>1.0423941099737636E-2</v>
      </c>
      <c r="M1537" s="31"/>
    </row>
    <row r="1538" spans="1:13" x14ac:dyDescent="0.3">
      <c r="A1538">
        <v>2000</v>
      </c>
      <c r="B1538">
        <v>2</v>
      </c>
      <c r="C1538">
        <v>29</v>
      </c>
      <c r="D1538">
        <v>0.68527202935414711</v>
      </c>
      <c r="E1538">
        <v>1.5200000000000102E-2</v>
      </c>
      <c r="F1538">
        <f t="shared" si="51"/>
        <v>1.0416134846183107E-2</v>
      </c>
      <c r="M1538" s="31"/>
    </row>
    <row r="1539" spans="1:13" x14ac:dyDescent="0.3">
      <c r="A1539">
        <v>2000</v>
      </c>
      <c r="B1539">
        <v>2</v>
      </c>
      <c r="C1539">
        <v>21</v>
      </c>
      <c r="D1539">
        <v>0.68771098551410914</v>
      </c>
      <c r="E1539">
        <v>1.5200000000000102E-2</v>
      </c>
      <c r="F1539">
        <f t="shared" ref="F1539:F1602" si="52">D1539*E1539</f>
        <v>1.0453206979814529E-2</v>
      </c>
      <c r="M1539" s="31"/>
    </row>
    <row r="1540" spans="1:13" x14ac:dyDescent="0.3">
      <c r="A1540">
        <v>2000</v>
      </c>
      <c r="B1540">
        <v>2</v>
      </c>
      <c r="C1540">
        <v>13</v>
      </c>
      <c r="D1540">
        <v>0.69243988015843849</v>
      </c>
      <c r="E1540">
        <v>1.5200000000000102E-2</v>
      </c>
      <c r="F1540">
        <f t="shared" si="52"/>
        <v>1.0525086178408336E-2</v>
      </c>
      <c r="M1540" s="31"/>
    </row>
    <row r="1541" spans="1:13" x14ac:dyDescent="0.3">
      <c r="A1541">
        <v>2000</v>
      </c>
      <c r="B1541">
        <v>2</v>
      </c>
      <c r="C1541">
        <v>5</v>
      </c>
      <c r="D1541">
        <v>0.70338830785821715</v>
      </c>
      <c r="E1541">
        <v>1.5200000000000102E-2</v>
      </c>
      <c r="F1541">
        <f t="shared" si="52"/>
        <v>1.0691502279444973E-2</v>
      </c>
      <c r="M1541" s="31"/>
    </row>
    <row r="1542" spans="1:13" x14ac:dyDescent="0.3">
      <c r="A1542">
        <v>2000</v>
      </c>
      <c r="B1542">
        <v>1</v>
      </c>
      <c r="C1542">
        <v>28</v>
      </c>
      <c r="D1542">
        <v>0.7156068575808664</v>
      </c>
      <c r="E1542">
        <v>1.5200000000000102E-2</v>
      </c>
      <c r="F1542">
        <f t="shared" si="52"/>
        <v>1.0877224235229242E-2</v>
      </c>
      <c r="M1542" s="31"/>
    </row>
    <row r="1543" spans="1:13" x14ac:dyDescent="0.3">
      <c r="A1543">
        <v>2000</v>
      </c>
      <c r="B1543">
        <v>1</v>
      </c>
      <c r="C1543">
        <v>20</v>
      </c>
      <c r="D1543">
        <v>0.72802118143878125</v>
      </c>
      <c r="E1543">
        <v>1.5200000000000102E-2</v>
      </c>
      <c r="F1543">
        <f t="shared" si="52"/>
        <v>1.1065921957869549E-2</v>
      </c>
      <c r="M1543" s="31"/>
    </row>
    <row r="1544" spans="1:13" x14ac:dyDescent="0.3">
      <c r="A1544">
        <v>2000</v>
      </c>
      <c r="B1544">
        <v>1</v>
      </c>
      <c r="C1544">
        <v>12</v>
      </c>
      <c r="D1544">
        <v>0.73912614956761125</v>
      </c>
      <c r="E1544">
        <v>1.5200000000000102E-2</v>
      </c>
      <c r="F1544">
        <f t="shared" si="52"/>
        <v>1.1234717473427766E-2</v>
      </c>
      <c r="M1544" s="31"/>
    </row>
    <row r="1545" spans="1:13" x14ac:dyDescent="0.3">
      <c r="A1545">
        <v>2000</v>
      </c>
      <c r="B1545">
        <v>1</v>
      </c>
      <c r="C1545">
        <v>4</v>
      </c>
      <c r="D1545">
        <v>0.74890534909514783</v>
      </c>
      <c r="E1545">
        <v>1.5200000000000102E-2</v>
      </c>
      <c r="F1545">
        <f t="shared" si="52"/>
        <v>1.1383361306246323E-2</v>
      </c>
      <c r="M1545" s="31"/>
    </row>
    <row r="1546" spans="1:13" x14ac:dyDescent="0.3">
      <c r="A1546">
        <v>1999</v>
      </c>
      <c r="B1546">
        <v>12</v>
      </c>
      <c r="C1546">
        <v>28</v>
      </c>
      <c r="D1546">
        <v>0.75555315672273782</v>
      </c>
      <c r="E1546">
        <v>1.5200000000000102E-2</v>
      </c>
      <c r="F1546">
        <f t="shared" si="52"/>
        <v>1.1484407982185692E-2</v>
      </c>
      <c r="M1546" s="31"/>
    </row>
    <row r="1547" spans="1:13" x14ac:dyDescent="0.3">
      <c r="A1547">
        <v>1999</v>
      </c>
      <c r="B1547">
        <v>12</v>
      </c>
      <c r="C1547">
        <v>20</v>
      </c>
      <c r="D1547">
        <v>0.76512035382873034</v>
      </c>
      <c r="E1547">
        <v>1.5200000000000102E-2</v>
      </c>
      <c r="F1547">
        <f t="shared" si="52"/>
        <v>1.1629829378196779E-2</v>
      </c>
      <c r="M1547" s="31"/>
    </row>
    <row r="1548" spans="1:13" x14ac:dyDescent="0.3">
      <c r="A1548">
        <v>1999</v>
      </c>
      <c r="B1548">
        <v>12</v>
      </c>
      <c r="C1548">
        <v>12</v>
      </c>
      <c r="D1548">
        <v>0.77735892474037438</v>
      </c>
      <c r="E1548">
        <v>1.5200000000000102E-2</v>
      </c>
      <c r="F1548">
        <f t="shared" si="52"/>
        <v>1.181585565605377E-2</v>
      </c>
      <c r="M1548" s="31"/>
    </row>
    <row r="1549" spans="1:13" x14ac:dyDescent="0.3">
      <c r="A1549">
        <v>1999</v>
      </c>
      <c r="B1549">
        <v>12</v>
      </c>
      <c r="C1549">
        <v>4</v>
      </c>
      <c r="D1549">
        <v>0.79537175109699876</v>
      </c>
      <c r="E1549">
        <v>1.5200000000000102E-2</v>
      </c>
      <c r="F1549">
        <f t="shared" si="52"/>
        <v>1.2089650616674462E-2</v>
      </c>
      <c r="M1549" s="31"/>
    </row>
    <row r="1550" spans="1:13" x14ac:dyDescent="0.3">
      <c r="A1550">
        <v>1999</v>
      </c>
      <c r="B1550">
        <v>11</v>
      </c>
      <c r="C1550">
        <v>26</v>
      </c>
      <c r="D1550">
        <v>0.81433927110754722</v>
      </c>
      <c r="E1550">
        <v>1.5200000000000102E-2</v>
      </c>
      <c r="F1550">
        <f t="shared" si="52"/>
        <v>1.2377956920834801E-2</v>
      </c>
      <c r="M1550" s="31"/>
    </row>
    <row r="1551" spans="1:13" x14ac:dyDescent="0.3">
      <c r="A1551">
        <v>1999</v>
      </c>
      <c r="B1551">
        <v>11</v>
      </c>
      <c r="C1551">
        <v>18</v>
      </c>
      <c r="D1551">
        <v>0.83032073933762507</v>
      </c>
      <c r="E1551">
        <v>1.5200000000000102E-2</v>
      </c>
      <c r="F1551">
        <f t="shared" si="52"/>
        <v>1.2620875237931987E-2</v>
      </c>
      <c r="M1551" s="31"/>
    </row>
    <row r="1552" spans="1:13" x14ac:dyDescent="0.3">
      <c r="A1552">
        <v>1999</v>
      </c>
      <c r="B1552">
        <v>11</v>
      </c>
      <c r="C1552">
        <v>10</v>
      </c>
      <c r="D1552">
        <v>0.83958498018060357</v>
      </c>
      <c r="E1552">
        <v>1.5200000000000102E-2</v>
      </c>
      <c r="F1552">
        <f t="shared" si="52"/>
        <v>1.276169169874526E-2</v>
      </c>
      <c r="M1552" s="31"/>
    </row>
    <row r="1553" spans="1:13" x14ac:dyDescent="0.3">
      <c r="A1553">
        <v>1999</v>
      </c>
      <c r="B1553">
        <v>11</v>
      </c>
      <c r="C1553">
        <v>2</v>
      </c>
      <c r="D1553">
        <v>0.84127505701875971</v>
      </c>
      <c r="E1553">
        <v>1.5200000000000102E-2</v>
      </c>
      <c r="F1553">
        <f t="shared" si="52"/>
        <v>1.2787380866685233E-2</v>
      </c>
      <c r="M1553" s="31"/>
    </row>
    <row r="1554" spans="1:13" x14ac:dyDescent="0.3">
      <c r="A1554">
        <v>1999</v>
      </c>
      <c r="B1554">
        <v>10</v>
      </c>
      <c r="C1554">
        <v>26</v>
      </c>
      <c r="D1554">
        <v>0.83460990718554362</v>
      </c>
      <c r="E1554">
        <v>1.5200000000000102E-2</v>
      </c>
      <c r="F1554">
        <f t="shared" si="52"/>
        <v>1.2686070589220349E-2</v>
      </c>
      <c r="M1554" s="31"/>
    </row>
    <row r="1555" spans="1:13" x14ac:dyDescent="0.3">
      <c r="A1555">
        <v>1999</v>
      </c>
      <c r="B1555">
        <v>10</v>
      </c>
      <c r="C1555">
        <v>18</v>
      </c>
      <c r="D1555">
        <v>0.82499050507820193</v>
      </c>
      <c r="E1555">
        <v>1.5200000000000102E-2</v>
      </c>
      <c r="F1555">
        <f t="shared" si="52"/>
        <v>1.2539855677188754E-2</v>
      </c>
      <c r="M1555" s="31"/>
    </row>
    <row r="1556" spans="1:13" x14ac:dyDescent="0.3">
      <c r="A1556">
        <v>1999</v>
      </c>
      <c r="B1556">
        <v>10</v>
      </c>
      <c r="C1556">
        <v>10</v>
      </c>
      <c r="D1556">
        <v>0.81497161713978195</v>
      </c>
      <c r="E1556">
        <v>1.5200000000000102E-2</v>
      </c>
      <c r="F1556">
        <f t="shared" si="52"/>
        <v>1.2387568580524769E-2</v>
      </c>
      <c r="M1556" s="31"/>
    </row>
    <row r="1557" spans="1:13" x14ac:dyDescent="0.3">
      <c r="A1557">
        <v>1999</v>
      </c>
      <c r="B1557">
        <v>10</v>
      </c>
      <c r="C1557">
        <v>2</v>
      </c>
      <c r="D1557">
        <v>0.80497794863432859</v>
      </c>
      <c r="E1557">
        <v>1.5200000000000102E-2</v>
      </c>
      <c r="F1557">
        <f t="shared" si="52"/>
        <v>1.2235664819241878E-2</v>
      </c>
      <c r="M1557" s="31"/>
    </row>
    <row r="1558" spans="1:13" x14ac:dyDescent="0.3">
      <c r="A1558">
        <v>1999</v>
      </c>
      <c r="B1558">
        <v>9</v>
      </c>
      <c r="C1558">
        <v>24</v>
      </c>
      <c r="D1558">
        <v>0.79977075662295982</v>
      </c>
      <c r="E1558">
        <v>1.5200000000000102E-2</v>
      </c>
      <c r="F1558">
        <f t="shared" si="52"/>
        <v>1.2156515500669072E-2</v>
      </c>
      <c r="M1558" s="31"/>
    </row>
    <row r="1559" spans="1:13" x14ac:dyDescent="0.3">
      <c r="A1559">
        <v>1999</v>
      </c>
      <c r="B1559">
        <v>9</v>
      </c>
      <c r="C1559">
        <v>16</v>
      </c>
      <c r="D1559">
        <v>0.79820986604094291</v>
      </c>
      <c r="E1559">
        <v>1.5200000000000102E-2</v>
      </c>
      <c r="F1559">
        <f t="shared" si="52"/>
        <v>1.2132789963822414E-2</v>
      </c>
      <c r="M1559" s="31"/>
    </row>
    <row r="1560" spans="1:13" x14ac:dyDescent="0.3">
      <c r="A1560">
        <v>1999</v>
      </c>
      <c r="B1560">
        <v>9</v>
      </c>
      <c r="C1560">
        <v>8</v>
      </c>
      <c r="D1560">
        <v>0.79917112199759754</v>
      </c>
      <c r="E1560">
        <v>1.5200000000000102E-2</v>
      </c>
      <c r="F1560">
        <f t="shared" si="52"/>
        <v>1.2147401054363564E-2</v>
      </c>
      <c r="M1560" s="31"/>
    </row>
    <row r="1561" spans="1:13" x14ac:dyDescent="0.3">
      <c r="A1561">
        <v>1999</v>
      </c>
      <c r="B1561">
        <v>8</v>
      </c>
      <c r="C1561">
        <v>31</v>
      </c>
      <c r="D1561">
        <v>0.79887133802922894</v>
      </c>
      <c r="E1561">
        <v>1.5200000000000102E-2</v>
      </c>
      <c r="F1561">
        <f t="shared" si="52"/>
        <v>1.2142844338044361E-2</v>
      </c>
      <c r="M1561" s="31"/>
    </row>
    <row r="1562" spans="1:13" x14ac:dyDescent="0.3">
      <c r="A1562">
        <v>1999</v>
      </c>
      <c r="B1562">
        <v>8</v>
      </c>
      <c r="C1562">
        <v>24</v>
      </c>
      <c r="D1562">
        <v>0.79787046648339399</v>
      </c>
      <c r="E1562">
        <v>1.5200000000000102E-2</v>
      </c>
      <c r="F1562">
        <f t="shared" si="52"/>
        <v>1.212763109054767E-2</v>
      </c>
      <c r="M1562" s="31"/>
    </row>
    <row r="1563" spans="1:13" x14ac:dyDescent="0.3">
      <c r="A1563">
        <v>1999</v>
      </c>
      <c r="B1563">
        <v>8</v>
      </c>
      <c r="C1563">
        <v>16</v>
      </c>
      <c r="D1563">
        <v>0.7944870552801262</v>
      </c>
      <c r="E1563">
        <v>1.5200000000000102E-2</v>
      </c>
      <c r="F1563">
        <f t="shared" si="52"/>
        <v>1.2076203240258E-2</v>
      </c>
      <c r="M1563" s="31"/>
    </row>
    <row r="1564" spans="1:13" x14ac:dyDescent="0.3">
      <c r="A1564">
        <v>1999</v>
      </c>
      <c r="B1564">
        <v>8</v>
      </c>
      <c r="C1564">
        <v>8</v>
      </c>
      <c r="D1564">
        <v>0.78956656158387206</v>
      </c>
      <c r="E1564">
        <v>1.5200000000000102E-2</v>
      </c>
      <c r="F1564">
        <f t="shared" si="52"/>
        <v>1.2001411736074935E-2</v>
      </c>
      <c r="M1564" s="31"/>
    </row>
    <row r="1565" spans="1:13" x14ac:dyDescent="0.3">
      <c r="A1565">
        <v>1999</v>
      </c>
      <c r="B1565">
        <v>7</v>
      </c>
      <c r="C1565">
        <v>31</v>
      </c>
      <c r="D1565">
        <v>0.79360548147795662</v>
      </c>
      <c r="E1565">
        <v>1.5200000000000102E-2</v>
      </c>
      <c r="F1565">
        <f t="shared" si="52"/>
        <v>1.2062803318465022E-2</v>
      </c>
      <c r="M1565" s="31"/>
    </row>
    <row r="1566" spans="1:13" x14ac:dyDescent="0.3">
      <c r="A1566">
        <v>1999</v>
      </c>
      <c r="B1566">
        <v>7</v>
      </c>
      <c r="C1566">
        <v>23</v>
      </c>
      <c r="D1566">
        <v>0.80200417253396372</v>
      </c>
      <c r="E1566">
        <v>1.5200000000000102E-2</v>
      </c>
      <c r="F1566">
        <f t="shared" si="52"/>
        <v>1.2190463422516331E-2</v>
      </c>
      <c r="M1566" s="31"/>
    </row>
    <row r="1567" spans="1:13" x14ac:dyDescent="0.3">
      <c r="A1567">
        <v>1999</v>
      </c>
      <c r="B1567">
        <v>7</v>
      </c>
      <c r="C1567">
        <v>15</v>
      </c>
      <c r="D1567">
        <v>0.8146581864855168</v>
      </c>
      <c r="E1567">
        <v>1.5200000000000102E-2</v>
      </c>
      <c r="F1567">
        <f t="shared" si="52"/>
        <v>1.2382804434579939E-2</v>
      </c>
      <c r="M1567" s="31"/>
    </row>
    <row r="1568" spans="1:13" x14ac:dyDescent="0.3">
      <c r="A1568">
        <v>1999</v>
      </c>
      <c r="B1568">
        <v>7</v>
      </c>
      <c r="C1568">
        <v>7</v>
      </c>
      <c r="D1568">
        <v>0.82609209416487517</v>
      </c>
      <c r="E1568">
        <v>1.5200000000000102E-2</v>
      </c>
      <c r="F1568">
        <f t="shared" si="52"/>
        <v>1.2556599831306187E-2</v>
      </c>
      <c r="M1568" s="31"/>
    </row>
    <row r="1569" spans="1:13" x14ac:dyDescent="0.3">
      <c r="A1569">
        <v>1999</v>
      </c>
      <c r="B1569">
        <v>6</v>
      </c>
      <c r="C1569">
        <v>30</v>
      </c>
      <c r="D1569">
        <v>0.83671832184081874</v>
      </c>
      <c r="E1569">
        <v>1.5200000000000102E-2</v>
      </c>
      <c r="F1569">
        <f t="shared" si="52"/>
        <v>1.271811849198053E-2</v>
      </c>
      <c r="M1569" s="31"/>
    </row>
    <row r="1570" spans="1:13" x14ac:dyDescent="0.3">
      <c r="A1570">
        <v>1999</v>
      </c>
      <c r="B1570">
        <v>6</v>
      </c>
      <c r="C1570">
        <v>28</v>
      </c>
      <c r="D1570">
        <v>0.8355713848601185</v>
      </c>
      <c r="E1570">
        <v>1.5200000000000102E-2</v>
      </c>
      <c r="F1570">
        <f t="shared" si="52"/>
        <v>1.2700685049873886E-2</v>
      </c>
      <c r="M1570" s="31"/>
    </row>
    <row r="1571" spans="1:13" x14ac:dyDescent="0.3">
      <c r="A1571">
        <v>1999</v>
      </c>
      <c r="B1571">
        <v>6</v>
      </c>
      <c r="C1571">
        <v>27</v>
      </c>
      <c r="D1571">
        <v>0.82775439665113426</v>
      </c>
      <c r="E1571">
        <v>1.5200000000000102E-2</v>
      </c>
      <c r="F1571">
        <f t="shared" si="52"/>
        <v>1.2581866829097326E-2</v>
      </c>
      <c r="M1571" s="31"/>
    </row>
    <row r="1572" spans="1:13" x14ac:dyDescent="0.3">
      <c r="A1572">
        <v>1999</v>
      </c>
      <c r="B1572">
        <v>6</v>
      </c>
      <c r="C1572">
        <v>25</v>
      </c>
      <c r="D1572">
        <v>0.81415613927743402</v>
      </c>
      <c r="E1572">
        <v>1.5200000000000102E-2</v>
      </c>
      <c r="F1572">
        <f t="shared" si="52"/>
        <v>1.2375173317017081E-2</v>
      </c>
      <c r="M1572" s="31"/>
    </row>
    <row r="1573" spans="1:13" x14ac:dyDescent="0.3">
      <c r="A1573">
        <v>1999</v>
      </c>
      <c r="B1573">
        <v>6</v>
      </c>
      <c r="C1573">
        <v>24</v>
      </c>
      <c r="D1573">
        <v>0.79540530642459861</v>
      </c>
      <c r="E1573">
        <v>1.5200000000000102E-2</v>
      </c>
      <c r="F1573">
        <f t="shared" si="52"/>
        <v>1.2090160657653981E-2</v>
      </c>
      <c r="M1573" s="31"/>
    </row>
    <row r="1574" spans="1:13" x14ac:dyDescent="0.3">
      <c r="A1574">
        <v>1999</v>
      </c>
      <c r="B1574">
        <v>6</v>
      </c>
      <c r="C1574">
        <v>22</v>
      </c>
      <c r="D1574">
        <v>0.77675268818039478</v>
      </c>
      <c r="E1574">
        <v>1.5200000000000102E-2</v>
      </c>
      <c r="F1574">
        <f t="shared" si="52"/>
        <v>1.1806640860342081E-2</v>
      </c>
      <c r="M1574" s="31"/>
    </row>
    <row r="1575" spans="1:13" x14ac:dyDescent="0.3">
      <c r="A1575">
        <v>1999</v>
      </c>
      <c r="B1575">
        <v>6</v>
      </c>
      <c r="C1575">
        <v>21</v>
      </c>
      <c r="D1575">
        <v>0.75972838483449312</v>
      </c>
      <c r="E1575">
        <v>1.5200000000000102E-2</v>
      </c>
      <c r="F1575">
        <f t="shared" si="52"/>
        <v>1.1547871449484373E-2</v>
      </c>
      <c r="M1575" s="31"/>
    </row>
    <row r="1576" spans="1:13" x14ac:dyDescent="0.3">
      <c r="A1576">
        <v>1999</v>
      </c>
      <c r="B1576">
        <v>6</v>
      </c>
      <c r="C1576">
        <v>20</v>
      </c>
      <c r="D1576">
        <v>0.7468000872506636</v>
      </c>
      <c r="E1576">
        <v>1.5200000000000102E-2</v>
      </c>
      <c r="F1576">
        <f t="shared" si="52"/>
        <v>1.1351361326210164E-2</v>
      </c>
      <c r="M1576" s="31"/>
    </row>
    <row r="1577" spans="1:13" x14ac:dyDescent="0.3">
      <c r="A1577">
        <v>1999</v>
      </c>
      <c r="B1577">
        <v>6</v>
      </c>
      <c r="C1577">
        <v>18</v>
      </c>
      <c r="D1577">
        <v>0.73833483375697206</v>
      </c>
      <c r="E1577">
        <v>1.5200000000000102E-2</v>
      </c>
      <c r="F1577">
        <f t="shared" si="52"/>
        <v>1.122268947310605E-2</v>
      </c>
      <c r="M1577" s="31"/>
    </row>
    <row r="1578" spans="1:13" x14ac:dyDescent="0.3">
      <c r="A1578">
        <v>1999</v>
      </c>
      <c r="B1578">
        <v>6</v>
      </c>
      <c r="C1578">
        <v>17</v>
      </c>
      <c r="D1578">
        <v>0.73830108947305073</v>
      </c>
      <c r="E1578">
        <v>1.5200000000000102E-2</v>
      </c>
      <c r="F1578">
        <f t="shared" si="52"/>
        <v>1.1222176559990447E-2</v>
      </c>
      <c r="M1578" s="31"/>
    </row>
    <row r="1579" spans="1:13" x14ac:dyDescent="0.3">
      <c r="A1579">
        <v>1999</v>
      </c>
      <c r="B1579">
        <v>6</v>
      </c>
      <c r="C1579">
        <v>15</v>
      </c>
      <c r="D1579">
        <v>0.74089295980573655</v>
      </c>
      <c r="E1579">
        <v>1.5200000000000102E-2</v>
      </c>
      <c r="F1579">
        <f t="shared" si="52"/>
        <v>1.1261572989047272E-2</v>
      </c>
      <c r="M1579" s="31"/>
    </row>
    <row r="1580" spans="1:13" x14ac:dyDescent="0.3">
      <c r="A1580">
        <v>1999</v>
      </c>
      <c r="B1580">
        <v>6</v>
      </c>
      <c r="C1580">
        <v>14</v>
      </c>
      <c r="D1580">
        <v>0.74542632019034094</v>
      </c>
      <c r="E1580">
        <v>1.5200000000000102E-2</v>
      </c>
      <c r="F1580">
        <f t="shared" si="52"/>
        <v>1.1330480066893259E-2</v>
      </c>
      <c r="M1580" s="31"/>
    </row>
    <row r="1581" spans="1:13" x14ac:dyDescent="0.3">
      <c r="A1581">
        <v>1999</v>
      </c>
      <c r="B1581">
        <v>6</v>
      </c>
      <c r="C1581">
        <v>12</v>
      </c>
      <c r="D1581">
        <v>0.75677380405230343</v>
      </c>
      <c r="E1581">
        <v>1.5200000000000102E-2</v>
      </c>
      <c r="F1581">
        <f t="shared" si="52"/>
        <v>1.150296182159509E-2</v>
      </c>
      <c r="M1581" s="31"/>
    </row>
    <row r="1582" spans="1:13" x14ac:dyDescent="0.3">
      <c r="A1582">
        <v>1999</v>
      </c>
      <c r="B1582">
        <v>6</v>
      </c>
      <c r="C1582">
        <v>11</v>
      </c>
      <c r="D1582">
        <v>0.76956488487787467</v>
      </c>
      <c r="E1582">
        <v>1.5200000000000102E-2</v>
      </c>
      <c r="F1582">
        <f t="shared" si="52"/>
        <v>1.1697386250143774E-2</v>
      </c>
      <c r="M1582" s="31"/>
    </row>
    <row r="1583" spans="1:13" x14ac:dyDescent="0.3">
      <c r="A1583">
        <v>1999</v>
      </c>
      <c r="B1583">
        <v>6</v>
      </c>
      <c r="C1583">
        <v>10</v>
      </c>
      <c r="D1583">
        <v>0.78157361162848937</v>
      </c>
      <c r="E1583">
        <v>1.5200000000000102E-2</v>
      </c>
      <c r="F1583">
        <f t="shared" si="52"/>
        <v>1.1879918896753118E-2</v>
      </c>
      <c r="M1583" s="31"/>
    </row>
    <row r="1584" spans="1:13" x14ac:dyDescent="0.3">
      <c r="A1584">
        <v>1999</v>
      </c>
      <c r="B1584">
        <v>6</v>
      </c>
      <c r="C1584">
        <v>8</v>
      </c>
      <c r="D1584">
        <v>0.79138218254706671</v>
      </c>
      <c r="E1584">
        <v>1.5200000000000102E-2</v>
      </c>
      <c r="F1584">
        <f t="shared" si="52"/>
        <v>1.2029009174715496E-2</v>
      </c>
      <c r="M1584" s="31"/>
    </row>
    <row r="1585" spans="1:13" x14ac:dyDescent="0.3">
      <c r="A1585">
        <v>1999</v>
      </c>
      <c r="B1585">
        <v>6</v>
      </c>
      <c r="C1585">
        <v>7</v>
      </c>
      <c r="D1585">
        <v>0.80108466037685855</v>
      </c>
      <c r="E1585">
        <v>1.5200000000000102E-2</v>
      </c>
      <c r="F1585">
        <f t="shared" si="52"/>
        <v>1.2176486837728331E-2</v>
      </c>
      <c r="M1585" s="31"/>
    </row>
    <row r="1586" spans="1:13" x14ac:dyDescent="0.3">
      <c r="A1586">
        <v>1999</v>
      </c>
      <c r="B1586">
        <v>6</v>
      </c>
      <c r="C1586">
        <v>5</v>
      </c>
      <c r="D1586">
        <v>0.80714184238646014</v>
      </c>
      <c r="E1586">
        <v>1.5200000000000102E-2</v>
      </c>
      <c r="F1586">
        <f t="shared" si="52"/>
        <v>1.2268556004274277E-2</v>
      </c>
      <c r="M1586" s="31"/>
    </row>
    <row r="1587" spans="1:13" x14ac:dyDescent="0.3">
      <c r="A1587">
        <v>1999</v>
      </c>
      <c r="B1587">
        <v>6</v>
      </c>
      <c r="C1587">
        <v>4</v>
      </c>
      <c r="D1587">
        <v>0.81321286113855173</v>
      </c>
      <c r="E1587">
        <v>1.5200000000000102E-2</v>
      </c>
      <c r="F1587">
        <f t="shared" si="52"/>
        <v>1.236083548930607E-2</v>
      </c>
      <c r="M1587" s="31"/>
    </row>
    <row r="1588" spans="1:13" x14ac:dyDescent="0.3">
      <c r="A1588">
        <v>1999</v>
      </c>
      <c r="B1588">
        <v>6</v>
      </c>
      <c r="C1588">
        <v>3</v>
      </c>
      <c r="D1588">
        <v>0.81858809888184714</v>
      </c>
      <c r="E1588">
        <v>1.5200000000000102E-2</v>
      </c>
      <c r="F1588">
        <f t="shared" si="52"/>
        <v>1.244253910300416E-2</v>
      </c>
      <c r="M1588" s="31"/>
    </row>
    <row r="1589" spans="1:13" x14ac:dyDescent="0.3">
      <c r="A1589">
        <v>1999</v>
      </c>
      <c r="B1589">
        <v>6</v>
      </c>
      <c r="C1589">
        <v>1</v>
      </c>
      <c r="D1589">
        <v>0.82468598619118294</v>
      </c>
      <c r="E1589">
        <v>1.5200000000000102E-2</v>
      </c>
      <c r="F1589">
        <f t="shared" si="52"/>
        <v>1.2535226990106065E-2</v>
      </c>
      <c r="M1589" s="31"/>
    </row>
    <row r="1590" spans="1:13" x14ac:dyDescent="0.3">
      <c r="A1590">
        <v>1999</v>
      </c>
      <c r="B1590">
        <v>5</v>
      </c>
      <c r="C1590">
        <v>31</v>
      </c>
      <c r="D1590">
        <v>0.82994258532802112</v>
      </c>
      <c r="E1590">
        <v>1.5200000000000102E-2</v>
      </c>
      <c r="F1590">
        <f t="shared" si="52"/>
        <v>1.2615127296986006E-2</v>
      </c>
      <c r="M1590" s="31"/>
    </row>
    <row r="1591" spans="1:13" x14ac:dyDescent="0.3">
      <c r="A1591">
        <v>1999</v>
      </c>
      <c r="B1591">
        <v>5</v>
      </c>
      <c r="C1591">
        <v>29</v>
      </c>
      <c r="D1591">
        <v>0.83221268770515266</v>
      </c>
      <c r="E1591">
        <v>1.5200000000000102E-2</v>
      </c>
      <c r="F1591">
        <f t="shared" si="52"/>
        <v>1.2649632853118405E-2</v>
      </c>
      <c r="M1591" s="31"/>
    </row>
    <row r="1592" spans="1:13" x14ac:dyDescent="0.3">
      <c r="A1592">
        <v>1999</v>
      </c>
      <c r="B1592">
        <v>5</v>
      </c>
      <c r="C1592">
        <v>28</v>
      </c>
      <c r="D1592">
        <v>0.83234465322861373</v>
      </c>
      <c r="E1592">
        <v>1.5200000000000102E-2</v>
      </c>
      <c r="F1592">
        <f t="shared" si="52"/>
        <v>1.2651638729075014E-2</v>
      </c>
      <c r="M1592" s="31"/>
    </row>
    <row r="1593" spans="1:13" x14ac:dyDescent="0.3">
      <c r="A1593">
        <v>1999</v>
      </c>
      <c r="B1593">
        <v>5</v>
      </c>
      <c r="C1593">
        <v>26</v>
      </c>
      <c r="D1593">
        <v>0.8316202224076088</v>
      </c>
      <c r="E1593">
        <v>1.5200000000000102E-2</v>
      </c>
      <c r="F1593">
        <f t="shared" si="52"/>
        <v>1.2640627380595739E-2</v>
      </c>
      <c r="M1593" s="31"/>
    </row>
    <row r="1594" spans="1:13" x14ac:dyDescent="0.3">
      <c r="A1594">
        <v>1999</v>
      </c>
      <c r="B1594">
        <v>5</v>
      </c>
      <c r="C1594">
        <v>25</v>
      </c>
      <c r="D1594">
        <v>0.826759309242034</v>
      </c>
      <c r="E1594">
        <v>1.5200000000000102E-2</v>
      </c>
      <c r="F1594">
        <f t="shared" si="52"/>
        <v>1.2566741500479001E-2</v>
      </c>
      <c r="M1594" s="31"/>
    </row>
    <row r="1595" spans="1:13" x14ac:dyDescent="0.3">
      <c r="A1595">
        <v>1999</v>
      </c>
      <c r="B1595">
        <v>5</v>
      </c>
      <c r="C1595">
        <v>24</v>
      </c>
      <c r="D1595">
        <v>0.81663931198600859</v>
      </c>
      <c r="E1595">
        <v>1.5200000000000102E-2</v>
      </c>
      <c r="F1595">
        <f t="shared" si="52"/>
        <v>1.2412917542187414E-2</v>
      </c>
      <c r="M1595" s="31"/>
    </row>
    <row r="1596" spans="1:13" x14ac:dyDescent="0.3">
      <c r="A1596">
        <v>1999</v>
      </c>
      <c r="B1596">
        <v>5</v>
      </c>
      <c r="C1596">
        <v>22</v>
      </c>
      <c r="D1596">
        <v>0.80130432328817502</v>
      </c>
      <c r="E1596">
        <v>1.5200000000000102E-2</v>
      </c>
      <c r="F1596">
        <f t="shared" si="52"/>
        <v>1.2179825713980342E-2</v>
      </c>
      <c r="M1596" s="31"/>
    </row>
    <row r="1597" spans="1:13" x14ac:dyDescent="0.3">
      <c r="A1597">
        <v>1999</v>
      </c>
      <c r="B1597">
        <v>5</v>
      </c>
      <c r="C1597">
        <v>21</v>
      </c>
      <c r="D1597">
        <v>0.76734959489661259</v>
      </c>
      <c r="E1597">
        <v>1.5200000000000102E-2</v>
      </c>
      <c r="F1597">
        <f t="shared" si="52"/>
        <v>1.166371384242859E-2</v>
      </c>
      <c r="M1597" s="31"/>
    </row>
    <row r="1598" spans="1:13" x14ac:dyDescent="0.3">
      <c r="A1598">
        <v>1999</v>
      </c>
      <c r="B1598">
        <v>5</v>
      </c>
      <c r="C1598">
        <v>19</v>
      </c>
      <c r="D1598">
        <v>0.73180359084631263</v>
      </c>
      <c r="E1598">
        <v>1.5200000000000102E-2</v>
      </c>
      <c r="F1598">
        <f t="shared" si="52"/>
        <v>1.1123414580864027E-2</v>
      </c>
      <c r="M1598" s="31"/>
    </row>
    <row r="1599" spans="1:13" x14ac:dyDescent="0.3">
      <c r="A1599">
        <v>1999</v>
      </c>
      <c r="B1599">
        <v>5</v>
      </c>
      <c r="C1599">
        <v>18</v>
      </c>
      <c r="D1599">
        <v>0.69706925598777836</v>
      </c>
      <c r="E1599">
        <v>1.5200000000000102E-2</v>
      </c>
      <c r="F1599">
        <f t="shared" si="52"/>
        <v>1.0595452691014303E-2</v>
      </c>
      <c r="M1599" s="31"/>
    </row>
    <row r="1600" spans="1:13" x14ac:dyDescent="0.3">
      <c r="A1600">
        <v>1999</v>
      </c>
      <c r="B1600">
        <v>5</v>
      </c>
      <c r="C1600">
        <v>17</v>
      </c>
      <c r="D1600">
        <v>0.66693233403180963</v>
      </c>
      <c r="E1600">
        <v>1.5200000000000102E-2</v>
      </c>
      <c r="F1600">
        <f t="shared" si="52"/>
        <v>1.0137371477283575E-2</v>
      </c>
      <c r="M1600" s="31"/>
    </row>
    <row r="1601" spans="1:13" x14ac:dyDescent="0.3">
      <c r="A1601">
        <v>1999</v>
      </c>
      <c r="B1601">
        <v>5</v>
      </c>
      <c r="C1601">
        <v>15</v>
      </c>
      <c r="D1601">
        <v>0.64180369538843562</v>
      </c>
      <c r="E1601">
        <v>1.5200000000000102E-2</v>
      </c>
      <c r="F1601">
        <f t="shared" si="52"/>
        <v>9.7554161699042879E-3</v>
      </c>
      <c r="M1601" s="31"/>
    </row>
    <row r="1602" spans="1:13" x14ac:dyDescent="0.3">
      <c r="A1602">
        <v>1999</v>
      </c>
      <c r="B1602">
        <v>5</v>
      </c>
      <c r="C1602">
        <v>14</v>
      </c>
      <c r="D1602">
        <v>0.63491124415761413</v>
      </c>
      <c r="E1602">
        <v>1.5200000000000102E-2</v>
      </c>
      <c r="F1602">
        <f t="shared" si="52"/>
        <v>9.6506509111957996E-3</v>
      </c>
      <c r="M1602" s="31"/>
    </row>
    <row r="1603" spans="1:13" x14ac:dyDescent="0.3">
      <c r="A1603">
        <v>1999</v>
      </c>
      <c r="B1603">
        <v>5</v>
      </c>
      <c r="C1603">
        <v>12</v>
      </c>
      <c r="D1603">
        <v>0.63110677127417381</v>
      </c>
      <c r="E1603">
        <v>1.5200000000000102E-2</v>
      </c>
      <c r="F1603">
        <f t="shared" ref="F1603:F1666" si="53">D1603*E1603</f>
        <v>9.5928229233675066E-3</v>
      </c>
      <c r="M1603" s="31"/>
    </row>
    <row r="1604" spans="1:13" x14ac:dyDescent="0.3">
      <c r="A1604">
        <v>1999</v>
      </c>
      <c r="B1604">
        <v>5</v>
      </c>
      <c r="C1604">
        <v>11</v>
      </c>
      <c r="D1604">
        <v>0.63064671752859713</v>
      </c>
      <c r="E1604">
        <v>1.5200000000000102E-2</v>
      </c>
      <c r="F1604">
        <f t="shared" si="53"/>
        <v>9.5858301064347413E-3</v>
      </c>
      <c r="M1604" s="31"/>
    </row>
    <row r="1605" spans="1:13" x14ac:dyDescent="0.3">
      <c r="A1605">
        <v>1999</v>
      </c>
      <c r="B1605">
        <v>5</v>
      </c>
      <c r="C1605">
        <v>9</v>
      </c>
      <c r="D1605">
        <v>0.63032074718477371</v>
      </c>
      <c r="E1605">
        <v>1.5200000000000102E-2</v>
      </c>
      <c r="F1605">
        <f t="shared" si="53"/>
        <v>9.5808753572086246E-3</v>
      </c>
      <c r="M1605" s="31"/>
    </row>
    <row r="1606" spans="1:13" x14ac:dyDescent="0.3">
      <c r="A1606">
        <v>1999</v>
      </c>
      <c r="B1606">
        <v>5</v>
      </c>
      <c r="C1606">
        <v>8</v>
      </c>
      <c r="D1606">
        <v>0.62945952997647014</v>
      </c>
      <c r="E1606">
        <v>1.5200000000000102E-2</v>
      </c>
      <c r="F1606">
        <f t="shared" si="53"/>
        <v>9.5677848556424104E-3</v>
      </c>
      <c r="M1606" s="31"/>
    </row>
    <row r="1607" spans="1:13" x14ac:dyDescent="0.3">
      <c r="A1607">
        <v>1999</v>
      </c>
      <c r="B1607">
        <v>5</v>
      </c>
      <c r="C1607">
        <v>7</v>
      </c>
      <c r="D1607">
        <v>0.62806320308655283</v>
      </c>
      <c r="E1607">
        <v>1.5200000000000102E-2</v>
      </c>
      <c r="F1607">
        <f t="shared" si="53"/>
        <v>9.5465606869156675E-3</v>
      </c>
      <c r="M1607" s="31"/>
    </row>
    <row r="1608" spans="1:13" x14ac:dyDescent="0.3">
      <c r="A1608">
        <v>1999</v>
      </c>
      <c r="B1608">
        <v>5</v>
      </c>
      <c r="C1608">
        <v>5</v>
      </c>
      <c r="D1608">
        <v>0.62827142384125056</v>
      </c>
      <c r="E1608">
        <v>1.5200000000000102E-2</v>
      </c>
      <c r="F1608">
        <f t="shared" si="53"/>
        <v>9.5497256423870726E-3</v>
      </c>
      <c r="M1608" s="31"/>
    </row>
    <row r="1609" spans="1:13" x14ac:dyDescent="0.3">
      <c r="A1609">
        <v>1999</v>
      </c>
      <c r="B1609">
        <v>5</v>
      </c>
      <c r="C1609">
        <v>4</v>
      </c>
      <c r="D1609">
        <v>0.62914906164967266</v>
      </c>
      <c r="E1609">
        <v>1.5200000000000102E-2</v>
      </c>
      <c r="F1609">
        <f t="shared" si="53"/>
        <v>9.5630657370750893E-3</v>
      </c>
      <c r="M1609" s="31"/>
    </row>
    <row r="1610" spans="1:13" x14ac:dyDescent="0.3">
      <c r="A1610">
        <v>1999</v>
      </c>
      <c r="B1610">
        <v>5</v>
      </c>
      <c r="C1610">
        <v>2</v>
      </c>
      <c r="D1610">
        <v>0.63069661021896262</v>
      </c>
      <c r="E1610">
        <v>1.5200000000000102E-2</v>
      </c>
      <c r="F1610">
        <f t="shared" si="53"/>
        <v>9.5865884753282959E-3</v>
      </c>
      <c r="M1610" s="31"/>
    </row>
    <row r="1611" spans="1:13" x14ac:dyDescent="0.3">
      <c r="A1611">
        <v>1999</v>
      </c>
      <c r="B1611">
        <v>5</v>
      </c>
      <c r="C1611">
        <v>1</v>
      </c>
      <c r="D1611">
        <v>0.63398895681617407</v>
      </c>
      <c r="E1611">
        <v>1.5200000000000102E-2</v>
      </c>
      <c r="F1611">
        <f t="shared" si="53"/>
        <v>9.636632143605911E-3</v>
      </c>
      <c r="M1611" s="31"/>
    </row>
    <row r="1612" spans="1:13" x14ac:dyDescent="0.3">
      <c r="A1612">
        <v>1999</v>
      </c>
      <c r="B1612">
        <v>4</v>
      </c>
      <c r="C1612">
        <v>30</v>
      </c>
      <c r="D1612">
        <v>0.63903407573082938</v>
      </c>
      <c r="E1612">
        <v>1.5200000000000102E-2</v>
      </c>
      <c r="F1612">
        <f t="shared" si="53"/>
        <v>9.7133179511086718E-3</v>
      </c>
      <c r="M1612" s="31"/>
    </row>
    <row r="1613" spans="1:13" x14ac:dyDescent="0.3">
      <c r="A1613">
        <v>1999</v>
      </c>
      <c r="B1613">
        <v>4</v>
      </c>
      <c r="C1613">
        <v>28</v>
      </c>
      <c r="D1613">
        <v>0.64989089502650865</v>
      </c>
      <c r="E1613">
        <v>1.5200000000000102E-2</v>
      </c>
      <c r="F1613">
        <f t="shared" si="53"/>
        <v>9.8783416044029987E-3</v>
      </c>
      <c r="M1613" s="31"/>
    </row>
    <row r="1614" spans="1:13" x14ac:dyDescent="0.3">
      <c r="A1614">
        <v>1999</v>
      </c>
      <c r="B1614">
        <v>4</v>
      </c>
      <c r="C1614">
        <v>27</v>
      </c>
      <c r="D1614">
        <v>0.66581940064745093</v>
      </c>
      <c r="E1614">
        <v>1.5200000000000102E-2</v>
      </c>
      <c r="F1614">
        <f t="shared" si="53"/>
        <v>1.0120454889841323E-2</v>
      </c>
      <c r="M1614" s="31"/>
    </row>
    <row r="1615" spans="1:13" x14ac:dyDescent="0.3">
      <c r="A1615">
        <v>1999</v>
      </c>
      <c r="B1615">
        <v>4</v>
      </c>
      <c r="C1615">
        <v>25</v>
      </c>
      <c r="D1615">
        <v>0.68663802274429542</v>
      </c>
      <c r="E1615">
        <v>1.5200000000000102E-2</v>
      </c>
      <c r="F1615">
        <f t="shared" si="53"/>
        <v>1.0436897945713361E-2</v>
      </c>
      <c r="M1615" s="31"/>
    </row>
    <row r="1616" spans="1:13" x14ac:dyDescent="0.3">
      <c r="A1616">
        <v>1999</v>
      </c>
      <c r="B1616">
        <v>4</v>
      </c>
      <c r="C1616">
        <v>24</v>
      </c>
      <c r="D1616">
        <v>0.70693345078512015</v>
      </c>
      <c r="E1616">
        <v>1.5200000000000102E-2</v>
      </c>
      <c r="F1616">
        <f t="shared" si="53"/>
        <v>1.0745388451933898E-2</v>
      </c>
      <c r="M1616" s="31"/>
    </row>
    <row r="1617" spans="1:13" x14ac:dyDescent="0.3">
      <c r="A1617">
        <v>1999</v>
      </c>
      <c r="B1617">
        <v>4</v>
      </c>
      <c r="C1617">
        <v>22</v>
      </c>
      <c r="D1617">
        <v>0.72086040510487537</v>
      </c>
      <c r="E1617">
        <v>1.5200000000000102E-2</v>
      </c>
      <c r="F1617">
        <f t="shared" si="53"/>
        <v>1.0957078157594179E-2</v>
      </c>
      <c r="M1617" s="31"/>
    </row>
    <row r="1618" spans="1:13" x14ac:dyDescent="0.3">
      <c r="A1618">
        <v>1999</v>
      </c>
      <c r="B1618">
        <v>4</v>
      </c>
      <c r="C1618">
        <v>21</v>
      </c>
      <c r="D1618">
        <v>0.72123371567077643</v>
      </c>
      <c r="E1618">
        <v>1.5200000000000102E-2</v>
      </c>
      <c r="F1618">
        <f t="shared" si="53"/>
        <v>1.0962752478195876E-2</v>
      </c>
      <c r="M1618" s="31"/>
    </row>
    <row r="1619" spans="1:13" x14ac:dyDescent="0.3">
      <c r="A1619">
        <v>1999</v>
      </c>
      <c r="B1619">
        <v>4</v>
      </c>
      <c r="C1619">
        <v>20</v>
      </c>
      <c r="D1619">
        <v>0.71205867476720985</v>
      </c>
      <c r="E1619">
        <v>1.5200000000000102E-2</v>
      </c>
      <c r="F1619">
        <f t="shared" si="53"/>
        <v>1.0823291856461663E-2</v>
      </c>
      <c r="M1619" s="31"/>
    </row>
    <row r="1620" spans="1:13" x14ac:dyDescent="0.3">
      <c r="A1620">
        <v>1999</v>
      </c>
      <c r="B1620">
        <v>4</v>
      </c>
      <c r="C1620">
        <v>18</v>
      </c>
      <c r="D1620">
        <v>0.69631416114438338</v>
      </c>
      <c r="E1620">
        <v>1.5200000000000102E-2</v>
      </c>
      <c r="F1620">
        <f t="shared" si="53"/>
        <v>1.0583975249394698E-2</v>
      </c>
      <c r="M1620" s="31"/>
    </row>
    <row r="1621" spans="1:13" x14ac:dyDescent="0.3">
      <c r="A1621">
        <v>1999</v>
      </c>
      <c r="B1621">
        <v>4</v>
      </c>
      <c r="C1621">
        <v>17</v>
      </c>
      <c r="D1621">
        <v>0.67970654614913251</v>
      </c>
      <c r="E1621">
        <v>1.5200000000000102E-2</v>
      </c>
      <c r="F1621">
        <f t="shared" si="53"/>
        <v>1.0331539501466884E-2</v>
      </c>
      <c r="M1621" s="31"/>
    </row>
    <row r="1622" spans="1:13" x14ac:dyDescent="0.3">
      <c r="A1622">
        <v>1999</v>
      </c>
      <c r="B1622">
        <v>4</v>
      </c>
      <c r="C1622">
        <v>15</v>
      </c>
      <c r="D1622">
        <v>0.66632711148006996</v>
      </c>
      <c r="E1622">
        <v>1.5200000000000102E-2</v>
      </c>
      <c r="F1622">
        <f t="shared" si="53"/>
        <v>1.0128172094497132E-2</v>
      </c>
      <c r="M1622" s="31"/>
    </row>
    <row r="1623" spans="1:13" x14ac:dyDescent="0.3">
      <c r="A1623">
        <v>1999</v>
      </c>
      <c r="B1623">
        <v>4</v>
      </c>
      <c r="C1623">
        <v>14</v>
      </c>
      <c r="D1623">
        <v>0.65585767091278335</v>
      </c>
      <c r="E1623">
        <v>1.5200000000000102E-2</v>
      </c>
      <c r="F1623">
        <f t="shared" si="53"/>
        <v>9.9690365978743738E-3</v>
      </c>
      <c r="M1623" s="31"/>
    </row>
    <row r="1624" spans="1:13" x14ac:dyDescent="0.3">
      <c r="A1624">
        <v>1999</v>
      </c>
      <c r="B1624">
        <v>4</v>
      </c>
      <c r="C1624">
        <v>12</v>
      </c>
      <c r="D1624">
        <v>0.64961326392783114</v>
      </c>
      <c r="E1624">
        <v>1.5200000000000102E-2</v>
      </c>
      <c r="F1624">
        <f t="shared" si="53"/>
        <v>9.8741216117030992E-3</v>
      </c>
      <c r="M1624" s="31"/>
    </row>
    <row r="1625" spans="1:13" x14ac:dyDescent="0.3">
      <c r="A1625">
        <v>1999</v>
      </c>
      <c r="B1625">
        <v>4</v>
      </c>
      <c r="C1625">
        <v>11</v>
      </c>
      <c r="D1625">
        <v>0.6471579885559775</v>
      </c>
      <c r="E1625">
        <v>1.5200000000000102E-2</v>
      </c>
      <c r="F1625">
        <f t="shared" si="53"/>
        <v>9.8368014260509246E-3</v>
      </c>
      <c r="M1625" s="31"/>
    </row>
    <row r="1626" spans="1:13" x14ac:dyDescent="0.3">
      <c r="A1626">
        <v>1999</v>
      </c>
      <c r="B1626">
        <v>4</v>
      </c>
      <c r="C1626">
        <v>10</v>
      </c>
      <c r="D1626">
        <v>0.6472653468647237</v>
      </c>
      <c r="E1626">
        <v>1.5200000000000102E-2</v>
      </c>
      <c r="F1626">
        <f t="shared" si="53"/>
        <v>9.8384332723438668E-3</v>
      </c>
      <c r="M1626" s="31"/>
    </row>
    <row r="1627" spans="1:13" x14ac:dyDescent="0.3">
      <c r="A1627">
        <v>1999</v>
      </c>
      <c r="B1627">
        <v>4</v>
      </c>
      <c r="C1627">
        <v>8</v>
      </c>
      <c r="D1627">
        <v>0.65033896581701522</v>
      </c>
      <c r="E1627">
        <v>1.5200000000000102E-2</v>
      </c>
      <c r="F1627">
        <f t="shared" si="53"/>
        <v>9.8851522804186982E-3</v>
      </c>
      <c r="M1627" s="31"/>
    </row>
    <row r="1628" spans="1:13" x14ac:dyDescent="0.3">
      <c r="A1628">
        <v>1999</v>
      </c>
      <c r="B1628">
        <v>4</v>
      </c>
      <c r="C1628">
        <v>7</v>
      </c>
      <c r="D1628">
        <v>0.65557701308619232</v>
      </c>
      <c r="E1628">
        <v>1.5200000000000102E-2</v>
      </c>
      <c r="F1628">
        <f t="shared" si="53"/>
        <v>9.9647705989101901E-3</v>
      </c>
      <c r="M1628" s="31"/>
    </row>
    <row r="1629" spans="1:13" x14ac:dyDescent="0.3">
      <c r="A1629">
        <v>1999</v>
      </c>
      <c r="B1629">
        <v>4</v>
      </c>
      <c r="C1629">
        <v>5</v>
      </c>
      <c r="D1629">
        <v>0.6564941299803051</v>
      </c>
      <c r="E1629">
        <v>1.5200000000000102E-2</v>
      </c>
      <c r="F1629">
        <f t="shared" si="53"/>
        <v>9.9787107757007051E-3</v>
      </c>
      <c r="M1629" s="31"/>
    </row>
    <row r="1630" spans="1:13" x14ac:dyDescent="0.3">
      <c r="A1630">
        <v>1999</v>
      </c>
      <c r="B1630">
        <v>4</v>
      </c>
      <c r="C1630">
        <v>4</v>
      </c>
      <c r="D1630">
        <v>0.65457356650735732</v>
      </c>
      <c r="E1630">
        <v>1.5200000000000102E-2</v>
      </c>
      <c r="F1630">
        <f t="shared" si="53"/>
        <v>9.9495182109118983E-3</v>
      </c>
      <c r="M1630" s="31"/>
    </row>
    <row r="1631" spans="1:13" x14ac:dyDescent="0.3">
      <c r="A1631">
        <v>1999</v>
      </c>
      <c r="B1631">
        <v>4</v>
      </c>
      <c r="C1631">
        <v>3</v>
      </c>
      <c r="D1631">
        <v>0.64995797559166779</v>
      </c>
      <c r="E1631">
        <v>1.5200000000000102E-2</v>
      </c>
      <c r="F1631">
        <f t="shared" si="53"/>
        <v>9.8793612289934177E-3</v>
      </c>
      <c r="M1631" s="31"/>
    </row>
    <row r="1632" spans="1:13" x14ac:dyDescent="0.3">
      <c r="A1632">
        <v>1999</v>
      </c>
      <c r="B1632">
        <v>4</v>
      </c>
      <c r="C1632">
        <v>1</v>
      </c>
      <c r="D1632">
        <v>0.64225975102162625</v>
      </c>
      <c r="E1632">
        <v>1.5200000000000102E-2</v>
      </c>
      <c r="F1632">
        <f t="shared" si="53"/>
        <v>9.7623482155287846E-3</v>
      </c>
      <c r="M1632" s="31"/>
    </row>
    <row r="1633" spans="1:13" x14ac:dyDescent="0.3">
      <c r="A1633">
        <v>1999</v>
      </c>
      <c r="B1633">
        <v>3</v>
      </c>
      <c r="C1633">
        <v>31</v>
      </c>
      <c r="D1633">
        <v>0.63472073015031472</v>
      </c>
      <c r="E1633">
        <v>1.5200000000000102E-2</v>
      </c>
      <c r="F1633">
        <f t="shared" si="53"/>
        <v>9.6477550982848482E-3</v>
      </c>
      <c r="M1633" s="31"/>
    </row>
    <row r="1634" spans="1:13" x14ac:dyDescent="0.3">
      <c r="A1634">
        <v>1999</v>
      </c>
      <c r="B1634">
        <v>3</v>
      </c>
      <c r="C1634">
        <v>29</v>
      </c>
      <c r="D1634">
        <v>0.63295554208282812</v>
      </c>
      <c r="E1634">
        <v>1.5200000000000102E-2</v>
      </c>
      <c r="F1634">
        <f t="shared" si="53"/>
        <v>9.6209242396590525E-3</v>
      </c>
      <c r="M1634" s="31"/>
    </row>
    <row r="1635" spans="1:13" x14ac:dyDescent="0.3">
      <c r="A1635">
        <v>1999</v>
      </c>
      <c r="B1635">
        <v>3</v>
      </c>
      <c r="C1635">
        <v>28</v>
      </c>
      <c r="D1635">
        <v>0.63360009456423461</v>
      </c>
      <c r="E1635">
        <v>1.5200000000000102E-2</v>
      </c>
      <c r="F1635">
        <f t="shared" si="53"/>
        <v>9.6307214373764303E-3</v>
      </c>
      <c r="M1635" s="31"/>
    </row>
    <row r="1636" spans="1:13" x14ac:dyDescent="0.3">
      <c r="A1636">
        <v>1999</v>
      </c>
      <c r="B1636">
        <v>3</v>
      </c>
      <c r="C1636">
        <v>26</v>
      </c>
      <c r="D1636">
        <v>0.63611944514063912</v>
      </c>
      <c r="E1636">
        <v>1.5200000000000102E-2</v>
      </c>
      <c r="F1636">
        <f t="shared" si="53"/>
        <v>9.6690155661377803E-3</v>
      </c>
      <c r="M1636" s="31"/>
    </row>
    <row r="1637" spans="1:13" x14ac:dyDescent="0.3">
      <c r="A1637">
        <v>1999</v>
      </c>
      <c r="B1637">
        <v>3</v>
      </c>
      <c r="C1637">
        <v>25</v>
      </c>
      <c r="D1637">
        <v>0.64441156397299415</v>
      </c>
      <c r="E1637">
        <v>1.5200000000000102E-2</v>
      </c>
      <c r="F1637">
        <f t="shared" si="53"/>
        <v>9.7950557723895763E-3</v>
      </c>
      <c r="M1637" s="31"/>
    </row>
    <row r="1638" spans="1:13" x14ac:dyDescent="0.3">
      <c r="A1638">
        <v>1999</v>
      </c>
      <c r="B1638">
        <v>3</v>
      </c>
      <c r="C1638">
        <v>24</v>
      </c>
      <c r="D1638">
        <v>0.65245737571073648</v>
      </c>
      <c r="E1638">
        <v>1.5200000000000102E-2</v>
      </c>
      <c r="F1638">
        <f t="shared" si="53"/>
        <v>9.9173521108032615E-3</v>
      </c>
      <c r="M1638" s="31"/>
    </row>
    <row r="1639" spans="1:13" x14ac:dyDescent="0.3">
      <c r="A1639">
        <v>1999</v>
      </c>
      <c r="B1639">
        <v>3</v>
      </c>
      <c r="C1639">
        <v>22</v>
      </c>
      <c r="D1639">
        <v>0.65836302965549154</v>
      </c>
      <c r="E1639">
        <v>1.5200000000000102E-2</v>
      </c>
      <c r="F1639">
        <f t="shared" si="53"/>
        <v>1.0007118050763538E-2</v>
      </c>
      <c r="M1639" s="31"/>
    </row>
    <row r="1640" spans="1:13" x14ac:dyDescent="0.3">
      <c r="A1640">
        <v>1999</v>
      </c>
      <c r="B1640">
        <v>3</v>
      </c>
      <c r="C1640">
        <v>21</v>
      </c>
      <c r="D1640">
        <v>0.66225137457371386</v>
      </c>
      <c r="E1640">
        <v>1.5200000000000102E-2</v>
      </c>
      <c r="F1640">
        <f t="shared" si="53"/>
        <v>1.0066220893520519E-2</v>
      </c>
      <c r="M1640" s="31"/>
    </row>
    <row r="1641" spans="1:13" x14ac:dyDescent="0.3">
      <c r="A1641">
        <v>1999</v>
      </c>
      <c r="B1641">
        <v>3</v>
      </c>
      <c r="C1641">
        <v>19</v>
      </c>
      <c r="D1641">
        <v>0.66276191290967512</v>
      </c>
      <c r="E1641">
        <v>1.5200000000000102E-2</v>
      </c>
      <c r="F1641">
        <f t="shared" si="53"/>
        <v>1.007398107622713E-2</v>
      </c>
      <c r="M1641" s="31"/>
    </row>
    <row r="1642" spans="1:13" x14ac:dyDescent="0.3">
      <c r="A1642">
        <v>1999</v>
      </c>
      <c r="B1642">
        <v>3</v>
      </c>
      <c r="C1642">
        <v>18</v>
      </c>
      <c r="D1642">
        <v>0.65706076580705886</v>
      </c>
      <c r="E1642">
        <v>1.5200000000000102E-2</v>
      </c>
      <c r="F1642">
        <f t="shared" si="53"/>
        <v>9.987323640267361E-3</v>
      </c>
      <c r="M1642" s="31"/>
    </row>
    <row r="1643" spans="1:13" x14ac:dyDescent="0.3">
      <c r="A1643">
        <v>1999</v>
      </c>
      <c r="B1643">
        <v>3</v>
      </c>
      <c r="C1643">
        <v>17</v>
      </c>
      <c r="D1643">
        <v>0.64881868231813655</v>
      </c>
      <c r="E1643">
        <v>1.5200000000000102E-2</v>
      </c>
      <c r="F1643">
        <f t="shared" si="53"/>
        <v>9.862043971235742E-3</v>
      </c>
      <c r="M1643" s="31"/>
    </row>
    <row r="1644" spans="1:13" x14ac:dyDescent="0.3">
      <c r="A1644">
        <v>1999</v>
      </c>
      <c r="B1644">
        <v>3</v>
      </c>
      <c r="C1644">
        <v>15</v>
      </c>
      <c r="D1644">
        <v>0.63926581397364979</v>
      </c>
      <c r="E1644">
        <v>1.5200000000000102E-2</v>
      </c>
      <c r="F1644">
        <f t="shared" si="53"/>
        <v>9.7168403723995427E-3</v>
      </c>
      <c r="M1644" s="31"/>
    </row>
    <row r="1645" spans="1:13" x14ac:dyDescent="0.3">
      <c r="A1645">
        <v>1999</v>
      </c>
      <c r="B1645">
        <v>3</v>
      </c>
      <c r="C1645">
        <v>14</v>
      </c>
      <c r="D1645">
        <v>0.62615194908293637</v>
      </c>
      <c r="E1645">
        <v>1.5200000000000102E-2</v>
      </c>
      <c r="F1645">
        <f t="shared" si="53"/>
        <v>9.5175096260606967E-3</v>
      </c>
      <c r="M1645" s="31"/>
    </row>
    <row r="1646" spans="1:13" x14ac:dyDescent="0.3">
      <c r="A1646">
        <v>1999</v>
      </c>
      <c r="B1646">
        <v>3</v>
      </c>
      <c r="C1646">
        <v>12</v>
      </c>
      <c r="D1646">
        <v>0.61364024301920594</v>
      </c>
      <c r="E1646">
        <v>1.5200000000000102E-2</v>
      </c>
      <c r="F1646">
        <f t="shared" si="53"/>
        <v>9.3273316938919937E-3</v>
      </c>
      <c r="M1646" s="31"/>
    </row>
    <row r="1647" spans="1:13" x14ac:dyDescent="0.3">
      <c r="A1647">
        <v>1999</v>
      </c>
      <c r="B1647">
        <v>3</v>
      </c>
      <c r="C1647">
        <v>11</v>
      </c>
      <c r="D1647">
        <v>0.60145907502182938</v>
      </c>
      <c r="E1647">
        <v>1.5200000000000102E-2</v>
      </c>
      <c r="F1647">
        <f t="shared" si="53"/>
        <v>9.1421779403318675E-3</v>
      </c>
      <c r="M1647" s="31"/>
    </row>
    <row r="1648" spans="1:13" x14ac:dyDescent="0.3">
      <c r="A1648">
        <v>1999</v>
      </c>
      <c r="B1648">
        <v>3</v>
      </c>
      <c r="C1648">
        <v>9</v>
      </c>
      <c r="D1648">
        <v>0.59078610227584227</v>
      </c>
      <c r="E1648">
        <v>1.5200000000000102E-2</v>
      </c>
      <c r="F1648">
        <f t="shared" si="53"/>
        <v>8.9799487545928636E-3</v>
      </c>
      <c r="M1648" s="31"/>
    </row>
    <row r="1649" spans="1:13" x14ac:dyDescent="0.3">
      <c r="A1649">
        <v>1999</v>
      </c>
      <c r="B1649">
        <v>3</v>
      </c>
      <c r="C1649">
        <v>8</v>
      </c>
      <c r="D1649">
        <v>0.58029497290381471</v>
      </c>
      <c r="E1649">
        <v>1.5200000000000102E-2</v>
      </c>
      <c r="F1649">
        <f t="shared" si="53"/>
        <v>8.8204835881380422E-3</v>
      </c>
      <c r="M1649" s="31"/>
    </row>
    <row r="1650" spans="1:13" x14ac:dyDescent="0.3">
      <c r="A1650">
        <v>1999</v>
      </c>
      <c r="B1650">
        <v>3</v>
      </c>
      <c r="C1650">
        <v>7</v>
      </c>
      <c r="D1650">
        <v>0.57245642509082018</v>
      </c>
      <c r="E1650">
        <v>1.5200000000000102E-2</v>
      </c>
      <c r="F1650">
        <f t="shared" si="53"/>
        <v>8.701337661380525E-3</v>
      </c>
      <c r="M1650" s="31"/>
    </row>
    <row r="1651" spans="1:13" x14ac:dyDescent="0.3">
      <c r="A1651">
        <v>1999</v>
      </c>
      <c r="B1651">
        <v>3</v>
      </c>
      <c r="C1651">
        <v>5</v>
      </c>
      <c r="D1651">
        <v>0.56477657388902303</v>
      </c>
      <c r="E1651">
        <v>1.5200000000000102E-2</v>
      </c>
      <c r="F1651">
        <f t="shared" si="53"/>
        <v>8.5846039231132071E-3</v>
      </c>
      <c r="M1651" s="31"/>
    </row>
    <row r="1652" spans="1:13" x14ac:dyDescent="0.3">
      <c r="A1652">
        <v>1999</v>
      </c>
      <c r="B1652">
        <v>3</v>
      </c>
      <c r="C1652">
        <v>4</v>
      </c>
      <c r="D1652">
        <v>0.55738396150296332</v>
      </c>
      <c r="E1652">
        <v>1.5200000000000102E-2</v>
      </c>
      <c r="F1652">
        <f t="shared" si="53"/>
        <v>8.4722362148450994E-3</v>
      </c>
      <c r="M1652" s="31"/>
    </row>
    <row r="1653" spans="1:13" x14ac:dyDescent="0.3">
      <c r="A1653">
        <v>1999</v>
      </c>
      <c r="B1653">
        <v>3</v>
      </c>
      <c r="C1653">
        <v>2</v>
      </c>
      <c r="D1653">
        <v>0.55091979603821384</v>
      </c>
      <c r="E1653">
        <v>1.5200000000000102E-2</v>
      </c>
      <c r="F1653">
        <f t="shared" si="53"/>
        <v>8.3739808997809074E-3</v>
      </c>
      <c r="M1653" s="31"/>
    </row>
    <row r="1654" spans="1:13" x14ac:dyDescent="0.3">
      <c r="A1654">
        <v>1999</v>
      </c>
      <c r="B1654">
        <v>3</v>
      </c>
      <c r="C1654">
        <v>1</v>
      </c>
      <c r="D1654">
        <v>0.54691972016904267</v>
      </c>
      <c r="E1654">
        <v>1.5200000000000102E-2</v>
      </c>
      <c r="F1654">
        <f t="shared" si="53"/>
        <v>8.3131797465695045E-3</v>
      </c>
      <c r="M1654" s="31"/>
    </row>
    <row r="1655" spans="1:13" x14ac:dyDescent="0.3">
      <c r="A1655">
        <v>1999</v>
      </c>
      <c r="B1655">
        <v>2</v>
      </c>
      <c r="C1655">
        <v>28</v>
      </c>
      <c r="D1655">
        <v>0.54614072885772558</v>
      </c>
      <c r="E1655">
        <v>1.5200000000000102E-2</v>
      </c>
      <c r="F1655">
        <f t="shared" si="53"/>
        <v>8.301339078637485E-3</v>
      </c>
      <c r="M1655" s="31"/>
    </row>
    <row r="1656" spans="1:13" x14ac:dyDescent="0.3">
      <c r="A1656">
        <v>1999</v>
      </c>
      <c r="B1656">
        <v>2</v>
      </c>
      <c r="C1656">
        <v>15</v>
      </c>
      <c r="D1656">
        <v>0.54780548637399062</v>
      </c>
      <c r="E1656">
        <v>1.5200000000000102E-2</v>
      </c>
      <c r="F1656">
        <f t="shared" si="53"/>
        <v>8.3266433928847142E-3</v>
      </c>
      <c r="M1656" s="31"/>
    </row>
    <row r="1657" spans="1:13" x14ac:dyDescent="0.3">
      <c r="A1657">
        <v>1999</v>
      </c>
      <c r="B1657">
        <v>2</v>
      </c>
      <c r="C1657">
        <v>3</v>
      </c>
      <c r="D1657">
        <v>0.55127353388461375</v>
      </c>
      <c r="E1657">
        <v>1.5200000000000102E-2</v>
      </c>
      <c r="F1657">
        <f t="shared" si="53"/>
        <v>8.3793577150461859E-3</v>
      </c>
      <c r="M1657" s="31"/>
    </row>
    <row r="1658" spans="1:13" x14ac:dyDescent="0.3">
      <c r="A1658">
        <v>1999</v>
      </c>
      <c r="B1658">
        <v>1</v>
      </c>
      <c r="C1658">
        <v>22</v>
      </c>
      <c r="D1658">
        <v>0.55732739530201514</v>
      </c>
      <c r="E1658">
        <v>1.5200000000000102E-2</v>
      </c>
      <c r="F1658">
        <f t="shared" si="53"/>
        <v>8.4713764085906865E-3</v>
      </c>
      <c r="M1658" s="31"/>
    </row>
    <row r="1659" spans="1:13" x14ac:dyDescent="0.3">
      <c r="A1659">
        <v>1999</v>
      </c>
      <c r="B1659">
        <v>1</v>
      </c>
      <c r="C1659">
        <v>10</v>
      </c>
      <c r="D1659">
        <v>0.56456048090743072</v>
      </c>
      <c r="E1659">
        <v>1.5200000000000102E-2</v>
      </c>
      <c r="F1659">
        <f t="shared" si="53"/>
        <v>8.5813193097930042E-3</v>
      </c>
      <c r="M1659" s="31"/>
    </row>
    <row r="1660" spans="1:13" x14ac:dyDescent="0.3">
      <c r="A1660">
        <v>1998</v>
      </c>
      <c r="B1660">
        <v>12</v>
      </c>
      <c r="C1660">
        <v>29</v>
      </c>
      <c r="D1660">
        <v>0.572982994412921</v>
      </c>
      <c r="E1660">
        <v>1.5200000000000102E-2</v>
      </c>
      <c r="F1660">
        <f t="shared" si="53"/>
        <v>8.7093415150764578E-3</v>
      </c>
      <c r="M1660" s="31"/>
    </row>
    <row r="1661" spans="1:13" x14ac:dyDescent="0.3">
      <c r="A1661">
        <v>1998</v>
      </c>
      <c r="B1661">
        <v>12</v>
      </c>
      <c r="C1661">
        <v>17</v>
      </c>
      <c r="D1661">
        <v>0.58914049863959816</v>
      </c>
      <c r="E1661">
        <v>1.5200000000000102E-2</v>
      </c>
      <c r="F1661">
        <f t="shared" si="53"/>
        <v>8.9549355793219522E-3</v>
      </c>
      <c r="M1661" s="31"/>
    </row>
    <row r="1662" spans="1:13" x14ac:dyDescent="0.3">
      <c r="A1662">
        <v>1998</v>
      </c>
      <c r="B1662">
        <v>12</v>
      </c>
      <c r="C1662">
        <v>4</v>
      </c>
      <c r="D1662">
        <v>0.60843211917596529</v>
      </c>
      <c r="E1662">
        <v>1.5200000000000102E-2</v>
      </c>
      <c r="F1662">
        <f t="shared" si="53"/>
        <v>9.2481682114747346E-3</v>
      </c>
      <c r="M1662" s="31"/>
    </row>
    <row r="1663" spans="1:13" x14ac:dyDescent="0.3">
      <c r="A1663">
        <v>1998</v>
      </c>
      <c r="B1663">
        <v>11</v>
      </c>
      <c r="C1663">
        <v>22</v>
      </c>
      <c r="D1663">
        <v>0.62999419248715438</v>
      </c>
      <c r="E1663">
        <v>1.5200000000000102E-2</v>
      </c>
      <c r="F1663">
        <f t="shared" si="53"/>
        <v>9.5759117258048115E-3</v>
      </c>
      <c r="M1663" s="31"/>
    </row>
    <row r="1664" spans="1:13" x14ac:dyDescent="0.3">
      <c r="A1664">
        <v>1998</v>
      </c>
      <c r="B1664">
        <v>11</v>
      </c>
      <c r="C1664">
        <v>10</v>
      </c>
      <c r="D1664">
        <v>0.65481545190984536</v>
      </c>
      <c r="E1664">
        <v>1.5200000000000102E-2</v>
      </c>
      <c r="F1664">
        <f t="shared" si="53"/>
        <v>9.9531948690297165E-3</v>
      </c>
      <c r="M1664" s="31"/>
    </row>
    <row r="1665" spans="1:13" x14ac:dyDescent="0.3">
      <c r="A1665">
        <v>1998</v>
      </c>
      <c r="B1665">
        <v>10</v>
      </c>
      <c r="C1665">
        <v>29</v>
      </c>
      <c r="D1665">
        <v>0.68135027003304194</v>
      </c>
      <c r="E1665">
        <v>1.5200000000000102E-2</v>
      </c>
      <c r="F1665">
        <f t="shared" si="53"/>
        <v>1.0356524104502307E-2</v>
      </c>
      <c r="M1665" s="31"/>
    </row>
    <row r="1666" spans="1:13" x14ac:dyDescent="0.3">
      <c r="A1666">
        <v>1998</v>
      </c>
      <c r="B1666">
        <v>10</v>
      </c>
      <c r="C1666">
        <v>17</v>
      </c>
      <c r="D1666">
        <v>0.70280238667897355</v>
      </c>
      <c r="E1666">
        <v>1.5200000000000102E-2</v>
      </c>
      <c r="F1666">
        <f t="shared" si="53"/>
        <v>1.0682596277520469E-2</v>
      </c>
      <c r="M1666" s="31"/>
    </row>
    <row r="1667" spans="1:13" x14ac:dyDescent="0.3">
      <c r="A1667">
        <v>1998</v>
      </c>
      <c r="B1667">
        <v>10</v>
      </c>
      <c r="C1667">
        <v>5</v>
      </c>
      <c r="D1667">
        <v>0.72372080235702896</v>
      </c>
      <c r="E1667">
        <v>1.5200000000000102E-2</v>
      </c>
      <c r="F1667">
        <f t="shared" ref="F1667:F1730" si="54">D1667*E1667</f>
        <v>1.1000556195826914E-2</v>
      </c>
      <c r="M1667" s="31"/>
    </row>
    <row r="1668" spans="1:13" x14ac:dyDescent="0.3">
      <c r="A1668">
        <v>1998</v>
      </c>
      <c r="B1668">
        <v>9</v>
      </c>
      <c r="C1668">
        <v>23</v>
      </c>
      <c r="D1668">
        <v>0.74063113691697857</v>
      </c>
      <c r="E1668">
        <v>1.5200000000000102E-2</v>
      </c>
      <c r="F1668">
        <f t="shared" si="54"/>
        <v>1.1257593281138151E-2</v>
      </c>
      <c r="M1668" s="31"/>
    </row>
    <row r="1669" spans="1:13" x14ac:dyDescent="0.3">
      <c r="A1669">
        <v>1998</v>
      </c>
      <c r="B1669">
        <v>9</v>
      </c>
      <c r="C1669">
        <v>10</v>
      </c>
      <c r="D1669">
        <v>0.75568569399913355</v>
      </c>
      <c r="E1669">
        <v>1.5200000000000102E-2</v>
      </c>
      <c r="F1669">
        <f t="shared" si="54"/>
        <v>1.1486422548786908E-2</v>
      </c>
      <c r="M1669" s="31"/>
    </row>
    <row r="1670" spans="1:13" x14ac:dyDescent="0.3">
      <c r="A1670">
        <v>1998</v>
      </c>
      <c r="B1670">
        <v>8</v>
      </c>
      <c r="C1670">
        <v>29</v>
      </c>
      <c r="D1670">
        <v>0.76690435864735251</v>
      </c>
      <c r="E1670">
        <v>1.5200000000000102E-2</v>
      </c>
      <c r="F1670">
        <f t="shared" si="54"/>
        <v>1.1656946251439837E-2</v>
      </c>
      <c r="M1670" s="31"/>
    </row>
    <row r="1671" spans="1:13" x14ac:dyDescent="0.3">
      <c r="A1671">
        <v>1998</v>
      </c>
      <c r="B1671">
        <v>8</v>
      </c>
      <c r="C1671">
        <v>17</v>
      </c>
      <c r="D1671">
        <v>0.77536374591525636</v>
      </c>
      <c r="E1671">
        <v>1.5200000000000102E-2</v>
      </c>
      <c r="F1671">
        <f t="shared" si="54"/>
        <v>1.1785528937911975E-2</v>
      </c>
      <c r="M1671" s="31"/>
    </row>
    <row r="1672" spans="1:13" x14ac:dyDescent="0.3">
      <c r="A1672">
        <v>1998</v>
      </c>
      <c r="B1672">
        <v>8</v>
      </c>
      <c r="C1672">
        <v>5</v>
      </c>
      <c r="D1672">
        <v>0.78944950568968819</v>
      </c>
      <c r="E1672">
        <v>1.5200000000000102E-2</v>
      </c>
      <c r="F1672">
        <f t="shared" si="54"/>
        <v>1.1999632486483341E-2</v>
      </c>
      <c r="M1672" s="31"/>
    </row>
    <row r="1673" spans="1:13" x14ac:dyDescent="0.3">
      <c r="A1673">
        <v>1998</v>
      </c>
      <c r="B1673">
        <v>7</v>
      </c>
      <c r="C1673">
        <v>24</v>
      </c>
      <c r="D1673">
        <v>0.80274660926289465</v>
      </c>
      <c r="E1673">
        <v>1.5200000000000102E-2</v>
      </c>
      <c r="F1673">
        <f t="shared" si="54"/>
        <v>1.220174846079608E-2</v>
      </c>
      <c r="M1673" s="31"/>
    </row>
    <row r="1674" spans="1:13" x14ac:dyDescent="0.3">
      <c r="A1674">
        <v>1998</v>
      </c>
      <c r="B1674">
        <v>7</v>
      </c>
      <c r="C1674">
        <v>12</v>
      </c>
      <c r="D1674">
        <v>0.80903120439173881</v>
      </c>
      <c r="E1674">
        <v>1.5200000000000102E-2</v>
      </c>
      <c r="F1674">
        <f t="shared" si="54"/>
        <v>1.2297274306754513E-2</v>
      </c>
      <c r="M1674" s="31"/>
    </row>
    <row r="1675" spans="1:13" x14ac:dyDescent="0.3">
      <c r="A1675">
        <v>1998</v>
      </c>
      <c r="B1675">
        <v>6</v>
      </c>
      <c r="C1675">
        <v>30</v>
      </c>
      <c r="D1675">
        <v>0.81108822064879638</v>
      </c>
      <c r="E1675">
        <v>1.5200000000000102E-2</v>
      </c>
      <c r="F1675">
        <f t="shared" si="54"/>
        <v>1.2328540953861787E-2</v>
      </c>
      <c r="M1675" s="31"/>
    </row>
    <row r="1676" spans="1:13" x14ac:dyDescent="0.3">
      <c r="A1676">
        <v>1998</v>
      </c>
      <c r="B1676">
        <v>6</v>
      </c>
      <c r="C1676">
        <v>28</v>
      </c>
      <c r="D1676">
        <v>0.80863052112962286</v>
      </c>
      <c r="E1676">
        <v>1.5200000000000102E-2</v>
      </c>
      <c r="F1676">
        <f t="shared" si="54"/>
        <v>1.2291183921170351E-2</v>
      </c>
      <c r="M1676" s="31"/>
    </row>
    <row r="1677" spans="1:13" x14ac:dyDescent="0.3">
      <c r="A1677">
        <v>1998</v>
      </c>
      <c r="B1677">
        <v>6</v>
      </c>
      <c r="C1677">
        <v>26</v>
      </c>
      <c r="D1677">
        <v>0.79478397994101024</v>
      </c>
      <c r="E1677">
        <v>1.5200000000000102E-2</v>
      </c>
      <c r="F1677">
        <f t="shared" si="54"/>
        <v>1.2080716495103437E-2</v>
      </c>
      <c r="M1677" s="31"/>
    </row>
    <row r="1678" spans="1:13" x14ac:dyDescent="0.3">
      <c r="A1678">
        <v>1998</v>
      </c>
      <c r="B1678">
        <v>6</v>
      </c>
      <c r="C1678">
        <v>25</v>
      </c>
      <c r="D1678">
        <v>0.77709058312955626</v>
      </c>
      <c r="E1678">
        <v>1.5200000000000102E-2</v>
      </c>
      <c r="F1678">
        <f t="shared" si="54"/>
        <v>1.1811776863569335E-2</v>
      </c>
      <c r="M1678" s="31"/>
    </row>
    <row r="1679" spans="1:13" x14ac:dyDescent="0.3">
      <c r="A1679">
        <v>1998</v>
      </c>
      <c r="B1679">
        <v>6</v>
      </c>
      <c r="C1679">
        <v>23</v>
      </c>
      <c r="D1679">
        <v>0.7601963061984861</v>
      </c>
      <c r="E1679">
        <v>1.5200000000000102E-2</v>
      </c>
      <c r="F1679">
        <f t="shared" si="54"/>
        <v>1.1554983854217066E-2</v>
      </c>
      <c r="M1679" s="31"/>
    </row>
    <row r="1680" spans="1:13" x14ac:dyDescent="0.3">
      <c r="A1680">
        <v>1998</v>
      </c>
      <c r="B1680">
        <v>6</v>
      </c>
      <c r="C1680">
        <v>21</v>
      </c>
      <c r="D1680">
        <v>0.74450433056326204</v>
      </c>
      <c r="E1680">
        <v>1.5200000000000102E-2</v>
      </c>
      <c r="F1680">
        <f t="shared" si="54"/>
        <v>1.131646582456166E-2</v>
      </c>
      <c r="M1680" s="31"/>
    </row>
    <row r="1681" spans="1:13" x14ac:dyDescent="0.3">
      <c r="A1681">
        <v>1998</v>
      </c>
      <c r="B1681">
        <v>6</v>
      </c>
      <c r="C1681">
        <v>20</v>
      </c>
      <c r="D1681">
        <v>0.72944809933819876</v>
      </c>
      <c r="E1681">
        <v>1.5200000000000102E-2</v>
      </c>
      <c r="F1681">
        <f t="shared" si="54"/>
        <v>1.1087611109940696E-2</v>
      </c>
      <c r="M1681" s="31"/>
    </row>
    <row r="1682" spans="1:13" x14ac:dyDescent="0.3">
      <c r="A1682">
        <v>1998</v>
      </c>
      <c r="B1682">
        <v>6</v>
      </c>
      <c r="C1682">
        <v>18</v>
      </c>
      <c r="D1682">
        <v>0.71338028777767604</v>
      </c>
      <c r="E1682">
        <v>1.5200000000000102E-2</v>
      </c>
      <c r="F1682">
        <f t="shared" si="54"/>
        <v>1.084338037422075E-2</v>
      </c>
      <c r="M1682" s="31"/>
    </row>
    <row r="1683" spans="1:13" x14ac:dyDescent="0.3">
      <c r="A1683">
        <v>1998</v>
      </c>
      <c r="B1683">
        <v>6</v>
      </c>
      <c r="C1683">
        <v>17</v>
      </c>
      <c r="D1683">
        <v>0.69944448976570606</v>
      </c>
      <c r="E1683">
        <v>1.5200000000000102E-2</v>
      </c>
      <c r="F1683">
        <f t="shared" si="54"/>
        <v>1.0631556244438803E-2</v>
      </c>
      <c r="M1683" s="31"/>
    </row>
    <row r="1684" spans="1:13" x14ac:dyDescent="0.3">
      <c r="A1684">
        <v>1998</v>
      </c>
      <c r="B1684">
        <v>6</v>
      </c>
      <c r="C1684">
        <v>15</v>
      </c>
      <c r="D1684">
        <v>0.68583441462918338</v>
      </c>
      <c r="E1684">
        <v>1.5200000000000102E-2</v>
      </c>
      <c r="F1684">
        <f t="shared" si="54"/>
        <v>1.0424683102363658E-2</v>
      </c>
      <c r="M1684" s="31"/>
    </row>
    <row r="1685" spans="1:13" x14ac:dyDescent="0.3">
      <c r="A1685">
        <v>1998</v>
      </c>
      <c r="B1685">
        <v>6</v>
      </c>
      <c r="C1685">
        <v>13</v>
      </c>
      <c r="D1685">
        <v>0.67256482124701333</v>
      </c>
      <c r="E1685">
        <v>1.5200000000000102E-2</v>
      </c>
      <c r="F1685">
        <f t="shared" si="54"/>
        <v>1.0222985282954672E-2</v>
      </c>
      <c r="M1685" s="31"/>
    </row>
    <row r="1686" spans="1:13" x14ac:dyDescent="0.3">
      <c r="A1686">
        <v>1998</v>
      </c>
      <c r="B1686">
        <v>6</v>
      </c>
      <c r="C1686">
        <v>12</v>
      </c>
      <c r="D1686">
        <v>0.66164119228023033</v>
      </c>
      <c r="E1686">
        <v>1.5200000000000102E-2</v>
      </c>
      <c r="F1686">
        <f t="shared" si="54"/>
        <v>1.0056946122659569E-2</v>
      </c>
      <c r="M1686" s="31"/>
    </row>
    <row r="1687" spans="1:13" x14ac:dyDescent="0.3">
      <c r="A1687">
        <v>1998</v>
      </c>
      <c r="B1687">
        <v>6</v>
      </c>
      <c r="C1687">
        <v>10</v>
      </c>
      <c r="D1687">
        <v>0.65383671491186612</v>
      </c>
      <c r="E1687">
        <v>1.5200000000000102E-2</v>
      </c>
      <c r="F1687">
        <f t="shared" si="54"/>
        <v>9.9383180666604322E-3</v>
      </c>
      <c r="M1687" s="31"/>
    </row>
    <row r="1688" spans="1:13" x14ac:dyDescent="0.3">
      <c r="A1688">
        <v>1998</v>
      </c>
      <c r="B1688">
        <v>6</v>
      </c>
      <c r="C1688">
        <v>9</v>
      </c>
      <c r="D1688">
        <v>0.64592493459275513</v>
      </c>
      <c r="E1688">
        <v>1.5200000000000102E-2</v>
      </c>
      <c r="F1688">
        <f t="shared" si="54"/>
        <v>9.8180590058099433E-3</v>
      </c>
      <c r="M1688" s="31"/>
    </row>
    <row r="1689" spans="1:13" x14ac:dyDescent="0.3">
      <c r="A1689">
        <v>1998</v>
      </c>
      <c r="B1689">
        <v>6</v>
      </c>
      <c r="C1689">
        <v>7</v>
      </c>
      <c r="D1689">
        <v>0.6404300687013561</v>
      </c>
      <c r="E1689">
        <v>1.5200000000000102E-2</v>
      </c>
      <c r="F1689">
        <f t="shared" si="54"/>
        <v>9.7345370442606782E-3</v>
      </c>
      <c r="M1689" s="31"/>
    </row>
    <row r="1690" spans="1:13" x14ac:dyDescent="0.3">
      <c r="A1690">
        <v>1998</v>
      </c>
      <c r="B1690">
        <v>6</v>
      </c>
      <c r="C1690">
        <v>5</v>
      </c>
      <c r="D1690">
        <v>0.63600949847615684</v>
      </c>
      <c r="E1690">
        <v>1.5200000000000102E-2</v>
      </c>
      <c r="F1690">
        <f t="shared" si="54"/>
        <v>9.6673443768376492E-3</v>
      </c>
      <c r="M1690" s="31"/>
    </row>
    <row r="1691" spans="1:13" x14ac:dyDescent="0.3">
      <c r="A1691">
        <v>1998</v>
      </c>
      <c r="B1691">
        <v>6</v>
      </c>
      <c r="C1691">
        <v>4</v>
      </c>
      <c r="D1691">
        <v>0.62987885956237466</v>
      </c>
      <c r="E1691">
        <v>1.5200000000000102E-2</v>
      </c>
      <c r="F1691">
        <f t="shared" si="54"/>
        <v>9.5741586653481595E-3</v>
      </c>
      <c r="M1691" s="31"/>
    </row>
    <row r="1692" spans="1:13" x14ac:dyDescent="0.3">
      <c r="A1692">
        <v>1998</v>
      </c>
      <c r="B1692">
        <v>6</v>
      </c>
      <c r="C1692">
        <v>2</v>
      </c>
      <c r="D1692">
        <v>0.6244245588710331</v>
      </c>
      <c r="E1692">
        <v>1.5200000000000102E-2</v>
      </c>
      <c r="F1692">
        <f t="shared" si="54"/>
        <v>9.491253294839767E-3</v>
      </c>
      <c r="M1692" s="31"/>
    </row>
    <row r="1693" spans="1:13" x14ac:dyDescent="0.3">
      <c r="A1693">
        <v>1998</v>
      </c>
      <c r="B1693">
        <v>6</v>
      </c>
      <c r="C1693">
        <v>1</v>
      </c>
      <c r="D1693">
        <v>0.62148673788977227</v>
      </c>
      <c r="E1693">
        <v>1.5200000000000102E-2</v>
      </c>
      <c r="F1693">
        <f t="shared" si="54"/>
        <v>9.4465984159246025E-3</v>
      </c>
      <c r="M1693" s="31"/>
    </row>
    <row r="1694" spans="1:13" x14ac:dyDescent="0.3">
      <c r="A1694">
        <v>1998</v>
      </c>
      <c r="B1694">
        <v>5</v>
      </c>
      <c r="C1694">
        <v>30</v>
      </c>
      <c r="D1694">
        <v>0.61789541921900504</v>
      </c>
      <c r="E1694">
        <v>1.5200000000000102E-2</v>
      </c>
      <c r="F1694">
        <f t="shared" si="54"/>
        <v>9.3920103721289398E-3</v>
      </c>
      <c r="M1694" s="31"/>
    </row>
    <row r="1695" spans="1:13" x14ac:dyDescent="0.3">
      <c r="A1695">
        <v>1998</v>
      </c>
      <c r="B1695">
        <v>5</v>
      </c>
      <c r="C1695">
        <v>28</v>
      </c>
      <c r="D1695">
        <v>0.61417957767014475</v>
      </c>
      <c r="E1695">
        <v>1.5200000000000102E-2</v>
      </c>
      <c r="F1695">
        <f t="shared" si="54"/>
        <v>9.3355295805862635E-3</v>
      </c>
      <c r="M1695" s="31"/>
    </row>
    <row r="1696" spans="1:13" x14ac:dyDescent="0.3">
      <c r="A1696">
        <v>1998</v>
      </c>
      <c r="B1696">
        <v>5</v>
      </c>
      <c r="C1696">
        <v>27</v>
      </c>
      <c r="D1696">
        <v>0.61309368889459359</v>
      </c>
      <c r="E1696">
        <v>1.5200000000000102E-2</v>
      </c>
      <c r="F1696">
        <f t="shared" si="54"/>
        <v>9.3190240711978848E-3</v>
      </c>
      <c r="M1696" s="31"/>
    </row>
    <row r="1697" spans="1:13" x14ac:dyDescent="0.3">
      <c r="A1697">
        <v>1998</v>
      </c>
      <c r="B1697">
        <v>5</v>
      </c>
      <c r="C1697">
        <v>25</v>
      </c>
      <c r="D1697">
        <v>0.61371464263319053</v>
      </c>
      <c r="E1697">
        <v>1.5200000000000102E-2</v>
      </c>
      <c r="F1697">
        <f t="shared" si="54"/>
        <v>9.3284625680245589E-3</v>
      </c>
      <c r="M1697" s="31"/>
    </row>
    <row r="1698" spans="1:13" x14ac:dyDescent="0.3">
      <c r="A1698">
        <v>1998</v>
      </c>
      <c r="B1698">
        <v>5</v>
      </c>
      <c r="C1698">
        <v>24</v>
      </c>
      <c r="D1698">
        <v>0.61459759745323606</v>
      </c>
      <c r="E1698">
        <v>1.5200000000000102E-2</v>
      </c>
      <c r="F1698">
        <f t="shared" si="54"/>
        <v>9.3418834812892503E-3</v>
      </c>
      <c r="M1698" s="31"/>
    </row>
    <row r="1699" spans="1:13" x14ac:dyDescent="0.3">
      <c r="A1699">
        <v>1998</v>
      </c>
      <c r="B1699">
        <v>5</v>
      </c>
      <c r="C1699">
        <v>22</v>
      </c>
      <c r="D1699">
        <v>0.61639988707862758</v>
      </c>
      <c r="E1699">
        <v>1.5200000000000102E-2</v>
      </c>
      <c r="F1699">
        <f t="shared" si="54"/>
        <v>9.3692782835952029E-3</v>
      </c>
      <c r="M1699" s="31"/>
    </row>
    <row r="1700" spans="1:13" x14ac:dyDescent="0.3">
      <c r="A1700">
        <v>1998</v>
      </c>
      <c r="B1700">
        <v>5</v>
      </c>
      <c r="C1700">
        <v>20</v>
      </c>
      <c r="D1700">
        <v>0.61833393147141524</v>
      </c>
      <c r="E1700">
        <v>1.5200000000000102E-2</v>
      </c>
      <c r="F1700">
        <f t="shared" si="54"/>
        <v>9.3986757583655756E-3</v>
      </c>
      <c r="M1700" s="31"/>
    </row>
    <row r="1701" spans="1:13" x14ac:dyDescent="0.3">
      <c r="A1701">
        <v>1998</v>
      </c>
      <c r="B1701">
        <v>5</v>
      </c>
      <c r="C1701">
        <v>19</v>
      </c>
      <c r="D1701">
        <v>0.62355829525232265</v>
      </c>
      <c r="E1701">
        <v>1.5200000000000102E-2</v>
      </c>
      <c r="F1701">
        <f t="shared" si="54"/>
        <v>9.4780860878353676E-3</v>
      </c>
      <c r="M1701" s="31"/>
    </row>
    <row r="1702" spans="1:13" x14ac:dyDescent="0.3">
      <c r="A1702">
        <v>1998</v>
      </c>
      <c r="B1702">
        <v>5</v>
      </c>
      <c r="C1702">
        <v>17</v>
      </c>
      <c r="D1702">
        <v>0.63037398154315527</v>
      </c>
      <c r="E1702">
        <v>1.5200000000000102E-2</v>
      </c>
      <c r="F1702">
        <f t="shared" si="54"/>
        <v>9.5816845194560251E-3</v>
      </c>
      <c r="M1702" s="31"/>
    </row>
    <row r="1703" spans="1:13" x14ac:dyDescent="0.3">
      <c r="A1703">
        <v>1998</v>
      </c>
      <c r="B1703">
        <v>5</v>
      </c>
      <c r="C1703">
        <v>16</v>
      </c>
      <c r="D1703">
        <v>0.63892573225921256</v>
      </c>
      <c r="E1703">
        <v>1.5200000000000102E-2</v>
      </c>
      <c r="F1703">
        <f t="shared" si="54"/>
        <v>9.7116711303400962E-3</v>
      </c>
      <c r="M1703" s="31"/>
    </row>
    <row r="1704" spans="1:13" x14ac:dyDescent="0.3">
      <c r="A1704">
        <v>1998</v>
      </c>
      <c r="B1704">
        <v>5</v>
      </c>
      <c r="C1704">
        <v>14</v>
      </c>
      <c r="D1704">
        <v>0.65162174158726205</v>
      </c>
      <c r="E1704">
        <v>1.5200000000000102E-2</v>
      </c>
      <c r="F1704">
        <f t="shared" si="54"/>
        <v>9.90465047212645E-3</v>
      </c>
      <c r="M1704" s="31"/>
    </row>
    <row r="1705" spans="1:13" x14ac:dyDescent="0.3">
      <c r="A1705">
        <v>1998</v>
      </c>
      <c r="B1705">
        <v>5</v>
      </c>
      <c r="C1705">
        <v>12</v>
      </c>
      <c r="D1705">
        <v>0.66865217286489342</v>
      </c>
      <c r="E1705">
        <v>1.5200000000000102E-2</v>
      </c>
      <c r="F1705">
        <f t="shared" si="54"/>
        <v>1.0163513027546449E-2</v>
      </c>
      <c r="M1705" s="31"/>
    </row>
    <row r="1706" spans="1:13" x14ac:dyDescent="0.3">
      <c r="A1706">
        <v>1998</v>
      </c>
      <c r="B1706">
        <v>5</v>
      </c>
      <c r="C1706">
        <v>11</v>
      </c>
      <c r="D1706">
        <v>0.68457081234305583</v>
      </c>
      <c r="E1706">
        <v>1.5200000000000102E-2</v>
      </c>
      <c r="F1706">
        <f t="shared" si="54"/>
        <v>1.0405476347614519E-2</v>
      </c>
      <c r="M1706" s="31"/>
    </row>
    <row r="1707" spans="1:13" x14ac:dyDescent="0.3">
      <c r="A1707">
        <v>1998</v>
      </c>
      <c r="B1707">
        <v>5</v>
      </c>
      <c r="C1707">
        <v>9</v>
      </c>
      <c r="D1707">
        <v>0.69841058194538896</v>
      </c>
      <c r="E1707">
        <v>1.5200000000000102E-2</v>
      </c>
      <c r="F1707">
        <f t="shared" si="54"/>
        <v>1.0615840845569983E-2</v>
      </c>
      <c r="M1707" s="31"/>
    </row>
    <row r="1708" spans="1:13" x14ac:dyDescent="0.3">
      <c r="A1708">
        <v>1998</v>
      </c>
      <c r="B1708">
        <v>5</v>
      </c>
      <c r="C1708">
        <v>8</v>
      </c>
      <c r="D1708">
        <v>0.71163324544927797</v>
      </c>
      <c r="E1708">
        <v>1.5200000000000102E-2</v>
      </c>
      <c r="F1708">
        <f t="shared" si="54"/>
        <v>1.0816825330829097E-2</v>
      </c>
      <c r="M1708" s="31"/>
    </row>
    <row r="1709" spans="1:13" x14ac:dyDescent="0.3">
      <c r="A1709">
        <v>1998</v>
      </c>
      <c r="B1709">
        <v>5</v>
      </c>
      <c r="C1709">
        <v>6</v>
      </c>
      <c r="D1709">
        <v>0.71864445564287582</v>
      </c>
      <c r="E1709">
        <v>1.5200000000000102E-2</v>
      </c>
      <c r="F1709">
        <f t="shared" si="54"/>
        <v>1.0923395725771785E-2</v>
      </c>
      <c r="M1709" s="31"/>
    </row>
    <row r="1710" spans="1:13" x14ac:dyDescent="0.3">
      <c r="A1710">
        <v>1998</v>
      </c>
      <c r="B1710">
        <v>5</v>
      </c>
      <c r="C1710">
        <v>4</v>
      </c>
      <c r="D1710">
        <v>0.72117214062824664</v>
      </c>
      <c r="E1710">
        <v>1.5200000000000102E-2</v>
      </c>
      <c r="F1710">
        <f t="shared" si="54"/>
        <v>1.0961816537549423E-2</v>
      </c>
      <c r="M1710" s="31"/>
    </row>
    <row r="1711" spans="1:13" x14ac:dyDescent="0.3">
      <c r="A1711">
        <v>1998</v>
      </c>
      <c r="B1711">
        <v>5</v>
      </c>
      <c r="C1711">
        <v>3</v>
      </c>
      <c r="D1711">
        <v>0.7192077769263534</v>
      </c>
      <c r="E1711">
        <v>1.5200000000000102E-2</v>
      </c>
      <c r="F1711">
        <f t="shared" si="54"/>
        <v>1.0931958209280645E-2</v>
      </c>
      <c r="M1711" s="31"/>
    </row>
    <row r="1712" spans="1:13" x14ac:dyDescent="0.3">
      <c r="A1712">
        <v>1998</v>
      </c>
      <c r="B1712">
        <v>5</v>
      </c>
      <c r="C1712">
        <v>1</v>
      </c>
      <c r="D1712">
        <v>0.71425662423809333</v>
      </c>
      <c r="E1712">
        <v>1.5200000000000102E-2</v>
      </c>
      <c r="F1712">
        <f t="shared" si="54"/>
        <v>1.0856700688419091E-2</v>
      </c>
      <c r="M1712" s="31"/>
    </row>
    <row r="1713" spans="1:13" x14ac:dyDescent="0.3">
      <c r="A1713">
        <v>1998</v>
      </c>
      <c r="B1713">
        <v>4</v>
      </c>
      <c r="C1713">
        <v>30</v>
      </c>
      <c r="D1713">
        <v>0.70403430869295514</v>
      </c>
      <c r="E1713">
        <v>1.5200000000000102E-2</v>
      </c>
      <c r="F1713">
        <f t="shared" si="54"/>
        <v>1.070132149213299E-2</v>
      </c>
      <c r="M1713" s="31"/>
    </row>
    <row r="1714" spans="1:13" x14ac:dyDescent="0.3">
      <c r="A1714">
        <v>1998</v>
      </c>
      <c r="B1714">
        <v>4</v>
      </c>
      <c r="C1714">
        <v>28</v>
      </c>
      <c r="D1714">
        <v>0.69156220465854845</v>
      </c>
      <c r="E1714">
        <v>1.5200000000000102E-2</v>
      </c>
      <c r="F1714">
        <f t="shared" si="54"/>
        <v>1.0511745510810007E-2</v>
      </c>
      <c r="M1714" s="31"/>
    </row>
    <row r="1715" spans="1:13" x14ac:dyDescent="0.3">
      <c r="A1715">
        <v>1998</v>
      </c>
      <c r="B1715">
        <v>4</v>
      </c>
      <c r="C1715">
        <v>26</v>
      </c>
      <c r="D1715">
        <v>0.67834578723560734</v>
      </c>
      <c r="E1715">
        <v>1.5200000000000102E-2</v>
      </c>
      <c r="F1715">
        <f t="shared" si="54"/>
        <v>1.0310855965981301E-2</v>
      </c>
      <c r="M1715" s="31"/>
    </row>
    <row r="1716" spans="1:13" x14ac:dyDescent="0.3">
      <c r="A1716">
        <v>1998</v>
      </c>
      <c r="B1716">
        <v>4</v>
      </c>
      <c r="C1716">
        <v>25</v>
      </c>
      <c r="D1716">
        <v>0.66653160356173469</v>
      </c>
      <c r="E1716">
        <v>1.5200000000000102E-2</v>
      </c>
      <c r="F1716">
        <f t="shared" si="54"/>
        <v>1.0131280374138435E-2</v>
      </c>
      <c r="M1716" s="31"/>
    </row>
    <row r="1717" spans="1:13" x14ac:dyDescent="0.3">
      <c r="A1717">
        <v>1998</v>
      </c>
      <c r="B1717">
        <v>4</v>
      </c>
      <c r="C1717">
        <v>23</v>
      </c>
      <c r="D1717">
        <v>0.65397655514400677</v>
      </c>
      <c r="E1717">
        <v>1.5200000000000102E-2</v>
      </c>
      <c r="F1717">
        <f t="shared" si="54"/>
        <v>9.9404436381889706E-3</v>
      </c>
      <c r="M1717" s="31"/>
    </row>
    <row r="1718" spans="1:13" x14ac:dyDescent="0.3">
      <c r="A1718">
        <v>1998</v>
      </c>
      <c r="B1718">
        <v>4</v>
      </c>
      <c r="C1718">
        <v>21</v>
      </c>
      <c r="D1718">
        <v>0.64465796929081798</v>
      </c>
      <c r="E1718">
        <v>1.5200000000000102E-2</v>
      </c>
      <c r="F1718">
        <f t="shared" si="54"/>
        <v>9.7988011332204999E-3</v>
      </c>
      <c r="M1718" s="31"/>
    </row>
    <row r="1719" spans="1:13" x14ac:dyDescent="0.3">
      <c r="A1719">
        <v>1998</v>
      </c>
      <c r="B1719">
        <v>4</v>
      </c>
      <c r="C1719">
        <v>20</v>
      </c>
      <c r="D1719">
        <v>0.63959590575763237</v>
      </c>
      <c r="E1719">
        <v>1.5200000000000102E-2</v>
      </c>
      <c r="F1719">
        <f t="shared" si="54"/>
        <v>9.7218577675160772E-3</v>
      </c>
      <c r="M1719" s="31"/>
    </row>
    <row r="1720" spans="1:13" x14ac:dyDescent="0.3">
      <c r="A1720">
        <v>1998</v>
      </c>
      <c r="B1720">
        <v>4</v>
      </c>
      <c r="C1720">
        <v>18</v>
      </c>
      <c r="D1720">
        <v>0.63652224247223743</v>
      </c>
      <c r="E1720">
        <v>1.5200000000000102E-2</v>
      </c>
      <c r="F1720">
        <f t="shared" si="54"/>
        <v>9.6751380855780739E-3</v>
      </c>
      <c r="M1720" s="31"/>
    </row>
    <row r="1721" spans="1:13" x14ac:dyDescent="0.3">
      <c r="A1721">
        <v>1998</v>
      </c>
      <c r="B1721">
        <v>4</v>
      </c>
      <c r="C1721">
        <v>17</v>
      </c>
      <c r="D1721">
        <v>0.63476994095973438</v>
      </c>
      <c r="E1721">
        <v>1.5200000000000102E-2</v>
      </c>
      <c r="F1721">
        <f t="shared" si="54"/>
        <v>9.6485031025880276E-3</v>
      </c>
      <c r="M1721" s="31"/>
    </row>
    <row r="1722" spans="1:13" x14ac:dyDescent="0.3">
      <c r="A1722">
        <v>1998</v>
      </c>
      <c r="B1722">
        <v>4</v>
      </c>
      <c r="C1722">
        <v>15</v>
      </c>
      <c r="D1722">
        <v>0.63617888167685921</v>
      </c>
      <c r="E1722">
        <v>1.5200000000000102E-2</v>
      </c>
      <c r="F1722">
        <f t="shared" si="54"/>
        <v>9.6699190014883259E-3</v>
      </c>
      <c r="M1722" s="31"/>
    </row>
    <row r="1723" spans="1:13" x14ac:dyDescent="0.3">
      <c r="A1723">
        <v>1998</v>
      </c>
      <c r="B1723">
        <v>4</v>
      </c>
      <c r="C1723">
        <v>13</v>
      </c>
      <c r="D1723">
        <v>0.63719302063861816</v>
      </c>
      <c r="E1723">
        <v>1.5200000000000102E-2</v>
      </c>
      <c r="F1723">
        <f t="shared" si="54"/>
        <v>9.6853339137070605E-3</v>
      </c>
      <c r="M1723" s="31"/>
    </row>
    <row r="1724" spans="1:13" x14ac:dyDescent="0.3">
      <c r="A1724">
        <v>1998</v>
      </c>
      <c r="B1724">
        <v>4</v>
      </c>
      <c r="C1724">
        <v>12</v>
      </c>
      <c r="D1724">
        <v>0.63820681122698286</v>
      </c>
      <c r="E1724">
        <v>1.5200000000000102E-2</v>
      </c>
      <c r="F1724">
        <f t="shared" si="54"/>
        <v>9.7007435306502056E-3</v>
      </c>
      <c r="M1724" s="31"/>
    </row>
    <row r="1725" spans="1:13" x14ac:dyDescent="0.3">
      <c r="A1725">
        <v>1998</v>
      </c>
      <c r="B1725">
        <v>4</v>
      </c>
      <c r="C1725">
        <v>10</v>
      </c>
      <c r="D1725">
        <v>0.6396160895323475</v>
      </c>
      <c r="E1725">
        <v>1.5200000000000102E-2</v>
      </c>
      <c r="F1725">
        <f t="shared" si="54"/>
        <v>9.7221645608917481E-3</v>
      </c>
      <c r="M1725" s="31"/>
    </row>
    <row r="1726" spans="1:13" x14ac:dyDescent="0.3">
      <c r="A1726">
        <v>1998</v>
      </c>
      <c r="B1726">
        <v>4</v>
      </c>
      <c r="C1726">
        <v>9</v>
      </c>
      <c r="D1726">
        <v>0.64023437275146777</v>
      </c>
      <c r="E1726">
        <v>1.5200000000000102E-2</v>
      </c>
      <c r="F1726">
        <f t="shared" si="54"/>
        <v>9.7315624658223764E-3</v>
      </c>
      <c r="M1726" s="31"/>
    </row>
    <row r="1727" spans="1:13" x14ac:dyDescent="0.3">
      <c r="A1727">
        <v>1998</v>
      </c>
      <c r="B1727">
        <v>4</v>
      </c>
      <c r="C1727">
        <v>7</v>
      </c>
      <c r="D1727">
        <v>0.63979843068803277</v>
      </c>
      <c r="E1727">
        <v>1.5200000000000102E-2</v>
      </c>
      <c r="F1727">
        <f t="shared" si="54"/>
        <v>9.7249361464581633E-3</v>
      </c>
      <c r="M1727" s="31"/>
    </row>
    <row r="1728" spans="1:13" x14ac:dyDescent="0.3">
      <c r="A1728">
        <v>1998</v>
      </c>
      <c r="B1728">
        <v>4</v>
      </c>
      <c r="C1728">
        <v>5</v>
      </c>
      <c r="D1728">
        <v>0.64147100077988195</v>
      </c>
      <c r="E1728">
        <v>1.5200000000000102E-2</v>
      </c>
      <c r="F1728">
        <f t="shared" si="54"/>
        <v>9.7503592118542721E-3</v>
      </c>
      <c r="M1728" s="31"/>
    </row>
    <row r="1729" spans="1:13" x14ac:dyDescent="0.3">
      <c r="A1729">
        <v>1998</v>
      </c>
      <c r="B1729">
        <v>4</v>
      </c>
      <c r="C1729">
        <v>4</v>
      </c>
      <c r="D1729">
        <v>0.64393590582774651</v>
      </c>
      <c r="E1729">
        <v>1.5200000000000102E-2</v>
      </c>
      <c r="F1729">
        <f t="shared" si="54"/>
        <v>9.7878257685818128E-3</v>
      </c>
      <c r="M1729" s="31"/>
    </row>
    <row r="1730" spans="1:13" x14ac:dyDescent="0.3">
      <c r="A1730">
        <v>1998</v>
      </c>
      <c r="B1730">
        <v>4</v>
      </c>
      <c r="C1730">
        <v>2</v>
      </c>
      <c r="D1730">
        <v>0.64534607168479718</v>
      </c>
      <c r="E1730">
        <v>1.5200000000000102E-2</v>
      </c>
      <c r="F1730">
        <f t="shared" si="54"/>
        <v>9.8092602896089828E-3</v>
      </c>
      <c r="M1730" s="31"/>
    </row>
    <row r="1731" spans="1:13" x14ac:dyDescent="0.3">
      <c r="A1731">
        <v>1998</v>
      </c>
      <c r="B1731">
        <v>4</v>
      </c>
      <c r="C1731">
        <v>1</v>
      </c>
      <c r="D1731">
        <v>0.64556834324968448</v>
      </c>
      <c r="E1731">
        <v>1.5200000000000102E-2</v>
      </c>
      <c r="F1731">
        <f t="shared" ref="F1731:F1794" si="55">D1731*E1731</f>
        <v>9.8126388173952698E-3</v>
      </c>
      <c r="M1731" s="31"/>
    </row>
    <row r="1732" spans="1:13" x14ac:dyDescent="0.3">
      <c r="A1732">
        <v>1998</v>
      </c>
      <c r="B1732">
        <v>3</v>
      </c>
      <c r="C1732">
        <v>30</v>
      </c>
      <c r="D1732">
        <v>0.64565847932391962</v>
      </c>
      <c r="E1732">
        <v>1.5200000000000102E-2</v>
      </c>
      <c r="F1732">
        <f t="shared" si="55"/>
        <v>9.8140088857236445E-3</v>
      </c>
      <c r="M1732" s="31"/>
    </row>
    <row r="1733" spans="1:13" x14ac:dyDescent="0.3">
      <c r="A1733">
        <v>1998</v>
      </c>
      <c r="B1733">
        <v>3</v>
      </c>
      <c r="C1733">
        <v>28</v>
      </c>
      <c r="D1733">
        <v>0.64614442957657015</v>
      </c>
      <c r="E1733">
        <v>1.5200000000000102E-2</v>
      </c>
      <c r="F1733">
        <f t="shared" si="55"/>
        <v>9.8213953295639318E-3</v>
      </c>
      <c r="M1733" s="31"/>
    </row>
    <row r="1734" spans="1:13" x14ac:dyDescent="0.3">
      <c r="A1734">
        <v>1998</v>
      </c>
      <c r="B1734">
        <v>3</v>
      </c>
      <c r="C1734">
        <v>27</v>
      </c>
      <c r="D1734">
        <v>0.6468940881707903</v>
      </c>
      <c r="E1734">
        <v>1.5200000000000102E-2</v>
      </c>
      <c r="F1734">
        <f t="shared" si="55"/>
        <v>9.8327901401960797E-3</v>
      </c>
      <c r="M1734" s="31"/>
    </row>
    <row r="1735" spans="1:13" x14ac:dyDescent="0.3">
      <c r="A1735">
        <v>1998</v>
      </c>
      <c r="B1735">
        <v>3</v>
      </c>
      <c r="C1735">
        <v>25</v>
      </c>
      <c r="D1735">
        <v>0.64658817834799298</v>
      </c>
      <c r="E1735">
        <v>1.5200000000000102E-2</v>
      </c>
      <c r="F1735">
        <f t="shared" si="55"/>
        <v>9.8281403108895597E-3</v>
      </c>
      <c r="M1735" s="31"/>
    </row>
    <row r="1736" spans="1:13" x14ac:dyDescent="0.3">
      <c r="A1736">
        <v>1998</v>
      </c>
      <c r="B1736">
        <v>3</v>
      </c>
      <c r="C1736">
        <v>24</v>
      </c>
      <c r="D1736">
        <v>0.64575519312087182</v>
      </c>
      <c r="E1736">
        <v>1.5200000000000102E-2</v>
      </c>
      <c r="F1736">
        <f t="shared" si="55"/>
        <v>9.8154789354373169E-3</v>
      </c>
      <c r="M1736" s="31"/>
    </row>
    <row r="1737" spans="1:13" x14ac:dyDescent="0.3">
      <c r="A1737">
        <v>1998</v>
      </c>
      <c r="B1737">
        <v>3</v>
      </c>
      <c r="C1737">
        <v>22</v>
      </c>
      <c r="D1737">
        <v>0.64413221645342611</v>
      </c>
      <c r="E1737">
        <v>1.5200000000000102E-2</v>
      </c>
      <c r="F1737">
        <f t="shared" si="55"/>
        <v>9.7908096900921424E-3</v>
      </c>
      <c r="M1737" s="31"/>
    </row>
    <row r="1738" spans="1:13" x14ac:dyDescent="0.3">
      <c r="A1738">
        <v>1998</v>
      </c>
      <c r="B1738">
        <v>3</v>
      </c>
      <c r="C1738">
        <v>20</v>
      </c>
      <c r="D1738">
        <v>0.6384338384302165</v>
      </c>
      <c r="E1738">
        <v>1.5200000000000102E-2</v>
      </c>
      <c r="F1738">
        <f t="shared" si="55"/>
        <v>9.704194344139357E-3</v>
      </c>
      <c r="M1738" s="31"/>
    </row>
    <row r="1739" spans="1:13" x14ac:dyDescent="0.3">
      <c r="A1739">
        <v>1998</v>
      </c>
      <c r="B1739">
        <v>3</v>
      </c>
      <c r="C1739">
        <v>19</v>
      </c>
      <c r="D1739">
        <v>0.62960560358991868</v>
      </c>
      <c r="E1739">
        <v>1.5200000000000102E-2</v>
      </c>
      <c r="F1739">
        <f t="shared" si="55"/>
        <v>9.5700051745668292E-3</v>
      </c>
      <c r="M1739" s="31"/>
    </row>
    <row r="1740" spans="1:13" x14ac:dyDescent="0.3">
      <c r="A1740">
        <v>1998</v>
      </c>
      <c r="B1740">
        <v>3</v>
      </c>
      <c r="C1740">
        <v>17</v>
      </c>
      <c r="D1740">
        <v>0.6218551455360174</v>
      </c>
      <c r="E1740">
        <v>1.5200000000000102E-2</v>
      </c>
      <c r="F1740">
        <f t="shared" si="55"/>
        <v>9.4521982121475272E-3</v>
      </c>
      <c r="M1740" s="31"/>
    </row>
    <row r="1741" spans="1:13" x14ac:dyDescent="0.3">
      <c r="A1741">
        <v>1998</v>
      </c>
      <c r="B1741">
        <v>3</v>
      </c>
      <c r="C1741">
        <v>16</v>
      </c>
      <c r="D1741">
        <v>0.61673488047900937</v>
      </c>
      <c r="E1741">
        <v>1.5200000000000102E-2</v>
      </c>
      <c r="F1741">
        <f t="shared" si="55"/>
        <v>9.3743701832810049E-3</v>
      </c>
      <c r="M1741" s="31"/>
    </row>
    <row r="1742" spans="1:13" x14ac:dyDescent="0.3">
      <c r="A1742">
        <v>1998</v>
      </c>
      <c r="B1742">
        <v>3</v>
      </c>
      <c r="C1742">
        <v>14</v>
      </c>
      <c r="D1742">
        <v>0.61292674556468685</v>
      </c>
      <c r="E1742">
        <v>1.5200000000000102E-2</v>
      </c>
      <c r="F1742">
        <f t="shared" si="55"/>
        <v>9.3164865325833027E-3</v>
      </c>
      <c r="M1742" s="31"/>
    </row>
    <row r="1743" spans="1:13" x14ac:dyDescent="0.3">
      <c r="A1743">
        <v>1998</v>
      </c>
      <c r="B1743">
        <v>3</v>
      </c>
      <c r="C1743">
        <v>12</v>
      </c>
      <c r="D1743">
        <v>0.60977490910756726</v>
      </c>
      <c r="E1743">
        <v>1.5200000000000102E-2</v>
      </c>
      <c r="F1743">
        <f t="shared" si="55"/>
        <v>9.2685786184350857E-3</v>
      </c>
      <c r="M1743" s="31"/>
    </row>
    <row r="1744" spans="1:13" x14ac:dyDescent="0.3">
      <c r="A1744">
        <v>1998</v>
      </c>
      <c r="B1744">
        <v>3</v>
      </c>
      <c r="C1744">
        <v>11</v>
      </c>
      <c r="D1744">
        <v>0.60611006458840266</v>
      </c>
      <c r="E1744">
        <v>1.5200000000000102E-2</v>
      </c>
      <c r="F1744">
        <f t="shared" si="55"/>
        <v>9.2128729817437822E-3</v>
      </c>
      <c r="M1744" s="31"/>
    </row>
    <row r="1745" spans="1:13" x14ac:dyDescent="0.3">
      <c r="A1745">
        <v>1998</v>
      </c>
      <c r="B1745">
        <v>3</v>
      </c>
      <c r="C1745">
        <v>9</v>
      </c>
      <c r="D1745">
        <v>0.60064139227213353</v>
      </c>
      <c r="E1745">
        <v>1.5200000000000102E-2</v>
      </c>
      <c r="F1745">
        <f t="shared" si="55"/>
        <v>9.1297491625364907E-3</v>
      </c>
      <c r="M1745" s="31"/>
    </row>
    <row r="1746" spans="1:13" x14ac:dyDescent="0.3">
      <c r="A1746">
        <v>1998</v>
      </c>
      <c r="B1746">
        <v>3</v>
      </c>
      <c r="C1746">
        <v>8</v>
      </c>
      <c r="D1746">
        <v>0.59247996171909167</v>
      </c>
      <c r="E1746">
        <v>1.5200000000000102E-2</v>
      </c>
      <c r="F1746">
        <f t="shared" si="55"/>
        <v>9.0056954181302537E-3</v>
      </c>
      <c r="M1746" s="31"/>
    </row>
    <row r="1747" spans="1:13" x14ac:dyDescent="0.3">
      <c r="A1747">
        <v>1998</v>
      </c>
      <c r="B1747">
        <v>3</v>
      </c>
      <c r="C1747">
        <v>6</v>
      </c>
      <c r="D1747">
        <v>0.58280958848739661</v>
      </c>
      <c r="E1747">
        <v>1.5200000000000102E-2</v>
      </c>
      <c r="F1747">
        <f t="shared" si="55"/>
        <v>8.8587057450084886E-3</v>
      </c>
      <c r="M1747" s="31"/>
    </row>
    <row r="1748" spans="1:13" x14ac:dyDescent="0.3">
      <c r="A1748">
        <v>1998</v>
      </c>
      <c r="B1748">
        <v>3</v>
      </c>
      <c r="C1748">
        <v>4</v>
      </c>
      <c r="D1748">
        <v>0.57279941668461343</v>
      </c>
      <c r="E1748">
        <v>1.5200000000000102E-2</v>
      </c>
      <c r="F1748">
        <f t="shared" si="55"/>
        <v>8.7065511336061833E-3</v>
      </c>
      <c r="M1748" s="31"/>
    </row>
    <row r="1749" spans="1:13" x14ac:dyDescent="0.3">
      <c r="A1749">
        <v>1998</v>
      </c>
      <c r="B1749">
        <v>3</v>
      </c>
      <c r="C1749">
        <v>3</v>
      </c>
      <c r="D1749">
        <v>0.5651052678992502</v>
      </c>
      <c r="E1749">
        <v>1.5200000000000102E-2</v>
      </c>
      <c r="F1749">
        <f t="shared" si="55"/>
        <v>8.5896000720686611E-3</v>
      </c>
      <c r="M1749" s="31"/>
    </row>
    <row r="1750" spans="1:13" x14ac:dyDescent="0.3">
      <c r="A1750">
        <v>1998</v>
      </c>
      <c r="B1750">
        <v>3</v>
      </c>
      <c r="C1750">
        <v>1</v>
      </c>
      <c r="D1750">
        <v>0.56009657499331877</v>
      </c>
      <c r="E1750">
        <v>1.5200000000000102E-2</v>
      </c>
      <c r="F1750">
        <f t="shared" si="55"/>
        <v>8.513467939898503E-3</v>
      </c>
      <c r="M1750" s="31"/>
    </row>
    <row r="1751" spans="1:13" x14ac:dyDescent="0.3">
      <c r="A1751">
        <v>1998</v>
      </c>
      <c r="B1751">
        <v>2</v>
      </c>
      <c r="C1751">
        <v>28</v>
      </c>
      <c r="D1751">
        <v>0.55801476404995765</v>
      </c>
      <c r="E1751">
        <v>1.5200000000000102E-2</v>
      </c>
      <c r="F1751">
        <f t="shared" si="55"/>
        <v>8.4818244135594131E-3</v>
      </c>
      <c r="M1751" s="31"/>
    </row>
    <row r="1752" spans="1:13" x14ac:dyDescent="0.3">
      <c r="A1752">
        <v>1998</v>
      </c>
      <c r="B1752">
        <v>2</v>
      </c>
      <c r="C1752">
        <v>11</v>
      </c>
      <c r="D1752">
        <v>0.55885730952371238</v>
      </c>
      <c r="E1752">
        <v>1.5200000000000102E-2</v>
      </c>
      <c r="F1752">
        <f t="shared" si="55"/>
        <v>8.4946311047604858E-3</v>
      </c>
      <c r="M1752" s="31"/>
    </row>
    <row r="1753" spans="1:13" x14ac:dyDescent="0.3">
      <c r="A1753">
        <v>1998</v>
      </c>
      <c r="B1753">
        <v>1</v>
      </c>
      <c r="C1753">
        <v>26</v>
      </c>
      <c r="D1753">
        <v>0.56492987366912628</v>
      </c>
      <c r="E1753">
        <v>1.5200000000000102E-2</v>
      </c>
      <c r="F1753">
        <f t="shared" si="55"/>
        <v>8.5869340797707777E-3</v>
      </c>
      <c r="M1753" s="31"/>
    </row>
    <row r="1754" spans="1:13" x14ac:dyDescent="0.3">
      <c r="A1754">
        <v>1998</v>
      </c>
      <c r="B1754">
        <v>1</v>
      </c>
      <c r="C1754">
        <v>10</v>
      </c>
      <c r="D1754">
        <v>0.57756809469596992</v>
      </c>
      <c r="E1754">
        <v>1.5200000000000102E-2</v>
      </c>
      <c r="F1754">
        <f t="shared" si="55"/>
        <v>8.7790350393788016E-3</v>
      </c>
      <c r="M1754" s="31"/>
    </row>
    <row r="1755" spans="1:13" x14ac:dyDescent="0.3">
      <c r="A1755">
        <v>1997</v>
      </c>
      <c r="B1755">
        <v>12</v>
      </c>
      <c r="C1755">
        <v>25</v>
      </c>
      <c r="D1755">
        <v>0.59675970556678626</v>
      </c>
      <c r="E1755">
        <v>1.5200000000000102E-2</v>
      </c>
      <c r="F1755">
        <f t="shared" si="55"/>
        <v>9.0707475246152129E-3</v>
      </c>
      <c r="M1755" s="31"/>
    </row>
    <row r="1756" spans="1:13" x14ac:dyDescent="0.3">
      <c r="A1756">
        <v>1997</v>
      </c>
      <c r="B1756">
        <v>12</v>
      </c>
      <c r="C1756">
        <v>9</v>
      </c>
      <c r="D1756">
        <v>0.62109850953119317</v>
      </c>
      <c r="E1756">
        <v>1.5200000000000102E-2</v>
      </c>
      <c r="F1756">
        <f t="shared" si="55"/>
        <v>9.4406973448742E-3</v>
      </c>
      <c r="M1756" s="31"/>
    </row>
    <row r="1757" spans="1:13" x14ac:dyDescent="0.3">
      <c r="A1757">
        <v>1997</v>
      </c>
      <c r="B1757">
        <v>11</v>
      </c>
      <c r="C1757">
        <v>22</v>
      </c>
      <c r="D1757">
        <v>0.6504699063568492</v>
      </c>
      <c r="E1757">
        <v>1.5200000000000102E-2</v>
      </c>
      <c r="F1757">
        <f t="shared" si="55"/>
        <v>9.8871425766241753E-3</v>
      </c>
      <c r="M1757" s="31"/>
    </row>
    <row r="1758" spans="1:13" x14ac:dyDescent="0.3">
      <c r="A1758">
        <v>1997</v>
      </c>
      <c r="B1758">
        <v>11</v>
      </c>
      <c r="C1758">
        <v>6</v>
      </c>
      <c r="D1758">
        <v>0.68275533774066433</v>
      </c>
      <c r="E1758">
        <v>1.5200000000000102E-2</v>
      </c>
      <c r="F1758">
        <f t="shared" si="55"/>
        <v>1.0377881133658168E-2</v>
      </c>
      <c r="M1758" s="31"/>
    </row>
    <row r="1759" spans="1:13" x14ac:dyDescent="0.3">
      <c r="A1759">
        <v>1997</v>
      </c>
      <c r="B1759">
        <v>10</v>
      </c>
      <c r="C1759">
        <v>21</v>
      </c>
      <c r="D1759">
        <v>0.71478198199528642</v>
      </c>
      <c r="E1759">
        <v>1.5200000000000102E-2</v>
      </c>
      <c r="F1759">
        <f t="shared" si="55"/>
        <v>1.0864686126328427E-2</v>
      </c>
      <c r="M1759" s="31"/>
    </row>
    <row r="1760" spans="1:13" x14ac:dyDescent="0.3">
      <c r="A1760">
        <v>1997</v>
      </c>
      <c r="B1760">
        <v>10</v>
      </c>
      <c r="C1760">
        <v>5</v>
      </c>
      <c r="D1760">
        <v>0.74555798289678066</v>
      </c>
      <c r="E1760">
        <v>1.5200000000000102E-2</v>
      </c>
      <c r="F1760">
        <f t="shared" si="55"/>
        <v>1.1332481340031142E-2</v>
      </c>
      <c r="M1760" s="31"/>
    </row>
    <row r="1761" spans="1:13" x14ac:dyDescent="0.3">
      <c r="A1761">
        <v>1997</v>
      </c>
      <c r="B1761">
        <v>9</v>
      </c>
      <c r="C1761">
        <v>19</v>
      </c>
      <c r="D1761">
        <v>0.77668805404560481</v>
      </c>
      <c r="E1761">
        <v>1.5200000000000102E-2</v>
      </c>
      <c r="F1761">
        <f t="shared" si="55"/>
        <v>1.1805658421493273E-2</v>
      </c>
      <c r="M1761" s="31"/>
    </row>
    <row r="1762" spans="1:13" x14ac:dyDescent="0.3">
      <c r="A1762">
        <v>1997</v>
      </c>
      <c r="B1762">
        <v>9</v>
      </c>
      <c r="C1762">
        <v>2</v>
      </c>
      <c r="D1762">
        <v>0.80844722868679542</v>
      </c>
      <c r="E1762">
        <v>1.5200000000000102E-2</v>
      </c>
      <c r="F1762">
        <f t="shared" si="55"/>
        <v>1.2288397876039373E-2</v>
      </c>
      <c r="M1762" s="31"/>
    </row>
    <row r="1763" spans="1:13" x14ac:dyDescent="0.3">
      <c r="A1763">
        <v>1997</v>
      </c>
      <c r="B1763">
        <v>8</v>
      </c>
      <c r="C1763">
        <v>17</v>
      </c>
      <c r="D1763">
        <v>0.83758355733467071</v>
      </c>
      <c r="E1763">
        <v>1.5200000000000102E-2</v>
      </c>
      <c r="F1763">
        <f t="shared" si="55"/>
        <v>1.2731270071487081E-2</v>
      </c>
      <c r="M1763" s="31"/>
    </row>
    <row r="1764" spans="1:13" x14ac:dyDescent="0.3">
      <c r="A1764">
        <v>1997</v>
      </c>
      <c r="B1764">
        <v>8</v>
      </c>
      <c r="C1764">
        <v>1</v>
      </c>
      <c r="D1764">
        <v>0.86215624730011831</v>
      </c>
      <c r="E1764">
        <v>1.5200000000000102E-2</v>
      </c>
      <c r="F1764">
        <f t="shared" si="55"/>
        <v>1.3104774958961887E-2</v>
      </c>
      <c r="M1764" s="31"/>
    </row>
    <row r="1765" spans="1:13" x14ac:dyDescent="0.3">
      <c r="A1765">
        <v>1997</v>
      </c>
      <c r="B1765">
        <v>7</v>
      </c>
      <c r="C1765">
        <v>16</v>
      </c>
      <c r="D1765">
        <v>0.8790391546057873</v>
      </c>
      <c r="E1765">
        <v>1.5200000000000102E-2</v>
      </c>
      <c r="F1765">
        <f t="shared" si="55"/>
        <v>1.3361395150008056E-2</v>
      </c>
      <c r="M1765" s="31"/>
    </row>
    <row r="1766" spans="1:13" x14ac:dyDescent="0.3">
      <c r="A1766">
        <v>1997</v>
      </c>
      <c r="B1766">
        <v>6</v>
      </c>
      <c r="C1766">
        <v>30</v>
      </c>
      <c r="D1766">
        <v>0.8842242181497002</v>
      </c>
      <c r="E1766">
        <v>1.5200000000000102E-2</v>
      </c>
      <c r="F1766">
        <f t="shared" si="55"/>
        <v>1.3440208115875533E-2</v>
      </c>
      <c r="M1766" s="31"/>
    </row>
    <row r="1767" spans="1:13" x14ac:dyDescent="0.3">
      <c r="A1767">
        <v>1997</v>
      </c>
      <c r="B1767">
        <v>6</v>
      </c>
      <c r="C1767">
        <v>27</v>
      </c>
      <c r="D1767">
        <v>0.87304937261361204</v>
      </c>
      <c r="E1767">
        <v>1.5200000000000102E-2</v>
      </c>
      <c r="F1767">
        <f t="shared" si="55"/>
        <v>1.3270350463726993E-2</v>
      </c>
      <c r="M1767" s="31"/>
    </row>
    <row r="1768" spans="1:13" x14ac:dyDescent="0.3">
      <c r="A1768">
        <v>1997</v>
      </c>
      <c r="B1768">
        <v>6</v>
      </c>
      <c r="C1768">
        <v>24</v>
      </c>
      <c r="D1768">
        <v>0.84891178326167638</v>
      </c>
      <c r="E1768">
        <v>1.5200000000000102E-2</v>
      </c>
      <c r="F1768">
        <f t="shared" si="55"/>
        <v>1.2903459105577568E-2</v>
      </c>
      <c r="M1768" s="31"/>
    </row>
    <row r="1769" spans="1:13" x14ac:dyDescent="0.3">
      <c r="A1769">
        <v>1997</v>
      </c>
      <c r="B1769">
        <v>6</v>
      </c>
      <c r="C1769">
        <v>21</v>
      </c>
      <c r="D1769">
        <v>0.81826708359458389</v>
      </c>
      <c r="E1769">
        <v>1.5200000000000102E-2</v>
      </c>
      <c r="F1769">
        <f t="shared" si="55"/>
        <v>1.2437659670637759E-2</v>
      </c>
      <c r="M1769" s="31"/>
    </row>
    <row r="1770" spans="1:13" x14ac:dyDescent="0.3">
      <c r="A1770">
        <v>1997</v>
      </c>
      <c r="B1770">
        <v>6</v>
      </c>
      <c r="C1770">
        <v>18</v>
      </c>
      <c r="D1770">
        <v>0.7866035108668652</v>
      </c>
      <c r="E1770">
        <v>1.5200000000000102E-2</v>
      </c>
      <c r="F1770">
        <f t="shared" si="55"/>
        <v>1.1956373365176432E-2</v>
      </c>
      <c r="M1770" s="31"/>
    </row>
    <row r="1771" spans="1:13" x14ac:dyDescent="0.3">
      <c r="A1771">
        <v>1997</v>
      </c>
      <c r="B1771">
        <v>6</v>
      </c>
      <c r="C1771">
        <v>15</v>
      </c>
      <c r="D1771">
        <v>0.75895567147642884</v>
      </c>
      <c r="E1771">
        <v>1.5200000000000102E-2</v>
      </c>
      <c r="F1771">
        <f t="shared" si="55"/>
        <v>1.1536126206441797E-2</v>
      </c>
      <c r="M1771" s="31"/>
    </row>
    <row r="1772" spans="1:13" x14ac:dyDescent="0.3">
      <c r="A1772">
        <v>1997</v>
      </c>
      <c r="B1772">
        <v>6</v>
      </c>
      <c r="C1772">
        <v>12</v>
      </c>
      <c r="D1772">
        <v>0.74006511895188232</v>
      </c>
      <c r="E1772">
        <v>1.5200000000000102E-2</v>
      </c>
      <c r="F1772">
        <f t="shared" si="55"/>
        <v>1.1248989808068688E-2</v>
      </c>
      <c r="M1772" s="31"/>
    </row>
    <row r="1773" spans="1:13" x14ac:dyDescent="0.3">
      <c r="A1773">
        <v>1997</v>
      </c>
      <c r="B1773">
        <v>6</v>
      </c>
      <c r="C1773">
        <v>9</v>
      </c>
      <c r="D1773">
        <v>0.72937839633993296</v>
      </c>
      <c r="E1773">
        <v>1.5200000000000102E-2</v>
      </c>
      <c r="F1773">
        <f t="shared" si="55"/>
        <v>1.1086551624367056E-2</v>
      </c>
      <c r="M1773" s="31"/>
    </row>
    <row r="1774" spans="1:13" x14ac:dyDescent="0.3">
      <c r="A1774">
        <v>1997</v>
      </c>
      <c r="B1774">
        <v>6</v>
      </c>
      <c r="C1774">
        <v>6</v>
      </c>
      <c r="D1774">
        <v>0.72393644901629217</v>
      </c>
      <c r="E1774">
        <v>1.5200000000000102E-2</v>
      </c>
      <c r="F1774">
        <f t="shared" si="55"/>
        <v>1.1003834025047714E-2</v>
      </c>
      <c r="M1774" s="31"/>
    </row>
    <row r="1775" spans="1:13" x14ac:dyDescent="0.3">
      <c r="A1775">
        <v>1997</v>
      </c>
      <c r="B1775">
        <v>6</v>
      </c>
      <c r="C1775">
        <v>3</v>
      </c>
      <c r="D1775">
        <v>0.71849774362966778</v>
      </c>
      <c r="E1775">
        <v>1.5200000000000102E-2</v>
      </c>
      <c r="F1775">
        <f t="shared" si="55"/>
        <v>1.0921165703171023E-2</v>
      </c>
      <c r="M1775" s="31"/>
    </row>
    <row r="1776" spans="1:13" x14ac:dyDescent="0.3">
      <c r="A1776">
        <v>1997</v>
      </c>
      <c r="B1776">
        <v>5</v>
      </c>
      <c r="C1776">
        <v>31</v>
      </c>
      <c r="D1776">
        <v>0.71073159463394664</v>
      </c>
      <c r="E1776">
        <v>1.5200000000000102E-2</v>
      </c>
      <c r="F1776">
        <f t="shared" si="55"/>
        <v>1.0803120238436062E-2</v>
      </c>
      <c r="M1776" s="31"/>
    </row>
    <row r="1777" spans="1:13" x14ac:dyDescent="0.3">
      <c r="A1777">
        <v>1997</v>
      </c>
      <c r="B1777">
        <v>5</v>
      </c>
      <c r="C1777">
        <v>29</v>
      </c>
      <c r="D1777">
        <v>0.70160965914302698</v>
      </c>
      <c r="E1777">
        <v>1.5200000000000102E-2</v>
      </c>
      <c r="F1777">
        <f t="shared" si="55"/>
        <v>1.0664466818974082E-2</v>
      </c>
      <c r="M1777" s="31"/>
    </row>
    <row r="1778" spans="1:13" x14ac:dyDescent="0.3">
      <c r="A1778">
        <v>1997</v>
      </c>
      <c r="B1778">
        <v>5</v>
      </c>
      <c r="C1778">
        <v>26</v>
      </c>
      <c r="D1778">
        <v>0.69114189913429747</v>
      </c>
      <c r="E1778">
        <v>1.5200000000000102E-2</v>
      </c>
      <c r="F1778">
        <f t="shared" si="55"/>
        <v>1.0505356866841392E-2</v>
      </c>
      <c r="M1778" s="31"/>
    </row>
    <row r="1779" spans="1:13" x14ac:dyDescent="0.3">
      <c r="A1779">
        <v>1997</v>
      </c>
      <c r="B1779">
        <v>5</v>
      </c>
      <c r="C1779">
        <v>23</v>
      </c>
      <c r="D1779">
        <v>0.6764915041161037</v>
      </c>
      <c r="E1779">
        <v>1.5200000000000102E-2</v>
      </c>
      <c r="F1779">
        <f t="shared" si="55"/>
        <v>1.0282670862564845E-2</v>
      </c>
      <c r="M1779" s="31"/>
    </row>
    <row r="1780" spans="1:13" x14ac:dyDescent="0.3">
      <c r="A1780">
        <v>1997</v>
      </c>
      <c r="B1780">
        <v>5</v>
      </c>
      <c r="C1780">
        <v>20</v>
      </c>
      <c r="D1780">
        <v>0.66433129667798763</v>
      </c>
      <c r="E1780">
        <v>1.5200000000000102E-2</v>
      </c>
      <c r="F1780">
        <f t="shared" si="55"/>
        <v>1.009783570950548E-2</v>
      </c>
      <c r="M1780" s="31"/>
    </row>
    <row r="1781" spans="1:13" x14ac:dyDescent="0.3">
      <c r="A1781">
        <v>1997</v>
      </c>
      <c r="B1781">
        <v>5</v>
      </c>
      <c r="C1781">
        <v>17</v>
      </c>
      <c r="D1781">
        <v>0.65342202021329465</v>
      </c>
      <c r="E1781">
        <v>1.5200000000000102E-2</v>
      </c>
      <c r="F1781">
        <f t="shared" si="55"/>
        <v>9.9320147072421462E-3</v>
      </c>
      <c r="M1781" s="31"/>
    </row>
    <row r="1782" spans="1:13" x14ac:dyDescent="0.3">
      <c r="A1782">
        <v>1997</v>
      </c>
      <c r="B1782">
        <v>5</v>
      </c>
      <c r="C1782">
        <v>14</v>
      </c>
      <c r="D1782">
        <v>0.64697576164564152</v>
      </c>
      <c r="E1782">
        <v>1.5200000000000102E-2</v>
      </c>
      <c r="F1782">
        <f t="shared" si="55"/>
        <v>9.834031577013817E-3</v>
      </c>
      <c r="M1782" s="31"/>
    </row>
    <row r="1783" spans="1:13" x14ac:dyDescent="0.3">
      <c r="A1783">
        <v>1997</v>
      </c>
      <c r="B1783">
        <v>5</v>
      </c>
      <c r="C1783">
        <v>11</v>
      </c>
      <c r="D1783">
        <v>0.64591013475582604</v>
      </c>
      <c r="E1783">
        <v>1.5200000000000102E-2</v>
      </c>
      <c r="F1783">
        <f t="shared" si="55"/>
        <v>9.8178340482886223E-3</v>
      </c>
      <c r="M1783" s="31"/>
    </row>
    <row r="1784" spans="1:13" x14ac:dyDescent="0.3">
      <c r="A1784">
        <v>1997</v>
      </c>
      <c r="B1784">
        <v>5</v>
      </c>
      <c r="C1784">
        <v>8</v>
      </c>
      <c r="D1784">
        <v>0.64928553344314832</v>
      </c>
      <c r="E1784">
        <v>1.5200000000000102E-2</v>
      </c>
      <c r="F1784">
        <f t="shared" si="55"/>
        <v>9.8691401083359203E-3</v>
      </c>
      <c r="M1784" s="31"/>
    </row>
    <row r="1785" spans="1:13" x14ac:dyDescent="0.3">
      <c r="A1785">
        <v>1997</v>
      </c>
      <c r="B1785">
        <v>5</v>
      </c>
      <c r="C1785">
        <v>5</v>
      </c>
      <c r="D1785">
        <v>0.65374974152898102</v>
      </c>
      <c r="E1785">
        <v>1.5200000000000102E-2</v>
      </c>
      <c r="F1785">
        <f t="shared" si="55"/>
        <v>9.9369960712405777E-3</v>
      </c>
      <c r="M1785" s="31"/>
    </row>
    <row r="1786" spans="1:13" x14ac:dyDescent="0.3">
      <c r="A1786">
        <v>1997</v>
      </c>
      <c r="B1786">
        <v>5</v>
      </c>
      <c r="C1786">
        <v>2</v>
      </c>
      <c r="D1786">
        <v>0.66066455375707966</v>
      </c>
      <c r="E1786">
        <v>1.5200000000000102E-2</v>
      </c>
      <c r="F1786">
        <f t="shared" si="55"/>
        <v>1.0042101217107679E-2</v>
      </c>
      <c r="M1786" s="31"/>
    </row>
    <row r="1787" spans="1:13" x14ac:dyDescent="0.3">
      <c r="A1787">
        <v>1997</v>
      </c>
      <c r="B1787">
        <v>4</v>
      </c>
      <c r="C1787">
        <v>30</v>
      </c>
      <c r="D1787">
        <v>0.66258240829964099</v>
      </c>
      <c r="E1787">
        <v>1.5200000000000102E-2</v>
      </c>
      <c r="F1787">
        <f t="shared" si="55"/>
        <v>1.007125260615461E-2</v>
      </c>
      <c r="M1787" s="31"/>
    </row>
    <row r="1788" spans="1:13" x14ac:dyDescent="0.3">
      <c r="A1788">
        <v>1997</v>
      </c>
      <c r="B1788">
        <v>4</v>
      </c>
      <c r="C1788">
        <v>27</v>
      </c>
      <c r="D1788">
        <v>0.65894085859817864</v>
      </c>
      <c r="E1788">
        <v>1.5200000000000102E-2</v>
      </c>
      <c r="F1788">
        <f t="shared" si="55"/>
        <v>1.0015901050692383E-2</v>
      </c>
      <c r="M1788" s="31"/>
    </row>
    <row r="1789" spans="1:13" x14ac:dyDescent="0.3">
      <c r="A1789">
        <v>1997</v>
      </c>
      <c r="B1789">
        <v>4</v>
      </c>
      <c r="C1789">
        <v>24</v>
      </c>
      <c r="D1789">
        <v>0.65353897511734216</v>
      </c>
      <c r="E1789">
        <v>1.5200000000000102E-2</v>
      </c>
      <c r="F1789">
        <f t="shared" si="55"/>
        <v>9.9337924217836673E-3</v>
      </c>
      <c r="M1789" s="31"/>
    </row>
    <row r="1790" spans="1:13" x14ac:dyDescent="0.3">
      <c r="A1790">
        <v>1997</v>
      </c>
      <c r="B1790">
        <v>4</v>
      </c>
      <c r="C1790">
        <v>21</v>
      </c>
      <c r="D1790">
        <v>0.6466549213400854</v>
      </c>
      <c r="E1790">
        <v>1.5200000000000102E-2</v>
      </c>
      <c r="F1790">
        <f t="shared" si="55"/>
        <v>9.8291548043693642E-3</v>
      </c>
      <c r="M1790" s="31"/>
    </row>
    <row r="1791" spans="1:13" x14ac:dyDescent="0.3">
      <c r="A1791">
        <v>1997</v>
      </c>
      <c r="B1791">
        <v>4</v>
      </c>
      <c r="C1791">
        <v>18</v>
      </c>
      <c r="D1791">
        <v>0.63789326396741541</v>
      </c>
      <c r="E1791">
        <v>1.5200000000000102E-2</v>
      </c>
      <c r="F1791">
        <f t="shared" si="55"/>
        <v>9.6959776123047795E-3</v>
      </c>
      <c r="M1791" s="31"/>
    </row>
    <row r="1792" spans="1:13" x14ac:dyDescent="0.3">
      <c r="A1792">
        <v>1997</v>
      </c>
      <c r="B1792">
        <v>4</v>
      </c>
      <c r="C1792">
        <v>15</v>
      </c>
      <c r="D1792">
        <v>0.63009054606583359</v>
      </c>
      <c r="E1792">
        <v>1.5200000000000102E-2</v>
      </c>
      <c r="F1792">
        <f t="shared" si="55"/>
        <v>9.5773763002007344E-3</v>
      </c>
      <c r="M1792" s="31"/>
    </row>
    <row r="1793" spans="1:13" x14ac:dyDescent="0.3">
      <c r="A1793">
        <v>1997</v>
      </c>
      <c r="B1793">
        <v>4</v>
      </c>
      <c r="C1793">
        <v>12</v>
      </c>
      <c r="D1793">
        <v>0.62377676012335881</v>
      </c>
      <c r="E1793">
        <v>1.5200000000000102E-2</v>
      </c>
      <c r="F1793">
        <f t="shared" si="55"/>
        <v>9.4814067538751181E-3</v>
      </c>
      <c r="M1793" s="31"/>
    </row>
    <row r="1794" spans="1:13" x14ac:dyDescent="0.3">
      <c r="A1794">
        <v>1997</v>
      </c>
      <c r="B1794">
        <v>4</v>
      </c>
      <c r="C1794">
        <v>9</v>
      </c>
      <c r="D1794">
        <v>0.61814063887596304</v>
      </c>
      <c r="E1794">
        <v>1.5200000000000102E-2</v>
      </c>
      <c r="F1794">
        <f t="shared" si="55"/>
        <v>9.3957377109147016E-3</v>
      </c>
      <c r="M1794" s="31"/>
    </row>
    <row r="1795" spans="1:13" x14ac:dyDescent="0.3">
      <c r="A1795">
        <v>1997</v>
      </c>
      <c r="B1795">
        <v>4</v>
      </c>
      <c r="C1795">
        <v>6</v>
      </c>
      <c r="D1795">
        <v>0.61250994105213274</v>
      </c>
      <c r="E1795">
        <v>1.5200000000000102E-2</v>
      </c>
      <c r="F1795">
        <f t="shared" ref="F1795:F1858" si="56">D1795*E1795</f>
        <v>9.3101511039924804E-3</v>
      </c>
      <c r="M1795" s="31"/>
    </row>
    <row r="1796" spans="1:13" x14ac:dyDescent="0.3">
      <c r="A1796">
        <v>1997</v>
      </c>
      <c r="B1796">
        <v>4</v>
      </c>
      <c r="C1796">
        <v>3</v>
      </c>
      <c r="D1796">
        <v>0.60528267014784354</v>
      </c>
      <c r="E1796">
        <v>1.5200000000000102E-2</v>
      </c>
      <c r="F1796">
        <f t="shared" si="56"/>
        <v>9.2002965862472835E-3</v>
      </c>
      <c r="M1796" s="31"/>
    </row>
    <row r="1797" spans="1:13" x14ac:dyDescent="0.3">
      <c r="A1797">
        <v>1997</v>
      </c>
      <c r="B1797">
        <v>3</v>
      </c>
      <c r="C1797">
        <v>31</v>
      </c>
      <c r="D1797">
        <v>0.59766784754065794</v>
      </c>
      <c r="E1797">
        <v>1.5200000000000102E-2</v>
      </c>
      <c r="F1797">
        <f t="shared" si="56"/>
        <v>9.0845512826180624E-3</v>
      </c>
      <c r="M1797" s="31"/>
    </row>
    <row r="1798" spans="1:13" x14ac:dyDescent="0.3">
      <c r="A1798">
        <v>1997</v>
      </c>
      <c r="B1798">
        <v>3</v>
      </c>
      <c r="C1798">
        <v>29</v>
      </c>
      <c r="D1798">
        <v>0.59126257138487393</v>
      </c>
      <c r="E1798">
        <v>1.5200000000000102E-2</v>
      </c>
      <c r="F1798">
        <f t="shared" si="56"/>
        <v>8.9871910850501443E-3</v>
      </c>
      <c r="M1798" s="31"/>
    </row>
    <row r="1799" spans="1:13" x14ac:dyDescent="0.3">
      <c r="A1799">
        <v>1997</v>
      </c>
      <c r="B1799">
        <v>3</v>
      </c>
      <c r="C1799">
        <v>26</v>
      </c>
      <c r="D1799">
        <v>0.58526394038227303</v>
      </c>
      <c r="E1799">
        <v>1.5200000000000102E-2</v>
      </c>
      <c r="F1799">
        <f t="shared" si="56"/>
        <v>8.8960118938106094E-3</v>
      </c>
      <c r="M1799" s="31"/>
    </row>
    <row r="1800" spans="1:13" x14ac:dyDescent="0.3">
      <c r="A1800">
        <v>1997</v>
      </c>
      <c r="B1800">
        <v>3</v>
      </c>
      <c r="C1800">
        <v>23</v>
      </c>
      <c r="D1800">
        <v>0.58059660866605056</v>
      </c>
      <c r="E1800">
        <v>1.5200000000000102E-2</v>
      </c>
      <c r="F1800">
        <f t="shared" si="56"/>
        <v>8.8250684517240281E-3</v>
      </c>
      <c r="M1800" s="31"/>
    </row>
    <row r="1801" spans="1:13" x14ac:dyDescent="0.3">
      <c r="A1801">
        <v>1997</v>
      </c>
      <c r="B1801">
        <v>3</v>
      </c>
      <c r="C1801">
        <v>20</v>
      </c>
      <c r="D1801">
        <v>0.57699084593235672</v>
      </c>
      <c r="E1801">
        <v>1.5200000000000102E-2</v>
      </c>
      <c r="F1801">
        <f t="shared" si="56"/>
        <v>8.770260858171881E-3</v>
      </c>
      <c r="M1801" s="31"/>
    </row>
    <row r="1802" spans="1:13" x14ac:dyDescent="0.3">
      <c r="A1802">
        <v>1997</v>
      </c>
      <c r="B1802">
        <v>3</v>
      </c>
      <c r="C1802">
        <v>17</v>
      </c>
      <c r="D1802">
        <v>0.57180029649112485</v>
      </c>
      <c r="E1802">
        <v>1.5200000000000102E-2</v>
      </c>
      <c r="F1802">
        <f t="shared" si="56"/>
        <v>8.691364506665156E-3</v>
      </c>
      <c r="M1802" s="31"/>
    </row>
    <row r="1803" spans="1:13" x14ac:dyDescent="0.3">
      <c r="A1803">
        <v>1997</v>
      </c>
      <c r="B1803">
        <v>3</v>
      </c>
      <c r="C1803">
        <v>14</v>
      </c>
      <c r="D1803">
        <v>0.56437356940453798</v>
      </c>
      <c r="E1803">
        <v>1.5200000000000102E-2</v>
      </c>
      <c r="F1803">
        <f t="shared" si="56"/>
        <v>8.5784782549490346E-3</v>
      </c>
      <c r="M1803" s="31"/>
    </row>
    <row r="1804" spans="1:13" x14ac:dyDescent="0.3">
      <c r="A1804">
        <v>1997</v>
      </c>
      <c r="B1804">
        <v>3</v>
      </c>
      <c r="C1804">
        <v>11</v>
      </c>
      <c r="D1804">
        <v>0.55328381913441493</v>
      </c>
      <c r="E1804">
        <v>1.5200000000000102E-2</v>
      </c>
      <c r="F1804">
        <f t="shared" si="56"/>
        <v>8.409914050843164E-3</v>
      </c>
      <c r="M1804" s="31"/>
    </row>
    <row r="1805" spans="1:13" x14ac:dyDescent="0.3">
      <c r="A1805">
        <v>1997</v>
      </c>
      <c r="B1805">
        <v>3</v>
      </c>
      <c r="C1805">
        <v>8</v>
      </c>
      <c r="D1805">
        <v>0.53883924924030002</v>
      </c>
      <c r="E1805">
        <v>1.5200000000000102E-2</v>
      </c>
      <c r="F1805">
        <f t="shared" si="56"/>
        <v>8.1903565884526158E-3</v>
      </c>
      <c r="M1805" s="31"/>
    </row>
    <row r="1806" spans="1:13" x14ac:dyDescent="0.3">
      <c r="A1806">
        <v>1997</v>
      </c>
      <c r="B1806">
        <v>3</v>
      </c>
      <c r="C1806">
        <v>5</v>
      </c>
      <c r="D1806">
        <v>0.52447077770543704</v>
      </c>
      <c r="E1806">
        <v>1.5200000000000102E-2</v>
      </c>
      <c r="F1806">
        <f t="shared" si="56"/>
        <v>7.9719558211226969E-3</v>
      </c>
      <c r="M1806" s="31"/>
    </row>
    <row r="1807" spans="1:13" x14ac:dyDescent="0.3">
      <c r="A1807">
        <v>1997</v>
      </c>
      <c r="B1807">
        <v>3</v>
      </c>
      <c r="C1807">
        <v>2</v>
      </c>
      <c r="D1807">
        <v>0.51379159997427493</v>
      </c>
      <c r="E1807">
        <v>1.5200000000000102E-2</v>
      </c>
      <c r="F1807">
        <f t="shared" si="56"/>
        <v>7.8096323196090315E-3</v>
      </c>
      <c r="M1807" s="31"/>
    </row>
    <row r="1808" spans="1:13" x14ac:dyDescent="0.3">
      <c r="A1808">
        <v>1997</v>
      </c>
      <c r="B1808">
        <v>2</v>
      </c>
      <c r="C1808">
        <v>28</v>
      </c>
      <c r="D1808">
        <v>0.50701229347932431</v>
      </c>
      <c r="E1808">
        <v>1.5200000000000102E-2</v>
      </c>
      <c r="F1808">
        <f t="shared" si="56"/>
        <v>7.7065868608857816E-3</v>
      </c>
      <c r="M1808" s="31"/>
    </row>
    <row r="1809" spans="1:13" x14ac:dyDescent="0.3">
      <c r="A1809">
        <v>1997</v>
      </c>
      <c r="B1809">
        <v>2</v>
      </c>
      <c r="C1809">
        <v>20</v>
      </c>
      <c r="D1809">
        <v>0.50861173891205513</v>
      </c>
      <c r="E1809">
        <v>1.5200000000000102E-2</v>
      </c>
      <c r="F1809">
        <f t="shared" si="56"/>
        <v>7.7308984314632904E-3</v>
      </c>
      <c r="M1809" s="31"/>
    </row>
    <row r="1810" spans="1:13" x14ac:dyDescent="0.3">
      <c r="A1810">
        <v>1997</v>
      </c>
      <c r="B1810">
        <v>2</v>
      </c>
      <c r="C1810">
        <v>13</v>
      </c>
      <c r="D1810">
        <v>0.51668215133702344</v>
      </c>
      <c r="E1810">
        <v>1.5200000000000102E-2</v>
      </c>
      <c r="F1810">
        <f t="shared" si="56"/>
        <v>7.8535687003228084E-3</v>
      </c>
      <c r="M1810" s="31"/>
    </row>
    <row r="1811" spans="1:13" x14ac:dyDescent="0.3">
      <c r="A1811">
        <v>1997</v>
      </c>
      <c r="B1811">
        <v>2</v>
      </c>
      <c r="C1811">
        <v>6</v>
      </c>
      <c r="D1811">
        <v>0.52817984821740405</v>
      </c>
      <c r="E1811">
        <v>1.5200000000000102E-2</v>
      </c>
      <c r="F1811">
        <f t="shared" si="56"/>
        <v>8.0283336929045952E-3</v>
      </c>
      <c r="M1811" s="31"/>
    </row>
    <row r="1812" spans="1:13" x14ac:dyDescent="0.3">
      <c r="A1812">
        <v>1997</v>
      </c>
      <c r="B1812">
        <v>1</v>
      </c>
      <c r="C1812">
        <v>30</v>
      </c>
      <c r="D1812">
        <v>0.54264097296720015</v>
      </c>
      <c r="E1812">
        <v>1.5200000000000102E-2</v>
      </c>
      <c r="F1812">
        <f t="shared" si="56"/>
        <v>8.2481427891014977E-3</v>
      </c>
      <c r="M1812" s="31"/>
    </row>
    <row r="1813" spans="1:13" x14ac:dyDescent="0.3">
      <c r="A1813">
        <v>1997</v>
      </c>
      <c r="B1813">
        <v>1</v>
      </c>
      <c r="C1813">
        <v>23</v>
      </c>
      <c r="D1813">
        <v>0.55576241157733286</v>
      </c>
      <c r="E1813">
        <v>1.5200000000000102E-2</v>
      </c>
      <c r="F1813">
        <f t="shared" si="56"/>
        <v>8.4475886559755159E-3</v>
      </c>
      <c r="M1813" s="31"/>
    </row>
    <row r="1814" spans="1:13" x14ac:dyDescent="0.3">
      <c r="A1814">
        <v>1997</v>
      </c>
      <c r="B1814">
        <v>1</v>
      </c>
      <c r="C1814">
        <v>16</v>
      </c>
      <c r="D1814">
        <v>0.56512455743372181</v>
      </c>
      <c r="E1814">
        <v>1.5200000000000102E-2</v>
      </c>
      <c r="F1814">
        <f t="shared" si="56"/>
        <v>8.5898932729926297E-3</v>
      </c>
      <c r="M1814" s="31"/>
    </row>
    <row r="1815" spans="1:13" x14ac:dyDescent="0.3">
      <c r="A1815">
        <v>1997</v>
      </c>
      <c r="B1815">
        <v>1</v>
      </c>
      <c r="C1815">
        <v>8</v>
      </c>
      <c r="D1815">
        <v>0.57268266437263127</v>
      </c>
      <c r="E1815">
        <v>1.5200000000000102E-2</v>
      </c>
      <c r="F1815">
        <f t="shared" si="56"/>
        <v>8.7047764984640539E-3</v>
      </c>
      <c r="M1815" s="31"/>
    </row>
    <row r="1816" spans="1:13" x14ac:dyDescent="0.3">
      <c r="A1816">
        <v>1997</v>
      </c>
      <c r="B1816">
        <v>1</v>
      </c>
      <c r="C1816">
        <v>1</v>
      </c>
      <c r="D1816">
        <v>0.57958966057282701</v>
      </c>
      <c r="E1816">
        <v>1.5200000000000102E-2</v>
      </c>
      <c r="F1816">
        <f t="shared" si="56"/>
        <v>8.8097628407070305E-3</v>
      </c>
      <c r="M1816" s="31"/>
    </row>
    <row r="1817" spans="1:13" x14ac:dyDescent="0.3">
      <c r="A1817">
        <v>1996</v>
      </c>
      <c r="B1817">
        <v>12</v>
      </c>
      <c r="C1817">
        <v>25</v>
      </c>
      <c r="D1817">
        <v>0.5845034638001595</v>
      </c>
      <c r="E1817">
        <v>1.5200000000000102E-2</v>
      </c>
      <c r="F1817">
        <f t="shared" si="56"/>
        <v>8.8844526497624844E-3</v>
      </c>
      <c r="M1817" s="31"/>
    </row>
    <row r="1818" spans="1:13" x14ac:dyDescent="0.3">
      <c r="A1818">
        <v>1996</v>
      </c>
      <c r="B1818">
        <v>12</v>
      </c>
      <c r="C1818">
        <v>18</v>
      </c>
      <c r="D1818">
        <v>0.59062711886560071</v>
      </c>
      <c r="E1818">
        <v>1.5200000000000102E-2</v>
      </c>
      <c r="F1818">
        <f t="shared" si="56"/>
        <v>8.9775322067571911E-3</v>
      </c>
      <c r="M1818" s="31"/>
    </row>
    <row r="1819" spans="1:13" x14ac:dyDescent="0.3">
      <c r="A1819">
        <v>1996</v>
      </c>
      <c r="B1819">
        <v>12</v>
      </c>
      <c r="C1819">
        <v>11</v>
      </c>
      <c r="D1819">
        <v>0.59796737752836304</v>
      </c>
      <c r="E1819">
        <v>1.5200000000000102E-2</v>
      </c>
      <c r="F1819">
        <f t="shared" si="56"/>
        <v>9.0891041384311786E-3</v>
      </c>
      <c r="M1819" s="31"/>
    </row>
    <row r="1820" spans="1:13" x14ac:dyDescent="0.3">
      <c r="A1820">
        <v>1996</v>
      </c>
      <c r="B1820">
        <v>12</v>
      </c>
      <c r="C1820">
        <v>4</v>
      </c>
      <c r="D1820">
        <v>0.60586025668941657</v>
      </c>
      <c r="E1820">
        <v>1.5200000000000102E-2</v>
      </c>
      <c r="F1820">
        <f t="shared" si="56"/>
        <v>9.2090759016791937E-3</v>
      </c>
      <c r="M1820" s="31"/>
    </row>
    <row r="1821" spans="1:13" x14ac:dyDescent="0.3">
      <c r="A1821">
        <v>1996</v>
      </c>
      <c r="B1821">
        <v>11</v>
      </c>
      <c r="C1821">
        <v>27</v>
      </c>
      <c r="D1821">
        <v>0.61674038146335886</v>
      </c>
      <c r="E1821">
        <v>1.5200000000000102E-2</v>
      </c>
      <c r="F1821">
        <f t="shared" si="56"/>
        <v>9.374453798243117E-3</v>
      </c>
      <c r="M1821" s="31"/>
    </row>
    <row r="1822" spans="1:13" x14ac:dyDescent="0.3">
      <c r="A1822">
        <v>1996</v>
      </c>
      <c r="B1822">
        <v>11</v>
      </c>
      <c r="C1822">
        <v>19</v>
      </c>
      <c r="D1822">
        <v>0.62982707869651866</v>
      </c>
      <c r="E1822">
        <v>1.5200000000000102E-2</v>
      </c>
      <c r="F1822">
        <f t="shared" si="56"/>
        <v>9.5733715961871489E-3</v>
      </c>
      <c r="M1822" s="31"/>
    </row>
    <row r="1823" spans="1:13" x14ac:dyDescent="0.3">
      <c r="A1823">
        <v>1996</v>
      </c>
      <c r="B1823">
        <v>11</v>
      </c>
      <c r="C1823">
        <v>12</v>
      </c>
      <c r="D1823">
        <v>0.64487573245657914</v>
      </c>
      <c r="E1823">
        <v>1.5200000000000102E-2</v>
      </c>
      <c r="F1823">
        <f t="shared" si="56"/>
        <v>9.8021111333400687E-3</v>
      </c>
      <c r="M1823" s="31"/>
    </row>
    <row r="1824" spans="1:13" x14ac:dyDescent="0.3">
      <c r="A1824">
        <v>1996</v>
      </c>
      <c r="B1824">
        <v>11</v>
      </c>
      <c r="C1824">
        <v>5</v>
      </c>
      <c r="D1824">
        <v>0.66026891300497459</v>
      </c>
      <c r="E1824">
        <v>1.5200000000000102E-2</v>
      </c>
      <c r="F1824">
        <f t="shared" si="56"/>
        <v>1.0036087477675681E-2</v>
      </c>
      <c r="M1824" s="31"/>
    </row>
    <row r="1825" spans="1:13" x14ac:dyDescent="0.3">
      <c r="A1825">
        <v>1996</v>
      </c>
      <c r="B1825">
        <v>10</v>
      </c>
      <c r="C1825">
        <v>29</v>
      </c>
      <c r="D1825">
        <v>0.67366595183725453</v>
      </c>
      <c r="E1825">
        <v>1.5200000000000102E-2</v>
      </c>
      <c r="F1825">
        <f t="shared" si="56"/>
        <v>1.0239722467926338E-2</v>
      </c>
      <c r="M1825" s="31"/>
    </row>
    <row r="1826" spans="1:13" x14ac:dyDescent="0.3">
      <c r="A1826">
        <v>1996</v>
      </c>
      <c r="B1826">
        <v>10</v>
      </c>
      <c r="C1826">
        <v>22</v>
      </c>
      <c r="D1826">
        <v>0.68683721846475265</v>
      </c>
      <c r="E1826">
        <v>1.5200000000000102E-2</v>
      </c>
      <c r="F1826">
        <f t="shared" si="56"/>
        <v>1.043992572066431E-2</v>
      </c>
      <c r="M1826" s="31"/>
    </row>
    <row r="1827" spans="1:13" x14ac:dyDescent="0.3">
      <c r="A1827">
        <v>1996</v>
      </c>
      <c r="B1827">
        <v>10</v>
      </c>
      <c r="C1827">
        <v>15</v>
      </c>
      <c r="D1827">
        <v>0.69977844233899711</v>
      </c>
      <c r="E1827">
        <v>1.5200000000000102E-2</v>
      </c>
      <c r="F1827">
        <f t="shared" si="56"/>
        <v>1.0636632323552827E-2</v>
      </c>
      <c r="M1827" s="31"/>
    </row>
    <row r="1828" spans="1:13" x14ac:dyDescent="0.3">
      <c r="A1828">
        <v>1996</v>
      </c>
      <c r="B1828">
        <v>10</v>
      </c>
      <c r="C1828">
        <v>8</v>
      </c>
      <c r="D1828">
        <v>0.70941921589426737</v>
      </c>
      <c r="E1828">
        <v>1.5200000000000102E-2</v>
      </c>
      <c r="F1828">
        <f t="shared" si="56"/>
        <v>1.0783172081592936E-2</v>
      </c>
      <c r="M1828" s="31"/>
    </row>
    <row r="1829" spans="1:13" x14ac:dyDescent="0.3">
      <c r="A1829">
        <v>1996</v>
      </c>
      <c r="B1829">
        <v>9</v>
      </c>
      <c r="C1829">
        <v>30</v>
      </c>
      <c r="D1829">
        <v>0.71824356454309413</v>
      </c>
      <c r="E1829">
        <v>1.5200000000000102E-2</v>
      </c>
      <c r="F1829">
        <f t="shared" si="56"/>
        <v>1.0917302181055103E-2</v>
      </c>
      <c r="M1829" s="31"/>
    </row>
    <row r="1830" spans="1:13" x14ac:dyDescent="0.3">
      <c r="A1830">
        <v>1996</v>
      </c>
      <c r="B1830">
        <v>9</v>
      </c>
      <c r="C1830">
        <v>23</v>
      </c>
      <c r="D1830">
        <v>0.72484594412377334</v>
      </c>
      <c r="E1830">
        <v>1.5200000000000102E-2</v>
      </c>
      <c r="F1830">
        <f t="shared" si="56"/>
        <v>1.101765835068143E-2</v>
      </c>
      <c r="M1830" s="31"/>
    </row>
    <row r="1831" spans="1:13" x14ac:dyDescent="0.3">
      <c r="A1831">
        <v>1996</v>
      </c>
      <c r="B1831">
        <v>9</v>
      </c>
      <c r="C1831">
        <v>16</v>
      </c>
      <c r="D1831">
        <v>0.72781552877184696</v>
      </c>
      <c r="E1831">
        <v>1.5200000000000102E-2</v>
      </c>
      <c r="F1831">
        <f t="shared" si="56"/>
        <v>1.1062796037332148E-2</v>
      </c>
      <c r="M1831" s="31"/>
    </row>
    <row r="1832" spans="1:13" x14ac:dyDescent="0.3">
      <c r="A1832">
        <v>1996</v>
      </c>
      <c r="B1832">
        <v>9</v>
      </c>
      <c r="C1832">
        <v>9</v>
      </c>
      <c r="D1832">
        <v>0.72826553449562459</v>
      </c>
      <c r="E1832">
        <v>1.5200000000000102E-2</v>
      </c>
      <c r="F1832">
        <f t="shared" si="56"/>
        <v>1.1069636124333568E-2</v>
      </c>
      <c r="M1832" s="31"/>
    </row>
    <row r="1833" spans="1:13" x14ac:dyDescent="0.3">
      <c r="A1833">
        <v>1996</v>
      </c>
      <c r="B1833">
        <v>9</v>
      </c>
      <c r="C1833">
        <v>2</v>
      </c>
      <c r="D1833">
        <v>0.73067364548951064</v>
      </c>
      <c r="E1833">
        <v>1.5200000000000102E-2</v>
      </c>
      <c r="F1833">
        <f t="shared" si="56"/>
        <v>1.1106239411440637E-2</v>
      </c>
      <c r="M1833" s="31"/>
    </row>
    <row r="1834" spans="1:13" x14ac:dyDescent="0.3">
      <c r="A1834">
        <v>1996</v>
      </c>
      <c r="B1834">
        <v>8</v>
      </c>
      <c r="C1834">
        <v>26</v>
      </c>
      <c r="D1834">
        <v>0.73714281952181904</v>
      </c>
      <c r="E1834">
        <v>1.5200000000000102E-2</v>
      </c>
      <c r="F1834">
        <f t="shared" si="56"/>
        <v>1.1204570856731724E-2</v>
      </c>
      <c r="M1834" s="31"/>
    </row>
    <row r="1835" spans="1:13" x14ac:dyDescent="0.3">
      <c r="A1835">
        <v>1996</v>
      </c>
      <c r="B1835">
        <v>8</v>
      </c>
      <c r="C1835">
        <v>19</v>
      </c>
      <c r="D1835">
        <v>0.74994245269179538</v>
      </c>
      <c r="E1835">
        <v>1.5200000000000102E-2</v>
      </c>
      <c r="F1835">
        <f t="shared" si="56"/>
        <v>1.1399125280915367E-2</v>
      </c>
      <c r="M1835" s="31"/>
    </row>
    <row r="1836" spans="1:13" x14ac:dyDescent="0.3">
      <c r="A1836">
        <v>1996</v>
      </c>
      <c r="B1836">
        <v>8</v>
      </c>
      <c r="C1836">
        <v>11</v>
      </c>
      <c r="D1836">
        <v>0.76659571674132065</v>
      </c>
      <c r="E1836">
        <v>1.5200000000000102E-2</v>
      </c>
      <c r="F1836">
        <f t="shared" si="56"/>
        <v>1.1652254894468153E-2</v>
      </c>
      <c r="M1836" s="31"/>
    </row>
    <row r="1837" spans="1:13" x14ac:dyDescent="0.3">
      <c r="A1837">
        <v>1996</v>
      </c>
      <c r="B1837">
        <v>8</v>
      </c>
      <c r="C1837">
        <v>4</v>
      </c>
      <c r="D1837">
        <v>0.78303595779408863</v>
      </c>
      <c r="E1837">
        <v>1.5200000000000102E-2</v>
      </c>
      <c r="F1837">
        <f t="shared" si="56"/>
        <v>1.1902146558470227E-2</v>
      </c>
      <c r="M1837" s="31"/>
    </row>
    <row r="1838" spans="1:13" x14ac:dyDescent="0.3">
      <c r="A1838">
        <v>1996</v>
      </c>
      <c r="B1838">
        <v>7</v>
      </c>
      <c r="C1838">
        <v>28</v>
      </c>
      <c r="D1838">
        <v>0.79840217452814843</v>
      </c>
      <c r="E1838">
        <v>1.5200000000000102E-2</v>
      </c>
      <c r="F1838">
        <f t="shared" si="56"/>
        <v>1.2135713052827938E-2</v>
      </c>
      <c r="M1838" s="31"/>
    </row>
    <row r="1839" spans="1:13" x14ac:dyDescent="0.3">
      <c r="A1839">
        <v>1996</v>
      </c>
      <c r="B1839">
        <v>7</v>
      </c>
      <c r="C1839">
        <v>21</v>
      </c>
      <c r="D1839">
        <v>0.81110464940583882</v>
      </c>
      <c r="E1839">
        <v>1.5200000000000102E-2</v>
      </c>
      <c r="F1839">
        <f t="shared" si="56"/>
        <v>1.2328790670968834E-2</v>
      </c>
      <c r="M1839" s="31"/>
    </row>
    <row r="1840" spans="1:13" x14ac:dyDescent="0.3">
      <c r="A1840">
        <v>1996</v>
      </c>
      <c r="B1840">
        <v>7</v>
      </c>
      <c r="C1840">
        <v>14</v>
      </c>
      <c r="D1840">
        <v>0.82212021186928175</v>
      </c>
      <c r="E1840">
        <v>1.5200000000000102E-2</v>
      </c>
      <c r="F1840">
        <f t="shared" si="56"/>
        <v>1.2496227220413167E-2</v>
      </c>
      <c r="M1840" s="31"/>
    </row>
    <row r="1841" spans="1:13" x14ac:dyDescent="0.3">
      <c r="A1841">
        <v>1996</v>
      </c>
      <c r="B1841">
        <v>7</v>
      </c>
      <c r="C1841">
        <v>7</v>
      </c>
      <c r="D1841">
        <v>0.82970890808259723</v>
      </c>
      <c r="E1841">
        <v>1.5200000000000102E-2</v>
      </c>
      <c r="F1841">
        <f t="shared" si="56"/>
        <v>1.2611575402855563E-2</v>
      </c>
      <c r="M1841" s="31"/>
    </row>
    <row r="1842" spans="1:13" x14ac:dyDescent="0.3">
      <c r="A1842">
        <v>1996</v>
      </c>
      <c r="B1842">
        <v>6</v>
      </c>
      <c r="C1842">
        <v>30</v>
      </c>
      <c r="D1842">
        <v>0.83414050006912166</v>
      </c>
      <c r="E1842">
        <v>1.5200000000000102E-2</v>
      </c>
      <c r="F1842">
        <f t="shared" si="56"/>
        <v>1.2678935601050734E-2</v>
      </c>
      <c r="M1842" s="31"/>
    </row>
    <row r="1843" spans="1:13" x14ac:dyDescent="0.3">
      <c r="A1843">
        <v>1996</v>
      </c>
      <c r="B1843">
        <v>6</v>
      </c>
      <c r="C1843">
        <v>28</v>
      </c>
      <c r="D1843">
        <v>0.83411426826779544</v>
      </c>
      <c r="E1843">
        <v>1.5200000000000102E-2</v>
      </c>
      <c r="F1843">
        <f t="shared" si="56"/>
        <v>1.2678536877670576E-2</v>
      </c>
      <c r="M1843" s="31"/>
    </row>
    <row r="1844" spans="1:13" x14ac:dyDescent="0.3">
      <c r="A1844">
        <v>1996</v>
      </c>
      <c r="B1844">
        <v>6</v>
      </c>
      <c r="C1844">
        <v>26</v>
      </c>
      <c r="D1844">
        <v>0.82605173539435284</v>
      </c>
      <c r="E1844">
        <v>1.5200000000000102E-2</v>
      </c>
      <c r="F1844">
        <f t="shared" si="56"/>
        <v>1.2555986377994247E-2</v>
      </c>
      <c r="M1844" s="31"/>
    </row>
    <row r="1845" spans="1:13" x14ac:dyDescent="0.3">
      <c r="A1845">
        <v>1996</v>
      </c>
      <c r="B1845">
        <v>6</v>
      </c>
      <c r="C1845">
        <v>24</v>
      </c>
      <c r="D1845">
        <v>0.80945351860311776</v>
      </c>
      <c r="E1845">
        <v>1.5200000000000102E-2</v>
      </c>
      <c r="F1845">
        <f t="shared" si="56"/>
        <v>1.2303693482767473E-2</v>
      </c>
      <c r="M1845" s="31"/>
    </row>
    <row r="1846" spans="1:13" x14ac:dyDescent="0.3">
      <c r="A1846">
        <v>1996</v>
      </c>
      <c r="B1846">
        <v>6</v>
      </c>
      <c r="C1846">
        <v>22</v>
      </c>
      <c r="D1846">
        <v>0.78856509929325136</v>
      </c>
      <c r="E1846">
        <v>1.5200000000000102E-2</v>
      </c>
      <c r="F1846">
        <f t="shared" si="56"/>
        <v>1.1986189509257502E-2</v>
      </c>
      <c r="M1846" s="31"/>
    </row>
    <row r="1847" spans="1:13" x14ac:dyDescent="0.3">
      <c r="A1847">
        <v>1996</v>
      </c>
      <c r="B1847">
        <v>6</v>
      </c>
      <c r="C1847">
        <v>20</v>
      </c>
      <c r="D1847">
        <v>0.76783402471874262</v>
      </c>
      <c r="E1847">
        <v>1.5200000000000102E-2</v>
      </c>
      <c r="F1847">
        <f t="shared" si="56"/>
        <v>1.1671077175724966E-2</v>
      </c>
      <c r="M1847" s="31"/>
    </row>
    <row r="1848" spans="1:13" x14ac:dyDescent="0.3">
      <c r="A1848">
        <v>1996</v>
      </c>
      <c r="B1848">
        <v>6</v>
      </c>
      <c r="C1848">
        <v>19</v>
      </c>
      <c r="D1848">
        <v>0.74851766665703212</v>
      </c>
      <c r="E1848">
        <v>1.5200000000000102E-2</v>
      </c>
      <c r="F1848">
        <f t="shared" si="56"/>
        <v>1.1377468533186965E-2</v>
      </c>
      <c r="M1848" s="31"/>
    </row>
    <row r="1849" spans="1:13" x14ac:dyDescent="0.3">
      <c r="A1849">
        <v>1996</v>
      </c>
      <c r="B1849">
        <v>6</v>
      </c>
      <c r="C1849">
        <v>17</v>
      </c>
      <c r="D1849">
        <v>0.7326730784850507</v>
      </c>
      <c r="E1849">
        <v>1.5200000000000102E-2</v>
      </c>
      <c r="F1849">
        <f t="shared" si="56"/>
        <v>1.1136630792972845E-2</v>
      </c>
      <c r="M1849" s="31"/>
    </row>
    <row r="1850" spans="1:13" x14ac:dyDescent="0.3">
      <c r="A1850">
        <v>1996</v>
      </c>
      <c r="B1850">
        <v>6</v>
      </c>
      <c r="C1850">
        <v>15</v>
      </c>
      <c r="D1850">
        <v>0.72107201035410085</v>
      </c>
      <c r="E1850">
        <v>1.5200000000000102E-2</v>
      </c>
      <c r="F1850">
        <f t="shared" si="56"/>
        <v>1.0960294557382406E-2</v>
      </c>
      <c r="M1850" s="31"/>
    </row>
    <row r="1851" spans="1:13" x14ac:dyDescent="0.3">
      <c r="A1851">
        <v>1996</v>
      </c>
      <c r="B1851">
        <v>6</v>
      </c>
      <c r="C1851">
        <v>13</v>
      </c>
      <c r="D1851">
        <v>0.71489911237809411</v>
      </c>
      <c r="E1851">
        <v>1.5200000000000102E-2</v>
      </c>
      <c r="F1851">
        <f t="shared" si="56"/>
        <v>1.0866466508147104E-2</v>
      </c>
      <c r="M1851" s="31"/>
    </row>
    <row r="1852" spans="1:13" x14ac:dyDescent="0.3">
      <c r="A1852">
        <v>1996</v>
      </c>
      <c r="B1852">
        <v>6</v>
      </c>
      <c r="C1852">
        <v>11</v>
      </c>
      <c r="D1852">
        <v>0.71480025489153631</v>
      </c>
      <c r="E1852">
        <v>1.5200000000000102E-2</v>
      </c>
      <c r="F1852">
        <f t="shared" si="56"/>
        <v>1.0864963874351425E-2</v>
      </c>
      <c r="M1852" s="31"/>
    </row>
    <row r="1853" spans="1:13" x14ac:dyDescent="0.3">
      <c r="A1853">
        <v>1996</v>
      </c>
      <c r="B1853">
        <v>6</v>
      </c>
      <c r="C1853">
        <v>9</v>
      </c>
      <c r="D1853">
        <v>0.71966156776220747</v>
      </c>
      <c r="E1853">
        <v>1.5200000000000102E-2</v>
      </c>
      <c r="F1853">
        <f t="shared" si="56"/>
        <v>1.0938855829985628E-2</v>
      </c>
      <c r="M1853" s="31"/>
    </row>
    <row r="1854" spans="1:13" x14ac:dyDescent="0.3">
      <c r="A1854">
        <v>1996</v>
      </c>
      <c r="B1854">
        <v>6</v>
      </c>
      <c r="C1854">
        <v>8</v>
      </c>
      <c r="D1854">
        <v>0.72839357432328977</v>
      </c>
      <c r="E1854">
        <v>1.5200000000000102E-2</v>
      </c>
      <c r="F1854">
        <f t="shared" si="56"/>
        <v>1.1071582329714079E-2</v>
      </c>
      <c r="M1854" s="31"/>
    </row>
    <row r="1855" spans="1:13" x14ac:dyDescent="0.3">
      <c r="A1855">
        <v>1996</v>
      </c>
      <c r="B1855">
        <v>6</v>
      </c>
      <c r="C1855">
        <v>6</v>
      </c>
      <c r="D1855">
        <v>0.73838904466840971</v>
      </c>
      <c r="E1855">
        <v>1.5200000000000102E-2</v>
      </c>
      <c r="F1855">
        <f t="shared" si="56"/>
        <v>1.1223513478959904E-2</v>
      </c>
      <c r="M1855" s="31"/>
    </row>
    <row r="1856" spans="1:13" x14ac:dyDescent="0.3">
      <c r="A1856">
        <v>1996</v>
      </c>
      <c r="B1856">
        <v>6</v>
      </c>
      <c r="C1856">
        <v>4</v>
      </c>
      <c r="D1856">
        <v>0.74854620064614108</v>
      </c>
      <c r="E1856">
        <v>1.5200000000000102E-2</v>
      </c>
      <c r="F1856">
        <f t="shared" si="56"/>
        <v>1.1377902249821421E-2</v>
      </c>
      <c r="M1856" s="31"/>
    </row>
    <row r="1857" spans="1:13" x14ac:dyDescent="0.3">
      <c r="A1857">
        <v>1996</v>
      </c>
      <c r="B1857">
        <v>6</v>
      </c>
      <c r="C1857">
        <v>2</v>
      </c>
      <c r="D1857">
        <v>0.7558008241636418</v>
      </c>
      <c r="E1857">
        <v>1.5200000000000102E-2</v>
      </c>
      <c r="F1857">
        <f t="shared" si="56"/>
        <v>1.1488172527287432E-2</v>
      </c>
      <c r="M1857" s="31"/>
    </row>
    <row r="1858" spans="1:13" x14ac:dyDescent="0.3">
      <c r="A1858">
        <v>1996</v>
      </c>
      <c r="B1858">
        <v>5</v>
      </c>
      <c r="C1858">
        <v>31</v>
      </c>
      <c r="D1858">
        <v>0.75721075219389467</v>
      </c>
      <c r="E1858">
        <v>1.5200000000000102E-2</v>
      </c>
      <c r="F1858">
        <f t="shared" si="56"/>
        <v>1.1509603433347277E-2</v>
      </c>
      <c r="M1858" s="31"/>
    </row>
    <row r="1859" spans="1:13" x14ac:dyDescent="0.3">
      <c r="A1859">
        <v>1996</v>
      </c>
      <c r="B1859">
        <v>5</v>
      </c>
      <c r="C1859">
        <v>30</v>
      </c>
      <c r="D1859">
        <v>0.75527991152826246</v>
      </c>
      <c r="E1859">
        <v>1.5200000000000102E-2</v>
      </c>
      <c r="F1859">
        <f t="shared" ref="F1859:F1922" si="57">D1859*E1859</f>
        <v>1.1480254655229666E-2</v>
      </c>
      <c r="M1859" s="31"/>
    </row>
    <row r="1860" spans="1:13" x14ac:dyDescent="0.3">
      <c r="A1860">
        <v>1996</v>
      </c>
      <c r="B1860">
        <v>5</v>
      </c>
      <c r="C1860">
        <v>28</v>
      </c>
      <c r="D1860">
        <v>0.75279696346699609</v>
      </c>
      <c r="E1860">
        <v>1.5200000000000102E-2</v>
      </c>
      <c r="F1860">
        <f t="shared" si="57"/>
        <v>1.1442513844698418E-2</v>
      </c>
      <c r="M1860" s="31"/>
    </row>
    <row r="1861" spans="1:13" x14ac:dyDescent="0.3">
      <c r="A1861">
        <v>1996</v>
      </c>
      <c r="B1861">
        <v>5</v>
      </c>
      <c r="C1861">
        <v>26</v>
      </c>
      <c r="D1861">
        <v>0.74823850613249399</v>
      </c>
      <c r="E1861">
        <v>1.5200000000000102E-2</v>
      </c>
      <c r="F1861">
        <f t="shared" si="57"/>
        <v>1.1373225293213985E-2</v>
      </c>
      <c r="M1861" s="31"/>
    </row>
    <row r="1862" spans="1:13" x14ac:dyDescent="0.3">
      <c r="A1862">
        <v>1996</v>
      </c>
      <c r="B1862">
        <v>5</v>
      </c>
      <c r="C1862">
        <v>24</v>
      </c>
      <c r="D1862">
        <v>0.74244687265121401</v>
      </c>
      <c r="E1862">
        <v>1.5200000000000102E-2</v>
      </c>
      <c r="F1862">
        <f t="shared" si="57"/>
        <v>1.128519246429853E-2</v>
      </c>
      <c r="M1862" s="31"/>
    </row>
    <row r="1863" spans="1:13" x14ac:dyDescent="0.3">
      <c r="A1863">
        <v>1996</v>
      </c>
      <c r="B1863">
        <v>5</v>
      </c>
      <c r="C1863">
        <v>22</v>
      </c>
      <c r="D1863">
        <v>0.73694875779518876</v>
      </c>
      <c r="E1863">
        <v>1.5200000000000102E-2</v>
      </c>
      <c r="F1863">
        <f t="shared" si="57"/>
        <v>1.1201621118486944E-2</v>
      </c>
      <c r="M1863" s="31"/>
    </row>
    <row r="1864" spans="1:13" x14ac:dyDescent="0.3">
      <c r="A1864">
        <v>1996</v>
      </c>
      <c r="B1864">
        <v>5</v>
      </c>
      <c r="C1864">
        <v>20</v>
      </c>
      <c r="D1864">
        <v>0.72775320082373463</v>
      </c>
      <c r="E1864">
        <v>1.5200000000000102E-2</v>
      </c>
      <c r="F1864">
        <f t="shared" si="57"/>
        <v>1.106184865252084E-2</v>
      </c>
      <c r="M1864" s="31"/>
    </row>
    <row r="1865" spans="1:13" x14ac:dyDescent="0.3">
      <c r="A1865">
        <v>1996</v>
      </c>
      <c r="B1865">
        <v>5</v>
      </c>
      <c r="C1865">
        <v>19</v>
      </c>
      <c r="D1865">
        <v>0.71476335305484817</v>
      </c>
      <c r="E1865">
        <v>1.5200000000000102E-2</v>
      </c>
      <c r="F1865">
        <f t="shared" si="57"/>
        <v>1.0864402966433765E-2</v>
      </c>
      <c r="M1865" s="31"/>
    </row>
    <row r="1866" spans="1:13" x14ac:dyDescent="0.3">
      <c r="A1866">
        <v>1996</v>
      </c>
      <c r="B1866">
        <v>5</v>
      </c>
      <c r="C1866">
        <v>17</v>
      </c>
      <c r="D1866">
        <v>0.69790093501662787</v>
      </c>
      <c r="E1866">
        <v>1.5200000000000102E-2</v>
      </c>
      <c r="F1866">
        <f t="shared" si="57"/>
        <v>1.0608094212252814E-2</v>
      </c>
      <c r="M1866" s="31"/>
    </row>
    <row r="1867" spans="1:13" x14ac:dyDescent="0.3">
      <c r="A1867">
        <v>1996</v>
      </c>
      <c r="B1867">
        <v>5</v>
      </c>
      <c r="C1867">
        <v>15</v>
      </c>
      <c r="D1867">
        <v>0.67589468127738095</v>
      </c>
      <c r="E1867">
        <v>1.5200000000000102E-2</v>
      </c>
      <c r="F1867">
        <f t="shared" si="57"/>
        <v>1.0273599155416259E-2</v>
      </c>
      <c r="M1867" s="31"/>
    </row>
    <row r="1868" spans="1:13" x14ac:dyDescent="0.3">
      <c r="A1868">
        <v>1996</v>
      </c>
      <c r="B1868">
        <v>5</v>
      </c>
      <c r="C1868">
        <v>13</v>
      </c>
      <c r="D1868">
        <v>0.65141507668844822</v>
      </c>
      <c r="E1868">
        <v>1.5200000000000102E-2</v>
      </c>
      <c r="F1868">
        <f t="shared" si="57"/>
        <v>9.9015091656644797E-3</v>
      </c>
      <c r="M1868" s="31"/>
    </row>
    <row r="1869" spans="1:13" x14ac:dyDescent="0.3">
      <c r="A1869">
        <v>1996</v>
      </c>
      <c r="B1869">
        <v>5</v>
      </c>
      <c r="C1869">
        <v>11</v>
      </c>
      <c r="D1869">
        <v>0.62718451853505253</v>
      </c>
      <c r="E1869">
        <v>1.5200000000000102E-2</v>
      </c>
      <c r="F1869">
        <f t="shared" si="57"/>
        <v>9.5332046817328629E-3</v>
      </c>
      <c r="M1869" s="31"/>
    </row>
    <row r="1870" spans="1:13" x14ac:dyDescent="0.3">
      <c r="A1870">
        <v>1996</v>
      </c>
      <c r="B1870">
        <v>5</v>
      </c>
      <c r="C1870">
        <v>10</v>
      </c>
      <c r="D1870">
        <v>0.60268373057592739</v>
      </c>
      <c r="E1870">
        <v>1.5200000000000102E-2</v>
      </c>
      <c r="F1870">
        <f t="shared" si="57"/>
        <v>9.1607927047541587E-3</v>
      </c>
      <c r="M1870" s="31"/>
    </row>
    <row r="1871" spans="1:13" x14ac:dyDescent="0.3">
      <c r="A1871">
        <v>1996</v>
      </c>
      <c r="B1871">
        <v>5</v>
      </c>
      <c r="C1871">
        <v>8</v>
      </c>
      <c r="D1871">
        <v>0.5793571421216841</v>
      </c>
      <c r="E1871">
        <v>1.5200000000000102E-2</v>
      </c>
      <c r="F1871">
        <f t="shared" si="57"/>
        <v>8.8062285602496584E-3</v>
      </c>
      <c r="M1871" s="31"/>
    </row>
    <row r="1872" spans="1:13" x14ac:dyDescent="0.3">
      <c r="A1872">
        <v>1996</v>
      </c>
      <c r="B1872">
        <v>5</v>
      </c>
      <c r="C1872">
        <v>6</v>
      </c>
      <c r="D1872">
        <v>0.56051581233596892</v>
      </c>
      <c r="E1872">
        <v>1.5200000000000102E-2</v>
      </c>
      <c r="F1872">
        <f t="shared" si="57"/>
        <v>8.5198403475067845E-3</v>
      </c>
      <c r="M1872" s="31"/>
    </row>
    <row r="1873" spans="1:13" x14ac:dyDescent="0.3">
      <c r="A1873">
        <v>1996</v>
      </c>
      <c r="B1873">
        <v>5</v>
      </c>
      <c r="C1873">
        <v>4</v>
      </c>
      <c r="D1873">
        <v>0.54605167552266076</v>
      </c>
      <c r="E1873">
        <v>1.5200000000000102E-2</v>
      </c>
      <c r="F1873">
        <f t="shared" si="57"/>
        <v>8.2999854679445002E-3</v>
      </c>
      <c r="M1873" s="31"/>
    </row>
    <row r="1874" spans="1:13" x14ac:dyDescent="0.3">
      <c r="A1874">
        <v>1996</v>
      </c>
      <c r="B1874">
        <v>5</v>
      </c>
      <c r="C1874">
        <v>2</v>
      </c>
      <c r="D1874">
        <v>0.53702019615567798</v>
      </c>
      <c r="E1874">
        <v>1.5200000000000102E-2</v>
      </c>
      <c r="F1874">
        <f t="shared" si="57"/>
        <v>8.1627069815663599E-3</v>
      </c>
      <c r="M1874" s="31"/>
    </row>
    <row r="1875" spans="1:13" x14ac:dyDescent="0.3">
      <c r="A1875">
        <v>1996</v>
      </c>
      <c r="B1875">
        <v>4</v>
      </c>
      <c r="C1875">
        <v>30</v>
      </c>
      <c r="D1875">
        <v>0.5322077926652008</v>
      </c>
      <c r="E1875">
        <v>1.5200000000000102E-2</v>
      </c>
      <c r="F1875">
        <f t="shared" si="57"/>
        <v>8.0895584485111069E-3</v>
      </c>
      <c r="M1875" s="31"/>
    </row>
    <row r="1876" spans="1:13" x14ac:dyDescent="0.3">
      <c r="A1876">
        <v>1996</v>
      </c>
      <c r="B1876">
        <v>4</v>
      </c>
      <c r="C1876">
        <v>29</v>
      </c>
      <c r="D1876">
        <v>0.53107420170274688</v>
      </c>
      <c r="E1876">
        <v>1.5200000000000102E-2</v>
      </c>
      <c r="F1876">
        <f t="shared" si="57"/>
        <v>8.0723278658818062E-3</v>
      </c>
      <c r="M1876" s="31"/>
    </row>
    <row r="1877" spans="1:13" x14ac:dyDescent="0.3">
      <c r="A1877">
        <v>1996</v>
      </c>
      <c r="B1877">
        <v>4</v>
      </c>
      <c r="C1877">
        <v>27</v>
      </c>
      <c r="D1877">
        <v>0.53259662329910284</v>
      </c>
      <c r="E1877">
        <v>1.5200000000000102E-2</v>
      </c>
      <c r="F1877">
        <f t="shared" si="57"/>
        <v>8.0954686741464173E-3</v>
      </c>
      <c r="M1877" s="31"/>
    </row>
    <row r="1878" spans="1:13" x14ac:dyDescent="0.3">
      <c r="A1878">
        <v>1996</v>
      </c>
      <c r="B1878">
        <v>4</v>
      </c>
      <c r="C1878">
        <v>25</v>
      </c>
      <c r="D1878">
        <v>0.53500359863410951</v>
      </c>
      <c r="E1878">
        <v>1.5200000000000102E-2</v>
      </c>
      <c r="F1878">
        <f t="shared" si="57"/>
        <v>8.1320546992385192E-3</v>
      </c>
      <c r="M1878" s="31"/>
    </row>
    <row r="1879" spans="1:13" x14ac:dyDescent="0.3">
      <c r="A1879">
        <v>1996</v>
      </c>
      <c r="B1879">
        <v>4</v>
      </c>
      <c r="C1879">
        <v>23</v>
      </c>
      <c r="D1879">
        <v>0.53855052779365253</v>
      </c>
      <c r="E1879">
        <v>1.5200000000000102E-2</v>
      </c>
      <c r="F1879">
        <f t="shared" si="57"/>
        <v>8.1859680224635745E-3</v>
      </c>
      <c r="M1879" s="31"/>
    </row>
    <row r="1880" spans="1:13" x14ac:dyDescent="0.3">
      <c r="A1880">
        <v>1996</v>
      </c>
      <c r="B1880">
        <v>4</v>
      </c>
      <c r="C1880">
        <v>21</v>
      </c>
      <c r="D1880">
        <v>0.54476383463070999</v>
      </c>
      <c r="E1880">
        <v>1.5200000000000102E-2</v>
      </c>
      <c r="F1880">
        <f t="shared" si="57"/>
        <v>8.2804102863868467E-3</v>
      </c>
      <c r="M1880" s="31"/>
    </row>
    <row r="1881" spans="1:13" x14ac:dyDescent="0.3">
      <c r="A1881">
        <v>1996</v>
      </c>
      <c r="B1881">
        <v>4</v>
      </c>
      <c r="C1881">
        <v>19</v>
      </c>
      <c r="D1881">
        <v>0.55338920133632818</v>
      </c>
      <c r="E1881">
        <v>1.5200000000000102E-2</v>
      </c>
      <c r="F1881">
        <f t="shared" si="57"/>
        <v>8.4115158603122447E-3</v>
      </c>
      <c r="M1881" s="31"/>
    </row>
    <row r="1882" spans="1:13" x14ac:dyDescent="0.3">
      <c r="A1882">
        <v>1996</v>
      </c>
      <c r="B1882">
        <v>4</v>
      </c>
      <c r="C1882">
        <v>18</v>
      </c>
      <c r="D1882">
        <v>0.56089598065146951</v>
      </c>
      <c r="E1882">
        <v>1.5200000000000102E-2</v>
      </c>
      <c r="F1882">
        <f t="shared" si="57"/>
        <v>8.5256189059023935E-3</v>
      </c>
      <c r="M1882" s="31"/>
    </row>
    <row r="1883" spans="1:13" x14ac:dyDescent="0.3">
      <c r="A1883">
        <v>1996</v>
      </c>
      <c r="B1883">
        <v>4</v>
      </c>
      <c r="C1883">
        <v>16</v>
      </c>
      <c r="D1883">
        <v>0.56599143198524371</v>
      </c>
      <c r="E1883">
        <v>1.5200000000000102E-2</v>
      </c>
      <c r="F1883">
        <f t="shared" si="57"/>
        <v>8.6030697661757631E-3</v>
      </c>
      <c r="M1883" s="31"/>
    </row>
    <row r="1884" spans="1:13" x14ac:dyDescent="0.3">
      <c r="A1884">
        <v>1996</v>
      </c>
      <c r="B1884">
        <v>4</v>
      </c>
      <c r="C1884">
        <v>14</v>
      </c>
      <c r="D1884">
        <v>0.56596697677300789</v>
      </c>
      <c r="E1884">
        <v>1.5200000000000102E-2</v>
      </c>
      <c r="F1884">
        <f t="shared" si="57"/>
        <v>8.602698046949778E-3</v>
      </c>
      <c r="M1884" s="31"/>
    </row>
    <row r="1885" spans="1:13" x14ac:dyDescent="0.3">
      <c r="A1885">
        <v>1996</v>
      </c>
      <c r="B1885">
        <v>4</v>
      </c>
      <c r="C1885">
        <v>12</v>
      </c>
      <c r="D1885">
        <v>0.56133452340557577</v>
      </c>
      <c r="E1885">
        <v>1.5200000000000102E-2</v>
      </c>
      <c r="F1885">
        <f t="shared" si="57"/>
        <v>8.5322847557648095E-3</v>
      </c>
      <c r="M1885" s="31"/>
    </row>
    <row r="1886" spans="1:13" x14ac:dyDescent="0.3">
      <c r="A1886">
        <v>1996</v>
      </c>
      <c r="B1886">
        <v>4</v>
      </c>
      <c r="C1886">
        <v>10</v>
      </c>
      <c r="D1886">
        <v>0.55085012616592643</v>
      </c>
      <c r="E1886">
        <v>1.5200000000000102E-2</v>
      </c>
      <c r="F1886">
        <f t="shared" si="57"/>
        <v>8.372921917722138E-3</v>
      </c>
      <c r="M1886" s="31"/>
    </row>
    <row r="1887" spans="1:13" x14ac:dyDescent="0.3">
      <c r="A1887">
        <v>1996</v>
      </c>
      <c r="B1887">
        <v>4</v>
      </c>
      <c r="C1887">
        <v>9</v>
      </c>
      <c r="D1887">
        <v>0.5394016211054522</v>
      </c>
      <c r="E1887">
        <v>1.5200000000000102E-2</v>
      </c>
      <c r="F1887">
        <f t="shared" si="57"/>
        <v>8.198904640802928E-3</v>
      </c>
      <c r="M1887" s="31"/>
    </row>
    <row r="1888" spans="1:13" x14ac:dyDescent="0.3">
      <c r="A1888">
        <v>1996</v>
      </c>
      <c r="B1888">
        <v>4</v>
      </c>
      <c r="C1888">
        <v>7</v>
      </c>
      <c r="D1888">
        <v>0.52965139131848682</v>
      </c>
      <c r="E1888">
        <v>1.5200000000000102E-2</v>
      </c>
      <c r="F1888">
        <f t="shared" si="57"/>
        <v>8.0507011480410538E-3</v>
      </c>
      <c r="M1888" s="31"/>
    </row>
    <row r="1889" spans="1:13" x14ac:dyDescent="0.3">
      <c r="A1889">
        <v>1996</v>
      </c>
      <c r="B1889">
        <v>4</v>
      </c>
      <c r="C1889">
        <v>5</v>
      </c>
      <c r="D1889">
        <v>0.52358703919572092</v>
      </c>
      <c r="E1889">
        <v>1.5200000000000102E-2</v>
      </c>
      <c r="F1889">
        <f t="shared" si="57"/>
        <v>7.9585229957750119E-3</v>
      </c>
      <c r="M1889" s="31"/>
    </row>
    <row r="1890" spans="1:13" x14ac:dyDescent="0.3">
      <c r="A1890">
        <v>1996</v>
      </c>
      <c r="B1890">
        <v>4</v>
      </c>
      <c r="C1890">
        <v>3</v>
      </c>
      <c r="D1890">
        <v>0.51854341950246563</v>
      </c>
      <c r="E1890">
        <v>1.5200000000000102E-2</v>
      </c>
      <c r="F1890">
        <f t="shared" si="57"/>
        <v>7.8818599764375313E-3</v>
      </c>
      <c r="M1890" s="31"/>
    </row>
    <row r="1891" spans="1:13" x14ac:dyDescent="0.3">
      <c r="A1891">
        <v>1996</v>
      </c>
      <c r="B1891">
        <v>4</v>
      </c>
      <c r="C1891">
        <v>1</v>
      </c>
      <c r="D1891">
        <v>0.51789425786004062</v>
      </c>
      <c r="E1891">
        <v>1.5200000000000102E-2</v>
      </c>
      <c r="F1891">
        <f t="shared" si="57"/>
        <v>7.8719927194726702E-3</v>
      </c>
      <c r="M1891" s="31"/>
    </row>
    <row r="1892" spans="1:13" x14ac:dyDescent="0.3">
      <c r="A1892">
        <v>1996</v>
      </c>
      <c r="B1892">
        <v>3</v>
      </c>
      <c r="C1892">
        <v>30</v>
      </c>
      <c r="D1892">
        <v>0.51749619667096192</v>
      </c>
      <c r="E1892">
        <v>1.5200000000000102E-2</v>
      </c>
      <c r="F1892">
        <f t="shared" si="57"/>
        <v>7.8659421893986746E-3</v>
      </c>
      <c r="M1892" s="31"/>
    </row>
    <row r="1893" spans="1:13" x14ac:dyDescent="0.3">
      <c r="A1893">
        <v>1996</v>
      </c>
      <c r="B1893">
        <v>3</v>
      </c>
      <c r="C1893">
        <v>29</v>
      </c>
      <c r="D1893">
        <v>0.51672204344150308</v>
      </c>
      <c r="E1893">
        <v>1.5200000000000102E-2</v>
      </c>
      <c r="F1893">
        <f t="shared" si="57"/>
        <v>7.8541750603109001E-3</v>
      </c>
      <c r="M1893" s="31"/>
    </row>
    <row r="1894" spans="1:13" x14ac:dyDescent="0.3">
      <c r="A1894">
        <v>1996</v>
      </c>
      <c r="B1894">
        <v>3</v>
      </c>
      <c r="C1894">
        <v>27</v>
      </c>
      <c r="D1894">
        <v>0.51394607515980795</v>
      </c>
      <c r="E1894">
        <v>1.5200000000000102E-2</v>
      </c>
      <c r="F1894">
        <f t="shared" si="57"/>
        <v>7.8119803424291333E-3</v>
      </c>
      <c r="M1894" s="31"/>
    </row>
    <row r="1895" spans="1:13" x14ac:dyDescent="0.3">
      <c r="A1895">
        <v>1996</v>
      </c>
      <c r="B1895">
        <v>3</v>
      </c>
      <c r="C1895">
        <v>25</v>
      </c>
      <c r="D1895">
        <v>0.51017447222124412</v>
      </c>
      <c r="E1895">
        <v>1.5200000000000102E-2</v>
      </c>
      <c r="F1895">
        <f t="shared" si="57"/>
        <v>7.754651977762963E-3</v>
      </c>
      <c r="M1895" s="31"/>
    </row>
    <row r="1896" spans="1:13" x14ac:dyDescent="0.3">
      <c r="A1896">
        <v>1996</v>
      </c>
      <c r="B1896">
        <v>3</v>
      </c>
      <c r="C1896">
        <v>23</v>
      </c>
      <c r="D1896">
        <v>0.50491502573482205</v>
      </c>
      <c r="E1896">
        <v>1.5200000000000102E-2</v>
      </c>
      <c r="F1896">
        <f t="shared" si="57"/>
        <v>7.6747083911693466E-3</v>
      </c>
      <c r="M1896" s="31"/>
    </row>
    <row r="1897" spans="1:13" x14ac:dyDescent="0.3">
      <c r="A1897">
        <v>1996</v>
      </c>
      <c r="B1897">
        <v>3</v>
      </c>
      <c r="C1897">
        <v>21</v>
      </c>
      <c r="D1897">
        <v>0.49904834433269823</v>
      </c>
      <c r="E1897">
        <v>1.5200000000000102E-2</v>
      </c>
      <c r="F1897">
        <f t="shared" si="57"/>
        <v>7.5855348338570638E-3</v>
      </c>
      <c r="M1897" s="31"/>
    </row>
    <row r="1898" spans="1:13" x14ac:dyDescent="0.3">
      <c r="A1898">
        <v>1996</v>
      </c>
      <c r="B1898">
        <v>3</v>
      </c>
      <c r="C1898">
        <v>20</v>
      </c>
      <c r="D1898">
        <v>0.49394205088809495</v>
      </c>
      <c r="E1898">
        <v>1.5200000000000102E-2</v>
      </c>
      <c r="F1898">
        <f t="shared" si="57"/>
        <v>7.5079191734990936E-3</v>
      </c>
      <c r="M1898" s="31"/>
    </row>
    <row r="1899" spans="1:13" x14ac:dyDescent="0.3">
      <c r="A1899">
        <v>1996</v>
      </c>
      <c r="B1899">
        <v>3</v>
      </c>
      <c r="C1899">
        <v>18</v>
      </c>
      <c r="D1899">
        <v>0.48674965525275371</v>
      </c>
      <c r="E1899">
        <v>1.5200000000000102E-2</v>
      </c>
      <c r="F1899">
        <f t="shared" si="57"/>
        <v>7.3985947598419061E-3</v>
      </c>
      <c r="M1899" s="31"/>
    </row>
    <row r="1900" spans="1:13" x14ac:dyDescent="0.3">
      <c r="A1900">
        <v>1996</v>
      </c>
      <c r="B1900">
        <v>3</v>
      </c>
      <c r="C1900">
        <v>16</v>
      </c>
      <c r="D1900">
        <v>0.47958400837084963</v>
      </c>
      <c r="E1900">
        <v>1.5200000000000102E-2</v>
      </c>
      <c r="F1900">
        <f t="shared" si="57"/>
        <v>7.2896769272369636E-3</v>
      </c>
      <c r="M1900" s="31"/>
    </row>
    <row r="1901" spans="1:13" x14ac:dyDescent="0.3">
      <c r="A1901">
        <v>1996</v>
      </c>
      <c r="B1901">
        <v>3</v>
      </c>
      <c r="C1901">
        <v>14</v>
      </c>
      <c r="D1901">
        <v>0.47060798874997617</v>
      </c>
      <c r="E1901">
        <v>1.5200000000000102E-2</v>
      </c>
      <c r="F1901">
        <f t="shared" si="57"/>
        <v>7.1532414289996859E-3</v>
      </c>
      <c r="M1901" s="31"/>
    </row>
    <row r="1902" spans="1:13" x14ac:dyDescent="0.3">
      <c r="A1902">
        <v>1996</v>
      </c>
      <c r="B1902">
        <v>3</v>
      </c>
      <c r="C1902">
        <v>12</v>
      </c>
      <c r="D1902">
        <v>0.46082160915394854</v>
      </c>
      <c r="E1902">
        <v>1.5200000000000102E-2</v>
      </c>
      <c r="F1902">
        <f t="shared" si="57"/>
        <v>7.0044884591400651E-3</v>
      </c>
      <c r="M1902" s="31"/>
    </row>
    <row r="1903" spans="1:13" x14ac:dyDescent="0.3">
      <c r="A1903">
        <v>1996</v>
      </c>
      <c r="B1903">
        <v>3</v>
      </c>
      <c r="C1903">
        <v>10</v>
      </c>
      <c r="D1903">
        <v>0.44987581551909472</v>
      </c>
      <c r="E1903">
        <v>1.5200000000000102E-2</v>
      </c>
      <c r="F1903">
        <f t="shared" si="57"/>
        <v>6.8381123958902862E-3</v>
      </c>
      <c r="M1903" s="31"/>
    </row>
    <row r="1904" spans="1:13" x14ac:dyDescent="0.3">
      <c r="A1904">
        <v>1996</v>
      </c>
      <c r="B1904">
        <v>3</v>
      </c>
      <c r="C1904">
        <v>9</v>
      </c>
      <c r="D1904">
        <v>0.44224709007241902</v>
      </c>
      <c r="E1904">
        <v>1.5200000000000102E-2</v>
      </c>
      <c r="F1904">
        <f t="shared" si="57"/>
        <v>6.7221557691008148E-3</v>
      </c>
      <c r="M1904" s="31"/>
    </row>
    <row r="1905" spans="1:13" x14ac:dyDescent="0.3">
      <c r="A1905">
        <v>1996</v>
      </c>
      <c r="B1905">
        <v>3</v>
      </c>
      <c r="C1905">
        <v>7</v>
      </c>
      <c r="D1905">
        <v>0.43597170124975188</v>
      </c>
      <c r="E1905">
        <v>1.5200000000000102E-2</v>
      </c>
      <c r="F1905">
        <f t="shared" si="57"/>
        <v>6.6267698589962728E-3</v>
      </c>
      <c r="M1905" s="31"/>
    </row>
    <row r="1906" spans="1:13" x14ac:dyDescent="0.3">
      <c r="A1906">
        <v>1996</v>
      </c>
      <c r="B1906">
        <v>3</v>
      </c>
      <c r="C1906">
        <v>5</v>
      </c>
      <c r="D1906">
        <v>0.43103577310114577</v>
      </c>
      <c r="E1906">
        <v>1.5200000000000102E-2</v>
      </c>
      <c r="F1906">
        <f t="shared" si="57"/>
        <v>6.55174375113746E-3</v>
      </c>
      <c r="M1906" s="31"/>
    </row>
    <row r="1907" spans="1:13" x14ac:dyDescent="0.3">
      <c r="A1907">
        <v>1996</v>
      </c>
      <c r="B1907">
        <v>3</v>
      </c>
      <c r="C1907">
        <v>3</v>
      </c>
      <c r="D1907">
        <v>0.42623353173770107</v>
      </c>
      <c r="E1907">
        <v>1.5200000000000102E-2</v>
      </c>
      <c r="F1907">
        <f t="shared" si="57"/>
        <v>6.4787496824130998E-3</v>
      </c>
      <c r="M1907" s="31"/>
    </row>
    <row r="1908" spans="1:13" x14ac:dyDescent="0.3">
      <c r="A1908">
        <v>1996</v>
      </c>
      <c r="B1908">
        <v>3</v>
      </c>
      <c r="C1908">
        <v>1</v>
      </c>
      <c r="D1908">
        <v>0.42168297113682801</v>
      </c>
      <c r="E1908">
        <v>1.5200000000000102E-2</v>
      </c>
      <c r="F1908">
        <f t="shared" si="57"/>
        <v>6.409581161279829E-3</v>
      </c>
      <c r="M1908" s="31"/>
    </row>
    <row r="1909" spans="1:13" x14ac:dyDescent="0.3">
      <c r="A1909">
        <v>1996</v>
      </c>
      <c r="B1909">
        <v>2</v>
      </c>
      <c r="C1909">
        <v>29</v>
      </c>
      <c r="D1909">
        <v>0.41809536064678293</v>
      </c>
      <c r="E1909">
        <v>1.5200000000000102E-2</v>
      </c>
      <c r="F1909">
        <f t="shared" si="57"/>
        <v>6.3550494818311433E-3</v>
      </c>
      <c r="M1909" s="31"/>
    </row>
    <row r="1910" spans="1:13" x14ac:dyDescent="0.3">
      <c r="A1910">
        <v>1996</v>
      </c>
      <c r="B1910">
        <v>2</v>
      </c>
      <c r="C1910">
        <v>16</v>
      </c>
      <c r="D1910">
        <v>0.41831497297470249</v>
      </c>
      <c r="E1910">
        <v>1.5200000000000102E-2</v>
      </c>
      <c r="F1910">
        <f t="shared" si="57"/>
        <v>6.3583875892155211E-3</v>
      </c>
      <c r="M1910" s="31"/>
    </row>
    <row r="1911" spans="1:13" x14ac:dyDescent="0.3">
      <c r="A1911">
        <v>1996</v>
      </c>
      <c r="B1911">
        <v>2</v>
      </c>
      <c r="C1911">
        <v>3</v>
      </c>
      <c r="D1911">
        <v>0.42186651739173187</v>
      </c>
      <c r="E1911">
        <v>1.5200000000000102E-2</v>
      </c>
      <c r="F1911">
        <f t="shared" si="57"/>
        <v>6.4123710643543674E-3</v>
      </c>
      <c r="M1911" s="31"/>
    </row>
    <row r="1912" spans="1:13" x14ac:dyDescent="0.3">
      <c r="A1912">
        <v>1996</v>
      </c>
      <c r="B1912">
        <v>1</v>
      </c>
      <c r="C1912">
        <v>21</v>
      </c>
      <c r="D1912">
        <v>0.43044543933033247</v>
      </c>
      <c r="E1912">
        <v>1.5200000000000102E-2</v>
      </c>
      <c r="F1912">
        <f t="shared" si="57"/>
        <v>6.5427706778210977E-3</v>
      </c>
      <c r="M1912" s="31"/>
    </row>
    <row r="1913" spans="1:13" x14ac:dyDescent="0.3">
      <c r="A1913">
        <v>1996</v>
      </c>
      <c r="B1913">
        <v>1</v>
      </c>
      <c r="C1913">
        <v>8</v>
      </c>
      <c r="D1913">
        <v>0.44472801706159309</v>
      </c>
      <c r="E1913">
        <v>1.5200000000000102E-2</v>
      </c>
      <c r="F1913">
        <f t="shared" si="57"/>
        <v>6.7598658593362605E-3</v>
      </c>
      <c r="M1913" s="31"/>
    </row>
    <row r="1914" spans="1:13" x14ac:dyDescent="0.3">
      <c r="A1914">
        <v>1995</v>
      </c>
      <c r="B1914">
        <v>12</v>
      </c>
      <c r="C1914">
        <v>26</v>
      </c>
      <c r="D1914">
        <v>0.46448104600414952</v>
      </c>
      <c r="E1914">
        <v>1.5200000000000102E-2</v>
      </c>
      <c r="F1914">
        <f t="shared" si="57"/>
        <v>7.0601118992631206E-3</v>
      </c>
      <c r="M1914" s="31"/>
    </row>
    <row r="1915" spans="1:13" x14ac:dyDescent="0.3">
      <c r="A1915">
        <v>1995</v>
      </c>
      <c r="B1915">
        <v>12</v>
      </c>
      <c r="C1915">
        <v>13</v>
      </c>
      <c r="D1915">
        <v>0.48974611395249451</v>
      </c>
      <c r="E1915">
        <v>1.5200000000000102E-2</v>
      </c>
      <c r="F1915">
        <f t="shared" si="57"/>
        <v>7.444140932077967E-3</v>
      </c>
      <c r="M1915" s="31"/>
    </row>
    <row r="1916" spans="1:13" x14ac:dyDescent="0.3">
      <c r="A1916">
        <v>1995</v>
      </c>
      <c r="B1916">
        <v>12</v>
      </c>
      <c r="C1916">
        <v>1</v>
      </c>
      <c r="D1916">
        <v>0.52096968732308957</v>
      </c>
      <c r="E1916">
        <v>1.5200000000000102E-2</v>
      </c>
      <c r="F1916">
        <f t="shared" si="57"/>
        <v>7.9187392473110147E-3</v>
      </c>
      <c r="M1916" s="31"/>
    </row>
    <row r="1917" spans="1:13" x14ac:dyDescent="0.3">
      <c r="A1917">
        <v>1995</v>
      </c>
      <c r="B1917">
        <v>11</v>
      </c>
      <c r="C1917">
        <v>18</v>
      </c>
      <c r="D1917">
        <v>0.5580072841453716</v>
      </c>
      <c r="E1917">
        <v>1.5200000000000102E-2</v>
      </c>
      <c r="F1917">
        <f t="shared" si="57"/>
        <v>8.4817107190097059E-3</v>
      </c>
      <c r="M1917" s="31"/>
    </row>
    <row r="1918" spans="1:13" x14ac:dyDescent="0.3">
      <c r="A1918">
        <v>1995</v>
      </c>
      <c r="B1918">
        <v>11</v>
      </c>
      <c r="C1918">
        <v>5</v>
      </c>
      <c r="D1918">
        <v>0.60370404187884241</v>
      </c>
      <c r="E1918">
        <v>1.5200000000000102E-2</v>
      </c>
      <c r="F1918">
        <f t="shared" si="57"/>
        <v>9.176301436558466E-3</v>
      </c>
      <c r="M1918" s="31"/>
    </row>
    <row r="1919" spans="1:13" x14ac:dyDescent="0.3">
      <c r="A1919">
        <v>1995</v>
      </c>
      <c r="B1919">
        <v>10</v>
      </c>
      <c r="C1919">
        <v>23</v>
      </c>
      <c r="D1919">
        <v>0.65702379475958794</v>
      </c>
      <c r="E1919">
        <v>1.5200000000000102E-2</v>
      </c>
      <c r="F1919">
        <f t="shared" si="57"/>
        <v>9.9867616803458042E-3</v>
      </c>
      <c r="M1919" s="31"/>
    </row>
    <row r="1920" spans="1:13" x14ac:dyDescent="0.3">
      <c r="A1920">
        <v>1995</v>
      </c>
      <c r="B1920">
        <v>10</v>
      </c>
      <c r="C1920">
        <v>10</v>
      </c>
      <c r="D1920">
        <v>0.71101709600272234</v>
      </c>
      <c r="E1920">
        <v>1.5200000000000102E-2</v>
      </c>
      <c r="F1920">
        <f t="shared" si="57"/>
        <v>1.0807459859241452E-2</v>
      </c>
      <c r="M1920" s="31"/>
    </row>
    <row r="1921" spans="1:13" x14ac:dyDescent="0.3">
      <c r="A1921">
        <v>1995</v>
      </c>
      <c r="B1921">
        <v>9</v>
      </c>
      <c r="C1921">
        <v>27</v>
      </c>
      <c r="D1921">
        <v>0.76396472650318448</v>
      </c>
      <c r="E1921">
        <v>1.5200000000000102E-2</v>
      </c>
      <c r="F1921">
        <f t="shared" si="57"/>
        <v>1.1612263842848481E-2</v>
      </c>
      <c r="M1921" s="31"/>
    </row>
    <row r="1922" spans="1:13" x14ac:dyDescent="0.3">
      <c r="A1922">
        <v>1995</v>
      </c>
      <c r="B1922">
        <v>9</v>
      </c>
      <c r="C1922">
        <v>15</v>
      </c>
      <c r="D1922">
        <v>0.81348610914000641</v>
      </c>
      <c r="E1922">
        <v>1.5200000000000102E-2</v>
      </c>
      <c r="F1922">
        <f t="shared" si="57"/>
        <v>1.2364988858928181E-2</v>
      </c>
      <c r="M1922" s="31"/>
    </row>
    <row r="1923" spans="1:13" x14ac:dyDescent="0.3">
      <c r="A1923">
        <v>1995</v>
      </c>
      <c r="B1923">
        <v>9</v>
      </c>
      <c r="C1923">
        <v>2</v>
      </c>
      <c r="D1923">
        <v>0.85496536371367915</v>
      </c>
      <c r="E1923">
        <v>1.5200000000000102E-2</v>
      </c>
      <c r="F1923">
        <f t="shared" ref="F1923:F1986" si="58">D1923*E1923</f>
        <v>1.299547352844801E-2</v>
      </c>
      <c r="M1923" s="31"/>
    </row>
    <row r="1924" spans="1:13" x14ac:dyDescent="0.3">
      <c r="A1924">
        <v>1995</v>
      </c>
      <c r="B1924">
        <v>8</v>
      </c>
      <c r="C1924">
        <v>20</v>
      </c>
      <c r="D1924">
        <v>0.89064373367305028</v>
      </c>
      <c r="E1924">
        <v>1.5200000000000102E-2</v>
      </c>
      <c r="F1924">
        <f t="shared" si="58"/>
        <v>1.3537784751830456E-2</v>
      </c>
      <c r="M1924" s="31"/>
    </row>
    <row r="1925" spans="1:13" x14ac:dyDescent="0.3">
      <c r="A1925">
        <v>1995</v>
      </c>
      <c r="B1925">
        <v>8</v>
      </c>
      <c r="C1925">
        <v>7</v>
      </c>
      <c r="D1925">
        <v>0.91773179650959891</v>
      </c>
      <c r="E1925">
        <v>1.5200000000000102E-2</v>
      </c>
      <c r="F1925">
        <f t="shared" si="58"/>
        <v>1.3949523306945997E-2</v>
      </c>
      <c r="M1925" s="31"/>
    </row>
    <row r="1926" spans="1:13" x14ac:dyDescent="0.3">
      <c r="A1926">
        <v>1995</v>
      </c>
      <c r="B1926">
        <v>7</v>
      </c>
      <c r="C1926">
        <v>25</v>
      </c>
      <c r="D1926">
        <v>0.93458357019930149</v>
      </c>
      <c r="E1926">
        <v>1.5200000000000102E-2</v>
      </c>
      <c r="F1926">
        <f t="shared" si="58"/>
        <v>1.4205670267029478E-2</v>
      </c>
      <c r="M1926" s="31"/>
    </row>
    <row r="1927" spans="1:13" x14ac:dyDescent="0.3">
      <c r="A1927">
        <v>1995</v>
      </c>
      <c r="B1927">
        <v>7</v>
      </c>
      <c r="C1927">
        <v>12</v>
      </c>
      <c r="D1927">
        <v>0.94323435870043826</v>
      </c>
      <c r="E1927">
        <v>1.5200000000000102E-2</v>
      </c>
      <c r="F1927">
        <f t="shared" si="58"/>
        <v>1.4337162252246759E-2</v>
      </c>
      <c r="M1927" s="31"/>
    </row>
    <row r="1928" spans="1:13" x14ac:dyDescent="0.3">
      <c r="A1928">
        <v>1995</v>
      </c>
      <c r="B1928">
        <v>6</v>
      </c>
      <c r="C1928">
        <v>30</v>
      </c>
      <c r="D1928">
        <v>0.94420876244653495</v>
      </c>
      <c r="E1928">
        <v>1.5200000000000102E-2</v>
      </c>
      <c r="F1928">
        <f t="shared" si="58"/>
        <v>1.4351973189187428E-2</v>
      </c>
      <c r="M1928" s="31"/>
    </row>
    <row r="1929" spans="1:13" x14ac:dyDescent="0.3">
      <c r="A1929">
        <v>1995</v>
      </c>
      <c r="B1929">
        <v>6</v>
      </c>
      <c r="C1929">
        <v>27</v>
      </c>
      <c r="D1929">
        <v>0.93373938852506688</v>
      </c>
      <c r="E1929">
        <v>1.5200000000000102E-2</v>
      </c>
      <c r="F1929">
        <f t="shared" si="58"/>
        <v>1.4192838705581112E-2</v>
      </c>
      <c r="M1929" s="31"/>
    </row>
    <row r="1930" spans="1:13" x14ac:dyDescent="0.3">
      <c r="A1930">
        <v>1995</v>
      </c>
      <c r="B1930">
        <v>6</v>
      </c>
      <c r="C1930">
        <v>25</v>
      </c>
      <c r="D1930">
        <v>0.92113607150742904</v>
      </c>
      <c r="E1930">
        <v>1.5200000000000102E-2</v>
      </c>
      <c r="F1930">
        <f t="shared" si="58"/>
        <v>1.4001268286913015E-2</v>
      </c>
      <c r="M1930" s="31"/>
    </row>
    <row r="1931" spans="1:13" x14ac:dyDescent="0.3">
      <c r="A1931">
        <v>1995</v>
      </c>
      <c r="B1931">
        <v>6</v>
      </c>
      <c r="C1931">
        <v>23</v>
      </c>
      <c r="D1931">
        <v>0.9107316982589293</v>
      </c>
      <c r="E1931">
        <v>1.5200000000000102E-2</v>
      </c>
      <c r="F1931">
        <f t="shared" si="58"/>
        <v>1.3843121813535818E-2</v>
      </c>
      <c r="M1931" s="31"/>
    </row>
    <row r="1932" spans="1:13" x14ac:dyDescent="0.3">
      <c r="A1932">
        <v>1995</v>
      </c>
      <c r="B1932">
        <v>6</v>
      </c>
      <c r="C1932">
        <v>20</v>
      </c>
      <c r="D1932">
        <v>0.90007046255692813</v>
      </c>
      <c r="E1932">
        <v>1.5200000000000102E-2</v>
      </c>
      <c r="F1932">
        <f t="shared" si="58"/>
        <v>1.36810710308654E-2</v>
      </c>
      <c r="M1932" s="31"/>
    </row>
    <row r="1933" spans="1:13" x14ac:dyDescent="0.3">
      <c r="A1933">
        <v>1995</v>
      </c>
      <c r="B1933">
        <v>6</v>
      </c>
      <c r="C1933">
        <v>18</v>
      </c>
      <c r="D1933">
        <v>0.89530492975574361</v>
      </c>
      <c r="E1933">
        <v>1.5200000000000102E-2</v>
      </c>
      <c r="F1933">
        <f t="shared" si="58"/>
        <v>1.3608634932287395E-2</v>
      </c>
      <c r="M1933" s="31"/>
    </row>
    <row r="1934" spans="1:13" x14ac:dyDescent="0.3">
      <c r="A1934">
        <v>1995</v>
      </c>
      <c r="B1934">
        <v>6</v>
      </c>
      <c r="C1934">
        <v>16</v>
      </c>
      <c r="D1934">
        <v>0.898846410272647</v>
      </c>
      <c r="E1934">
        <v>1.5200000000000102E-2</v>
      </c>
      <c r="F1934">
        <f t="shared" si="58"/>
        <v>1.3662465436144326E-2</v>
      </c>
      <c r="M1934" s="31"/>
    </row>
    <row r="1935" spans="1:13" x14ac:dyDescent="0.3">
      <c r="A1935">
        <v>1995</v>
      </c>
      <c r="B1935">
        <v>6</v>
      </c>
      <c r="C1935">
        <v>14</v>
      </c>
      <c r="D1935">
        <v>0.90640911536450863</v>
      </c>
      <c r="E1935">
        <v>1.5200000000000102E-2</v>
      </c>
      <c r="F1935">
        <f t="shared" si="58"/>
        <v>1.3777418553540624E-2</v>
      </c>
      <c r="M1935" s="31"/>
    </row>
    <row r="1936" spans="1:13" x14ac:dyDescent="0.3">
      <c r="A1936">
        <v>1995</v>
      </c>
      <c r="B1936">
        <v>6</v>
      </c>
      <c r="C1936">
        <v>11</v>
      </c>
      <c r="D1936">
        <v>0.91528157110850694</v>
      </c>
      <c r="E1936">
        <v>1.5200000000000102E-2</v>
      </c>
      <c r="F1936">
        <f t="shared" si="58"/>
        <v>1.39122798808494E-2</v>
      </c>
      <c r="M1936" s="31"/>
    </row>
    <row r="1937" spans="1:13" x14ac:dyDescent="0.3">
      <c r="A1937">
        <v>1995</v>
      </c>
      <c r="B1937">
        <v>6</v>
      </c>
      <c r="C1937">
        <v>9</v>
      </c>
      <c r="D1937">
        <v>0.92648325911302465</v>
      </c>
      <c r="E1937">
        <v>1.5200000000000102E-2</v>
      </c>
      <c r="F1937">
        <f t="shared" si="58"/>
        <v>1.4082545538518069E-2</v>
      </c>
      <c r="M1937" s="31"/>
    </row>
    <row r="1938" spans="1:13" x14ac:dyDescent="0.3">
      <c r="A1938">
        <v>1995</v>
      </c>
      <c r="B1938">
        <v>6</v>
      </c>
      <c r="C1938">
        <v>7</v>
      </c>
      <c r="D1938">
        <v>0.93106470325250612</v>
      </c>
      <c r="E1938">
        <v>1.5200000000000102E-2</v>
      </c>
      <c r="F1938">
        <f t="shared" si="58"/>
        <v>1.4152183489438188E-2</v>
      </c>
      <c r="M1938" s="31"/>
    </row>
    <row r="1939" spans="1:13" x14ac:dyDescent="0.3">
      <c r="A1939">
        <v>1995</v>
      </c>
      <c r="B1939">
        <v>6</v>
      </c>
      <c r="C1939">
        <v>5</v>
      </c>
      <c r="D1939">
        <v>0.92467208483739083</v>
      </c>
      <c r="E1939">
        <v>1.5200000000000102E-2</v>
      </c>
      <c r="F1939">
        <f t="shared" si="58"/>
        <v>1.4055015689528435E-2</v>
      </c>
      <c r="M1939" s="31"/>
    </row>
    <row r="1940" spans="1:13" x14ac:dyDescent="0.3">
      <c r="A1940">
        <v>1995</v>
      </c>
      <c r="B1940">
        <v>6</v>
      </c>
      <c r="C1940">
        <v>2</v>
      </c>
      <c r="D1940">
        <v>0.90808023371959801</v>
      </c>
      <c r="E1940">
        <v>1.5200000000000102E-2</v>
      </c>
      <c r="F1940">
        <f t="shared" si="58"/>
        <v>1.3802819552537983E-2</v>
      </c>
      <c r="M1940" s="31"/>
    </row>
    <row r="1941" spans="1:13" x14ac:dyDescent="0.3">
      <c r="A1941">
        <v>1995</v>
      </c>
      <c r="B1941">
        <v>5</v>
      </c>
      <c r="C1941">
        <v>31</v>
      </c>
      <c r="D1941">
        <v>0.88599225260626358</v>
      </c>
      <c r="E1941">
        <v>1.5200000000000102E-2</v>
      </c>
      <c r="F1941">
        <f t="shared" si="58"/>
        <v>1.3467082239615296E-2</v>
      </c>
      <c r="M1941" s="31"/>
    </row>
    <row r="1942" spans="1:13" x14ac:dyDescent="0.3">
      <c r="A1942">
        <v>1995</v>
      </c>
      <c r="B1942">
        <v>5</v>
      </c>
      <c r="C1942">
        <v>29</v>
      </c>
      <c r="D1942">
        <v>0.86191269488332667</v>
      </c>
      <c r="E1942">
        <v>1.5200000000000102E-2</v>
      </c>
      <c r="F1942">
        <f t="shared" si="58"/>
        <v>1.3101072962226654E-2</v>
      </c>
      <c r="M1942" s="31"/>
    </row>
    <row r="1943" spans="1:13" x14ac:dyDescent="0.3">
      <c r="A1943">
        <v>1995</v>
      </c>
      <c r="B1943">
        <v>5</v>
      </c>
      <c r="C1943">
        <v>27</v>
      </c>
      <c r="D1943">
        <v>0.83884350622438997</v>
      </c>
      <c r="E1943">
        <v>1.5200000000000102E-2</v>
      </c>
      <c r="F1943">
        <f t="shared" si="58"/>
        <v>1.2750421294610813E-2</v>
      </c>
      <c r="M1943" s="31"/>
    </row>
    <row r="1944" spans="1:13" x14ac:dyDescent="0.3">
      <c r="A1944">
        <v>1995</v>
      </c>
      <c r="B1944">
        <v>5</v>
      </c>
      <c r="C1944">
        <v>24</v>
      </c>
      <c r="D1944">
        <v>0.82040939666058088</v>
      </c>
      <c r="E1944">
        <v>1.5200000000000102E-2</v>
      </c>
      <c r="F1944">
        <f t="shared" si="58"/>
        <v>1.2470222829240913E-2</v>
      </c>
      <c r="M1944" s="31"/>
    </row>
    <row r="1945" spans="1:13" x14ac:dyDescent="0.3">
      <c r="A1945">
        <v>1995</v>
      </c>
      <c r="B1945">
        <v>5</v>
      </c>
      <c r="C1945">
        <v>22</v>
      </c>
      <c r="D1945">
        <v>0.80932820910915537</v>
      </c>
      <c r="E1945">
        <v>1.5200000000000102E-2</v>
      </c>
      <c r="F1945">
        <f t="shared" si="58"/>
        <v>1.2301788778459244E-2</v>
      </c>
      <c r="M1945" s="31"/>
    </row>
    <row r="1946" spans="1:13" x14ac:dyDescent="0.3">
      <c r="A1946">
        <v>1995</v>
      </c>
      <c r="B1946">
        <v>5</v>
      </c>
      <c r="C1946">
        <v>20</v>
      </c>
      <c r="D1946">
        <v>0.80380069597244785</v>
      </c>
      <c r="E1946">
        <v>1.5200000000000102E-2</v>
      </c>
      <c r="F1946">
        <f t="shared" si="58"/>
        <v>1.221777057878129E-2</v>
      </c>
      <c r="M1946" s="31"/>
    </row>
    <row r="1947" spans="1:13" x14ac:dyDescent="0.3">
      <c r="A1947">
        <v>1995</v>
      </c>
      <c r="B1947">
        <v>5</v>
      </c>
      <c r="C1947">
        <v>18</v>
      </c>
      <c r="D1947">
        <v>0.80329423778270059</v>
      </c>
      <c r="E1947">
        <v>1.5200000000000102E-2</v>
      </c>
      <c r="F1947">
        <f t="shared" si="58"/>
        <v>1.2210072414297132E-2</v>
      </c>
      <c r="M1947" s="31"/>
    </row>
    <row r="1948" spans="1:13" x14ac:dyDescent="0.3">
      <c r="A1948">
        <v>1995</v>
      </c>
      <c r="B1948">
        <v>5</v>
      </c>
      <c r="C1948">
        <v>15</v>
      </c>
      <c r="D1948">
        <v>0.80529674604029711</v>
      </c>
      <c r="E1948">
        <v>1.5200000000000102E-2</v>
      </c>
      <c r="F1948">
        <f t="shared" si="58"/>
        <v>1.2240510539812599E-2</v>
      </c>
      <c r="M1948" s="31"/>
    </row>
    <row r="1949" spans="1:13" x14ac:dyDescent="0.3">
      <c r="A1949">
        <v>1995</v>
      </c>
      <c r="B1949">
        <v>5</v>
      </c>
      <c r="C1949">
        <v>13</v>
      </c>
      <c r="D1949">
        <v>0.80771934744156582</v>
      </c>
      <c r="E1949">
        <v>1.5200000000000102E-2</v>
      </c>
      <c r="F1949">
        <f t="shared" si="58"/>
        <v>1.2277334081111884E-2</v>
      </c>
      <c r="M1949" s="31"/>
    </row>
    <row r="1950" spans="1:13" x14ac:dyDescent="0.3">
      <c r="A1950">
        <v>1995</v>
      </c>
      <c r="B1950">
        <v>5</v>
      </c>
      <c r="C1950">
        <v>11</v>
      </c>
      <c r="D1950">
        <v>0.81070284400448389</v>
      </c>
      <c r="E1950">
        <v>1.5200000000000102E-2</v>
      </c>
      <c r="F1950">
        <f t="shared" si="58"/>
        <v>1.2322683228868238E-2</v>
      </c>
      <c r="M1950" s="31"/>
    </row>
    <row r="1951" spans="1:13" x14ac:dyDescent="0.3">
      <c r="A1951">
        <v>1995</v>
      </c>
      <c r="B1951">
        <v>5</v>
      </c>
      <c r="C1951">
        <v>9</v>
      </c>
      <c r="D1951">
        <v>0.81312991338666318</v>
      </c>
      <c r="E1951">
        <v>1.5200000000000102E-2</v>
      </c>
      <c r="F1951">
        <f t="shared" si="58"/>
        <v>1.2359574683477363E-2</v>
      </c>
      <c r="M1951" s="31"/>
    </row>
    <row r="1952" spans="1:13" x14ac:dyDescent="0.3">
      <c r="A1952">
        <v>1995</v>
      </c>
      <c r="B1952">
        <v>5</v>
      </c>
      <c r="C1952">
        <v>6</v>
      </c>
      <c r="D1952">
        <v>0.81038698137428045</v>
      </c>
      <c r="E1952">
        <v>1.5200000000000102E-2</v>
      </c>
      <c r="F1952">
        <f t="shared" si="58"/>
        <v>1.2317882116889146E-2</v>
      </c>
      <c r="M1952" s="31"/>
    </row>
    <row r="1953" spans="1:13" x14ac:dyDescent="0.3">
      <c r="A1953">
        <v>1995</v>
      </c>
      <c r="B1953">
        <v>5</v>
      </c>
      <c r="C1953">
        <v>4</v>
      </c>
      <c r="D1953">
        <v>0.80485588891310111</v>
      </c>
      <c r="E1953">
        <v>1.5200000000000102E-2</v>
      </c>
      <c r="F1953">
        <f t="shared" si="58"/>
        <v>1.223380951147922E-2</v>
      </c>
      <c r="M1953" s="31"/>
    </row>
    <row r="1954" spans="1:13" x14ac:dyDescent="0.3">
      <c r="A1954">
        <v>1995</v>
      </c>
      <c r="B1954">
        <v>5</v>
      </c>
      <c r="C1954">
        <v>2</v>
      </c>
      <c r="D1954">
        <v>0.79502007488048265</v>
      </c>
      <c r="E1954">
        <v>1.5200000000000102E-2</v>
      </c>
      <c r="F1954">
        <f t="shared" si="58"/>
        <v>1.2084305138183418E-2</v>
      </c>
      <c r="M1954" s="31"/>
    </row>
    <row r="1955" spans="1:13" x14ac:dyDescent="0.3">
      <c r="A1955">
        <v>1995</v>
      </c>
      <c r="B1955">
        <v>4</v>
      </c>
      <c r="C1955">
        <v>30</v>
      </c>
      <c r="D1955">
        <v>0.77981121495289218</v>
      </c>
      <c r="E1955">
        <v>1.5200000000000102E-2</v>
      </c>
      <c r="F1955">
        <f t="shared" si="58"/>
        <v>1.1853130467284041E-2</v>
      </c>
      <c r="M1955" s="31"/>
    </row>
    <row r="1956" spans="1:13" x14ac:dyDescent="0.3">
      <c r="A1956">
        <v>1995</v>
      </c>
      <c r="B1956">
        <v>4</v>
      </c>
      <c r="C1956">
        <v>27</v>
      </c>
      <c r="D1956">
        <v>0.76054414475391252</v>
      </c>
      <c r="E1956">
        <v>1.5200000000000102E-2</v>
      </c>
      <c r="F1956">
        <f t="shared" si="58"/>
        <v>1.1560271000259548E-2</v>
      </c>
      <c r="M1956" s="31"/>
    </row>
    <row r="1957" spans="1:13" x14ac:dyDescent="0.3">
      <c r="A1957">
        <v>1995</v>
      </c>
      <c r="B1957">
        <v>4</v>
      </c>
      <c r="C1957">
        <v>25</v>
      </c>
      <c r="D1957">
        <v>0.73961758108666931</v>
      </c>
      <c r="E1957">
        <v>1.5200000000000102E-2</v>
      </c>
      <c r="F1957">
        <f t="shared" si="58"/>
        <v>1.1242187232517449E-2</v>
      </c>
      <c r="M1957" s="31"/>
    </row>
    <row r="1958" spans="1:13" x14ac:dyDescent="0.3">
      <c r="A1958">
        <v>1995</v>
      </c>
      <c r="B1958">
        <v>4</v>
      </c>
      <c r="C1958">
        <v>23</v>
      </c>
      <c r="D1958">
        <v>0.72019022093706553</v>
      </c>
      <c r="E1958">
        <v>1.5200000000000102E-2</v>
      </c>
      <c r="F1958">
        <f t="shared" si="58"/>
        <v>1.094689135824347E-2</v>
      </c>
      <c r="M1958" s="31"/>
    </row>
    <row r="1959" spans="1:13" x14ac:dyDescent="0.3">
      <c r="A1959">
        <v>1995</v>
      </c>
      <c r="B1959">
        <v>4</v>
      </c>
      <c r="C1959">
        <v>20</v>
      </c>
      <c r="D1959">
        <v>0.70709845574795738</v>
      </c>
      <c r="E1959">
        <v>1.5200000000000102E-2</v>
      </c>
      <c r="F1959">
        <f t="shared" si="58"/>
        <v>1.0747896527369025E-2</v>
      </c>
      <c r="M1959" s="31"/>
    </row>
    <row r="1960" spans="1:13" x14ac:dyDescent="0.3">
      <c r="A1960">
        <v>1995</v>
      </c>
      <c r="B1960">
        <v>4</v>
      </c>
      <c r="C1960">
        <v>18</v>
      </c>
      <c r="D1960">
        <v>0.69769895861889064</v>
      </c>
      <c r="E1960">
        <v>1.5200000000000102E-2</v>
      </c>
      <c r="F1960">
        <f t="shared" si="58"/>
        <v>1.0605024171007209E-2</v>
      </c>
      <c r="M1960" s="31"/>
    </row>
    <row r="1961" spans="1:13" x14ac:dyDescent="0.3">
      <c r="A1961">
        <v>1995</v>
      </c>
      <c r="B1961">
        <v>4</v>
      </c>
      <c r="C1961">
        <v>16</v>
      </c>
      <c r="D1961">
        <v>0.69155369124764132</v>
      </c>
      <c r="E1961">
        <v>1.5200000000000102E-2</v>
      </c>
      <c r="F1961">
        <f t="shared" si="58"/>
        <v>1.0511616106964218E-2</v>
      </c>
      <c r="M1961" s="31"/>
    </row>
    <row r="1962" spans="1:13" x14ac:dyDescent="0.3">
      <c r="A1962">
        <v>1995</v>
      </c>
      <c r="B1962">
        <v>4</v>
      </c>
      <c r="C1962">
        <v>14</v>
      </c>
      <c r="D1962">
        <v>0.68971633414469247</v>
      </c>
      <c r="E1962">
        <v>1.5200000000000102E-2</v>
      </c>
      <c r="F1962">
        <f t="shared" si="58"/>
        <v>1.0483688278999396E-2</v>
      </c>
      <c r="M1962" s="31"/>
    </row>
    <row r="1963" spans="1:13" x14ac:dyDescent="0.3">
      <c r="A1963">
        <v>1995</v>
      </c>
      <c r="B1963">
        <v>4</v>
      </c>
      <c r="C1963">
        <v>11</v>
      </c>
      <c r="D1963">
        <v>0.68841689893013402</v>
      </c>
      <c r="E1963">
        <v>1.5200000000000102E-2</v>
      </c>
      <c r="F1963">
        <f t="shared" si="58"/>
        <v>1.0463936863738107E-2</v>
      </c>
      <c r="M1963" s="31"/>
    </row>
    <row r="1964" spans="1:13" x14ac:dyDescent="0.3">
      <c r="A1964">
        <v>1995</v>
      </c>
      <c r="B1964">
        <v>4</v>
      </c>
      <c r="C1964">
        <v>9</v>
      </c>
      <c r="D1964">
        <v>0.68497150579666632</v>
      </c>
      <c r="E1964">
        <v>1.5200000000000102E-2</v>
      </c>
      <c r="F1964">
        <f t="shared" si="58"/>
        <v>1.0411566888109397E-2</v>
      </c>
      <c r="M1964" s="31"/>
    </row>
    <row r="1965" spans="1:13" x14ac:dyDescent="0.3">
      <c r="A1965">
        <v>1995</v>
      </c>
      <c r="B1965">
        <v>4</v>
      </c>
      <c r="C1965">
        <v>7</v>
      </c>
      <c r="D1965">
        <v>0.68166377498487329</v>
      </c>
      <c r="E1965">
        <v>1.5200000000000102E-2</v>
      </c>
      <c r="F1965">
        <f t="shared" si="58"/>
        <v>1.0361289379770143E-2</v>
      </c>
      <c r="M1965" s="31"/>
    </row>
    <row r="1966" spans="1:13" x14ac:dyDescent="0.3">
      <c r="A1966">
        <v>1995</v>
      </c>
      <c r="B1966">
        <v>4</v>
      </c>
      <c r="C1966">
        <v>5</v>
      </c>
      <c r="D1966">
        <v>0.67916276183798052</v>
      </c>
      <c r="E1966">
        <v>1.5200000000000102E-2</v>
      </c>
      <c r="F1966">
        <f t="shared" si="58"/>
        <v>1.0323273979937373E-2</v>
      </c>
      <c r="M1966" s="31"/>
    </row>
    <row r="1967" spans="1:13" x14ac:dyDescent="0.3">
      <c r="A1967">
        <v>1995</v>
      </c>
      <c r="B1967">
        <v>4</v>
      </c>
      <c r="C1967">
        <v>2</v>
      </c>
      <c r="D1967">
        <v>0.67920605922175192</v>
      </c>
      <c r="E1967">
        <v>1.5200000000000102E-2</v>
      </c>
      <c r="F1967">
        <f t="shared" si="58"/>
        <v>1.0323932100170699E-2</v>
      </c>
      <c r="M1967" s="31"/>
    </row>
    <row r="1968" spans="1:13" x14ac:dyDescent="0.3">
      <c r="A1968">
        <v>1995</v>
      </c>
      <c r="B1968">
        <v>3</v>
      </c>
      <c r="C1968">
        <v>31</v>
      </c>
      <c r="D1968">
        <v>0.68246416834806056</v>
      </c>
      <c r="E1968">
        <v>1.5200000000000102E-2</v>
      </c>
      <c r="F1968">
        <f t="shared" si="58"/>
        <v>1.0373455358890591E-2</v>
      </c>
      <c r="M1968" s="31"/>
    </row>
    <row r="1969" spans="1:13" x14ac:dyDescent="0.3">
      <c r="A1969">
        <v>1995</v>
      </c>
      <c r="B1969">
        <v>3</v>
      </c>
      <c r="C1969">
        <v>29</v>
      </c>
      <c r="D1969">
        <v>0.68760545312410504</v>
      </c>
      <c r="E1969">
        <v>1.5200000000000102E-2</v>
      </c>
      <c r="F1969">
        <f t="shared" si="58"/>
        <v>1.0451602887486467E-2</v>
      </c>
      <c r="M1969" s="31"/>
    </row>
    <row r="1970" spans="1:13" x14ac:dyDescent="0.3">
      <c r="A1970">
        <v>1995</v>
      </c>
      <c r="B1970">
        <v>3</v>
      </c>
      <c r="C1970">
        <v>27</v>
      </c>
      <c r="D1970">
        <v>0.6941025943730289</v>
      </c>
      <c r="E1970">
        <v>1.5200000000000102E-2</v>
      </c>
      <c r="F1970">
        <f t="shared" si="58"/>
        <v>1.055035943447011E-2</v>
      </c>
      <c r="M1970" s="31"/>
    </row>
    <row r="1971" spans="1:13" x14ac:dyDescent="0.3">
      <c r="A1971">
        <v>1995</v>
      </c>
      <c r="B1971">
        <v>3</v>
      </c>
      <c r="C1971">
        <v>24</v>
      </c>
      <c r="D1971">
        <v>0.70034523327461384</v>
      </c>
      <c r="E1971">
        <v>1.5200000000000102E-2</v>
      </c>
      <c r="F1971">
        <f t="shared" si="58"/>
        <v>1.0645247545774202E-2</v>
      </c>
      <c r="M1971" s="31"/>
    </row>
    <row r="1972" spans="1:13" x14ac:dyDescent="0.3">
      <c r="A1972">
        <v>1995</v>
      </c>
      <c r="B1972">
        <v>3</v>
      </c>
      <c r="C1972">
        <v>22</v>
      </c>
      <c r="D1972">
        <v>0.70403478604710679</v>
      </c>
      <c r="E1972">
        <v>1.5200000000000102E-2</v>
      </c>
      <c r="F1972">
        <f t="shared" si="58"/>
        <v>1.0701328747916095E-2</v>
      </c>
      <c r="M1972" s="31"/>
    </row>
    <row r="1973" spans="1:13" x14ac:dyDescent="0.3">
      <c r="A1973">
        <v>1995</v>
      </c>
      <c r="B1973">
        <v>3</v>
      </c>
      <c r="C1973">
        <v>20</v>
      </c>
      <c r="D1973">
        <v>0.70637724536883961</v>
      </c>
      <c r="E1973">
        <v>1.5200000000000102E-2</v>
      </c>
      <c r="F1973">
        <f t="shared" si="58"/>
        <v>1.0736934129606435E-2</v>
      </c>
      <c r="M1973" s="31"/>
    </row>
    <row r="1974" spans="1:13" x14ac:dyDescent="0.3">
      <c r="A1974">
        <v>1995</v>
      </c>
      <c r="B1974">
        <v>3</v>
      </c>
      <c r="C1974">
        <v>18</v>
      </c>
      <c r="D1974">
        <v>0.70669263334321109</v>
      </c>
      <c r="E1974">
        <v>1.5200000000000102E-2</v>
      </c>
      <c r="F1974">
        <f t="shared" si="58"/>
        <v>1.0741728026816881E-2</v>
      </c>
      <c r="M1974" s="31"/>
    </row>
    <row r="1975" spans="1:13" x14ac:dyDescent="0.3">
      <c r="A1975">
        <v>1995</v>
      </c>
      <c r="B1975">
        <v>3</v>
      </c>
      <c r="C1975">
        <v>15</v>
      </c>
      <c r="D1975">
        <v>0.70389939221636078</v>
      </c>
      <c r="E1975">
        <v>1.5200000000000102E-2</v>
      </c>
      <c r="F1975">
        <f t="shared" si="58"/>
        <v>1.0699270761688756E-2</v>
      </c>
      <c r="M1975" s="31"/>
    </row>
    <row r="1976" spans="1:13" x14ac:dyDescent="0.3">
      <c r="A1976">
        <v>1995</v>
      </c>
      <c r="B1976">
        <v>3</v>
      </c>
      <c r="C1976">
        <v>13</v>
      </c>
      <c r="D1976">
        <v>0.70083876192011985</v>
      </c>
      <c r="E1976">
        <v>1.5200000000000102E-2</v>
      </c>
      <c r="F1976">
        <f t="shared" si="58"/>
        <v>1.0652749181185894E-2</v>
      </c>
      <c r="M1976" s="31"/>
    </row>
    <row r="1977" spans="1:13" x14ac:dyDescent="0.3">
      <c r="A1977">
        <v>1995</v>
      </c>
      <c r="B1977">
        <v>3</v>
      </c>
      <c r="C1977">
        <v>11</v>
      </c>
      <c r="D1977">
        <v>0.69629846199323575</v>
      </c>
      <c r="E1977">
        <v>1.5200000000000102E-2</v>
      </c>
      <c r="F1977">
        <f t="shared" si="58"/>
        <v>1.0583736622297255E-2</v>
      </c>
      <c r="M1977" s="31"/>
    </row>
    <row r="1978" spans="1:13" x14ac:dyDescent="0.3">
      <c r="A1978">
        <v>1995</v>
      </c>
      <c r="B1978">
        <v>3</v>
      </c>
      <c r="C1978">
        <v>9</v>
      </c>
      <c r="D1978">
        <v>0.68773163437356455</v>
      </c>
      <c r="E1978">
        <v>1.5200000000000102E-2</v>
      </c>
      <c r="F1978">
        <f t="shared" si="58"/>
        <v>1.0453520842478251E-2</v>
      </c>
      <c r="M1978" s="31"/>
    </row>
    <row r="1979" spans="1:13" x14ac:dyDescent="0.3">
      <c r="A1979">
        <v>1995</v>
      </c>
      <c r="B1979">
        <v>3</v>
      </c>
      <c r="C1979">
        <v>6</v>
      </c>
      <c r="D1979">
        <v>0.67744977917151605</v>
      </c>
      <c r="E1979">
        <v>1.5200000000000102E-2</v>
      </c>
      <c r="F1979">
        <f t="shared" si="58"/>
        <v>1.0297236643407114E-2</v>
      </c>
      <c r="M1979" s="31"/>
    </row>
    <row r="1980" spans="1:13" x14ac:dyDescent="0.3">
      <c r="A1980">
        <v>1995</v>
      </c>
      <c r="B1980">
        <v>3</v>
      </c>
      <c r="C1980">
        <v>4</v>
      </c>
      <c r="D1980">
        <v>0.66840537976880832</v>
      </c>
      <c r="E1980">
        <v>1.5200000000000102E-2</v>
      </c>
      <c r="F1980">
        <f t="shared" si="58"/>
        <v>1.0159761772485955E-2</v>
      </c>
      <c r="M1980" s="31"/>
    </row>
    <row r="1981" spans="1:13" x14ac:dyDescent="0.3">
      <c r="A1981">
        <v>1995</v>
      </c>
      <c r="B1981">
        <v>3</v>
      </c>
      <c r="C1981">
        <v>2</v>
      </c>
      <c r="D1981">
        <v>0.66098649244282337</v>
      </c>
      <c r="E1981">
        <v>1.5200000000000102E-2</v>
      </c>
      <c r="F1981">
        <f t="shared" si="58"/>
        <v>1.0046994685130983E-2</v>
      </c>
      <c r="M1981" s="31"/>
    </row>
    <row r="1982" spans="1:13" x14ac:dyDescent="0.3">
      <c r="A1982">
        <v>1995</v>
      </c>
      <c r="B1982">
        <v>2</v>
      </c>
      <c r="C1982">
        <v>28</v>
      </c>
      <c r="D1982">
        <v>0.65943209703525485</v>
      </c>
      <c r="E1982">
        <v>1.5200000000000102E-2</v>
      </c>
      <c r="F1982">
        <f t="shared" si="58"/>
        <v>1.0023367874935941E-2</v>
      </c>
      <c r="M1982" s="31"/>
    </row>
    <row r="1983" spans="1:13" x14ac:dyDescent="0.3">
      <c r="A1983">
        <v>1995</v>
      </c>
      <c r="B1983">
        <v>2</v>
      </c>
      <c r="C1983">
        <v>12</v>
      </c>
      <c r="D1983">
        <v>0.6639999744861399</v>
      </c>
      <c r="E1983">
        <v>1.5200000000000102E-2</v>
      </c>
      <c r="F1983">
        <f t="shared" si="58"/>
        <v>1.0092799612189394E-2</v>
      </c>
      <c r="M1983" s="31"/>
    </row>
    <row r="1984" spans="1:13" x14ac:dyDescent="0.3">
      <c r="A1984">
        <v>1995</v>
      </c>
      <c r="B1984">
        <v>1</v>
      </c>
      <c r="C1984">
        <v>28</v>
      </c>
      <c r="D1984">
        <v>0.6747216551747881</v>
      </c>
      <c r="E1984">
        <v>1.5200000000000102E-2</v>
      </c>
      <c r="F1984">
        <f t="shared" si="58"/>
        <v>1.0255769158656848E-2</v>
      </c>
      <c r="M1984" s="31"/>
    </row>
    <row r="1985" spans="1:13" x14ac:dyDescent="0.3">
      <c r="A1985">
        <v>1995</v>
      </c>
      <c r="B1985">
        <v>1</v>
      </c>
      <c r="C1985">
        <v>13</v>
      </c>
      <c r="D1985">
        <v>0.69019020124292363</v>
      </c>
      <c r="E1985">
        <v>1.5200000000000102E-2</v>
      </c>
      <c r="F1985">
        <f t="shared" si="58"/>
        <v>1.0490891058892509E-2</v>
      </c>
      <c r="M1985" s="31"/>
    </row>
    <row r="1986" spans="1:13" x14ac:dyDescent="0.3">
      <c r="A1986">
        <v>1994</v>
      </c>
      <c r="B1986">
        <v>12</v>
      </c>
      <c r="C1986">
        <v>29</v>
      </c>
      <c r="D1986">
        <v>0.70858736380270559</v>
      </c>
      <c r="E1986">
        <v>1.5200000000000102E-2</v>
      </c>
      <c r="F1986">
        <f t="shared" si="58"/>
        <v>1.0770527929801198E-2</v>
      </c>
      <c r="M1986" s="31"/>
    </row>
    <row r="1987" spans="1:13" x14ac:dyDescent="0.3">
      <c r="A1987">
        <v>1994</v>
      </c>
      <c r="B1987">
        <v>12</v>
      </c>
      <c r="C1987">
        <v>14</v>
      </c>
      <c r="D1987">
        <v>0.72424434373557345</v>
      </c>
      <c r="E1987">
        <v>1.5200000000000102E-2</v>
      </c>
      <c r="F1987">
        <f t="shared" ref="F1987:F2050" si="59">D1987*E1987</f>
        <v>1.1008514024780791E-2</v>
      </c>
      <c r="M1987" s="31"/>
    </row>
    <row r="1988" spans="1:13" x14ac:dyDescent="0.3">
      <c r="A1988">
        <v>1994</v>
      </c>
      <c r="B1988">
        <v>11</v>
      </c>
      <c r="C1988">
        <v>28</v>
      </c>
      <c r="D1988">
        <v>0.73793443161710348</v>
      </c>
      <c r="E1988">
        <v>1.5200000000000102E-2</v>
      </c>
      <c r="F1988">
        <f t="shared" si="59"/>
        <v>1.1216603360580049E-2</v>
      </c>
      <c r="M1988" s="31"/>
    </row>
    <row r="1989" spans="1:13" x14ac:dyDescent="0.3">
      <c r="A1989">
        <v>1994</v>
      </c>
      <c r="B1989">
        <v>11</v>
      </c>
      <c r="C1989">
        <v>13</v>
      </c>
      <c r="D1989">
        <v>0.74935371383890204</v>
      </c>
      <c r="E1989">
        <v>1.5200000000000102E-2</v>
      </c>
      <c r="F1989">
        <f t="shared" si="59"/>
        <v>1.1390176450351388E-2</v>
      </c>
      <c r="M1989" s="31"/>
    </row>
    <row r="1990" spans="1:13" x14ac:dyDescent="0.3">
      <c r="A1990">
        <v>1994</v>
      </c>
      <c r="B1990">
        <v>10</v>
      </c>
      <c r="C1990">
        <v>29</v>
      </c>
      <c r="D1990">
        <v>0.76357383049890171</v>
      </c>
      <c r="E1990">
        <v>1.5200000000000102E-2</v>
      </c>
      <c r="F1990">
        <f t="shared" si="59"/>
        <v>1.1606322223583383E-2</v>
      </c>
      <c r="M1990" s="31"/>
    </row>
    <row r="1991" spans="1:13" x14ac:dyDescent="0.3">
      <c r="A1991">
        <v>1994</v>
      </c>
      <c r="B1991">
        <v>10</v>
      </c>
      <c r="C1991">
        <v>14</v>
      </c>
      <c r="D1991">
        <v>0.77952341090553268</v>
      </c>
      <c r="E1991">
        <v>1.5200000000000102E-2</v>
      </c>
      <c r="F1991">
        <f t="shared" si="59"/>
        <v>1.1848755845764176E-2</v>
      </c>
      <c r="M1991" s="31"/>
    </row>
    <row r="1992" spans="1:13" x14ac:dyDescent="0.3">
      <c r="A1992">
        <v>1994</v>
      </c>
      <c r="B1992">
        <v>9</v>
      </c>
      <c r="C1992">
        <v>29</v>
      </c>
      <c r="D1992">
        <v>0.79806400997405436</v>
      </c>
      <c r="E1992">
        <v>1.5200000000000102E-2</v>
      </c>
      <c r="F1992">
        <f t="shared" si="59"/>
        <v>1.2130572951605708E-2</v>
      </c>
      <c r="M1992" s="31"/>
    </row>
    <row r="1993" spans="1:13" x14ac:dyDescent="0.3">
      <c r="A1993">
        <v>1994</v>
      </c>
      <c r="B1993">
        <v>9</v>
      </c>
      <c r="C1993">
        <v>13</v>
      </c>
      <c r="D1993">
        <v>0.81797469996778283</v>
      </c>
      <c r="E1993">
        <v>1.5200000000000102E-2</v>
      </c>
      <c r="F1993">
        <f t="shared" si="59"/>
        <v>1.2433215439510382E-2</v>
      </c>
      <c r="M1993" s="31"/>
    </row>
    <row r="1994" spans="1:13" x14ac:dyDescent="0.3">
      <c r="A1994">
        <v>1994</v>
      </c>
      <c r="B1994">
        <v>8</v>
      </c>
      <c r="C1994">
        <v>29</v>
      </c>
      <c r="D1994">
        <v>0.83899510888742534</v>
      </c>
      <c r="E1994">
        <v>1.5200000000000102E-2</v>
      </c>
      <c r="F1994">
        <f t="shared" si="59"/>
        <v>1.2752725655088951E-2</v>
      </c>
      <c r="M1994" s="31"/>
    </row>
    <row r="1995" spans="1:13" x14ac:dyDescent="0.3">
      <c r="A1995">
        <v>1994</v>
      </c>
      <c r="B1995">
        <v>8</v>
      </c>
      <c r="C1995">
        <v>14</v>
      </c>
      <c r="D1995">
        <v>0.85830155854634138</v>
      </c>
      <c r="E1995">
        <v>1.5200000000000102E-2</v>
      </c>
      <c r="F1995">
        <f t="shared" si="59"/>
        <v>1.3046183689904477E-2</v>
      </c>
      <c r="M1995" s="31"/>
    </row>
    <row r="1996" spans="1:13" x14ac:dyDescent="0.3">
      <c r="A1996">
        <v>1994</v>
      </c>
      <c r="B1996">
        <v>7</v>
      </c>
      <c r="C1996">
        <v>30</v>
      </c>
      <c r="D1996">
        <v>0.87215423803766956</v>
      </c>
      <c r="E1996">
        <v>1.5200000000000102E-2</v>
      </c>
      <c r="F1996">
        <f t="shared" si="59"/>
        <v>1.3256744418172666E-2</v>
      </c>
      <c r="M1996" s="31"/>
    </row>
    <row r="1997" spans="1:13" x14ac:dyDescent="0.3">
      <c r="A1997">
        <v>1994</v>
      </c>
      <c r="B1997">
        <v>7</v>
      </c>
      <c r="C1997">
        <v>15</v>
      </c>
      <c r="D1997">
        <v>0.88005786453839185</v>
      </c>
      <c r="E1997">
        <v>1.5200000000000102E-2</v>
      </c>
      <c r="F1997">
        <f t="shared" si="59"/>
        <v>1.3376879540983646E-2</v>
      </c>
      <c r="M1997" s="31"/>
    </row>
    <row r="1998" spans="1:13" x14ac:dyDescent="0.3">
      <c r="A1998">
        <v>1994</v>
      </c>
      <c r="B1998">
        <v>6</v>
      </c>
      <c r="C1998">
        <v>30</v>
      </c>
      <c r="D1998">
        <v>0.88082839320938111</v>
      </c>
      <c r="E1998">
        <v>1.5200000000000102E-2</v>
      </c>
      <c r="F1998">
        <f t="shared" si="59"/>
        <v>1.3388591576782682E-2</v>
      </c>
      <c r="M1998" s="31"/>
    </row>
    <row r="1999" spans="1:13" x14ac:dyDescent="0.3">
      <c r="A1999">
        <v>1994</v>
      </c>
      <c r="B1999">
        <v>6</v>
      </c>
      <c r="C1999">
        <v>28</v>
      </c>
      <c r="D1999">
        <v>0.87531621462161191</v>
      </c>
      <c r="E1999">
        <v>1.5200000000000102E-2</v>
      </c>
      <c r="F1999">
        <f t="shared" si="59"/>
        <v>1.3304806462248591E-2</v>
      </c>
      <c r="M1999" s="31"/>
    </row>
    <row r="2000" spans="1:13" x14ac:dyDescent="0.3">
      <c r="A2000">
        <v>1994</v>
      </c>
      <c r="B2000">
        <v>6</v>
      </c>
      <c r="C2000">
        <v>26</v>
      </c>
      <c r="D2000">
        <v>0.86155907667174225</v>
      </c>
      <c r="E2000">
        <v>1.5200000000000102E-2</v>
      </c>
      <c r="F2000">
        <f t="shared" si="59"/>
        <v>1.3095697965410571E-2</v>
      </c>
      <c r="M2000" s="31"/>
    </row>
    <row r="2001" spans="1:13" x14ac:dyDescent="0.3">
      <c r="A2001">
        <v>1994</v>
      </c>
      <c r="B2001">
        <v>6</v>
      </c>
      <c r="C2001">
        <v>24</v>
      </c>
      <c r="D2001">
        <v>0.84544854068413955</v>
      </c>
      <c r="E2001">
        <v>1.5200000000000102E-2</v>
      </c>
      <c r="F2001">
        <f t="shared" si="59"/>
        <v>1.2850817818399007E-2</v>
      </c>
      <c r="M2001" s="31"/>
    </row>
    <row r="2002" spans="1:13" x14ac:dyDescent="0.3">
      <c r="A2002">
        <v>1994</v>
      </c>
      <c r="B2002">
        <v>6</v>
      </c>
      <c r="C2002">
        <v>22</v>
      </c>
      <c r="D2002">
        <v>0.83081979965313135</v>
      </c>
      <c r="E2002">
        <v>1.5200000000000102E-2</v>
      </c>
      <c r="F2002">
        <f t="shared" si="59"/>
        <v>1.2628460954727682E-2</v>
      </c>
      <c r="M2002" s="31"/>
    </row>
    <row r="2003" spans="1:13" x14ac:dyDescent="0.3">
      <c r="A2003">
        <v>1994</v>
      </c>
      <c r="B2003">
        <v>6</v>
      </c>
      <c r="C2003">
        <v>20</v>
      </c>
      <c r="D2003">
        <v>0.82102529081640763</v>
      </c>
      <c r="E2003">
        <v>1.5200000000000102E-2</v>
      </c>
      <c r="F2003">
        <f t="shared" si="59"/>
        <v>1.247958442040948E-2</v>
      </c>
      <c r="M2003" s="31"/>
    </row>
    <row r="2004" spans="1:13" x14ac:dyDescent="0.3">
      <c r="A2004">
        <v>1994</v>
      </c>
      <c r="B2004">
        <v>6</v>
      </c>
      <c r="C2004">
        <v>18</v>
      </c>
      <c r="D2004">
        <v>0.81588382005223226</v>
      </c>
      <c r="E2004">
        <v>1.5200000000000102E-2</v>
      </c>
      <c r="F2004">
        <f t="shared" si="59"/>
        <v>1.2401434064794013E-2</v>
      </c>
      <c r="M2004" s="31"/>
    </row>
    <row r="2005" spans="1:13" x14ac:dyDescent="0.3">
      <c r="A2005">
        <v>1994</v>
      </c>
      <c r="B2005">
        <v>6</v>
      </c>
      <c r="C2005">
        <v>17</v>
      </c>
      <c r="D2005">
        <v>0.81355232358144236</v>
      </c>
      <c r="E2005">
        <v>1.5200000000000102E-2</v>
      </c>
      <c r="F2005">
        <f t="shared" si="59"/>
        <v>1.2365995318438006E-2</v>
      </c>
      <c r="M2005" s="31"/>
    </row>
    <row r="2006" spans="1:13" x14ac:dyDescent="0.3">
      <c r="A2006">
        <v>1994</v>
      </c>
      <c r="B2006">
        <v>6</v>
      </c>
      <c r="C2006">
        <v>15</v>
      </c>
      <c r="D2006">
        <v>0.81066176469753626</v>
      </c>
      <c r="E2006">
        <v>1.5200000000000102E-2</v>
      </c>
      <c r="F2006">
        <f t="shared" si="59"/>
        <v>1.2322058823402635E-2</v>
      </c>
      <c r="M2006" s="31"/>
    </row>
    <row r="2007" spans="1:13" x14ac:dyDescent="0.3">
      <c r="A2007">
        <v>1994</v>
      </c>
      <c r="B2007">
        <v>6</v>
      </c>
      <c r="C2007">
        <v>13</v>
      </c>
      <c r="D2007">
        <v>0.80497590958782617</v>
      </c>
      <c r="E2007">
        <v>1.5200000000000102E-2</v>
      </c>
      <c r="F2007">
        <f t="shared" si="59"/>
        <v>1.223563382573504E-2</v>
      </c>
      <c r="M2007" s="31"/>
    </row>
    <row r="2008" spans="1:13" x14ac:dyDescent="0.3">
      <c r="A2008">
        <v>1994</v>
      </c>
      <c r="B2008">
        <v>6</v>
      </c>
      <c r="C2008">
        <v>11</v>
      </c>
      <c r="D2008">
        <v>0.79427811662179593</v>
      </c>
      <c r="E2008">
        <v>1.5200000000000102E-2</v>
      </c>
      <c r="F2008">
        <f t="shared" si="59"/>
        <v>1.2073027372651379E-2</v>
      </c>
      <c r="M2008" s="31"/>
    </row>
    <row r="2009" spans="1:13" x14ac:dyDescent="0.3">
      <c r="A2009">
        <v>1994</v>
      </c>
      <c r="B2009">
        <v>6</v>
      </c>
      <c r="C2009">
        <v>9</v>
      </c>
      <c r="D2009">
        <v>0.77875592233041802</v>
      </c>
      <c r="E2009">
        <v>1.5200000000000102E-2</v>
      </c>
      <c r="F2009">
        <f t="shared" si="59"/>
        <v>1.1837090019422434E-2</v>
      </c>
      <c r="M2009" s="31"/>
    </row>
    <row r="2010" spans="1:13" x14ac:dyDescent="0.3">
      <c r="A2010">
        <v>1994</v>
      </c>
      <c r="B2010">
        <v>6</v>
      </c>
      <c r="C2010">
        <v>7</v>
      </c>
      <c r="D2010">
        <v>0.76385974413819746</v>
      </c>
      <c r="E2010">
        <v>1.5200000000000102E-2</v>
      </c>
      <c r="F2010">
        <f t="shared" si="59"/>
        <v>1.161066811090068E-2</v>
      </c>
      <c r="M2010" s="31"/>
    </row>
    <row r="2011" spans="1:13" x14ac:dyDescent="0.3">
      <c r="A2011">
        <v>1994</v>
      </c>
      <c r="B2011">
        <v>6</v>
      </c>
      <c r="C2011">
        <v>5</v>
      </c>
      <c r="D2011">
        <v>0.75536030331195902</v>
      </c>
      <c r="E2011">
        <v>1.5200000000000102E-2</v>
      </c>
      <c r="F2011">
        <f t="shared" si="59"/>
        <v>1.1481476610341854E-2</v>
      </c>
      <c r="M2011" s="31"/>
    </row>
    <row r="2012" spans="1:13" x14ac:dyDescent="0.3">
      <c r="A2012">
        <v>1994</v>
      </c>
      <c r="B2012">
        <v>6</v>
      </c>
      <c r="C2012">
        <v>4</v>
      </c>
      <c r="D2012">
        <v>0.7537315279306871</v>
      </c>
      <c r="E2012">
        <v>1.5200000000000102E-2</v>
      </c>
      <c r="F2012">
        <f t="shared" si="59"/>
        <v>1.1456719224546521E-2</v>
      </c>
      <c r="M2012" s="31"/>
    </row>
    <row r="2013" spans="1:13" x14ac:dyDescent="0.3">
      <c r="A2013">
        <v>1994</v>
      </c>
      <c r="B2013">
        <v>6</v>
      </c>
      <c r="C2013">
        <v>2</v>
      </c>
      <c r="D2013">
        <v>0.75637114983995912</v>
      </c>
      <c r="E2013">
        <v>1.5200000000000102E-2</v>
      </c>
      <c r="F2013">
        <f t="shared" si="59"/>
        <v>1.1496841477567457E-2</v>
      </c>
      <c r="M2013" s="31"/>
    </row>
    <row r="2014" spans="1:13" x14ac:dyDescent="0.3">
      <c r="A2014">
        <v>1994</v>
      </c>
      <c r="B2014">
        <v>5</v>
      </c>
      <c r="C2014">
        <v>31</v>
      </c>
      <c r="D2014">
        <v>0.76301607575177122</v>
      </c>
      <c r="E2014">
        <v>1.5200000000000102E-2</v>
      </c>
      <c r="F2014">
        <f t="shared" si="59"/>
        <v>1.1597844351427E-2</v>
      </c>
      <c r="M2014" s="31"/>
    </row>
    <row r="2015" spans="1:13" x14ac:dyDescent="0.3">
      <c r="A2015">
        <v>1994</v>
      </c>
      <c r="B2015">
        <v>5</v>
      </c>
      <c r="C2015">
        <v>29</v>
      </c>
      <c r="D2015">
        <v>0.77092348031092262</v>
      </c>
      <c r="E2015">
        <v>1.5200000000000102E-2</v>
      </c>
      <c r="F2015">
        <f t="shared" si="59"/>
        <v>1.1718036900726102E-2</v>
      </c>
      <c r="M2015" s="31"/>
    </row>
    <row r="2016" spans="1:13" x14ac:dyDescent="0.3">
      <c r="A2016">
        <v>1994</v>
      </c>
      <c r="B2016">
        <v>5</v>
      </c>
      <c r="C2016">
        <v>27</v>
      </c>
      <c r="D2016">
        <v>0.77885302383395616</v>
      </c>
      <c r="E2016">
        <v>1.5200000000000102E-2</v>
      </c>
      <c r="F2016">
        <f t="shared" si="59"/>
        <v>1.1838565962276214E-2</v>
      </c>
      <c r="M2016" s="31"/>
    </row>
    <row r="2017" spans="1:13" x14ac:dyDescent="0.3">
      <c r="A2017">
        <v>1994</v>
      </c>
      <c r="B2017">
        <v>5</v>
      </c>
      <c r="C2017">
        <v>25</v>
      </c>
      <c r="D2017">
        <v>0.78833667461807189</v>
      </c>
      <c r="E2017">
        <v>1.5200000000000102E-2</v>
      </c>
      <c r="F2017">
        <f t="shared" si="59"/>
        <v>1.1982717454194774E-2</v>
      </c>
      <c r="M2017" s="31"/>
    </row>
    <row r="2018" spans="1:13" x14ac:dyDescent="0.3">
      <c r="A2018">
        <v>1994</v>
      </c>
      <c r="B2018">
        <v>5</v>
      </c>
      <c r="C2018">
        <v>24</v>
      </c>
      <c r="D2018">
        <v>0.80204507851327</v>
      </c>
      <c r="E2018">
        <v>1.5200000000000102E-2</v>
      </c>
      <c r="F2018">
        <f t="shared" si="59"/>
        <v>1.2191085193401787E-2</v>
      </c>
      <c r="M2018" s="31"/>
    </row>
    <row r="2019" spans="1:13" x14ac:dyDescent="0.3">
      <c r="A2019">
        <v>1994</v>
      </c>
      <c r="B2019">
        <v>5</v>
      </c>
      <c r="C2019">
        <v>22</v>
      </c>
      <c r="D2019">
        <v>0.81918955144257788</v>
      </c>
      <c r="E2019">
        <v>1.5200000000000102E-2</v>
      </c>
      <c r="F2019">
        <f t="shared" si="59"/>
        <v>1.2451681181927268E-2</v>
      </c>
      <c r="M2019" s="31"/>
    </row>
    <row r="2020" spans="1:13" x14ac:dyDescent="0.3">
      <c r="A2020">
        <v>1994</v>
      </c>
      <c r="B2020">
        <v>5</v>
      </c>
      <c r="C2020">
        <v>20</v>
      </c>
      <c r="D2020">
        <v>0.83614500749278542</v>
      </c>
      <c r="E2020">
        <v>1.5200000000000102E-2</v>
      </c>
      <c r="F2020">
        <f t="shared" si="59"/>
        <v>1.2709404113890424E-2</v>
      </c>
      <c r="M2020" s="31"/>
    </row>
    <row r="2021" spans="1:13" x14ac:dyDescent="0.3">
      <c r="A2021">
        <v>1994</v>
      </c>
      <c r="B2021">
        <v>5</v>
      </c>
      <c r="C2021">
        <v>18</v>
      </c>
      <c r="D2021">
        <v>0.84893085415593328</v>
      </c>
      <c r="E2021">
        <v>1.5200000000000102E-2</v>
      </c>
      <c r="F2021">
        <f t="shared" si="59"/>
        <v>1.2903748983170272E-2</v>
      </c>
      <c r="M2021" s="31"/>
    </row>
    <row r="2022" spans="1:13" x14ac:dyDescent="0.3">
      <c r="A2022">
        <v>1994</v>
      </c>
      <c r="B2022">
        <v>5</v>
      </c>
      <c r="C2022">
        <v>16</v>
      </c>
      <c r="D2022">
        <v>0.85635872861319295</v>
      </c>
      <c r="E2022">
        <v>1.5200000000000102E-2</v>
      </c>
      <c r="F2022">
        <f t="shared" si="59"/>
        <v>1.3016652674920621E-2</v>
      </c>
      <c r="M2022" s="31"/>
    </row>
    <row r="2023" spans="1:13" x14ac:dyDescent="0.3">
      <c r="A2023">
        <v>1994</v>
      </c>
      <c r="B2023">
        <v>5</v>
      </c>
      <c r="C2023">
        <v>14</v>
      </c>
      <c r="D2023">
        <v>0.85782252431004802</v>
      </c>
      <c r="E2023">
        <v>1.5200000000000102E-2</v>
      </c>
      <c r="F2023">
        <f t="shared" si="59"/>
        <v>1.3038902369512818E-2</v>
      </c>
      <c r="M2023" s="31"/>
    </row>
    <row r="2024" spans="1:13" x14ac:dyDescent="0.3">
      <c r="A2024">
        <v>1994</v>
      </c>
      <c r="B2024">
        <v>5</v>
      </c>
      <c r="C2024">
        <v>12</v>
      </c>
      <c r="D2024">
        <v>0.85487530810878543</v>
      </c>
      <c r="E2024">
        <v>1.5200000000000102E-2</v>
      </c>
      <c r="F2024">
        <f t="shared" si="59"/>
        <v>1.2994104683253627E-2</v>
      </c>
      <c r="M2024" s="31"/>
    </row>
    <row r="2025" spans="1:13" x14ac:dyDescent="0.3">
      <c r="A2025">
        <v>1994</v>
      </c>
      <c r="B2025">
        <v>5</v>
      </c>
      <c r="C2025">
        <v>11</v>
      </c>
      <c r="D2025">
        <v>0.85264069342631277</v>
      </c>
      <c r="E2025">
        <v>1.5200000000000102E-2</v>
      </c>
      <c r="F2025">
        <f t="shared" si="59"/>
        <v>1.2960138540080041E-2</v>
      </c>
      <c r="M2025" s="31"/>
    </row>
    <row r="2026" spans="1:13" x14ac:dyDescent="0.3">
      <c r="A2026">
        <v>1994</v>
      </c>
      <c r="B2026">
        <v>5</v>
      </c>
      <c r="C2026">
        <v>9</v>
      </c>
      <c r="D2026">
        <v>0.85410306627424337</v>
      </c>
      <c r="E2026">
        <v>1.5200000000000102E-2</v>
      </c>
      <c r="F2026">
        <f t="shared" si="59"/>
        <v>1.2982366607368586E-2</v>
      </c>
      <c r="M2026" s="31"/>
    </row>
    <row r="2027" spans="1:13" x14ac:dyDescent="0.3">
      <c r="A2027">
        <v>1994</v>
      </c>
      <c r="B2027">
        <v>5</v>
      </c>
      <c r="C2027">
        <v>7</v>
      </c>
      <c r="D2027">
        <v>0.8565628189813973</v>
      </c>
      <c r="E2027">
        <v>1.5200000000000102E-2</v>
      </c>
      <c r="F2027">
        <f t="shared" si="59"/>
        <v>1.3019754848517327E-2</v>
      </c>
      <c r="M2027" s="31"/>
    </row>
    <row r="2028" spans="1:13" x14ac:dyDescent="0.3">
      <c r="A2028">
        <v>1994</v>
      </c>
      <c r="B2028">
        <v>5</v>
      </c>
      <c r="C2028">
        <v>5</v>
      </c>
      <c r="D2028">
        <v>0.86144803801126946</v>
      </c>
      <c r="E2028">
        <v>1.5200000000000102E-2</v>
      </c>
      <c r="F2028">
        <f t="shared" si="59"/>
        <v>1.3094010177771384E-2</v>
      </c>
      <c r="M2028" s="31"/>
    </row>
    <row r="2029" spans="1:13" x14ac:dyDescent="0.3">
      <c r="A2029">
        <v>1994</v>
      </c>
      <c r="B2029">
        <v>5</v>
      </c>
      <c r="C2029">
        <v>3</v>
      </c>
      <c r="D2029">
        <v>0.86534226497835509</v>
      </c>
      <c r="E2029">
        <v>1.5200000000000102E-2</v>
      </c>
      <c r="F2029">
        <f t="shared" si="59"/>
        <v>1.3153202427671085E-2</v>
      </c>
      <c r="M2029" s="31"/>
    </row>
    <row r="2030" spans="1:13" x14ac:dyDescent="0.3">
      <c r="A2030">
        <v>1994</v>
      </c>
      <c r="B2030">
        <v>5</v>
      </c>
      <c r="C2030">
        <v>1</v>
      </c>
      <c r="D2030">
        <v>0.86538448463862538</v>
      </c>
      <c r="E2030">
        <v>1.5200000000000102E-2</v>
      </c>
      <c r="F2030">
        <f t="shared" si="59"/>
        <v>1.3153844166507195E-2</v>
      </c>
      <c r="M2030" s="31"/>
    </row>
    <row r="2031" spans="1:13" x14ac:dyDescent="0.3">
      <c r="A2031">
        <v>1994</v>
      </c>
      <c r="B2031">
        <v>4</v>
      </c>
      <c r="C2031">
        <v>30</v>
      </c>
      <c r="D2031">
        <v>0.86114468592150195</v>
      </c>
      <c r="E2031">
        <v>1.5200000000000102E-2</v>
      </c>
      <c r="F2031">
        <f t="shared" si="59"/>
        <v>1.3089399226006918E-2</v>
      </c>
      <c r="M2031" s="31"/>
    </row>
    <row r="2032" spans="1:13" x14ac:dyDescent="0.3">
      <c r="A2032">
        <v>1994</v>
      </c>
      <c r="B2032">
        <v>4</v>
      </c>
      <c r="C2032">
        <v>28</v>
      </c>
      <c r="D2032">
        <v>0.85605405031095227</v>
      </c>
      <c r="E2032">
        <v>1.5200000000000102E-2</v>
      </c>
      <c r="F2032">
        <f t="shared" si="59"/>
        <v>1.3012021564726563E-2</v>
      </c>
      <c r="M2032" s="31"/>
    </row>
    <row r="2033" spans="1:13" x14ac:dyDescent="0.3">
      <c r="A2033">
        <v>1994</v>
      </c>
      <c r="B2033">
        <v>4</v>
      </c>
      <c r="C2033">
        <v>26</v>
      </c>
      <c r="D2033">
        <v>0.8504003223504274</v>
      </c>
      <c r="E2033">
        <v>1.5200000000000102E-2</v>
      </c>
      <c r="F2033">
        <f t="shared" si="59"/>
        <v>1.2926084899726584E-2</v>
      </c>
      <c r="M2033" s="31"/>
    </row>
    <row r="2034" spans="1:13" x14ac:dyDescent="0.3">
      <c r="A2034">
        <v>1994</v>
      </c>
      <c r="B2034">
        <v>4</v>
      </c>
      <c r="C2034">
        <v>24</v>
      </c>
      <c r="D2034">
        <v>0.84688514880128829</v>
      </c>
      <c r="E2034">
        <v>1.5200000000000102E-2</v>
      </c>
      <c r="F2034">
        <f t="shared" si="59"/>
        <v>1.2872654261779668E-2</v>
      </c>
      <c r="M2034" s="31"/>
    </row>
    <row r="2035" spans="1:13" x14ac:dyDescent="0.3">
      <c r="A2035">
        <v>1994</v>
      </c>
      <c r="B2035">
        <v>4</v>
      </c>
      <c r="C2035">
        <v>22</v>
      </c>
      <c r="D2035">
        <v>0.84394032225259008</v>
      </c>
      <c r="E2035">
        <v>1.5200000000000102E-2</v>
      </c>
      <c r="F2035">
        <f t="shared" si="59"/>
        <v>1.2827892898239455E-2</v>
      </c>
      <c r="M2035" s="31"/>
    </row>
    <row r="2036" spans="1:13" x14ac:dyDescent="0.3">
      <c r="A2036">
        <v>1994</v>
      </c>
      <c r="B2036">
        <v>4</v>
      </c>
      <c r="C2036">
        <v>20</v>
      </c>
      <c r="D2036">
        <v>0.83886923007952707</v>
      </c>
      <c r="E2036">
        <v>1.5200000000000102E-2</v>
      </c>
      <c r="F2036">
        <f t="shared" si="59"/>
        <v>1.2750812297208897E-2</v>
      </c>
      <c r="M2036" s="31"/>
    </row>
    <row r="2037" spans="1:13" x14ac:dyDescent="0.3">
      <c r="A2037">
        <v>1994</v>
      </c>
      <c r="B2037">
        <v>4</v>
      </c>
      <c r="C2037">
        <v>18</v>
      </c>
      <c r="D2037">
        <v>0.83040591757825</v>
      </c>
      <c r="E2037">
        <v>1.5200000000000102E-2</v>
      </c>
      <c r="F2037">
        <f t="shared" si="59"/>
        <v>1.2622169947189486E-2</v>
      </c>
      <c r="M2037" s="31"/>
    </row>
    <row r="2038" spans="1:13" x14ac:dyDescent="0.3">
      <c r="A2038">
        <v>1994</v>
      </c>
      <c r="B2038">
        <v>4</v>
      </c>
      <c r="C2038">
        <v>17</v>
      </c>
      <c r="D2038">
        <v>0.82040825867652012</v>
      </c>
      <c r="E2038">
        <v>1.5200000000000102E-2</v>
      </c>
      <c r="F2038">
        <f t="shared" si="59"/>
        <v>1.247020553188319E-2</v>
      </c>
      <c r="M2038" s="31"/>
    </row>
    <row r="2039" spans="1:13" x14ac:dyDescent="0.3">
      <c r="A2039">
        <v>1994</v>
      </c>
      <c r="B2039">
        <v>4</v>
      </c>
      <c r="C2039">
        <v>15</v>
      </c>
      <c r="D2039">
        <v>0.80987415421675346</v>
      </c>
      <c r="E2039">
        <v>1.5200000000000102E-2</v>
      </c>
      <c r="F2039">
        <f t="shared" si="59"/>
        <v>1.2310087144094735E-2</v>
      </c>
      <c r="M2039" s="31"/>
    </row>
    <row r="2040" spans="1:13" x14ac:dyDescent="0.3">
      <c r="A2040">
        <v>1994</v>
      </c>
      <c r="B2040">
        <v>4</v>
      </c>
      <c r="C2040">
        <v>13</v>
      </c>
      <c r="D2040">
        <v>0.79965097564342402</v>
      </c>
      <c r="E2040">
        <v>1.5200000000000102E-2</v>
      </c>
      <c r="F2040">
        <f t="shared" si="59"/>
        <v>1.2154694829780127E-2</v>
      </c>
      <c r="M2040" s="31"/>
    </row>
    <row r="2041" spans="1:13" x14ac:dyDescent="0.3">
      <c r="A2041">
        <v>1994</v>
      </c>
      <c r="B2041">
        <v>4</v>
      </c>
      <c r="C2041">
        <v>11</v>
      </c>
      <c r="D2041">
        <v>0.79155458750542929</v>
      </c>
      <c r="E2041">
        <v>1.5200000000000102E-2</v>
      </c>
      <c r="F2041">
        <f t="shared" si="59"/>
        <v>1.2031629730082606E-2</v>
      </c>
      <c r="M2041" s="31"/>
    </row>
    <row r="2042" spans="1:13" x14ac:dyDescent="0.3">
      <c r="A2042">
        <v>1994</v>
      </c>
      <c r="B2042">
        <v>4</v>
      </c>
      <c r="C2042">
        <v>9</v>
      </c>
      <c r="D2042">
        <v>0.78515197420134519</v>
      </c>
      <c r="E2042">
        <v>1.5200000000000102E-2</v>
      </c>
      <c r="F2042">
        <f t="shared" si="59"/>
        <v>1.1934310007860527E-2</v>
      </c>
      <c r="M2042" s="31"/>
    </row>
    <row r="2043" spans="1:13" x14ac:dyDescent="0.3">
      <c r="A2043">
        <v>1994</v>
      </c>
      <c r="B2043">
        <v>4</v>
      </c>
      <c r="C2043">
        <v>7</v>
      </c>
      <c r="D2043">
        <v>0.77876007716739604</v>
      </c>
      <c r="E2043">
        <v>1.5200000000000102E-2</v>
      </c>
      <c r="F2043">
        <f t="shared" si="59"/>
        <v>1.18371531729445E-2</v>
      </c>
      <c r="M2043" s="31"/>
    </row>
    <row r="2044" spans="1:13" x14ac:dyDescent="0.3">
      <c r="A2044">
        <v>1994</v>
      </c>
      <c r="B2044">
        <v>4</v>
      </c>
      <c r="C2044">
        <v>5</v>
      </c>
      <c r="D2044">
        <v>0.77307490755973629</v>
      </c>
      <c r="E2044">
        <v>1.5200000000000102E-2</v>
      </c>
      <c r="F2044">
        <f t="shared" si="59"/>
        <v>1.1750738594908071E-2</v>
      </c>
      <c r="M2044" s="31"/>
    </row>
    <row r="2045" spans="1:13" x14ac:dyDescent="0.3">
      <c r="A2045">
        <v>1994</v>
      </c>
      <c r="B2045">
        <v>4</v>
      </c>
      <c r="C2045">
        <v>4</v>
      </c>
      <c r="D2045">
        <v>0.76739814119229932</v>
      </c>
      <c r="E2045">
        <v>1.5200000000000102E-2</v>
      </c>
      <c r="F2045">
        <f t="shared" si="59"/>
        <v>1.1664451746123029E-2</v>
      </c>
      <c r="M2045" s="31"/>
    </row>
    <row r="2046" spans="1:13" x14ac:dyDescent="0.3">
      <c r="A2046">
        <v>1994</v>
      </c>
      <c r="B2046">
        <v>4</v>
      </c>
      <c r="C2046">
        <v>2</v>
      </c>
      <c r="D2046">
        <v>0.76131390397810983</v>
      </c>
      <c r="E2046">
        <v>1.5200000000000102E-2</v>
      </c>
      <c r="F2046">
        <f t="shared" si="59"/>
        <v>1.1571971340467347E-2</v>
      </c>
      <c r="M2046" s="31"/>
    </row>
    <row r="2047" spans="1:13" x14ac:dyDescent="0.3">
      <c r="A2047">
        <v>1994</v>
      </c>
      <c r="B2047">
        <v>3</v>
      </c>
      <c r="C2047">
        <v>31</v>
      </c>
      <c r="D2047">
        <v>0.75690135423364058</v>
      </c>
      <c r="E2047">
        <v>1.5200000000000102E-2</v>
      </c>
      <c r="F2047">
        <f t="shared" si="59"/>
        <v>1.1504900584351415E-2</v>
      </c>
      <c r="M2047" s="31"/>
    </row>
    <row r="2048" spans="1:13" x14ac:dyDescent="0.3">
      <c r="A2048">
        <v>1994</v>
      </c>
      <c r="B2048">
        <v>3</v>
      </c>
      <c r="C2048">
        <v>29</v>
      </c>
      <c r="D2048">
        <v>0.75194037096772992</v>
      </c>
      <c r="E2048">
        <v>1.5200000000000102E-2</v>
      </c>
      <c r="F2048">
        <f t="shared" si="59"/>
        <v>1.1429493638709572E-2</v>
      </c>
      <c r="M2048" s="31"/>
    </row>
    <row r="2049" spans="1:13" x14ac:dyDescent="0.3">
      <c r="A2049">
        <v>1994</v>
      </c>
      <c r="B2049">
        <v>3</v>
      </c>
      <c r="C2049">
        <v>27</v>
      </c>
      <c r="D2049">
        <v>0.74298223622541371</v>
      </c>
      <c r="E2049">
        <v>1.5200000000000102E-2</v>
      </c>
      <c r="F2049">
        <f t="shared" si="59"/>
        <v>1.1293329990626365E-2</v>
      </c>
      <c r="M2049" s="31"/>
    </row>
    <row r="2050" spans="1:13" x14ac:dyDescent="0.3">
      <c r="A2050">
        <v>1994</v>
      </c>
      <c r="B2050">
        <v>3</v>
      </c>
      <c r="C2050">
        <v>25</v>
      </c>
      <c r="D2050">
        <v>0.73129689394272479</v>
      </c>
      <c r="E2050">
        <v>1.5200000000000102E-2</v>
      </c>
      <c r="F2050">
        <f t="shared" si="59"/>
        <v>1.1115712787929492E-2</v>
      </c>
      <c r="M2050" s="31"/>
    </row>
    <row r="2051" spans="1:13" x14ac:dyDescent="0.3">
      <c r="A2051">
        <v>1994</v>
      </c>
      <c r="B2051">
        <v>3</v>
      </c>
      <c r="C2051">
        <v>24</v>
      </c>
      <c r="D2051">
        <v>0.71732609287219573</v>
      </c>
      <c r="E2051">
        <v>1.5200000000000102E-2</v>
      </c>
      <c r="F2051">
        <f t="shared" ref="F2051:F2114" si="60">D2051*E2051</f>
        <v>1.0903356611657448E-2</v>
      </c>
      <c r="M2051" s="31"/>
    </row>
    <row r="2052" spans="1:13" x14ac:dyDescent="0.3">
      <c r="A2052">
        <v>1994</v>
      </c>
      <c r="B2052">
        <v>3</v>
      </c>
      <c r="C2052">
        <v>22</v>
      </c>
      <c r="D2052">
        <v>0.70001467974891207</v>
      </c>
      <c r="E2052">
        <v>1.5200000000000102E-2</v>
      </c>
      <c r="F2052">
        <f t="shared" si="60"/>
        <v>1.0640223132183536E-2</v>
      </c>
      <c r="M2052" s="31"/>
    </row>
    <row r="2053" spans="1:13" x14ac:dyDescent="0.3">
      <c r="A2053">
        <v>1994</v>
      </c>
      <c r="B2053">
        <v>3</v>
      </c>
      <c r="C2053">
        <v>20</v>
      </c>
      <c r="D2053">
        <v>0.68131478998832784</v>
      </c>
      <c r="E2053">
        <v>1.5200000000000102E-2</v>
      </c>
      <c r="F2053">
        <f t="shared" si="60"/>
        <v>1.0355984807822653E-2</v>
      </c>
      <c r="M2053" s="31"/>
    </row>
    <row r="2054" spans="1:13" x14ac:dyDescent="0.3">
      <c r="A2054">
        <v>1994</v>
      </c>
      <c r="B2054">
        <v>3</v>
      </c>
      <c r="C2054">
        <v>18</v>
      </c>
      <c r="D2054">
        <v>0.6647486149638725</v>
      </c>
      <c r="E2054">
        <v>1.5200000000000102E-2</v>
      </c>
      <c r="F2054">
        <f t="shared" si="60"/>
        <v>1.010417894745093E-2</v>
      </c>
      <c r="M2054" s="31"/>
    </row>
    <row r="2055" spans="1:13" x14ac:dyDescent="0.3">
      <c r="A2055">
        <v>1994</v>
      </c>
      <c r="B2055">
        <v>3</v>
      </c>
      <c r="C2055">
        <v>16</v>
      </c>
      <c r="D2055">
        <v>0.65161888206581819</v>
      </c>
      <c r="E2055">
        <v>1.5200000000000102E-2</v>
      </c>
      <c r="F2055">
        <f t="shared" si="60"/>
        <v>9.9046070074005031E-3</v>
      </c>
      <c r="M2055" s="31"/>
    </row>
    <row r="2056" spans="1:13" x14ac:dyDescent="0.3">
      <c r="A2056">
        <v>1994</v>
      </c>
      <c r="B2056">
        <v>3</v>
      </c>
      <c r="C2056">
        <v>14</v>
      </c>
      <c r="D2056">
        <v>0.64054692057545892</v>
      </c>
      <c r="E2056">
        <v>1.5200000000000102E-2</v>
      </c>
      <c r="F2056">
        <f t="shared" si="60"/>
        <v>9.7363131927470405E-3</v>
      </c>
      <c r="M2056" s="31"/>
    </row>
    <row r="2057" spans="1:13" x14ac:dyDescent="0.3">
      <c r="A2057">
        <v>1994</v>
      </c>
      <c r="B2057">
        <v>3</v>
      </c>
      <c r="C2057">
        <v>12</v>
      </c>
      <c r="D2057">
        <v>0.63004827601312874</v>
      </c>
      <c r="E2057">
        <v>1.5200000000000102E-2</v>
      </c>
      <c r="F2057">
        <f t="shared" si="60"/>
        <v>9.5767337953996216E-3</v>
      </c>
      <c r="M2057" s="31"/>
    </row>
    <row r="2058" spans="1:13" x14ac:dyDescent="0.3">
      <c r="A2058">
        <v>1994</v>
      </c>
      <c r="B2058">
        <v>3</v>
      </c>
      <c r="C2058">
        <v>11</v>
      </c>
      <c r="D2058">
        <v>0.6186641360444799</v>
      </c>
      <c r="E2058">
        <v>1.5200000000000102E-2</v>
      </c>
      <c r="F2058">
        <f t="shared" si="60"/>
        <v>9.403694867876157E-3</v>
      </c>
      <c r="M2058" s="31"/>
    </row>
    <row r="2059" spans="1:13" x14ac:dyDescent="0.3">
      <c r="A2059">
        <v>1994</v>
      </c>
      <c r="B2059">
        <v>3</v>
      </c>
      <c r="C2059">
        <v>9</v>
      </c>
      <c r="D2059">
        <v>0.60482948650152069</v>
      </c>
      <c r="E2059">
        <v>1.5200000000000102E-2</v>
      </c>
      <c r="F2059">
        <f t="shared" si="60"/>
        <v>9.1934081948231768E-3</v>
      </c>
      <c r="M2059" s="31"/>
    </row>
    <row r="2060" spans="1:13" x14ac:dyDescent="0.3">
      <c r="A2060">
        <v>1994</v>
      </c>
      <c r="B2060">
        <v>3</v>
      </c>
      <c r="C2060">
        <v>7</v>
      </c>
      <c r="D2060">
        <v>0.59002262320746846</v>
      </c>
      <c r="E2060">
        <v>1.5200000000000102E-2</v>
      </c>
      <c r="F2060">
        <f t="shared" si="60"/>
        <v>8.9683438727535814E-3</v>
      </c>
      <c r="M2060" s="31"/>
    </row>
    <row r="2061" spans="1:13" x14ac:dyDescent="0.3">
      <c r="A2061">
        <v>1994</v>
      </c>
      <c r="B2061">
        <v>3</v>
      </c>
      <c r="C2061">
        <v>5</v>
      </c>
      <c r="D2061">
        <v>0.57517158040297589</v>
      </c>
      <c r="E2061">
        <v>1.5200000000000102E-2</v>
      </c>
      <c r="F2061">
        <f t="shared" si="60"/>
        <v>8.7426080221252919E-3</v>
      </c>
      <c r="M2061" s="31"/>
    </row>
    <row r="2062" spans="1:13" x14ac:dyDescent="0.3">
      <c r="A2062">
        <v>1994</v>
      </c>
      <c r="B2062">
        <v>3</v>
      </c>
      <c r="C2062">
        <v>3</v>
      </c>
      <c r="D2062">
        <v>0.56195826059961662</v>
      </c>
      <c r="E2062">
        <v>1.5200000000000102E-2</v>
      </c>
      <c r="F2062">
        <f t="shared" si="60"/>
        <v>8.5417655611142295E-3</v>
      </c>
      <c r="M2062" s="31"/>
    </row>
    <row r="2063" spans="1:13" x14ac:dyDescent="0.3">
      <c r="A2063">
        <v>1994</v>
      </c>
      <c r="B2063">
        <v>3</v>
      </c>
      <c r="C2063">
        <v>1</v>
      </c>
      <c r="D2063">
        <v>0.55202834189117245</v>
      </c>
      <c r="E2063">
        <v>1.5200000000000102E-2</v>
      </c>
      <c r="F2063">
        <f t="shared" si="60"/>
        <v>8.3908307967458778E-3</v>
      </c>
      <c r="M2063" s="31"/>
    </row>
    <row r="2064" spans="1:13" x14ac:dyDescent="0.3">
      <c r="A2064">
        <v>1994</v>
      </c>
      <c r="B2064">
        <v>2</v>
      </c>
      <c r="C2064">
        <v>28</v>
      </c>
      <c r="D2064">
        <v>0.54777910008010788</v>
      </c>
      <c r="E2064">
        <v>1.5200000000000102E-2</v>
      </c>
      <c r="F2064">
        <f t="shared" si="60"/>
        <v>8.3262423212176959E-3</v>
      </c>
      <c r="M2064" s="31"/>
    </row>
    <row r="2065" spans="1:13" x14ac:dyDescent="0.3">
      <c r="A2065">
        <v>1994</v>
      </c>
      <c r="B2065">
        <v>2</v>
      </c>
      <c r="C2065">
        <v>18</v>
      </c>
      <c r="D2065">
        <v>0.54789719155168992</v>
      </c>
      <c r="E2065">
        <v>1.5200000000000102E-2</v>
      </c>
      <c r="F2065">
        <f t="shared" si="60"/>
        <v>8.3280373115857433E-3</v>
      </c>
      <c r="M2065" s="31"/>
    </row>
    <row r="2066" spans="1:13" x14ac:dyDescent="0.3">
      <c r="A2066">
        <v>1994</v>
      </c>
      <c r="B2066">
        <v>2</v>
      </c>
      <c r="C2066">
        <v>9</v>
      </c>
      <c r="D2066">
        <v>0.55045649238535288</v>
      </c>
      <c r="E2066">
        <v>1.5200000000000102E-2</v>
      </c>
      <c r="F2066">
        <f t="shared" si="60"/>
        <v>8.3669386842574207E-3</v>
      </c>
      <c r="M2066" s="31"/>
    </row>
    <row r="2067" spans="1:13" x14ac:dyDescent="0.3">
      <c r="A2067">
        <v>1994</v>
      </c>
      <c r="B2067">
        <v>1</v>
      </c>
      <c r="C2067">
        <v>30</v>
      </c>
      <c r="D2067">
        <v>0.55469345748343324</v>
      </c>
      <c r="E2067">
        <v>1.5200000000000102E-2</v>
      </c>
      <c r="F2067">
        <f t="shared" si="60"/>
        <v>8.4313405537482424E-3</v>
      </c>
      <c r="M2067" s="31"/>
    </row>
    <row r="2068" spans="1:13" x14ac:dyDescent="0.3">
      <c r="A2068">
        <v>1994</v>
      </c>
      <c r="B2068">
        <v>1</v>
      </c>
      <c r="C2068">
        <v>21</v>
      </c>
      <c r="D2068">
        <v>0.5612642062417138</v>
      </c>
      <c r="E2068">
        <v>1.5200000000000102E-2</v>
      </c>
      <c r="F2068">
        <f t="shared" si="60"/>
        <v>8.5312159348741069E-3</v>
      </c>
      <c r="M2068" s="31"/>
    </row>
    <row r="2069" spans="1:13" x14ac:dyDescent="0.3">
      <c r="A2069">
        <v>1994</v>
      </c>
      <c r="B2069">
        <v>1</v>
      </c>
      <c r="C2069">
        <v>12</v>
      </c>
      <c r="D2069">
        <v>0.56889303786410717</v>
      </c>
      <c r="E2069">
        <v>1.5200000000000102E-2</v>
      </c>
      <c r="F2069">
        <f t="shared" si="60"/>
        <v>8.6471741755344868E-3</v>
      </c>
      <c r="M2069" s="31"/>
    </row>
    <row r="2070" spans="1:13" x14ac:dyDescent="0.3">
      <c r="A2070">
        <v>1994</v>
      </c>
      <c r="B2070">
        <v>1</v>
      </c>
      <c r="C2070">
        <v>2</v>
      </c>
      <c r="D2070">
        <v>0.57759058824231546</v>
      </c>
      <c r="E2070">
        <v>1.5200000000000102E-2</v>
      </c>
      <c r="F2070">
        <f t="shared" si="60"/>
        <v>8.7793769412832547E-3</v>
      </c>
      <c r="M2070" s="31"/>
    </row>
    <row r="2071" spans="1:13" x14ac:dyDescent="0.3">
      <c r="A2071">
        <v>1993</v>
      </c>
      <c r="B2071">
        <v>12</v>
      </c>
      <c r="C2071">
        <v>24</v>
      </c>
      <c r="D2071">
        <v>0.58789150120921441</v>
      </c>
      <c r="E2071">
        <v>1.5200000000000102E-2</v>
      </c>
      <c r="F2071">
        <f t="shared" si="60"/>
        <v>8.9359508183801187E-3</v>
      </c>
      <c r="M2071" s="31"/>
    </row>
    <row r="2072" spans="1:13" x14ac:dyDescent="0.3">
      <c r="A2072">
        <v>1993</v>
      </c>
      <c r="B2072">
        <v>12</v>
      </c>
      <c r="C2072">
        <v>15</v>
      </c>
      <c r="D2072">
        <v>0.59994806915562504</v>
      </c>
      <c r="E2072">
        <v>1.5200000000000102E-2</v>
      </c>
      <c r="F2072">
        <f t="shared" si="60"/>
        <v>9.1192106511655616E-3</v>
      </c>
      <c r="M2072" s="31"/>
    </row>
    <row r="2073" spans="1:13" x14ac:dyDescent="0.3">
      <c r="A2073">
        <v>1993</v>
      </c>
      <c r="B2073">
        <v>12</v>
      </c>
      <c r="C2073">
        <v>5</v>
      </c>
      <c r="D2073">
        <v>0.6122001789641216</v>
      </c>
      <c r="E2073">
        <v>1.5200000000000102E-2</v>
      </c>
      <c r="F2073">
        <f t="shared" si="60"/>
        <v>9.3054427202547106E-3</v>
      </c>
      <c r="M2073" s="31"/>
    </row>
    <row r="2074" spans="1:13" x14ac:dyDescent="0.3">
      <c r="A2074">
        <v>1993</v>
      </c>
      <c r="B2074">
        <v>11</v>
      </c>
      <c r="C2074">
        <v>26</v>
      </c>
      <c r="D2074">
        <v>0.62292424810667668</v>
      </c>
      <c r="E2074">
        <v>1.5200000000000102E-2</v>
      </c>
      <c r="F2074">
        <f t="shared" si="60"/>
        <v>9.4684485712215501E-3</v>
      </c>
      <c r="M2074" s="31"/>
    </row>
    <row r="2075" spans="1:13" x14ac:dyDescent="0.3">
      <c r="A2075">
        <v>1993</v>
      </c>
      <c r="B2075">
        <v>11</v>
      </c>
      <c r="C2075">
        <v>17</v>
      </c>
      <c r="D2075">
        <v>0.63116654337556477</v>
      </c>
      <c r="E2075">
        <v>1.5200000000000102E-2</v>
      </c>
      <c r="F2075">
        <f t="shared" si="60"/>
        <v>9.5937314593086496E-3</v>
      </c>
      <c r="M2075" s="31"/>
    </row>
    <row r="2076" spans="1:13" x14ac:dyDescent="0.3">
      <c r="A2076">
        <v>1993</v>
      </c>
      <c r="B2076">
        <v>11</v>
      </c>
      <c r="C2076">
        <v>7</v>
      </c>
      <c r="D2076">
        <v>0.63850327639740256</v>
      </c>
      <c r="E2076">
        <v>1.5200000000000102E-2</v>
      </c>
      <c r="F2076">
        <f t="shared" si="60"/>
        <v>9.7052498012405852E-3</v>
      </c>
      <c r="M2076" s="31"/>
    </row>
    <row r="2077" spans="1:13" x14ac:dyDescent="0.3">
      <c r="A2077">
        <v>1993</v>
      </c>
      <c r="B2077">
        <v>10</v>
      </c>
      <c r="C2077">
        <v>29</v>
      </c>
      <c r="D2077">
        <v>0.64706889933560496</v>
      </c>
      <c r="E2077">
        <v>1.5200000000000102E-2</v>
      </c>
      <c r="F2077">
        <f t="shared" si="60"/>
        <v>9.8354472699012617E-3</v>
      </c>
      <c r="M2077" s="31"/>
    </row>
    <row r="2078" spans="1:13" x14ac:dyDescent="0.3">
      <c r="A2078">
        <v>1993</v>
      </c>
      <c r="B2078">
        <v>10</v>
      </c>
      <c r="C2078">
        <v>20</v>
      </c>
      <c r="D2078">
        <v>0.65676262788373052</v>
      </c>
      <c r="E2078">
        <v>1.5200000000000102E-2</v>
      </c>
      <c r="F2078">
        <f t="shared" si="60"/>
        <v>9.9827919438327719E-3</v>
      </c>
      <c r="M2078" s="31"/>
    </row>
    <row r="2079" spans="1:13" x14ac:dyDescent="0.3">
      <c r="A2079">
        <v>1993</v>
      </c>
      <c r="B2079">
        <v>10</v>
      </c>
      <c r="C2079">
        <v>10</v>
      </c>
      <c r="D2079">
        <v>0.66731177935833796</v>
      </c>
      <c r="E2079">
        <v>1.5200000000000102E-2</v>
      </c>
      <c r="F2079">
        <f t="shared" si="60"/>
        <v>1.0143139046246806E-2</v>
      </c>
      <c r="M2079" s="31"/>
    </row>
    <row r="2080" spans="1:13" x14ac:dyDescent="0.3">
      <c r="A2080">
        <v>1993</v>
      </c>
      <c r="B2080">
        <v>10</v>
      </c>
      <c r="C2080">
        <v>1</v>
      </c>
      <c r="D2080">
        <v>0.68022110745248765</v>
      </c>
      <c r="E2080">
        <v>1.5200000000000102E-2</v>
      </c>
      <c r="F2080">
        <f t="shared" si="60"/>
        <v>1.0339360833277881E-2</v>
      </c>
      <c r="M2080" s="31"/>
    </row>
    <row r="2081" spans="1:13" x14ac:dyDescent="0.3">
      <c r="A2081">
        <v>1993</v>
      </c>
      <c r="B2081">
        <v>9</v>
      </c>
      <c r="C2081">
        <v>22</v>
      </c>
      <c r="D2081">
        <v>0.69661918768337328</v>
      </c>
      <c r="E2081">
        <v>1.5200000000000102E-2</v>
      </c>
      <c r="F2081">
        <f t="shared" si="60"/>
        <v>1.0588611652787345E-2</v>
      </c>
      <c r="M2081" s="31"/>
    </row>
    <row r="2082" spans="1:13" x14ac:dyDescent="0.3">
      <c r="A2082">
        <v>1993</v>
      </c>
      <c r="B2082">
        <v>9</v>
      </c>
      <c r="C2082">
        <v>12</v>
      </c>
      <c r="D2082">
        <v>0.71519305567540536</v>
      </c>
      <c r="E2082">
        <v>1.5200000000000102E-2</v>
      </c>
      <c r="F2082">
        <f t="shared" si="60"/>
        <v>1.0870934446266235E-2</v>
      </c>
      <c r="M2082" s="31"/>
    </row>
    <row r="2083" spans="1:13" x14ac:dyDescent="0.3">
      <c r="A2083">
        <v>1993</v>
      </c>
      <c r="B2083">
        <v>9</v>
      </c>
      <c r="C2083">
        <v>3</v>
      </c>
      <c r="D2083">
        <v>0.73806581025661544</v>
      </c>
      <c r="E2083">
        <v>1.5200000000000102E-2</v>
      </c>
      <c r="F2083">
        <f t="shared" si="60"/>
        <v>1.1218600315900631E-2</v>
      </c>
      <c r="M2083" s="31"/>
    </row>
    <row r="2084" spans="1:13" x14ac:dyDescent="0.3">
      <c r="A2084">
        <v>1993</v>
      </c>
      <c r="B2084">
        <v>8</v>
      </c>
      <c r="C2084">
        <v>25</v>
      </c>
      <c r="D2084">
        <v>0.76589758917185569</v>
      </c>
      <c r="E2084">
        <v>1.5200000000000102E-2</v>
      </c>
      <c r="F2084">
        <f t="shared" si="60"/>
        <v>1.1641643355412285E-2</v>
      </c>
      <c r="M2084" s="31"/>
    </row>
    <row r="2085" spans="1:13" x14ac:dyDescent="0.3">
      <c r="A2085">
        <v>1993</v>
      </c>
      <c r="B2085">
        <v>8</v>
      </c>
      <c r="C2085">
        <v>15</v>
      </c>
      <c r="D2085">
        <v>0.7959884145869115</v>
      </c>
      <c r="E2085">
        <v>1.5200000000000102E-2</v>
      </c>
      <c r="F2085">
        <f t="shared" si="60"/>
        <v>1.2099023901721136E-2</v>
      </c>
      <c r="M2085" s="31"/>
    </row>
    <row r="2086" spans="1:13" x14ac:dyDescent="0.3">
      <c r="A2086">
        <v>1993</v>
      </c>
      <c r="B2086">
        <v>8</v>
      </c>
      <c r="C2086">
        <v>6</v>
      </c>
      <c r="D2086">
        <v>0.8272490294367757</v>
      </c>
      <c r="E2086">
        <v>1.5200000000000102E-2</v>
      </c>
      <c r="F2086">
        <f t="shared" si="60"/>
        <v>1.2574185247439076E-2</v>
      </c>
      <c r="M2086" s="31"/>
    </row>
    <row r="2087" spans="1:13" x14ac:dyDescent="0.3">
      <c r="A2087">
        <v>1993</v>
      </c>
      <c r="B2087">
        <v>7</v>
      </c>
      <c r="C2087">
        <v>28</v>
      </c>
      <c r="D2087">
        <v>0.85681358308939781</v>
      </c>
      <c r="E2087">
        <v>1.5200000000000102E-2</v>
      </c>
      <c r="F2087">
        <f t="shared" si="60"/>
        <v>1.3023566462958934E-2</v>
      </c>
      <c r="M2087" s="31"/>
    </row>
    <row r="2088" spans="1:13" x14ac:dyDescent="0.3">
      <c r="A2088">
        <v>1993</v>
      </c>
      <c r="B2088">
        <v>7</v>
      </c>
      <c r="C2088">
        <v>18</v>
      </c>
      <c r="D2088">
        <v>0.8806983794105806</v>
      </c>
      <c r="E2088">
        <v>1.5200000000000102E-2</v>
      </c>
      <c r="F2088">
        <f t="shared" si="60"/>
        <v>1.3386615367040916E-2</v>
      </c>
      <c r="M2088" s="31"/>
    </row>
    <row r="2089" spans="1:13" x14ac:dyDescent="0.3">
      <c r="A2089">
        <v>1993</v>
      </c>
      <c r="B2089">
        <v>7</v>
      </c>
      <c r="C2089">
        <v>9</v>
      </c>
      <c r="D2089">
        <v>0.89205833672354562</v>
      </c>
      <c r="E2089">
        <v>1.5200000000000102E-2</v>
      </c>
      <c r="F2089">
        <f t="shared" si="60"/>
        <v>1.3559286718197984E-2</v>
      </c>
      <c r="M2089" s="31"/>
    </row>
    <row r="2090" spans="1:13" x14ac:dyDescent="0.3">
      <c r="A2090">
        <v>1993</v>
      </c>
      <c r="B2090">
        <v>6</v>
      </c>
      <c r="C2090">
        <v>30</v>
      </c>
      <c r="D2090">
        <v>0.89600852131632835</v>
      </c>
      <c r="E2090">
        <v>1.5200000000000102E-2</v>
      </c>
      <c r="F2090">
        <f t="shared" si="60"/>
        <v>1.3619329524008282E-2</v>
      </c>
      <c r="M2090" s="31"/>
    </row>
    <row r="2091" spans="1:13" x14ac:dyDescent="0.3">
      <c r="A2091">
        <v>1993</v>
      </c>
      <c r="B2091">
        <v>6</v>
      </c>
      <c r="C2091">
        <v>28</v>
      </c>
      <c r="D2091">
        <v>0.8885740787402665</v>
      </c>
      <c r="E2091">
        <v>1.5200000000000102E-2</v>
      </c>
      <c r="F2091">
        <f t="shared" si="60"/>
        <v>1.3506325996852142E-2</v>
      </c>
      <c r="M2091" s="31"/>
    </row>
    <row r="2092" spans="1:13" x14ac:dyDescent="0.3">
      <c r="A2092">
        <v>1993</v>
      </c>
      <c r="B2092">
        <v>6</v>
      </c>
      <c r="C2092">
        <v>26</v>
      </c>
      <c r="D2092">
        <v>0.87401984102778008</v>
      </c>
      <c r="E2092">
        <v>1.5200000000000102E-2</v>
      </c>
      <c r="F2092">
        <f t="shared" si="60"/>
        <v>1.3285101583622347E-2</v>
      </c>
      <c r="M2092" s="31"/>
    </row>
    <row r="2093" spans="1:13" x14ac:dyDescent="0.3">
      <c r="A2093">
        <v>1993</v>
      </c>
      <c r="B2093">
        <v>6</v>
      </c>
      <c r="C2093">
        <v>24</v>
      </c>
      <c r="D2093">
        <v>0.85618129488571804</v>
      </c>
      <c r="E2093">
        <v>1.5200000000000102E-2</v>
      </c>
      <c r="F2093">
        <f t="shared" si="60"/>
        <v>1.3013955682263002E-2</v>
      </c>
      <c r="M2093" s="31"/>
    </row>
    <row r="2094" spans="1:13" x14ac:dyDescent="0.3">
      <c r="A2094">
        <v>1993</v>
      </c>
      <c r="B2094">
        <v>6</v>
      </c>
      <c r="C2094">
        <v>22</v>
      </c>
      <c r="D2094">
        <v>0.84360356893205668</v>
      </c>
      <c r="E2094">
        <v>1.5200000000000102E-2</v>
      </c>
      <c r="F2094">
        <f t="shared" si="60"/>
        <v>1.2822774247767349E-2</v>
      </c>
      <c r="M2094" s="31"/>
    </row>
    <row r="2095" spans="1:13" x14ac:dyDescent="0.3">
      <c r="A2095">
        <v>1993</v>
      </c>
      <c r="B2095">
        <v>6</v>
      </c>
      <c r="C2095">
        <v>20</v>
      </c>
      <c r="D2095">
        <v>0.83264087732264347</v>
      </c>
      <c r="E2095">
        <v>1.5200000000000102E-2</v>
      </c>
      <c r="F2095">
        <f t="shared" si="60"/>
        <v>1.2656141335304266E-2</v>
      </c>
      <c r="M2095" s="31"/>
    </row>
    <row r="2096" spans="1:13" x14ac:dyDescent="0.3">
      <c r="A2096">
        <v>1993</v>
      </c>
      <c r="B2096">
        <v>6</v>
      </c>
      <c r="C2096">
        <v>18</v>
      </c>
      <c r="D2096">
        <v>0.8280191503601354</v>
      </c>
      <c r="E2096">
        <v>1.5200000000000102E-2</v>
      </c>
      <c r="F2096">
        <f t="shared" si="60"/>
        <v>1.2585891085474143E-2</v>
      </c>
      <c r="M2096" s="31"/>
    </row>
    <row r="2097" spans="1:13" x14ac:dyDescent="0.3">
      <c r="A2097">
        <v>1993</v>
      </c>
      <c r="B2097">
        <v>6</v>
      </c>
      <c r="C2097">
        <v>16</v>
      </c>
      <c r="D2097">
        <v>0.82612822251755158</v>
      </c>
      <c r="E2097">
        <v>1.5200000000000102E-2</v>
      </c>
      <c r="F2097">
        <f t="shared" si="60"/>
        <v>1.2557148982266869E-2</v>
      </c>
      <c r="M2097" s="31"/>
    </row>
    <row r="2098" spans="1:13" x14ac:dyDescent="0.3">
      <c r="A2098">
        <v>1993</v>
      </c>
      <c r="B2098">
        <v>6</v>
      </c>
      <c r="C2098">
        <v>14</v>
      </c>
      <c r="D2098">
        <v>0.82265637556662274</v>
      </c>
      <c r="E2098">
        <v>1.5200000000000102E-2</v>
      </c>
      <c r="F2098">
        <f t="shared" si="60"/>
        <v>1.250437690861275E-2</v>
      </c>
      <c r="M2098" s="31"/>
    </row>
    <row r="2099" spans="1:13" x14ac:dyDescent="0.3">
      <c r="A2099">
        <v>1993</v>
      </c>
      <c r="B2099">
        <v>6</v>
      </c>
      <c r="C2099">
        <v>12</v>
      </c>
      <c r="D2099">
        <v>0.81631502059839467</v>
      </c>
      <c r="E2099">
        <v>1.5200000000000102E-2</v>
      </c>
      <c r="F2099">
        <f t="shared" si="60"/>
        <v>1.2407988313095683E-2</v>
      </c>
      <c r="M2099" s="31"/>
    </row>
    <row r="2100" spans="1:13" x14ac:dyDescent="0.3">
      <c r="A2100">
        <v>1993</v>
      </c>
      <c r="B2100">
        <v>6</v>
      </c>
      <c r="C2100">
        <v>10</v>
      </c>
      <c r="D2100">
        <v>0.80854771207342857</v>
      </c>
      <c r="E2100">
        <v>1.5200000000000102E-2</v>
      </c>
      <c r="F2100">
        <f t="shared" si="60"/>
        <v>1.2289925223516197E-2</v>
      </c>
      <c r="M2100" s="31"/>
    </row>
    <row r="2101" spans="1:13" x14ac:dyDescent="0.3">
      <c r="A2101">
        <v>1993</v>
      </c>
      <c r="B2101">
        <v>6</v>
      </c>
      <c r="C2101">
        <v>8</v>
      </c>
      <c r="D2101">
        <v>0.79921953425982051</v>
      </c>
      <c r="E2101">
        <v>1.5200000000000102E-2</v>
      </c>
      <c r="F2101">
        <f t="shared" si="60"/>
        <v>1.2148136920749354E-2</v>
      </c>
      <c r="M2101" s="31"/>
    </row>
    <row r="2102" spans="1:13" x14ac:dyDescent="0.3">
      <c r="A2102">
        <v>1993</v>
      </c>
      <c r="B2102">
        <v>6</v>
      </c>
      <c r="C2102">
        <v>6</v>
      </c>
      <c r="D2102">
        <v>0.79133367354894224</v>
      </c>
      <c r="E2102">
        <v>1.5200000000000102E-2</v>
      </c>
      <c r="F2102">
        <f t="shared" si="60"/>
        <v>1.2028271837944002E-2</v>
      </c>
      <c r="M2102" s="31"/>
    </row>
    <row r="2103" spans="1:13" x14ac:dyDescent="0.3">
      <c r="A2103">
        <v>1993</v>
      </c>
      <c r="B2103">
        <v>6</v>
      </c>
      <c r="C2103">
        <v>4</v>
      </c>
      <c r="D2103">
        <v>0.78644842491052747</v>
      </c>
      <c r="E2103">
        <v>1.5200000000000102E-2</v>
      </c>
      <c r="F2103">
        <f t="shared" si="60"/>
        <v>1.1954016058640098E-2</v>
      </c>
      <c r="M2103" s="31"/>
    </row>
    <row r="2104" spans="1:13" x14ac:dyDescent="0.3">
      <c r="A2104">
        <v>1993</v>
      </c>
      <c r="B2104">
        <v>6</v>
      </c>
      <c r="C2104">
        <v>2</v>
      </c>
      <c r="D2104">
        <v>0.78512378316047693</v>
      </c>
      <c r="E2104">
        <v>1.5200000000000102E-2</v>
      </c>
      <c r="F2104">
        <f t="shared" si="60"/>
        <v>1.193388150403933E-2</v>
      </c>
      <c r="M2104" s="31"/>
    </row>
    <row r="2105" spans="1:13" x14ac:dyDescent="0.3">
      <c r="A2105">
        <v>1993</v>
      </c>
      <c r="B2105">
        <v>5</v>
      </c>
      <c r="C2105">
        <v>31</v>
      </c>
      <c r="D2105">
        <v>0.78807405536305952</v>
      </c>
      <c r="E2105">
        <v>1.5200000000000102E-2</v>
      </c>
      <c r="F2105">
        <f t="shared" si="60"/>
        <v>1.1978725641518586E-2</v>
      </c>
      <c r="M2105" s="31"/>
    </row>
    <row r="2106" spans="1:13" x14ac:dyDescent="0.3">
      <c r="A2106">
        <v>1993</v>
      </c>
      <c r="B2106">
        <v>5</v>
      </c>
      <c r="C2106">
        <v>30</v>
      </c>
      <c r="D2106">
        <v>0.79503125226164884</v>
      </c>
      <c r="E2106">
        <v>1.5200000000000102E-2</v>
      </c>
      <c r="F2106">
        <f t="shared" si="60"/>
        <v>1.2084475034377144E-2</v>
      </c>
      <c r="M2106" s="31"/>
    </row>
    <row r="2107" spans="1:13" x14ac:dyDescent="0.3">
      <c r="A2107">
        <v>1993</v>
      </c>
      <c r="B2107">
        <v>5</v>
      </c>
      <c r="C2107">
        <v>28</v>
      </c>
      <c r="D2107">
        <v>0.80143732030616766</v>
      </c>
      <c r="E2107">
        <v>1.5200000000000102E-2</v>
      </c>
      <c r="F2107">
        <f t="shared" si="60"/>
        <v>1.2181847268653831E-2</v>
      </c>
      <c r="M2107" s="31"/>
    </row>
    <row r="2108" spans="1:13" x14ac:dyDescent="0.3">
      <c r="A2108">
        <v>1993</v>
      </c>
      <c r="B2108">
        <v>5</v>
      </c>
      <c r="C2108">
        <v>26</v>
      </c>
      <c r="D2108">
        <v>0.80858073518268947</v>
      </c>
      <c r="E2108">
        <v>1.5200000000000102E-2</v>
      </c>
      <c r="F2108">
        <f t="shared" si="60"/>
        <v>1.2290427174776963E-2</v>
      </c>
      <c r="M2108" s="31"/>
    </row>
    <row r="2109" spans="1:13" x14ac:dyDescent="0.3">
      <c r="A2109">
        <v>1993</v>
      </c>
      <c r="B2109">
        <v>5</v>
      </c>
      <c r="C2109">
        <v>24</v>
      </c>
      <c r="D2109">
        <v>0.81459429025278507</v>
      </c>
      <c r="E2109">
        <v>1.5200000000000102E-2</v>
      </c>
      <c r="F2109">
        <f t="shared" si="60"/>
        <v>1.2381833211842417E-2</v>
      </c>
      <c r="M2109" s="31"/>
    </row>
    <row r="2110" spans="1:13" x14ac:dyDescent="0.3">
      <c r="A2110">
        <v>1993</v>
      </c>
      <c r="B2110">
        <v>5</v>
      </c>
      <c r="C2110">
        <v>22</v>
      </c>
      <c r="D2110">
        <v>0.81918136580920387</v>
      </c>
      <c r="E2110">
        <v>1.5200000000000102E-2</v>
      </c>
      <c r="F2110">
        <f t="shared" si="60"/>
        <v>1.2451556760299982E-2</v>
      </c>
      <c r="M2110" s="31"/>
    </row>
    <row r="2111" spans="1:13" x14ac:dyDescent="0.3">
      <c r="A2111">
        <v>1993</v>
      </c>
      <c r="B2111">
        <v>5</v>
      </c>
      <c r="C2111">
        <v>20</v>
      </c>
      <c r="D2111">
        <v>0.8208887475792388</v>
      </c>
      <c r="E2111">
        <v>1.5200000000000102E-2</v>
      </c>
      <c r="F2111">
        <f t="shared" si="60"/>
        <v>1.2477508963204514E-2</v>
      </c>
      <c r="M2111" s="31"/>
    </row>
    <row r="2112" spans="1:13" x14ac:dyDescent="0.3">
      <c r="A2112">
        <v>1993</v>
      </c>
      <c r="B2112">
        <v>5</v>
      </c>
      <c r="C2112">
        <v>18</v>
      </c>
      <c r="D2112">
        <v>0.82317722192091058</v>
      </c>
      <c r="E2112">
        <v>1.5200000000000102E-2</v>
      </c>
      <c r="F2112">
        <f t="shared" si="60"/>
        <v>1.2512293773197925E-2</v>
      </c>
      <c r="M2112" s="31"/>
    </row>
    <row r="2113" spans="1:13" x14ac:dyDescent="0.3">
      <c r="A2113">
        <v>1993</v>
      </c>
      <c r="B2113">
        <v>5</v>
      </c>
      <c r="C2113">
        <v>16</v>
      </c>
      <c r="D2113">
        <v>0.82489059962442646</v>
      </c>
      <c r="E2113">
        <v>1.5200000000000102E-2</v>
      </c>
      <c r="F2113">
        <f t="shared" si="60"/>
        <v>1.2538337114291366E-2</v>
      </c>
      <c r="M2113" s="31"/>
    </row>
    <row r="2114" spans="1:13" x14ac:dyDescent="0.3">
      <c r="A2114">
        <v>1993</v>
      </c>
      <c r="B2114">
        <v>5</v>
      </c>
      <c r="C2114">
        <v>14</v>
      </c>
      <c r="D2114">
        <v>0.82559231558076118</v>
      </c>
      <c r="E2114">
        <v>1.5200000000000102E-2</v>
      </c>
      <c r="F2114">
        <f t="shared" si="60"/>
        <v>1.2549003196827654E-2</v>
      </c>
      <c r="M2114" s="31"/>
    </row>
    <row r="2115" spans="1:13" x14ac:dyDescent="0.3">
      <c r="A2115">
        <v>1993</v>
      </c>
      <c r="B2115">
        <v>5</v>
      </c>
      <c r="C2115">
        <v>12</v>
      </c>
      <c r="D2115">
        <v>0.8226714717126975</v>
      </c>
      <c r="E2115">
        <v>1.5200000000000102E-2</v>
      </c>
      <c r="F2115">
        <f t="shared" ref="F2115:F2178" si="61">D2115*E2115</f>
        <v>1.2504606370033085E-2</v>
      </c>
      <c r="M2115" s="31"/>
    </row>
    <row r="2116" spans="1:13" x14ac:dyDescent="0.3">
      <c r="A2116">
        <v>1993</v>
      </c>
      <c r="B2116">
        <v>5</v>
      </c>
      <c r="C2116">
        <v>10</v>
      </c>
      <c r="D2116">
        <v>0.81511976008613807</v>
      </c>
      <c r="E2116">
        <v>1.5200000000000102E-2</v>
      </c>
      <c r="F2116">
        <f t="shared" si="61"/>
        <v>1.2389820353309383E-2</v>
      </c>
      <c r="M2116" s="31"/>
    </row>
    <row r="2117" spans="1:13" x14ac:dyDescent="0.3">
      <c r="A2117">
        <v>1993</v>
      </c>
      <c r="B2117">
        <v>5</v>
      </c>
      <c r="C2117">
        <v>8</v>
      </c>
      <c r="D2117">
        <v>0.80325026790724419</v>
      </c>
      <c r="E2117">
        <v>1.5200000000000102E-2</v>
      </c>
      <c r="F2117">
        <f t="shared" si="61"/>
        <v>1.2209404072190193E-2</v>
      </c>
      <c r="M2117" s="31"/>
    </row>
    <row r="2118" spans="1:13" x14ac:dyDescent="0.3">
      <c r="A2118">
        <v>1993</v>
      </c>
      <c r="B2118">
        <v>5</v>
      </c>
      <c r="C2118">
        <v>6</v>
      </c>
      <c r="D2118">
        <v>0.7892569051300613</v>
      </c>
      <c r="E2118">
        <v>1.5200000000000102E-2</v>
      </c>
      <c r="F2118">
        <f t="shared" si="61"/>
        <v>1.1996704957977012E-2</v>
      </c>
      <c r="M2118" s="31"/>
    </row>
    <row r="2119" spans="1:13" x14ac:dyDescent="0.3">
      <c r="A2119">
        <v>1993</v>
      </c>
      <c r="B2119">
        <v>5</v>
      </c>
      <c r="C2119">
        <v>4</v>
      </c>
      <c r="D2119">
        <v>0.77473762057415463</v>
      </c>
      <c r="E2119">
        <v>1.5200000000000102E-2</v>
      </c>
      <c r="F2119">
        <f t="shared" si="61"/>
        <v>1.177601183272723E-2</v>
      </c>
      <c r="M2119" s="31"/>
    </row>
    <row r="2120" spans="1:13" x14ac:dyDescent="0.3">
      <c r="A2120">
        <v>1993</v>
      </c>
      <c r="B2120">
        <v>5</v>
      </c>
      <c r="C2120">
        <v>2</v>
      </c>
      <c r="D2120">
        <v>0.76084010350249387</v>
      </c>
      <c r="E2120">
        <v>1.5200000000000102E-2</v>
      </c>
      <c r="F2120">
        <f t="shared" si="61"/>
        <v>1.1564769573237984E-2</v>
      </c>
      <c r="M2120" s="31"/>
    </row>
    <row r="2121" spans="1:13" x14ac:dyDescent="0.3">
      <c r="A2121">
        <v>1993</v>
      </c>
      <c r="B2121">
        <v>4</v>
      </c>
      <c r="C2121">
        <v>30</v>
      </c>
      <c r="D2121">
        <v>0.74954575375158206</v>
      </c>
      <c r="E2121">
        <v>1.5200000000000102E-2</v>
      </c>
      <c r="F2121">
        <f t="shared" si="61"/>
        <v>1.1393095457024124E-2</v>
      </c>
      <c r="M2121" s="31"/>
    </row>
    <row r="2122" spans="1:13" x14ac:dyDescent="0.3">
      <c r="A2122">
        <v>1993</v>
      </c>
      <c r="B2122">
        <v>4</v>
      </c>
      <c r="C2122">
        <v>29</v>
      </c>
      <c r="D2122">
        <v>0.73983926444743708</v>
      </c>
      <c r="E2122">
        <v>1.5200000000000102E-2</v>
      </c>
      <c r="F2122">
        <f t="shared" si="61"/>
        <v>1.124555681960112E-2</v>
      </c>
      <c r="M2122" s="31"/>
    </row>
    <row r="2123" spans="1:13" x14ac:dyDescent="0.3">
      <c r="A2123">
        <v>1993</v>
      </c>
      <c r="B2123">
        <v>4</v>
      </c>
      <c r="C2123">
        <v>27</v>
      </c>
      <c r="D2123">
        <v>0.72930656366417279</v>
      </c>
      <c r="E2123">
        <v>1.5200000000000102E-2</v>
      </c>
      <c r="F2123">
        <f t="shared" si="61"/>
        <v>1.1085459767695502E-2</v>
      </c>
      <c r="M2123" s="31"/>
    </row>
    <row r="2124" spans="1:13" x14ac:dyDescent="0.3">
      <c r="A2124">
        <v>1993</v>
      </c>
      <c r="B2124">
        <v>4</v>
      </c>
      <c r="C2124">
        <v>25</v>
      </c>
      <c r="D2124">
        <v>0.71809655343654344</v>
      </c>
      <c r="E2124">
        <v>1.5200000000000102E-2</v>
      </c>
      <c r="F2124">
        <f t="shared" si="61"/>
        <v>1.0915067612235534E-2</v>
      </c>
      <c r="M2124" s="31"/>
    </row>
    <row r="2125" spans="1:13" x14ac:dyDescent="0.3">
      <c r="A2125">
        <v>1993</v>
      </c>
      <c r="B2125">
        <v>4</v>
      </c>
      <c r="C2125">
        <v>23</v>
      </c>
      <c r="D2125">
        <v>0.70607624396038482</v>
      </c>
      <c r="E2125">
        <v>1.5200000000000102E-2</v>
      </c>
      <c r="F2125">
        <f t="shared" si="61"/>
        <v>1.0732358908197922E-2</v>
      </c>
      <c r="M2125" s="31"/>
    </row>
    <row r="2126" spans="1:13" x14ac:dyDescent="0.3">
      <c r="A2126">
        <v>1993</v>
      </c>
      <c r="B2126">
        <v>4</v>
      </c>
      <c r="C2126">
        <v>21</v>
      </c>
      <c r="D2126">
        <v>0.69395421175728489</v>
      </c>
      <c r="E2126">
        <v>1.5200000000000102E-2</v>
      </c>
      <c r="F2126">
        <f t="shared" si="61"/>
        <v>1.0548104018710801E-2</v>
      </c>
      <c r="M2126" s="31"/>
    </row>
    <row r="2127" spans="1:13" x14ac:dyDescent="0.3">
      <c r="A2127">
        <v>1993</v>
      </c>
      <c r="B2127">
        <v>4</v>
      </c>
      <c r="C2127">
        <v>19</v>
      </c>
      <c r="D2127">
        <v>0.68201054628400148</v>
      </c>
      <c r="E2127">
        <v>1.5200000000000102E-2</v>
      </c>
      <c r="F2127">
        <f t="shared" si="61"/>
        <v>1.0366560303516893E-2</v>
      </c>
      <c r="M2127" s="31"/>
    </row>
    <row r="2128" spans="1:13" x14ac:dyDescent="0.3">
      <c r="A2128">
        <v>1993</v>
      </c>
      <c r="B2128">
        <v>4</v>
      </c>
      <c r="C2128">
        <v>17</v>
      </c>
      <c r="D2128">
        <v>0.67371357727970327</v>
      </c>
      <c r="E2128">
        <v>1.5200000000000102E-2</v>
      </c>
      <c r="F2128">
        <f t="shared" si="61"/>
        <v>1.0240446374651558E-2</v>
      </c>
      <c r="M2128" s="31"/>
    </row>
    <row r="2129" spans="1:13" x14ac:dyDescent="0.3">
      <c r="A2129">
        <v>1993</v>
      </c>
      <c r="B2129">
        <v>4</v>
      </c>
      <c r="C2129">
        <v>15</v>
      </c>
      <c r="D2129">
        <v>0.66862088420551935</v>
      </c>
      <c r="E2129">
        <v>1.5200000000000102E-2</v>
      </c>
      <c r="F2129">
        <f t="shared" si="61"/>
        <v>1.0163037439923963E-2</v>
      </c>
      <c r="M2129" s="31"/>
    </row>
    <row r="2130" spans="1:13" x14ac:dyDescent="0.3">
      <c r="A2130">
        <v>1993</v>
      </c>
      <c r="B2130">
        <v>4</v>
      </c>
      <c r="C2130">
        <v>13</v>
      </c>
      <c r="D2130">
        <v>0.6654716709657692</v>
      </c>
      <c r="E2130">
        <v>1.5200000000000102E-2</v>
      </c>
      <c r="F2130">
        <f t="shared" si="61"/>
        <v>1.011516939867976E-2</v>
      </c>
      <c r="M2130" s="31"/>
    </row>
    <row r="2131" spans="1:13" x14ac:dyDescent="0.3">
      <c r="A2131">
        <v>1993</v>
      </c>
      <c r="B2131">
        <v>4</v>
      </c>
      <c r="C2131">
        <v>11</v>
      </c>
      <c r="D2131">
        <v>0.66190746317705718</v>
      </c>
      <c r="E2131">
        <v>1.5200000000000102E-2</v>
      </c>
      <c r="F2131">
        <f t="shared" si="61"/>
        <v>1.0060993440291337E-2</v>
      </c>
      <c r="M2131" s="31"/>
    </row>
    <row r="2132" spans="1:13" x14ac:dyDescent="0.3">
      <c r="A2132">
        <v>1993</v>
      </c>
      <c r="B2132">
        <v>4</v>
      </c>
      <c r="C2132">
        <v>9</v>
      </c>
      <c r="D2132">
        <v>0.65779117489148897</v>
      </c>
      <c r="E2132">
        <v>1.5200000000000102E-2</v>
      </c>
      <c r="F2132">
        <f t="shared" si="61"/>
        <v>9.9984258583506996E-3</v>
      </c>
      <c r="M2132" s="31"/>
    </row>
    <row r="2133" spans="1:13" x14ac:dyDescent="0.3">
      <c r="A2133">
        <v>1993</v>
      </c>
      <c r="B2133">
        <v>4</v>
      </c>
      <c r="C2133">
        <v>7</v>
      </c>
      <c r="D2133">
        <v>0.65132876552452712</v>
      </c>
      <c r="E2133">
        <v>1.5200000000000102E-2</v>
      </c>
      <c r="F2133">
        <f t="shared" si="61"/>
        <v>9.9001972359728796E-3</v>
      </c>
      <c r="M2133" s="31"/>
    </row>
    <row r="2134" spans="1:13" x14ac:dyDescent="0.3">
      <c r="A2134">
        <v>1993</v>
      </c>
      <c r="B2134">
        <v>4</v>
      </c>
      <c r="C2134">
        <v>5</v>
      </c>
      <c r="D2134">
        <v>0.64418660538795625</v>
      </c>
      <c r="E2134">
        <v>1.5200000000000102E-2</v>
      </c>
      <c r="F2134">
        <f t="shared" si="61"/>
        <v>9.7916364018970012E-3</v>
      </c>
      <c r="M2134" s="31"/>
    </row>
    <row r="2135" spans="1:13" x14ac:dyDescent="0.3">
      <c r="A2135">
        <v>1993</v>
      </c>
      <c r="B2135">
        <v>4</v>
      </c>
      <c r="C2135">
        <v>3</v>
      </c>
      <c r="D2135">
        <v>0.63746898314968703</v>
      </c>
      <c r="E2135">
        <v>1.5200000000000102E-2</v>
      </c>
      <c r="F2135">
        <f t="shared" si="61"/>
        <v>9.6895285438753087E-3</v>
      </c>
      <c r="M2135" s="31"/>
    </row>
    <row r="2136" spans="1:13" x14ac:dyDescent="0.3">
      <c r="A2136">
        <v>1993</v>
      </c>
      <c r="B2136">
        <v>4</v>
      </c>
      <c r="C2136">
        <v>1</v>
      </c>
      <c r="D2136">
        <v>0.6308991584985375</v>
      </c>
      <c r="E2136">
        <v>1.5200000000000102E-2</v>
      </c>
      <c r="F2136">
        <f t="shared" si="61"/>
        <v>9.5896672091778344E-3</v>
      </c>
      <c r="M2136" s="31"/>
    </row>
    <row r="2137" spans="1:13" x14ac:dyDescent="0.3">
      <c r="A2137">
        <v>1993</v>
      </c>
      <c r="B2137">
        <v>3</v>
      </c>
      <c r="C2137">
        <v>30</v>
      </c>
      <c r="D2137">
        <v>0.62488693380708527</v>
      </c>
      <c r="E2137">
        <v>1.5200000000000102E-2</v>
      </c>
      <c r="F2137">
        <f t="shared" si="61"/>
        <v>9.4982813938677604E-3</v>
      </c>
      <c r="M2137" s="31"/>
    </row>
    <row r="2138" spans="1:13" x14ac:dyDescent="0.3">
      <c r="A2138">
        <v>1993</v>
      </c>
      <c r="B2138">
        <v>3</v>
      </c>
      <c r="C2138">
        <v>29</v>
      </c>
      <c r="D2138">
        <v>0.62285004213711492</v>
      </c>
      <c r="E2138">
        <v>1.5200000000000102E-2</v>
      </c>
      <c r="F2138">
        <f t="shared" si="61"/>
        <v>9.4673206404842104E-3</v>
      </c>
      <c r="M2138" s="31"/>
    </row>
    <row r="2139" spans="1:13" x14ac:dyDescent="0.3">
      <c r="A2139">
        <v>1993</v>
      </c>
      <c r="B2139">
        <v>3</v>
      </c>
      <c r="C2139">
        <v>27</v>
      </c>
      <c r="D2139">
        <v>0.62218176264079439</v>
      </c>
      <c r="E2139">
        <v>1.5200000000000102E-2</v>
      </c>
      <c r="F2139">
        <f t="shared" si="61"/>
        <v>9.4571627921401381E-3</v>
      </c>
      <c r="M2139" s="31"/>
    </row>
    <row r="2140" spans="1:13" x14ac:dyDescent="0.3">
      <c r="A2140">
        <v>1993</v>
      </c>
      <c r="B2140">
        <v>3</v>
      </c>
      <c r="C2140">
        <v>25</v>
      </c>
      <c r="D2140">
        <v>0.6224723190047956</v>
      </c>
      <c r="E2140">
        <v>1.5200000000000102E-2</v>
      </c>
      <c r="F2140">
        <f t="shared" si="61"/>
        <v>9.4615792488729564E-3</v>
      </c>
      <c r="M2140" s="31"/>
    </row>
    <row r="2141" spans="1:13" x14ac:dyDescent="0.3">
      <c r="A2141">
        <v>1993</v>
      </c>
      <c r="B2141">
        <v>3</v>
      </c>
      <c r="C2141">
        <v>23</v>
      </c>
      <c r="D2141">
        <v>0.62454607884000146</v>
      </c>
      <c r="E2141">
        <v>1.5200000000000102E-2</v>
      </c>
      <c r="F2141">
        <f t="shared" si="61"/>
        <v>9.4931003983680859E-3</v>
      </c>
      <c r="M2141" s="31"/>
    </row>
    <row r="2142" spans="1:13" x14ac:dyDescent="0.3">
      <c r="A2142">
        <v>1993</v>
      </c>
      <c r="B2142">
        <v>3</v>
      </c>
      <c r="C2142">
        <v>21</v>
      </c>
      <c r="D2142">
        <v>0.62634906002112467</v>
      </c>
      <c r="E2142">
        <v>1.5200000000000102E-2</v>
      </c>
      <c r="F2142">
        <f t="shared" si="61"/>
        <v>9.5205057123211589E-3</v>
      </c>
      <c r="M2142" s="31"/>
    </row>
    <row r="2143" spans="1:13" x14ac:dyDescent="0.3">
      <c r="A2143">
        <v>1993</v>
      </c>
      <c r="B2143">
        <v>3</v>
      </c>
      <c r="C2143">
        <v>19</v>
      </c>
      <c r="D2143">
        <v>0.62266061662434369</v>
      </c>
      <c r="E2143">
        <v>1.5200000000000102E-2</v>
      </c>
      <c r="F2143">
        <f t="shared" si="61"/>
        <v>9.4644413726900876E-3</v>
      </c>
      <c r="M2143" s="31"/>
    </row>
    <row r="2144" spans="1:13" x14ac:dyDescent="0.3">
      <c r="A2144">
        <v>1993</v>
      </c>
      <c r="B2144">
        <v>3</v>
      </c>
      <c r="C2144">
        <v>17</v>
      </c>
      <c r="D2144">
        <v>0.61501505631177644</v>
      </c>
      <c r="E2144">
        <v>1.5200000000000102E-2</v>
      </c>
      <c r="F2144">
        <f t="shared" si="61"/>
        <v>9.3482288559390645E-3</v>
      </c>
      <c r="M2144" s="31"/>
    </row>
    <row r="2145" spans="1:13" x14ac:dyDescent="0.3">
      <c r="A2145">
        <v>1993</v>
      </c>
      <c r="B2145">
        <v>3</v>
      </c>
      <c r="C2145">
        <v>15</v>
      </c>
      <c r="D2145">
        <v>0.60236730525388604</v>
      </c>
      <c r="E2145">
        <v>1.5200000000000102E-2</v>
      </c>
      <c r="F2145">
        <f t="shared" si="61"/>
        <v>9.1559830398591294E-3</v>
      </c>
      <c r="M2145" s="31"/>
    </row>
    <row r="2146" spans="1:13" x14ac:dyDescent="0.3">
      <c r="A2146">
        <v>1993</v>
      </c>
      <c r="B2146">
        <v>3</v>
      </c>
      <c r="C2146">
        <v>13</v>
      </c>
      <c r="D2146">
        <v>0.58399364125868669</v>
      </c>
      <c r="E2146">
        <v>1.5200000000000102E-2</v>
      </c>
      <c r="F2146">
        <f t="shared" si="61"/>
        <v>8.876703347132097E-3</v>
      </c>
      <c r="M2146" s="31"/>
    </row>
    <row r="2147" spans="1:13" x14ac:dyDescent="0.3">
      <c r="A2147">
        <v>1993</v>
      </c>
      <c r="B2147">
        <v>3</v>
      </c>
      <c r="C2147">
        <v>11</v>
      </c>
      <c r="D2147">
        <v>0.56350669622830096</v>
      </c>
      <c r="E2147">
        <v>1.5200000000000102E-2</v>
      </c>
      <c r="F2147">
        <f t="shared" si="61"/>
        <v>8.5653017826702316E-3</v>
      </c>
      <c r="M2147" s="31"/>
    </row>
    <row r="2148" spans="1:13" x14ac:dyDescent="0.3">
      <c r="A2148">
        <v>1993</v>
      </c>
      <c r="B2148">
        <v>3</v>
      </c>
      <c r="C2148">
        <v>9</v>
      </c>
      <c r="D2148">
        <v>0.54083979384164849</v>
      </c>
      <c r="E2148">
        <v>1.5200000000000102E-2</v>
      </c>
      <c r="F2148">
        <f t="shared" si="61"/>
        <v>8.220764866393112E-3</v>
      </c>
      <c r="M2148" s="31"/>
    </row>
    <row r="2149" spans="1:13" x14ac:dyDescent="0.3">
      <c r="A2149">
        <v>1993</v>
      </c>
      <c r="B2149">
        <v>3</v>
      </c>
      <c r="C2149">
        <v>7</v>
      </c>
      <c r="D2149">
        <v>0.5197326422809081</v>
      </c>
      <c r="E2149">
        <v>1.5200000000000102E-2</v>
      </c>
      <c r="F2149">
        <f t="shared" si="61"/>
        <v>7.8999361626698565E-3</v>
      </c>
      <c r="M2149" s="31"/>
    </row>
    <row r="2150" spans="1:13" x14ac:dyDescent="0.3">
      <c r="A2150">
        <v>1993</v>
      </c>
      <c r="B2150">
        <v>3</v>
      </c>
      <c r="C2150">
        <v>5</v>
      </c>
      <c r="D2150">
        <v>0.50131421523481801</v>
      </c>
      <c r="E2150">
        <v>1.5200000000000102E-2</v>
      </c>
      <c r="F2150">
        <f t="shared" si="61"/>
        <v>7.6199760715692849E-3</v>
      </c>
      <c r="M2150" s="31"/>
    </row>
    <row r="2151" spans="1:13" x14ac:dyDescent="0.3">
      <c r="A2151">
        <v>1993</v>
      </c>
      <c r="B2151">
        <v>3</v>
      </c>
      <c r="C2151">
        <v>3</v>
      </c>
      <c r="D2151">
        <v>0.48808974823631562</v>
      </c>
      <c r="E2151">
        <v>1.5200000000000102E-2</v>
      </c>
      <c r="F2151">
        <f t="shared" si="61"/>
        <v>7.4189641731920476E-3</v>
      </c>
      <c r="M2151" s="31"/>
    </row>
    <row r="2152" spans="1:13" x14ac:dyDescent="0.3">
      <c r="A2152">
        <v>1993</v>
      </c>
      <c r="B2152">
        <v>3</v>
      </c>
      <c r="C2152">
        <v>1</v>
      </c>
      <c r="D2152">
        <v>0.47828937462204496</v>
      </c>
      <c r="E2152">
        <v>1.5200000000000102E-2</v>
      </c>
      <c r="F2152">
        <f t="shared" si="61"/>
        <v>7.2699984942551322E-3</v>
      </c>
      <c r="M2152" s="31"/>
    </row>
    <row r="2153" spans="1:13" x14ac:dyDescent="0.3">
      <c r="A2153">
        <v>1993</v>
      </c>
      <c r="B2153">
        <v>2</v>
      </c>
      <c r="C2153">
        <v>28</v>
      </c>
      <c r="D2153">
        <v>0.47441119360351108</v>
      </c>
      <c r="E2153">
        <v>1.5200000000000102E-2</v>
      </c>
      <c r="F2153">
        <f t="shared" si="61"/>
        <v>7.2110501427734173E-3</v>
      </c>
      <c r="M2153" s="31"/>
    </row>
    <row r="2154" spans="1:13" x14ac:dyDescent="0.3">
      <c r="A2154">
        <v>1993</v>
      </c>
      <c r="B2154">
        <v>2</v>
      </c>
      <c r="C2154">
        <v>20</v>
      </c>
      <c r="D2154">
        <v>0.4751344858683918</v>
      </c>
      <c r="E2154">
        <v>1.5200000000000102E-2</v>
      </c>
      <c r="F2154">
        <f t="shared" si="61"/>
        <v>7.2220441851996043E-3</v>
      </c>
      <c r="M2154" s="31"/>
    </row>
    <row r="2155" spans="1:13" x14ac:dyDescent="0.3">
      <c r="A2155">
        <v>1993</v>
      </c>
      <c r="B2155">
        <v>2</v>
      </c>
      <c r="C2155">
        <v>12</v>
      </c>
      <c r="D2155">
        <v>0.48109762834027681</v>
      </c>
      <c r="E2155">
        <v>1.5200000000000102E-2</v>
      </c>
      <c r="F2155">
        <f t="shared" si="61"/>
        <v>7.3126839507722564E-3</v>
      </c>
      <c r="M2155" s="31"/>
    </row>
    <row r="2156" spans="1:13" x14ac:dyDescent="0.3">
      <c r="A2156">
        <v>1993</v>
      </c>
      <c r="B2156">
        <v>2</v>
      </c>
      <c r="C2156">
        <v>5</v>
      </c>
      <c r="D2156">
        <v>0.49105490877767677</v>
      </c>
      <c r="E2156">
        <v>1.5200000000000102E-2</v>
      </c>
      <c r="F2156">
        <f t="shared" si="61"/>
        <v>7.4640346134207374E-3</v>
      </c>
      <c r="M2156" s="31"/>
    </row>
    <row r="2157" spans="1:13" x14ac:dyDescent="0.3">
      <c r="A2157">
        <v>1993</v>
      </c>
      <c r="B2157">
        <v>1</v>
      </c>
      <c r="C2157">
        <v>28</v>
      </c>
      <c r="D2157">
        <v>0.50635412793684609</v>
      </c>
      <c r="E2157">
        <v>1.5200000000000102E-2</v>
      </c>
      <c r="F2157">
        <f t="shared" si="61"/>
        <v>7.6965827446401121E-3</v>
      </c>
      <c r="M2157" s="31"/>
    </row>
    <row r="2158" spans="1:13" x14ac:dyDescent="0.3">
      <c r="A2158">
        <v>1993</v>
      </c>
      <c r="B2158">
        <v>1</v>
      </c>
      <c r="C2158">
        <v>21</v>
      </c>
      <c r="D2158">
        <v>0.52214416100799987</v>
      </c>
      <c r="E2158">
        <v>1.5200000000000102E-2</v>
      </c>
      <c r="F2158">
        <f t="shared" si="61"/>
        <v>7.9365912473216508E-3</v>
      </c>
      <c r="M2158" s="31"/>
    </row>
    <row r="2159" spans="1:13" x14ac:dyDescent="0.3">
      <c r="A2159">
        <v>1993</v>
      </c>
      <c r="B2159">
        <v>1</v>
      </c>
      <c r="C2159">
        <v>13</v>
      </c>
      <c r="D2159">
        <v>0.53724973726820302</v>
      </c>
      <c r="E2159">
        <v>1.5200000000000102E-2</v>
      </c>
      <c r="F2159">
        <f t="shared" si="61"/>
        <v>8.1661960064767416E-3</v>
      </c>
      <c r="M2159" s="31"/>
    </row>
    <row r="2160" spans="1:13" x14ac:dyDescent="0.3">
      <c r="A2160">
        <v>1993</v>
      </c>
      <c r="B2160">
        <v>1</v>
      </c>
      <c r="C2160">
        <v>5</v>
      </c>
      <c r="D2160">
        <v>0.55020131707179454</v>
      </c>
      <c r="E2160">
        <v>1.5200000000000102E-2</v>
      </c>
      <c r="F2160">
        <f t="shared" si="61"/>
        <v>8.3630600194913324E-3</v>
      </c>
      <c r="M2160" s="31"/>
    </row>
    <row r="2161" spans="1:13" x14ac:dyDescent="0.3">
      <c r="A2161">
        <v>1992</v>
      </c>
      <c r="B2161">
        <v>12</v>
      </c>
      <c r="C2161">
        <v>29</v>
      </c>
      <c r="D2161">
        <v>0.56016697382614011</v>
      </c>
      <c r="E2161">
        <v>1.5200000000000102E-2</v>
      </c>
      <c r="F2161">
        <f t="shared" si="61"/>
        <v>8.5145380021573874E-3</v>
      </c>
      <c r="M2161" s="31"/>
    </row>
    <row r="2162" spans="1:13" x14ac:dyDescent="0.3">
      <c r="A2162">
        <v>1992</v>
      </c>
      <c r="B2162">
        <v>12</v>
      </c>
      <c r="C2162">
        <v>21</v>
      </c>
      <c r="D2162">
        <v>0.56657926775894962</v>
      </c>
      <c r="E2162">
        <v>1.5200000000000102E-2</v>
      </c>
      <c r="F2162">
        <f t="shared" si="61"/>
        <v>8.6120048699360914E-3</v>
      </c>
      <c r="M2162" s="31"/>
    </row>
    <row r="2163" spans="1:13" x14ac:dyDescent="0.3">
      <c r="A2163">
        <v>1992</v>
      </c>
      <c r="B2163">
        <v>12</v>
      </c>
      <c r="C2163">
        <v>14</v>
      </c>
      <c r="D2163">
        <v>0.57207174565543428</v>
      </c>
      <c r="E2163">
        <v>1.5200000000000102E-2</v>
      </c>
      <c r="F2163">
        <f t="shared" si="61"/>
        <v>8.695490533962659E-3</v>
      </c>
      <c r="M2163" s="31"/>
    </row>
    <row r="2164" spans="1:13" x14ac:dyDescent="0.3">
      <c r="A2164">
        <v>1992</v>
      </c>
      <c r="B2164">
        <v>12</v>
      </c>
      <c r="C2164">
        <v>6</v>
      </c>
      <c r="D2164">
        <v>0.57623966620709344</v>
      </c>
      <c r="E2164">
        <v>1.5200000000000102E-2</v>
      </c>
      <c r="F2164">
        <f t="shared" si="61"/>
        <v>8.7588429263478797E-3</v>
      </c>
      <c r="M2164" s="31"/>
    </row>
    <row r="2165" spans="1:13" x14ac:dyDescent="0.3">
      <c r="A2165">
        <v>1992</v>
      </c>
      <c r="B2165">
        <v>11</v>
      </c>
      <c r="C2165">
        <v>28</v>
      </c>
      <c r="D2165">
        <v>0.58027760528295458</v>
      </c>
      <c r="E2165">
        <v>1.5200000000000102E-2</v>
      </c>
      <c r="F2165">
        <f t="shared" si="61"/>
        <v>8.8202196003009693E-3</v>
      </c>
      <c r="M2165" s="31"/>
    </row>
    <row r="2166" spans="1:13" x14ac:dyDescent="0.3">
      <c r="A2166">
        <v>1992</v>
      </c>
      <c r="B2166">
        <v>11</v>
      </c>
      <c r="C2166">
        <v>21</v>
      </c>
      <c r="D2166">
        <v>0.58565436944272908</v>
      </c>
      <c r="E2166">
        <v>1.5200000000000102E-2</v>
      </c>
      <c r="F2166">
        <f t="shared" si="61"/>
        <v>8.9019464155295422E-3</v>
      </c>
      <c r="M2166" s="31"/>
    </row>
    <row r="2167" spans="1:13" x14ac:dyDescent="0.3">
      <c r="A2167">
        <v>1992</v>
      </c>
      <c r="B2167">
        <v>11</v>
      </c>
      <c r="C2167">
        <v>13</v>
      </c>
      <c r="D2167">
        <v>0.59036913122823198</v>
      </c>
      <c r="E2167">
        <v>1.5200000000000102E-2</v>
      </c>
      <c r="F2167">
        <f t="shared" si="61"/>
        <v>8.9736107946691863E-3</v>
      </c>
      <c r="M2167" s="31"/>
    </row>
    <row r="2168" spans="1:13" x14ac:dyDescent="0.3">
      <c r="A2168">
        <v>1992</v>
      </c>
      <c r="B2168">
        <v>11</v>
      </c>
      <c r="C2168">
        <v>6</v>
      </c>
      <c r="D2168">
        <v>0.59441918090694035</v>
      </c>
      <c r="E2168">
        <v>1.5200000000000102E-2</v>
      </c>
      <c r="F2168">
        <f t="shared" si="61"/>
        <v>9.0351715497855537E-3</v>
      </c>
      <c r="M2168" s="31"/>
    </row>
    <row r="2169" spans="1:13" x14ac:dyDescent="0.3">
      <c r="A2169">
        <v>1992</v>
      </c>
      <c r="B2169">
        <v>10</v>
      </c>
      <c r="C2169">
        <v>29</v>
      </c>
      <c r="D2169">
        <v>0.59833764139986223</v>
      </c>
      <c r="E2169">
        <v>1.5200000000000102E-2</v>
      </c>
      <c r="F2169">
        <f t="shared" si="61"/>
        <v>9.0947321492779679E-3</v>
      </c>
      <c r="M2169" s="31"/>
    </row>
    <row r="2170" spans="1:13" x14ac:dyDescent="0.3">
      <c r="A2170">
        <v>1992</v>
      </c>
      <c r="B2170">
        <v>10</v>
      </c>
      <c r="C2170">
        <v>21</v>
      </c>
      <c r="D2170">
        <v>0.60306502557369646</v>
      </c>
      <c r="E2170">
        <v>1.5200000000000102E-2</v>
      </c>
      <c r="F2170">
        <f t="shared" si="61"/>
        <v>9.1665883887202485E-3</v>
      </c>
      <c r="M2170" s="31"/>
    </row>
    <row r="2171" spans="1:13" x14ac:dyDescent="0.3">
      <c r="A2171">
        <v>1992</v>
      </c>
      <c r="B2171">
        <v>10</v>
      </c>
      <c r="C2171">
        <v>14</v>
      </c>
      <c r="D2171">
        <v>0.60820075840781351</v>
      </c>
      <c r="E2171">
        <v>1.5200000000000102E-2</v>
      </c>
      <c r="F2171">
        <f t="shared" si="61"/>
        <v>9.2446515277988268E-3</v>
      </c>
      <c r="M2171" s="31"/>
    </row>
    <row r="2172" spans="1:13" x14ac:dyDescent="0.3">
      <c r="A2172">
        <v>1992</v>
      </c>
      <c r="B2172">
        <v>10</v>
      </c>
      <c r="C2172">
        <v>6</v>
      </c>
      <c r="D2172">
        <v>0.61482481981163151</v>
      </c>
      <c r="E2172">
        <v>1.5200000000000102E-2</v>
      </c>
      <c r="F2172">
        <f t="shared" si="61"/>
        <v>9.3453372611368626E-3</v>
      </c>
      <c r="M2172" s="31"/>
    </row>
    <row r="2173" spans="1:13" x14ac:dyDescent="0.3">
      <c r="A2173">
        <v>1992</v>
      </c>
      <c r="B2173">
        <v>9</v>
      </c>
      <c r="C2173">
        <v>29</v>
      </c>
      <c r="D2173">
        <v>0.62362286385064913</v>
      </c>
      <c r="E2173">
        <v>1.5200000000000102E-2</v>
      </c>
      <c r="F2173">
        <f t="shared" si="61"/>
        <v>9.4790675305299315E-3</v>
      </c>
      <c r="M2173" s="31"/>
    </row>
    <row r="2174" spans="1:13" x14ac:dyDescent="0.3">
      <c r="A2174">
        <v>1992</v>
      </c>
      <c r="B2174">
        <v>9</v>
      </c>
      <c r="C2174">
        <v>21</v>
      </c>
      <c r="D2174">
        <v>0.63475071765657221</v>
      </c>
      <c r="E2174">
        <v>1.5200000000000102E-2</v>
      </c>
      <c r="F2174">
        <f t="shared" si="61"/>
        <v>9.6482109083799623E-3</v>
      </c>
      <c r="M2174" s="31"/>
    </row>
    <row r="2175" spans="1:13" x14ac:dyDescent="0.3">
      <c r="A2175">
        <v>1992</v>
      </c>
      <c r="B2175">
        <v>9</v>
      </c>
      <c r="C2175">
        <v>13</v>
      </c>
      <c r="D2175">
        <v>0.64741544115251537</v>
      </c>
      <c r="E2175">
        <v>1.5200000000000102E-2</v>
      </c>
      <c r="F2175">
        <f t="shared" si="61"/>
        <v>9.8407147055183004E-3</v>
      </c>
      <c r="M2175" s="31"/>
    </row>
    <row r="2176" spans="1:13" x14ac:dyDescent="0.3">
      <c r="A2176">
        <v>1992</v>
      </c>
      <c r="B2176">
        <v>9</v>
      </c>
      <c r="C2176">
        <v>6</v>
      </c>
      <c r="D2176">
        <v>0.6652008414138838</v>
      </c>
      <c r="E2176">
        <v>1.5200000000000102E-2</v>
      </c>
      <c r="F2176">
        <f t="shared" si="61"/>
        <v>1.0111052789491102E-2</v>
      </c>
      <c r="M2176" s="31"/>
    </row>
    <row r="2177" spans="1:13" x14ac:dyDescent="0.3">
      <c r="A2177">
        <v>1992</v>
      </c>
      <c r="B2177">
        <v>8</v>
      </c>
      <c r="C2177">
        <v>29</v>
      </c>
      <c r="D2177">
        <v>0.68764599870272891</v>
      </c>
      <c r="E2177">
        <v>1.5200000000000102E-2</v>
      </c>
      <c r="F2177">
        <f t="shared" si="61"/>
        <v>1.0452219180281551E-2</v>
      </c>
      <c r="M2177" s="31"/>
    </row>
    <row r="2178" spans="1:13" x14ac:dyDescent="0.3">
      <c r="A2178">
        <v>1992</v>
      </c>
      <c r="B2178">
        <v>8</v>
      </c>
      <c r="C2178">
        <v>22</v>
      </c>
      <c r="D2178">
        <v>0.71513071242113035</v>
      </c>
      <c r="E2178">
        <v>1.5200000000000102E-2</v>
      </c>
      <c r="F2178">
        <f t="shared" si="61"/>
        <v>1.0869986828801255E-2</v>
      </c>
      <c r="M2178" s="31"/>
    </row>
    <row r="2179" spans="1:13" x14ac:dyDescent="0.3">
      <c r="A2179">
        <v>1992</v>
      </c>
      <c r="B2179">
        <v>8</v>
      </c>
      <c r="C2179">
        <v>14</v>
      </c>
      <c r="D2179">
        <v>0.7469357684781025</v>
      </c>
      <c r="E2179">
        <v>1.5200000000000102E-2</v>
      </c>
      <c r="F2179">
        <f t="shared" ref="F2179:F2242" si="62">D2179*E2179</f>
        <v>1.1353423680867234E-2</v>
      </c>
      <c r="M2179" s="31"/>
    </row>
    <row r="2180" spans="1:13" x14ac:dyDescent="0.3">
      <c r="A2180">
        <v>1992</v>
      </c>
      <c r="B2180">
        <v>8</v>
      </c>
      <c r="C2180">
        <v>6</v>
      </c>
      <c r="D2180">
        <v>0.78146755082368324</v>
      </c>
      <c r="E2180">
        <v>1.5200000000000102E-2</v>
      </c>
      <c r="F2180">
        <f t="shared" si="62"/>
        <v>1.1878306772520065E-2</v>
      </c>
      <c r="M2180" s="31"/>
    </row>
    <row r="2181" spans="1:13" x14ac:dyDescent="0.3">
      <c r="A2181">
        <v>1992</v>
      </c>
      <c r="B2181">
        <v>7</v>
      </c>
      <c r="C2181">
        <v>30</v>
      </c>
      <c r="D2181">
        <v>0.81591354707676766</v>
      </c>
      <c r="E2181">
        <v>1.5200000000000102E-2</v>
      </c>
      <c r="F2181">
        <f t="shared" si="62"/>
        <v>1.2401885915566952E-2</v>
      </c>
      <c r="M2181" s="31"/>
    </row>
    <row r="2182" spans="1:13" x14ac:dyDescent="0.3">
      <c r="A2182">
        <v>1992</v>
      </c>
      <c r="B2182">
        <v>7</v>
      </c>
      <c r="C2182">
        <v>22</v>
      </c>
      <c r="D2182">
        <v>0.85214087068481914</v>
      </c>
      <c r="E2182">
        <v>1.5200000000000102E-2</v>
      </c>
      <c r="F2182">
        <f t="shared" si="62"/>
        <v>1.2952541234409339E-2</v>
      </c>
      <c r="M2182" s="31"/>
    </row>
    <row r="2183" spans="1:13" x14ac:dyDescent="0.3">
      <c r="A2183">
        <v>1992</v>
      </c>
      <c r="B2183">
        <v>7</v>
      </c>
      <c r="C2183">
        <v>15</v>
      </c>
      <c r="D2183">
        <v>0.88592701299487764</v>
      </c>
      <c r="E2183">
        <v>1.5200000000000102E-2</v>
      </c>
      <c r="F2183">
        <f t="shared" si="62"/>
        <v>1.3466090597522231E-2</v>
      </c>
      <c r="M2183" s="31"/>
    </row>
    <row r="2184" spans="1:13" x14ac:dyDescent="0.3">
      <c r="A2184">
        <v>1992</v>
      </c>
      <c r="B2184">
        <v>7</v>
      </c>
      <c r="C2184">
        <v>7</v>
      </c>
      <c r="D2184">
        <v>0.91098274258895018</v>
      </c>
      <c r="E2184">
        <v>1.5200000000000102E-2</v>
      </c>
      <c r="F2184">
        <f t="shared" si="62"/>
        <v>1.3846937687352135E-2</v>
      </c>
      <c r="M2184" s="31"/>
    </row>
    <row r="2185" spans="1:13" x14ac:dyDescent="0.3">
      <c r="A2185">
        <v>1992</v>
      </c>
      <c r="B2185">
        <v>6</v>
      </c>
      <c r="C2185">
        <v>30</v>
      </c>
      <c r="D2185">
        <v>0.92476262317323321</v>
      </c>
      <c r="E2185">
        <v>1.5200000000000102E-2</v>
      </c>
      <c r="F2185">
        <f t="shared" si="62"/>
        <v>1.405639187223324E-2</v>
      </c>
      <c r="M2185" s="31"/>
    </row>
    <row r="2186" spans="1:13" x14ac:dyDescent="0.3">
      <c r="A2186">
        <v>1992</v>
      </c>
      <c r="B2186">
        <v>6</v>
      </c>
      <c r="C2186">
        <v>28</v>
      </c>
      <c r="D2186">
        <v>0.92182593911641586</v>
      </c>
      <c r="E2186">
        <v>1.5200000000000102E-2</v>
      </c>
      <c r="F2186">
        <f t="shared" si="62"/>
        <v>1.4011754274569615E-2</v>
      </c>
      <c r="M2186" s="31"/>
    </row>
    <row r="2187" spans="1:13" x14ac:dyDescent="0.3">
      <c r="A2187">
        <v>1992</v>
      </c>
      <c r="B2187">
        <v>6</v>
      </c>
      <c r="C2187">
        <v>26</v>
      </c>
      <c r="D2187">
        <v>0.90002955103263682</v>
      </c>
      <c r="E2187">
        <v>1.5200000000000102E-2</v>
      </c>
      <c r="F2187">
        <f t="shared" si="62"/>
        <v>1.3680449175696172E-2</v>
      </c>
      <c r="M2187" s="31"/>
    </row>
    <row r="2188" spans="1:13" x14ac:dyDescent="0.3">
      <c r="A2188">
        <v>1992</v>
      </c>
      <c r="B2188">
        <v>6</v>
      </c>
      <c r="C2188">
        <v>24</v>
      </c>
      <c r="D2188">
        <v>0.86467838375166961</v>
      </c>
      <c r="E2188">
        <v>1.5200000000000102E-2</v>
      </c>
      <c r="F2188">
        <f t="shared" si="62"/>
        <v>1.3143111433025467E-2</v>
      </c>
      <c r="M2188" s="31"/>
    </row>
    <row r="2189" spans="1:13" x14ac:dyDescent="0.3">
      <c r="A2189">
        <v>1992</v>
      </c>
      <c r="B2189">
        <v>6</v>
      </c>
      <c r="C2189">
        <v>22</v>
      </c>
      <c r="D2189">
        <v>0.82539433657197625</v>
      </c>
      <c r="E2189">
        <v>1.5200000000000102E-2</v>
      </c>
      <c r="F2189">
        <f t="shared" si="62"/>
        <v>1.2545993915894123E-2</v>
      </c>
      <c r="M2189" s="31"/>
    </row>
    <row r="2190" spans="1:13" x14ac:dyDescent="0.3">
      <c r="A2190">
        <v>1992</v>
      </c>
      <c r="B2190">
        <v>6</v>
      </c>
      <c r="C2190">
        <v>20</v>
      </c>
      <c r="D2190">
        <v>0.78773582763961347</v>
      </c>
      <c r="E2190">
        <v>1.5200000000000102E-2</v>
      </c>
      <c r="F2190">
        <f t="shared" si="62"/>
        <v>1.1973584580122206E-2</v>
      </c>
      <c r="M2190" s="31"/>
    </row>
    <row r="2191" spans="1:13" x14ac:dyDescent="0.3">
      <c r="A2191">
        <v>1992</v>
      </c>
      <c r="B2191">
        <v>6</v>
      </c>
      <c r="C2191">
        <v>18</v>
      </c>
      <c r="D2191">
        <v>0.75630737937223202</v>
      </c>
      <c r="E2191">
        <v>1.5200000000000102E-2</v>
      </c>
      <c r="F2191">
        <f t="shared" si="62"/>
        <v>1.1495872166458004E-2</v>
      </c>
      <c r="M2191" s="31"/>
    </row>
    <row r="2192" spans="1:13" x14ac:dyDescent="0.3">
      <c r="A2192">
        <v>1992</v>
      </c>
      <c r="B2192">
        <v>6</v>
      </c>
      <c r="C2192">
        <v>16</v>
      </c>
      <c r="D2192">
        <v>0.72940086231621259</v>
      </c>
      <c r="E2192">
        <v>1.5200000000000102E-2</v>
      </c>
      <c r="F2192">
        <f t="shared" si="62"/>
        <v>1.1086893107206506E-2</v>
      </c>
      <c r="M2192" s="31"/>
    </row>
    <row r="2193" spans="1:13" x14ac:dyDescent="0.3">
      <c r="A2193">
        <v>1992</v>
      </c>
      <c r="B2193">
        <v>6</v>
      </c>
      <c r="C2193">
        <v>14</v>
      </c>
      <c r="D2193">
        <v>0.70483035710896169</v>
      </c>
      <c r="E2193">
        <v>1.5200000000000102E-2</v>
      </c>
      <c r="F2193">
        <f t="shared" si="62"/>
        <v>1.0713421428056289E-2</v>
      </c>
      <c r="M2193" s="31"/>
    </row>
    <row r="2194" spans="1:13" x14ac:dyDescent="0.3">
      <c r="A2194">
        <v>1992</v>
      </c>
      <c r="B2194">
        <v>6</v>
      </c>
      <c r="C2194">
        <v>12</v>
      </c>
      <c r="D2194">
        <v>0.68254357048789083</v>
      </c>
      <c r="E2194">
        <v>1.5200000000000102E-2</v>
      </c>
      <c r="F2194">
        <f t="shared" si="62"/>
        <v>1.0374662271416011E-2</v>
      </c>
      <c r="M2194" s="31"/>
    </row>
    <row r="2195" spans="1:13" x14ac:dyDescent="0.3">
      <c r="A2195">
        <v>1992</v>
      </c>
      <c r="B2195">
        <v>6</v>
      </c>
      <c r="C2195">
        <v>10</v>
      </c>
      <c r="D2195">
        <v>0.66262728503619783</v>
      </c>
      <c r="E2195">
        <v>1.5200000000000102E-2</v>
      </c>
      <c r="F2195">
        <f t="shared" si="62"/>
        <v>1.0071934732550275E-2</v>
      </c>
      <c r="M2195" s="31"/>
    </row>
    <row r="2196" spans="1:13" x14ac:dyDescent="0.3">
      <c r="A2196">
        <v>1992</v>
      </c>
      <c r="B2196">
        <v>6</v>
      </c>
      <c r="C2196">
        <v>8</v>
      </c>
      <c r="D2196">
        <v>0.64503272192065364</v>
      </c>
      <c r="E2196">
        <v>1.5200000000000102E-2</v>
      </c>
      <c r="F2196">
        <f t="shared" si="62"/>
        <v>9.8044973731940006E-3</v>
      </c>
      <c r="M2196" s="31"/>
    </row>
    <row r="2197" spans="1:13" x14ac:dyDescent="0.3">
      <c r="A2197">
        <v>1992</v>
      </c>
      <c r="B2197">
        <v>6</v>
      </c>
      <c r="C2197">
        <v>6</v>
      </c>
      <c r="D2197">
        <v>0.63347157338076143</v>
      </c>
      <c r="E2197">
        <v>1.5200000000000102E-2</v>
      </c>
      <c r="F2197">
        <f t="shared" si="62"/>
        <v>9.6287679153876388E-3</v>
      </c>
      <c r="M2197" s="31"/>
    </row>
    <row r="2198" spans="1:13" x14ac:dyDescent="0.3">
      <c r="A2198">
        <v>1992</v>
      </c>
      <c r="B2198">
        <v>6</v>
      </c>
      <c r="C2198">
        <v>4</v>
      </c>
      <c r="D2198">
        <v>0.62973276310939641</v>
      </c>
      <c r="E2198">
        <v>1.5200000000000102E-2</v>
      </c>
      <c r="F2198">
        <f t="shared" si="62"/>
        <v>9.5719379992628903E-3</v>
      </c>
      <c r="M2198" s="31"/>
    </row>
    <row r="2199" spans="1:13" x14ac:dyDescent="0.3">
      <c r="A2199">
        <v>1992</v>
      </c>
      <c r="B2199">
        <v>6</v>
      </c>
      <c r="C2199">
        <v>2</v>
      </c>
      <c r="D2199">
        <v>0.63108995894127229</v>
      </c>
      <c r="E2199">
        <v>1.5200000000000102E-2</v>
      </c>
      <c r="F2199">
        <f t="shared" si="62"/>
        <v>9.5925673759074039E-3</v>
      </c>
      <c r="M2199" s="31"/>
    </row>
    <row r="2200" spans="1:13" x14ac:dyDescent="0.3">
      <c r="A2200">
        <v>1992</v>
      </c>
      <c r="B2200">
        <v>5</v>
      </c>
      <c r="C2200">
        <v>31</v>
      </c>
      <c r="D2200">
        <v>0.63647011230493578</v>
      </c>
      <c r="E2200">
        <v>1.5200000000000102E-2</v>
      </c>
      <c r="F2200">
        <f t="shared" si="62"/>
        <v>9.6743457070350893E-3</v>
      </c>
      <c r="M2200" s="31"/>
    </row>
    <row r="2201" spans="1:13" x14ac:dyDescent="0.3">
      <c r="A2201">
        <v>1992</v>
      </c>
      <c r="B2201">
        <v>5</v>
      </c>
      <c r="C2201">
        <v>30</v>
      </c>
      <c r="D2201">
        <v>0.64629704030290058</v>
      </c>
      <c r="E2201">
        <v>1.5200000000000102E-2</v>
      </c>
      <c r="F2201">
        <f t="shared" si="62"/>
        <v>9.8237150126041558E-3</v>
      </c>
      <c r="M2201" s="31"/>
    </row>
    <row r="2202" spans="1:13" x14ac:dyDescent="0.3">
      <c r="A2202">
        <v>1992</v>
      </c>
      <c r="B2202">
        <v>5</v>
      </c>
      <c r="C2202">
        <v>28</v>
      </c>
      <c r="D2202">
        <v>0.65723244800309999</v>
      </c>
      <c r="E2202">
        <v>1.5200000000000102E-2</v>
      </c>
      <c r="F2202">
        <f t="shared" si="62"/>
        <v>9.989933209647188E-3</v>
      </c>
      <c r="M2202" s="31"/>
    </row>
    <row r="2203" spans="1:13" x14ac:dyDescent="0.3">
      <c r="A2203">
        <v>1992</v>
      </c>
      <c r="B2203">
        <v>5</v>
      </c>
      <c r="C2203">
        <v>26</v>
      </c>
      <c r="D2203">
        <v>0.66793139497143938</v>
      </c>
      <c r="E2203">
        <v>1.5200000000000102E-2</v>
      </c>
      <c r="F2203">
        <f t="shared" si="62"/>
        <v>1.0152557203565947E-2</v>
      </c>
      <c r="M2203" s="31"/>
    </row>
    <row r="2204" spans="1:13" x14ac:dyDescent="0.3">
      <c r="A2204">
        <v>1992</v>
      </c>
      <c r="B2204">
        <v>5</v>
      </c>
      <c r="C2204">
        <v>24</v>
      </c>
      <c r="D2204">
        <v>0.67893519003101377</v>
      </c>
      <c r="E2204">
        <v>1.5200000000000102E-2</v>
      </c>
      <c r="F2204">
        <f t="shared" si="62"/>
        <v>1.0319814888471479E-2</v>
      </c>
      <c r="M2204" s="31"/>
    </row>
    <row r="2205" spans="1:13" x14ac:dyDescent="0.3">
      <c r="A2205">
        <v>1992</v>
      </c>
      <c r="B2205">
        <v>5</v>
      </c>
      <c r="C2205">
        <v>22</v>
      </c>
      <c r="D2205">
        <v>0.6868329698100657</v>
      </c>
      <c r="E2205">
        <v>1.5200000000000102E-2</v>
      </c>
      <c r="F2205">
        <f t="shared" si="62"/>
        <v>1.0439861141113069E-2</v>
      </c>
      <c r="M2205" s="31"/>
    </row>
    <row r="2206" spans="1:13" x14ac:dyDescent="0.3">
      <c r="A2206">
        <v>1992</v>
      </c>
      <c r="B2206">
        <v>5</v>
      </c>
      <c r="C2206">
        <v>20</v>
      </c>
      <c r="D2206">
        <v>0.69310499237707779</v>
      </c>
      <c r="E2206">
        <v>1.5200000000000102E-2</v>
      </c>
      <c r="F2206">
        <f t="shared" si="62"/>
        <v>1.0535195884131654E-2</v>
      </c>
      <c r="M2206" s="31"/>
    </row>
    <row r="2207" spans="1:13" x14ac:dyDescent="0.3">
      <c r="A2207">
        <v>1992</v>
      </c>
      <c r="B2207">
        <v>5</v>
      </c>
      <c r="C2207">
        <v>18</v>
      </c>
      <c r="D2207">
        <v>0.70253647941725728</v>
      </c>
      <c r="E2207">
        <v>1.5200000000000102E-2</v>
      </c>
      <c r="F2207">
        <f t="shared" si="62"/>
        <v>1.0678554487142382E-2</v>
      </c>
      <c r="M2207" s="31"/>
    </row>
    <row r="2208" spans="1:13" x14ac:dyDescent="0.3">
      <c r="A2208">
        <v>1992</v>
      </c>
      <c r="B2208">
        <v>5</v>
      </c>
      <c r="C2208">
        <v>16</v>
      </c>
      <c r="D2208">
        <v>0.71281511454009705</v>
      </c>
      <c r="E2208">
        <v>1.5200000000000102E-2</v>
      </c>
      <c r="F2208">
        <f t="shared" si="62"/>
        <v>1.0834789741009548E-2</v>
      </c>
      <c r="M2208" s="31"/>
    </row>
    <row r="2209" spans="1:13" x14ac:dyDescent="0.3">
      <c r="A2209">
        <v>1992</v>
      </c>
      <c r="B2209">
        <v>5</v>
      </c>
      <c r="C2209">
        <v>14</v>
      </c>
      <c r="D2209">
        <v>0.72063472436546783</v>
      </c>
      <c r="E2209">
        <v>1.5200000000000102E-2</v>
      </c>
      <c r="F2209">
        <f t="shared" si="62"/>
        <v>1.0953647810355184E-2</v>
      </c>
      <c r="M2209" s="31"/>
    </row>
    <row r="2210" spans="1:13" x14ac:dyDescent="0.3">
      <c r="A2210">
        <v>1992</v>
      </c>
      <c r="B2210">
        <v>5</v>
      </c>
      <c r="C2210">
        <v>12</v>
      </c>
      <c r="D2210">
        <v>0.72958298494463247</v>
      </c>
      <c r="E2210">
        <v>1.5200000000000102E-2</v>
      </c>
      <c r="F2210">
        <f t="shared" si="62"/>
        <v>1.1089661371158488E-2</v>
      </c>
      <c r="M2210" s="31"/>
    </row>
    <row r="2211" spans="1:13" x14ac:dyDescent="0.3">
      <c r="A2211">
        <v>1992</v>
      </c>
      <c r="B2211">
        <v>5</v>
      </c>
      <c r="C2211">
        <v>10</v>
      </c>
      <c r="D2211">
        <v>0.73800552747318027</v>
      </c>
      <c r="E2211">
        <v>1.5200000000000102E-2</v>
      </c>
      <c r="F2211">
        <f t="shared" si="62"/>
        <v>1.1217684017592416E-2</v>
      </c>
      <c r="M2211" s="31"/>
    </row>
    <row r="2212" spans="1:13" x14ac:dyDescent="0.3">
      <c r="A2212">
        <v>1992</v>
      </c>
      <c r="B2212">
        <v>5</v>
      </c>
      <c r="C2212">
        <v>8</v>
      </c>
      <c r="D2212">
        <v>0.74728826027041217</v>
      </c>
      <c r="E2212">
        <v>1.5200000000000102E-2</v>
      </c>
      <c r="F2212">
        <f t="shared" si="62"/>
        <v>1.1358781556110342E-2</v>
      </c>
      <c r="M2212" s="31"/>
    </row>
    <row r="2213" spans="1:13" x14ac:dyDescent="0.3">
      <c r="A2213">
        <v>1992</v>
      </c>
      <c r="B2213">
        <v>5</v>
      </c>
      <c r="C2213">
        <v>6</v>
      </c>
      <c r="D2213">
        <v>0.75869651873753075</v>
      </c>
      <c r="E2213">
        <v>1.5200000000000102E-2</v>
      </c>
      <c r="F2213">
        <f t="shared" si="62"/>
        <v>1.1532187084810545E-2</v>
      </c>
      <c r="M2213" s="31"/>
    </row>
    <row r="2214" spans="1:13" x14ac:dyDescent="0.3">
      <c r="A2214">
        <v>1992</v>
      </c>
      <c r="B2214">
        <v>5</v>
      </c>
      <c r="C2214">
        <v>4</v>
      </c>
      <c r="D2214">
        <v>0.77323594357506586</v>
      </c>
      <c r="E2214">
        <v>1.5200000000000102E-2</v>
      </c>
      <c r="F2214">
        <f t="shared" si="62"/>
        <v>1.175318634234108E-2</v>
      </c>
      <c r="M2214" s="31"/>
    </row>
    <row r="2215" spans="1:13" x14ac:dyDescent="0.3">
      <c r="A2215">
        <v>1992</v>
      </c>
      <c r="B2215">
        <v>5</v>
      </c>
      <c r="C2215">
        <v>2</v>
      </c>
      <c r="D2215">
        <v>0.78953906128567908</v>
      </c>
      <c r="E2215">
        <v>1.5200000000000102E-2</v>
      </c>
      <c r="F2215">
        <f t="shared" si="62"/>
        <v>1.2000993731542403E-2</v>
      </c>
      <c r="M2215" s="31"/>
    </row>
    <row r="2216" spans="1:13" x14ac:dyDescent="0.3">
      <c r="A2216">
        <v>1992</v>
      </c>
      <c r="B2216">
        <v>4</v>
      </c>
      <c r="C2216">
        <v>30</v>
      </c>
      <c r="D2216">
        <v>0.80621249547256113</v>
      </c>
      <c r="E2216">
        <v>1.5200000000000102E-2</v>
      </c>
      <c r="F2216">
        <f t="shared" si="62"/>
        <v>1.2254429931183012E-2</v>
      </c>
      <c r="M2216" s="31"/>
    </row>
    <row r="2217" spans="1:13" x14ac:dyDescent="0.3">
      <c r="A2217">
        <v>1992</v>
      </c>
      <c r="B2217">
        <v>4</v>
      </c>
      <c r="C2217">
        <v>29</v>
      </c>
      <c r="D2217">
        <v>0.81585384043042575</v>
      </c>
      <c r="E2217">
        <v>1.5200000000000102E-2</v>
      </c>
      <c r="F2217">
        <f t="shared" si="62"/>
        <v>1.2400978374542555E-2</v>
      </c>
      <c r="M2217" s="31"/>
    </row>
    <row r="2218" spans="1:13" x14ac:dyDescent="0.3">
      <c r="A2218">
        <v>1992</v>
      </c>
      <c r="B2218">
        <v>4</v>
      </c>
      <c r="C2218">
        <v>27</v>
      </c>
      <c r="D2218">
        <v>0.82053445158113869</v>
      </c>
      <c r="E2218">
        <v>1.5200000000000102E-2</v>
      </c>
      <c r="F2218">
        <f t="shared" si="62"/>
        <v>1.2472123664033392E-2</v>
      </c>
      <c r="M2218" s="31"/>
    </row>
    <row r="2219" spans="1:13" x14ac:dyDescent="0.3">
      <c r="A2219">
        <v>1992</v>
      </c>
      <c r="B2219">
        <v>4</v>
      </c>
      <c r="C2219">
        <v>25</v>
      </c>
      <c r="D2219">
        <v>0.82236957511100151</v>
      </c>
      <c r="E2219">
        <v>1.5200000000000102E-2</v>
      </c>
      <c r="F2219">
        <f t="shared" si="62"/>
        <v>1.2500017541687307E-2</v>
      </c>
      <c r="M2219" s="31"/>
    </row>
    <row r="2220" spans="1:13" x14ac:dyDescent="0.3">
      <c r="A2220">
        <v>1992</v>
      </c>
      <c r="B2220">
        <v>4</v>
      </c>
      <c r="C2220">
        <v>23</v>
      </c>
      <c r="D2220">
        <v>0.82007098384894939</v>
      </c>
      <c r="E2220">
        <v>1.5200000000000102E-2</v>
      </c>
      <c r="F2220">
        <f t="shared" si="62"/>
        <v>1.2465078954504114E-2</v>
      </c>
      <c r="M2220" s="31"/>
    </row>
    <row r="2221" spans="1:13" x14ac:dyDescent="0.3">
      <c r="A2221">
        <v>1992</v>
      </c>
      <c r="B2221">
        <v>4</v>
      </c>
      <c r="C2221">
        <v>21</v>
      </c>
      <c r="D2221">
        <v>0.81350376847608108</v>
      </c>
      <c r="E2221">
        <v>1.5200000000000102E-2</v>
      </c>
      <c r="F2221">
        <f t="shared" si="62"/>
        <v>1.2365257280836515E-2</v>
      </c>
      <c r="M2221" s="31"/>
    </row>
    <row r="2222" spans="1:13" x14ac:dyDescent="0.3">
      <c r="A2222">
        <v>1992</v>
      </c>
      <c r="B2222">
        <v>4</v>
      </c>
      <c r="C2222">
        <v>19</v>
      </c>
      <c r="D2222">
        <v>0.8053866269014841</v>
      </c>
      <c r="E2222">
        <v>1.5200000000000102E-2</v>
      </c>
      <c r="F2222">
        <f t="shared" si="62"/>
        <v>1.224187672890264E-2</v>
      </c>
      <c r="M2222" s="31"/>
    </row>
    <row r="2223" spans="1:13" x14ac:dyDescent="0.3">
      <c r="A2223">
        <v>1992</v>
      </c>
      <c r="B2223">
        <v>4</v>
      </c>
      <c r="C2223">
        <v>17</v>
      </c>
      <c r="D2223">
        <v>0.79587231529413771</v>
      </c>
      <c r="E2223">
        <v>1.5200000000000102E-2</v>
      </c>
      <c r="F2223">
        <f t="shared" si="62"/>
        <v>1.2097259192470974E-2</v>
      </c>
      <c r="M2223" s="31"/>
    </row>
    <row r="2224" spans="1:13" x14ac:dyDescent="0.3">
      <c r="A2224">
        <v>1992</v>
      </c>
      <c r="B2224">
        <v>4</v>
      </c>
      <c r="C2224">
        <v>15</v>
      </c>
      <c r="D2224">
        <v>0.7863840044071021</v>
      </c>
      <c r="E2224">
        <v>1.5200000000000102E-2</v>
      </c>
      <c r="F2224">
        <f t="shared" si="62"/>
        <v>1.1953036866988032E-2</v>
      </c>
      <c r="M2224" s="31"/>
    </row>
    <row r="2225" spans="1:13" x14ac:dyDescent="0.3">
      <c r="A2225">
        <v>1992</v>
      </c>
      <c r="B2225">
        <v>4</v>
      </c>
      <c r="C2225">
        <v>13</v>
      </c>
      <c r="D2225">
        <v>0.77621772415756252</v>
      </c>
      <c r="E2225">
        <v>1.5200000000000102E-2</v>
      </c>
      <c r="F2225">
        <f t="shared" si="62"/>
        <v>1.179850940719503E-2</v>
      </c>
      <c r="M2225" s="31"/>
    </row>
    <row r="2226" spans="1:13" x14ac:dyDescent="0.3">
      <c r="A2226">
        <v>1992</v>
      </c>
      <c r="B2226">
        <v>4</v>
      </c>
      <c r="C2226">
        <v>11</v>
      </c>
      <c r="D2226">
        <v>0.76776483754273184</v>
      </c>
      <c r="E2226">
        <v>1.5200000000000102E-2</v>
      </c>
      <c r="F2226">
        <f t="shared" si="62"/>
        <v>1.1670025530649603E-2</v>
      </c>
      <c r="M2226" s="31"/>
    </row>
    <row r="2227" spans="1:13" x14ac:dyDescent="0.3">
      <c r="A2227">
        <v>1992</v>
      </c>
      <c r="B2227">
        <v>4</v>
      </c>
      <c r="C2227">
        <v>9</v>
      </c>
      <c r="D2227">
        <v>0.7617130445670468</v>
      </c>
      <c r="E2227">
        <v>1.5200000000000102E-2</v>
      </c>
      <c r="F2227">
        <f t="shared" si="62"/>
        <v>1.1578038277419189E-2</v>
      </c>
      <c r="M2227" s="31"/>
    </row>
    <row r="2228" spans="1:13" x14ac:dyDescent="0.3">
      <c r="A2228">
        <v>1992</v>
      </c>
      <c r="B2228">
        <v>4</v>
      </c>
      <c r="C2228">
        <v>7</v>
      </c>
      <c r="D2228">
        <v>0.75665028398630108</v>
      </c>
      <c r="E2228">
        <v>1.5200000000000102E-2</v>
      </c>
      <c r="F2228">
        <f t="shared" si="62"/>
        <v>1.1501084316591853E-2</v>
      </c>
      <c r="M2228" s="31"/>
    </row>
    <row r="2229" spans="1:13" x14ac:dyDescent="0.3">
      <c r="A2229">
        <v>1992</v>
      </c>
      <c r="B2229">
        <v>4</v>
      </c>
      <c r="C2229">
        <v>5</v>
      </c>
      <c r="D2229">
        <v>0.7525721237662174</v>
      </c>
      <c r="E2229">
        <v>1.5200000000000102E-2</v>
      </c>
      <c r="F2229">
        <f t="shared" si="62"/>
        <v>1.1439096281246581E-2</v>
      </c>
      <c r="M2229" s="31"/>
    </row>
    <row r="2230" spans="1:13" x14ac:dyDescent="0.3">
      <c r="A2230">
        <v>1992</v>
      </c>
      <c r="B2230">
        <v>4</v>
      </c>
      <c r="C2230">
        <v>3</v>
      </c>
      <c r="D2230">
        <v>0.74975442610345244</v>
      </c>
      <c r="E2230">
        <v>1.5200000000000102E-2</v>
      </c>
      <c r="F2230">
        <f t="shared" si="62"/>
        <v>1.1396267276772554E-2</v>
      </c>
      <c r="M2230" s="31"/>
    </row>
    <row r="2231" spans="1:13" x14ac:dyDescent="0.3">
      <c r="A2231">
        <v>1992</v>
      </c>
      <c r="B2231">
        <v>4</v>
      </c>
      <c r="C2231">
        <v>1</v>
      </c>
      <c r="D2231">
        <v>0.74763598684325416</v>
      </c>
      <c r="E2231">
        <v>1.5200000000000102E-2</v>
      </c>
      <c r="F2231">
        <f t="shared" si="62"/>
        <v>1.136406700001754E-2</v>
      </c>
      <c r="M2231" s="31"/>
    </row>
    <row r="2232" spans="1:13" x14ac:dyDescent="0.3">
      <c r="A2232">
        <v>1992</v>
      </c>
      <c r="B2232">
        <v>3</v>
      </c>
      <c r="C2232">
        <v>30</v>
      </c>
      <c r="D2232">
        <v>0.74844741451322117</v>
      </c>
      <c r="E2232">
        <v>1.5200000000000102E-2</v>
      </c>
      <c r="F2232">
        <f t="shared" si="62"/>
        <v>1.1376400700601039E-2</v>
      </c>
      <c r="M2232" s="31"/>
    </row>
    <row r="2233" spans="1:13" x14ac:dyDescent="0.3">
      <c r="A2233">
        <v>1992</v>
      </c>
      <c r="B2233">
        <v>3</v>
      </c>
      <c r="C2233">
        <v>29</v>
      </c>
      <c r="D2233">
        <v>0.75428853202436941</v>
      </c>
      <c r="E2233">
        <v>1.5200000000000102E-2</v>
      </c>
      <c r="F2233">
        <f t="shared" si="62"/>
        <v>1.1465185686770492E-2</v>
      </c>
      <c r="M2233" s="31"/>
    </row>
    <row r="2234" spans="1:13" x14ac:dyDescent="0.3">
      <c r="A2234">
        <v>1992</v>
      </c>
      <c r="B2234">
        <v>3</v>
      </c>
      <c r="C2234">
        <v>27</v>
      </c>
      <c r="D2234">
        <v>0.76420771932460552</v>
      </c>
      <c r="E2234">
        <v>1.5200000000000102E-2</v>
      </c>
      <c r="F2234">
        <f t="shared" si="62"/>
        <v>1.1615957333734082E-2</v>
      </c>
      <c r="M2234" s="31"/>
    </row>
    <row r="2235" spans="1:13" x14ac:dyDescent="0.3">
      <c r="A2235">
        <v>1992</v>
      </c>
      <c r="B2235">
        <v>3</v>
      </c>
      <c r="C2235">
        <v>25</v>
      </c>
      <c r="D2235">
        <v>0.77782235833273716</v>
      </c>
      <c r="E2235">
        <v>1.5200000000000102E-2</v>
      </c>
      <c r="F2235">
        <f t="shared" si="62"/>
        <v>1.1822899846657684E-2</v>
      </c>
      <c r="M2235" s="31"/>
    </row>
    <row r="2236" spans="1:13" x14ac:dyDescent="0.3">
      <c r="A2236">
        <v>1992</v>
      </c>
      <c r="B2236">
        <v>3</v>
      </c>
      <c r="C2236">
        <v>23</v>
      </c>
      <c r="D2236">
        <v>0.79050840431173619</v>
      </c>
      <c r="E2236">
        <v>1.5200000000000102E-2</v>
      </c>
      <c r="F2236">
        <f t="shared" si="62"/>
        <v>1.2015727745538472E-2</v>
      </c>
      <c r="M2236" s="31"/>
    </row>
    <row r="2237" spans="1:13" x14ac:dyDescent="0.3">
      <c r="A2237">
        <v>1992</v>
      </c>
      <c r="B2237">
        <v>3</v>
      </c>
      <c r="C2237">
        <v>21</v>
      </c>
      <c r="D2237">
        <v>0.79558518164447944</v>
      </c>
      <c r="E2237">
        <v>1.5200000000000102E-2</v>
      </c>
      <c r="F2237">
        <f t="shared" si="62"/>
        <v>1.2092894760996169E-2</v>
      </c>
      <c r="M2237" s="31"/>
    </row>
    <row r="2238" spans="1:13" x14ac:dyDescent="0.3">
      <c r="A2238">
        <v>1992</v>
      </c>
      <c r="B2238">
        <v>3</v>
      </c>
      <c r="C2238">
        <v>19</v>
      </c>
      <c r="D2238">
        <v>0.79216491891773655</v>
      </c>
      <c r="E2238">
        <v>1.5200000000000102E-2</v>
      </c>
      <c r="F2238">
        <f t="shared" si="62"/>
        <v>1.2040906767549677E-2</v>
      </c>
      <c r="M2238" s="31"/>
    </row>
    <row r="2239" spans="1:13" x14ac:dyDescent="0.3">
      <c r="A2239">
        <v>1992</v>
      </c>
      <c r="B2239">
        <v>3</v>
      </c>
      <c r="C2239">
        <v>17</v>
      </c>
      <c r="D2239">
        <v>0.78097679663653563</v>
      </c>
      <c r="E2239">
        <v>1.5200000000000102E-2</v>
      </c>
      <c r="F2239">
        <f t="shared" si="62"/>
        <v>1.1870847308875422E-2</v>
      </c>
      <c r="M2239" s="31"/>
    </row>
    <row r="2240" spans="1:13" x14ac:dyDescent="0.3">
      <c r="A2240">
        <v>1992</v>
      </c>
      <c r="B2240">
        <v>3</v>
      </c>
      <c r="C2240">
        <v>15</v>
      </c>
      <c r="D2240">
        <v>0.76673308921416972</v>
      </c>
      <c r="E2240">
        <v>1.5200000000000102E-2</v>
      </c>
      <c r="F2240">
        <f t="shared" si="62"/>
        <v>1.1654342956055459E-2</v>
      </c>
      <c r="M2240" s="31"/>
    </row>
    <row r="2241" spans="1:13" x14ac:dyDescent="0.3">
      <c r="A2241">
        <v>1992</v>
      </c>
      <c r="B2241">
        <v>3</v>
      </c>
      <c r="C2241">
        <v>13</v>
      </c>
      <c r="D2241">
        <v>0.75366952328117987</v>
      </c>
      <c r="E2241">
        <v>1.5200000000000102E-2</v>
      </c>
      <c r="F2241">
        <f t="shared" si="62"/>
        <v>1.1455776753874011E-2</v>
      </c>
      <c r="M2241" s="31"/>
    </row>
    <row r="2242" spans="1:13" x14ac:dyDescent="0.3">
      <c r="A2242">
        <v>1992</v>
      </c>
      <c r="B2242">
        <v>3</v>
      </c>
      <c r="C2242">
        <v>11</v>
      </c>
      <c r="D2242">
        <v>0.7455392141622017</v>
      </c>
      <c r="E2242">
        <v>1.5200000000000102E-2</v>
      </c>
      <c r="F2242">
        <f t="shared" si="62"/>
        <v>1.1332196055265541E-2</v>
      </c>
      <c r="M2242" s="31"/>
    </row>
    <row r="2243" spans="1:13" x14ac:dyDescent="0.3">
      <c r="A2243">
        <v>1992</v>
      </c>
      <c r="B2243">
        <v>3</v>
      </c>
      <c r="C2243">
        <v>9</v>
      </c>
      <c r="D2243">
        <v>0.74091073878345315</v>
      </c>
      <c r="E2243">
        <v>1.5200000000000102E-2</v>
      </c>
      <c r="F2243">
        <f t="shared" ref="F2243:F2306" si="63">D2243*E2243</f>
        <v>1.1261843229508564E-2</v>
      </c>
      <c r="M2243" s="31"/>
    </row>
    <row r="2244" spans="1:13" x14ac:dyDescent="0.3">
      <c r="A2244">
        <v>1992</v>
      </c>
      <c r="B2244">
        <v>3</v>
      </c>
      <c r="C2244">
        <v>7</v>
      </c>
      <c r="D2244">
        <v>0.73893376595086713</v>
      </c>
      <c r="E2244">
        <v>1.5200000000000102E-2</v>
      </c>
      <c r="F2244">
        <f t="shared" si="63"/>
        <v>1.1231793242453256E-2</v>
      </c>
      <c r="M2244" s="31"/>
    </row>
    <row r="2245" spans="1:13" x14ac:dyDescent="0.3">
      <c r="A2245">
        <v>1992</v>
      </c>
      <c r="B2245">
        <v>3</v>
      </c>
      <c r="C2245">
        <v>5</v>
      </c>
      <c r="D2245">
        <v>0.7350091082112733</v>
      </c>
      <c r="E2245">
        <v>1.5200000000000102E-2</v>
      </c>
      <c r="F2245">
        <f t="shared" si="63"/>
        <v>1.1172138444811429E-2</v>
      </c>
      <c r="M2245" s="31"/>
    </row>
    <row r="2246" spans="1:13" x14ac:dyDescent="0.3">
      <c r="A2246">
        <v>1992</v>
      </c>
      <c r="B2246">
        <v>3</v>
      </c>
      <c r="C2246">
        <v>3</v>
      </c>
      <c r="D2246">
        <v>0.72775580396731798</v>
      </c>
      <c r="E2246">
        <v>1.5200000000000102E-2</v>
      </c>
      <c r="F2246">
        <f t="shared" si="63"/>
        <v>1.1061888220303307E-2</v>
      </c>
      <c r="M2246" s="31"/>
    </row>
    <row r="2247" spans="1:13" x14ac:dyDescent="0.3">
      <c r="A2247">
        <v>1992</v>
      </c>
      <c r="B2247">
        <v>3</v>
      </c>
      <c r="C2247">
        <v>1</v>
      </c>
      <c r="D2247">
        <v>0.72093368388390178</v>
      </c>
      <c r="E2247">
        <v>1.5200000000000102E-2</v>
      </c>
      <c r="F2247">
        <f t="shared" si="63"/>
        <v>1.0958191995035381E-2</v>
      </c>
      <c r="M2247" s="31"/>
    </row>
    <row r="2248" spans="1:13" x14ac:dyDescent="0.3">
      <c r="A2248">
        <v>1992</v>
      </c>
      <c r="B2248">
        <v>2</v>
      </c>
      <c r="C2248">
        <v>29</v>
      </c>
      <c r="D2248">
        <v>0.71772104153019511</v>
      </c>
      <c r="E2248">
        <v>1.5200000000000102E-2</v>
      </c>
      <c r="F2248">
        <f t="shared" si="63"/>
        <v>1.0909359831259039E-2</v>
      </c>
      <c r="M2248" s="31"/>
    </row>
    <row r="2249" spans="1:13" x14ac:dyDescent="0.3">
      <c r="A2249">
        <v>1992</v>
      </c>
      <c r="B2249">
        <v>2</v>
      </c>
      <c r="C2249">
        <v>11</v>
      </c>
      <c r="D2249">
        <v>0.71838405081028223</v>
      </c>
      <c r="E2249">
        <v>1.5200000000000102E-2</v>
      </c>
      <c r="F2249">
        <f t="shared" si="63"/>
        <v>1.0919437572316363E-2</v>
      </c>
      <c r="M2249" s="31"/>
    </row>
    <row r="2250" spans="1:13" x14ac:dyDescent="0.3">
      <c r="A2250">
        <v>1992</v>
      </c>
      <c r="B2250">
        <v>1</v>
      </c>
      <c r="C2250">
        <v>25</v>
      </c>
      <c r="D2250">
        <v>0.72583961110346373</v>
      </c>
      <c r="E2250">
        <v>1.5200000000000102E-2</v>
      </c>
      <c r="F2250">
        <f t="shared" si="63"/>
        <v>1.1032762088772723E-2</v>
      </c>
      <c r="M2250" s="31"/>
    </row>
    <row r="2251" spans="1:13" x14ac:dyDescent="0.3">
      <c r="A2251">
        <v>1992</v>
      </c>
      <c r="B2251">
        <v>1</v>
      </c>
      <c r="C2251">
        <v>7</v>
      </c>
      <c r="D2251">
        <v>0.73944425011105208</v>
      </c>
      <c r="E2251">
        <v>1.5200000000000102E-2</v>
      </c>
      <c r="F2251">
        <f t="shared" si="63"/>
        <v>1.1239552601688067E-2</v>
      </c>
      <c r="M2251" s="31"/>
    </row>
    <row r="2252" spans="1:13" x14ac:dyDescent="0.3">
      <c r="A2252">
        <v>1991</v>
      </c>
      <c r="B2252">
        <v>12</v>
      </c>
      <c r="C2252">
        <v>21</v>
      </c>
      <c r="D2252">
        <v>0.75353436119157746</v>
      </c>
      <c r="E2252">
        <v>1.5200000000000102E-2</v>
      </c>
      <c r="F2252">
        <f t="shared" si="63"/>
        <v>1.1453722290112054E-2</v>
      </c>
      <c r="M2252" s="31"/>
    </row>
    <row r="2253" spans="1:13" x14ac:dyDescent="0.3">
      <c r="A2253">
        <v>1991</v>
      </c>
      <c r="B2253">
        <v>12</v>
      </c>
      <c r="C2253">
        <v>3</v>
      </c>
      <c r="D2253">
        <v>0.76572266087808005</v>
      </c>
      <c r="E2253">
        <v>1.5200000000000102E-2</v>
      </c>
      <c r="F2253">
        <f t="shared" si="63"/>
        <v>1.1638984445346895E-2</v>
      </c>
      <c r="M2253" s="31"/>
    </row>
    <row r="2254" spans="1:13" x14ac:dyDescent="0.3">
      <c r="A2254">
        <v>1991</v>
      </c>
      <c r="B2254">
        <v>11</v>
      </c>
      <c r="C2254">
        <v>16</v>
      </c>
      <c r="D2254">
        <v>0.77570272875976054</v>
      </c>
      <c r="E2254">
        <v>1.5200000000000102E-2</v>
      </c>
      <c r="F2254">
        <f t="shared" si="63"/>
        <v>1.179068147714844E-2</v>
      </c>
      <c r="M2254" s="31"/>
    </row>
    <row r="2255" spans="1:13" x14ac:dyDescent="0.3">
      <c r="A2255">
        <v>1991</v>
      </c>
      <c r="B2255">
        <v>10</v>
      </c>
      <c r="C2255">
        <v>30</v>
      </c>
      <c r="D2255">
        <v>0.78161373243190346</v>
      </c>
      <c r="E2255">
        <v>1.5200000000000102E-2</v>
      </c>
      <c r="F2255">
        <f t="shared" si="63"/>
        <v>1.1880528732965013E-2</v>
      </c>
      <c r="M2255" s="31"/>
    </row>
    <row r="2256" spans="1:13" x14ac:dyDescent="0.3">
      <c r="A2256">
        <v>1991</v>
      </c>
      <c r="B2256">
        <v>10</v>
      </c>
      <c r="C2256">
        <v>12</v>
      </c>
      <c r="D2256">
        <v>0.78867075387545427</v>
      </c>
      <c r="E2256">
        <v>1.5200000000000102E-2</v>
      </c>
      <c r="F2256">
        <f t="shared" si="63"/>
        <v>1.1987795458906986E-2</v>
      </c>
      <c r="M2256" s="31"/>
    </row>
    <row r="2257" spans="1:13" x14ac:dyDescent="0.3">
      <c r="A2257">
        <v>1991</v>
      </c>
      <c r="B2257">
        <v>9</v>
      </c>
      <c r="C2257">
        <v>25</v>
      </c>
      <c r="D2257">
        <v>0.80328242273989048</v>
      </c>
      <c r="E2257">
        <v>1.5200000000000102E-2</v>
      </c>
      <c r="F2257">
        <f t="shared" si="63"/>
        <v>1.2209892825646418E-2</v>
      </c>
      <c r="M2257" s="31"/>
    </row>
    <row r="2258" spans="1:13" x14ac:dyDescent="0.3">
      <c r="A2258">
        <v>1991</v>
      </c>
      <c r="B2258">
        <v>9</v>
      </c>
      <c r="C2258">
        <v>7</v>
      </c>
      <c r="D2258">
        <v>0.82368941155602471</v>
      </c>
      <c r="E2258">
        <v>1.5200000000000102E-2</v>
      </c>
      <c r="F2258">
        <f t="shared" si="63"/>
        <v>1.252007905565166E-2</v>
      </c>
      <c r="M2258" s="31"/>
    </row>
    <row r="2259" spans="1:13" x14ac:dyDescent="0.3">
      <c r="A2259">
        <v>1991</v>
      </c>
      <c r="B2259">
        <v>8</v>
      </c>
      <c r="C2259">
        <v>21</v>
      </c>
      <c r="D2259">
        <v>0.84970834610769774</v>
      </c>
      <c r="E2259">
        <v>1.5200000000000102E-2</v>
      </c>
      <c r="F2259">
        <f t="shared" si="63"/>
        <v>1.2915566860837092E-2</v>
      </c>
      <c r="M2259" s="31"/>
    </row>
    <row r="2260" spans="1:13" x14ac:dyDescent="0.3">
      <c r="A2260">
        <v>1991</v>
      </c>
      <c r="B2260">
        <v>8</v>
      </c>
      <c r="C2260">
        <v>3</v>
      </c>
      <c r="D2260">
        <v>0.87869531646000421</v>
      </c>
      <c r="E2260">
        <v>1.5200000000000102E-2</v>
      </c>
      <c r="F2260">
        <f t="shared" si="63"/>
        <v>1.3356168810192155E-2</v>
      </c>
      <c r="M2260" s="31"/>
    </row>
    <row r="2261" spans="1:13" x14ac:dyDescent="0.3">
      <c r="A2261">
        <v>1991</v>
      </c>
      <c r="B2261">
        <v>7</v>
      </c>
      <c r="C2261">
        <v>17</v>
      </c>
      <c r="D2261">
        <v>0.90147223764162832</v>
      </c>
      <c r="E2261">
        <v>1.5200000000000102E-2</v>
      </c>
      <c r="F2261">
        <f t="shared" si="63"/>
        <v>1.3702378012152842E-2</v>
      </c>
      <c r="M2261" s="31"/>
    </row>
    <row r="2262" spans="1:13" x14ac:dyDescent="0.3">
      <c r="A2262">
        <v>1991</v>
      </c>
      <c r="B2262">
        <v>6</v>
      </c>
      <c r="C2262">
        <v>30</v>
      </c>
      <c r="D2262">
        <v>0.9087984665846992</v>
      </c>
      <c r="E2262">
        <v>1.5200000000000102E-2</v>
      </c>
      <c r="F2262">
        <f t="shared" si="63"/>
        <v>1.3813736692087521E-2</v>
      </c>
      <c r="M2262" s="31"/>
    </row>
    <row r="2263" spans="1:13" x14ac:dyDescent="0.3">
      <c r="A2263">
        <v>1991</v>
      </c>
      <c r="B2263">
        <v>6</v>
      </c>
      <c r="C2263">
        <v>28</v>
      </c>
      <c r="D2263">
        <v>0.90028226322423954</v>
      </c>
      <c r="E2263">
        <v>1.5200000000000102E-2</v>
      </c>
      <c r="F2263">
        <f t="shared" si="63"/>
        <v>1.3684290401008534E-2</v>
      </c>
      <c r="M2263" s="31"/>
    </row>
    <row r="2264" spans="1:13" x14ac:dyDescent="0.3">
      <c r="A2264">
        <v>1991</v>
      </c>
      <c r="B2264">
        <v>6</v>
      </c>
      <c r="C2264">
        <v>26</v>
      </c>
      <c r="D2264">
        <v>0.8777762466192145</v>
      </c>
      <c r="E2264">
        <v>1.5200000000000102E-2</v>
      </c>
      <c r="F2264">
        <f t="shared" si="63"/>
        <v>1.334219894861215E-2</v>
      </c>
      <c r="M2264" s="31"/>
    </row>
    <row r="2265" spans="1:13" x14ac:dyDescent="0.3">
      <c r="A2265">
        <v>1991</v>
      </c>
      <c r="B2265">
        <v>6</v>
      </c>
      <c r="C2265">
        <v>24</v>
      </c>
      <c r="D2265">
        <v>0.84832115678232356</v>
      </c>
      <c r="E2265">
        <v>1.5200000000000102E-2</v>
      </c>
      <c r="F2265">
        <f t="shared" si="63"/>
        <v>1.2894481583091404E-2</v>
      </c>
      <c r="M2265" s="31"/>
    </row>
    <row r="2266" spans="1:13" x14ac:dyDescent="0.3">
      <c r="A2266">
        <v>1991</v>
      </c>
      <c r="B2266">
        <v>6</v>
      </c>
      <c r="C2266">
        <v>22</v>
      </c>
      <c r="D2266">
        <v>0.81996716262324043</v>
      </c>
      <c r="E2266">
        <v>1.5200000000000102E-2</v>
      </c>
      <c r="F2266">
        <f t="shared" si="63"/>
        <v>1.2463500871873338E-2</v>
      </c>
      <c r="M2266" s="31"/>
    </row>
    <row r="2267" spans="1:13" x14ac:dyDescent="0.3">
      <c r="A2267">
        <v>1991</v>
      </c>
      <c r="B2267">
        <v>6</v>
      </c>
      <c r="C2267">
        <v>20</v>
      </c>
      <c r="D2267">
        <v>0.79710528453232887</v>
      </c>
      <c r="E2267">
        <v>1.5200000000000102E-2</v>
      </c>
      <c r="F2267">
        <f t="shared" si="63"/>
        <v>1.211600032489148E-2</v>
      </c>
      <c r="M2267" s="31"/>
    </row>
    <row r="2268" spans="1:13" x14ac:dyDescent="0.3">
      <c r="A2268">
        <v>1991</v>
      </c>
      <c r="B2268">
        <v>6</v>
      </c>
      <c r="C2268">
        <v>18</v>
      </c>
      <c r="D2268">
        <v>0.78175355292631754</v>
      </c>
      <c r="E2268">
        <v>1.5200000000000102E-2</v>
      </c>
      <c r="F2268">
        <f t="shared" si="63"/>
        <v>1.1882654004480107E-2</v>
      </c>
      <c r="M2268" s="31"/>
    </row>
    <row r="2269" spans="1:13" x14ac:dyDescent="0.3">
      <c r="A2269">
        <v>1991</v>
      </c>
      <c r="B2269">
        <v>6</v>
      </c>
      <c r="C2269">
        <v>16</v>
      </c>
      <c r="D2269">
        <v>0.7731032985372317</v>
      </c>
      <c r="E2269">
        <v>1.5200000000000102E-2</v>
      </c>
      <c r="F2269">
        <f t="shared" si="63"/>
        <v>1.1751170137766002E-2</v>
      </c>
      <c r="M2269" s="31"/>
    </row>
    <row r="2270" spans="1:13" x14ac:dyDescent="0.3">
      <c r="A2270">
        <v>1991</v>
      </c>
      <c r="B2270">
        <v>6</v>
      </c>
      <c r="C2270">
        <v>14</v>
      </c>
      <c r="D2270">
        <v>0.76856293210400317</v>
      </c>
      <c r="E2270">
        <v>1.5200000000000102E-2</v>
      </c>
      <c r="F2270">
        <f t="shared" si="63"/>
        <v>1.1682156567980927E-2</v>
      </c>
      <c r="M2270" s="31"/>
    </row>
    <row r="2271" spans="1:13" x14ac:dyDescent="0.3">
      <c r="A2271">
        <v>1991</v>
      </c>
      <c r="B2271">
        <v>6</v>
      </c>
      <c r="C2271">
        <v>12</v>
      </c>
      <c r="D2271">
        <v>0.76515568515384402</v>
      </c>
      <c r="E2271">
        <v>1.5200000000000102E-2</v>
      </c>
      <c r="F2271">
        <f t="shared" si="63"/>
        <v>1.1630366414338508E-2</v>
      </c>
      <c r="M2271" s="31"/>
    </row>
    <row r="2272" spans="1:13" x14ac:dyDescent="0.3">
      <c r="A2272">
        <v>1991</v>
      </c>
      <c r="B2272">
        <v>6</v>
      </c>
      <c r="C2272">
        <v>10</v>
      </c>
      <c r="D2272">
        <v>0.76048436931121222</v>
      </c>
      <c r="E2272">
        <v>1.5200000000000102E-2</v>
      </c>
      <c r="F2272">
        <f t="shared" si="63"/>
        <v>1.1559362413530503E-2</v>
      </c>
      <c r="M2272" s="31"/>
    </row>
    <row r="2273" spans="1:13" x14ac:dyDescent="0.3">
      <c r="A2273">
        <v>1991</v>
      </c>
      <c r="B2273">
        <v>6</v>
      </c>
      <c r="C2273">
        <v>8</v>
      </c>
      <c r="D2273">
        <v>0.75455464844457243</v>
      </c>
      <c r="E2273">
        <v>1.5200000000000102E-2</v>
      </c>
      <c r="F2273">
        <f t="shared" si="63"/>
        <v>1.1469230656357578E-2</v>
      </c>
      <c r="M2273" s="31"/>
    </row>
    <row r="2274" spans="1:13" x14ac:dyDescent="0.3">
      <c r="A2274">
        <v>1991</v>
      </c>
      <c r="B2274">
        <v>6</v>
      </c>
      <c r="C2274">
        <v>6</v>
      </c>
      <c r="D2274">
        <v>0.74625228875072303</v>
      </c>
      <c r="E2274">
        <v>1.5200000000000102E-2</v>
      </c>
      <c r="F2274">
        <f t="shared" si="63"/>
        <v>1.1343034789011067E-2</v>
      </c>
      <c r="M2274" s="31"/>
    </row>
    <row r="2275" spans="1:13" x14ac:dyDescent="0.3">
      <c r="A2275">
        <v>1991</v>
      </c>
      <c r="B2275">
        <v>6</v>
      </c>
      <c r="C2275">
        <v>4</v>
      </c>
      <c r="D2275">
        <v>0.73457991811928181</v>
      </c>
      <c r="E2275">
        <v>1.5200000000000102E-2</v>
      </c>
      <c r="F2275">
        <f t="shared" si="63"/>
        <v>1.1165614755413158E-2</v>
      </c>
      <c r="M2275" s="31"/>
    </row>
    <row r="2276" spans="1:13" x14ac:dyDescent="0.3">
      <c r="A2276">
        <v>1991</v>
      </c>
      <c r="B2276">
        <v>6</v>
      </c>
      <c r="C2276">
        <v>2</v>
      </c>
      <c r="D2276">
        <v>0.72045333763020103</v>
      </c>
      <c r="E2276">
        <v>1.5200000000000102E-2</v>
      </c>
      <c r="F2276">
        <f t="shared" si="63"/>
        <v>1.095089073197913E-2</v>
      </c>
      <c r="M2276" s="31"/>
    </row>
    <row r="2277" spans="1:13" x14ac:dyDescent="0.3">
      <c r="A2277">
        <v>1991</v>
      </c>
      <c r="B2277">
        <v>5</v>
      </c>
      <c r="C2277">
        <v>31</v>
      </c>
      <c r="D2277">
        <v>0.70681059056971529</v>
      </c>
      <c r="E2277">
        <v>1.5200000000000102E-2</v>
      </c>
      <c r="F2277">
        <f t="shared" si="63"/>
        <v>1.0743520976659746E-2</v>
      </c>
      <c r="M2277" s="31"/>
    </row>
    <row r="2278" spans="1:13" x14ac:dyDescent="0.3">
      <c r="A2278">
        <v>1991</v>
      </c>
      <c r="B2278">
        <v>5</v>
      </c>
      <c r="C2278">
        <v>30</v>
      </c>
      <c r="D2278">
        <v>0.69350934409921172</v>
      </c>
      <c r="E2278">
        <v>1.5200000000000102E-2</v>
      </c>
      <c r="F2278">
        <f t="shared" si="63"/>
        <v>1.054134203030809E-2</v>
      </c>
      <c r="M2278" s="31"/>
    </row>
    <row r="2279" spans="1:13" x14ac:dyDescent="0.3">
      <c r="A2279">
        <v>1991</v>
      </c>
      <c r="B2279">
        <v>5</v>
      </c>
      <c r="C2279">
        <v>28</v>
      </c>
      <c r="D2279">
        <v>0.68054590341274135</v>
      </c>
      <c r="E2279">
        <v>1.5200000000000102E-2</v>
      </c>
      <c r="F2279">
        <f t="shared" si="63"/>
        <v>1.0344297731873738E-2</v>
      </c>
      <c r="M2279" s="31"/>
    </row>
    <row r="2280" spans="1:13" x14ac:dyDescent="0.3">
      <c r="A2280">
        <v>1991</v>
      </c>
      <c r="B2280">
        <v>5</v>
      </c>
      <c r="C2280">
        <v>26</v>
      </c>
      <c r="D2280">
        <v>0.67023522425736815</v>
      </c>
      <c r="E2280">
        <v>1.5200000000000102E-2</v>
      </c>
      <c r="F2280">
        <f t="shared" si="63"/>
        <v>1.0187575408712065E-2</v>
      </c>
      <c r="M2280" s="31"/>
    </row>
    <row r="2281" spans="1:13" x14ac:dyDescent="0.3">
      <c r="A2281">
        <v>1991</v>
      </c>
      <c r="B2281">
        <v>5</v>
      </c>
      <c r="C2281">
        <v>24</v>
      </c>
      <c r="D2281">
        <v>0.66458858320840919</v>
      </c>
      <c r="E2281">
        <v>1.5200000000000102E-2</v>
      </c>
      <c r="F2281">
        <f t="shared" si="63"/>
        <v>1.0101746464767887E-2</v>
      </c>
      <c r="M2281" s="31"/>
    </row>
    <row r="2282" spans="1:13" x14ac:dyDescent="0.3">
      <c r="A2282">
        <v>1991</v>
      </c>
      <c r="B2282">
        <v>5</v>
      </c>
      <c r="C2282">
        <v>22</v>
      </c>
      <c r="D2282">
        <v>0.665618661865923</v>
      </c>
      <c r="E2282">
        <v>1.5200000000000102E-2</v>
      </c>
      <c r="F2282">
        <f t="shared" si="63"/>
        <v>1.0117403660362097E-2</v>
      </c>
      <c r="M2282" s="31"/>
    </row>
    <row r="2283" spans="1:13" x14ac:dyDescent="0.3">
      <c r="A2283">
        <v>1991</v>
      </c>
      <c r="B2283">
        <v>5</v>
      </c>
      <c r="C2283">
        <v>20</v>
      </c>
      <c r="D2283">
        <v>0.67237582000738616</v>
      </c>
      <c r="E2283">
        <v>1.5200000000000102E-2</v>
      </c>
      <c r="F2283">
        <f t="shared" si="63"/>
        <v>1.0220112464112339E-2</v>
      </c>
      <c r="M2283" s="31"/>
    </row>
    <row r="2284" spans="1:13" x14ac:dyDescent="0.3">
      <c r="A2284">
        <v>1991</v>
      </c>
      <c r="B2284">
        <v>5</v>
      </c>
      <c r="C2284">
        <v>18</v>
      </c>
      <c r="D2284">
        <v>0.68544956373544341</v>
      </c>
      <c r="E2284">
        <v>1.5200000000000102E-2</v>
      </c>
      <c r="F2284">
        <f t="shared" si="63"/>
        <v>1.041883336877881E-2</v>
      </c>
      <c r="M2284" s="31"/>
    </row>
    <row r="2285" spans="1:13" x14ac:dyDescent="0.3">
      <c r="A2285">
        <v>1991</v>
      </c>
      <c r="B2285">
        <v>5</v>
      </c>
      <c r="C2285">
        <v>16</v>
      </c>
      <c r="D2285">
        <v>0.70202930932087204</v>
      </c>
      <c r="E2285">
        <v>1.5200000000000102E-2</v>
      </c>
      <c r="F2285">
        <f t="shared" si="63"/>
        <v>1.0670845501677326E-2</v>
      </c>
      <c r="M2285" s="31"/>
    </row>
    <row r="2286" spans="1:13" x14ac:dyDescent="0.3">
      <c r="A2286">
        <v>1991</v>
      </c>
      <c r="B2286">
        <v>5</v>
      </c>
      <c r="C2286">
        <v>14</v>
      </c>
      <c r="D2286">
        <v>0.71995188134676258</v>
      </c>
      <c r="E2286">
        <v>1.5200000000000102E-2</v>
      </c>
      <c r="F2286">
        <f t="shared" si="63"/>
        <v>1.0943268596470865E-2</v>
      </c>
      <c r="M2286" s="31"/>
    </row>
    <row r="2287" spans="1:13" x14ac:dyDescent="0.3">
      <c r="A2287">
        <v>1991</v>
      </c>
      <c r="B2287">
        <v>5</v>
      </c>
      <c r="C2287">
        <v>12</v>
      </c>
      <c r="D2287">
        <v>0.73700510555229914</v>
      </c>
      <c r="E2287">
        <v>1.5200000000000102E-2</v>
      </c>
      <c r="F2287">
        <f t="shared" si="63"/>
        <v>1.1202477604395022E-2</v>
      </c>
      <c r="M2287" s="31"/>
    </row>
    <row r="2288" spans="1:13" x14ac:dyDescent="0.3">
      <c r="A2288">
        <v>1991</v>
      </c>
      <c r="B2288">
        <v>5</v>
      </c>
      <c r="C2288">
        <v>10</v>
      </c>
      <c r="D2288">
        <v>0.75260948873343836</v>
      </c>
      <c r="E2288">
        <v>1.5200000000000102E-2</v>
      </c>
      <c r="F2288">
        <f t="shared" si="63"/>
        <v>1.143966422874834E-2</v>
      </c>
      <c r="M2288" s="31"/>
    </row>
    <row r="2289" spans="1:13" x14ac:dyDescent="0.3">
      <c r="A2289">
        <v>1991</v>
      </c>
      <c r="B2289">
        <v>5</v>
      </c>
      <c r="C2289">
        <v>8</v>
      </c>
      <c r="D2289">
        <v>0.76420622564430885</v>
      </c>
      <c r="E2289">
        <v>1.5200000000000102E-2</v>
      </c>
      <c r="F2289">
        <f t="shared" si="63"/>
        <v>1.1615934629793573E-2</v>
      </c>
      <c r="M2289" s="31"/>
    </row>
    <row r="2290" spans="1:13" x14ac:dyDescent="0.3">
      <c r="A2290">
        <v>1991</v>
      </c>
      <c r="B2290">
        <v>5</v>
      </c>
      <c r="C2290">
        <v>6</v>
      </c>
      <c r="D2290">
        <v>0.7699154906075133</v>
      </c>
      <c r="E2290">
        <v>1.5200000000000102E-2</v>
      </c>
      <c r="F2290">
        <f t="shared" si="63"/>
        <v>1.1702715457234281E-2</v>
      </c>
      <c r="M2290" s="31"/>
    </row>
    <row r="2291" spans="1:13" x14ac:dyDescent="0.3">
      <c r="A2291">
        <v>1991</v>
      </c>
      <c r="B2291">
        <v>5</v>
      </c>
      <c r="C2291">
        <v>4</v>
      </c>
      <c r="D2291">
        <v>0.76815542234097811</v>
      </c>
      <c r="E2291">
        <v>1.5200000000000102E-2</v>
      </c>
      <c r="F2291">
        <f t="shared" si="63"/>
        <v>1.1675962419582946E-2</v>
      </c>
      <c r="M2291" s="31"/>
    </row>
    <row r="2292" spans="1:13" x14ac:dyDescent="0.3">
      <c r="A2292">
        <v>1991</v>
      </c>
      <c r="B2292">
        <v>5</v>
      </c>
      <c r="C2292">
        <v>2</v>
      </c>
      <c r="D2292">
        <v>0.76118900844006132</v>
      </c>
      <c r="E2292">
        <v>1.5200000000000102E-2</v>
      </c>
      <c r="F2292">
        <f t="shared" si="63"/>
        <v>1.1570072928289011E-2</v>
      </c>
      <c r="M2292" s="31"/>
    </row>
    <row r="2293" spans="1:13" x14ac:dyDescent="0.3">
      <c r="A2293">
        <v>1991</v>
      </c>
      <c r="B2293">
        <v>4</v>
      </c>
      <c r="C2293">
        <v>30</v>
      </c>
      <c r="D2293">
        <v>0.75409905065930005</v>
      </c>
      <c r="E2293">
        <v>1.5200000000000102E-2</v>
      </c>
      <c r="F2293">
        <f t="shared" si="63"/>
        <v>1.1462305570021439E-2</v>
      </c>
      <c r="M2293" s="31"/>
    </row>
    <row r="2294" spans="1:13" x14ac:dyDescent="0.3">
      <c r="A2294">
        <v>1991</v>
      </c>
      <c r="B2294">
        <v>4</v>
      </c>
      <c r="C2294">
        <v>29</v>
      </c>
      <c r="D2294">
        <v>0.75094730689704614</v>
      </c>
      <c r="E2294">
        <v>1.5200000000000102E-2</v>
      </c>
      <c r="F2294">
        <f t="shared" si="63"/>
        <v>1.1414399064835178E-2</v>
      </c>
      <c r="M2294" s="31"/>
    </row>
    <row r="2295" spans="1:13" x14ac:dyDescent="0.3">
      <c r="A2295">
        <v>1991</v>
      </c>
      <c r="B2295">
        <v>4</v>
      </c>
      <c r="C2295">
        <v>27</v>
      </c>
      <c r="D2295">
        <v>0.75172128010976869</v>
      </c>
      <c r="E2295">
        <v>1.5200000000000102E-2</v>
      </c>
      <c r="F2295">
        <f t="shared" si="63"/>
        <v>1.1426163457668561E-2</v>
      </c>
      <c r="M2295" s="31"/>
    </row>
    <row r="2296" spans="1:13" x14ac:dyDescent="0.3">
      <c r="A2296">
        <v>1991</v>
      </c>
      <c r="B2296">
        <v>4</v>
      </c>
      <c r="C2296">
        <v>25</v>
      </c>
      <c r="D2296">
        <v>0.75909183173279693</v>
      </c>
      <c r="E2296">
        <v>1.5200000000000102E-2</v>
      </c>
      <c r="F2296">
        <f t="shared" si="63"/>
        <v>1.1538195842338591E-2</v>
      </c>
      <c r="M2296" s="31"/>
    </row>
    <row r="2297" spans="1:13" x14ac:dyDescent="0.3">
      <c r="A2297">
        <v>1991</v>
      </c>
      <c r="B2297">
        <v>4</v>
      </c>
      <c r="C2297">
        <v>23</v>
      </c>
      <c r="D2297">
        <v>0.76845081503663171</v>
      </c>
      <c r="E2297">
        <v>1.5200000000000102E-2</v>
      </c>
      <c r="F2297">
        <f t="shared" si="63"/>
        <v>1.168045238855688E-2</v>
      </c>
      <c r="M2297" s="31"/>
    </row>
    <row r="2298" spans="1:13" x14ac:dyDescent="0.3">
      <c r="A2298">
        <v>1991</v>
      </c>
      <c r="B2298">
        <v>4</v>
      </c>
      <c r="C2298">
        <v>21</v>
      </c>
      <c r="D2298">
        <v>0.7764237786439101</v>
      </c>
      <c r="E2298">
        <v>1.5200000000000102E-2</v>
      </c>
      <c r="F2298">
        <f t="shared" si="63"/>
        <v>1.1801641435387512E-2</v>
      </c>
      <c r="M2298" s="31"/>
    </row>
    <row r="2299" spans="1:13" x14ac:dyDescent="0.3">
      <c r="A2299">
        <v>1991</v>
      </c>
      <c r="B2299">
        <v>4</v>
      </c>
      <c r="C2299">
        <v>19</v>
      </c>
      <c r="D2299">
        <v>0.7825755396546239</v>
      </c>
      <c r="E2299">
        <v>1.5200000000000102E-2</v>
      </c>
      <c r="F2299">
        <f t="shared" si="63"/>
        <v>1.1895148202750363E-2</v>
      </c>
      <c r="M2299" s="31"/>
    </row>
    <row r="2300" spans="1:13" x14ac:dyDescent="0.3">
      <c r="A2300">
        <v>1991</v>
      </c>
      <c r="B2300">
        <v>4</v>
      </c>
      <c r="C2300">
        <v>17</v>
      </c>
      <c r="D2300">
        <v>0.79015678201962192</v>
      </c>
      <c r="E2300">
        <v>1.5200000000000102E-2</v>
      </c>
      <c r="F2300">
        <f t="shared" si="63"/>
        <v>1.2010383086698334E-2</v>
      </c>
      <c r="M2300" s="31"/>
    </row>
    <row r="2301" spans="1:13" x14ac:dyDescent="0.3">
      <c r="A2301">
        <v>1991</v>
      </c>
      <c r="B2301">
        <v>4</v>
      </c>
      <c r="C2301">
        <v>15</v>
      </c>
      <c r="D2301">
        <v>0.79633321630930509</v>
      </c>
      <c r="E2301">
        <v>1.5200000000000102E-2</v>
      </c>
      <c r="F2301">
        <f t="shared" si="63"/>
        <v>1.210426488790152E-2</v>
      </c>
      <c r="M2301" s="31"/>
    </row>
    <row r="2302" spans="1:13" x14ac:dyDescent="0.3">
      <c r="A2302">
        <v>1991</v>
      </c>
      <c r="B2302">
        <v>4</v>
      </c>
      <c r="C2302">
        <v>13</v>
      </c>
      <c r="D2302">
        <v>0.80209346689342453</v>
      </c>
      <c r="E2302">
        <v>1.5200000000000102E-2</v>
      </c>
      <c r="F2302">
        <f t="shared" si="63"/>
        <v>1.2191820696780134E-2</v>
      </c>
      <c r="M2302" s="31"/>
    </row>
    <row r="2303" spans="1:13" x14ac:dyDescent="0.3">
      <c r="A2303">
        <v>1991</v>
      </c>
      <c r="B2303">
        <v>4</v>
      </c>
      <c r="C2303">
        <v>11</v>
      </c>
      <c r="D2303">
        <v>0.80886125072299775</v>
      </c>
      <c r="E2303">
        <v>1.5200000000000102E-2</v>
      </c>
      <c r="F2303">
        <f t="shared" si="63"/>
        <v>1.2294691010989648E-2</v>
      </c>
      <c r="M2303" s="31"/>
    </row>
    <row r="2304" spans="1:13" x14ac:dyDescent="0.3">
      <c r="A2304">
        <v>1991</v>
      </c>
      <c r="B2304">
        <v>4</v>
      </c>
      <c r="C2304">
        <v>9</v>
      </c>
      <c r="D2304">
        <v>0.81392804283247633</v>
      </c>
      <c r="E2304">
        <v>1.5200000000000102E-2</v>
      </c>
      <c r="F2304">
        <f t="shared" si="63"/>
        <v>1.2371706251053723E-2</v>
      </c>
      <c r="M2304" s="31"/>
    </row>
    <row r="2305" spans="1:13" x14ac:dyDescent="0.3">
      <c r="A2305">
        <v>1991</v>
      </c>
      <c r="B2305">
        <v>4</v>
      </c>
      <c r="C2305">
        <v>7</v>
      </c>
      <c r="D2305">
        <v>0.81557007602024301</v>
      </c>
      <c r="E2305">
        <v>1.5200000000000102E-2</v>
      </c>
      <c r="F2305">
        <f t="shared" si="63"/>
        <v>1.2396665155507778E-2</v>
      </c>
      <c r="M2305" s="31"/>
    </row>
    <row r="2306" spans="1:13" x14ac:dyDescent="0.3">
      <c r="A2306">
        <v>1991</v>
      </c>
      <c r="B2306">
        <v>4</v>
      </c>
      <c r="C2306">
        <v>5</v>
      </c>
      <c r="D2306">
        <v>0.81807069234771868</v>
      </c>
      <c r="E2306">
        <v>1.5200000000000102E-2</v>
      </c>
      <c r="F2306">
        <f t="shared" si="63"/>
        <v>1.2434674523685407E-2</v>
      </c>
      <c r="M2306" s="31"/>
    </row>
    <row r="2307" spans="1:13" x14ac:dyDescent="0.3">
      <c r="A2307">
        <v>1991</v>
      </c>
      <c r="B2307">
        <v>4</v>
      </c>
      <c r="C2307">
        <v>3</v>
      </c>
      <c r="D2307">
        <v>0.82229066345970292</v>
      </c>
      <c r="E2307">
        <v>1.5200000000000102E-2</v>
      </c>
      <c r="F2307">
        <f t="shared" ref="F2307:F2370" si="64">D2307*E2307</f>
        <v>1.2498818084587568E-2</v>
      </c>
      <c r="M2307" s="31"/>
    </row>
    <row r="2308" spans="1:13" x14ac:dyDescent="0.3">
      <c r="A2308">
        <v>1991</v>
      </c>
      <c r="B2308">
        <v>4</v>
      </c>
      <c r="C2308">
        <v>1</v>
      </c>
      <c r="D2308">
        <v>0.82737527257046395</v>
      </c>
      <c r="E2308">
        <v>1.5200000000000102E-2</v>
      </c>
      <c r="F2308">
        <f t="shared" si="64"/>
        <v>1.2576104143071136E-2</v>
      </c>
      <c r="M2308" s="31"/>
    </row>
    <row r="2309" spans="1:13" x14ac:dyDescent="0.3">
      <c r="A2309">
        <v>1991</v>
      </c>
      <c r="B2309">
        <v>3</v>
      </c>
      <c r="C2309">
        <v>30</v>
      </c>
      <c r="D2309">
        <v>0.83332821541883739</v>
      </c>
      <c r="E2309">
        <v>1.5200000000000102E-2</v>
      </c>
      <c r="F2309">
        <f t="shared" si="64"/>
        <v>1.2666588874366414E-2</v>
      </c>
      <c r="M2309" s="31"/>
    </row>
    <row r="2310" spans="1:13" x14ac:dyDescent="0.3">
      <c r="A2310">
        <v>1991</v>
      </c>
      <c r="B2310">
        <v>3</v>
      </c>
      <c r="C2310">
        <v>29</v>
      </c>
      <c r="D2310">
        <v>0.84202572304474466</v>
      </c>
      <c r="E2310">
        <v>1.5200000000000102E-2</v>
      </c>
      <c r="F2310">
        <f t="shared" si="64"/>
        <v>1.2798790990280204E-2</v>
      </c>
      <c r="M2310" s="31"/>
    </row>
    <row r="2311" spans="1:13" x14ac:dyDescent="0.3">
      <c r="A2311">
        <v>1991</v>
      </c>
      <c r="B2311">
        <v>3</v>
      </c>
      <c r="C2311">
        <v>27</v>
      </c>
      <c r="D2311">
        <v>0.8510323541568493</v>
      </c>
      <c r="E2311">
        <v>1.5200000000000102E-2</v>
      </c>
      <c r="F2311">
        <f t="shared" si="64"/>
        <v>1.2935691783184197E-2</v>
      </c>
      <c r="M2311" s="31"/>
    </row>
    <row r="2312" spans="1:13" x14ac:dyDescent="0.3">
      <c r="A2312">
        <v>1991</v>
      </c>
      <c r="B2312">
        <v>3</v>
      </c>
      <c r="C2312">
        <v>25</v>
      </c>
      <c r="D2312">
        <v>0.85933816054809509</v>
      </c>
      <c r="E2312">
        <v>1.5200000000000102E-2</v>
      </c>
      <c r="F2312">
        <f t="shared" si="64"/>
        <v>1.3061940040331134E-2</v>
      </c>
      <c r="M2312" s="31"/>
    </row>
    <row r="2313" spans="1:13" x14ac:dyDescent="0.3">
      <c r="A2313">
        <v>1991</v>
      </c>
      <c r="B2313">
        <v>3</v>
      </c>
      <c r="C2313">
        <v>23</v>
      </c>
      <c r="D2313">
        <v>0.86534315499329706</v>
      </c>
      <c r="E2313">
        <v>1.5200000000000102E-2</v>
      </c>
      <c r="F2313">
        <f t="shared" si="64"/>
        <v>1.3153215955898204E-2</v>
      </c>
      <c r="M2313" s="31"/>
    </row>
    <row r="2314" spans="1:13" x14ac:dyDescent="0.3">
      <c r="A2314">
        <v>1991</v>
      </c>
      <c r="B2314">
        <v>3</v>
      </c>
      <c r="C2314">
        <v>21</v>
      </c>
      <c r="D2314">
        <v>0.86787561125247081</v>
      </c>
      <c r="E2314">
        <v>1.5200000000000102E-2</v>
      </c>
      <c r="F2314">
        <f t="shared" si="64"/>
        <v>1.3191709291037645E-2</v>
      </c>
      <c r="M2314" s="31"/>
    </row>
    <row r="2315" spans="1:13" x14ac:dyDescent="0.3">
      <c r="A2315">
        <v>1991</v>
      </c>
      <c r="B2315">
        <v>3</v>
      </c>
      <c r="C2315">
        <v>19</v>
      </c>
      <c r="D2315">
        <v>0.86461010243762593</v>
      </c>
      <c r="E2315">
        <v>1.5200000000000102E-2</v>
      </c>
      <c r="F2315">
        <f t="shared" si="64"/>
        <v>1.3142073557052002E-2</v>
      </c>
      <c r="M2315" s="31"/>
    </row>
    <row r="2316" spans="1:13" x14ac:dyDescent="0.3">
      <c r="A2316">
        <v>1991</v>
      </c>
      <c r="B2316">
        <v>3</v>
      </c>
      <c r="C2316">
        <v>17</v>
      </c>
      <c r="D2316">
        <v>0.85397563448560365</v>
      </c>
      <c r="E2316">
        <v>1.5200000000000102E-2</v>
      </c>
      <c r="F2316">
        <f t="shared" si="64"/>
        <v>1.2980429644181262E-2</v>
      </c>
      <c r="M2316" s="31"/>
    </row>
    <row r="2317" spans="1:13" x14ac:dyDescent="0.3">
      <c r="A2317">
        <v>1991</v>
      </c>
      <c r="B2317">
        <v>3</v>
      </c>
      <c r="C2317">
        <v>15</v>
      </c>
      <c r="D2317">
        <v>0.83862680037616155</v>
      </c>
      <c r="E2317">
        <v>1.5200000000000102E-2</v>
      </c>
      <c r="F2317">
        <f t="shared" si="64"/>
        <v>1.2747127365717741E-2</v>
      </c>
      <c r="M2317" s="31"/>
    </row>
    <row r="2318" spans="1:13" x14ac:dyDescent="0.3">
      <c r="A2318">
        <v>1991</v>
      </c>
      <c r="B2318">
        <v>3</v>
      </c>
      <c r="C2318">
        <v>13</v>
      </c>
      <c r="D2318">
        <v>0.82105993447466918</v>
      </c>
      <c r="E2318">
        <v>1.5200000000000102E-2</v>
      </c>
      <c r="F2318">
        <f t="shared" si="64"/>
        <v>1.2480111004015056E-2</v>
      </c>
      <c r="M2318" s="31"/>
    </row>
    <row r="2319" spans="1:13" x14ac:dyDescent="0.3">
      <c r="A2319">
        <v>1991</v>
      </c>
      <c r="B2319">
        <v>3</v>
      </c>
      <c r="C2319">
        <v>11</v>
      </c>
      <c r="D2319">
        <v>0.80344505268589705</v>
      </c>
      <c r="E2319">
        <v>1.5200000000000102E-2</v>
      </c>
      <c r="F2319">
        <f t="shared" si="64"/>
        <v>1.2212364800825718E-2</v>
      </c>
      <c r="M2319" s="31"/>
    </row>
    <row r="2320" spans="1:13" x14ac:dyDescent="0.3">
      <c r="A2320">
        <v>1991</v>
      </c>
      <c r="B2320">
        <v>3</v>
      </c>
      <c r="C2320">
        <v>9</v>
      </c>
      <c r="D2320">
        <v>0.78578508471655106</v>
      </c>
      <c r="E2320">
        <v>1.5200000000000102E-2</v>
      </c>
      <c r="F2320">
        <f t="shared" si="64"/>
        <v>1.1943933287691657E-2</v>
      </c>
      <c r="M2320" s="31"/>
    </row>
    <row r="2321" spans="1:13" x14ac:dyDescent="0.3">
      <c r="A2321">
        <v>1991</v>
      </c>
      <c r="B2321">
        <v>3</v>
      </c>
      <c r="C2321">
        <v>7</v>
      </c>
      <c r="D2321">
        <v>0.77019400365513879</v>
      </c>
      <c r="E2321">
        <v>1.5200000000000102E-2</v>
      </c>
      <c r="F2321">
        <f t="shared" si="64"/>
        <v>1.1706948855558189E-2</v>
      </c>
      <c r="M2321" s="31"/>
    </row>
    <row r="2322" spans="1:13" x14ac:dyDescent="0.3">
      <c r="A2322">
        <v>1991</v>
      </c>
      <c r="B2322">
        <v>3</v>
      </c>
      <c r="C2322">
        <v>5</v>
      </c>
      <c r="D2322">
        <v>0.75580297253515871</v>
      </c>
      <c r="E2322">
        <v>1.5200000000000102E-2</v>
      </c>
      <c r="F2322">
        <f t="shared" si="64"/>
        <v>1.1488205182534491E-2</v>
      </c>
      <c r="M2322" s="31"/>
    </row>
    <row r="2323" spans="1:13" x14ac:dyDescent="0.3">
      <c r="A2323">
        <v>1991</v>
      </c>
      <c r="B2323">
        <v>3</v>
      </c>
      <c r="C2323">
        <v>3</v>
      </c>
      <c r="D2323">
        <v>0.7441308796486712</v>
      </c>
      <c r="E2323">
        <v>1.5200000000000102E-2</v>
      </c>
      <c r="F2323">
        <f t="shared" si="64"/>
        <v>1.1310789370659878E-2</v>
      </c>
      <c r="M2323" s="31"/>
    </row>
    <row r="2324" spans="1:13" x14ac:dyDescent="0.3">
      <c r="A2324">
        <v>1991</v>
      </c>
      <c r="B2324">
        <v>3</v>
      </c>
      <c r="C2324">
        <v>1</v>
      </c>
      <c r="D2324">
        <v>0.73514714348150512</v>
      </c>
      <c r="E2324">
        <v>1.5200000000000102E-2</v>
      </c>
      <c r="F2324">
        <f t="shared" si="64"/>
        <v>1.1174236580918952E-2</v>
      </c>
      <c r="M2324" s="31"/>
    </row>
    <row r="2325" spans="1:13" x14ac:dyDescent="0.3">
      <c r="A2325">
        <v>1991</v>
      </c>
      <c r="B2325">
        <v>2</v>
      </c>
      <c r="C2325">
        <v>28</v>
      </c>
      <c r="D2325">
        <v>0.73118933281263787</v>
      </c>
      <c r="E2325">
        <v>1.5200000000000102E-2</v>
      </c>
      <c r="F2325">
        <f t="shared" si="64"/>
        <v>1.111407785875217E-2</v>
      </c>
      <c r="M2325" s="31"/>
    </row>
    <row r="2326" spans="1:13" x14ac:dyDescent="0.3">
      <c r="A2326">
        <v>1991</v>
      </c>
      <c r="B2326">
        <v>2</v>
      </c>
      <c r="C2326">
        <v>12</v>
      </c>
      <c r="D2326">
        <v>0.731402390651685</v>
      </c>
      <c r="E2326">
        <v>1.5200000000000102E-2</v>
      </c>
      <c r="F2326">
        <f t="shared" si="64"/>
        <v>1.1117316337905686E-2</v>
      </c>
      <c r="M2326" s="31"/>
    </row>
    <row r="2327" spans="1:13" x14ac:dyDescent="0.3">
      <c r="A2327">
        <v>1991</v>
      </c>
      <c r="B2327">
        <v>1</v>
      </c>
      <c r="C2327">
        <v>28</v>
      </c>
      <c r="D2327">
        <v>0.73439541451423052</v>
      </c>
      <c r="E2327">
        <v>1.5200000000000102E-2</v>
      </c>
      <c r="F2327">
        <f t="shared" si="64"/>
        <v>1.1162810300616379E-2</v>
      </c>
      <c r="M2327" s="31"/>
    </row>
    <row r="2328" spans="1:13" x14ac:dyDescent="0.3">
      <c r="A2328">
        <v>1991</v>
      </c>
      <c r="B2328">
        <v>1</v>
      </c>
      <c r="C2328">
        <v>13</v>
      </c>
      <c r="D2328">
        <v>0.73780907536578566</v>
      </c>
      <c r="E2328">
        <v>1.5200000000000102E-2</v>
      </c>
      <c r="F2328">
        <f t="shared" si="64"/>
        <v>1.1214697945560018E-2</v>
      </c>
      <c r="M2328" s="31"/>
    </row>
    <row r="2329" spans="1:13" x14ac:dyDescent="0.3">
      <c r="A2329">
        <v>1990</v>
      </c>
      <c r="B2329">
        <v>12</v>
      </c>
      <c r="C2329">
        <v>29</v>
      </c>
      <c r="D2329">
        <v>0.74192304213173033</v>
      </c>
      <c r="E2329">
        <v>1.5200000000000102E-2</v>
      </c>
      <c r="F2329">
        <f t="shared" si="64"/>
        <v>1.1277230240402376E-2</v>
      </c>
      <c r="M2329" s="31"/>
    </row>
    <row r="2330" spans="1:13" x14ac:dyDescent="0.3">
      <c r="A2330">
        <v>1990</v>
      </c>
      <c r="B2330">
        <v>12</v>
      </c>
      <c r="C2330">
        <v>14</v>
      </c>
      <c r="D2330">
        <v>0.74548360153513904</v>
      </c>
      <c r="E2330">
        <v>1.5200000000000102E-2</v>
      </c>
      <c r="F2330">
        <f t="shared" si="64"/>
        <v>1.133135074333419E-2</v>
      </c>
      <c r="M2330" s="31"/>
    </row>
    <row r="2331" spans="1:13" x14ac:dyDescent="0.3">
      <c r="A2331">
        <v>1990</v>
      </c>
      <c r="B2331">
        <v>11</v>
      </c>
      <c r="C2331">
        <v>28</v>
      </c>
      <c r="D2331">
        <v>0.74890801670290796</v>
      </c>
      <c r="E2331">
        <v>1.5200000000000102E-2</v>
      </c>
      <c r="F2331">
        <f t="shared" si="64"/>
        <v>1.1383401853884277E-2</v>
      </c>
      <c r="M2331" s="31"/>
    </row>
    <row r="2332" spans="1:13" x14ac:dyDescent="0.3">
      <c r="A2332">
        <v>1990</v>
      </c>
      <c r="B2332">
        <v>11</v>
      </c>
      <c r="C2332">
        <v>13</v>
      </c>
      <c r="D2332">
        <v>0.75247580912477607</v>
      </c>
      <c r="E2332">
        <v>1.5200000000000102E-2</v>
      </c>
      <c r="F2332">
        <f t="shared" si="64"/>
        <v>1.1437632298696673E-2</v>
      </c>
      <c r="M2332" s="31"/>
    </row>
    <row r="2333" spans="1:13" x14ac:dyDescent="0.3">
      <c r="A2333">
        <v>1990</v>
      </c>
      <c r="B2333">
        <v>10</v>
      </c>
      <c r="C2333">
        <v>29</v>
      </c>
      <c r="D2333">
        <v>0.75674736511683538</v>
      </c>
      <c r="E2333">
        <v>1.5200000000000102E-2</v>
      </c>
      <c r="F2333">
        <f t="shared" si="64"/>
        <v>1.1502559949775976E-2</v>
      </c>
      <c r="M2333" s="31"/>
    </row>
    <row r="2334" spans="1:13" x14ac:dyDescent="0.3">
      <c r="A2334">
        <v>1990</v>
      </c>
      <c r="B2334">
        <v>10</v>
      </c>
      <c r="C2334">
        <v>14</v>
      </c>
      <c r="D2334">
        <v>0.76172543763261535</v>
      </c>
      <c r="E2334">
        <v>1.5200000000000102E-2</v>
      </c>
      <c r="F2334">
        <f t="shared" si="64"/>
        <v>1.1578226652015831E-2</v>
      </c>
      <c r="M2334" s="31"/>
    </row>
    <row r="2335" spans="1:13" x14ac:dyDescent="0.3">
      <c r="A2335">
        <v>1990</v>
      </c>
      <c r="B2335">
        <v>9</v>
      </c>
      <c r="C2335">
        <v>29</v>
      </c>
      <c r="D2335">
        <v>0.7700836483991047</v>
      </c>
      <c r="E2335">
        <v>1.5200000000000102E-2</v>
      </c>
      <c r="F2335">
        <f t="shared" si="64"/>
        <v>1.170527145566647E-2</v>
      </c>
      <c r="M2335" s="31"/>
    </row>
    <row r="2336" spans="1:13" x14ac:dyDescent="0.3">
      <c r="A2336">
        <v>1990</v>
      </c>
      <c r="B2336">
        <v>9</v>
      </c>
      <c r="C2336">
        <v>13</v>
      </c>
      <c r="D2336">
        <v>0.78410796825771345</v>
      </c>
      <c r="E2336">
        <v>1.5200000000000102E-2</v>
      </c>
      <c r="F2336">
        <f t="shared" si="64"/>
        <v>1.1918441117517324E-2</v>
      </c>
      <c r="M2336" s="31"/>
    </row>
    <row r="2337" spans="1:13" x14ac:dyDescent="0.3">
      <c r="A2337">
        <v>1990</v>
      </c>
      <c r="B2337">
        <v>8</v>
      </c>
      <c r="C2337">
        <v>29</v>
      </c>
      <c r="D2337">
        <v>0.80443924404627931</v>
      </c>
      <c r="E2337">
        <v>1.5200000000000102E-2</v>
      </c>
      <c r="F2337">
        <f t="shared" si="64"/>
        <v>1.2227476509503527E-2</v>
      </c>
      <c r="M2337" s="31"/>
    </row>
    <row r="2338" spans="1:13" x14ac:dyDescent="0.3">
      <c r="A2338">
        <v>1990</v>
      </c>
      <c r="B2338">
        <v>8</v>
      </c>
      <c r="C2338">
        <v>14</v>
      </c>
      <c r="D2338">
        <v>0.82990248356070784</v>
      </c>
      <c r="E2338">
        <v>1.5200000000000102E-2</v>
      </c>
      <c r="F2338">
        <f t="shared" si="64"/>
        <v>1.2614517750122844E-2</v>
      </c>
      <c r="M2338" s="31"/>
    </row>
    <row r="2339" spans="1:13" x14ac:dyDescent="0.3">
      <c r="A2339">
        <v>1990</v>
      </c>
      <c r="B2339">
        <v>7</v>
      </c>
      <c r="C2339">
        <v>30</v>
      </c>
      <c r="D2339">
        <v>0.86003015236811053</v>
      </c>
      <c r="E2339">
        <v>1.5200000000000102E-2</v>
      </c>
      <c r="F2339">
        <f t="shared" si="64"/>
        <v>1.3072458315995367E-2</v>
      </c>
      <c r="M2339" s="31"/>
    </row>
    <row r="2340" spans="1:13" x14ac:dyDescent="0.3">
      <c r="A2340">
        <v>1990</v>
      </c>
      <c r="B2340">
        <v>7</v>
      </c>
      <c r="C2340">
        <v>15</v>
      </c>
      <c r="D2340">
        <v>0.89006601354471548</v>
      </c>
      <c r="E2340">
        <v>1.5200000000000102E-2</v>
      </c>
      <c r="F2340">
        <f t="shared" si="64"/>
        <v>1.3529003405879767E-2</v>
      </c>
      <c r="M2340" s="31"/>
    </row>
    <row r="2341" spans="1:13" x14ac:dyDescent="0.3">
      <c r="A2341">
        <v>1990</v>
      </c>
      <c r="B2341">
        <v>6</v>
      </c>
      <c r="C2341">
        <v>30</v>
      </c>
      <c r="D2341">
        <v>0.89080378332920929</v>
      </c>
      <c r="E2341">
        <v>1.5200000000000102E-2</v>
      </c>
      <c r="F2341">
        <f t="shared" si="64"/>
        <v>1.3540217506604073E-2</v>
      </c>
      <c r="M2341" s="31"/>
    </row>
    <row r="2342" spans="1:13" x14ac:dyDescent="0.3">
      <c r="A2342">
        <v>1990</v>
      </c>
      <c r="B2342">
        <v>6</v>
      </c>
      <c r="C2342">
        <v>28</v>
      </c>
      <c r="D2342">
        <v>0.88178782743136463</v>
      </c>
      <c r="E2342">
        <v>1.5200000000000102E-2</v>
      </c>
      <c r="F2342">
        <f t="shared" si="64"/>
        <v>1.3403174976956833E-2</v>
      </c>
      <c r="M2342" s="31"/>
    </row>
    <row r="2343" spans="1:13" x14ac:dyDescent="0.3">
      <c r="A2343">
        <v>1990</v>
      </c>
      <c r="B2343">
        <v>6</v>
      </c>
      <c r="C2343">
        <v>26</v>
      </c>
      <c r="D2343">
        <v>0.86236449595327913</v>
      </c>
      <c r="E2343">
        <v>1.5200000000000102E-2</v>
      </c>
      <c r="F2343">
        <f t="shared" si="64"/>
        <v>1.3107940338489931E-2</v>
      </c>
      <c r="M2343" s="31"/>
    </row>
    <row r="2344" spans="1:13" x14ac:dyDescent="0.3">
      <c r="A2344">
        <v>1990</v>
      </c>
      <c r="B2344">
        <v>6</v>
      </c>
      <c r="C2344">
        <v>24</v>
      </c>
      <c r="D2344">
        <v>0.83126891651040347</v>
      </c>
      <c r="E2344">
        <v>1.5200000000000102E-2</v>
      </c>
      <c r="F2344">
        <f t="shared" si="64"/>
        <v>1.2635287530958217E-2</v>
      </c>
      <c r="M2344" s="31"/>
    </row>
    <row r="2345" spans="1:13" x14ac:dyDescent="0.3">
      <c r="A2345">
        <v>1990</v>
      </c>
      <c r="B2345">
        <v>6</v>
      </c>
      <c r="C2345">
        <v>22</v>
      </c>
      <c r="D2345">
        <v>0.79420438271667126</v>
      </c>
      <c r="E2345">
        <v>1.5200000000000102E-2</v>
      </c>
      <c r="F2345">
        <f t="shared" si="64"/>
        <v>1.2071906617293484E-2</v>
      </c>
      <c r="M2345" s="31"/>
    </row>
    <row r="2346" spans="1:13" x14ac:dyDescent="0.3">
      <c r="A2346">
        <v>1990</v>
      </c>
      <c r="B2346">
        <v>6</v>
      </c>
      <c r="C2346">
        <v>20</v>
      </c>
      <c r="D2346">
        <v>0.77793757704003907</v>
      </c>
      <c r="E2346">
        <v>1.5200000000000102E-2</v>
      </c>
      <c r="F2346">
        <f t="shared" si="64"/>
        <v>1.1824651171008673E-2</v>
      </c>
      <c r="M2346" s="31"/>
    </row>
    <row r="2347" spans="1:13" x14ac:dyDescent="0.3">
      <c r="A2347">
        <v>1990</v>
      </c>
      <c r="B2347">
        <v>6</v>
      </c>
      <c r="C2347">
        <v>18</v>
      </c>
      <c r="D2347">
        <v>0.76652495219487493</v>
      </c>
      <c r="E2347">
        <v>1.5200000000000102E-2</v>
      </c>
      <c r="F2347">
        <f t="shared" si="64"/>
        <v>1.1651179273362178E-2</v>
      </c>
      <c r="M2347" s="31"/>
    </row>
    <row r="2348" spans="1:13" x14ac:dyDescent="0.3">
      <c r="A2348">
        <v>1990</v>
      </c>
      <c r="B2348">
        <v>6</v>
      </c>
      <c r="C2348">
        <v>16</v>
      </c>
      <c r="D2348">
        <v>0.76160133868149926</v>
      </c>
      <c r="E2348">
        <v>1.5200000000000102E-2</v>
      </c>
      <c r="F2348">
        <f t="shared" si="64"/>
        <v>1.1576340347958868E-2</v>
      </c>
      <c r="M2348" s="31"/>
    </row>
    <row r="2349" spans="1:13" x14ac:dyDescent="0.3">
      <c r="A2349">
        <v>1990</v>
      </c>
      <c r="B2349">
        <v>6</v>
      </c>
      <c r="C2349">
        <v>14</v>
      </c>
      <c r="D2349">
        <v>0.76468388710878576</v>
      </c>
      <c r="E2349">
        <v>1.5200000000000102E-2</v>
      </c>
      <c r="F2349">
        <f t="shared" si="64"/>
        <v>1.1623195084053621E-2</v>
      </c>
      <c r="M2349" s="31"/>
    </row>
    <row r="2350" spans="1:13" x14ac:dyDescent="0.3">
      <c r="A2350">
        <v>1990</v>
      </c>
      <c r="B2350">
        <v>6</v>
      </c>
      <c r="C2350">
        <v>12</v>
      </c>
      <c r="D2350">
        <v>0.7741071985325827</v>
      </c>
      <c r="E2350">
        <v>1.5200000000000102E-2</v>
      </c>
      <c r="F2350">
        <f t="shared" si="64"/>
        <v>1.1766429417695337E-2</v>
      </c>
      <c r="M2350" s="31"/>
    </row>
    <row r="2351" spans="1:13" x14ac:dyDescent="0.3">
      <c r="A2351">
        <v>1990</v>
      </c>
      <c r="B2351">
        <v>6</v>
      </c>
      <c r="C2351">
        <v>10</v>
      </c>
      <c r="D2351">
        <v>0.78865619831967204</v>
      </c>
      <c r="E2351">
        <v>1.5200000000000102E-2</v>
      </c>
      <c r="F2351">
        <f t="shared" si="64"/>
        <v>1.1987574214459095E-2</v>
      </c>
      <c r="M2351" s="31"/>
    </row>
    <row r="2352" spans="1:13" x14ac:dyDescent="0.3">
      <c r="A2352">
        <v>1990</v>
      </c>
      <c r="B2352">
        <v>6</v>
      </c>
      <c r="C2352">
        <v>8</v>
      </c>
      <c r="D2352">
        <v>0.80427159794721326</v>
      </c>
      <c r="E2352">
        <v>1.5200000000000102E-2</v>
      </c>
      <c r="F2352">
        <f t="shared" si="64"/>
        <v>1.2224928288797723E-2</v>
      </c>
      <c r="M2352" s="31"/>
    </row>
    <row r="2353" spans="1:13" x14ac:dyDescent="0.3">
      <c r="A2353">
        <v>1990</v>
      </c>
      <c r="B2353">
        <v>6</v>
      </c>
      <c r="C2353">
        <v>6</v>
      </c>
      <c r="D2353">
        <v>0.81996546611309951</v>
      </c>
      <c r="E2353">
        <v>1.5200000000000102E-2</v>
      </c>
      <c r="F2353">
        <f t="shared" si="64"/>
        <v>1.2463475084919197E-2</v>
      </c>
      <c r="M2353" s="31"/>
    </row>
    <row r="2354" spans="1:13" x14ac:dyDescent="0.3">
      <c r="A2354">
        <v>1990</v>
      </c>
      <c r="B2354">
        <v>6</v>
      </c>
      <c r="C2354">
        <v>4</v>
      </c>
      <c r="D2354">
        <v>0.83703098345874127</v>
      </c>
      <c r="E2354">
        <v>1.5200000000000102E-2</v>
      </c>
      <c r="F2354">
        <f t="shared" si="64"/>
        <v>1.2722870948572954E-2</v>
      </c>
      <c r="M2354" s="31"/>
    </row>
    <row r="2355" spans="1:13" x14ac:dyDescent="0.3">
      <c r="A2355">
        <v>1990</v>
      </c>
      <c r="B2355">
        <v>6</v>
      </c>
      <c r="C2355">
        <v>2</v>
      </c>
      <c r="D2355">
        <v>0.85404250349897903</v>
      </c>
      <c r="E2355">
        <v>1.5200000000000102E-2</v>
      </c>
      <c r="F2355">
        <f t="shared" si="64"/>
        <v>1.2981446053184569E-2</v>
      </c>
      <c r="M2355" s="31"/>
    </row>
    <row r="2356" spans="1:13" x14ac:dyDescent="0.3">
      <c r="A2356">
        <v>1990</v>
      </c>
      <c r="B2356">
        <v>5</v>
      </c>
      <c r="C2356">
        <v>31</v>
      </c>
      <c r="D2356">
        <v>0.87012573457119124</v>
      </c>
      <c r="E2356">
        <v>1.5200000000000102E-2</v>
      </c>
      <c r="F2356">
        <f t="shared" si="64"/>
        <v>1.3225911165482196E-2</v>
      </c>
      <c r="M2356" s="31"/>
    </row>
    <row r="2357" spans="1:13" x14ac:dyDescent="0.3">
      <c r="A2357">
        <v>1990</v>
      </c>
      <c r="B2357">
        <v>5</v>
      </c>
      <c r="C2357">
        <v>29</v>
      </c>
      <c r="D2357">
        <v>0.88482786082274334</v>
      </c>
      <c r="E2357">
        <v>1.5200000000000102E-2</v>
      </c>
      <c r="F2357">
        <f t="shared" si="64"/>
        <v>1.3449383484505788E-2</v>
      </c>
      <c r="M2357" s="31"/>
    </row>
    <row r="2358" spans="1:13" x14ac:dyDescent="0.3">
      <c r="A2358">
        <v>1990</v>
      </c>
      <c r="B2358">
        <v>5</v>
      </c>
      <c r="C2358">
        <v>27</v>
      </c>
      <c r="D2358">
        <v>0.89988677919099092</v>
      </c>
      <c r="E2358">
        <v>1.5200000000000102E-2</v>
      </c>
      <c r="F2358">
        <f t="shared" si="64"/>
        <v>1.3678279043703154E-2</v>
      </c>
      <c r="M2358" s="31"/>
    </row>
    <row r="2359" spans="1:13" x14ac:dyDescent="0.3">
      <c r="A2359">
        <v>1990</v>
      </c>
      <c r="B2359">
        <v>5</v>
      </c>
      <c r="C2359">
        <v>25</v>
      </c>
      <c r="D2359">
        <v>0.91060367048000912</v>
      </c>
      <c r="E2359">
        <v>1.5200000000000102E-2</v>
      </c>
      <c r="F2359">
        <f t="shared" si="64"/>
        <v>1.3841175791296232E-2</v>
      </c>
      <c r="M2359" s="31"/>
    </row>
    <row r="2360" spans="1:13" x14ac:dyDescent="0.3">
      <c r="A2360">
        <v>1990</v>
      </c>
      <c r="B2360">
        <v>5</v>
      </c>
      <c r="C2360">
        <v>23</v>
      </c>
      <c r="D2360">
        <v>0.91737901248669373</v>
      </c>
      <c r="E2360">
        <v>1.5200000000000102E-2</v>
      </c>
      <c r="F2360">
        <f t="shared" si="64"/>
        <v>1.3944160989797838E-2</v>
      </c>
      <c r="M2360" s="31"/>
    </row>
    <row r="2361" spans="1:13" x14ac:dyDescent="0.3">
      <c r="A2361">
        <v>1990</v>
      </c>
      <c r="B2361">
        <v>5</v>
      </c>
      <c r="C2361">
        <v>21</v>
      </c>
      <c r="D2361">
        <v>0.91812798132765838</v>
      </c>
      <c r="E2361">
        <v>1.5200000000000102E-2</v>
      </c>
      <c r="F2361">
        <f t="shared" si="64"/>
        <v>1.3955545316180502E-2</v>
      </c>
      <c r="M2361" s="31"/>
    </row>
    <row r="2362" spans="1:13" x14ac:dyDescent="0.3">
      <c r="A2362">
        <v>1990</v>
      </c>
      <c r="B2362">
        <v>5</v>
      </c>
      <c r="C2362">
        <v>19</v>
      </c>
      <c r="D2362">
        <v>0.9107875545093217</v>
      </c>
      <c r="E2362">
        <v>1.5200000000000102E-2</v>
      </c>
      <c r="F2362">
        <f t="shared" si="64"/>
        <v>1.3843970828541783E-2</v>
      </c>
      <c r="M2362" s="31"/>
    </row>
    <row r="2363" spans="1:13" x14ac:dyDescent="0.3">
      <c r="A2363">
        <v>1990</v>
      </c>
      <c r="B2363">
        <v>5</v>
      </c>
      <c r="C2363">
        <v>17</v>
      </c>
      <c r="D2363">
        <v>0.89291533925298217</v>
      </c>
      <c r="E2363">
        <v>1.5200000000000102E-2</v>
      </c>
      <c r="F2363">
        <f t="shared" si="64"/>
        <v>1.357231315664542E-2</v>
      </c>
      <c r="M2363" s="31"/>
    </row>
    <row r="2364" spans="1:13" x14ac:dyDescent="0.3">
      <c r="A2364">
        <v>1990</v>
      </c>
      <c r="B2364">
        <v>5</v>
      </c>
      <c r="C2364">
        <v>15</v>
      </c>
      <c r="D2364">
        <v>0.86959891046302296</v>
      </c>
      <c r="E2364">
        <v>1.5200000000000102E-2</v>
      </c>
      <c r="F2364">
        <f t="shared" si="64"/>
        <v>1.3217903439038038E-2</v>
      </c>
      <c r="M2364" s="31"/>
    </row>
    <row r="2365" spans="1:13" x14ac:dyDescent="0.3">
      <c r="A2365">
        <v>1990</v>
      </c>
      <c r="B2365">
        <v>5</v>
      </c>
      <c r="C2365">
        <v>13</v>
      </c>
      <c r="D2365">
        <v>0.84123557934721849</v>
      </c>
      <c r="E2365">
        <v>1.5200000000000102E-2</v>
      </c>
      <c r="F2365">
        <f t="shared" si="64"/>
        <v>1.2786780806077806E-2</v>
      </c>
      <c r="M2365" s="31"/>
    </row>
    <row r="2366" spans="1:13" x14ac:dyDescent="0.3">
      <c r="A2366">
        <v>1990</v>
      </c>
      <c r="B2366">
        <v>5</v>
      </c>
      <c r="C2366">
        <v>11</v>
      </c>
      <c r="D2366">
        <v>0.80995323809326203</v>
      </c>
      <c r="E2366">
        <v>1.5200000000000102E-2</v>
      </c>
      <c r="F2366">
        <f t="shared" si="64"/>
        <v>1.2311289219017666E-2</v>
      </c>
      <c r="M2366" s="31"/>
    </row>
    <row r="2367" spans="1:13" x14ac:dyDescent="0.3">
      <c r="A2367">
        <v>1990</v>
      </c>
      <c r="B2367">
        <v>5</v>
      </c>
      <c r="C2367">
        <v>9</v>
      </c>
      <c r="D2367">
        <v>0.77895623711264483</v>
      </c>
      <c r="E2367">
        <v>1.5200000000000102E-2</v>
      </c>
      <c r="F2367">
        <f t="shared" si="64"/>
        <v>1.1840134804112281E-2</v>
      </c>
      <c r="M2367" s="31"/>
    </row>
    <row r="2368" spans="1:13" x14ac:dyDescent="0.3">
      <c r="A2368">
        <v>1990</v>
      </c>
      <c r="B2368">
        <v>5</v>
      </c>
      <c r="C2368">
        <v>7</v>
      </c>
      <c r="D2368">
        <v>0.74853089690154884</v>
      </c>
      <c r="E2368">
        <v>1.5200000000000102E-2</v>
      </c>
      <c r="F2368">
        <f t="shared" si="64"/>
        <v>1.1377669632903618E-2</v>
      </c>
      <c r="M2368" s="31"/>
    </row>
    <row r="2369" spans="1:13" x14ac:dyDescent="0.3">
      <c r="A2369">
        <v>1990</v>
      </c>
      <c r="B2369">
        <v>5</v>
      </c>
      <c r="C2369">
        <v>5</v>
      </c>
      <c r="D2369">
        <v>0.7192310331057693</v>
      </c>
      <c r="E2369">
        <v>1.5200000000000102E-2</v>
      </c>
      <c r="F2369">
        <f t="shared" si="64"/>
        <v>1.0932311703207766E-2</v>
      </c>
      <c r="M2369" s="31"/>
    </row>
    <row r="2370" spans="1:13" x14ac:dyDescent="0.3">
      <c r="A2370">
        <v>1990</v>
      </c>
      <c r="B2370">
        <v>5</v>
      </c>
      <c r="C2370">
        <v>3</v>
      </c>
      <c r="D2370">
        <v>0.69227495753268964</v>
      </c>
      <c r="E2370">
        <v>1.5200000000000102E-2</v>
      </c>
      <c r="F2370">
        <f t="shared" si="64"/>
        <v>1.0522579354496953E-2</v>
      </c>
      <c r="M2370" s="31"/>
    </row>
    <row r="2371" spans="1:13" x14ac:dyDescent="0.3">
      <c r="A2371">
        <v>1990</v>
      </c>
      <c r="B2371">
        <v>5</v>
      </c>
      <c r="C2371">
        <v>1</v>
      </c>
      <c r="D2371">
        <v>0.66992940672496859</v>
      </c>
      <c r="E2371">
        <v>1.5200000000000102E-2</v>
      </c>
      <c r="F2371">
        <f t="shared" ref="F2371:F2434" si="65">D2371*E2371</f>
        <v>1.0182926982219591E-2</v>
      </c>
      <c r="M2371" s="31"/>
    </row>
    <row r="2372" spans="1:13" x14ac:dyDescent="0.3">
      <c r="A2372">
        <v>1990</v>
      </c>
      <c r="B2372">
        <v>4</v>
      </c>
      <c r="C2372">
        <v>29</v>
      </c>
      <c r="D2372">
        <v>0.65195794548925923</v>
      </c>
      <c r="E2372">
        <v>1.5200000000000102E-2</v>
      </c>
      <c r="F2372">
        <f t="shared" si="65"/>
        <v>9.9097607714368069E-3</v>
      </c>
      <c r="M2372" s="31"/>
    </row>
    <row r="2373" spans="1:13" x14ac:dyDescent="0.3">
      <c r="A2373">
        <v>1990</v>
      </c>
      <c r="B2373">
        <v>4</v>
      </c>
      <c r="C2373">
        <v>27</v>
      </c>
      <c r="D2373">
        <v>0.63881950791047837</v>
      </c>
      <c r="E2373">
        <v>1.5200000000000102E-2</v>
      </c>
      <c r="F2373">
        <f t="shared" si="65"/>
        <v>9.7100565202393359E-3</v>
      </c>
      <c r="M2373" s="31"/>
    </row>
    <row r="2374" spans="1:13" x14ac:dyDescent="0.3">
      <c r="A2374">
        <v>1990</v>
      </c>
      <c r="B2374">
        <v>4</v>
      </c>
      <c r="C2374">
        <v>25</v>
      </c>
      <c r="D2374">
        <v>0.63152165327029108</v>
      </c>
      <c r="E2374">
        <v>1.5200000000000102E-2</v>
      </c>
      <c r="F2374">
        <f t="shared" si="65"/>
        <v>9.5991291297084884E-3</v>
      </c>
      <c r="M2374" s="31"/>
    </row>
    <row r="2375" spans="1:13" x14ac:dyDescent="0.3">
      <c r="A2375">
        <v>1990</v>
      </c>
      <c r="B2375">
        <v>4</v>
      </c>
      <c r="C2375">
        <v>23</v>
      </c>
      <c r="D2375">
        <v>0.6300183319358551</v>
      </c>
      <c r="E2375">
        <v>1.5200000000000102E-2</v>
      </c>
      <c r="F2375">
        <f t="shared" si="65"/>
        <v>9.5762786454250612E-3</v>
      </c>
      <c r="M2375" s="31"/>
    </row>
    <row r="2376" spans="1:13" x14ac:dyDescent="0.3">
      <c r="A2376">
        <v>1990</v>
      </c>
      <c r="B2376">
        <v>4</v>
      </c>
      <c r="C2376">
        <v>21</v>
      </c>
      <c r="D2376">
        <v>0.63147398677685851</v>
      </c>
      <c r="E2376">
        <v>1.5200000000000102E-2</v>
      </c>
      <c r="F2376">
        <f t="shared" si="65"/>
        <v>9.5984045990083148E-3</v>
      </c>
      <c r="M2376" s="31"/>
    </row>
    <row r="2377" spans="1:13" x14ac:dyDescent="0.3">
      <c r="A2377">
        <v>1990</v>
      </c>
      <c r="B2377">
        <v>4</v>
      </c>
      <c r="C2377">
        <v>19</v>
      </c>
      <c r="D2377">
        <v>0.6348168705524867</v>
      </c>
      <c r="E2377">
        <v>1.5200000000000102E-2</v>
      </c>
      <c r="F2377">
        <f t="shared" si="65"/>
        <v>9.6492164323978627E-3</v>
      </c>
      <c r="M2377" s="31"/>
    </row>
    <row r="2378" spans="1:13" x14ac:dyDescent="0.3">
      <c r="A2378">
        <v>1990</v>
      </c>
      <c r="B2378">
        <v>4</v>
      </c>
      <c r="C2378">
        <v>17</v>
      </c>
      <c r="D2378">
        <v>0.63910965696156674</v>
      </c>
      <c r="E2378">
        <v>1.5200000000000102E-2</v>
      </c>
      <c r="F2378">
        <f t="shared" si="65"/>
        <v>9.7144667858158791E-3</v>
      </c>
      <c r="M2378" s="31"/>
    </row>
    <row r="2379" spans="1:13" x14ac:dyDescent="0.3">
      <c r="A2379">
        <v>1990</v>
      </c>
      <c r="B2379">
        <v>4</v>
      </c>
      <c r="C2379">
        <v>15</v>
      </c>
      <c r="D2379">
        <v>0.64138299896455742</v>
      </c>
      <c r="E2379">
        <v>1.5200000000000102E-2</v>
      </c>
      <c r="F2379">
        <f t="shared" si="65"/>
        <v>9.749021584261339E-3</v>
      </c>
      <c r="M2379" s="31"/>
    </row>
    <row r="2380" spans="1:13" x14ac:dyDescent="0.3">
      <c r="A2380">
        <v>1990</v>
      </c>
      <c r="B2380">
        <v>4</v>
      </c>
      <c r="C2380">
        <v>13</v>
      </c>
      <c r="D2380">
        <v>0.63825371986079205</v>
      </c>
      <c r="E2380">
        <v>1.5200000000000102E-2</v>
      </c>
      <c r="F2380">
        <f t="shared" si="65"/>
        <v>9.7014565418841042E-3</v>
      </c>
      <c r="M2380" s="31"/>
    </row>
    <row r="2381" spans="1:13" x14ac:dyDescent="0.3">
      <c r="A2381">
        <v>1990</v>
      </c>
      <c r="B2381">
        <v>4</v>
      </c>
      <c r="C2381">
        <v>11</v>
      </c>
      <c r="D2381">
        <v>0.63027800572338577</v>
      </c>
      <c r="E2381">
        <v>1.5200000000000102E-2</v>
      </c>
      <c r="F2381">
        <f t="shared" si="65"/>
        <v>9.5802256869955277E-3</v>
      </c>
      <c r="M2381" s="31"/>
    </row>
    <row r="2382" spans="1:13" x14ac:dyDescent="0.3">
      <c r="A2382">
        <v>1990</v>
      </c>
      <c r="B2382">
        <v>4</v>
      </c>
      <c r="C2382">
        <v>9</v>
      </c>
      <c r="D2382">
        <v>0.62111694113360771</v>
      </c>
      <c r="E2382">
        <v>1.5200000000000102E-2</v>
      </c>
      <c r="F2382">
        <f t="shared" si="65"/>
        <v>9.4409775052309002E-3</v>
      </c>
      <c r="M2382" s="31"/>
    </row>
    <row r="2383" spans="1:13" x14ac:dyDescent="0.3">
      <c r="A2383">
        <v>1990</v>
      </c>
      <c r="B2383">
        <v>4</v>
      </c>
      <c r="C2383">
        <v>7</v>
      </c>
      <c r="D2383">
        <v>0.61399239389139315</v>
      </c>
      <c r="E2383">
        <v>1.5200000000000102E-2</v>
      </c>
      <c r="F2383">
        <f t="shared" si="65"/>
        <v>9.3326843871492388E-3</v>
      </c>
      <c r="M2383" s="31"/>
    </row>
    <row r="2384" spans="1:13" x14ac:dyDescent="0.3">
      <c r="A2384">
        <v>1990</v>
      </c>
      <c r="B2384">
        <v>4</v>
      </c>
      <c r="C2384">
        <v>5</v>
      </c>
      <c r="D2384">
        <v>0.60995623143695077</v>
      </c>
      <c r="E2384">
        <v>1.5200000000000102E-2</v>
      </c>
      <c r="F2384">
        <f t="shared" si="65"/>
        <v>9.271334717841714E-3</v>
      </c>
      <c r="M2384" s="31"/>
    </row>
    <row r="2385" spans="1:13" x14ac:dyDescent="0.3">
      <c r="A2385">
        <v>1990</v>
      </c>
      <c r="B2385">
        <v>4</v>
      </c>
      <c r="C2385">
        <v>3</v>
      </c>
      <c r="D2385">
        <v>0.61113228211126158</v>
      </c>
      <c r="E2385">
        <v>1.5200000000000102E-2</v>
      </c>
      <c r="F2385">
        <f t="shared" si="65"/>
        <v>9.2892106880912394E-3</v>
      </c>
      <c r="M2385" s="31"/>
    </row>
    <row r="2386" spans="1:13" x14ac:dyDescent="0.3">
      <c r="A2386">
        <v>1990</v>
      </c>
      <c r="B2386">
        <v>4</v>
      </c>
      <c r="C2386">
        <v>1</v>
      </c>
      <c r="D2386">
        <v>0.61927231234299662</v>
      </c>
      <c r="E2386">
        <v>1.5200000000000102E-2</v>
      </c>
      <c r="F2386">
        <f t="shared" si="65"/>
        <v>9.4129391476136127E-3</v>
      </c>
      <c r="M2386" s="31"/>
    </row>
    <row r="2387" spans="1:13" x14ac:dyDescent="0.3">
      <c r="A2387">
        <v>1990</v>
      </c>
      <c r="B2387">
        <v>3</v>
      </c>
      <c r="C2387">
        <v>30</v>
      </c>
      <c r="D2387">
        <v>0.63444719514032066</v>
      </c>
      <c r="E2387">
        <v>1.5200000000000102E-2</v>
      </c>
      <c r="F2387">
        <f t="shared" si="65"/>
        <v>9.6435973661329385E-3</v>
      </c>
      <c r="M2387" s="31"/>
    </row>
    <row r="2388" spans="1:13" x14ac:dyDescent="0.3">
      <c r="A2388">
        <v>1990</v>
      </c>
      <c r="B2388">
        <v>3</v>
      </c>
      <c r="C2388">
        <v>28</v>
      </c>
      <c r="D2388">
        <v>0.65514983785453407</v>
      </c>
      <c r="E2388">
        <v>1.5200000000000102E-2</v>
      </c>
      <c r="F2388">
        <f t="shared" si="65"/>
        <v>9.9582775353889846E-3</v>
      </c>
      <c r="M2388" s="31"/>
    </row>
    <row r="2389" spans="1:13" x14ac:dyDescent="0.3">
      <c r="A2389">
        <v>1990</v>
      </c>
      <c r="B2389">
        <v>3</v>
      </c>
      <c r="C2389">
        <v>26</v>
      </c>
      <c r="D2389">
        <v>0.67999754034491389</v>
      </c>
      <c r="E2389">
        <v>1.5200000000000102E-2</v>
      </c>
      <c r="F2389">
        <f t="shared" si="65"/>
        <v>1.0335962613242761E-2</v>
      </c>
      <c r="M2389" s="31"/>
    </row>
    <row r="2390" spans="1:13" x14ac:dyDescent="0.3">
      <c r="A2390">
        <v>1990</v>
      </c>
      <c r="B2390">
        <v>3</v>
      </c>
      <c r="C2390">
        <v>24</v>
      </c>
      <c r="D2390">
        <v>0.70632356927975015</v>
      </c>
      <c r="E2390">
        <v>1.5200000000000102E-2</v>
      </c>
      <c r="F2390">
        <f t="shared" si="65"/>
        <v>1.0736118253052275E-2</v>
      </c>
      <c r="M2390" s="31"/>
    </row>
    <row r="2391" spans="1:13" x14ac:dyDescent="0.3">
      <c r="A2391">
        <v>1990</v>
      </c>
      <c r="B2391">
        <v>3</v>
      </c>
      <c r="C2391">
        <v>22</v>
      </c>
      <c r="D2391">
        <v>0.73150143668768131</v>
      </c>
      <c r="E2391">
        <v>1.5200000000000102E-2</v>
      </c>
      <c r="F2391">
        <f t="shared" si="65"/>
        <v>1.111882183765283E-2</v>
      </c>
      <c r="M2391" s="31"/>
    </row>
    <row r="2392" spans="1:13" x14ac:dyDescent="0.3">
      <c r="A2392">
        <v>1990</v>
      </c>
      <c r="B2392">
        <v>3</v>
      </c>
      <c r="C2392">
        <v>20</v>
      </c>
      <c r="D2392">
        <v>0.75126646921798779</v>
      </c>
      <c r="E2392">
        <v>1.5200000000000102E-2</v>
      </c>
      <c r="F2392">
        <f t="shared" si="65"/>
        <v>1.1419250332113492E-2</v>
      </c>
      <c r="M2392" s="31"/>
    </row>
    <row r="2393" spans="1:13" x14ac:dyDescent="0.3">
      <c r="A2393">
        <v>1990</v>
      </c>
      <c r="B2393">
        <v>3</v>
      </c>
      <c r="C2393">
        <v>18</v>
      </c>
      <c r="D2393">
        <v>0.76338497524722126</v>
      </c>
      <c r="E2393">
        <v>1.5200000000000102E-2</v>
      </c>
      <c r="F2393">
        <f t="shared" si="65"/>
        <v>1.1603451623757841E-2</v>
      </c>
      <c r="M2393" s="31"/>
    </row>
    <row r="2394" spans="1:13" x14ac:dyDescent="0.3">
      <c r="A2394">
        <v>1990</v>
      </c>
      <c r="B2394">
        <v>3</v>
      </c>
      <c r="C2394">
        <v>16</v>
      </c>
      <c r="D2394">
        <v>0.7673371052488076</v>
      </c>
      <c r="E2394">
        <v>1.5200000000000102E-2</v>
      </c>
      <c r="F2394">
        <f t="shared" si="65"/>
        <v>1.1663523999781954E-2</v>
      </c>
      <c r="M2394" s="31"/>
    </row>
    <row r="2395" spans="1:13" x14ac:dyDescent="0.3">
      <c r="A2395">
        <v>1990</v>
      </c>
      <c r="B2395">
        <v>3</v>
      </c>
      <c r="C2395">
        <v>14</v>
      </c>
      <c r="D2395">
        <v>0.76450173786247133</v>
      </c>
      <c r="E2395">
        <v>1.5200000000000102E-2</v>
      </c>
      <c r="F2395">
        <f t="shared" si="65"/>
        <v>1.1620426415509642E-2</v>
      </c>
      <c r="M2395" s="31"/>
    </row>
    <row r="2396" spans="1:13" x14ac:dyDescent="0.3">
      <c r="A2396">
        <v>1990</v>
      </c>
      <c r="B2396">
        <v>3</v>
      </c>
      <c r="C2396">
        <v>12</v>
      </c>
      <c r="D2396">
        <v>0.75574067492338715</v>
      </c>
      <c r="E2396">
        <v>1.5200000000000102E-2</v>
      </c>
      <c r="F2396">
        <f t="shared" si="65"/>
        <v>1.1487258258835563E-2</v>
      </c>
      <c r="M2396" s="31"/>
    </row>
    <row r="2397" spans="1:13" x14ac:dyDescent="0.3">
      <c r="A2397">
        <v>1990</v>
      </c>
      <c r="B2397">
        <v>3</v>
      </c>
      <c r="C2397">
        <v>10</v>
      </c>
      <c r="D2397">
        <v>0.74517508671683863</v>
      </c>
      <c r="E2397">
        <v>1.5200000000000102E-2</v>
      </c>
      <c r="F2397">
        <f t="shared" si="65"/>
        <v>1.1326661318096024E-2</v>
      </c>
      <c r="M2397" s="31"/>
    </row>
    <row r="2398" spans="1:13" x14ac:dyDescent="0.3">
      <c r="A2398">
        <v>1990</v>
      </c>
      <c r="B2398">
        <v>3</v>
      </c>
      <c r="C2398">
        <v>8</v>
      </c>
      <c r="D2398">
        <v>0.73422275242769963</v>
      </c>
      <c r="E2398">
        <v>1.5200000000000102E-2</v>
      </c>
      <c r="F2398">
        <f t="shared" si="65"/>
        <v>1.1160185836901109E-2</v>
      </c>
      <c r="M2398" s="31"/>
    </row>
    <row r="2399" spans="1:13" x14ac:dyDescent="0.3">
      <c r="A2399">
        <v>1990</v>
      </c>
      <c r="B2399">
        <v>3</v>
      </c>
      <c r="C2399">
        <v>6</v>
      </c>
      <c r="D2399">
        <v>0.7238654942179954</v>
      </c>
      <c r="E2399">
        <v>1.5200000000000102E-2</v>
      </c>
      <c r="F2399">
        <f t="shared" si="65"/>
        <v>1.1002755512113604E-2</v>
      </c>
      <c r="M2399" s="31"/>
    </row>
    <row r="2400" spans="1:13" x14ac:dyDescent="0.3">
      <c r="A2400">
        <v>1990</v>
      </c>
      <c r="B2400">
        <v>3</v>
      </c>
      <c r="C2400">
        <v>4</v>
      </c>
      <c r="D2400">
        <v>0.71688202516282773</v>
      </c>
      <c r="E2400">
        <v>1.5200000000000102E-2</v>
      </c>
      <c r="F2400">
        <f t="shared" si="65"/>
        <v>1.0896606782475055E-2</v>
      </c>
      <c r="M2400" s="31"/>
    </row>
    <row r="2401" spans="1:13" x14ac:dyDescent="0.3">
      <c r="A2401">
        <v>1990</v>
      </c>
      <c r="B2401">
        <v>3</v>
      </c>
      <c r="C2401">
        <v>2</v>
      </c>
      <c r="D2401">
        <v>0.71505918317557915</v>
      </c>
      <c r="E2401">
        <v>1.5200000000000102E-2</v>
      </c>
      <c r="F2401">
        <f t="shared" si="65"/>
        <v>1.0868899584268876E-2</v>
      </c>
      <c r="M2401" s="31"/>
    </row>
    <row r="2402" spans="1:13" x14ac:dyDescent="0.3">
      <c r="A2402">
        <v>1990</v>
      </c>
      <c r="B2402">
        <v>2</v>
      </c>
      <c r="C2402">
        <v>28</v>
      </c>
      <c r="D2402">
        <v>0.71476743406635845</v>
      </c>
      <c r="E2402">
        <v>1.5200000000000102E-2</v>
      </c>
      <c r="F2402">
        <f t="shared" si="65"/>
        <v>1.0864464997808722E-2</v>
      </c>
      <c r="M2402" s="31"/>
    </row>
    <row r="2403" spans="1:13" x14ac:dyDescent="0.3">
      <c r="A2403">
        <v>1990</v>
      </c>
      <c r="B2403">
        <v>2</v>
      </c>
      <c r="C2403">
        <v>5</v>
      </c>
      <c r="D2403">
        <v>0.71489331772857512</v>
      </c>
      <c r="E2403">
        <v>1.5200000000000102E-2</v>
      </c>
      <c r="F2403">
        <f t="shared" si="65"/>
        <v>1.0866378429474416E-2</v>
      </c>
      <c r="M2403" s="31"/>
    </row>
    <row r="2404" spans="1:13" x14ac:dyDescent="0.3">
      <c r="A2404">
        <v>1990</v>
      </c>
      <c r="B2404">
        <v>1</v>
      </c>
      <c r="C2404">
        <v>14</v>
      </c>
      <c r="D2404">
        <v>0.71641229617737301</v>
      </c>
      <c r="E2404">
        <v>1.5200000000000102E-2</v>
      </c>
      <c r="F2404">
        <f t="shared" si="65"/>
        <v>1.0889466901896143E-2</v>
      </c>
      <c r="M2404" s="31"/>
    </row>
    <row r="2405" spans="1:13" x14ac:dyDescent="0.3">
      <c r="A2405">
        <v>1989</v>
      </c>
      <c r="B2405">
        <v>12</v>
      </c>
      <c r="C2405">
        <v>23</v>
      </c>
      <c r="D2405">
        <v>0.71848995447407604</v>
      </c>
      <c r="E2405">
        <v>1.5200000000000102E-2</v>
      </c>
      <c r="F2405">
        <f t="shared" si="65"/>
        <v>1.092104730800603E-2</v>
      </c>
      <c r="M2405" s="31"/>
    </row>
    <row r="2406" spans="1:13" x14ac:dyDescent="0.3">
      <c r="A2406">
        <v>1989</v>
      </c>
      <c r="B2406">
        <v>12</v>
      </c>
      <c r="C2406">
        <v>1</v>
      </c>
      <c r="D2406">
        <v>0.72175498536841265</v>
      </c>
      <c r="E2406">
        <v>1.5200000000000102E-2</v>
      </c>
      <c r="F2406">
        <f t="shared" si="65"/>
        <v>1.0970675777599945E-2</v>
      </c>
      <c r="M2406" s="31"/>
    </row>
    <row r="2407" spans="1:13" x14ac:dyDescent="0.3">
      <c r="A2407">
        <v>1989</v>
      </c>
      <c r="B2407">
        <v>11</v>
      </c>
      <c r="C2407">
        <v>9</v>
      </c>
      <c r="D2407">
        <v>0.73005446386806394</v>
      </c>
      <c r="E2407">
        <v>1.5200000000000102E-2</v>
      </c>
      <c r="F2407">
        <f t="shared" si="65"/>
        <v>1.1096827850794647E-2</v>
      </c>
      <c r="M2407" s="31"/>
    </row>
    <row r="2408" spans="1:13" x14ac:dyDescent="0.3">
      <c r="A2408">
        <v>1989</v>
      </c>
      <c r="B2408">
        <v>10</v>
      </c>
      <c r="C2408">
        <v>18</v>
      </c>
      <c r="D2408">
        <v>0.74497289407188416</v>
      </c>
      <c r="E2408">
        <v>1.5200000000000102E-2</v>
      </c>
      <c r="F2408">
        <f t="shared" si="65"/>
        <v>1.1323587989892716E-2</v>
      </c>
      <c r="M2408" s="31"/>
    </row>
    <row r="2409" spans="1:13" x14ac:dyDescent="0.3">
      <c r="A2409">
        <v>1989</v>
      </c>
      <c r="B2409">
        <v>9</v>
      </c>
      <c r="C2409">
        <v>26</v>
      </c>
      <c r="D2409">
        <v>0.76448056598679603</v>
      </c>
      <c r="E2409">
        <v>1.5200000000000102E-2</v>
      </c>
      <c r="F2409">
        <f t="shared" si="65"/>
        <v>1.1620104602999379E-2</v>
      </c>
      <c r="M2409" s="31"/>
    </row>
    <row r="2410" spans="1:13" x14ac:dyDescent="0.3">
      <c r="A2410">
        <v>1989</v>
      </c>
      <c r="B2410">
        <v>9</v>
      </c>
      <c r="C2410">
        <v>4</v>
      </c>
      <c r="D2410">
        <v>0.78481336866593598</v>
      </c>
      <c r="E2410">
        <v>1.5200000000000102E-2</v>
      </c>
      <c r="F2410">
        <f t="shared" si="65"/>
        <v>1.1929163203722308E-2</v>
      </c>
      <c r="M2410" s="31"/>
    </row>
    <row r="2411" spans="1:13" x14ac:dyDescent="0.3">
      <c r="A2411">
        <v>1989</v>
      </c>
      <c r="B2411">
        <v>8</v>
      </c>
      <c r="C2411">
        <v>13</v>
      </c>
      <c r="D2411">
        <v>0.80097428643014845</v>
      </c>
      <c r="E2411">
        <v>1.5200000000000102E-2</v>
      </c>
      <c r="F2411">
        <f t="shared" si="65"/>
        <v>1.2174809153738338E-2</v>
      </c>
      <c r="M2411" s="31"/>
    </row>
    <row r="2412" spans="1:13" x14ac:dyDescent="0.3">
      <c r="A2412">
        <v>1989</v>
      </c>
      <c r="B2412">
        <v>7</v>
      </c>
      <c r="C2412">
        <v>22</v>
      </c>
      <c r="D2412">
        <v>0.80931591367705524</v>
      </c>
      <c r="E2412">
        <v>1.5200000000000102E-2</v>
      </c>
      <c r="F2412">
        <f t="shared" si="65"/>
        <v>1.2301601887891322E-2</v>
      </c>
      <c r="M2412" s="31"/>
    </row>
    <row r="2413" spans="1:13" x14ac:dyDescent="0.3">
      <c r="A2413">
        <v>1989</v>
      </c>
      <c r="B2413">
        <v>6</v>
      </c>
      <c r="C2413">
        <v>30</v>
      </c>
      <c r="D2413">
        <v>0.81207721080369588</v>
      </c>
      <c r="E2413">
        <v>1.5200000000000102E-2</v>
      </c>
      <c r="F2413">
        <f t="shared" si="65"/>
        <v>1.234357360421626E-2</v>
      </c>
      <c r="M2413" s="31"/>
    </row>
    <row r="2414" spans="1:13" x14ac:dyDescent="0.3">
      <c r="A2414">
        <v>1989</v>
      </c>
      <c r="B2414">
        <v>6</v>
      </c>
      <c r="C2414">
        <v>26</v>
      </c>
      <c r="D2414">
        <v>0.80924802791595174</v>
      </c>
      <c r="E2414">
        <v>1.5200000000000102E-2</v>
      </c>
      <c r="F2414">
        <f t="shared" si="65"/>
        <v>1.2300570024322549E-2</v>
      </c>
      <c r="M2414" s="31"/>
    </row>
    <row r="2415" spans="1:13" x14ac:dyDescent="0.3">
      <c r="A2415">
        <v>1989</v>
      </c>
      <c r="B2415">
        <v>6</v>
      </c>
      <c r="C2415">
        <v>22</v>
      </c>
      <c r="D2415">
        <v>0.80098962254739636</v>
      </c>
      <c r="E2415">
        <v>1.5200000000000102E-2</v>
      </c>
      <c r="F2415">
        <f t="shared" si="65"/>
        <v>1.2175042262720507E-2</v>
      </c>
      <c r="M2415" s="31"/>
    </row>
    <row r="2416" spans="1:13" x14ac:dyDescent="0.3">
      <c r="A2416">
        <v>1989</v>
      </c>
      <c r="B2416">
        <v>6</v>
      </c>
      <c r="C2416">
        <v>18</v>
      </c>
      <c r="D2416">
        <v>0.78919601648889959</v>
      </c>
      <c r="E2416">
        <v>1.5200000000000102E-2</v>
      </c>
      <c r="F2416">
        <f t="shared" si="65"/>
        <v>1.1995779450631355E-2</v>
      </c>
      <c r="M2416" s="31"/>
    </row>
    <row r="2417" spans="1:13" x14ac:dyDescent="0.3">
      <c r="A2417">
        <v>1989</v>
      </c>
      <c r="B2417">
        <v>6</v>
      </c>
      <c r="C2417">
        <v>15</v>
      </c>
      <c r="D2417">
        <v>0.77560868533663851</v>
      </c>
      <c r="E2417">
        <v>1.5200000000000102E-2</v>
      </c>
      <c r="F2417">
        <f t="shared" si="65"/>
        <v>1.1789252017116985E-2</v>
      </c>
      <c r="M2417" s="31"/>
    </row>
    <row r="2418" spans="1:13" x14ac:dyDescent="0.3">
      <c r="A2418">
        <v>1989</v>
      </c>
      <c r="B2418">
        <v>6</v>
      </c>
      <c r="C2418">
        <v>11</v>
      </c>
      <c r="D2418">
        <v>0.75659056405287539</v>
      </c>
      <c r="E2418">
        <v>1.5200000000000102E-2</v>
      </c>
      <c r="F2418">
        <f t="shared" si="65"/>
        <v>1.1500176573603783E-2</v>
      </c>
      <c r="M2418" s="31"/>
    </row>
    <row r="2419" spans="1:13" x14ac:dyDescent="0.3">
      <c r="A2419">
        <v>1989</v>
      </c>
      <c r="B2419">
        <v>6</v>
      </c>
      <c r="C2419">
        <v>7</v>
      </c>
      <c r="D2419">
        <v>0.73546047415635674</v>
      </c>
      <c r="E2419">
        <v>1.5200000000000102E-2</v>
      </c>
      <c r="F2419">
        <f t="shared" si="65"/>
        <v>1.1178999207176698E-2</v>
      </c>
      <c r="M2419" s="31"/>
    </row>
    <row r="2420" spans="1:13" x14ac:dyDescent="0.3">
      <c r="A2420">
        <v>1989</v>
      </c>
      <c r="B2420">
        <v>6</v>
      </c>
      <c r="C2420">
        <v>4</v>
      </c>
      <c r="D2420">
        <v>0.71379425644259953</v>
      </c>
      <c r="E2420">
        <v>1.5200000000000102E-2</v>
      </c>
      <c r="F2420">
        <f t="shared" si="65"/>
        <v>1.0849672697927587E-2</v>
      </c>
      <c r="M2420" s="31"/>
    </row>
    <row r="2421" spans="1:13" x14ac:dyDescent="0.3">
      <c r="A2421">
        <v>1989</v>
      </c>
      <c r="B2421">
        <v>5</v>
      </c>
      <c r="C2421">
        <v>31</v>
      </c>
      <c r="D2421">
        <v>0.6922980392135063</v>
      </c>
      <c r="E2421">
        <v>1.5200000000000102E-2</v>
      </c>
      <c r="F2421">
        <f t="shared" si="65"/>
        <v>1.0522930196045367E-2</v>
      </c>
      <c r="M2421" s="31"/>
    </row>
    <row r="2422" spans="1:13" x14ac:dyDescent="0.3">
      <c r="A2422">
        <v>1989</v>
      </c>
      <c r="B2422">
        <v>5</v>
      </c>
      <c r="C2422">
        <v>27</v>
      </c>
      <c r="D2422">
        <v>0.66974547673713047</v>
      </c>
      <c r="E2422">
        <v>1.5200000000000102E-2</v>
      </c>
      <c r="F2422">
        <f t="shared" si="65"/>
        <v>1.0180131246404451E-2</v>
      </c>
      <c r="M2422" s="31"/>
    </row>
    <row r="2423" spans="1:13" x14ac:dyDescent="0.3">
      <c r="A2423">
        <v>1989</v>
      </c>
      <c r="B2423">
        <v>5</v>
      </c>
      <c r="C2423">
        <v>24</v>
      </c>
      <c r="D2423">
        <v>0.6482002081769952</v>
      </c>
      <c r="E2423">
        <v>1.5200000000000102E-2</v>
      </c>
      <c r="F2423">
        <f t="shared" si="65"/>
        <v>9.8526431642903933E-3</v>
      </c>
      <c r="M2423" s="31"/>
    </row>
    <row r="2424" spans="1:13" x14ac:dyDescent="0.3">
      <c r="A2424">
        <v>1989</v>
      </c>
      <c r="B2424">
        <v>5</v>
      </c>
      <c r="C2424">
        <v>20</v>
      </c>
      <c r="D2424">
        <v>0.62348485829860878</v>
      </c>
      <c r="E2424">
        <v>1.5200000000000102E-2</v>
      </c>
      <c r="F2424">
        <f t="shared" si="65"/>
        <v>9.4769698461389176E-3</v>
      </c>
      <c r="M2424" s="31"/>
    </row>
    <row r="2425" spans="1:13" x14ac:dyDescent="0.3">
      <c r="A2425">
        <v>1989</v>
      </c>
      <c r="B2425">
        <v>5</v>
      </c>
      <c r="C2425">
        <v>16</v>
      </c>
      <c r="D2425">
        <v>0.59742663686702047</v>
      </c>
      <c r="E2425">
        <v>1.5200000000000102E-2</v>
      </c>
      <c r="F2425">
        <f t="shared" si="65"/>
        <v>9.0808848803787725E-3</v>
      </c>
      <c r="M2425" s="31"/>
    </row>
    <row r="2426" spans="1:13" x14ac:dyDescent="0.3">
      <c r="A2426">
        <v>1989</v>
      </c>
      <c r="B2426">
        <v>5</v>
      </c>
      <c r="C2426">
        <v>12</v>
      </c>
      <c r="D2426">
        <v>0.57336208003378364</v>
      </c>
      <c r="E2426">
        <v>1.5200000000000102E-2</v>
      </c>
      <c r="F2426">
        <f t="shared" si="65"/>
        <v>8.7151036165135694E-3</v>
      </c>
      <c r="M2426" s="31"/>
    </row>
    <row r="2427" spans="1:13" x14ac:dyDescent="0.3">
      <c r="A2427">
        <v>1989</v>
      </c>
      <c r="B2427">
        <v>5</v>
      </c>
      <c r="C2427">
        <v>9</v>
      </c>
      <c r="D2427">
        <v>0.55644829245799543</v>
      </c>
      <c r="E2427">
        <v>1.5200000000000102E-2</v>
      </c>
      <c r="F2427">
        <f t="shared" si="65"/>
        <v>8.4580140453615876E-3</v>
      </c>
      <c r="M2427" s="31"/>
    </row>
    <row r="2428" spans="1:13" x14ac:dyDescent="0.3">
      <c r="A2428">
        <v>1989</v>
      </c>
      <c r="B2428">
        <v>5</v>
      </c>
      <c r="C2428">
        <v>5</v>
      </c>
      <c r="D2428">
        <v>0.54665978375453095</v>
      </c>
      <c r="E2428">
        <v>1.5200000000000102E-2</v>
      </c>
      <c r="F2428">
        <f t="shared" si="65"/>
        <v>8.3092287130689269E-3</v>
      </c>
      <c r="M2428" s="31"/>
    </row>
    <row r="2429" spans="1:13" x14ac:dyDescent="0.3">
      <c r="A2429">
        <v>1989</v>
      </c>
      <c r="B2429">
        <v>5</v>
      </c>
      <c r="C2429">
        <v>1</v>
      </c>
      <c r="D2429">
        <v>0.54454858009349028</v>
      </c>
      <c r="E2429">
        <v>1.5200000000000102E-2</v>
      </c>
      <c r="F2429">
        <f t="shared" si="65"/>
        <v>8.277138417421108E-3</v>
      </c>
      <c r="M2429" s="31"/>
    </row>
    <row r="2430" spans="1:13" x14ac:dyDescent="0.3">
      <c r="A2430">
        <v>1989</v>
      </c>
      <c r="B2430">
        <v>4</v>
      </c>
      <c r="C2430">
        <v>28</v>
      </c>
      <c r="D2430">
        <v>0.54917845226553696</v>
      </c>
      <c r="E2430">
        <v>1.5200000000000102E-2</v>
      </c>
      <c r="F2430">
        <f t="shared" si="65"/>
        <v>8.3475124744362174E-3</v>
      </c>
      <c r="M2430" s="31"/>
    </row>
    <row r="2431" spans="1:13" x14ac:dyDescent="0.3">
      <c r="A2431">
        <v>1989</v>
      </c>
      <c r="B2431">
        <v>4</v>
      </c>
      <c r="C2431">
        <v>24</v>
      </c>
      <c r="D2431">
        <v>0.55615764282622859</v>
      </c>
      <c r="E2431">
        <v>1.5200000000000102E-2</v>
      </c>
      <c r="F2431">
        <f t="shared" si="65"/>
        <v>8.4535961709587323E-3</v>
      </c>
      <c r="M2431" s="31"/>
    </row>
    <row r="2432" spans="1:13" x14ac:dyDescent="0.3">
      <c r="A2432">
        <v>1989</v>
      </c>
      <c r="B2432">
        <v>4</v>
      </c>
      <c r="C2432">
        <v>20</v>
      </c>
      <c r="D2432">
        <v>0.56198092653153953</v>
      </c>
      <c r="E2432">
        <v>1.5200000000000102E-2</v>
      </c>
      <c r="F2432">
        <f t="shared" si="65"/>
        <v>8.5421100832794583E-3</v>
      </c>
      <c r="M2432" s="31"/>
    </row>
    <row r="2433" spans="1:13" x14ac:dyDescent="0.3">
      <c r="A2433">
        <v>1989</v>
      </c>
      <c r="B2433">
        <v>4</v>
      </c>
      <c r="C2433">
        <v>17</v>
      </c>
      <c r="D2433">
        <v>0.56546396069386162</v>
      </c>
      <c r="E2433">
        <v>1.5200000000000102E-2</v>
      </c>
      <c r="F2433">
        <f t="shared" si="65"/>
        <v>8.5950522025467543E-3</v>
      </c>
      <c r="M2433" s="31"/>
    </row>
    <row r="2434" spans="1:13" x14ac:dyDescent="0.3">
      <c r="A2434">
        <v>1989</v>
      </c>
      <c r="B2434">
        <v>4</v>
      </c>
      <c r="C2434">
        <v>13</v>
      </c>
      <c r="D2434">
        <v>0.56711985122341735</v>
      </c>
      <c r="E2434">
        <v>1.5200000000000102E-2</v>
      </c>
      <c r="F2434">
        <f t="shared" si="65"/>
        <v>8.6202217385960012E-3</v>
      </c>
      <c r="M2434" s="31"/>
    </row>
    <row r="2435" spans="1:13" x14ac:dyDescent="0.3">
      <c r="A2435">
        <v>1989</v>
      </c>
      <c r="B2435">
        <v>4</v>
      </c>
      <c r="C2435">
        <v>9</v>
      </c>
      <c r="D2435">
        <v>0.56590197373571816</v>
      </c>
      <c r="E2435">
        <v>1.5200000000000102E-2</v>
      </c>
      <c r="F2435">
        <f t="shared" ref="F2435:F2498" si="66">D2435*E2435</f>
        <v>8.6017100007829746E-3</v>
      </c>
      <c r="M2435" s="31"/>
    </row>
    <row r="2436" spans="1:13" x14ac:dyDescent="0.3">
      <c r="A2436">
        <v>1989</v>
      </c>
      <c r="B2436">
        <v>4</v>
      </c>
      <c r="C2436">
        <v>5</v>
      </c>
      <c r="D2436">
        <v>0.56338050367988468</v>
      </c>
      <c r="E2436">
        <v>1.5200000000000102E-2</v>
      </c>
      <c r="F2436">
        <f t="shared" si="66"/>
        <v>8.5633836559343042E-3</v>
      </c>
      <c r="M2436" s="31"/>
    </row>
    <row r="2437" spans="1:13" x14ac:dyDescent="0.3">
      <c r="A2437">
        <v>1989</v>
      </c>
      <c r="B2437">
        <v>4</v>
      </c>
      <c r="C2437">
        <v>2</v>
      </c>
      <c r="D2437">
        <v>0.55890991435543791</v>
      </c>
      <c r="E2437">
        <v>1.5200000000000102E-2</v>
      </c>
      <c r="F2437">
        <f t="shared" si="66"/>
        <v>8.4954306982027127E-3</v>
      </c>
      <c r="M2437" s="31"/>
    </row>
    <row r="2438" spans="1:13" x14ac:dyDescent="0.3">
      <c r="A2438">
        <v>1989</v>
      </c>
      <c r="B2438">
        <v>3</v>
      </c>
      <c r="C2438">
        <v>29</v>
      </c>
      <c r="D2438">
        <v>0.55172500688206905</v>
      </c>
      <c r="E2438">
        <v>1.5200000000000102E-2</v>
      </c>
      <c r="F2438">
        <f t="shared" si="66"/>
        <v>8.3862201046075065E-3</v>
      </c>
      <c r="M2438" s="31"/>
    </row>
    <row r="2439" spans="1:13" x14ac:dyDescent="0.3">
      <c r="A2439">
        <v>1989</v>
      </c>
      <c r="B2439">
        <v>3</v>
      </c>
      <c r="C2439">
        <v>25</v>
      </c>
      <c r="D2439">
        <v>0.54082163769113978</v>
      </c>
      <c r="E2439">
        <v>1.5200000000000102E-2</v>
      </c>
      <c r="F2439">
        <f t="shared" si="66"/>
        <v>8.2204888929053796E-3</v>
      </c>
      <c r="M2439" s="31"/>
    </row>
    <row r="2440" spans="1:13" x14ac:dyDescent="0.3">
      <c r="A2440">
        <v>1989</v>
      </c>
      <c r="B2440">
        <v>3</v>
      </c>
      <c r="C2440">
        <v>22</v>
      </c>
      <c r="D2440">
        <v>0.52715473091008491</v>
      </c>
      <c r="E2440">
        <v>1.5200000000000102E-2</v>
      </c>
      <c r="F2440">
        <f t="shared" si="66"/>
        <v>8.0127519098333443E-3</v>
      </c>
      <c r="M2440" s="31"/>
    </row>
    <row r="2441" spans="1:13" x14ac:dyDescent="0.3">
      <c r="A2441">
        <v>1989</v>
      </c>
      <c r="B2441">
        <v>3</v>
      </c>
      <c r="C2441">
        <v>18</v>
      </c>
      <c r="D2441">
        <v>0.51116218231250643</v>
      </c>
      <c r="E2441">
        <v>1.5200000000000102E-2</v>
      </c>
      <c r="F2441">
        <f t="shared" si="66"/>
        <v>7.7696651711501499E-3</v>
      </c>
      <c r="M2441" s="31"/>
    </row>
    <row r="2442" spans="1:13" x14ac:dyDescent="0.3">
      <c r="A2442">
        <v>1989</v>
      </c>
      <c r="B2442">
        <v>3</v>
      </c>
      <c r="C2442">
        <v>14</v>
      </c>
      <c r="D2442">
        <v>0.49454191862848507</v>
      </c>
      <c r="E2442">
        <v>1.5200000000000102E-2</v>
      </c>
      <c r="F2442">
        <f t="shared" si="66"/>
        <v>7.5170371631530239E-3</v>
      </c>
      <c r="M2442" s="31"/>
    </row>
    <row r="2443" spans="1:13" x14ac:dyDescent="0.3">
      <c r="A2443">
        <v>1989</v>
      </c>
      <c r="B2443">
        <v>3</v>
      </c>
      <c r="C2443">
        <v>11</v>
      </c>
      <c r="D2443">
        <v>0.47931608330709136</v>
      </c>
      <c r="E2443">
        <v>1.5200000000000102E-2</v>
      </c>
      <c r="F2443">
        <f t="shared" si="66"/>
        <v>7.2856044662678379E-3</v>
      </c>
      <c r="M2443" s="31"/>
    </row>
    <row r="2444" spans="1:13" x14ac:dyDescent="0.3">
      <c r="A2444">
        <v>1989</v>
      </c>
      <c r="B2444">
        <v>3</v>
      </c>
      <c r="C2444">
        <v>7</v>
      </c>
      <c r="D2444">
        <v>0.46844035686674074</v>
      </c>
      <c r="E2444">
        <v>1.5200000000000102E-2</v>
      </c>
      <c r="F2444">
        <f t="shared" si="66"/>
        <v>7.1202934243745075E-3</v>
      </c>
      <c r="M2444" s="31"/>
    </row>
    <row r="2445" spans="1:13" x14ac:dyDescent="0.3">
      <c r="A2445">
        <v>1989</v>
      </c>
      <c r="B2445">
        <v>3</v>
      </c>
      <c r="C2445">
        <v>3</v>
      </c>
      <c r="D2445">
        <v>0.46283290353687451</v>
      </c>
      <c r="E2445">
        <v>1.5200000000000102E-2</v>
      </c>
      <c r="F2445">
        <f t="shared" si="66"/>
        <v>7.0350601337605401E-3</v>
      </c>
      <c r="M2445" s="31"/>
    </row>
    <row r="2446" spans="1:13" x14ac:dyDescent="0.3">
      <c r="A2446">
        <v>1989</v>
      </c>
      <c r="B2446">
        <v>2</v>
      </c>
      <c r="C2446">
        <v>28</v>
      </c>
      <c r="D2446">
        <v>0.46269198620727775</v>
      </c>
      <c r="E2446">
        <v>1.5200000000000102E-2</v>
      </c>
      <c r="F2446">
        <f t="shared" si="66"/>
        <v>7.0329181903506692E-3</v>
      </c>
      <c r="M2446" s="31"/>
    </row>
    <row r="2447" spans="1:13" x14ac:dyDescent="0.3">
      <c r="A2447">
        <v>1989</v>
      </c>
      <c r="B2447">
        <v>2</v>
      </c>
      <c r="C2447">
        <v>23</v>
      </c>
      <c r="D2447">
        <v>0.46552827189128837</v>
      </c>
      <c r="E2447">
        <v>1.5200000000000102E-2</v>
      </c>
      <c r="F2447">
        <f t="shared" si="66"/>
        <v>7.076029732747631E-3</v>
      </c>
      <c r="M2447" s="31"/>
    </row>
    <row r="2448" spans="1:13" x14ac:dyDescent="0.3">
      <c r="A2448">
        <v>1989</v>
      </c>
      <c r="B2448">
        <v>2</v>
      </c>
      <c r="C2448">
        <v>18</v>
      </c>
      <c r="D2448">
        <v>0.46923801031573165</v>
      </c>
      <c r="E2448">
        <v>1.5200000000000102E-2</v>
      </c>
      <c r="F2448">
        <f t="shared" si="66"/>
        <v>7.1324177567991687E-3</v>
      </c>
      <c r="M2448" s="31"/>
    </row>
    <row r="2449" spans="1:13" x14ac:dyDescent="0.3">
      <c r="A2449">
        <v>1989</v>
      </c>
      <c r="B2449">
        <v>2</v>
      </c>
      <c r="C2449">
        <v>13</v>
      </c>
      <c r="D2449">
        <v>0.4712099919531908</v>
      </c>
      <c r="E2449">
        <v>1.5200000000000102E-2</v>
      </c>
      <c r="F2449">
        <f t="shared" si="66"/>
        <v>7.1623918776885483E-3</v>
      </c>
      <c r="M2449" s="31"/>
    </row>
    <row r="2450" spans="1:13" x14ac:dyDescent="0.3">
      <c r="A2450">
        <v>1989</v>
      </c>
      <c r="B2450">
        <v>2</v>
      </c>
      <c r="C2450">
        <v>8</v>
      </c>
      <c r="D2450">
        <v>0.47168885281543438</v>
      </c>
      <c r="E2450">
        <v>1.5200000000000102E-2</v>
      </c>
      <c r="F2450">
        <f t="shared" si="66"/>
        <v>7.1696705627946507E-3</v>
      </c>
      <c r="M2450" s="31"/>
    </row>
    <row r="2451" spans="1:13" x14ac:dyDescent="0.3">
      <c r="A2451">
        <v>1989</v>
      </c>
      <c r="B2451">
        <v>2</v>
      </c>
      <c r="C2451">
        <v>4</v>
      </c>
      <c r="D2451">
        <v>0.47129671194035938</v>
      </c>
      <c r="E2451">
        <v>1.5200000000000102E-2</v>
      </c>
      <c r="F2451">
        <f t="shared" si="66"/>
        <v>7.1637100214935112E-3</v>
      </c>
      <c r="M2451" s="31"/>
    </row>
    <row r="2452" spans="1:13" x14ac:dyDescent="0.3">
      <c r="A2452">
        <v>1989</v>
      </c>
      <c r="B2452">
        <v>1</v>
      </c>
      <c r="C2452">
        <v>30</v>
      </c>
      <c r="D2452">
        <v>0.47314438600776959</v>
      </c>
      <c r="E2452">
        <v>1.5200000000000102E-2</v>
      </c>
      <c r="F2452">
        <f t="shared" si="66"/>
        <v>7.1917946673181465E-3</v>
      </c>
      <c r="M2452" s="31"/>
    </row>
    <row r="2453" spans="1:13" x14ac:dyDescent="0.3">
      <c r="A2453">
        <v>1989</v>
      </c>
      <c r="B2453">
        <v>1</v>
      </c>
      <c r="C2453">
        <v>25</v>
      </c>
      <c r="D2453">
        <v>0.47648844473138902</v>
      </c>
      <c r="E2453">
        <v>1.5200000000000102E-2</v>
      </c>
      <c r="F2453">
        <f t="shared" si="66"/>
        <v>7.2426243599171616E-3</v>
      </c>
      <c r="M2453" s="31"/>
    </row>
    <row r="2454" spans="1:13" x14ac:dyDescent="0.3">
      <c r="A2454">
        <v>1989</v>
      </c>
      <c r="B2454">
        <v>1</v>
      </c>
      <c r="C2454">
        <v>20</v>
      </c>
      <c r="D2454">
        <v>0.48208557508952254</v>
      </c>
      <c r="E2454">
        <v>1.5200000000000102E-2</v>
      </c>
      <c r="F2454">
        <f t="shared" si="66"/>
        <v>7.3277007413607917E-3</v>
      </c>
      <c r="M2454" s="31"/>
    </row>
    <row r="2455" spans="1:13" x14ac:dyDescent="0.3">
      <c r="A2455">
        <v>1989</v>
      </c>
      <c r="B2455">
        <v>1</v>
      </c>
      <c r="C2455">
        <v>16</v>
      </c>
      <c r="D2455">
        <v>0.48807220687317204</v>
      </c>
      <c r="E2455">
        <v>1.5200000000000102E-2</v>
      </c>
      <c r="F2455">
        <f t="shared" si="66"/>
        <v>7.4186975444722652E-3</v>
      </c>
      <c r="M2455" s="31"/>
    </row>
    <row r="2456" spans="1:13" x14ac:dyDescent="0.3">
      <c r="A2456">
        <v>1989</v>
      </c>
      <c r="B2456">
        <v>1</v>
      </c>
      <c r="C2456">
        <v>11</v>
      </c>
      <c r="D2456">
        <v>0.49457721296282503</v>
      </c>
      <c r="E2456">
        <v>1.5200000000000102E-2</v>
      </c>
      <c r="F2456">
        <f t="shared" si="66"/>
        <v>7.5175736370349912E-3</v>
      </c>
      <c r="M2456" s="31"/>
    </row>
    <row r="2457" spans="1:13" x14ac:dyDescent="0.3">
      <c r="A2457">
        <v>1989</v>
      </c>
      <c r="B2457">
        <v>1</v>
      </c>
      <c r="C2457">
        <v>6</v>
      </c>
      <c r="D2457">
        <v>0.50147837580114552</v>
      </c>
      <c r="E2457">
        <v>1.5200000000000102E-2</v>
      </c>
      <c r="F2457">
        <f t="shared" si="66"/>
        <v>7.6224713121774632E-3</v>
      </c>
      <c r="M2457" s="31"/>
    </row>
    <row r="2458" spans="1:13" x14ac:dyDescent="0.3">
      <c r="A2458">
        <v>1989</v>
      </c>
      <c r="B2458">
        <v>1</v>
      </c>
      <c r="C2458">
        <v>1</v>
      </c>
      <c r="D2458">
        <v>0.50802012562715815</v>
      </c>
      <c r="E2458">
        <v>1.5200000000000102E-2</v>
      </c>
      <c r="F2458">
        <f t="shared" si="66"/>
        <v>7.7219059095328555E-3</v>
      </c>
      <c r="M2458" s="31"/>
    </row>
    <row r="2459" spans="1:13" x14ac:dyDescent="0.3">
      <c r="A2459">
        <v>1988</v>
      </c>
      <c r="B2459">
        <v>12</v>
      </c>
      <c r="C2459">
        <v>28</v>
      </c>
      <c r="D2459">
        <v>0.51496064503282757</v>
      </c>
      <c r="E2459">
        <v>1.5200000000000102E-2</v>
      </c>
      <c r="F2459">
        <f t="shared" si="66"/>
        <v>7.8274018044990311E-3</v>
      </c>
      <c r="M2459" s="31"/>
    </row>
    <row r="2460" spans="1:13" x14ac:dyDescent="0.3">
      <c r="A2460">
        <v>1988</v>
      </c>
      <c r="B2460">
        <v>12</v>
      </c>
      <c r="C2460">
        <v>23</v>
      </c>
      <c r="D2460">
        <v>0.5229392538923977</v>
      </c>
      <c r="E2460">
        <v>1.5200000000000102E-2</v>
      </c>
      <c r="F2460">
        <f t="shared" si="66"/>
        <v>7.948676659164499E-3</v>
      </c>
      <c r="M2460" s="31"/>
    </row>
    <row r="2461" spans="1:13" x14ac:dyDescent="0.3">
      <c r="A2461">
        <v>1988</v>
      </c>
      <c r="B2461">
        <v>12</v>
      </c>
      <c r="C2461">
        <v>18</v>
      </c>
      <c r="D2461">
        <v>0.53043318609475698</v>
      </c>
      <c r="E2461">
        <v>1.5200000000000102E-2</v>
      </c>
      <c r="F2461">
        <f t="shared" si="66"/>
        <v>8.0625844286403604E-3</v>
      </c>
      <c r="M2461" s="31"/>
    </row>
    <row r="2462" spans="1:13" x14ac:dyDescent="0.3">
      <c r="A2462">
        <v>1988</v>
      </c>
      <c r="B2462">
        <v>12</v>
      </c>
      <c r="C2462">
        <v>13</v>
      </c>
      <c r="D2462">
        <v>0.53602796488633908</v>
      </c>
      <c r="E2462">
        <v>1.5200000000000102E-2</v>
      </c>
      <c r="F2462">
        <f t="shared" si="66"/>
        <v>8.1476250662724081E-3</v>
      </c>
      <c r="M2462" s="31"/>
    </row>
    <row r="2463" spans="1:13" x14ac:dyDescent="0.3">
      <c r="A2463">
        <v>1988</v>
      </c>
      <c r="B2463">
        <v>12</v>
      </c>
      <c r="C2463">
        <v>9</v>
      </c>
      <c r="D2463">
        <v>0.54304707841358635</v>
      </c>
      <c r="E2463">
        <v>1.5200000000000102E-2</v>
      </c>
      <c r="F2463">
        <f t="shared" si="66"/>
        <v>8.2543155918865675E-3</v>
      </c>
      <c r="M2463" s="31"/>
    </row>
    <row r="2464" spans="1:13" x14ac:dyDescent="0.3">
      <c r="A2464">
        <v>1988</v>
      </c>
      <c r="B2464">
        <v>12</v>
      </c>
      <c r="C2464">
        <v>4</v>
      </c>
      <c r="D2464">
        <v>0.5522758662264815</v>
      </c>
      <c r="E2464">
        <v>1.5200000000000102E-2</v>
      </c>
      <c r="F2464">
        <f t="shared" si="66"/>
        <v>8.3945931666425753E-3</v>
      </c>
      <c r="M2464" s="31"/>
    </row>
    <row r="2465" spans="1:13" x14ac:dyDescent="0.3">
      <c r="A2465">
        <v>1988</v>
      </c>
      <c r="B2465">
        <v>11</v>
      </c>
      <c r="C2465">
        <v>29</v>
      </c>
      <c r="D2465">
        <v>0.56361085047108594</v>
      </c>
      <c r="E2465">
        <v>1.5200000000000102E-2</v>
      </c>
      <c r="F2465">
        <f t="shared" si="66"/>
        <v>8.5668849271605639E-3</v>
      </c>
      <c r="M2465" s="31"/>
    </row>
    <row r="2466" spans="1:13" x14ac:dyDescent="0.3">
      <c r="A2466">
        <v>1988</v>
      </c>
      <c r="B2466">
        <v>11</v>
      </c>
      <c r="C2466">
        <v>24</v>
      </c>
      <c r="D2466">
        <v>0.57747110065982099</v>
      </c>
      <c r="E2466">
        <v>1.5200000000000102E-2</v>
      </c>
      <c r="F2466">
        <f t="shared" si="66"/>
        <v>8.7775607300293376E-3</v>
      </c>
      <c r="M2466" s="31"/>
    </row>
    <row r="2467" spans="1:13" x14ac:dyDescent="0.3">
      <c r="A2467">
        <v>1988</v>
      </c>
      <c r="B2467">
        <v>11</v>
      </c>
      <c r="C2467">
        <v>19</v>
      </c>
      <c r="D2467">
        <v>0.59271808340233312</v>
      </c>
      <c r="E2467">
        <v>1.5200000000000102E-2</v>
      </c>
      <c r="F2467">
        <f t="shared" si="66"/>
        <v>9.0093148677155236E-3</v>
      </c>
      <c r="M2467" s="31"/>
    </row>
    <row r="2468" spans="1:13" x14ac:dyDescent="0.3">
      <c r="A2468">
        <v>1988</v>
      </c>
      <c r="B2468">
        <v>11</v>
      </c>
      <c r="C2468">
        <v>15</v>
      </c>
      <c r="D2468">
        <v>0.60660420427479722</v>
      </c>
      <c r="E2468">
        <v>1.5200000000000102E-2</v>
      </c>
      <c r="F2468">
        <f t="shared" si="66"/>
        <v>9.2203839049769792E-3</v>
      </c>
      <c r="M2468" s="31"/>
    </row>
    <row r="2469" spans="1:13" x14ac:dyDescent="0.3">
      <c r="A2469">
        <v>1988</v>
      </c>
      <c r="B2469">
        <v>11</v>
      </c>
      <c r="C2469">
        <v>10</v>
      </c>
      <c r="D2469">
        <v>0.61936996642102737</v>
      </c>
      <c r="E2469">
        <v>1.5200000000000102E-2</v>
      </c>
      <c r="F2469">
        <f t="shared" si="66"/>
        <v>9.4144234895996801E-3</v>
      </c>
      <c r="M2469" s="31"/>
    </row>
    <row r="2470" spans="1:13" x14ac:dyDescent="0.3">
      <c r="A2470">
        <v>1988</v>
      </c>
      <c r="B2470">
        <v>11</v>
      </c>
      <c r="C2470">
        <v>5</v>
      </c>
      <c r="D2470">
        <v>0.63232761165302631</v>
      </c>
      <c r="E2470">
        <v>1.5200000000000102E-2</v>
      </c>
      <c r="F2470">
        <f t="shared" si="66"/>
        <v>9.611379697126065E-3</v>
      </c>
      <c r="M2470" s="31"/>
    </row>
    <row r="2471" spans="1:13" x14ac:dyDescent="0.3">
      <c r="A2471">
        <v>1988</v>
      </c>
      <c r="B2471">
        <v>10</v>
      </c>
      <c r="C2471">
        <v>31</v>
      </c>
      <c r="D2471">
        <v>0.64454224032664365</v>
      </c>
      <c r="E2471">
        <v>1.5200000000000102E-2</v>
      </c>
      <c r="F2471">
        <f t="shared" si="66"/>
        <v>9.7970420529650496E-3</v>
      </c>
      <c r="M2471" s="31"/>
    </row>
    <row r="2472" spans="1:13" x14ac:dyDescent="0.3">
      <c r="A2472">
        <v>1988</v>
      </c>
      <c r="B2472">
        <v>10</v>
      </c>
      <c r="C2472">
        <v>27</v>
      </c>
      <c r="D2472">
        <v>0.65364506544917067</v>
      </c>
      <c r="E2472">
        <v>1.5200000000000102E-2</v>
      </c>
      <c r="F2472">
        <f t="shared" si="66"/>
        <v>9.9354049948274618E-3</v>
      </c>
      <c r="M2472" s="31"/>
    </row>
    <row r="2473" spans="1:13" x14ac:dyDescent="0.3">
      <c r="A2473">
        <v>1988</v>
      </c>
      <c r="B2473">
        <v>10</v>
      </c>
      <c r="C2473">
        <v>22</v>
      </c>
      <c r="D2473">
        <v>0.66089694133299781</v>
      </c>
      <c r="E2473">
        <v>1.5200000000000102E-2</v>
      </c>
      <c r="F2473">
        <f t="shared" si="66"/>
        <v>1.0045633508261634E-2</v>
      </c>
      <c r="M2473" s="31"/>
    </row>
    <row r="2474" spans="1:13" x14ac:dyDescent="0.3">
      <c r="A2474">
        <v>1988</v>
      </c>
      <c r="B2474">
        <v>10</v>
      </c>
      <c r="C2474">
        <v>17</v>
      </c>
      <c r="D2474">
        <v>0.66614701020958833</v>
      </c>
      <c r="E2474">
        <v>1.5200000000000102E-2</v>
      </c>
      <c r="F2474">
        <f t="shared" si="66"/>
        <v>1.0125434555185811E-2</v>
      </c>
      <c r="M2474" s="31"/>
    </row>
    <row r="2475" spans="1:13" x14ac:dyDescent="0.3">
      <c r="A2475">
        <v>1988</v>
      </c>
      <c r="B2475">
        <v>10</v>
      </c>
      <c r="C2475">
        <v>12</v>
      </c>
      <c r="D2475">
        <v>0.66816768186374398</v>
      </c>
      <c r="E2475">
        <v>1.5200000000000102E-2</v>
      </c>
      <c r="F2475">
        <f t="shared" si="66"/>
        <v>1.0156148764328977E-2</v>
      </c>
      <c r="M2475" s="31"/>
    </row>
    <row r="2476" spans="1:13" x14ac:dyDescent="0.3">
      <c r="A2476">
        <v>1988</v>
      </c>
      <c r="B2476">
        <v>10</v>
      </c>
      <c r="C2476">
        <v>8</v>
      </c>
      <c r="D2476">
        <v>0.66829960045838632</v>
      </c>
      <c r="E2476">
        <v>1.5200000000000102E-2</v>
      </c>
      <c r="F2476">
        <f t="shared" si="66"/>
        <v>1.0158153926967541E-2</v>
      </c>
      <c r="M2476" s="31"/>
    </row>
    <row r="2477" spans="1:13" x14ac:dyDescent="0.3">
      <c r="A2477">
        <v>1988</v>
      </c>
      <c r="B2477">
        <v>10</v>
      </c>
      <c r="C2477">
        <v>3</v>
      </c>
      <c r="D2477">
        <v>0.66978216914977484</v>
      </c>
      <c r="E2477">
        <v>1.5200000000000102E-2</v>
      </c>
      <c r="F2477">
        <f t="shared" si="66"/>
        <v>1.0180688971076646E-2</v>
      </c>
      <c r="M2477" s="31"/>
    </row>
    <row r="2478" spans="1:13" x14ac:dyDescent="0.3">
      <c r="A2478">
        <v>1988</v>
      </c>
      <c r="B2478">
        <v>9</v>
      </c>
      <c r="C2478">
        <v>28</v>
      </c>
      <c r="D2478">
        <v>0.67383595364973425</v>
      </c>
      <c r="E2478">
        <v>1.5200000000000102E-2</v>
      </c>
      <c r="F2478">
        <f t="shared" si="66"/>
        <v>1.024230649547603E-2</v>
      </c>
      <c r="M2478" s="31"/>
    </row>
    <row r="2479" spans="1:13" x14ac:dyDescent="0.3">
      <c r="A2479">
        <v>1988</v>
      </c>
      <c r="B2479">
        <v>9</v>
      </c>
      <c r="C2479">
        <v>23</v>
      </c>
      <c r="D2479">
        <v>0.6802018952312221</v>
      </c>
      <c r="E2479">
        <v>1.5200000000000102E-2</v>
      </c>
      <c r="F2479">
        <f t="shared" si="66"/>
        <v>1.0339068807514645E-2</v>
      </c>
      <c r="M2479" s="31"/>
    </row>
    <row r="2480" spans="1:13" x14ac:dyDescent="0.3">
      <c r="A2480">
        <v>1988</v>
      </c>
      <c r="B2480">
        <v>9</v>
      </c>
      <c r="C2480">
        <v>19</v>
      </c>
      <c r="D2480">
        <v>0.68794449056857288</v>
      </c>
      <c r="E2480">
        <v>1.5200000000000102E-2</v>
      </c>
      <c r="F2480">
        <f t="shared" si="66"/>
        <v>1.0456756256642379E-2</v>
      </c>
      <c r="M2480" s="31"/>
    </row>
    <row r="2481" spans="1:13" x14ac:dyDescent="0.3">
      <c r="A2481">
        <v>1988</v>
      </c>
      <c r="B2481">
        <v>9</v>
      </c>
      <c r="C2481">
        <v>14</v>
      </c>
      <c r="D2481">
        <v>0.69625685459773701</v>
      </c>
      <c r="E2481">
        <v>1.5200000000000102E-2</v>
      </c>
      <c r="F2481">
        <f t="shared" si="66"/>
        <v>1.0583104189885674E-2</v>
      </c>
      <c r="M2481" s="31"/>
    </row>
    <row r="2482" spans="1:13" x14ac:dyDescent="0.3">
      <c r="A2482">
        <v>1988</v>
      </c>
      <c r="B2482">
        <v>9</v>
      </c>
      <c r="C2482">
        <v>9</v>
      </c>
      <c r="D2482">
        <v>0.70623912472925376</v>
      </c>
      <c r="E2482">
        <v>1.5200000000000102E-2</v>
      </c>
      <c r="F2482">
        <f t="shared" si="66"/>
        <v>1.0734834695884729E-2</v>
      </c>
      <c r="M2482" s="31"/>
    </row>
    <row r="2483" spans="1:13" x14ac:dyDescent="0.3">
      <c r="A2483">
        <v>1988</v>
      </c>
      <c r="B2483">
        <v>9</v>
      </c>
      <c r="C2483">
        <v>4</v>
      </c>
      <c r="D2483">
        <v>0.71873480416928837</v>
      </c>
      <c r="E2483">
        <v>1.5200000000000102E-2</v>
      </c>
      <c r="F2483">
        <f t="shared" si="66"/>
        <v>1.0924769023373257E-2</v>
      </c>
      <c r="M2483" s="31"/>
    </row>
    <row r="2484" spans="1:13" x14ac:dyDescent="0.3">
      <c r="A2484">
        <v>1988</v>
      </c>
      <c r="B2484">
        <v>8</v>
      </c>
      <c r="C2484">
        <v>30</v>
      </c>
      <c r="D2484">
        <v>0.73336113773357081</v>
      </c>
      <c r="E2484">
        <v>1.5200000000000102E-2</v>
      </c>
      <c r="F2484">
        <f t="shared" si="66"/>
        <v>1.1147089293550351E-2</v>
      </c>
      <c r="M2484" s="31"/>
    </row>
    <row r="2485" spans="1:13" x14ac:dyDescent="0.3">
      <c r="A2485">
        <v>1988</v>
      </c>
      <c r="B2485">
        <v>8</v>
      </c>
      <c r="C2485">
        <v>26</v>
      </c>
      <c r="D2485">
        <v>0.75321025907422245</v>
      </c>
      <c r="E2485">
        <v>1.5200000000000102E-2</v>
      </c>
      <c r="F2485">
        <f t="shared" si="66"/>
        <v>1.1448795937928259E-2</v>
      </c>
      <c r="M2485" s="31"/>
    </row>
    <row r="2486" spans="1:13" x14ac:dyDescent="0.3">
      <c r="A2486">
        <v>1988</v>
      </c>
      <c r="B2486">
        <v>8</v>
      </c>
      <c r="C2486">
        <v>21</v>
      </c>
      <c r="D2486">
        <v>0.77810251475776959</v>
      </c>
      <c r="E2486">
        <v>1.5200000000000102E-2</v>
      </c>
      <c r="F2486">
        <f t="shared" si="66"/>
        <v>1.1827158224318178E-2</v>
      </c>
      <c r="M2486" s="31"/>
    </row>
    <row r="2487" spans="1:13" x14ac:dyDescent="0.3">
      <c r="A2487">
        <v>1988</v>
      </c>
      <c r="B2487">
        <v>8</v>
      </c>
      <c r="C2487">
        <v>16</v>
      </c>
      <c r="D2487">
        <v>0.8073041265303712</v>
      </c>
      <c r="E2487">
        <v>1.5200000000000102E-2</v>
      </c>
      <c r="F2487">
        <f t="shared" si="66"/>
        <v>1.2271022723261724E-2</v>
      </c>
      <c r="M2487" s="31"/>
    </row>
    <row r="2488" spans="1:13" x14ac:dyDescent="0.3">
      <c r="A2488">
        <v>1988</v>
      </c>
      <c r="B2488">
        <v>8</v>
      </c>
      <c r="C2488">
        <v>11</v>
      </c>
      <c r="D2488">
        <v>0.83777631710943745</v>
      </c>
      <c r="E2488">
        <v>1.5200000000000102E-2</v>
      </c>
      <c r="F2488">
        <f t="shared" si="66"/>
        <v>1.2734200020063535E-2</v>
      </c>
      <c r="M2488" s="31"/>
    </row>
    <row r="2489" spans="1:13" x14ac:dyDescent="0.3">
      <c r="A2489">
        <v>1988</v>
      </c>
      <c r="B2489">
        <v>8</v>
      </c>
      <c r="C2489">
        <v>7</v>
      </c>
      <c r="D2489">
        <v>0.86521597354576019</v>
      </c>
      <c r="E2489">
        <v>1.5200000000000102E-2</v>
      </c>
      <c r="F2489">
        <f t="shared" si="66"/>
        <v>1.3151282797895644E-2</v>
      </c>
      <c r="M2489" s="31"/>
    </row>
    <row r="2490" spans="1:13" x14ac:dyDescent="0.3">
      <c r="A2490">
        <v>1988</v>
      </c>
      <c r="B2490">
        <v>8</v>
      </c>
      <c r="C2490">
        <v>2</v>
      </c>
      <c r="D2490">
        <v>0.88533401917868815</v>
      </c>
      <c r="E2490">
        <v>1.5200000000000102E-2</v>
      </c>
      <c r="F2490">
        <f t="shared" si="66"/>
        <v>1.345707709151615E-2</v>
      </c>
      <c r="M2490" s="31"/>
    </row>
    <row r="2491" spans="1:13" x14ac:dyDescent="0.3">
      <c r="A2491">
        <v>1988</v>
      </c>
      <c r="B2491">
        <v>7</v>
      </c>
      <c r="C2491">
        <v>28</v>
      </c>
      <c r="D2491">
        <v>0.8987259214122576</v>
      </c>
      <c r="E2491">
        <v>1.5200000000000102E-2</v>
      </c>
      <c r="F2491">
        <f t="shared" si="66"/>
        <v>1.3660634005466408E-2</v>
      </c>
      <c r="M2491" s="31"/>
    </row>
    <row r="2492" spans="1:13" x14ac:dyDescent="0.3">
      <c r="A2492">
        <v>1988</v>
      </c>
      <c r="B2492">
        <v>7</v>
      </c>
      <c r="C2492">
        <v>23</v>
      </c>
      <c r="D2492">
        <v>0.90837551972639152</v>
      </c>
      <c r="E2492">
        <v>1.5200000000000102E-2</v>
      </c>
      <c r="F2492">
        <f t="shared" si="66"/>
        <v>1.3807307899841244E-2</v>
      </c>
      <c r="M2492" s="31"/>
    </row>
    <row r="2493" spans="1:13" x14ac:dyDescent="0.3">
      <c r="A2493">
        <v>1988</v>
      </c>
      <c r="B2493">
        <v>7</v>
      </c>
      <c r="C2493">
        <v>19</v>
      </c>
      <c r="D2493">
        <v>0.91542067977180874</v>
      </c>
      <c r="E2493">
        <v>1.5200000000000102E-2</v>
      </c>
      <c r="F2493">
        <f t="shared" si="66"/>
        <v>1.3914394332531587E-2</v>
      </c>
      <c r="M2493" s="31"/>
    </row>
    <row r="2494" spans="1:13" x14ac:dyDescent="0.3">
      <c r="A2494">
        <v>1988</v>
      </c>
      <c r="B2494">
        <v>7</v>
      </c>
      <c r="C2494">
        <v>14</v>
      </c>
      <c r="D2494">
        <v>0.92248128019393916</v>
      </c>
      <c r="E2494">
        <v>1.5200000000000102E-2</v>
      </c>
      <c r="F2494">
        <f t="shared" si="66"/>
        <v>1.4021715458947969E-2</v>
      </c>
      <c r="M2494" s="31"/>
    </row>
    <row r="2495" spans="1:13" x14ac:dyDescent="0.3">
      <c r="A2495">
        <v>1988</v>
      </c>
      <c r="B2495">
        <v>7</v>
      </c>
      <c r="C2495">
        <v>9</v>
      </c>
      <c r="D2495">
        <v>0.92985079862676223</v>
      </c>
      <c r="E2495">
        <v>1.5200000000000102E-2</v>
      </c>
      <c r="F2495">
        <f t="shared" si="66"/>
        <v>1.4133732139126881E-2</v>
      </c>
      <c r="M2495" s="31"/>
    </row>
    <row r="2496" spans="1:13" x14ac:dyDescent="0.3">
      <c r="A2496">
        <v>1988</v>
      </c>
      <c r="B2496">
        <v>7</v>
      </c>
      <c r="C2496">
        <v>4</v>
      </c>
      <c r="D2496">
        <v>0.93664864662279335</v>
      </c>
      <c r="E2496">
        <v>1.5200000000000102E-2</v>
      </c>
      <c r="F2496">
        <f t="shared" si="66"/>
        <v>1.4237059428666555E-2</v>
      </c>
      <c r="M2496" s="31"/>
    </row>
    <row r="2497" spans="1:13" x14ac:dyDescent="0.3">
      <c r="A2497">
        <v>1988</v>
      </c>
      <c r="B2497">
        <v>6</v>
      </c>
      <c r="C2497">
        <v>30</v>
      </c>
      <c r="D2497">
        <v>0.93830578260429587</v>
      </c>
      <c r="E2497">
        <v>1.5200000000000102E-2</v>
      </c>
      <c r="F2497">
        <f t="shared" si="66"/>
        <v>1.4262247895585393E-2</v>
      </c>
      <c r="M2497" s="31"/>
    </row>
    <row r="2498" spans="1:13" x14ac:dyDescent="0.3">
      <c r="A2498">
        <v>1988</v>
      </c>
      <c r="B2498">
        <v>6</v>
      </c>
      <c r="C2498">
        <v>28</v>
      </c>
      <c r="D2498">
        <v>0.93775552410877305</v>
      </c>
      <c r="E2498">
        <v>1.5200000000000102E-2</v>
      </c>
      <c r="F2498">
        <f t="shared" si="66"/>
        <v>1.4253883966453447E-2</v>
      </c>
      <c r="M2498" s="31"/>
    </row>
    <row r="2499" spans="1:13" x14ac:dyDescent="0.3">
      <c r="A2499">
        <v>1988</v>
      </c>
      <c r="B2499">
        <v>6</v>
      </c>
      <c r="C2499">
        <v>26</v>
      </c>
      <c r="D2499">
        <v>0.93588100517552408</v>
      </c>
      <c r="E2499">
        <v>1.5200000000000102E-2</v>
      </c>
      <c r="F2499">
        <f t="shared" ref="F2499:F2562" si="67">D2499*E2499</f>
        <v>1.4225391278668061E-2</v>
      </c>
      <c r="M2499" s="31"/>
    </row>
    <row r="2500" spans="1:13" x14ac:dyDescent="0.3">
      <c r="A2500">
        <v>1988</v>
      </c>
      <c r="B2500">
        <v>6</v>
      </c>
      <c r="C2500">
        <v>25</v>
      </c>
      <c r="D2500">
        <v>0.93444817474446962</v>
      </c>
      <c r="E2500">
        <v>1.5200000000000102E-2</v>
      </c>
      <c r="F2500">
        <f t="shared" si="67"/>
        <v>1.4203612256116034E-2</v>
      </c>
      <c r="M2500" s="31"/>
    </row>
    <row r="2501" spans="1:13" x14ac:dyDescent="0.3">
      <c r="A2501">
        <v>1988</v>
      </c>
      <c r="B2501">
        <v>6</v>
      </c>
      <c r="C2501">
        <v>23</v>
      </c>
      <c r="D2501">
        <v>0.93448631196940313</v>
      </c>
      <c r="E2501">
        <v>1.5200000000000102E-2</v>
      </c>
      <c r="F2501">
        <f t="shared" si="67"/>
        <v>1.4204191941935023E-2</v>
      </c>
      <c r="M2501" s="31"/>
    </row>
    <row r="2502" spans="1:13" x14ac:dyDescent="0.3">
      <c r="A2502">
        <v>1988</v>
      </c>
      <c r="B2502">
        <v>6</v>
      </c>
      <c r="C2502">
        <v>21</v>
      </c>
      <c r="D2502">
        <v>0.93526060775152275</v>
      </c>
      <c r="E2502">
        <v>1.5200000000000102E-2</v>
      </c>
      <c r="F2502">
        <f t="shared" si="67"/>
        <v>1.4215961237823241E-2</v>
      </c>
      <c r="M2502" s="31"/>
    </row>
    <row r="2503" spans="1:13" x14ac:dyDescent="0.3">
      <c r="A2503">
        <v>1988</v>
      </c>
      <c r="B2503">
        <v>6</v>
      </c>
      <c r="C2503">
        <v>20</v>
      </c>
      <c r="D2503">
        <v>0.93118015285823685</v>
      </c>
      <c r="E2503">
        <v>1.5200000000000102E-2</v>
      </c>
      <c r="F2503">
        <f t="shared" si="67"/>
        <v>1.4153938323445296E-2</v>
      </c>
      <c r="M2503" s="31"/>
    </row>
    <row r="2504" spans="1:13" x14ac:dyDescent="0.3">
      <c r="A2504">
        <v>1988</v>
      </c>
      <c r="B2504">
        <v>6</v>
      </c>
      <c r="C2504">
        <v>18</v>
      </c>
      <c r="D2504">
        <v>0.9218178667384197</v>
      </c>
      <c r="E2504">
        <v>1.5200000000000102E-2</v>
      </c>
      <c r="F2504">
        <f t="shared" si="67"/>
        <v>1.4011631574424074E-2</v>
      </c>
      <c r="M2504" s="31"/>
    </row>
    <row r="2505" spans="1:13" x14ac:dyDescent="0.3">
      <c r="A2505">
        <v>1988</v>
      </c>
      <c r="B2505">
        <v>6</v>
      </c>
      <c r="C2505">
        <v>16</v>
      </c>
      <c r="D2505">
        <v>0.90560394862129134</v>
      </c>
      <c r="E2505">
        <v>1.5200000000000102E-2</v>
      </c>
      <c r="F2505">
        <f t="shared" si="67"/>
        <v>1.3765180019043722E-2</v>
      </c>
      <c r="M2505" s="31"/>
    </row>
    <row r="2506" spans="1:13" x14ac:dyDescent="0.3">
      <c r="A2506">
        <v>1988</v>
      </c>
      <c r="B2506">
        <v>6</v>
      </c>
      <c r="C2506">
        <v>15</v>
      </c>
      <c r="D2506">
        <v>0.88117451097955091</v>
      </c>
      <c r="E2506">
        <v>1.5200000000000102E-2</v>
      </c>
      <c r="F2506">
        <f t="shared" si="67"/>
        <v>1.3393852566889264E-2</v>
      </c>
      <c r="M2506" s="31"/>
    </row>
    <row r="2507" spans="1:13" x14ac:dyDescent="0.3">
      <c r="A2507">
        <v>1988</v>
      </c>
      <c r="B2507">
        <v>6</v>
      </c>
      <c r="C2507">
        <v>13</v>
      </c>
      <c r="D2507">
        <v>0.85186079889421518</v>
      </c>
      <c r="E2507">
        <v>1.5200000000000102E-2</v>
      </c>
      <c r="F2507">
        <f t="shared" si="67"/>
        <v>1.2948284143192159E-2</v>
      </c>
      <c r="M2507" s="31"/>
    </row>
    <row r="2508" spans="1:13" x14ac:dyDescent="0.3">
      <c r="A2508">
        <v>1988</v>
      </c>
      <c r="B2508">
        <v>6</v>
      </c>
      <c r="C2508">
        <v>11</v>
      </c>
      <c r="D2508">
        <v>0.82164186561073316</v>
      </c>
      <c r="E2508">
        <v>1.5200000000000102E-2</v>
      </c>
      <c r="F2508">
        <f t="shared" si="67"/>
        <v>1.2488956357283228E-2</v>
      </c>
      <c r="M2508" s="31"/>
    </row>
    <row r="2509" spans="1:13" x14ac:dyDescent="0.3">
      <c r="A2509">
        <v>1988</v>
      </c>
      <c r="B2509">
        <v>6</v>
      </c>
      <c r="C2509">
        <v>10</v>
      </c>
      <c r="D2509">
        <v>0.79352352947767058</v>
      </c>
      <c r="E2509">
        <v>1.5200000000000102E-2</v>
      </c>
      <c r="F2509">
        <f t="shared" si="67"/>
        <v>1.2061557648060673E-2</v>
      </c>
      <c r="M2509" s="31"/>
    </row>
    <row r="2510" spans="1:13" x14ac:dyDescent="0.3">
      <c r="A2510">
        <v>1988</v>
      </c>
      <c r="B2510">
        <v>6</v>
      </c>
      <c r="C2510">
        <v>8</v>
      </c>
      <c r="D2510">
        <v>0.77041234628431332</v>
      </c>
      <c r="E2510">
        <v>1.5200000000000102E-2</v>
      </c>
      <c r="F2510">
        <f t="shared" si="67"/>
        <v>1.1710267663521642E-2</v>
      </c>
      <c r="M2510" s="31"/>
    </row>
    <row r="2511" spans="1:13" x14ac:dyDescent="0.3">
      <c r="A2511">
        <v>1988</v>
      </c>
      <c r="B2511">
        <v>6</v>
      </c>
      <c r="C2511">
        <v>6</v>
      </c>
      <c r="D2511">
        <v>0.75612399320626411</v>
      </c>
      <c r="E2511">
        <v>1.5200000000000102E-2</v>
      </c>
      <c r="F2511">
        <f t="shared" si="67"/>
        <v>1.1493084696735292E-2</v>
      </c>
      <c r="M2511" s="31"/>
    </row>
    <row r="2512" spans="1:13" x14ac:dyDescent="0.3">
      <c r="A2512">
        <v>1988</v>
      </c>
      <c r="B2512">
        <v>6</v>
      </c>
      <c r="C2512">
        <v>5</v>
      </c>
      <c r="D2512">
        <v>0.75082259529281092</v>
      </c>
      <c r="E2512">
        <v>1.5200000000000102E-2</v>
      </c>
      <c r="F2512">
        <f t="shared" si="67"/>
        <v>1.1412503448450803E-2</v>
      </c>
      <c r="M2512" s="31"/>
    </row>
    <row r="2513" spans="1:13" x14ac:dyDescent="0.3">
      <c r="A2513">
        <v>1988</v>
      </c>
      <c r="B2513">
        <v>6</v>
      </c>
      <c r="C2513">
        <v>3</v>
      </c>
      <c r="D2513">
        <v>0.7515309389571696</v>
      </c>
      <c r="E2513">
        <v>1.5200000000000102E-2</v>
      </c>
      <c r="F2513">
        <f t="shared" si="67"/>
        <v>1.1423270272149054E-2</v>
      </c>
      <c r="M2513" s="31"/>
    </row>
    <row r="2514" spans="1:13" x14ac:dyDescent="0.3">
      <c r="A2514">
        <v>1988</v>
      </c>
      <c r="B2514">
        <v>6</v>
      </c>
      <c r="C2514">
        <v>1</v>
      </c>
      <c r="D2514">
        <v>0.7555957221388192</v>
      </c>
      <c r="E2514">
        <v>1.5200000000000102E-2</v>
      </c>
      <c r="F2514">
        <f t="shared" si="67"/>
        <v>1.1485054976510129E-2</v>
      </c>
      <c r="M2514" s="31"/>
    </row>
    <row r="2515" spans="1:13" x14ac:dyDescent="0.3">
      <c r="A2515">
        <v>1988</v>
      </c>
      <c r="B2515">
        <v>5</v>
      </c>
      <c r="C2515">
        <v>31</v>
      </c>
      <c r="D2515">
        <v>0.76134933381770231</v>
      </c>
      <c r="E2515">
        <v>1.5200000000000102E-2</v>
      </c>
      <c r="F2515">
        <f t="shared" si="67"/>
        <v>1.1572509874029153E-2</v>
      </c>
      <c r="M2515" s="31"/>
    </row>
    <row r="2516" spans="1:13" x14ac:dyDescent="0.3">
      <c r="A2516">
        <v>1988</v>
      </c>
      <c r="B2516">
        <v>5</v>
      </c>
      <c r="C2516">
        <v>29</v>
      </c>
      <c r="D2516">
        <v>0.76332441016967578</v>
      </c>
      <c r="E2516">
        <v>1.5200000000000102E-2</v>
      </c>
      <c r="F2516">
        <f t="shared" si="67"/>
        <v>1.160253103457915E-2</v>
      </c>
      <c r="M2516" s="31"/>
    </row>
    <row r="2517" spans="1:13" x14ac:dyDescent="0.3">
      <c r="A2517">
        <v>1988</v>
      </c>
      <c r="B2517">
        <v>5</v>
      </c>
      <c r="C2517">
        <v>28</v>
      </c>
      <c r="D2517">
        <v>0.7584281495099443</v>
      </c>
      <c r="E2517">
        <v>1.5200000000000102E-2</v>
      </c>
      <c r="F2517">
        <f t="shared" si="67"/>
        <v>1.1528107872551232E-2</v>
      </c>
      <c r="M2517" s="31"/>
    </row>
    <row r="2518" spans="1:13" x14ac:dyDescent="0.3">
      <c r="A2518">
        <v>1988</v>
      </c>
      <c r="B2518">
        <v>5</v>
      </c>
      <c r="C2518">
        <v>26</v>
      </c>
      <c r="D2518">
        <v>0.75157985249493442</v>
      </c>
      <c r="E2518">
        <v>1.5200000000000102E-2</v>
      </c>
      <c r="F2518">
        <f t="shared" si="67"/>
        <v>1.142401375792308E-2</v>
      </c>
      <c r="M2518" s="31"/>
    </row>
    <row r="2519" spans="1:13" x14ac:dyDescent="0.3">
      <c r="A2519">
        <v>1988</v>
      </c>
      <c r="B2519">
        <v>5</v>
      </c>
      <c r="C2519">
        <v>24</v>
      </c>
      <c r="D2519">
        <v>0.74334982198383215</v>
      </c>
      <c r="E2519">
        <v>1.5200000000000102E-2</v>
      </c>
      <c r="F2519">
        <f t="shared" si="67"/>
        <v>1.1298917294154324E-2</v>
      </c>
      <c r="M2519" s="31"/>
    </row>
    <row r="2520" spans="1:13" x14ac:dyDescent="0.3">
      <c r="A2520">
        <v>1988</v>
      </c>
      <c r="B2520">
        <v>5</v>
      </c>
      <c r="C2520">
        <v>23</v>
      </c>
      <c r="D2520">
        <v>0.73472225547679804</v>
      </c>
      <c r="E2520">
        <v>1.5200000000000102E-2</v>
      </c>
      <c r="F2520">
        <f t="shared" si="67"/>
        <v>1.1167778283247406E-2</v>
      </c>
      <c r="M2520" s="31"/>
    </row>
    <row r="2521" spans="1:13" x14ac:dyDescent="0.3">
      <c r="A2521">
        <v>1988</v>
      </c>
      <c r="B2521">
        <v>5</v>
      </c>
      <c r="C2521">
        <v>21</v>
      </c>
      <c r="D2521">
        <v>0.72889264586204416</v>
      </c>
      <c r="E2521">
        <v>1.5200000000000102E-2</v>
      </c>
      <c r="F2521">
        <f t="shared" si="67"/>
        <v>1.1079168217103147E-2</v>
      </c>
      <c r="M2521" s="31"/>
    </row>
    <row r="2522" spans="1:13" x14ac:dyDescent="0.3">
      <c r="A2522">
        <v>1988</v>
      </c>
      <c r="B2522">
        <v>5</v>
      </c>
      <c r="C2522">
        <v>19</v>
      </c>
      <c r="D2522">
        <v>0.72584567257896182</v>
      </c>
      <c r="E2522">
        <v>1.5200000000000102E-2</v>
      </c>
      <c r="F2522">
        <f t="shared" si="67"/>
        <v>1.1032854223200293E-2</v>
      </c>
      <c r="M2522" s="31"/>
    </row>
    <row r="2523" spans="1:13" x14ac:dyDescent="0.3">
      <c r="A2523">
        <v>1988</v>
      </c>
      <c r="B2523">
        <v>5</v>
      </c>
      <c r="C2523">
        <v>18</v>
      </c>
      <c r="D2523">
        <v>0.72252346568911818</v>
      </c>
      <c r="E2523">
        <v>1.5200000000000102E-2</v>
      </c>
      <c r="F2523">
        <f t="shared" si="67"/>
        <v>1.0982356678474671E-2</v>
      </c>
      <c r="M2523" s="31"/>
    </row>
    <row r="2524" spans="1:13" x14ac:dyDescent="0.3">
      <c r="A2524">
        <v>1988</v>
      </c>
      <c r="B2524">
        <v>5</v>
      </c>
      <c r="C2524">
        <v>16</v>
      </c>
      <c r="D2524">
        <v>0.71906578518456321</v>
      </c>
      <c r="E2524">
        <v>1.5200000000000102E-2</v>
      </c>
      <c r="F2524">
        <f t="shared" si="67"/>
        <v>1.0929799934805435E-2</v>
      </c>
      <c r="M2524" s="31"/>
    </row>
    <row r="2525" spans="1:13" x14ac:dyDescent="0.3">
      <c r="A2525">
        <v>1988</v>
      </c>
      <c r="B2525">
        <v>5</v>
      </c>
      <c r="C2525">
        <v>14</v>
      </c>
      <c r="D2525">
        <v>0.71727142924041609</v>
      </c>
      <c r="E2525">
        <v>1.5200000000000102E-2</v>
      </c>
      <c r="F2525">
        <f t="shared" si="67"/>
        <v>1.0902525724454397E-2</v>
      </c>
      <c r="M2525" s="31"/>
    </row>
    <row r="2526" spans="1:13" x14ac:dyDescent="0.3">
      <c r="A2526">
        <v>1988</v>
      </c>
      <c r="B2526">
        <v>5</v>
      </c>
      <c r="C2526">
        <v>13</v>
      </c>
      <c r="D2526">
        <v>0.71727591381837186</v>
      </c>
      <c r="E2526">
        <v>1.5200000000000102E-2</v>
      </c>
      <c r="F2526">
        <f t="shared" si="67"/>
        <v>1.0902593890039326E-2</v>
      </c>
      <c r="M2526" s="31"/>
    </row>
    <row r="2527" spans="1:13" x14ac:dyDescent="0.3">
      <c r="A2527">
        <v>1988</v>
      </c>
      <c r="B2527">
        <v>5</v>
      </c>
      <c r="C2527">
        <v>11</v>
      </c>
      <c r="D2527">
        <v>0.72185207838747401</v>
      </c>
      <c r="E2527">
        <v>1.5200000000000102E-2</v>
      </c>
      <c r="F2527">
        <f t="shared" si="67"/>
        <v>1.097215159148968E-2</v>
      </c>
      <c r="M2527" s="31"/>
    </row>
    <row r="2528" spans="1:13" x14ac:dyDescent="0.3">
      <c r="A2528">
        <v>1988</v>
      </c>
      <c r="B2528">
        <v>5</v>
      </c>
      <c r="C2528">
        <v>9</v>
      </c>
      <c r="D2528">
        <v>0.73144030558178152</v>
      </c>
      <c r="E2528">
        <v>1.5200000000000102E-2</v>
      </c>
      <c r="F2528">
        <f t="shared" si="67"/>
        <v>1.1117892644843154E-2</v>
      </c>
      <c r="M2528" s="31"/>
    </row>
    <row r="2529" spans="1:13" x14ac:dyDescent="0.3">
      <c r="A2529">
        <v>1988</v>
      </c>
      <c r="B2529">
        <v>5</v>
      </c>
      <c r="C2529">
        <v>8</v>
      </c>
      <c r="D2529">
        <v>0.74483332543421388</v>
      </c>
      <c r="E2529">
        <v>1.5200000000000102E-2</v>
      </c>
      <c r="F2529">
        <f t="shared" si="67"/>
        <v>1.1321466546600127E-2</v>
      </c>
      <c r="M2529" s="31"/>
    </row>
    <row r="2530" spans="1:13" x14ac:dyDescent="0.3">
      <c r="A2530">
        <v>1988</v>
      </c>
      <c r="B2530">
        <v>5</v>
      </c>
      <c r="C2530">
        <v>6</v>
      </c>
      <c r="D2530">
        <v>0.75899132213887643</v>
      </c>
      <c r="E2530">
        <v>1.5200000000000102E-2</v>
      </c>
      <c r="F2530">
        <f t="shared" si="67"/>
        <v>1.1536668096510999E-2</v>
      </c>
      <c r="M2530" s="31"/>
    </row>
    <row r="2531" spans="1:13" x14ac:dyDescent="0.3">
      <c r="A2531">
        <v>1988</v>
      </c>
      <c r="B2531">
        <v>5</v>
      </c>
      <c r="C2531">
        <v>4</v>
      </c>
      <c r="D2531">
        <v>0.77350111939237121</v>
      </c>
      <c r="E2531">
        <v>1.5200000000000102E-2</v>
      </c>
      <c r="F2531">
        <f t="shared" si="67"/>
        <v>1.1757217014764121E-2</v>
      </c>
      <c r="M2531" s="31"/>
    </row>
    <row r="2532" spans="1:13" x14ac:dyDescent="0.3">
      <c r="A2532">
        <v>1988</v>
      </c>
      <c r="B2532">
        <v>5</v>
      </c>
      <c r="C2532">
        <v>3</v>
      </c>
      <c r="D2532">
        <v>0.78524819566790272</v>
      </c>
      <c r="E2532">
        <v>1.5200000000000102E-2</v>
      </c>
      <c r="F2532">
        <f t="shared" si="67"/>
        <v>1.1935772574152202E-2</v>
      </c>
      <c r="M2532" s="31"/>
    </row>
    <row r="2533" spans="1:13" x14ac:dyDescent="0.3">
      <c r="A2533">
        <v>1988</v>
      </c>
      <c r="B2533">
        <v>5</v>
      </c>
      <c r="C2533">
        <v>1</v>
      </c>
      <c r="D2533">
        <v>0.79178621443826613</v>
      </c>
      <c r="E2533">
        <v>1.5200000000000102E-2</v>
      </c>
      <c r="F2533">
        <f t="shared" si="67"/>
        <v>1.2035150459461727E-2</v>
      </c>
      <c r="M2533" s="31"/>
    </row>
    <row r="2534" spans="1:13" x14ac:dyDescent="0.3">
      <c r="A2534">
        <v>1988</v>
      </c>
      <c r="B2534">
        <v>4</v>
      </c>
      <c r="C2534">
        <v>30</v>
      </c>
      <c r="D2534">
        <v>0.79265425627801978</v>
      </c>
      <c r="E2534">
        <v>1.5200000000000102E-2</v>
      </c>
      <c r="F2534">
        <f t="shared" si="67"/>
        <v>1.2048344695425981E-2</v>
      </c>
      <c r="M2534" s="31"/>
    </row>
    <row r="2535" spans="1:13" x14ac:dyDescent="0.3">
      <c r="A2535">
        <v>1988</v>
      </c>
      <c r="B2535">
        <v>4</v>
      </c>
      <c r="C2535">
        <v>28</v>
      </c>
      <c r="D2535">
        <v>0.79082500411046264</v>
      </c>
      <c r="E2535">
        <v>1.5200000000000102E-2</v>
      </c>
      <c r="F2535">
        <f t="shared" si="67"/>
        <v>1.2020540062479114E-2</v>
      </c>
      <c r="M2535" s="31"/>
    </row>
    <row r="2536" spans="1:13" x14ac:dyDescent="0.3">
      <c r="A2536">
        <v>1988</v>
      </c>
      <c r="B2536">
        <v>4</v>
      </c>
      <c r="C2536">
        <v>26</v>
      </c>
      <c r="D2536">
        <v>0.78573425004844377</v>
      </c>
      <c r="E2536">
        <v>1.5200000000000102E-2</v>
      </c>
      <c r="F2536">
        <f t="shared" si="67"/>
        <v>1.1943160600736425E-2</v>
      </c>
      <c r="M2536" s="31"/>
    </row>
    <row r="2537" spans="1:13" x14ac:dyDescent="0.3">
      <c r="A2537">
        <v>1988</v>
      </c>
      <c r="B2537">
        <v>4</v>
      </c>
      <c r="C2537">
        <v>25</v>
      </c>
      <c r="D2537">
        <v>0.77996756926673538</v>
      </c>
      <c r="E2537">
        <v>1.5200000000000102E-2</v>
      </c>
      <c r="F2537">
        <f t="shared" si="67"/>
        <v>1.1855507052854458E-2</v>
      </c>
      <c r="M2537" s="31"/>
    </row>
    <row r="2538" spans="1:13" x14ac:dyDescent="0.3">
      <c r="A2538">
        <v>1988</v>
      </c>
      <c r="B2538">
        <v>4</v>
      </c>
      <c r="C2538">
        <v>23</v>
      </c>
      <c r="D2538">
        <v>0.77322396600115428</v>
      </c>
      <c r="E2538">
        <v>1.5200000000000102E-2</v>
      </c>
      <c r="F2538">
        <f t="shared" si="67"/>
        <v>1.1753004283217624E-2</v>
      </c>
      <c r="M2538" s="31"/>
    </row>
    <row r="2539" spans="1:13" x14ac:dyDescent="0.3">
      <c r="A2539">
        <v>1988</v>
      </c>
      <c r="B2539">
        <v>4</v>
      </c>
      <c r="C2539">
        <v>21</v>
      </c>
      <c r="D2539">
        <v>0.76508806289461173</v>
      </c>
      <c r="E2539">
        <v>1.5200000000000102E-2</v>
      </c>
      <c r="F2539">
        <f t="shared" si="67"/>
        <v>1.1629338555998176E-2</v>
      </c>
      <c r="M2539" s="31"/>
    </row>
    <row r="2540" spans="1:13" x14ac:dyDescent="0.3">
      <c r="A2540">
        <v>1988</v>
      </c>
      <c r="B2540">
        <v>4</v>
      </c>
      <c r="C2540">
        <v>20</v>
      </c>
      <c r="D2540">
        <v>0.75080340518318478</v>
      </c>
      <c r="E2540">
        <v>1.5200000000000102E-2</v>
      </c>
      <c r="F2540">
        <f t="shared" si="67"/>
        <v>1.1412211758784485E-2</v>
      </c>
      <c r="M2540" s="31"/>
    </row>
    <row r="2541" spans="1:13" x14ac:dyDescent="0.3">
      <c r="A2541">
        <v>1988</v>
      </c>
      <c r="B2541">
        <v>4</v>
      </c>
      <c r="C2541">
        <v>18</v>
      </c>
      <c r="D2541">
        <v>0.73115484190605085</v>
      </c>
      <c r="E2541">
        <v>1.5200000000000102E-2</v>
      </c>
      <c r="F2541">
        <f t="shared" si="67"/>
        <v>1.1113553596972048E-2</v>
      </c>
      <c r="M2541" s="31"/>
    </row>
    <row r="2542" spans="1:13" x14ac:dyDescent="0.3">
      <c r="A2542">
        <v>1988</v>
      </c>
      <c r="B2542">
        <v>4</v>
      </c>
      <c r="C2542">
        <v>16</v>
      </c>
      <c r="D2542">
        <v>0.706941414005819</v>
      </c>
      <c r="E2542">
        <v>1.5200000000000102E-2</v>
      </c>
      <c r="F2542">
        <f t="shared" si="67"/>
        <v>1.0745509492888522E-2</v>
      </c>
      <c r="M2542" s="31"/>
    </row>
    <row r="2543" spans="1:13" x14ac:dyDescent="0.3">
      <c r="A2543">
        <v>1988</v>
      </c>
      <c r="B2543">
        <v>4</v>
      </c>
      <c r="C2543">
        <v>15</v>
      </c>
      <c r="D2543">
        <v>0.68293473519855885</v>
      </c>
      <c r="E2543">
        <v>1.5200000000000102E-2</v>
      </c>
      <c r="F2543">
        <f t="shared" si="67"/>
        <v>1.0380607975018165E-2</v>
      </c>
      <c r="M2543" s="31"/>
    </row>
    <row r="2544" spans="1:13" x14ac:dyDescent="0.3">
      <c r="A2544">
        <v>1988</v>
      </c>
      <c r="B2544">
        <v>4</v>
      </c>
      <c r="C2544">
        <v>13</v>
      </c>
      <c r="D2544">
        <v>0.66416162985663763</v>
      </c>
      <c r="E2544">
        <v>1.5200000000000102E-2</v>
      </c>
      <c r="F2544">
        <f t="shared" si="67"/>
        <v>1.0095256773820959E-2</v>
      </c>
      <c r="M2544" s="31"/>
    </row>
    <row r="2545" spans="1:13" x14ac:dyDescent="0.3">
      <c r="A2545">
        <v>1988</v>
      </c>
      <c r="B2545">
        <v>4</v>
      </c>
      <c r="C2545">
        <v>11</v>
      </c>
      <c r="D2545">
        <v>0.65498524558420113</v>
      </c>
      <c r="E2545">
        <v>1.5200000000000102E-2</v>
      </c>
      <c r="F2545">
        <f t="shared" si="67"/>
        <v>9.9557757328799235E-3</v>
      </c>
      <c r="M2545" s="31"/>
    </row>
    <row r="2546" spans="1:13" x14ac:dyDescent="0.3">
      <c r="A2546">
        <v>1988</v>
      </c>
      <c r="B2546">
        <v>4</v>
      </c>
      <c r="C2546">
        <v>10</v>
      </c>
      <c r="D2546">
        <v>0.65476388781881434</v>
      </c>
      <c r="E2546">
        <v>1.5200000000000102E-2</v>
      </c>
      <c r="F2546">
        <f t="shared" si="67"/>
        <v>9.9524110948460455E-3</v>
      </c>
      <c r="M2546" s="31"/>
    </row>
    <row r="2547" spans="1:13" x14ac:dyDescent="0.3">
      <c r="A2547">
        <v>1988</v>
      </c>
      <c r="B2547">
        <v>4</v>
      </c>
      <c r="C2547">
        <v>8</v>
      </c>
      <c r="D2547">
        <v>0.66199952093360759</v>
      </c>
      <c r="E2547">
        <v>1.5200000000000102E-2</v>
      </c>
      <c r="F2547">
        <f t="shared" si="67"/>
        <v>1.0062392718190902E-2</v>
      </c>
      <c r="M2547" s="31"/>
    </row>
    <row r="2548" spans="1:13" x14ac:dyDescent="0.3">
      <c r="A2548">
        <v>1988</v>
      </c>
      <c r="B2548">
        <v>4</v>
      </c>
      <c r="C2548">
        <v>6</v>
      </c>
      <c r="D2548">
        <v>0.67429363240911699</v>
      </c>
      <c r="E2548">
        <v>1.5200000000000102E-2</v>
      </c>
      <c r="F2548">
        <f t="shared" si="67"/>
        <v>1.0249263212618648E-2</v>
      </c>
      <c r="M2548" s="31"/>
    </row>
    <row r="2549" spans="1:13" x14ac:dyDescent="0.3">
      <c r="A2549">
        <v>1988</v>
      </c>
      <c r="B2549">
        <v>4</v>
      </c>
      <c r="C2549">
        <v>5</v>
      </c>
      <c r="D2549">
        <v>0.69020362061541451</v>
      </c>
      <c r="E2549">
        <v>1.5200000000000102E-2</v>
      </c>
      <c r="F2549">
        <f t="shared" si="67"/>
        <v>1.0491095033354372E-2</v>
      </c>
      <c r="M2549" s="31"/>
    </row>
    <row r="2550" spans="1:13" x14ac:dyDescent="0.3">
      <c r="A2550">
        <v>1988</v>
      </c>
      <c r="B2550">
        <v>4</v>
      </c>
      <c r="C2550">
        <v>3</v>
      </c>
      <c r="D2550">
        <v>0.7075800325009407</v>
      </c>
      <c r="E2550">
        <v>1.5200000000000102E-2</v>
      </c>
      <c r="F2550">
        <f t="shared" si="67"/>
        <v>1.0755216494014371E-2</v>
      </c>
      <c r="M2550" s="31"/>
    </row>
    <row r="2551" spans="1:13" x14ac:dyDescent="0.3">
      <c r="A2551">
        <v>1988</v>
      </c>
      <c r="B2551">
        <v>4</v>
      </c>
      <c r="C2551">
        <v>1</v>
      </c>
      <c r="D2551">
        <v>0.72741844527165522</v>
      </c>
      <c r="E2551">
        <v>1.5200000000000102E-2</v>
      </c>
      <c r="F2551">
        <f t="shared" si="67"/>
        <v>1.1056760368129234E-2</v>
      </c>
      <c r="M2551" s="31"/>
    </row>
    <row r="2552" spans="1:13" x14ac:dyDescent="0.3">
      <c r="A2552">
        <v>1988</v>
      </c>
      <c r="B2552">
        <v>3</v>
      </c>
      <c r="C2552">
        <v>31</v>
      </c>
      <c r="D2552">
        <v>0.75032313256260208</v>
      </c>
      <c r="E2552">
        <v>1.5200000000000102E-2</v>
      </c>
      <c r="F2552">
        <f t="shared" si="67"/>
        <v>1.1404911614951628E-2</v>
      </c>
      <c r="M2552" s="31"/>
    </row>
    <row r="2553" spans="1:13" x14ac:dyDescent="0.3">
      <c r="A2553">
        <v>1988</v>
      </c>
      <c r="B2553">
        <v>3</v>
      </c>
      <c r="C2553">
        <v>29</v>
      </c>
      <c r="D2553">
        <v>0.77565210637719173</v>
      </c>
      <c r="E2553">
        <v>1.5200000000000102E-2</v>
      </c>
      <c r="F2553">
        <f t="shared" si="67"/>
        <v>1.1789912016933394E-2</v>
      </c>
      <c r="M2553" s="31"/>
    </row>
    <row r="2554" spans="1:13" x14ac:dyDescent="0.3">
      <c r="A2554">
        <v>1988</v>
      </c>
      <c r="B2554">
        <v>3</v>
      </c>
      <c r="C2554">
        <v>28</v>
      </c>
      <c r="D2554">
        <v>0.80061202353685945</v>
      </c>
      <c r="E2554">
        <v>1.5200000000000102E-2</v>
      </c>
      <c r="F2554">
        <f t="shared" si="67"/>
        <v>1.2169302757760346E-2</v>
      </c>
      <c r="M2554" s="31"/>
    </row>
    <row r="2555" spans="1:13" x14ac:dyDescent="0.3">
      <c r="A2555">
        <v>1988</v>
      </c>
      <c r="B2555">
        <v>3</v>
      </c>
      <c r="C2555">
        <v>26</v>
      </c>
      <c r="D2555">
        <v>0.82618893423451256</v>
      </c>
      <c r="E2555">
        <v>1.5200000000000102E-2</v>
      </c>
      <c r="F2555">
        <f t="shared" si="67"/>
        <v>1.2558071800364676E-2</v>
      </c>
      <c r="M2555" s="31"/>
    </row>
    <row r="2556" spans="1:13" x14ac:dyDescent="0.3">
      <c r="A2556">
        <v>1988</v>
      </c>
      <c r="B2556">
        <v>3</v>
      </c>
      <c r="C2556">
        <v>24</v>
      </c>
      <c r="D2556">
        <v>0.85109059477195281</v>
      </c>
      <c r="E2556">
        <v>1.5200000000000102E-2</v>
      </c>
      <c r="F2556">
        <f t="shared" si="67"/>
        <v>1.293657704053377E-2</v>
      </c>
      <c r="M2556" s="31"/>
    </row>
    <row r="2557" spans="1:13" x14ac:dyDescent="0.3">
      <c r="A2557">
        <v>1988</v>
      </c>
      <c r="B2557">
        <v>3</v>
      </c>
      <c r="C2557">
        <v>23</v>
      </c>
      <c r="D2557">
        <v>0.87195667657261566</v>
      </c>
      <c r="E2557">
        <v>1.5200000000000102E-2</v>
      </c>
      <c r="F2557">
        <f t="shared" si="67"/>
        <v>1.3253741483903847E-2</v>
      </c>
      <c r="M2557" s="31"/>
    </row>
    <row r="2558" spans="1:13" x14ac:dyDescent="0.3">
      <c r="A2558">
        <v>1988</v>
      </c>
      <c r="B2558">
        <v>3</v>
      </c>
      <c r="C2558">
        <v>21</v>
      </c>
      <c r="D2558">
        <v>0.8865265788692106</v>
      </c>
      <c r="E2558">
        <v>1.5200000000000102E-2</v>
      </c>
      <c r="F2558">
        <f t="shared" si="67"/>
        <v>1.3475203998812092E-2</v>
      </c>
      <c r="M2558" s="31"/>
    </row>
    <row r="2559" spans="1:13" x14ac:dyDescent="0.3">
      <c r="A2559">
        <v>1988</v>
      </c>
      <c r="B2559">
        <v>3</v>
      </c>
      <c r="C2559">
        <v>19</v>
      </c>
      <c r="D2559">
        <v>0.89559897203024674</v>
      </c>
      <c r="E2559">
        <v>1.5200000000000102E-2</v>
      </c>
      <c r="F2559">
        <f t="shared" si="67"/>
        <v>1.3613104374859842E-2</v>
      </c>
      <c r="M2559" s="31"/>
    </row>
    <row r="2560" spans="1:13" x14ac:dyDescent="0.3">
      <c r="A2560">
        <v>1988</v>
      </c>
      <c r="B2560">
        <v>3</v>
      </c>
      <c r="C2560">
        <v>18</v>
      </c>
      <c r="D2560">
        <v>0.89606614700869747</v>
      </c>
      <c r="E2560">
        <v>1.5200000000000102E-2</v>
      </c>
      <c r="F2560">
        <f t="shared" si="67"/>
        <v>1.3620205434532294E-2</v>
      </c>
      <c r="M2560" s="31"/>
    </row>
    <row r="2561" spans="1:13" x14ac:dyDescent="0.3">
      <c r="A2561">
        <v>1988</v>
      </c>
      <c r="B2561">
        <v>3</v>
      </c>
      <c r="C2561">
        <v>16</v>
      </c>
      <c r="D2561">
        <v>0.88821826799645454</v>
      </c>
      <c r="E2561">
        <v>1.5200000000000102E-2</v>
      </c>
      <c r="F2561">
        <f t="shared" si="67"/>
        <v>1.3500917673546199E-2</v>
      </c>
      <c r="M2561" s="31"/>
    </row>
    <row r="2562" spans="1:13" x14ac:dyDescent="0.3">
      <c r="A2562">
        <v>1988</v>
      </c>
      <c r="B2562">
        <v>3</v>
      </c>
      <c r="C2562">
        <v>14</v>
      </c>
      <c r="D2562">
        <v>0.87574019465206954</v>
      </c>
      <c r="E2562">
        <v>1.5200000000000102E-2</v>
      </c>
      <c r="F2562">
        <f t="shared" si="67"/>
        <v>1.3311250958711546E-2</v>
      </c>
      <c r="M2562" s="31"/>
    </row>
    <row r="2563" spans="1:13" x14ac:dyDescent="0.3">
      <c r="A2563">
        <v>1988</v>
      </c>
      <c r="B2563">
        <v>3</v>
      </c>
      <c r="C2563">
        <v>13</v>
      </c>
      <c r="D2563">
        <v>0.86258442302962957</v>
      </c>
      <c r="E2563">
        <v>1.5200000000000102E-2</v>
      </c>
      <c r="F2563">
        <f t="shared" ref="F2563:F2626" si="68">D2563*E2563</f>
        <v>1.3111283230050457E-2</v>
      </c>
      <c r="M2563" s="31"/>
    </row>
    <row r="2564" spans="1:13" x14ac:dyDescent="0.3">
      <c r="A2564">
        <v>1988</v>
      </c>
      <c r="B2564">
        <v>3</v>
      </c>
      <c r="C2564">
        <v>11</v>
      </c>
      <c r="D2564">
        <v>0.8496244715313106</v>
      </c>
      <c r="E2564">
        <v>1.5200000000000102E-2</v>
      </c>
      <c r="F2564">
        <f t="shared" si="68"/>
        <v>1.2914291967276007E-2</v>
      </c>
      <c r="M2564" s="31"/>
    </row>
    <row r="2565" spans="1:13" x14ac:dyDescent="0.3">
      <c r="A2565">
        <v>1988</v>
      </c>
      <c r="B2565">
        <v>3</v>
      </c>
      <c r="C2565">
        <v>9</v>
      </c>
      <c r="D2565">
        <v>0.83743304957261822</v>
      </c>
      <c r="E2565">
        <v>1.5200000000000102E-2</v>
      </c>
      <c r="F2565">
        <f t="shared" si="68"/>
        <v>1.2728982353503882E-2</v>
      </c>
      <c r="M2565" s="31"/>
    </row>
    <row r="2566" spans="1:13" x14ac:dyDescent="0.3">
      <c r="A2566">
        <v>1988</v>
      </c>
      <c r="B2566">
        <v>3</v>
      </c>
      <c r="C2566">
        <v>8</v>
      </c>
      <c r="D2566">
        <v>0.82614580240174029</v>
      </c>
      <c r="E2566">
        <v>1.5200000000000102E-2</v>
      </c>
      <c r="F2566">
        <f t="shared" si="68"/>
        <v>1.2557416196506537E-2</v>
      </c>
      <c r="M2566" s="31"/>
    </row>
    <row r="2567" spans="1:13" x14ac:dyDescent="0.3">
      <c r="A2567">
        <v>1988</v>
      </c>
      <c r="B2567">
        <v>3</v>
      </c>
      <c r="C2567">
        <v>6</v>
      </c>
      <c r="D2567">
        <v>0.81418568660799884</v>
      </c>
      <c r="E2567">
        <v>1.5200000000000102E-2</v>
      </c>
      <c r="F2567">
        <f t="shared" si="68"/>
        <v>1.2375622436441665E-2</v>
      </c>
      <c r="M2567" s="31"/>
    </row>
    <row r="2568" spans="1:13" x14ac:dyDescent="0.3">
      <c r="A2568">
        <v>1988</v>
      </c>
      <c r="B2568">
        <v>3</v>
      </c>
      <c r="C2568">
        <v>4</v>
      </c>
      <c r="D2568">
        <v>0.80184476306962904</v>
      </c>
      <c r="E2568">
        <v>1.5200000000000102E-2</v>
      </c>
      <c r="F2568">
        <f t="shared" si="68"/>
        <v>1.2188040398658444E-2</v>
      </c>
      <c r="M2568" s="31"/>
    </row>
    <row r="2569" spans="1:13" x14ac:dyDescent="0.3">
      <c r="A2569">
        <v>1988</v>
      </c>
      <c r="B2569">
        <v>3</v>
      </c>
      <c r="C2569">
        <v>3</v>
      </c>
      <c r="D2569">
        <v>0.79096737770002967</v>
      </c>
      <c r="E2569">
        <v>1.5200000000000102E-2</v>
      </c>
      <c r="F2569">
        <f t="shared" si="68"/>
        <v>1.2022704141040532E-2</v>
      </c>
      <c r="M2569" s="31"/>
    </row>
    <row r="2570" spans="1:13" x14ac:dyDescent="0.3">
      <c r="A2570">
        <v>1988</v>
      </c>
      <c r="B2570">
        <v>3</v>
      </c>
      <c r="C2570">
        <v>1</v>
      </c>
      <c r="D2570">
        <v>0.78478553411276852</v>
      </c>
      <c r="E2570">
        <v>1.5200000000000102E-2</v>
      </c>
      <c r="F2570">
        <f t="shared" si="68"/>
        <v>1.1928740118514162E-2</v>
      </c>
      <c r="M2570" s="31"/>
    </row>
    <row r="2571" spans="1:13" x14ac:dyDescent="0.3">
      <c r="A2571">
        <v>1988</v>
      </c>
      <c r="B2571">
        <v>2</v>
      </c>
      <c r="C2571">
        <v>29</v>
      </c>
      <c r="D2571">
        <v>0.7822836458359459</v>
      </c>
      <c r="E2571">
        <v>1.5200000000000102E-2</v>
      </c>
      <c r="F2571">
        <f t="shared" si="68"/>
        <v>1.1890711416706458E-2</v>
      </c>
      <c r="M2571" s="31"/>
    </row>
    <row r="2572" spans="1:13" x14ac:dyDescent="0.3">
      <c r="A2572">
        <v>1988</v>
      </c>
      <c r="B2572">
        <v>2</v>
      </c>
      <c r="C2572">
        <v>4</v>
      </c>
      <c r="D2572">
        <v>0.78542794489213796</v>
      </c>
      <c r="E2572">
        <v>1.5200000000000102E-2</v>
      </c>
      <c r="F2572">
        <f t="shared" si="68"/>
        <v>1.1938504762360578E-2</v>
      </c>
      <c r="M2572" s="31"/>
    </row>
    <row r="2573" spans="1:13" x14ac:dyDescent="0.3">
      <c r="A2573">
        <v>1988</v>
      </c>
      <c r="B2573">
        <v>1</v>
      </c>
      <c r="C2573">
        <v>11</v>
      </c>
      <c r="D2573">
        <v>0.79564996151895717</v>
      </c>
      <c r="E2573">
        <v>1.5200000000000102E-2</v>
      </c>
      <c r="F2573">
        <f t="shared" si="68"/>
        <v>1.2093879415088231E-2</v>
      </c>
      <c r="M2573" s="31"/>
    </row>
    <row r="2574" spans="1:13" x14ac:dyDescent="0.3">
      <c r="A2574">
        <v>1987</v>
      </c>
      <c r="B2574">
        <v>12</v>
      </c>
      <c r="C2574">
        <v>17</v>
      </c>
      <c r="D2574">
        <v>0.81130631098917427</v>
      </c>
      <c r="E2574">
        <v>1.5200000000000102E-2</v>
      </c>
      <c r="F2574">
        <f t="shared" si="68"/>
        <v>1.2331855927035533E-2</v>
      </c>
      <c r="M2574" s="31"/>
    </row>
    <row r="2575" spans="1:13" x14ac:dyDescent="0.3">
      <c r="A2575">
        <v>1987</v>
      </c>
      <c r="B2575">
        <v>11</v>
      </c>
      <c r="C2575">
        <v>23</v>
      </c>
      <c r="D2575">
        <v>0.83003792626460893</v>
      </c>
      <c r="E2575">
        <v>1.5200000000000102E-2</v>
      </c>
      <c r="F2575">
        <f t="shared" si="68"/>
        <v>1.261657647922214E-2</v>
      </c>
      <c r="M2575" s="31"/>
    </row>
    <row r="2576" spans="1:13" x14ac:dyDescent="0.3">
      <c r="A2576">
        <v>1987</v>
      </c>
      <c r="B2576">
        <v>10</v>
      </c>
      <c r="C2576">
        <v>30</v>
      </c>
      <c r="D2576">
        <v>0.85174839207734332</v>
      </c>
      <c r="E2576">
        <v>1.5200000000000102E-2</v>
      </c>
      <c r="F2576">
        <f t="shared" si="68"/>
        <v>1.2946575559575705E-2</v>
      </c>
      <c r="M2576" s="31"/>
    </row>
    <row r="2577" spans="1:13" x14ac:dyDescent="0.3">
      <c r="A2577">
        <v>1987</v>
      </c>
      <c r="B2577">
        <v>10</v>
      </c>
      <c r="C2577">
        <v>5</v>
      </c>
      <c r="D2577">
        <v>0.87257715235579159</v>
      </c>
      <c r="E2577">
        <v>1.5200000000000102E-2</v>
      </c>
      <c r="F2577">
        <f t="shared" si="68"/>
        <v>1.3263172715808121E-2</v>
      </c>
      <c r="M2577" s="31"/>
    </row>
    <row r="2578" spans="1:13" x14ac:dyDescent="0.3">
      <c r="A2578">
        <v>1987</v>
      </c>
      <c r="B2578">
        <v>9</v>
      </c>
      <c r="C2578">
        <v>11</v>
      </c>
      <c r="D2578">
        <v>0.89192263599895893</v>
      </c>
      <c r="E2578">
        <v>1.5200000000000102E-2</v>
      </c>
      <c r="F2578">
        <f t="shared" si="68"/>
        <v>1.3557224067184266E-2</v>
      </c>
      <c r="M2578" s="31"/>
    </row>
    <row r="2579" spans="1:13" x14ac:dyDescent="0.3">
      <c r="A2579">
        <v>1987</v>
      </c>
      <c r="B2579">
        <v>8</v>
      </c>
      <c r="C2579">
        <v>17</v>
      </c>
      <c r="D2579">
        <v>0.90888010349036452</v>
      </c>
      <c r="E2579">
        <v>1.5200000000000102E-2</v>
      </c>
      <c r="F2579">
        <f t="shared" si="68"/>
        <v>1.3814977573053633E-2</v>
      </c>
      <c r="M2579" s="31"/>
    </row>
    <row r="2580" spans="1:13" x14ac:dyDescent="0.3">
      <c r="A2580">
        <v>1987</v>
      </c>
      <c r="B2580">
        <v>7</v>
      </c>
      <c r="C2580">
        <v>24</v>
      </c>
      <c r="D2580">
        <v>0.92047986940176252</v>
      </c>
      <c r="E2580">
        <v>1.5200000000000102E-2</v>
      </c>
      <c r="F2580">
        <f t="shared" si="68"/>
        <v>1.3991294014906884E-2</v>
      </c>
      <c r="M2580" s="31"/>
    </row>
    <row r="2581" spans="1:13" x14ac:dyDescent="0.3">
      <c r="A2581">
        <v>1987</v>
      </c>
      <c r="B2581">
        <v>6</v>
      </c>
      <c r="C2581">
        <v>30</v>
      </c>
      <c r="D2581">
        <v>0.92197385963851453</v>
      </c>
      <c r="E2581">
        <v>1.5200000000000102E-2</v>
      </c>
      <c r="F2581">
        <f t="shared" si="68"/>
        <v>1.4014002666505515E-2</v>
      </c>
      <c r="M2581" s="31"/>
    </row>
    <row r="2582" spans="1:13" x14ac:dyDescent="0.3">
      <c r="A2582">
        <v>1987</v>
      </c>
      <c r="B2582">
        <v>6</v>
      </c>
      <c r="C2582">
        <v>25</v>
      </c>
      <c r="D2582">
        <v>0.91730765085652444</v>
      </c>
      <c r="E2582">
        <v>1.5200000000000102E-2</v>
      </c>
      <c r="F2582">
        <f t="shared" si="68"/>
        <v>1.3943076293019266E-2</v>
      </c>
      <c r="M2582" s="31"/>
    </row>
    <row r="2583" spans="1:13" x14ac:dyDescent="0.3">
      <c r="A2583">
        <v>1987</v>
      </c>
      <c r="B2583">
        <v>6</v>
      </c>
      <c r="C2583">
        <v>21</v>
      </c>
      <c r="D2583">
        <v>0.90519109851827195</v>
      </c>
      <c r="E2583">
        <v>1.5200000000000102E-2</v>
      </c>
      <c r="F2583">
        <f t="shared" si="68"/>
        <v>1.3758904697477826E-2</v>
      </c>
      <c r="M2583" s="31"/>
    </row>
    <row r="2584" spans="1:13" x14ac:dyDescent="0.3">
      <c r="A2584">
        <v>1987</v>
      </c>
      <c r="B2584">
        <v>6</v>
      </c>
      <c r="C2584">
        <v>16</v>
      </c>
      <c r="D2584">
        <v>0.88817047915633718</v>
      </c>
      <c r="E2584">
        <v>1.5200000000000102E-2</v>
      </c>
      <c r="F2584">
        <f t="shared" si="68"/>
        <v>1.3500191283176416E-2</v>
      </c>
      <c r="M2584" s="31"/>
    </row>
    <row r="2585" spans="1:13" x14ac:dyDescent="0.3">
      <c r="A2585">
        <v>1987</v>
      </c>
      <c r="B2585">
        <v>6</v>
      </c>
      <c r="C2585">
        <v>12</v>
      </c>
      <c r="D2585">
        <v>0.87224591051582712</v>
      </c>
      <c r="E2585">
        <v>1.5200000000000102E-2</v>
      </c>
      <c r="F2585">
        <f t="shared" si="68"/>
        <v>1.3258137839840662E-2</v>
      </c>
      <c r="M2585" s="31"/>
    </row>
    <row r="2586" spans="1:13" x14ac:dyDescent="0.3">
      <c r="A2586">
        <v>1987</v>
      </c>
      <c r="B2586">
        <v>6</v>
      </c>
      <c r="C2586">
        <v>8</v>
      </c>
      <c r="D2586">
        <v>0.86302797169270973</v>
      </c>
      <c r="E2586">
        <v>1.5200000000000102E-2</v>
      </c>
      <c r="F2586">
        <f t="shared" si="68"/>
        <v>1.3118025169729276E-2</v>
      </c>
      <c r="M2586" s="31"/>
    </row>
    <row r="2587" spans="1:13" x14ac:dyDescent="0.3">
      <c r="A2587">
        <v>1987</v>
      </c>
      <c r="B2587">
        <v>6</v>
      </c>
      <c r="C2587">
        <v>3</v>
      </c>
      <c r="D2587">
        <v>0.86104003459524658</v>
      </c>
      <c r="E2587">
        <v>1.5200000000000102E-2</v>
      </c>
      <c r="F2587">
        <f t="shared" si="68"/>
        <v>1.3087808525847837E-2</v>
      </c>
      <c r="M2587" s="31"/>
    </row>
    <row r="2588" spans="1:13" x14ac:dyDescent="0.3">
      <c r="A2588">
        <v>1987</v>
      </c>
      <c r="B2588">
        <v>5</v>
      </c>
      <c r="C2588">
        <v>30</v>
      </c>
      <c r="D2588">
        <v>0.86612318622654472</v>
      </c>
      <c r="E2588">
        <v>1.5200000000000102E-2</v>
      </c>
      <c r="F2588">
        <f t="shared" si="68"/>
        <v>1.3165072430643568E-2</v>
      </c>
      <c r="M2588" s="31"/>
    </row>
    <row r="2589" spans="1:13" x14ac:dyDescent="0.3">
      <c r="A2589">
        <v>1987</v>
      </c>
      <c r="B2589">
        <v>5</v>
      </c>
      <c r="C2589">
        <v>26</v>
      </c>
      <c r="D2589">
        <v>0.87700216579513746</v>
      </c>
      <c r="E2589">
        <v>1.5200000000000102E-2</v>
      </c>
      <c r="F2589">
        <f t="shared" si="68"/>
        <v>1.3330432920086179E-2</v>
      </c>
      <c r="M2589" s="31"/>
    </row>
    <row r="2590" spans="1:13" x14ac:dyDescent="0.3">
      <c r="A2590">
        <v>1987</v>
      </c>
      <c r="B2590">
        <v>5</v>
      </c>
      <c r="C2590">
        <v>21</v>
      </c>
      <c r="D2590">
        <v>0.89110948286784131</v>
      </c>
      <c r="E2590">
        <v>1.5200000000000102E-2</v>
      </c>
      <c r="F2590">
        <f t="shared" si="68"/>
        <v>1.354486413959128E-2</v>
      </c>
      <c r="M2590" s="31"/>
    </row>
    <row r="2591" spans="1:13" x14ac:dyDescent="0.3">
      <c r="A2591">
        <v>1987</v>
      </c>
      <c r="B2591">
        <v>5</v>
      </c>
      <c r="C2591">
        <v>17</v>
      </c>
      <c r="D2591">
        <v>0.90658297488574002</v>
      </c>
      <c r="E2591">
        <v>1.5200000000000102E-2</v>
      </c>
      <c r="F2591">
        <f t="shared" si="68"/>
        <v>1.3780061218263341E-2</v>
      </c>
      <c r="M2591" s="31"/>
    </row>
    <row r="2592" spans="1:13" x14ac:dyDescent="0.3">
      <c r="A2592">
        <v>1987</v>
      </c>
      <c r="B2592">
        <v>5</v>
      </c>
      <c r="C2592">
        <v>13</v>
      </c>
      <c r="D2592">
        <v>0.91772316374851826</v>
      </c>
      <c r="E2592">
        <v>1.5200000000000102E-2</v>
      </c>
      <c r="F2592">
        <f t="shared" si="68"/>
        <v>1.3949392088977572E-2</v>
      </c>
      <c r="M2592" s="31"/>
    </row>
    <row r="2593" spans="1:13" x14ac:dyDescent="0.3">
      <c r="A2593">
        <v>1987</v>
      </c>
      <c r="B2593">
        <v>5</v>
      </c>
      <c r="C2593">
        <v>8</v>
      </c>
      <c r="D2593">
        <v>0.92155896896482048</v>
      </c>
      <c r="E2593">
        <v>1.5200000000000102E-2</v>
      </c>
      <c r="F2593">
        <f t="shared" si="68"/>
        <v>1.4007696328265366E-2</v>
      </c>
      <c r="M2593" s="31"/>
    </row>
    <row r="2594" spans="1:13" x14ac:dyDescent="0.3">
      <c r="A2594">
        <v>1987</v>
      </c>
      <c r="B2594">
        <v>5</v>
      </c>
      <c r="C2594">
        <v>4</v>
      </c>
      <c r="D2594">
        <v>0.91558198781407485</v>
      </c>
      <c r="E2594">
        <v>1.5200000000000102E-2</v>
      </c>
      <c r="F2594">
        <f t="shared" si="68"/>
        <v>1.3916846214774032E-2</v>
      </c>
      <c r="M2594" s="31"/>
    </row>
    <row r="2595" spans="1:13" x14ac:dyDescent="0.3">
      <c r="A2595">
        <v>1987</v>
      </c>
      <c r="B2595">
        <v>4</v>
      </c>
      <c r="C2595">
        <v>30</v>
      </c>
      <c r="D2595">
        <v>0.89969639152057546</v>
      </c>
      <c r="E2595">
        <v>1.5200000000000102E-2</v>
      </c>
      <c r="F2595">
        <f t="shared" si="68"/>
        <v>1.3675385151112839E-2</v>
      </c>
      <c r="M2595" s="31"/>
    </row>
    <row r="2596" spans="1:13" x14ac:dyDescent="0.3">
      <c r="A2596">
        <v>1987</v>
      </c>
      <c r="B2596">
        <v>4</v>
      </c>
      <c r="C2596">
        <v>25</v>
      </c>
      <c r="D2596">
        <v>0.87649324326319045</v>
      </c>
      <c r="E2596">
        <v>1.5200000000000102E-2</v>
      </c>
      <c r="F2596">
        <f t="shared" si="68"/>
        <v>1.3322697297600584E-2</v>
      </c>
      <c r="M2596" s="31"/>
    </row>
    <row r="2597" spans="1:13" x14ac:dyDescent="0.3">
      <c r="A2597">
        <v>1987</v>
      </c>
      <c r="B2597">
        <v>4</v>
      </c>
      <c r="C2597">
        <v>21</v>
      </c>
      <c r="D2597">
        <v>0.84927722967269514</v>
      </c>
      <c r="E2597">
        <v>1.5200000000000102E-2</v>
      </c>
      <c r="F2597">
        <f t="shared" si="68"/>
        <v>1.2909013891025053E-2</v>
      </c>
      <c r="M2597" s="31"/>
    </row>
    <row r="2598" spans="1:13" x14ac:dyDescent="0.3">
      <c r="A2598">
        <v>1987</v>
      </c>
      <c r="B2598">
        <v>4</v>
      </c>
      <c r="C2598">
        <v>16</v>
      </c>
      <c r="D2598">
        <v>0.81786551643496752</v>
      </c>
      <c r="E2598">
        <v>1.5200000000000102E-2</v>
      </c>
      <c r="F2598">
        <f t="shared" si="68"/>
        <v>1.243155584981159E-2</v>
      </c>
      <c r="M2598" s="31"/>
    </row>
    <row r="2599" spans="1:13" x14ac:dyDescent="0.3">
      <c r="A2599">
        <v>1987</v>
      </c>
      <c r="B2599">
        <v>4</v>
      </c>
      <c r="C2599">
        <v>12</v>
      </c>
      <c r="D2599">
        <v>0.78506229065315269</v>
      </c>
      <c r="E2599">
        <v>1.5200000000000102E-2</v>
      </c>
      <c r="F2599">
        <f t="shared" si="68"/>
        <v>1.1932946817928001E-2</v>
      </c>
      <c r="M2599" s="31"/>
    </row>
    <row r="2600" spans="1:13" x14ac:dyDescent="0.3">
      <c r="A2600">
        <v>1987</v>
      </c>
      <c r="B2600">
        <v>4</v>
      </c>
      <c r="C2600">
        <v>8</v>
      </c>
      <c r="D2600">
        <v>0.75357409592003133</v>
      </c>
      <c r="E2600">
        <v>1.5200000000000102E-2</v>
      </c>
      <c r="F2600">
        <f t="shared" si="68"/>
        <v>1.1454326257984553E-2</v>
      </c>
      <c r="M2600" s="31"/>
    </row>
    <row r="2601" spans="1:13" x14ac:dyDescent="0.3">
      <c r="A2601">
        <v>1987</v>
      </c>
      <c r="B2601">
        <v>4</v>
      </c>
      <c r="C2601">
        <v>3</v>
      </c>
      <c r="D2601">
        <v>0.72558652612051222</v>
      </c>
      <c r="E2601">
        <v>1.5200000000000102E-2</v>
      </c>
      <c r="F2601">
        <f t="shared" si="68"/>
        <v>1.102891519703186E-2</v>
      </c>
      <c r="M2601" s="31"/>
    </row>
    <row r="2602" spans="1:13" x14ac:dyDescent="0.3">
      <c r="A2602">
        <v>1987</v>
      </c>
      <c r="B2602">
        <v>3</v>
      </c>
      <c r="C2602">
        <v>30</v>
      </c>
      <c r="D2602">
        <v>0.70183585177658125</v>
      </c>
      <c r="E2602">
        <v>1.5200000000000102E-2</v>
      </c>
      <c r="F2602">
        <f t="shared" si="68"/>
        <v>1.0667904947004108E-2</v>
      </c>
      <c r="M2602" s="31"/>
    </row>
    <row r="2603" spans="1:13" x14ac:dyDescent="0.3">
      <c r="A2603">
        <v>1987</v>
      </c>
      <c r="B2603">
        <v>3</v>
      </c>
      <c r="C2603">
        <v>26</v>
      </c>
      <c r="D2603">
        <v>0.68283603275222204</v>
      </c>
      <c r="E2603">
        <v>1.5200000000000102E-2</v>
      </c>
      <c r="F2603">
        <f t="shared" si="68"/>
        <v>1.0379107697833845E-2</v>
      </c>
      <c r="M2603" s="31"/>
    </row>
    <row r="2604" spans="1:13" x14ac:dyDescent="0.3">
      <c r="A2604">
        <v>1987</v>
      </c>
      <c r="B2604">
        <v>3</v>
      </c>
      <c r="C2604">
        <v>21</v>
      </c>
      <c r="D2604">
        <v>0.66749054872319424</v>
      </c>
      <c r="E2604">
        <v>1.5200000000000102E-2</v>
      </c>
      <c r="F2604">
        <f t="shared" si="68"/>
        <v>1.014585634059262E-2</v>
      </c>
      <c r="M2604" s="31"/>
    </row>
    <row r="2605" spans="1:13" x14ac:dyDescent="0.3">
      <c r="A2605">
        <v>1987</v>
      </c>
      <c r="B2605">
        <v>3</v>
      </c>
      <c r="C2605">
        <v>17</v>
      </c>
      <c r="D2605">
        <v>0.65479572977474121</v>
      </c>
      <c r="E2605">
        <v>1.5200000000000102E-2</v>
      </c>
      <c r="F2605">
        <f t="shared" si="68"/>
        <v>9.9528950925761341E-3</v>
      </c>
      <c r="M2605" s="31"/>
    </row>
    <row r="2606" spans="1:13" x14ac:dyDescent="0.3">
      <c r="A2606">
        <v>1987</v>
      </c>
      <c r="B2606">
        <v>3</v>
      </c>
      <c r="C2606">
        <v>13</v>
      </c>
      <c r="D2606">
        <v>0.64350801567197502</v>
      </c>
      <c r="E2606">
        <v>1.5200000000000102E-2</v>
      </c>
      <c r="F2606">
        <f t="shared" si="68"/>
        <v>9.7813218382140858E-3</v>
      </c>
      <c r="M2606" s="31"/>
    </row>
    <row r="2607" spans="1:13" x14ac:dyDescent="0.3">
      <c r="A2607">
        <v>1987</v>
      </c>
      <c r="B2607">
        <v>3</v>
      </c>
      <c r="C2607">
        <v>8</v>
      </c>
      <c r="D2607">
        <v>0.63200983812604572</v>
      </c>
      <c r="E2607">
        <v>1.5200000000000102E-2</v>
      </c>
      <c r="F2607">
        <f t="shared" si="68"/>
        <v>9.6065495395159604E-3</v>
      </c>
      <c r="M2607" s="31"/>
    </row>
    <row r="2608" spans="1:13" x14ac:dyDescent="0.3">
      <c r="A2608">
        <v>1987</v>
      </c>
      <c r="B2608">
        <v>3</v>
      </c>
      <c r="C2608">
        <v>4</v>
      </c>
      <c r="D2608">
        <v>0.6256155790265755</v>
      </c>
      <c r="E2608">
        <v>1.5200000000000102E-2</v>
      </c>
      <c r="F2608">
        <f t="shared" si="68"/>
        <v>9.5093568012040112E-3</v>
      </c>
      <c r="M2608" s="31"/>
    </row>
    <row r="2609" spans="1:13" x14ac:dyDescent="0.3">
      <c r="A2609">
        <v>1987</v>
      </c>
      <c r="B2609">
        <v>2</v>
      </c>
      <c r="C2609">
        <v>28</v>
      </c>
      <c r="D2609">
        <v>0.62282216269386304</v>
      </c>
      <c r="E2609">
        <v>1.5200000000000102E-2</v>
      </c>
      <c r="F2609">
        <f t="shared" si="68"/>
        <v>9.4668968729467815E-3</v>
      </c>
      <c r="M2609" s="31"/>
    </row>
    <row r="2610" spans="1:13" x14ac:dyDescent="0.3">
      <c r="A2610">
        <v>1987</v>
      </c>
      <c r="B2610">
        <v>2</v>
      </c>
      <c r="C2610">
        <v>18</v>
      </c>
      <c r="D2610">
        <v>0.62295115976901327</v>
      </c>
      <c r="E2610">
        <v>1.5200000000000102E-2</v>
      </c>
      <c r="F2610">
        <f t="shared" si="68"/>
        <v>9.4688576284890653E-3</v>
      </c>
      <c r="M2610" s="31"/>
    </row>
    <row r="2611" spans="1:13" x14ac:dyDescent="0.3">
      <c r="A2611">
        <v>1987</v>
      </c>
      <c r="B2611">
        <v>2</v>
      </c>
      <c r="C2611">
        <v>9</v>
      </c>
      <c r="D2611">
        <v>0.62453971265063968</v>
      </c>
      <c r="E2611">
        <v>1.5200000000000102E-2</v>
      </c>
      <c r="F2611">
        <f t="shared" si="68"/>
        <v>9.4930036322897864E-3</v>
      </c>
      <c r="M2611" s="31"/>
    </row>
    <row r="2612" spans="1:13" x14ac:dyDescent="0.3">
      <c r="A2612">
        <v>1987</v>
      </c>
      <c r="B2612">
        <v>1</v>
      </c>
      <c r="C2612">
        <v>30</v>
      </c>
      <c r="D2612">
        <v>0.62732319675157766</v>
      </c>
      <c r="E2612">
        <v>1.5200000000000102E-2</v>
      </c>
      <c r="F2612">
        <f t="shared" si="68"/>
        <v>9.5353125906240451E-3</v>
      </c>
      <c r="M2612" s="31"/>
    </row>
    <row r="2613" spans="1:13" x14ac:dyDescent="0.3">
      <c r="A2613">
        <v>1987</v>
      </c>
      <c r="B2613">
        <v>1</v>
      </c>
      <c r="C2613">
        <v>21</v>
      </c>
      <c r="D2613">
        <v>0.62784901351872457</v>
      </c>
      <c r="E2613">
        <v>1.5200000000000102E-2</v>
      </c>
      <c r="F2613">
        <f t="shared" si="68"/>
        <v>9.5433050054846771E-3</v>
      </c>
      <c r="M2613" s="31"/>
    </row>
    <row r="2614" spans="1:13" x14ac:dyDescent="0.3">
      <c r="A2614">
        <v>1987</v>
      </c>
      <c r="B2614">
        <v>1</v>
      </c>
      <c r="C2614">
        <v>12</v>
      </c>
      <c r="D2614">
        <v>0.62810947973851261</v>
      </c>
      <c r="E2614">
        <v>1.5200000000000102E-2</v>
      </c>
      <c r="F2614">
        <f t="shared" si="68"/>
        <v>9.5472640920254565E-3</v>
      </c>
      <c r="M2614" s="31"/>
    </row>
    <row r="2615" spans="1:13" x14ac:dyDescent="0.3">
      <c r="A2615">
        <v>1987</v>
      </c>
      <c r="B2615">
        <v>1</v>
      </c>
      <c r="C2615">
        <v>2</v>
      </c>
      <c r="D2615">
        <v>0.62783870788019525</v>
      </c>
      <c r="E2615">
        <v>1.5200000000000102E-2</v>
      </c>
      <c r="F2615">
        <f t="shared" si="68"/>
        <v>9.5431483597790325E-3</v>
      </c>
      <c r="M2615" s="31"/>
    </row>
    <row r="2616" spans="1:13" x14ac:dyDescent="0.3">
      <c r="A2616">
        <v>1986</v>
      </c>
      <c r="B2616">
        <v>12</v>
      </c>
      <c r="C2616">
        <v>24</v>
      </c>
      <c r="D2616">
        <v>0.62823154628376188</v>
      </c>
      <c r="E2616">
        <v>1.5200000000000102E-2</v>
      </c>
      <c r="F2616">
        <f t="shared" si="68"/>
        <v>9.549119503513245E-3</v>
      </c>
      <c r="M2616" s="31"/>
    </row>
    <row r="2617" spans="1:13" x14ac:dyDescent="0.3">
      <c r="A2617">
        <v>1986</v>
      </c>
      <c r="B2617">
        <v>12</v>
      </c>
      <c r="C2617">
        <v>15</v>
      </c>
      <c r="D2617">
        <v>0.6311460432022028</v>
      </c>
      <c r="E2617">
        <v>1.5200000000000102E-2</v>
      </c>
      <c r="F2617">
        <f t="shared" si="68"/>
        <v>9.5934198566735469E-3</v>
      </c>
      <c r="M2617" s="31"/>
    </row>
    <row r="2618" spans="1:13" x14ac:dyDescent="0.3">
      <c r="A2618">
        <v>1986</v>
      </c>
      <c r="B2618">
        <v>12</v>
      </c>
      <c r="C2618">
        <v>5</v>
      </c>
      <c r="D2618">
        <v>0.63579075710126509</v>
      </c>
      <c r="E2618">
        <v>1.5200000000000102E-2</v>
      </c>
      <c r="F2618">
        <f t="shared" si="68"/>
        <v>9.6640195079392942E-3</v>
      </c>
      <c r="M2618" s="31"/>
    </row>
    <row r="2619" spans="1:13" x14ac:dyDescent="0.3">
      <c r="A2619">
        <v>1986</v>
      </c>
      <c r="B2619">
        <v>11</v>
      </c>
      <c r="C2619">
        <v>26</v>
      </c>
      <c r="D2619">
        <v>0.64110684410893926</v>
      </c>
      <c r="E2619">
        <v>1.5200000000000102E-2</v>
      </c>
      <c r="F2619">
        <f t="shared" si="68"/>
        <v>9.7448240304559425E-3</v>
      </c>
      <c r="M2619" s="31"/>
    </row>
    <row r="2620" spans="1:13" x14ac:dyDescent="0.3">
      <c r="A2620">
        <v>1986</v>
      </c>
      <c r="B2620">
        <v>11</v>
      </c>
      <c r="C2620">
        <v>17</v>
      </c>
      <c r="D2620">
        <v>0.64643032655688004</v>
      </c>
      <c r="E2620">
        <v>1.5200000000000102E-2</v>
      </c>
      <c r="F2620">
        <f t="shared" si="68"/>
        <v>9.8257409636646423E-3</v>
      </c>
      <c r="M2620" s="31"/>
    </row>
    <row r="2621" spans="1:13" x14ac:dyDescent="0.3">
      <c r="A2621">
        <v>1986</v>
      </c>
      <c r="B2621">
        <v>11</v>
      </c>
      <c r="C2621">
        <v>7</v>
      </c>
      <c r="D2621">
        <v>0.65122628000010718</v>
      </c>
      <c r="E2621">
        <v>1.5200000000000102E-2</v>
      </c>
      <c r="F2621">
        <f t="shared" si="68"/>
        <v>9.8986394560016955E-3</v>
      </c>
      <c r="M2621" s="31"/>
    </row>
    <row r="2622" spans="1:13" x14ac:dyDescent="0.3">
      <c r="A2622">
        <v>1986</v>
      </c>
      <c r="B2622">
        <v>10</v>
      </c>
      <c r="C2622">
        <v>29</v>
      </c>
      <c r="D2622">
        <v>0.6558941822106209</v>
      </c>
      <c r="E2622">
        <v>1.5200000000000102E-2</v>
      </c>
      <c r="F2622">
        <f t="shared" si="68"/>
        <v>9.9695915696015047E-3</v>
      </c>
      <c r="M2622" s="31"/>
    </row>
    <row r="2623" spans="1:13" x14ac:dyDescent="0.3">
      <c r="A2623">
        <v>1986</v>
      </c>
      <c r="B2623">
        <v>10</v>
      </c>
      <c r="C2623">
        <v>20</v>
      </c>
      <c r="D2623">
        <v>0.66271271618032801</v>
      </c>
      <c r="E2623">
        <v>1.5200000000000102E-2</v>
      </c>
      <c r="F2623">
        <f t="shared" si="68"/>
        <v>1.0073233285941053E-2</v>
      </c>
      <c r="M2623" s="31"/>
    </row>
    <row r="2624" spans="1:13" x14ac:dyDescent="0.3">
      <c r="A2624">
        <v>1986</v>
      </c>
      <c r="B2624">
        <v>10</v>
      </c>
      <c r="C2624">
        <v>10</v>
      </c>
      <c r="D2624">
        <v>0.67183030019111989</v>
      </c>
      <c r="E2624">
        <v>1.5200000000000102E-2</v>
      </c>
      <c r="F2624">
        <f t="shared" si="68"/>
        <v>1.0211820562905091E-2</v>
      </c>
      <c r="M2624" s="31"/>
    </row>
    <row r="2625" spans="1:13" x14ac:dyDescent="0.3">
      <c r="A2625">
        <v>1986</v>
      </c>
      <c r="B2625">
        <v>10</v>
      </c>
      <c r="C2625">
        <v>1</v>
      </c>
      <c r="D2625">
        <v>0.68448337346230181</v>
      </c>
      <c r="E2625">
        <v>1.5200000000000102E-2</v>
      </c>
      <c r="F2625">
        <f t="shared" si="68"/>
        <v>1.0404147276627057E-2</v>
      </c>
      <c r="M2625" s="31"/>
    </row>
    <row r="2626" spans="1:13" x14ac:dyDescent="0.3">
      <c r="A2626">
        <v>1986</v>
      </c>
      <c r="B2626">
        <v>9</v>
      </c>
      <c r="C2626">
        <v>22</v>
      </c>
      <c r="D2626">
        <v>0.69827157593074252</v>
      </c>
      <c r="E2626">
        <v>1.5200000000000102E-2</v>
      </c>
      <c r="F2626">
        <f t="shared" si="68"/>
        <v>1.0613727954147358E-2</v>
      </c>
      <c r="M2626" s="31"/>
    </row>
    <row r="2627" spans="1:13" x14ac:dyDescent="0.3">
      <c r="A2627">
        <v>1986</v>
      </c>
      <c r="B2627">
        <v>9</v>
      </c>
      <c r="C2627">
        <v>12</v>
      </c>
      <c r="D2627">
        <v>0.71402757518638249</v>
      </c>
      <c r="E2627">
        <v>1.5200000000000102E-2</v>
      </c>
      <c r="F2627">
        <f t="shared" ref="F2627:F2690" si="69">D2627*E2627</f>
        <v>1.0853219142833086E-2</v>
      </c>
      <c r="M2627" s="31"/>
    </row>
    <row r="2628" spans="1:13" x14ac:dyDescent="0.3">
      <c r="A2628">
        <v>1986</v>
      </c>
      <c r="B2628">
        <v>9</v>
      </c>
      <c r="C2628">
        <v>3</v>
      </c>
      <c r="D2628">
        <v>0.7286249384856075</v>
      </c>
      <c r="E2628">
        <v>1.5200000000000102E-2</v>
      </c>
      <c r="F2628">
        <f t="shared" si="69"/>
        <v>1.1075099064981308E-2</v>
      </c>
      <c r="M2628" s="31"/>
    </row>
    <row r="2629" spans="1:13" x14ac:dyDescent="0.3">
      <c r="A2629">
        <v>1986</v>
      </c>
      <c r="B2629">
        <v>8</v>
      </c>
      <c r="C2629">
        <v>25</v>
      </c>
      <c r="D2629">
        <v>0.74177045581195178</v>
      </c>
      <c r="E2629">
        <v>1.5200000000000102E-2</v>
      </c>
      <c r="F2629">
        <f t="shared" si="69"/>
        <v>1.1274910928341743E-2</v>
      </c>
      <c r="M2629" s="31"/>
    </row>
    <row r="2630" spans="1:13" x14ac:dyDescent="0.3">
      <c r="A2630">
        <v>1986</v>
      </c>
      <c r="B2630">
        <v>8</v>
      </c>
      <c r="C2630">
        <v>15</v>
      </c>
      <c r="D2630">
        <v>0.7546885433760393</v>
      </c>
      <c r="E2630">
        <v>1.5200000000000102E-2</v>
      </c>
      <c r="F2630">
        <f t="shared" si="69"/>
        <v>1.1471265859315875E-2</v>
      </c>
      <c r="M2630" s="31"/>
    </row>
    <row r="2631" spans="1:13" x14ac:dyDescent="0.3">
      <c r="A2631">
        <v>1986</v>
      </c>
      <c r="B2631">
        <v>8</v>
      </c>
      <c r="C2631">
        <v>6</v>
      </c>
      <c r="D2631">
        <v>0.76862404050767852</v>
      </c>
      <c r="E2631">
        <v>1.5200000000000102E-2</v>
      </c>
      <c r="F2631">
        <f t="shared" si="69"/>
        <v>1.1683085415716792E-2</v>
      </c>
      <c r="M2631" s="31"/>
    </row>
    <row r="2632" spans="1:13" x14ac:dyDescent="0.3">
      <c r="A2632">
        <v>1986</v>
      </c>
      <c r="B2632">
        <v>7</v>
      </c>
      <c r="C2632">
        <v>28</v>
      </c>
      <c r="D2632">
        <v>0.78219438577956613</v>
      </c>
      <c r="E2632">
        <v>1.5200000000000102E-2</v>
      </c>
      <c r="F2632">
        <f t="shared" si="69"/>
        <v>1.1889354663849485E-2</v>
      </c>
      <c r="M2632" s="31"/>
    </row>
    <row r="2633" spans="1:13" x14ac:dyDescent="0.3">
      <c r="A2633">
        <v>1986</v>
      </c>
      <c r="B2633">
        <v>7</v>
      </c>
      <c r="C2633">
        <v>18</v>
      </c>
      <c r="D2633">
        <v>0.79399643433309264</v>
      </c>
      <c r="E2633">
        <v>1.5200000000000102E-2</v>
      </c>
      <c r="F2633">
        <f t="shared" si="69"/>
        <v>1.2068745801863089E-2</v>
      </c>
      <c r="M2633" s="31"/>
    </row>
    <row r="2634" spans="1:13" x14ac:dyDescent="0.3">
      <c r="A2634">
        <v>1986</v>
      </c>
      <c r="B2634">
        <v>7</v>
      </c>
      <c r="C2634">
        <v>9</v>
      </c>
      <c r="D2634">
        <v>0.80387161933020335</v>
      </c>
      <c r="E2634">
        <v>1.5200000000000102E-2</v>
      </c>
      <c r="F2634">
        <f t="shared" si="69"/>
        <v>1.2218848613819173E-2</v>
      </c>
      <c r="M2634" s="31"/>
    </row>
    <row r="2635" spans="1:13" x14ac:dyDescent="0.3">
      <c r="A2635">
        <v>1986</v>
      </c>
      <c r="B2635">
        <v>6</v>
      </c>
      <c r="C2635">
        <v>30</v>
      </c>
      <c r="D2635">
        <v>0.80717230053062439</v>
      </c>
      <c r="E2635">
        <v>1.5200000000000102E-2</v>
      </c>
      <c r="F2635">
        <f t="shared" si="69"/>
        <v>1.2269018968065573E-2</v>
      </c>
      <c r="M2635" s="31"/>
    </row>
    <row r="2636" spans="1:13" x14ac:dyDescent="0.3">
      <c r="A2636">
        <v>1986</v>
      </c>
      <c r="B2636">
        <v>6</v>
      </c>
      <c r="C2636">
        <v>28</v>
      </c>
      <c r="D2636">
        <v>0.80584608074217079</v>
      </c>
      <c r="E2636">
        <v>1.5200000000000102E-2</v>
      </c>
      <c r="F2636">
        <f t="shared" si="69"/>
        <v>1.2248860427281079E-2</v>
      </c>
      <c r="M2636" s="31"/>
    </row>
    <row r="2637" spans="1:13" x14ac:dyDescent="0.3">
      <c r="A2637">
        <v>1986</v>
      </c>
      <c r="B2637">
        <v>6</v>
      </c>
      <c r="C2637">
        <v>27</v>
      </c>
      <c r="D2637">
        <v>0.80158213949380686</v>
      </c>
      <c r="E2637">
        <v>1.5200000000000102E-2</v>
      </c>
      <c r="F2637">
        <f t="shared" si="69"/>
        <v>1.2184048520305947E-2</v>
      </c>
      <c r="M2637" s="31"/>
    </row>
    <row r="2638" spans="1:13" x14ac:dyDescent="0.3">
      <c r="A2638">
        <v>1986</v>
      </c>
      <c r="B2638">
        <v>6</v>
      </c>
      <c r="C2638">
        <v>26</v>
      </c>
      <c r="D2638">
        <v>0.79984180473924726</v>
      </c>
      <c r="E2638">
        <v>1.5200000000000102E-2</v>
      </c>
      <c r="F2638">
        <f t="shared" si="69"/>
        <v>1.2157595432036641E-2</v>
      </c>
      <c r="M2638" s="31"/>
    </row>
    <row r="2639" spans="1:13" x14ac:dyDescent="0.3">
      <c r="A2639">
        <v>1986</v>
      </c>
      <c r="B2639">
        <v>6</v>
      </c>
      <c r="C2639">
        <v>24</v>
      </c>
      <c r="D2639">
        <v>0.8004786996707749</v>
      </c>
      <c r="E2639">
        <v>1.5200000000000102E-2</v>
      </c>
      <c r="F2639">
        <f t="shared" si="69"/>
        <v>1.2167276234995861E-2</v>
      </c>
      <c r="M2639" s="31"/>
    </row>
    <row r="2640" spans="1:13" x14ac:dyDescent="0.3">
      <c r="A2640">
        <v>1986</v>
      </c>
      <c r="B2640">
        <v>6</v>
      </c>
      <c r="C2640">
        <v>23</v>
      </c>
      <c r="D2640">
        <v>0.8032126579288652</v>
      </c>
      <c r="E2640">
        <v>1.5200000000000102E-2</v>
      </c>
      <c r="F2640">
        <f t="shared" si="69"/>
        <v>1.2208832400518833E-2</v>
      </c>
      <c r="M2640" s="31"/>
    </row>
    <row r="2641" spans="1:13" x14ac:dyDescent="0.3">
      <c r="A2641">
        <v>1986</v>
      </c>
      <c r="B2641">
        <v>6</v>
      </c>
      <c r="C2641">
        <v>22</v>
      </c>
      <c r="D2641">
        <v>0.80273067794437503</v>
      </c>
      <c r="E2641">
        <v>1.5200000000000102E-2</v>
      </c>
      <c r="F2641">
        <f t="shared" si="69"/>
        <v>1.2201506304754582E-2</v>
      </c>
      <c r="M2641" s="31"/>
    </row>
    <row r="2642" spans="1:13" x14ac:dyDescent="0.3">
      <c r="A2642">
        <v>1986</v>
      </c>
      <c r="B2642">
        <v>6</v>
      </c>
      <c r="C2642">
        <v>21</v>
      </c>
      <c r="D2642">
        <v>0.79708362814678879</v>
      </c>
      <c r="E2642">
        <v>1.5200000000000102E-2</v>
      </c>
      <c r="F2642">
        <f t="shared" si="69"/>
        <v>1.2115671147831271E-2</v>
      </c>
      <c r="M2642" s="31"/>
    </row>
    <row r="2643" spans="1:13" x14ac:dyDescent="0.3">
      <c r="A2643">
        <v>1986</v>
      </c>
      <c r="B2643">
        <v>6</v>
      </c>
      <c r="C2643">
        <v>19</v>
      </c>
      <c r="D2643">
        <v>0.78352498297290707</v>
      </c>
      <c r="E2643">
        <v>1.5200000000000102E-2</v>
      </c>
      <c r="F2643">
        <f t="shared" si="69"/>
        <v>1.1909579741188267E-2</v>
      </c>
      <c r="M2643" s="31"/>
    </row>
    <row r="2644" spans="1:13" x14ac:dyDescent="0.3">
      <c r="A2644">
        <v>1986</v>
      </c>
      <c r="B2644">
        <v>6</v>
      </c>
      <c r="C2644">
        <v>18</v>
      </c>
      <c r="D2644">
        <v>0.76588795874068483</v>
      </c>
      <c r="E2644">
        <v>1.5200000000000102E-2</v>
      </c>
      <c r="F2644">
        <f t="shared" si="69"/>
        <v>1.1641496972858488E-2</v>
      </c>
      <c r="M2644" s="31"/>
    </row>
    <row r="2645" spans="1:13" x14ac:dyDescent="0.3">
      <c r="A2645">
        <v>1986</v>
      </c>
      <c r="B2645">
        <v>6</v>
      </c>
      <c r="C2645">
        <v>17</v>
      </c>
      <c r="D2645">
        <v>0.74836122737326927</v>
      </c>
      <c r="E2645">
        <v>1.5200000000000102E-2</v>
      </c>
      <c r="F2645">
        <f t="shared" si="69"/>
        <v>1.1375090656073769E-2</v>
      </c>
      <c r="M2645" s="31"/>
    </row>
    <row r="2646" spans="1:13" x14ac:dyDescent="0.3">
      <c r="A2646">
        <v>1986</v>
      </c>
      <c r="B2646">
        <v>6</v>
      </c>
      <c r="C2646">
        <v>16</v>
      </c>
      <c r="D2646">
        <v>0.7350400466770779</v>
      </c>
      <c r="E2646">
        <v>1.5200000000000102E-2</v>
      </c>
      <c r="F2646">
        <f t="shared" si="69"/>
        <v>1.1172608709491659E-2</v>
      </c>
      <c r="M2646" s="31"/>
    </row>
    <row r="2647" spans="1:13" x14ac:dyDescent="0.3">
      <c r="A2647">
        <v>1986</v>
      </c>
      <c r="B2647">
        <v>6</v>
      </c>
      <c r="C2647">
        <v>14</v>
      </c>
      <c r="D2647">
        <v>0.72559491420345945</v>
      </c>
      <c r="E2647">
        <v>1.5200000000000102E-2</v>
      </c>
      <c r="F2647">
        <f t="shared" si="69"/>
        <v>1.1029042695892657E-2</v>
      </c>
      <c r="M2647" s="31"/>
    </row>
    <row r="2648" spans="1:13" x14ac:dyDescent="0.3">
      <c r="A2648">
        <v>1986</v>
      </c>
      <c r="B2648">
        <v>6</v>
      </c>
      <c r="C2648">
        <v>13</v>
      </c>
      <c r="D2648">
        <v>0.72039277939907309</v>
      </c>
      <c r="E2648">
        <v>1.5200000000000102E-2</v>
      </c>
      <c r="F2648">
        <f t="shared" si="69"/>
        <v>1.0949970246865984E-2</v>
      </c>
      <c r="M2648" s="31"/>
    </row>
    <row r="2649" spans="1:13" x14ac:dyDescent="0.3">
      <c r="A2649">
        <v>1986</v>
      </c>
      <c r="B2649">
        <v>6</v>
      </c>
      <c r="C2649">
        <v>12</v>
      </c>
      <c r="D2649">
        <v>0.7156102282178558</v>
      </c>
      <c r="E2649">
        <v>1.5200000000000102E-2</v>
      </c>
      <c r="F2649">
        <f t="shared" si="69"/>
        <v>1.0877275468911481E-2</v>
      </c>
      <c r="M2649" s="31"/>
    </row>
    <row r="2650" spans="1:13" x14ac:dyDescent="0.3">
      <c r="A2650">
        <v>1986</v>
      </c>
      <c r="B2650">
        <v>6</v>
      </c>
      <c r="C2650">
        <v>11</v>
      </c>
      <c r="D2650">
        <v>0.71110909256711763</v>
      </c>
      <c r="E2650">
        <v>1.5200000000000102E-2</v>
      </c>
      <c r="F2650">
        <f t="shared" si="69"/>
        <v>1.0808858207020261E-2</v>
      </c>
      <c r="M2650" s="31"/>
    </row>
    <row r="2651" spans="1:13" x14ac:dyDescent="0.3">
      <c r="A2651">
        <v>1986</v>
      </c>
      <c r="B2651">
        <v>6</v>
      </c>
      <c r="C2651">
        <v>9</v>
      </c>
      <c r="D2651">
        <v>0.70607787614139161</v>
      </c>
      <c r="E2651">
        <v>1.5200000000000102E-2</v>
      </c>
      <c r="F2651">
        <f t="shared" si="69"/>
        <v>1.0732383717349225E-2</v>
      </c>
      <c r="M2651" s="31"/>
    </row>
    <row r="2652" spans="1:13" x14ac:dyDescent="0.3">
      <c r="A2652">
        <v>1986</v>
      </c>
      <c r="B2652">
        <v>6</v>
      </c>
      <c r="C2652">
        <v>8</v>
      </c>
      <c r="D2652">
        <v>0.70213647859543438</v>
      </c>
      <c r="E2652">
        <v>1.5200000000000102E-2</v>
      </c>
      <c r="F2652">
        <f t="shared" si="69"/>
        <v>1.0672474474650674E-2</v>
      </c>
      <c r="M2652" s="31"/>
    </row>
    <row r="2653" spans="1:13" x14ac:dyDescent="0.3">
      <c r="A2653">
        <v>1986</v>
      </c>
      <c r="B2653">
        <v>6</v>
      </c>
      <c r="C2653">
        <v>7</v>
      </c>
      <c r="D2653">
        <v>0.69928012427426856</v>
      </c>
      <c r="E2653">
        <v>1.5200000000000102E-2</v>
      </c>
      <c r="F2653">
        <f t="shared" si="69"/>
        <v>1.0629057888968953E-2</v>
      </c>
      <c r="M2653" s="31"/>
    </row>
    <row r="2654" spans="1:13" x14ac:dyDescent="0.3">
      <c r="A2654">
        <v>1986</v>
      </c>
      <c r="B2654">
        <v>6</v>
      </c>
      <c r="C2654">
        <v>6</v>
      </c>
      <c r="D2654">
        <v>0.69790738555158893</v>
      </c>
      <c r="E2654">
        <v>1.5200000000000102E-2</v>
      </c>
      <c r="F2654">
        <f t="shared" si="69"/>
        <v>1.0608192260384224E-2</v>
      </c>
      <c r="M2654" s="31"/>
    </row>
    <row r="2655" spans="1:13" x14ac:dyDescent="0.3">
      <c r="A2655">
        <v>1986</v>
      </c>
      <c r="B2655">
        <v>6</v>
      </c>
      <c r="C2655">
        <v>4</v>
      </c>
      <c r="D2655">
        <v>0.69761162448638936</v>
      </c>
      <c r="E2655">
        <v>1.5200000000000102E-2</v>
      </c>
      <c r="F2655">
        <f t="shared" si="69"/>
        <v>1.0603696692193189E-2</v>
      </c>
      <c r="M2655" s="31"/>
    </row>
    <row r="2656" spans="1:13" x14ac:dyDescent="0.3">
      <c r="A2656">
        <v>1986</v>
      </c>
      <c r="B2656">
        <v>6</v>
      </c>
      <c r="C2656">
        <v>3</v>
      </c>
      <c r="D2656">
        <v>0.70013975221396674</v>
      </c>
      <c r="E2656">
        <v>1.5200000000000102E-2</v>
      </c>
      <c r="F2656">
        <f t="shared" si="69"/>
        <v>1.0642124233652366E-2</v>
      </c>
      <c r="M2656" s="31"/>
    </row>
    <row r="2657" spans="1:13" x14ac:dyDescent="0.3">
      <c r="A2657">
        <v>1986</v>
      </c>
      <c r="B2657">
        <v>6</v>
      </c>
      <c r="C2657">
        <v>2</v>
      </c>
      <c r="D2657">
        <v>0.70455333886214988</v>
      </c>
      <c r="E2657">
        <v>1.5200000000000102E-2</v>
      </c>
      <c r="F2657">
        <f t="shared" si="69"/>
        <v>1.070921075070475E-2</v>
      </c>
      <c r="M2657" s="31"/>
    </row>
    <row r="2658" spans="1:13" x14ac:dyDescent="0.3">
      <c r="A2658">
        <v>1986</v>
      </c>
      <c r="B2658">
        <v>6</v>
      </c>
      <c r="C2658">
        <v>1</v>
      </c>
      <c r="D2658">
        <v>0.71153435047615821</v>
      </c>
      <c r="E2658">
        <v>1.5200000000000102E-2</v>
      </c>
      <c r="F2658">
        <f t="shared" si="69"/>
        <v>1.0815322127237677E-2</v>
      </c>
      <c r="M2658" s="31"/>
    </row>
    <row r="2659" spans="1:13" x14ac:dyDescent="0.3">
      <c r="A2659">
        <v>1986</v>
      </c>
      <c r="B2659">
        <v>5</v>
      </c>
      <c r="C2659">
        <v>30</v>
      </c>
      <c r="D2659">
        <v>0.72042202976432268</v>
      </c>
      <c r="E2659">
        <v>1.5200000000000102E-2</v>
      </c>
      <c r="F2659">
        <f t="shared" si="69"/>
        <v>1.0950414852417779E-2</v>
      </c>
      <c r="M2659" s="31"/>
    </row>
    <row r="2660" spans="1:13" x14ac:dyDescent="0.3">
      <c r="A2660">
        <v>1986</v>
      </c>
      <c r="B2660">
        <v>5</v>
      </c>
      <c r="C2660">
        <v>29</v>
      </c>
      <c r="D2660">
        <v>0.72743160933093609</v>
      </c>
      <c r="E2660">
        <v>1.5200000000000102E-2</v>
      </c>
      <c r="F2660">
        <f t="shared" si="69"/>
        <v>1.1056960461830303E-2</v>
      </c>
      <c r="M2660" s="31"/>
    </row>
    <row r="2661" spans="1:13" x14ac:dyDescent="0.3">
      <c r="A2661">
        <v>1986</v>
      </c>
      <c r="B2661">
        <v>5</v>
      </c>
      <c r="C2661">
        <v>28</v>
      </c>
      <c r="D2661">
        <v>0.73119356062002805</v>
      </c>
      <c r="E2661">
        <v>1.5200000000000102E-2</v>
      </c>
      <c r="F2661">
        <f t="shared" si="69"/>
        <v>1.1114142121424501E-2</v>
      </c>
      <c r="M2661" s="31"/>
    </row>
    <row r="2662" spans="1:13" x14ac:dyDescent="0.3">
      <c r="A2662">
        <v>1986</v>
      </c>
      <c r="B2662">
        <v>5</v>
      </c>
      <c r="C2662">
        <v>27</v>
      </c>
      <c r="D2662">
        <v>0.73251353859741808</v>
      </c>
      <c r="E2662">
        <v>1.5200000000000102E-2</v>
      </c>
      <c r="F2662">
        <f t="shared" si="69"/>
        <v>1.1134205786680829E-2</v>
      </c>
      <c r="M2662" s="31"/>
    </row>
    <row r="2663" spans="1:13" x14ac:dyDescent="0.3">
      <c r="A2663">
        <v>1986</v>
      </c>
      <c r="B2663">
        <v>5</v>
      </c>
      <c r="C2663">
        <v>25</v>
      </c>
      <c r="D2663">
        <v>0.73193284336319753</v>
      </c>
      <c r="E2663">
        <v>1.5200000000000102E-2</v>
      </c>
      <c r="F2663">
        <f t="shared" si="69"/>
        <v>1.1125379219120678E-2</v>
      </c>
      <c r="M2663" s="31"/>
    </row>
    <row r="2664" spans="1:13" x14ac:dyDescent="0.3">
      <c r="A2664">
        <v>1986</v>
      </c>
      <c r="B2664">
        <v>5</v>
      </c>
      <c r="C2664">
        <v>24</v>
      </c>
      <c r="D2664">
        <v>0.72999678863609552</v>
      </c>
      <c r="E2664">
        <v>1.5200000000000102E-2</v>
      </c>
      <c r="F2664">
        <f t="shared" si="69"/>
        <v>1.1095951187268726E-2</v>
      </c>
      <c r="M2664" s="31"/>
    </row>
    <row r="2665" spans="1:13" x14ac:dyDescent="0.3">
      <c r="A2665">
        <v>1986</v>
      </c>
      <c r="B2665">
        <v>5</v>
      </c>
      <c r="C2665">
        <v>23</v>
      </c>
      <c r="D2665">
        <v>0.7273858546820271</v>
      </c>
      <c r="E2665">
        <v>1.5200000000000102E-2</v>
      </c>
      <c r="F2665">
        <f t="shared" si="69"/>
        <v>1.1056264991166886E-2</v>
      </c>
      <c r="M2665" s="31"/>
    </row>
    <row r="2666" spans="1:13" x14ac:dyDescent="0.3">
      <c r="A2666">
        <v>1986</v>
      </c>
      <c r="B2666">
        <v>5</v>
      </c>
      <c r="C2666">
        <v>22</v>
      </c>
      <c r="D2666">
        <v>0.72518470358032294</v>
      </c>
      <c r="E2666">
        <v>1.5200000000000102E-2</v>
      </c>
      <c r="F2666">
        <f t="shared" si="69"/>
        <v>1.1022807494420982E-2</v>
      </c>
      <c r="M2666" s="31"/>
    </row>
    <row r="2667" spans="1:13" x14ac:dyDescent="0.3">
      <c r="A2667">
        <v>1986</v>
      </c>
      <c r="B2667">
        <v>5</v>
      </c>
      <c r="C2667">
        <v>20</v>
      </c>
      <c r="D2667">
        <v>0.72447331406524995</v>
      </c>
      <c r="E2667">
        <v>1.5200000000000102E-2</v>
      </c>
      <c r="F2667">
        <f t="shared" si="69"/>
        <v>1.1011994373791873E-2</v>
      </c>
      <c r="M2667" s="31"/>
    </row>
    <row r="2668" spans="1:13" x14ac:dyDescent="0.3">
      <c r="A2668">
        <v>1986</v>
      </c>
      <c r="B2668">
        <v>5</v>
      </c>
      <c r="C2668">
        <v>19</v>
      </c>
      <c r="D2668">
        <v>0.72322201985569434</v>
      </c>
      <c r="E2668">
        <v>1.5200000000000102E-2</v>
      </c>
      <c r="F2668">
        <f t="shared" si="69"/>
        <v>1.0992974701806628E-2</v>
      </c>
      <c r="M2668" s="31"/>
    </row>
    <row r="2669" spans="1:13" x14ac:dyDescent="0.3">
      <c r="A2669">
        <v>1986</v>
      </c>
      <c r="B2669">
        <v>5</v>
      </c>
      <c r="C2669">
        <v>18</v>
      </c>
      <c r="D2669">
        <v>0.72176731711456543</v>
      </c>
      <c r="E2669">
        <v>1.5200000000000102E-2</v>
      </c>
      <c r="F2669">
        <f t="shared" si="69"/>
        <v>1.0970863220141468E-2</v>
      </c>
      <c r="M2669" s="31"/>
    </row>
    <row r="2670" spans="1:13" x14ac:dyDescent="0.3">
      <c r="A2670">
        <v>1986</v>
      </c>
      <c r="B2670">
        <v>5</v>
      </c>
      <c r="C2670">
        <v>16</v>
      </c>
      <c r="D2670">
        <v>0.72179820741509892</v>
      </c>
      <c r="E2670">
        <v>1.5200000000000102E-2</v>
      </c>
      <c r="F2670">
        <f t="shared" si="69"/>
        <v>1.0971332752709577E-2</v>
      </c>
      <c r="M2670" s="31"/>
    </row>
    <row r="2671" spans="1:13" x14ac:dyDescent="0.3">
      <c r="A2671">
        <v>1986</v>
      </c>
      <c r="B2671">
        <v>5</v>
      </c>
      <c r="C2671">
        <v>15</v>
      </c>
      <c r="D2671">
        <v>0.72345011738921161</v>
      </c>
      <c r="E2671">
        <v>1.5200000000000102E-2</v>
      </c>
      <c r="F2671">
        <f t="shared" si="69"/>
        <v>1.099644178431609E-2</v>
      </c>
      <c r="M2671" s="31"/>
    </row>
    <row r="2672" spans="1:13" x14ac:dyDescent="0.3">
      <c r="A2672">
        <v>1986</v>
      </c>
      <c r="B2672">
        <v>5</v>
      </c>
      <c r="C2672">
        <v>14</v>
      </c>
      <c r="D2672">
        <v>0.72564368241118837</v>
      </c>
      <c r="E2672">
        <v>1.5200000000000102E-2</v>
      </c>
      <c r="F2672">
        <f t="shared" si="69"/>
        <v>1.1029783972650137E-2</v>
      </c>
      <c r="M2672" s="31"/>
    </row>
    <row r="2673" spans="1:13" x14ac:dyDescent="0.3">
      <c r="A2673">
        <v>1986</v>
      </c>
      <c r="B2673">
        <v>5</v>
      </c>
      <c r="C2673">
        <v>13</v>
      </c>
      <c r="D2673">
        <v>0.73081755900515999</v>
      </c>
      <c r="E2673">
        <v>1.5200000000000102E-2</v>
      </c>
      <c r="F2673">
        <f t="shared" si="69"/>
        <v>1.1108426896878507E-2</v>
      </c>
      <c r="M2673" s="31"/>
    </row>
    <row r="2674" spans="1:13" x14ac:dyDescent="0.3">
      <c r="A2674">
        <v>1986</v>
      </c>
      <c r="B2674">
        <v>5</v>
      </c>
      <c r="C2674">
        <v>11</v>
      </c>
      <c r="D2674">
        <v>0.7388512392167369</v>
      </c>
      <c r="E2674">
        <v>1.5200000000000102E-2</v>
      </c>
      <c r="F2674">
        <f t="shared" si="69"/>
        <v>1.1230538836094477E-2</v>
      </c>
      <c r="M2674" s="31"/>
    </row>
    <row r="2675" spans="1:13" x14ac:dyDescent="0.3">
      <c r="A2675">
        <v>1986</v>
      </c>
      <c r="B2675">
        <v>5</v>
      </c>
      <c r="C2675">
        <v>10</v>
      </c>
      <c r="D2675">
        <v>0.74786058667913113</v>
      </c>
      <c r="E2675">
        <v>1.5200000000000102E-2</v>
      </c>
      <c r="F2675">
        <f t="shared" si="69"/>
        <v>1.1367480917522869E-2</v>
      </c>
      <c r="M2675" s="31"/>
    </row>
    <row r="2676" spans="1:13" x14ac:dyDescent="0.3">
      <c r="A2676">
        <v>1986</v>
      </c>
      <c r="B2676">
        <v>5</v>
      </c>
      <c r="C2676">
        <v>9</v>
      </c>
      <c r="D2676">
        <v>0.75375598789189924</v>
      </c>
      <c r="E2676">
        <v>1.5200000000000102E-2</v>
      </c>
      <c r="F2676">
        <f t="shared" si="69"/>
        <v>1.1457091015956945E-2</v>
      </c>
      <c r="M2676" s="31"/>
    </row>
    <row r="2677" spans="1:13" x14ac:dyDescent="0.3">
      <c r="A2677">
        <v>1986</v>
      </c>
      <c r="B2677">
        <v>5</v>
      </c>
      <c r="C2677">
        <v>8</v>
      </c>
      <c r="D2677">
        <v>0.75337873585446291</v>
      </c>
      <c r="E2677">
        <v>1.5200000000000102E-2</v>
      </c>
      <c r="F2677">
        <f t="shared" si="69"/>
        <v>1.1451356784987913E-2</v>
      </c>
      <c r="M2677" s="31"/>
    </row>
    <row r="2678" spans="1:13" x14ac:dyDescent="0.3">
      <c r="A2678">
        <v>1986</v>
      </c>
      <c r="B2678">
        <v>5</v>
      </c>
      <c r="C2678">
        <v>6</v>
      </c>
      <c r="D2678">
        <v>0.74496061232219912</v>
      </c>
      <c r="E2678">
        <v>1.5200000000000102E-2</v>
      </c>
      <c r="F2678">
        <f t="shared" si="69"/>
        <v>1.1323401307297504E-2</v>
      </c>
      <c r="M2678" s="31"/>
    </row>
    <row r="2679" spans="1:13" x14ac:dyDescent="0.3">
      <c r="A2679">
        <v>1986</v>
      </c>
      <c r="B2679">
        <v>5</v>
      </c>
      <c r="C2679">
        <v>5</v>
      </c>
      <c r="D2679">
        <v>0.73046322291722132</v>
      </c>
      <c r="E2679">
        <v>1.5200000000000102E-2</v>
      </c>
      <c r="F2679">
        <f t="shared" si="69"/>
        <v>1.1103040988341839E-2</v>
      </c>
      <c r="M2679" s="31"/>
    </row>
    <row r="2680" spans="1:13" x14ac:dyDescent="0.3">
      <c r="A2680">
        <v>1986</v>
      </c>
      <c r="B2680">
        <v>5</v>
      </c>
      <c r="C2680">
        <v>4</v>
      </c>
      <c r="D2680">
        <v>0.71199400333059537</v>
      </c>
      <c r="E2680">
        <v>1.5200000000000102E-2</v>
      </c>
      <c r="F2680">
        <f t="shared" si="69"/>
        <v>1.0822308850625122E-2</v>
      </c>
      <c r="M2680" s="31"/>
    </row>
    <row r="2681" spans="1:13" x14ac:dyDescent="0.3">
      <c r="A2681">
        <v>1986</v>
      </c>
      <c r="B2681">
        <v>5</v>
      </c>
      <c r="C2681">
        <v>3</v>
      </c>
      <c r="D2681">
        <v>0.69297163020690977</v>
      </c>
      <c r="E2681">
        <v>1.5200000000000102E-2</v>
      </c>
      <c r="F2681">
        <f t="shared" si="69"/>
        <v>1.05331687791451E-2</v>
      </c>
      <c r="M2681" s="31"/>
    </row>
    <row r="2682" spans="1:13" x14ac:dyDescent="0.3">
      <c r="A2682">
        <v>1986</v>
      </c>
      <c r="B2682">
        <v>5</v>
      </c>
      <c r="C2682">
        <v>1</v>
      </c>
      <c r="D2682">
        <v>0.67699883597777255</v>
      </c>
      <c r="E2682">
        <v>1.5200000000000102E-2</v>
      </c>
      <c r="F2682">
        <f t="shared" si="69"/>
        <v>1.0290382306862212E-2</v>
      </c>
      <c r="M2682" s="31"/>
    </row>
    <row r="2683" spans="1:13" x14ac:dyDescent="0.3">
      <c r="A2683">
        <v>1986</v>
      </c>
      <c r="B2683">
        <v>4</v>
      </c>
      <c r="C2683">
        <v>30</v>
      </c>
      <c r="D2683">
        <v>0.66442386247443941</v>
      </c>
      <c r="E2683">
        <v>1.5200000000000102E-2</v>
      </c>
      <c r="F2683">
        <f t="shared" si="69"/>
        <v>1.0099242709611546E-2</v>
      </c>
      <c r="M2683" s="31"/>
    </row>
    <row r="2684" spans="1:13" x14ac:dyDescent="0.3">
      <c r="A2684">
        <v>1986</v>
      </c>
      <c r="B2684">
        <v>4</v>
      </c>
      <c r="C2684">
        <v>29</v>
      </c>
      <c r="D2684">
        <v>0.65546602342482274</v>
      </c>
      <c r="E2684">
        <v>1.5200000000000102E-2</v>
      </c>
      <c r="F2684">
        <f t="shared" si="69"/>
        <v>9.9630835560573731E-3</v>
      </c>
      <c r="M2684" s="31"/>
    </row>
    <row r="2685" spans="1:13" x14ac:dyDescent="0.3">
      <c r="A2685">
        <v>1986</v>
      </c>
      <c r="B2685">
        <v>4</v>
      </c>
      <c r="C2685">
        <v>28</v>
      </c>
      <c r="D2685">
        <v>0.6502217625200587</v>
      </c>
      <c r="E2685">
        <v>1.5200000000000102E-2</v>
      </c>
      <c r="F2685">
        <f t="shared" si="69"/>
        <v>9.8833707903049593E-3</v>
      </c>
      <c r="M2685" s="31"/>
    </row>
    <row r="2686" spans="1:13" x14ac:dyDescent="0.3">
      <c r="A2686">
        <v>1986</v>
      </c>
      <c r="B2686">
        <v>4</v>
      </c>
      <c r="C2686">
        <v>26</v>
      </c>
      <c r="D2686">
        <v>0.6490645962186653</v>
      </c>
      <c r="E2686">
        <v>1.5200000000000102E-2</v>
      </c>
      <c r="F2686">
        <f t="shared" si="69"/>
        <v>9.8657818625237786E-3</v>
      </c>
      <c r="M2686" s="31"/>
    </row>
    <row r="2687" spans="1:13" x14ac:dyDescent="0.3">
      <c r="A2687">
        <v>1986</v>
      </c>
      <c r="B2687">
        <v>4</v>
      </c>
      <c r="C2687">
        <v>25</v>
      </c>
      <c r="D2687">
        <v>0.6488292336092133</v>
      </c>
      <c r="E2687">
        <v>1.5200000000000102E-2</v>
      </c>
      <c r="F2687">
        <f t="shared" si="69"/>
        <v>9.8622043508601077E-3</v>
      </c>
      <c r="M2687" s="31"/>
    </row>
    <row r="2688" spans="1:13" x14ac:dyDescent="0.3">
      <c r="A2688">
        <v>1986</v>
      </c>
      <c r="B2688">
        <v>4</v>
      </c>
      <c r="C2688">
        <v>24</v>
      </c>
      <c r="D2688">
        <v>0.64964696309320025</v>
      </c>
      <c r="E2688">
        <v>1.5200000000000102E-2</v>
      </c>
      <c r="F2688">
        <f t="shared" si="69"/>
        <v>9.874633839016711E-3</v>
      </c>
      <c r="M2688" s="31"/>
    </row>
    <row r="2689" spans="1:13" x14ac:dyDescent="0.3">
      <c r="A2689">
        <v>1986</v>
      </c>
      <c r="B2689">
        <v>4</v>
      </c>
      <c r="C2689">
        <v>23</v>
      </c>
      <c r="D2689">
        <v>0.64954333904341266</v>
      </c>
      <c r="E2689">
        <v>1.5200000000000102E-2</v>
      </c>
      <c r="F2689">
        <f t="shared" si="69"/>
        <v>9.8730587534599391E-3</v>
      </c>
      <c r="M2689" s="31"/>
    </row>
    <row r="2690" spans="1:13" x14ac:dyDescent="0.3">
      <c r="A2690">
        <v>1986</v>
      </c>
      <c r="B2690">
        <v>4</v>
      </c>
      <c r="C2690">
        <v>21</v>
      </c>
      <c r="D2690">
        <v>0.64930792740077115</v>
      </c>
      <c r="E2690">
        <v>1.5200000000000102E-2</v>
      </c>
      <c r="F2690">
        <f t="shared" si="69"/>
        <v>9.8694804964917886E-3</v>
      </c>
      <c r="M2690" s="31"/>
    </row>
    <row r="2691" spans="1:13" x14ac:dyDescent="0.3">
      <c r="A2691">
        <v>1986</v>
      </c>
      <c r="B2691">
        <v>4</v>
      </c>
      <c r="C2691">
        <v>20</v>
      </c>
      <c r="D2691">
        <v>0.64683569737607394</v>
      </c>
      <c r="E2691">
        <v>1.5200000000000102E-2</v>
      </c>
      <c r="F2691">
        <f t="shared" ref="F2691:F2754" si="70">D2691*E2691</f>
        <v>9.8319026001163906E-3</v>
      </c>
      <c r="M2691" s="31"/>
    </row>
    <row r="2692" spans="1:13" x14ac:dyDescent="0.3">
      <c r="A2692">
        <v>1986</v>
      </c>
      <c r="B2692">
        <v>4</v>
      </c>
      <c r="C2692">
        <v>19</v>
      </c>
      <c r="D2692">
        <v>0.64357716109208962</v>
      </c>
      <c r="E2692">
        <v>1.5200000000000102E-2</v>
      </c>
      <c r="F2692">
        <f t="shared" si="70"/>
        <v>9.7823728485998285E-3</v>
      </c>
      <c r="M2692" s="31"/>
    </row>
    <row r="2693" spans="1:13" x14ac:dyDescent="0.3">
      <c r="A2693">
        <v>1986</v>
      </c>
      <c r="B2693">
        <v>4</v>
      </c>
      <c r="C2693">
        <v>18</v>
      </c>
      <c r="D2693">
        <v>0.63966615213022626</v>
      </c>
      <c r="E2693">
        <v>1.5200000000000102E-2</v>
      </c>
      <c r="F2693">
        <f t="shared" si="70"/>
        <v>9.7229255123795055E-3</v>
      </c>
      <c r="M2693" s="31"/>
    </row>
    <row r="2694" spans="1:13" x14ac:dyDescent="0.3">
      <c r="A2694">
        <v>1986</v>
      </c>
      <c r="B2694">
        <v>4</v>
      </c>
      <c r="C2694">
        <v>16</v>
      </c>
      <c r="D2694">
        <v>0.63615379247900505</v>
      </c>
      <c r="E2694">
        <v>1.5200000000000102E-2</v>
      </c>
      <c r="F2694">
        <f t="shared" si="70"/>
        <v>9.6695376456809416E-3</v>
      </c>
      <c r="M2694" s="31"/>
    </row>
    <row r="2695" spans="1:13" x14ac:dyDescent="0.3">
      <c r="A2695">
        <v>1986</v>
      </c>
      <c r="B2695">
        <v>4</v>
      </c>
      <c r="C2695">
        <v>15</v>
      </c>
      <c r="D2695">
        <v>0.6322534267903166</v>
      </c>
      <c r="E2695">
        <v>1.5200000000000102E-2</v>
      </c>
      <c r="F2695">
        <f t="shared" si="70"/>
        <v>9.6102520872128772E-3</v>
      </c>
      <c r="M2695" s="31"/>
    </row>
    <row r="2696" spans="1:13" x14ac:dyDescent="0.3">
      <c r="A2696">
        <v>1986</v>
      </c>
      <c r="B2696">
        <v>4</v>
      </c>
      <c r="C2696">
        <v>14</v>
      </c>
      <c r="D2696">
        <v>0.62822829083971121</v>
      </c>
      <c r="E2696">
        <v>1.5200000000000102E-2</v>
      </c>
      <c r="F2696">
        <f t="shared" si="70"/>
        <v>9.5490700207636753E-3</v>
      </c>
      <c r="M2696" s="31"/>
    </row>
    <row r="2697" spans="1:13" x14ac:dyDescent="0.3">
      <c r="A2697">
        <v>1986</v>
      </c>
      <c r="B2697">
        <v>4</v>
      </c>
      <c r="C2697">
        <v>13</v>
      </c>
      <c r="D2697">
        <v>0.62355691111129408</v>
      </c>
      <c r="E2697">
        <v>1.5200000000000102E-2</v>
      </c>
      <c r="F2697">
        <f t="shared" si="70"/>
        <v>9.4780650488917335E-3</v>
      </c>
      <c r="M2697" s="31"/>
    </row>
    <row r="2698" spans="1:13" x14ac:dyDescent="0.3">
      <c r="A2698">
        <v>1986</v>
      </c>
      <c r="B2698">
        <v>4</v>
      </c>
      <c r="C2698">
        <v>11</v>
      </c>
      <c r="D2698">
        <v>0.61915469589218453</v>
      </c>
      <c r="E2698">
        <v>1.5200000000000102E-2</v>
      </c>
      <c r="F2698">
        <f t="shared" si="70"/>
        <v>9.4111513775612683E-3</v>
      </c>
      <c r="M2698" s="31"/>
    </row>
    <row r="2699" spans="1:13" x14ac:dyDescent="0.3">
      <c r="A2699">
        <v>1986</v>
      </c>
      <c r="B2699">
        <v>4</v>
      </c>
      <c r="C2699">
        <v>10</v>
      </c>
      <c r="D2699">
        <v>0.61501966320013213</v>
      </c>
      <c r="E2699">
        <v>1.5200000000000102E-2</v>
      </c>
      <c r="F2699">
        <f t="shared" si="70"/>
        <v>9.3482988806420711E-3</v>
      </c>
      <c r="M2699" s="31"/>
    </row>
    <row r="2700" spans="1:13" x14ac:dyDescent="0.3">
      <c r="A2700">
        <v>1986</v>
      </c>
      <c r="B2700">
        <v>4</v>
      </c>
      <c r="C2700">
        <v>9</v>
      </c>
      <c r="D2700">
        <v>0.6127079605252661</v>
      </c>
      <c r="E2700">
        <v>1.5200000000000102E-2</v>
      </c>
      <c r="F2700">
        <f t="shared" si="70"/>
        <v>9.3131609999841068E-3</v>
      </c>
      <c r="M2700" s="31"/>
    </row>
    <row r="2701" spans="1:13" x14ac:dyDescent="0.3">
      <c r="A2701">
        <v>1986</v>
      </c>
      <c r="B2701">
        <v>4</v>
      </c>
      <c r="C2701">
        <v>7</v>
      </c>
      <c r="D2701">
        <v>0.61494229018763158</v>
      </c>
      <c r="E2701">
        <v>1.5200000000000102E-2</v>
      </c>
      <c r="F2701">
        <f t="shared" si="70"/>
        <v>9.3471228108520637E-3</v>
      </c>
      <c r="M2701" s="31"/>
    </row>
    <row r="2702" spans="1:13" x14ac:dyDescent="0.3">
      <c r="A2702">
        <v>1986</v>
      </c>
      <c r="B2702">
        <v>4</v>
      </c>
      <c r="C2702">
        <v>6</v>
      </c>
      <c r="D2702">
        <v>0.62277828000607682</v>
      </c>
      <c r="E2702">
        <v>1.5200000000000102E-2</v>
      </c>
      <c r="F2702">
        <f t="shared" si="70"/>
        <v>9.4662298560924309E-3</v>
      </c>
      <c r="M2702" s="31"/>
    </row>
    <row r="2703" spans="1:13" x14ac:dyDescent="0.3">
      <c r="A2703">
        <v>1986</v>
      </c>
      <c r="B2703">
        <v>4</v>
      </c>
      <c r="C2703">
        <v>5</v>
      </c>
      <c r="D2703">
        <v>0.63417194790565345</v>
      </c>
      <c r="E2703">
        <v>1.5200000000000102E-2</v>
      </c>
      <c r="F2703">
        <f t="shared" si="70"/>
        <v>9.6394136081659979E-3</v>
      </c>
      <c r="M2703" s="31"/>
    </row>
    <row r="2704" spans="1:13" x14ac:dyDescent="0.3">
      <c r="A2704">
        <v>1986</v>
      </c>
      <c r="B2704">
        <v>4</v>
      </c>
      <c r="C2704">
        <v>4</v>
      </c>
      <c r="D2704">
        <v>0.64969720027367661</v>
      </c>
      <c r="E2704">
        <v>1.5200000000000102E-2</v>
      </c>
      <c r="F2704">
        <f t="shared" si="70"/>
        <v>9.8753974441599512E-3</v>
      </c>
      <c r="M2704" s="31"/>
    </row>
    <row r="2705" spans="1:13" x14ac:dyDescent="0.3">
      <c r="A2705">
        <v>1986</v>
      </c>
      <c r="B2705">
        <v>4</v>
      </c>
      <c r="C2705">
        <v>2</v>
      </c>
      <c r="D2705">
        <v>0.6670383942486553</v>
      </c>
      <c r="E2705">
        <v>1.5200000000000102E-2</v>
      </c>
      <c r="F2705">
        <f t="shared" si="70"/>
        <v>1.0138983592579628E-2</v>
      </c>
      <c r="M2705" s="31"/>
    </row>
    <row r="2706" spans="1:13" x14ac:dyDescent="0.3">
      <c r="A2706">
        <v>1986</v>
      </c>
      <c r="B2706">
        <v>4</v>
      </c>
      <c r="C2706">
        <v>1</v>
      </c>
      <c r="D2706">
        <v>0.6859598556803187</v>
      </c>
      <c r="E2706">
        <v>1.5200000000000102E-2</v>
      </c>
      <c r="F2706">
        <f t="shared" si="70"/>
        <v>1.0426589806340914E-2</v>
      </c>
      <c r="M2706" s="31"/>
    </row>
    <row r="2707" spans="1:13" x14ac:dyDescent="0.3">
      <c r="A2707">
        <v>1986</v>
      </c>
      <c r="B2707">
        <v>3</v>
      </c>
      <c r="C2707">
        <v>31</v>
      </c>
      <c r="D2707">
        <v>0.70595264744331576</v>
      </c>
      <c r="E2707">
        <v>1.5200000000000102E-2</v>
      </c>
      <c r="F2707">
        <f t="shared" si="70"/>
        <v>1.0730480241138473E-2</v>
      </c>
      <c r="M2707" s="31"/>
    </row>
    <row r="2708" spans="1:13" x14ac:dyDescent="0.3">
      <c r="A2708">
        <v>1986</v>
      </c>
      <c r="B2708">
        <v>3</v>
      </c>
      <c r="C2708">
        <v>30</v>
      </c>
      <c r="D2708">
        <v>0.72703429247074636</v>
      </c>
      <c r="E2708">
        <v>1.5200000000000102E-2</v>
      </c>
      <c r="F2708">
        <f t="shared" si="70"/>
        <v>1.105092124555542E-2</v>
      </c>
      <c r="M2708" s="31"/>
    </row>
    <row r="2709" spans="1:13" x14ac:dyDescent="0.3">
      <c r="A2709">
        <v>1986</v>
      </c>
      <c r="B2709">
        <v>3</v>
      </c>
      <c r="C2709">
        <v>28</v>
      </c>
      <c r="D2709">
        <v>0.74704117454176622</v>
      </c>
      <c r="E2709">
        <v>1.5200000000000102E-2</v>
      </c>
      <c r="F2709">
        <f t="shared" si="70"/>
        <v>1.1355025853034923E-2</v>
      </c>
      <c r="M2709" s="31"/>
    </row>
    <row r="2710" spans="1:13" x14ac:dyDescent="0.3">
      <c r="A2710">
        <v>1986</v>
      </c>
      <c r="B2710">
        <v>3</v>
      </c>
      <c r="C2710">
        <v>27</v>
      </c>
      <c r="D2710">
        <v>0.76622086446233517</v>
      </c>
      <c r="E2710">
        <v>1.5200000000000102E-2</v>
      </c>
      <c r="F2710">
        <f t="shared" si="70"/>
        <v>1.1646557139827573E-2</v>
      </c>
      <c r="M2710" s="31"/>
    </row>
    <row r="2711" spans="1:13" x14ac:dyDescent="0.3">
      <c r="A2711">
        <v>1986</v>
      </c>
      <c r="B2711">
        <v>3</v>
      </c>
      <c r="C2711">
        <v>26</v>
      </c>
      <c r="D2711">
        <v>0.78317465204730308</v>
      </c>
      <c r="E2711">
        <v>1.5200000000000102E-2</v>
      </c>
      <c r="F2711">
        <f t="shared" si="70"/>
        <v>1.1904254711119087E-2</v>
      </c>
      <c r="M2711" s="31"/>
    </row>
    <row r="2712" spans="1:13" x14ac:dyDescent="0.3">
      <c r="A2712">
        <v>1986</v>
      </c>
      <c r="B2712">
        <v>3</v>
      </c>
      <c r="C2712">
        <v>25</v>
      </c>
      <c r="D2712">
        <v>0.79855617366400133</v>
      </c>
      <c r="E2712">
        <v>1.5200000000000102E-2</v>
      </c>
      <c r="F2712">
        <f t="shared" si="70"/>
        <v>1.2138053839692901E-2</v>
      </c>
      <c r="M2712" s="31"/>
    </row>
    <row r="2713" spans="1:13" x14ac:dyDescent="0.3">
      <c r="A2713">
        <v>1986</v>
      </c>
      <c r="B2713">
        <v>3</v>
      </c>
      <c r="C2713">
        <v>23</v>
      </c>
      <c r="D2713">
        <v>0.81261946527347695</v>
      </c>
      <c r="E2713">
        <v>1.5200000000000102E-2</v>
      </c>
      <c r="F2713">
        <f t="shared" si="70"/>
        <v>1.2351815872156932E-2</v>
      </c>
      <c r="M2713" s="31"/>
    </row>
    <row r="2714" spans="1:13" x14ac:dyDescent="0.3">
      <c r="A2714">
        <v>1986</v>
      </c>
      <c r="B2714">
        <v>3</v>
      </c>
      <c r="C2714">
        <v>22</v>
      </c>
      <c r="D2714">
        <v>0.82576494579674087</v>
      </c>
      <c r="E2714">
        <v>1.5200000000000102E-2</v>
      </c>
      <c r="F2714">
        <f t="shared" si="70"/>
        <v>1.2551627176110546E-2</v>
      </c>
      <c r="M2714" s="31"/>
    </row>
    <row r="2715" spans="1:13" x14ac:dyDescent="0.3">
      <c r="A2715">
        <v>1986</v>
      </c>
      <c r="B2715">
        <v>3</v>
      </c>
      <c r="C2715">
        <v>21</v>
      </c>
      <c r="D2715">
        <v>0.83896315520655973</v>
      </c>
      <c r="E2715">
        <v>1.5200000000000102E-2</v>
      </c>
      <c r="F2715">
        <f t="shared" si="70"/>
        <v>1.2752239959139794E-2</v>
      </c>
      <c r="M2715" s="31"/>
    </row>
    <row r="2716" spans="1:13" x14ac:dyDescent="0.3">
      <c r="A2716">
        <v>1986</v>
      </c>
      <c r="B2716">
        <v>3</v>
      </c>
      <c r="C2716">
        <v>20</v>
      </c>
      <c r="D2716">
        <v>0.85249494363511236</v>
      </c>
      <c r="E2716">
        <v>1.5200000000000102E-2</v>
      </c>
      <c r="F2716">
        <f t="shared" si="70"/>
        <v>1.2957923143253796E-2</v>
      </c>
      <c r="M2716" s="31"/>
    </row>
    <row r="2717" spans="1:13" x14ac:dyDescent="0.3">
      <c r="A2717">
        <v>1986</v>
      </c>
      <c r="B2717">
        <v>3</v>
      </c>
      <c r="C2717">
        <v>18</v>
      </c>
      <c r="D2717">
        <v>0.86721195401604478</v>
      </c>
      <c r="E2717">
        <v>1.5200000000000102E-2</v>
      </c>
      <c r="F2717">
        <f t="shared" si="70"/>
        <v>1.3181621701043969E-2</v>
      </c>
      <c r="M2717" s="31"/>
    </row>
    <row r="2718" spans="1:13" x14ac:dyDescent="0.3">
      <c r="A2718">
        <v>1986</v>
      </c>
      <c r="B2718">
        <v>3</v>
      </c>
      <c r="C2718">
        <v>17</v>
      </c>
      <c r="D2718">
        <v>0.88327021667534744</v>
      </c>
      <c r="E2718">
        <v>1.5200000000000102E-2</v>
      </c>
      <c r="F2718">
        <f t="shared" si="70"/>
        <v>1.3425707293465372E-2</v>
      </c>
      <c r="M2718" s="31"/>
    </row>
    <row r="2719" spans="1:13" x14ac:dyDescent="0.3">
      <c r="A2719">
        <v>1986</v>
      </c>
      <c r="B2719">
        <v>3</v>
      </c>
      <c r="C2719">
        <v>16</v>
      </c>
      <c r="D2719">
        <v>0.90054348838546816</v>
      </c>
      <c r="E2719">
        <v>1.5200000000000102E-2</v>
      </c>
      <c r="F2719">
        <f t="shared" si="70"/>
        <v>1.3688261023459209E-2</v>
      </c>
      <c r="M2719" s="31"/>
    </row>
    <row r="2720" spans="1:13" x14ac:dyDescent="0.3">
      <c r="A2720">
        <v>1986</v>
      </c>
      <c r="B2720">
        <v>3</v>
      </c>
      <c r="C2720">
        <v>15</v>
      </c>
      <c r="D2720">
        <v>0.91890367881475699</v>
      </c>
      <c r="E2720">
        <v>1.5200000000000102E-2</v>
      </c>
      <c r="F2720">
        <f t="shared" si="70"/>
        <v>1.3967335917984399E-2</v>
      </c>
      <c r="M2720" s="31"/>
    </row>
    <row r="2721" spans="1:13" x14ac:dyDescent="0.3">
      <c r="A2721">
        <v>1986</v>
      </c>
      <c r="B2721">
        <v>3</v>
      </c>
      <c r="C2721">
        <v>13</v>
      </c>
      <c r="D2721">
        <v>0.93562564780275725</v>
      </c>
      <c r="E2721">
        <v>1.5200000000000102E-2</v>
      </c>
      <c r="F2721">
        <f t="shared" si="70"/>
        <v>1.4221509846602006E-2</v>
      </c>
      <c r="M2721" s="31"/>
    </row>
    <row r="2722" spans="1:13" x14ac:dyDescent="0.3">
      <c r="A2722">
        <v>1986</v>
      </c>
      <c r="B2722">
        <v>3</v>
      </c>
      <c r="C2722">
        <v>12</v>
      </c>
      <c r="D2722">
        <v>0.9482263421430589</v>
      </c>
      <c r="E2722">
        <v>1.5200000000000102E-2</v>
      </c>
      <c r="F2722">
        <f t="shared" si="70"/>
        <v>1.4413040400574593E-2</v>
      </c>
      <c r="M2722" s="31"/>
    </row>
    <row r="2723" spans="1:13" x14ac:dyDescent="0.3">
      <c r="A2723">
        <v>1986</v>
      </c>
      <c r="B2723">
        <v>3</v>
      </c>
      <c r="C2723">
        <v>11</v>
      </c>
      <c r="D2723">
        <v>0.9526077007989362</v>
      </c>
      <c r="E2723">
        <v>1.5200000000000102E-2</v>
      </c>
      <c r="F2723">
        <f t="shared" si="70"/>
        <v>1.4479637052143928E-2</v>
      </c>
      <c r="M2723" s="31"/>
    </row>
    <row r="2724" spans="1:13" x14ac:dyDescent="0.3">
      <c r="A2724">
        <v>1986</v>
      </c>
      <c r="B2724">
        <v>3</v>
      </c>
      <c r="C2724">
        <v>10</v>
      </c>
      <c r="D2724">
        <v>0.94917525427765692</v>
      </c>
      <c r="E2724">
        <v>1.5200000000000102E-2</v>
      </c>
      <c r="F2724">
        <f t="shared" si="70"/>
        <v>1.4427463865020482E-2</v>
      </c>
      <c r="M2724" s="31"/>
    </row>
    <row r="2725" spans="1:13" x14ac:dyDescent="0.3">
      <c r="A2725">
        <v>1986</v>
      </c>
      <c r="B2725">
        <v>3</v>
      </c>
      <c r="C2725">
        <v>8</v>
      </c>
      <c r="D2725">
        <v>0.93794904212648533</v>
      </c>
      <c r="E2725">
        <v>1.5200000000000102E-2</v>
      </c>
      <c r="F2725">
        <f t="shared" si="70"/>
        <v>1.4256825440322673E-2</v>
      </c>
      <c r="M2725" s="31"/>
    </row>
    <row r="2726" spans="1:13" x14ac:dyDescent="0.3">
      <c r="A2726">
        <v>1986</v>
      </c>
      <c r="B2726">
        <v>3</v>
      </c>
      <c r="C2726">
        <v>7</v>
      </c>
      <c r="D2726">
        <v>0.91928388248638337</v>
      </c>
      <c r="E2726">
        <v>1.5200000000000102E-2</v>
      </c>
      <c r="F2726">
        <f t="shared" si="70"/>
        <v>1.3973115013793121E-2</v>
      </c>
      <c r="M2726" s="31"/>
    </row>
    <row r="2727" spans="1:13" x14ac:dyDescent="0.3">
      <c r="A2727">
        <v>1986</v>
      </c>
      <c r="B2727">
        <v>3</v>
      </c>
      <c r="C2727">
        <v>6</v>
      </c>
      <c r="D2727">
        <v>0.89428859893408486</v>
      </c>
      <c r="E2727">
        <v>1.5200000000000102E-2</v>
      </c>
      <c r="F2727">
        <f t="shared" si="70"/>
        <v>1.3593186703798181E-2</v>
      </c>
      <c r="M2727" s="31"/>
    </row>
    <row r="2728" spans="1:13" x14ac:dyDescent="0.3">
      <c r="A2728">
        <v>1986</v>
      </c>
      <c r="B2728">
        <v>3</v>
      </c>
      <c r="C2728">
        <v>5</v>
      </c>
      <c r="D2728">
        <v>0.86988670376346966</v>
      </c>
      <c r="E2728">
        <v>1.5200000000000102E-2</v>
      </c>
      <c r="F2728">
        <f t="shared" si="70"/>
        <v>1.3222277897204827E-2</v>
      </c>
      <c r="M2728" s="31"/>
    </row>
    <row r="2729" spans="1:13" x14ac:dyDescent="0.3">
      <c r="A2729">
        <v>1986</v>
      </c>
      <c r="B2729">
        <v>3</v>
      </c>
      <c r="C2729">
        <v>3</v>
      </c>
      <c r="D2729">
        <v>0.84747870493705513</v>
      </c>
      <c r="E2729">
        <v>1.5200000000000102E-2</v>
      </c>
      <c r="F2729">
        <f t="shared" si="70"/>
        <v>1.2881676315043325E-2</v>
      </c>
      <c r="M2729" s="31"/>
    </row>
    <row r="2730" spans="1:13" x14ac:dyDescent="0.3">
      <c r="A2730">
        <v>1986</v>
      </c>
      <c r="B2730">
        <v>3</v>
      </c>
      <c r="C2730">
        <v>2</v>
      </c>
      <c r="D2730">
        <v>0.82871029945465535</v>
      </c>
      <c r="E2730">
        <v>1.5200000000000102E-2</v>
      </c>
      <c r="F2730">
        <f t="shared" si="70"/>
        <v>1.2596396551710846E-2</v>
      </c>
      <c r="M2730" s="31"/>
    </row>
    <row r="2731" spans="1:13" x14ac:dyDescent="0.3">
      <c r="A2731">
        <v>1986</v>
      </c>
      <c r="B2731">
        <v>3</v>
      </c>
      <c r="C2731">
        <v>1</v>
      </c>
      <c r="D2731">
        <v>0.81784727615859187</v>
      </c>
      <c r="E2731">
        <v>1.5200000000000102E-2</v>
      </c>
      <c r="F2731">
        <f t="shared" si="70"/>
        <v>1.243127859761068E-2</v>
      </c>
      <c r="M2731" s="31"/>
    </row>
    <row r="2732" spans="1:13" x14ac:dyDescent="0.3">
      <c r="A2732">
        <v>1986</v>
      </c>
      <c r="B2732">
        <v>2</v>
      </c>
      <c r="C2732">
        <v>28</v>
      </c>
      <c r="D2732">
        <v>0.81439672491057269</v>
      </c>
      <c r="E2732">
        <v>1.5200000000000102E-2</v>
      </c>
      <c r="F2732">
        <f t="shared" si="70"/>
        <v>1.2378830218640788E-2</v>
      </c>
      <c r="M2732" s="31"/>
    </row>
    <row r="2733" spans="1:13" x14ac:dyDescent="0.3">
      <c r="A2733">
        <v>1986</v>
      </c>
      <c r="B2733">
        <v>2</v>
      </c>
      <c r="C2733">
        <v>17</v>
      </c>
      <c r="D2733">
        <v>0.81680190831562005</v>
      </c>
      <c r="E2733">
        <v>1.5200000000000102E-2</v>
      </c>
      <c r="F2733">
        <f t="shared" si="70"/>
        <v>1.2415389006397508E-2</v>
      </c>
      <c r="M2733" s="31"/>
    </row>
    <row r="2734" spans="1:13" x14ac:dyDescent="0.3">
      <c r="A2734">
        <v>1986</v>
      </c>
      <c r="B2734">
        <v>2</v>
      </c>
      <c r="C2734">
        <v>7</v>
      </c>
      <c r="D2734">
        <v>0.82423743855925191</v>
      </c>
      <c r="E2734">
        <v>1.5200000000000102E-2</v>
      </c>
      <c r="F2734">
        <f t="shared" si="70"/>
        <v>1.2528409066100714E-2</v>
      </c>
      <c r="M2734" s="31"/>
    </row>
    <row r="2735" spans="1:13" x14ac:dyDescent="0.3">
      <c r="A2735">
        <v>1986</v>
      </c>
      <c r="B2735">
        <v>1</v>
      </c>
      <c r="C2735">
        <v>28</v>
      </c>
      <c r="D2735">
        <v>0.83448758171657755</v>
      </c>
      <c r="E2735">
        <v>1.5200000000000102E-2</v>
      </c>
      <c r="F2735">
        <f t="shared" si="70"/>
        <v>1.2684211242092064E-2</v>
      </c>
      <c r="M2735" s="31"/>
    </row>
    <row r="2736" spans="1:13" x14ac:dyDescent="0.3">
      <c r="A2736">
        <v>1986</v>
      </c>
      <c r="B2736">
        <v>1</v>
      </c>
      <c r="C2736">
        <v>18</v>
      </c>
      <c r="D2736">
        <v>0.8446234464626875</v>
      </c>
      <c r="E2736">
        <v>1.5200000000000102E-2</v>
      </c>
      <c r="F2736">
        <f t="shared" si="70"/>
        <v>1.2838276386232937E-2</v>
      </c>
      <c r="M2736" s="31"/>
    </row>
    <row r="2737" spans="1:13" x14ac:dyDescent="0.3">
      <c r="A2737">
        <v>1986</v>
      </c>
      <c r="B2737">
        <v>1</v>
      </c>
      <c r="C2737">
        <v>8</v>
      </c>
      <c r="D2737">
        <v>0.85661688738318786</v>
      </c>
      <c r="E2737">
        <v>1.5200000000000102E-2</v>
      </c>
      <c r="F2737">
        <f t="shared" si="70"/>
        <v>1.3020576688224542E-2</v>
      </c>
      <c r="M2737" s="31"/>
    </row>
    <row r="2738" spans="1:13" x14ac:dyDescent="0.3">
      <c r="A2738">
        <v>1985</v>
      </c>
      <c r="B2738">
        <v>12</v>
      </c>
      <c r="C2738">
        <v>29</v>
      </c>
      <c r="D2738">
        <v>0.86935345350708282</v>
      </c>
      <c r="E2738">
        <v>1.5200000000000102E-2</v>
      </c>
      <c r="F2738">
        <f t="shared" si="70"/>
        <v>1.3214172493307749E-2</v>
      </c>
      <c r="M2738" s="31"/>
    </row>
    <row r="2739" spans="1:13" x14ac:dyDescent="0.3">
      <c r="A2739">
        <v>1985</v>
      </c>
      <c r="B2739">
        <v>12</v>
      </c>
      <c r="C2739">
        <v>19</v>
      </c>
      <c r="D2739">
        <v>0.88284030084336163</v>
      </c>
      <c r="E2739">
        <v>1.5200000000000102E-2</v>
      </c>
      <c r="F2739">
        <f t="shared" si="70"/>
        <v>1.3419172572819186E-2</v>
      </c>
      <c r="M2739" s="31"/>
    </row>
    <row r="2740" spans="1:13" x14ac:dyDescent="0.3">
      <c r="A2740">
        <v>1985</v>
      </c>
      <c r="B2740">
        <v>12</v>
      </c>
      <c r="C2740">
        <v>9</v>
      </c>
      <c r="D2740">
        <v>0.89580221717274655</v>
      </c>
      <c r="E2740">
        <v>1.5200000000000102E-2</v>
      </c>
      <c r="F2740">
        <f t="shared" si="70"/>
        <v>1.3616193701025838E-2</v>
      </c>
      <c r="M2740" s="31"/>
    </row>
    <row r="2741" spans="1:13" x14ac:dyDescent="0.3">
      <c r="A2741">
        <v>1985</v>
      </c>
      <c r="B2741">
        <v>11</v>
      </c>
      <c r="C2741">
        <v>28</v>
      </c>
      <c r="D2741">
        <v>0.90751838993320588</v>
      </c>
      <c r="E2741">
        <v>1.5200000000000102E-2</v>
      </c>
      <c r="F2741">
        <f t="shared" si="70"/>
        <v>1.3794279526984822E-2</v>
      </c>
      <c r="M2741" s="31"/>
    </row>
    <row r="2742" spans="1:13" x14ac:dyDescent="0.3">
      <c r="A2742">
        <v>1985</v>
      </c>
      <c r="B2742">
        <v>11</v>
      </c>
      <c r="C2742">
        <v>18</v>
      </c>
      <c r="D2742">
        <v>0.91597270313871115</v>
      </c>
      <c r="E2742">
        <v>1.5200000000000102E-2</v>
      </c>
      <c r="F2742">
        <f t="shared" si="70"/>
        <v>1.3922785087708504E-2</v>
      </c>
      <c r="M2742" s="31"/>
    </row>
    <row r="2743" spans="1:13" x14ac:dyDescent="0.3">
      <c r="A2743">
        <v>1985</v>
      </c>
      <c r="B2743">
        <v>11</v>
      </c>
      <c r="C2743">
        <v>8</v>
      </c>
      <c r="D2743">
        <v>0.92272167466169264</v>
      </c>
      <c r="E2743">
        <v>1.5200000000000102E-2</v>
      </c>
      <c r="F2743">
        <f t="shared" si="70"/>
        <v>1.4025369454857823E-2</v>
      </c>
      <c r="M2743" s="31"/>
    </row>
    <row r="2744" spans="1:13" x14ac:dyDescent="0.3">
      <c r="A2744">
        <v>1985</v>
      </c>
      <c r="B2744">
        <v>10</v>
      </c>
      <c r="C2744">
        <v>29</v>
      </c>
      <c r="D2744">
        <v>0.92718243572373582</v>
      </c>
      <c r="E2744">
        <v>1.5200000000000102E-2</v>
      </c>
      <c r="F2744">
        <f t="shared" si="70"/>
        <v>1.4093173023000879E-2</v>
      </c>
      <c r="M2744" s="31"/>
    </row>
    <row r="2745" spans="1:13" x14ac:dyDescent="0.3">
      <c r="A2745">
        <v>1985</v>
      </c>
      <c r="B2745">
        <v>10</v>
      </c>
      <c r="C2745">
        <v>19</v>
      </c>
      <c r="D2745">
        <v>0.93207752888554929</v>
      </c>
      <c r="E2745">
        <v>1.5200000000000102E-2</v>
      </c>
      <c r="F2745">
        <f t="shared" si="70"/>
        <v>1.4167578439060444E-2</v>
      </c>
      <c r="M2745" s="31"/>
    </row>
    <row r="2746" spans="1:13" x14ac:dyDescent="0.3">
      <c r="A2746">
        <v>1985</v>
      </c>
      <c r="B2746">
        <v>10</v>
      </c>
      <c r="C2746">
        <v>9</v>
      </c>
      <c r="D2746">
        <v>0.94057380580883443</v>
      </c>
      <c r="E2746">
        <v>1.5200000000000102E-2</v>
      </c>
      <c r="F2746">
        <f t="shared" si="70"/>
        <v>1.4296721848294379E-2</v>
      </c>
      <c r="M2746" s="31"/>
    </row>
    <row r="2747" spans="1:13" x14ac:dyDescent="0.3">
      <c r="A2747">
        <v>1985</v>
      </c>
      <c r="B2747">
        <v>9</v>
      </c>
      <c r="C2747">
        <v>29</v>
      </c>
      <c r="D2747">
        <v>0.95327047188671543</v>
      </c>
      <c r="E2747">
        <v>1.5200000000000102E-2</v>
      </c>
      <c r="F2747">
        <f t="shared" si="70"/>
        <v>1.4489711172678173E-2</v>
      </c>
      <c r="M2747" s="31"/>
    </row>
    <row r="2748" spans="1:13" x14ac:dyDescent="0.3">
      <c r="A2748">
        <v>1985</v>
      </c>
      <c r="B2748">
        <v>9</v>
      </c>
      <c r="C2748">
        <v>19</v>
      </c>
      <c r="D2748">
        <v>0.96977058663807192</v>
      </c>
      <c r="E2748">
        <v>1.5200000000000102E-2</v>
      </c>
      <c r="F2748">
        <f t="shared" si="70"/>
        <v>1.4740512916898792E-2</v>
      </c>
      <c r="M2748" s="31"/>
    </row>
    <row r="2749" spans="1:13" x14ac:dyDescent="0.3">
      <c r="A2749">
        <v>1985</v>
      </c>
      <c r="B2749">
        <v>9</v>
      </c>
      <c r="C2749">
        <v>8</v>
      </c>
      <c r="D2749">
        <v>0.98822535504767173</v>
      </c>
      <c r="E2749">
        <v>1.5200000000000102E-2</v>
      </c>
      <c r="F2749">
        <f t="shared" si="70"/>
        <v>1.5021025396724711E-2</v>
      </c>
      <c r="M2749" s="31"/>
    </row>
    <row r="2750" spans="1:13" x14ac:dyDescent="0.3">
      <c r="A2750">
        <v>1985</v>
      </c>
      <c r="B2750">
        <v>8</v>
      </c>
      <c r="C2750">
        <v>29</v>
      </c>
      <c r="D2750">
        <v>1.0089505595674706</v>
      </c>
      <c r="E2750">
        <v>1.5200000000000102E-2</v>
      </c>
      <c r="F2750">
        <f t="shared" si="70"/>
        <v>1.5336048505425656E-2</v>
      </c>
      <c r="M2750" s="31"/>
    </row>
    <row r="2751" spans="1:13" x14ac:dyDescent="0.3">
      <c r="A2751">
        <v>1985</v>
      </c>
      <c r="B2751">
        <v>8</v>
      </c>
      <c r="C2751">
        <v>19</v>
      </c>
      <c r="D2751">
        <v>1.0325663121612711</v>
      </c>
      <c r="E2751">
        <v>1.5200000000000102E-2</v>
      </c>
      <c r="F2751">
        <f t="shared" si="70"/>
        <v>1.5695007944851427E-2</v>
      </c>
      <c r="M2751" s="31"/>
    </row>
    <row r="2752" spans="1:13" x14ac:dyDescent="0.3">
      <c r="A2752">
        <v>1985</v>
      </c>
      <c r="B2752">
        <v>8</v>
      </c>
      <c r="C2752">
        <v>9</v>
      </c>
      <c r="D2752">
        <v>1.0577839940168019</v>
      </c>
      <c r="E2752">
        <v>1.5200000000000102E-2</v>
      </c>
      <c r="F2752">
        <f t="shared" si="70"/>
        <v>1.6078316709055497E-2</v>
      </c>
      <c r="M2752" s="31"/>
    </row>
    <row r="2753" spans="1:13" x14ac:dyDescent="0.3">
      <c r="A2753">
        <v>1985</v>
      </c>
      <c r="B2753">
        <v>7</v>
      </c>
      <c r="C2753">
        <v>30</v>
      </c>
      <c r="D2753">
        <v>1.0822458966697357</v>
      </c>
      <c r="E2753">
        <v>1.5200000000000102E-2</v>
      </c>
      <c r="F2753">
        <f t="shared" si="70"/>
        <v>1.6450137629380093E-2</v>
      </c>
      <c r="M2753" s="31"/>
    </row>
    <row r="2754" spans="1:13" x14ac:dyDescent="0.3">
      <c r="A2754">
        <v>1985</v>
      </c>
      <c r="B2754">
        <v>7</v>
      </c>
      <c r="C2754">
        <v>20</v>
      </c>
      <c r="D2754">
        <v>1.1029461945765209</v>
      </c>
      <c r="E2754">
        <v>1.5200000000000102E-2</v>
      </c>
      <c r="F2754">
        <f t="shared" si="70"/>
        <v>1.6764782157563229E-2</v>
      </c>
      <c r="M2754" s="31"/>
    </row>
    <row r="2755" spans="1:13" x14ac:dyDescent="0.3">
      <c r="A2755">
        <v>1985</v>
      </c>
      <c r="B2755">
        <v>7</v>
      </c>
      <c r="C2755">
        <v>10</v>
      </c>
      <c r="D2755">
        <v>1.1180342860740735</v>
      </c>
      <c r="E2755">
        <v>1.5200000000000102E-2</v>
      </c>
      <c r="F2755">
        <f t="shared" ref="F2755:F2818" si="71">D2755*E2755</f>
        <v>1.6994121148326033E-2</v>
      </c>
      <c r="M2755" s="31"/>
    </row>
    <row r="2756" spans="1:13" x14ac:dyDescent="0.3">
      <c r="A2756">
        <v>1985</v>
      </c>
      <c r="B2756">
        <v>6</v>
      </c>
      <c r="C2756">
        <v>30</v>
      </c>
      <c r="D2756">
        <v>1.1217530377922296</v>
      </c>
      <c r="E2756">
        <v>1.5200000000000102E-2</v>
      </c>
      <c r="F2756">
        <f t="shared" si="71"/>
        <v>1.7050646174442005E-2</v>
      </c>
      <c r="M2756" s="31"/>
    </row>
    <row r="2757" spans="1:13" x14ac:dyDescent="0.3">
      <c r="A2757">
        <v>1985</v>
      </c>
      <c r="B2757">
        <v>6</v>
      </c>
      <c r="C2757">
        <v>28</v>
      </c>
      <c r="D2757">
        <v>1.114531642184023</v>
      </c>
      <c r="E2757">
        <v>1.5200000000000102E-2</v>
      </c>
      <c r="F2757">
        <f t="shared" si="71"/>
        <v>1.6940880961197263E-2</v>
      </c>
      <c r="M2757" s="31"/>
    </row>
    <row r="2758" spans="1:13" x14ac:dyDescent="0.3">
      <c r="A2758">
        <v>1985</v>
      </c>
      <c r="B2758">
        <v>6</v>
      </c>
      <c r="C2758">
        <v>26</v>
      </c>
      <c r="D2758">
        <v>1.0991139137466208</v>
      </c>
      <c r="E2758">
        <v>1.5200000000000102E-2</v>
      </c>
      <c r="F2758">
        <f t="shared" si="71"/>
        <v>1.670653148894875E-2</v>
      </c>
      <c r="M2758" s="31"/>
    </row>
    <row r="2759" spans="1:13" x14ac:dyDescent="0.3">
      <c r="A2759">
        <v>1985</v>
      </c>
      <c r="B2759">
        <v>6</v>
      </c>
      <c r="C2759">
        <v>24</v>
      </c>
      <c r="D2759">
        <v>1.0809329669862664</v>
      </c>
      <c r="E2759">
        <v>1.5200000000000102E-2</v>
      </c>
      <c r="F2759">
        <f t="shared" si="71"/>
        <v>1.643018109819136E-2</v>
      </c>
      <c r="M2759" s="31"/>
    </row>
    <row r="2760" spans="1:13" x14ac:dyDescent="0.3">
      <c r="A2760">
        <v>1985</v>
      </c>
      <c r="B2760">
        <v>6</v>
      </c>
      <c r="C2760">
        <v>22</v>
      </c>
      <c r="D2760">
        <v>1.0617998492247038</v>
      </c>
      <c r="E2760">
        <v>1.5200000000000102E-2</v>
      </c>
      <c r="F2760">
        <f t="shared" si="71"/>
        <v>1.6139357708215608E-2</v>
      </c>
      <c r="M2760" s="31"/>
    </row>
    <row r="2761" spans="1:13" x14ac:dyDescent="0.3">
      <c r="A2761">
        <v>1985</v>
      </c>
      <c r="B2761">
        <v>6</v>
      </c>
      <c r="C2761">
        <v>20</v>
      </c>
      <c r="D2761">
        <v>1.044378381840148</v>
      </c>
      <c r="E2761">
        <v>1.5200000000000102E-2</v>
      </c>
      <c r="F2761">
        <f t="shared" si="71"/>
        <v>1.5874551403970354E-2</v>
      </c>
      <c r="M2761" s="31"/>
    </row>
    <row r="2762" spans="1:13" x14ac:dyDescent="0.3">
      <c r="A2762">
        <v>1985</v>
      </c>
      <c r="B2762">
        <v>6</v>
      </c>
      <c r="C2762">
        <v>18</v>
      </c>
      <c r="D2762">
        <v>1.0273286290321297</v>
      </c>
      <c r="E2762">
        <v>1.5200000000000102E-2</v>
      </c>
      <c r="F2762">
        <f t="shared" si="71"/>
        <v>1.5615395161288476E-2</v>
      </c>
      <c r="M2762" s="31"/>
    </row>
    <row r="2763" spans="1:13" x14ac:dyDescent="0.3">
      <c r="A2763">
        <v>1985</v>
      </c>
      <c r="B2763">
        <v>6</v>
      </c>
      <c r="C2763">
        <v>16</v>
      </c>
      <c r="D2763">
        <v>1.0097715266252838</v>
      </c>
      <c r="E2763">
        <v>1.5200000000000102E-2</v>
      </c>
      <c r="F2763">
        <f t="shared" si="71"/>
        <v>1.5348527204704417E-2</v>
      </c>
      <c r="M2763" s="31"/>
    </row>
    <row r="2764" spans="1:13" x14ac:dyDescent="0.3">
      <c r="A2764">
        <v>1985</v>
      </c>
      <c r="B2764">
        <v>6</v>
      </c>
      <c r="C2764">
        <v>14</v>
      </c>
      <c r="D2764">
        <v>0.99069927315785389</v>
      </c>
      <c r="E2764">
        <v>1.5200000000000102E-2</v>
      </c>
      <c r="F2764">
        <f t="shared" si="71"/>
        <v>1.505862895199948E-2</v>
      </c>
      <c r="M2764" s="31"/>
    </row>
    <row r="2765" spans="1:13" x14ac:dyDescent="0.3">
      <c r="A2765">
        <v>1985</v>
      </c>
      <c r="B2765">
        <v>6</v>
      </c>
      <c r="C2765">
        <v>12</v>
      </c>
      <c r="D2765">
        <v>0.96883583355906733</v>
      </c>
      <c r="E2765">
        <v>1.5200000000000102E-2</v>
      </c>
      <c r="F2765">
        <f t="shared" si="71"/>
        <v>1.4726304670097922E-2</v>
      </c>
      <c r="M2765" s="31"/>
    </row>
    <row r="2766" spans="1:13" x14ac:dyDescent="0.3">
      <c r="A2766">
        <v>1985</v>
      </c>
      <c r="B2766">
        <v>6</v>
      </c>
      <c r="C2766">
        <v>10</v>
      </c>
      <c r="D2766">
        <v>0.94566702572909489</v>
      </c>
      <c r="E2766">
        <v>1.5200000000000102E-2</v>
      </c>
      <c r="F2766">
        <f t="shared" si="71"/>
        <v>1.4374138791082338E-2</v>
      </c>
      <c r="M2766" s="31"/>
    </row>
    <row r="2767" spans="1:13" x14ac:dyDescent="0.3">
      <c r="A2767">
        <v>1985</v>
      </c>
      <c r="B2767">
        <v>6</v>
      </c>
      <c r="C2767">
        <v>9</v>
      </c>
      <c r="D2767">
        <v>0.92321742446449451</v>
      </c>
      <c r="E2767">
        <v>1.5200000000000102E-2</v>
      </c>
      <c r="F2767">
        <f t="shared" si="71"/>
        <v>1.4032904851860411E-2</v>
      </c>
      <c r="M2767" s="31"/>
    </row>
    <row r="2768" spans="1:13" x14ac:dyDescent="0.3">
      <c r="A2768">
        <v>1985</v>
      </c>
      <c r="B2768">
        <v>6</v>
      </c>
      <c r="C2768">
        <v>7</v>
      </c>
      <c r="D2768">
        <v>0.9020449269406382</v>
      </c>
      <c r="E2768">
        <v>1.5200000000000102E-2</v>
      </c>
      <c r="F2768">
        <f t="shared" si="71"/>
        <v>1.3711082889497793E-2</v>
      </c>
      <c r="M2768" s="31"/>
    </row>
    <row r="2769" spans="1:13" x14ac:dyDescent="0.3">
      <c r="A2769">
        <v>1985</v>
      </c>
      <c r="B2769">
        <v>6</v>
      </c>
      <c r="C2769">
        <v>5</v>
      </c>
      <c r="D2769">
        <v>0.88184837894670298</v>
      </c>
      <c r="E2769">
        <v>1.5200000000000102E-2</v>
      </c>
      <c r="F2769">
        <f t="shared" si="71"/>
        <v>1.3404095359989975E-2</v>
      </c>
      <c r="M2769" s="31"/>
    </row>
    <row r="2770" spans="1:13" x14ac:dyDescent="0.3">
      <c r="A2770">
        <v>1985</v>
      </c>
      <c r="B2770">
        <v>6</v>
      </c>
      <c r="C2770">
        <v>3</v>
      </c>
      <c r="D2770">
        <v>0.86612083840251175</v>
      </c>
      <c r="E2770">
        <v>1.5200000000000102E-2</v>
      </c>
      <c r="F2770">
        <f t="shared" si="71"/>
        <v>1.3165036743718267E-2</v>
      </c>
      <c r="M2770" s="31"/>
    </row>
    <row r="2771" spans="1:13" x14ac:dyDescent="0.3">
      <c r="A2771">
        <v>1985</v>
      </c>
      <c r="B2771">
        <v>6</v>
      </c>
      <c r="C2771">
        <v>1</v>
      </c>
      <c r="D2771">
        <v>0.85340422405179406</v>
      </c>
      <c r="E2771">
        <v>1.5200000000000102E-2</v>
      </c>
      <c r="F2771">
        <f t="shared" si="71"/>
        <v>1.2971744205587356E-2</v>
      </c>
      <c r="M2771" s="31"/>
    </row>
    <row r="2772" spans="1:13" x14ac:dyDescent="0.3">
      <c r="A2772">
        <v>1985</v>
      </c>
      <c r="B2772">
        <v>5</v>
      </c>
      <c r="C2772">
        <v>30</v>
      </c>
      <c r="D2772">
        <v>0.8474298800238016</v>
      </c>
      <c r="E2772">
        <v>1.5200000000000102E-2</v>
      </c>
      <c r="F2772">
        <f t="shared" si="71"/>
        <v>1.2880934176361871E-2</v>
      </c>
      <c r="M2772" s="31"/>
    </row>
    <row r="2773" spans="1:13" x14ac:dyDescent="0.3">
      <c r="A2773">
        <v>1985</v>
      </c>
      <c r="B2773">
        <v>5</v>
      </c>
      <c r="C2773">
        <v>28</v>
      </c>
      <c r="D2773">
        <v>0.84732135745340764</v>
      </c>
      <c r="E2773">
        <v>1.5200000000000102E-2</v>
      </c>
      <c r="F2773">
        <f t="shared" si="71"/>
        <v>1.2879284633291882E-2</v>
      </c>
      <c r="M2773" s="31"/>
    </row>
    <row r="2774" spans="1:13" x14ac:dyDescent="0.3">
      <c r="A2774">
        <v>1985</v>
      </c>
      <c r="B2774">
        <v>5</v>
      </c>
      <c r="C2774">
        <v>26</v>
      </c>
      <c r="D2774">
        <v>0.85475137365768916</v>
      </c>
      <c r="E2774">
        <v>1.5200000000000102E-2</v>
      </c>
      <c r="F2774">
        <f t="shared" si="71"/>
        <v>1.2992220879596963E-2</v>
      </c>
      <c r="M2774" s="31"/>
    </row>
    <row r="2775" spans="1:13" x14ac:dyDescent="0.3">
      <c r="A2775">
        <v>1985</v>
      </c>
      <c r="B2775">
        <v>5</v>
      </c>
      <c r="C2775">
        <v>24</v>
      </c>
      <c r="D2775">
        <v>0.86639711236539407</v>
      </c>
      <c r="E2775">
        <v>1.5200000000000102E-2</v>
      </c>
      <c r="F2775">
        <f t="shared" si="71"/>
        <v>1.3169236107954079E-2</v>
      </c>
      <c r="M2775" s="31"/>
    </row>
    <row r="2776" spans="1:13" x14ac:dyDescent="0.3">
      <c r="A2776">
        <v>1985</v>
      </c>
      <c r="B2776">
        <v>5</v>
      </c>
      <c r="C2776">
        <v>22</v>
      </c>
      <c r="D2776">
        <v>0.88257833666935537</v>
      </c>
      <c r="E2776">
        <v>1.5200000000000102E-2</v>
      </c>
      <c r="F2776">
        <f t="shared" si="71"/>
        <v>1.3415190717374292E-2</v>
      </c>
      <c r="M2776" s="31"/>
    </row>
    <row r="2777" spans="1:13" x14ac:dyDescent="0.3">
      <c r="A2777">
        <v>1985</v>
      </c>
      <c r="B2777">
        <v>5</v>
      </c>
      <c r="C2777">
        <v>20</v>
      </c>
      <c r="D2777">
        <v>0.89670498293572987</v>
      </c>
      <c r="E2777">
        <v>1.5200000000000102E-2</v>
      </c>
      <c r="F2777">
        <f t="shared" si="71"/>
        <v>1.3629915740623185E-2</v>
      </c>
      <c r="M2777" s="31"/>
    </row>
    <row r="2778" spans="1:13" x14ac:dyDescent="0.3">
      <c r="A2778">
        <v>1985</v>
      </c>
      <c r="B2778">
        <v>5</v>
      </c>
      <c r="C2778">
        <v>19</v>
      </c>
      <c r="D2778">
        <v>0.90847019691322906</v>
      </c>
      <c r="E2778">
        <v>1.5200000000000102E-2</v>
      </c>
      <c r="F2778">
        <f t="shared" si="71"/>
        <v>1.3808746993081175E-2</v>
      </c>
      <c r="M2778" s="31"/>
    </row>
    <row r="2779" spans="1:13" x14ac:dyDescent="0.3">
      <c r="A2779">
        <v>1985</v>
      </c>
      <c r="B2779">
        <v>5</v>
      </c>
      <c r="C2779">
        <v>17</v>
      </c>
      <c r="D2779">
        <v>0.91728419550433249</v>
      </c>
      <c r="E2779">
        <v>1.5200000000000102E-2</v>
      </c>
      <c r="F2779">
        <f t="shared" si="71"/>
        <v>1.3942719771665947E-2</v>
      </c>
      <c r="M2779" s="31"/>
    </row>
    <row r="2780" spans="1:13" x14ac:dyDescent="0.3">
      <c r="A2780">
        <v>1985</v>
      </c>
      <c r="B2780">
        <v>5</v>
      </c>
      <c r="C2780">
        <v>15</v>
      </c>
      <c r="D2780">
        <v>0.9231269054079142</v>
      </c>
      <c r="E2780">
        <v>1.5200000000000102E-2</v>
      </c>
      <c r="F2780">
        <f t="shared" si="71"/>
        <v>1.403152896220039E-2</v>
      </c>
      <c r="M2780" s="31"/>
    </row>
    <row r="2781" spans="1:13" x14ac:dyDescent="0.3">
      <c r="A2781">
        <v>1985</v>
      </c>
      <c r="B2781">
        <v>5</v>
      </c>
      <c r="C2781">
        <v>13</v>
      </c>
      <c r="D2781">
        <v>0.92513324339375769</v>
      </c>
      <c r="E2781">
        <v>1.5200000000000102E-2</v>
      </c>
      <c r="F2781">
        <f t="shared" si="71"/>
        <v>1.4062025299585211E-2</v>
      </c>
      <c r="M2781" s="31"/>
    </row>
    <row r="2782" spans="1:13" x14ac:dyDescent="0.3">
      <c r="A2782">
        <v>1985</v>
      </c>
      <c r="B2782">
        <v>5</v>
      </c>
      <c r="C2782">
        <v>11</v>
      </c>
      <c r="D2782">
        <v>0.92699770464857345</v>
      </c>
      <c r="E2782">
        <v>1.5200000000000102E-2</v>
      </c>
      <c r="F2782">
        <f t="shared" si="71"/>
        <v>1.4090365110658412E-2</v>
      </c>
      <c r="M2782" s="31"/>
    </row>
    <row r="2783" spans="1:13" x14ac:dyDescent="0.3">
      <c r="A2783">
        <v>1985</v>
      </c>
      <c r="B2783">
        <v>5</v>
      </c>
      <c r="C2783">
        <v>9</v>
      </c>
      <c r="D2783">
        <v>0.92758124151489552</v>
      </c>
      <c r="E2783">
        <v>1.5200000000000102E-2</v>
      </c>
      <c r="F2783">
        <f t="shared" si="71"/>
        <v>1.4099234871026507E-2</v>
      </c>
      <c r="M2783" s="31"/>
    </row>
    <row r="2784" spans="1:13" x14ac:dyDescent="0.3">
      <c r="A2784">
        <v>1985</v>
      </c>
      <c r="B2784">
        <v>5</v>
      </c>
      <c r="C2784">
        <v>7</v>
      </c>
      <c r="D2784">
        <v>0.92759533209637379</v>
      </c>
      <c r="E2784">
        <v>1.5200000000000102E-2</v>
      </c>
      <c r="F2784">
        <f t="shared" si="71"/>
        <v>1.4099449047864976E-2</v>
      </c>
      <c r="M2784" s="31"/>
    </row>
    <row r="2785" spans="1:13" x14ac:dyDescent="0.3">
      <c r="A2785">
        <v>1985</v>
      </c>
      <c r="B2785">
        <v>5</v>
      </c>
      <c r="C2785">
        <v>5</v>
      </c>
      <c r="D2785">
        <v>0.9267563874060043</v>
      </c>
      <c r="E2785">
        <v>1.5200000000000102E-2</v>
      </c>
      <c r="F2785">
        <f t="shared" si="71"/>
        <v>1.4086697088571361E-2</v>
      </c>
      <c r="M2785" s="31"/>
    </row>
    <row r="2786" spans="1:13" x14ac:dyDescent="0.3">
      <c r="A2786">
        <v>1985</v>
      </c>
      <c r="B2786">
        <v>5</v>
      </c>
      <c r="C2786">
        <v>3</v>
      </c>
      <c r="D2786">
        <v>0.92407066793146608</v>
      </c>
      <c r="E2786">
        <v>1.5200000000000102E-2</v>
      </c>
      <c r="F2786">
        <f t="shared" si="71"/>
        <v>1.4045874152558379E-2</v>
      </c>
      <c r="M2786" s="31"/>
    </row>
    <row r="2787" spans="1:13" x14ac:dyDescent="0.3">
      <c r="A2787">
        <v>1985</v>
      </c>
      <c r="B2787">
        <v>5</v>
      </c>
      <c r="C2787">
        <v>1</v>
      </c>
      <c r="D2787">
        <v>0.91798267349076079</v>
      </c>
      <c r="E2787">
        <v>1.5200000000000102E-2</v>
      </c>
      <c r="F2787">
        <f t="shared" si="71"/>
        <v>1.3953336637059659E-2</v>
      </c>
      <c r="M2787" s="31"/>
    </row>
    <row r="2788" spans="1:13" x14ac:dyDescent="0.3">
      <c r="A2788">
        <v>1985</v>
      </c>
      <c r="B2788">
        <v>4</v>
      </c>
      <c r="C2788">
        <v>30</v>
      </c>
      <c r="D2788">
        <v>0.91275710412789579</v>
      </c>
      <c r="E2788">
        <v>1.5200000000000102E-2</v>
      </c>
      <c r="F2788">
        <f t="shared" si="71"/>
        <v>1.387390798274411E-2</v>
      </c>
      <c r="M2788" s="31"/>
    </row>
    <row r="2789" spans="1:13" x14ac:dyDescent="0.3">
      <c r="A2789">
        <v>1985</v>
      </c>
      <c r="B2789">
        <v>4</v>
      </c>
      <c r="C2789">
        <v>28</v>
      </c>
      <c r="D2789">
        <v>0.90768229423197</v>
      </c>
      <c r="E2789">
        <v>1.5200000000000102E-2</v>
      </c>
      <c r="F2789">
        <f t="shared" si="71"/>
        <v>1.3796770872326038E-2</v>
      </c>
      <c r="M2789" s="31"/>
    </row>
    <row r="2790" spans="1:13" x14ac:dyDescent="0.3">
      <c r="A2790">
        <v>1985</v>
      </c>
      <c r="B2790">
        <v>4</v>
      </c>
      <c r="C2790">
        <v>26</v>
      </c>
      <c r="D2790">
        <v>0.90233414490947306</v>
      </c>
      <c r="E2790">
        <v>1.5200000000000102E-2</v>
      </c>
      <c r="F2790">
        <f t="shared" si="71"/>
        <v>1.3715479002624082E-2</v>
      </c>
      <c r="M2790" s="31"/>
    </row>
    <row r="2791" spans="1:13" x14ac:dyDescent="0.3">
      <c r="A2791">
        <v>1985</v>
      </c>
      <c r="B2791">
        <v>4</v>
      </c>
      <c r="C2791">
        <v>24</v>
      </c>
      <c r="D2791">
        <v>0.89741884507726666</v>
      </c>
      <c r="E2791">
        <v>1.5200000000000102E-2</v>
      </c>
      <c r="F2791">
        <f t="shared" si="71"/>
        <v>1.3640766445174545E-2</v>
      </c>
      <c r="M2791" s="31"/>
    </row>
    <row r="2792" spans="1:13" x14ac:dyDescent="0.3">
      <c r="A2792">
        <v>1985</v>
      </c>
      <c r="B2792">
        <v>4</v>
      </c>
      <c r="C2792">
        <v>22</v>
      </c>
      <c r="D2792">
        <v>0.89293479018612576</v>
      </c>
      <c r="E2792">
        <v>1.5200000000000102E-2</v>
      </c>
      <c r="F2792">
        <f t="shared" si="71"/>
        <v>1.3572608810829202E-2</v>
      </c>
      <c r="M2792" s="31"/>
    </row>
    <row r="2793" spans="1:13" x14ac:dyDescent="0.3">
      <c r="A2793">
        <v>1985</v>
      </c>
      <c r="B2793">
        <v>4</v>
      </c>
      <c r="C2793">
        <v>20</v>
      </c>
      <c r="D2793">
        <v>0.88621066025800832</v>
      </c>
      <c r="E2793">
        <v>1.5200000000000102E-2</v>
      </c>
      <c r="F2793">
        <f t="shared" si="71"/>
        <v>1.3470402035921817E-2</v>
      </c>
      <c r="M2793" s="31"/>
    </row>
    <row r="2794" spans="1:13" x14ac:dyDescent="0.3">
      <c r="A2794">
        <v>1985</v>
      </c>
      <c r="B2794">
        <v>4</v>
      </c>
      <c r="C2794">
        <v>18</v>
      </c>
      <c r="D2794">
        <v>0.87768135682807291</v>
      </c>
      <c r="E2794">
        <v>1.5200000000000102E-2</v>
      </c>
      <c r="F2794">
        <f t="shared" si="71"/>
        <v>1.3340756623786799E-2</v>
      </c>
      <c r="M2794" s="31"/>
    </row>
    <row r="2795" spans="1:13" x14ac:dyDescent="0.3">
      <c r="A2795">
        <v>1985</v>
      </c>
      <c r="B2795">
        <v>4</v>
      </c>
      <c r="C2795">
        <v>16</v>
      </c>
      <c r="D2795">
        <v>0.86777964906305605</v>
      </c>
      <c r="E2795">
        <v>1.5200000000000102E-2</v>
      </c>
      <c r="F2795">
        <f t="shared" si="71"/>
        <v>1.3190250665758541E-2</v>
      </c>
      <c r="M2795" s="31"/>
    </row>
    <row r="2796" spans="1:13" x14ac:dyDescent="0.3">
      <c r="A2796">
        <v>1985</v>
      </c>
      <c r="B2796">
        <v>4</v>
      </c>
      <c r="C2796">
        <v>14</v>
      </c>
      <c r="D2796">
        <v>0.85916272490837398</v>
      </c>
      <c r="E2796">
        <v>1.5200000000000102E-2</v>
      </c>
      <c r="F2796">
        <f t="shared" si="71"/>
        <v>1.3059273418607372E-2</v>
      </c>
      <c r="M2796" s="31"/>
    </row>
    <row r="2797" spans="1:13" x14ac:dyDescent="0.3">
      <c r="A2797">
        <v>1985</v>
      </c>
      <c r="B2797">
        <v>4</v>
      </c>
      <c r="C2797">
        <v>12</v>
      </c>
      <c r="D2797">
        <v>0.8532104677939053</v>
      </c>
      <c r="E2797">
        <v>1.5200000000000102E-2</v>
      </c>
      <c r="F2797">
        <f t="shared" si="71"/>
        <v>1.2968799110467447E-2</v>
      </c>
      <c r="M2797" s="31"/>
    </row>
    <row r="2798" spans="1:13" x14ac:dyDescent="0.3">
      <c r="A2798">
        <v>1985</v>
      </c>
      <c r="B2798">
        <v>4</v>
      </c>
      <c r="C2798">
        <v>10</v>
      </c>
      <c r="D2798">
        <v>0.84990765324540629</v>
      </c>
      <c r="E2798">
        <v>1.5200000000000102E-2</v>
      </c>
      <c r="F2798">
        <f t="shared" si="71"/>
        <v>1.2918596329330262E-2</v>
      </c>
      <c r="M2798" s="31"/>
    </row>
    <row r="2799" spans="1:13" x14ac:dyDescent="0.3">
      <c r="A2799">
        <v>1985</v>
      </c>
      <c r="B2799">
        <v>4</v>
      </c>
      <c r="C2799">
        <v>9</v>
      </c>
      <c r="D2799">
        <v>0.84924466210667471</v>
      </c>
      <c r="E2799">
        <v>1.5200000000000102E-2</v>
      </c>
      <c r="F2799">
        <f t="shared" si="71"/>
        <v>1.2908518864021543E-2</v>
      </c>
      <c r="M2799" s="31"/>
    </row>
    <row r="2800" spans="1:13" x14ac:dyDescent="0.3">
      <c r="A2800">
        <v>1985</v>
      </c>
      <c r="B2800">
        <v>4</v>
      </c>
      <c r="C2800">
        <v>7</v>
      </c>
      <c r="D2800">
        <v>0.85155608191394705</v>
      </c>
      <c r="E2800">
        <v>1.5200000000000102E-2</v>
      </c>
      <c r="F2800">
        <f t="shared" si="71"/>
        <v>1.2943652445092083E-2</v>
      </c>
      <c r="M2800" s="31"/>
    </row>
    <row r="2801" spans="1:13" x14ac:dyDescent="0.3">
      <c r="A2801">
        <v>1985</v>
      </c>
      <c r="B2801">
        <v>4</v>
      </c>
      <c r="C2801">
        <v>5</v>
      </c>
      <c r="D2801">
        <v>0.85609517392683743</v>
      </c>
      <c r="E2801">
        <v>1.5200000000000102E-2</v>
      </c>
      <c r="F2801">
        <f t="shared" si="71"/>
        <v>1.3012646643688017E-2</v>
      </c>
      <c r="M2801" s="31"/>
    </row>
    <row r="2802" spans="1:13" x14ac:dyDescent="0.3">
      <c r="A2802">
        <v>1985</v>
      </c>
      <c r="B2802">
        <v>4</v>
      </c>
      <c r="C2802">
        <v>3</v>
      </c>
      <c r="D2802">
        <v>0.86259220936896086</v>
      </c>
      <c r="E2802">
        <v>1.5200000000000102E-2</v>
      </c>
      <c r="F2802">
        <f t="shared" si="71"/>
        <v>1.3111401582408293E-2</v>
      </c>
      <c r="M2802" s="31"/>
    </row>
    <row r="2803" spans="1:13" x14ac:dyDescent="0.3">
      <c r="A2803">
        <v>1985</v>
      </c>
      <c r="B2803">
        <v>4</v>
      </c>
      <c r="C2803">
        <v>1</v>
      </c>
      <c r="D2803">
        <v>0.87161910900749551</v>
      </c>
      <c r="E2803">
        <v>1.5200000000000102E-2</v>
      </c>
      <c r="F2803">
        <f t="shared" si="71"/>
        <v>1.3248610456914021E-2</v>
      </c>
      <c r="M2803" s="31"/>
    </row>
    <row r="2804" spans="1:13" x14ac:dyDescent="0.3">
      <c r="A2804">
        <v>1985</v>
      </c>
      <c r="B2804">
        <v>3</v>
      </c>
      <c r="C2804">
        <v>30</v>
      </c>
      <c r="D2804">
        <v>0.8812331529003512</v>
      </c>
      <c r="E2804">
        <v>1.5200000000000102E-2</v>
      </c>
      <c r="F2804">
        <f t="shared" si="71"/>
        <v>1.3394743924085429E-2</v>
      </c>
      <c r="M2804" s="31"/>
    </row>
    <row r="2805" spans="1:13" x14ac:dyDescent="0.3">
      <c r="A2805">
        <v>1985</v>
      </c>
      <c r="B2805">
        <v>3</v>
      </c>
      <c r="C2805">
        <v>28</v>
      </c>
      <c r="D2805">
        <v>0.89129872308440228</v>
      </c>
      <c r="E2805">
        <v>1.5200000000000102E-2</v>
      </c>
      <c r="F2805">
        <f t="shared" si="71"/>
        <v>1.3547740590883007E-2</v>
      </c>
      <c r="M2805" s="31"/>
    </row>
    <row r="2806" spans="1:13" x14ac:dyDescent="0.3">
      <c r="A2806">
        <v>1985</v>
      </c>
      <c r="B2806">
        <v>3</v>
      </c>
      <c r="C2806">
        <v>26</v>
      </c>
      <c r="D2806">
        <v>0.90026848123290626</v>
      </c>
      <c r="E2806">
        <v>1.5200000000000102E-2</v>
      </c>
      <c r="F2806">
        <f t="shared" si="71"/>
        <v>1.3684080914740267E-2</v>
      </c>
      <c r="M2806" s="31"/>
    </row>
    <row r="2807" spans="1:13" x14ac:dyDescent="0.3">
      <c r="A2807">
        <v>1985</v>
      </c>
      <c r="B2807">
        <v>3</v>
      </c>
      <c r="C2807">
        <v>24</v>
      </c>
      <c r="D2807">
        <v>0.90714456532471677</v>
      </c>
      <c r="E2807">
        <v>1.5200000000000102E-2</v>
      </c>
      <c r="F2807">
        <f t="shared" si="71"/>
        <v>1.3788597392935788E-2</v>
      </c>
      <c r="M2807" s="31"/>
    </row>
    <row r="2808" spans="1:13" x14ac:dyDescent="0.3">
      <c r="A2808">
        <v>1985</v>
      </c>
      <c r="B2808">
        <v>3</v>
      </c>
      <c r="C2808">
        <v>22</v>
      </c>
      <c r="D2808">
        <v>0.90908533885237675</v>
      </c>
      <c r="E2808">
        <v>1.5200000000000102E-2</v>
      </c>
      <c r="F2808">
        <f t="shared" si="71"/>
        <v>1.381809715055622E-2</v>
      </c>
      <c r="M2808" s="31"/>
    </row>
    <row r="2809" spans="1:13" x14ac:dyDescent="0.3">
      <c r="A2809">
        <v>1985</v>
      </c>
      <c r="B2809">
        <v>3</v>
      </c>
      <c r="C2809">
        <v>20</v>
      </c>
      <c r="D2809">
        <v>0.90735181912660967</v>
      </c>
      <c r="E2809">
        <v>1.5200000000000102E-2</v>
      </c>
      <c r="F2809">
        <f t="shared" si="71"/>
        <v>1.3791747650724559E-2</v>
      </c>
      <c r="M2809" s="31"/>
    </row>
    <row r="2810" spans="1:13" x14ac:dyDescent="0.3">
      <c r="A2810">
        <v>1985</v>
      </c>
      <c r="B2810">
        <v>3</v>
      </c>
      <c r="C2810">
        <v>19</v>
      </c>
      <c r="D2810">
        <v>0.90307662233312014</v>
      </c>
      <c r="E2810">
        <v>1.5200000000000102E-2</v>
      </c>
      <c r="F2810">
        <f t="shared" si="71"/>
        <v>1.3726764659463519E-2</v>
      </c>
      <c r="M2810" s="31"/>
    </row>
    <row r="2811" spans="1:13" x14ac:dyDescent="0.3">
      <c r="A2811">
        <v>1985</v>
      </c>
      <c r="B2811">
        <v>3</v>
      </c>
      <c r="C2811">
        <v>17</v>
      </c>
      <c r="D2811">
        <v>0.89513885024104156</v>
      </c>
      <c r="E2811">
        <v>1.5200000000000102E-2</v>
      </c>
      <c r="F2811">
        <f t="shared" si="71"/>
        <v>1.3606110523663924E-2</v>
      </c>
      <c r="M2811" s="31"/>
    </row>
    <row r="2812" spans="1:13" x14ac:dyDescent="0.3">
      <c r="A2812">
        <v>1985</v>
      </c>
      <c r="B2812">
        <v>3</v>
      </c>
      <c r="C2812">
        <v>15</v>
      </c>
      <c r="D2812">
        <v>0.88327968238240606</v>
      </c>
      <c r="E2812">
        <v>1.5200000000000102E-2</v>
      </c>
      <c r="F2812">
        <f t="shared" si="71"/>
        <v>1.3425851172212663E-2</v>
      </c>
      <c r="M2812" s="31"/>
    </row>
    <row r="2813" spans="1:13" x14ac:dyDescent="0.3">
      <c r="A2813">
        <v>1985</v>
      </c>
      <c r="B2813">
        <v>3</v>
      </c>
      <c r="C2813">
        <v>13</v>
      </c>
      <c r="D2813">
        <v>0.87005453745732009</v>
      </c>
      <c r="E2813">
        <v>1.5200000000000102E-2</v>
      </c>
      <c r="F2813">
        <f t="shared" si="71"/>
        <v>1.3224828969351354E-2</v>
      </c>
      <c r="M2813" s="31"/>
    </row>
    <row r="2814" spans="1:13" x14ac:dyDescent="0.3">
      <c r="A2814">
        <v>1985</v>
      </c>
      <c r="B2814">
        <v>3</v>
      </c>
      <c r="C2814">
        <v>11</v>
      </c>
      <c r="D2814">
        <v>0.85631538493937787</v>
      </c>
      <c r="E2814">
        <v>1.5200000000000102E-2</v>
      </c>
      <c r="F2814">
        <f t="shared" si="71"/>
        <v>1.3015993851078631E-2</v>
      </c>
      <c r="M2814" s="31"/>
    </row>
    <row r="2815" spans="1:13" x14ac:dyDescent="0.3">
      <c r="A2815">
        <v>1985</v>
      </c>
      <c r="B2815">
        <v>3</v>
      </c>
      <c r="C2815">
        <v>9</v>
      </c>
      <c r="D2815">
        <v>0.84054063626831266</v>
      </c>
      <c r="E2815">
        <v>1.5200000000000102E-2</v>
      </c>
      <c r="F2815">
        <f t="shared" si="71"/>
        <v>1.2776217671278439E-2</v>
      </c>
      <c r="M2815" s="31"/>
    </row>
    <row r="2816" spans="1:13" x14ac:dyDescent="0.3">
      <c r="A2816">
        <v>1985</v>
      </c>
      <c r="B2816">
        <v>3</v>
      </c>
      <c r="C2816">
        <v>7</v>
      </c>
      <c r="D2816">
        <v>0.82427896058576522</v>
      </c>
      <c r="E2816">
        <v>1.5200000000000102E-2</v>
      </c>
      <c r="F2816">
        <f t="shared" si="71"/>
        <v>1.2529040200903716E-2</v>
      </c>
      <c r="M2816" s="31"/>
    </row>
    <row r="2817" spans="1:13" x14ac:dyDescent="0.3">
      <c r="A2817">
        <v>1985</v>
      </c>
      <c r="B2817">
        <v>3</v>
      </c>
      <c r="C2817">
        <v>5</v>
      </c>
      <c r="D2817">
        <v>0.8085018185910573</v>
      </c>
      <c r="E2817">
        <v>1.5200000000000102E-2</v>
      </c>
      <c r="F2817">
        <f t="shared" si="71"/>
        <v>1.2289227642584154E-2</v>
      </c>
      <c r="M2817" s="31"/>
    </row>
    <row r="2818" spans="1:13" x14ac:dyDescent="0.3">
      <c r="A2818">
        <v>1985</v>
      </c>
      <c r="B2818">
        <v>3</v>
      </c>
      <c r="C2818">
        <v>3</v>
      </c>
      <c r="D2818">
        <v>0.79512258961554572</v>
      </c>
      <c r="E2818">
        <v>1.5200000000000102E-2</v>
      </c>
      <c r="F2818">
        <f t="shared" si="71"/>
        <v>1.2085863362156377E-2</v>
      </c>
      <c r="M2818" s="31"/>
    </row>
    <row r="2819" spans="1:13" x14ac:dyDescent="0.3">
      <c r="A2819">
        <v>1985</v>
      </c>
      <c r="B2819">
        <v>3</v>
      </c>
      <c r="C2819">
        <v>1</v>
      </c>
      <c r="D2819">
        <v>0.78616497600341495</v>
      </c>
      <c r="E2819">
        <v>1.5200000000000102E-2</v>
      </c>
      <c r="F2819">
        <f t="shared" ref="F2819:F2882" si="72">D2819*E2819</f>
        <v>1.1949707635251989E-2</v>
      </c>
      <c r="M2819" s="31"/>
    </row>
    <row r="2820" spans="1:13" x14ac:dyDescent="0.3">
      <c r="A2820">
        <v>1985</v>
      </c>
      <c r="B2820">
        <v>2</v>
      </c>
      <c r="C2820">
        <v>28</v>
      </c>
      <c r="D2820">
        <v>0.78405384632348241</v>
      </c>
      <c r="E2820">
        <v>1.5200000000000102E-2</v>
      </c>
      <c r="F2820">
        <f t="shared" si="72"/>
        <v>1.1917618464117014E-2</v>
      </c>
      <c r="M2820" s="31"/>
    </row>
    <row r="2821" spans="1:13" x14ac:dyDescent="0.3">
      <c r="A2821">
        <v>1985</v>
      </c>
      <c r="B2821">
        <v>2</v>
      </c>
      <c r="C2821">
        <v>11</v>
      </c>
      <c r="D2821">
        <v>0.7879589638518224</v>
      </c>
      <c r="E2821">
        <v>1.5200000000000102E-2</v>
      </c>
      <c r="F2821">
        <f t="shared" si="72"/>
        <v>1.1976976250547781E-2</v>
      </c>
      <c r="M2821" s="31"/>
    </row>
    <row r="2822" spans="1:13" x14ac:dyDescent="0.3">
      <c r="A2822">
        <v>1985</v>
      </c>
      <c r="B2822">
        <v>1</v>
      </c>
      <c r="C2822">
        <v>26</v>
      </c>
      <c r="D2822">
        <v>0.79598456781563276</v>
      </c>
      <c r="E2822">
        <v>1.5200000000000102E-2</v>
      </c>
      <c r="F2822">
        <f t="shared" si="72"/>
        <v>1.2098965430797699E-2</v>
      </c>
      <c r="M2822" s="31"/>
    </row>
    <row r="2823" spans="1:13" x14ac:dyDescent="0.3">
      <c r="A2823">
        <v>1985</v>
      </c>
      <c r="B2823">
        <v>1</v>
      </c>
      <c r="C2823">
        <v>10</v>
      </c>
      <c r="D2823">
        <v>0.8032078558297957</v>
      </c>
      <c r="E2823">
        <v>1.5200000000000102E-2</v>
      </c>
      <c r="F2823">
        <f t="shared" si="72"/>
        <v>1.2208759408612976E-2</v>
      </c>
      <c r="M2823" s="31"/>
    </row>
    <row r="2824" spans="1:13" x14ac:dyDescent="0.3">
      <c r="A2824">
        <v>1984</v>
      </c>
      <c r="B2824">
        <v>12</v>
      </c>
      <c r="C2824">
        <v>25</v>
      </c>
      <c r="D2824">
        <v>0.80934719064041916</v>
      </c>
      <c r="E2824">
        <v>1.5200000000000102E-2</v>
      </c>
      <c r="F2824">
        <f t="shared" si="72"/>
        <v>1.2302077297734453E-2</v>
      </c>
      <c r="M2824" s="31"/>
    </row>
    <row r="2825" spans="1:13" x14ac:dyDescent="0.3">
      <c r="A2825">
        <v>1984</v>
      </c>
      <c r="B2825">
        <v>12</v>
      </c>
      <c r="C2825">
        <v>9</v>
      </c>
      <c r="D2825">
        <v>0.81481035857468176</v>
      </c>
      <c r="E2825">
        <v>1.5200000000000102E-2</v>
      </c>
      <c r="F2825">
        <f t="shared" si="72"/>
        <v>1.2385117450335246E-2</v>
      </c>
      <c r="M2825" s="31"/>
    </row>
    <row r="2826" spans="1:13" x14ac:dyDescent="0.3">
      <c r="A2826">
        <v>1984</v>
      </c>
      <c r="B2826">
        <v>11</v>
      </c>
      <c r="C2826">
        <v>22</v>
      </c>
      <c r="D2826">
        <v>0.82083804697240592</v>
      </c>
      <c r="E2826">
        <v>1.5200000000000102E-2</v>
      </c>
      <c r="F2826">
        <f t="shared" si="72"/>
        <v>1.2476738313980653E-2</v>
      </c>
      <c r="M2826" s="31"/>
    </row>
    <row r="2827" spans="1:13" x14ac:dyDescent="0.3">
      <c r="A2827">
        <v>1984</v>
      </c>
      <c r="B2827">
        <v>11</v>
      </c>
      <c r="C2827">
        <v>6</v>
      </c>
      <c r="D2827">
        <v>0.82812695804544689</v>
      </c>
      <c r="E2827">
        <v>1.5200000000000102E-2</v>
      </c>
      <c r="F2827">
        <f t="shared" si="72"/>
        <v>1.2587529762290878E-2</v>
      </c>
      <c r="M2827" s="31"/>
    </row>
    <row r="2828" spans="1:13" x14ac:dyDescent="0.3">
      <c r="A2828">
        <v>1984</v>
      </c>
      <c r="B2828">
        <v>10</v>
      </c>
      <c r="C2828">
        <v>21</v>
      </c>
      <c r="D2828">
        <v>0.83793836114692588</v>
      </c>
      <c r="E2828">
        <v>1.5200000000000102E-2</v>
      </c>
      <c r="F2828">
        <f t="shared" si="72"/>
        <v>1.2736663089433359E-2</v>
      </c>
      <c r="M2828" s="31"/>
    </row>
    <row r="2829" spans="1:13" x14ac:dyDescent="0.3">
      <c r="A2829">
        <v>1984</v>
      </c>
      <c r="B2829">
        <v>10</v>
      </c>
      <c r="C2829">
        <v>5</v>
      </c>
      <c r="D2829">
        <v>0.84792140195205701</v>
      </c>
      <c r="E2829">
        <v>1.5200000000000102E-2</v>
      </c>
      <c r="F2829">
        <f t="shared" si="72"/>
        <v>1.2888405309671353E-2</v>
      </c>
      <c r="M2829" s="31"/>
    </row>
    <row r="2830" spans="1:13" x14ac:dyDescent="0.3">
      <c r="A2830">
        <v>1984</v>
      </c>
      <c r="B2830">
        <v>9</v>
      </c>
      <c r="C2830">
        <v>19</v>
      </c>
      <c r="D2830">
        <v>0.85807724164405075</v>
      </c>
      <c r="E2830">
        <v>1.5200000000000102E-2</v>
      </c>
      <c r="F2830">
        <f t="shared" si="72"/>
        <v>1.3042774072989659E-2</v>
      </c>
      <c r="M2830" s="31"/>
    </row>
    <row r="2831" spans="1:13" x14ac:dyDescent="0.3">
      <c r="A2831">
        <v>1984</v>
      </c>
      <c r="B2831">
        <v>9</v>
      </c>
      <c r="C2831">
        <v>2</v>
      </c>
      <c r="D2831">
        <v>0.86756513908880384</v>
      </c>
      <c r="E2831">
        <v>1.5200000000000102E-2</v>
      </c>
      <c r="F2831">
        <f t="shared" si="72"/>
        <v>1.3186990114149907E-2</v>
      </c>
      <c r="M2831" s="31"/>
    </row>
    <row r="2832" spans="1:13" x14ac:dyDescent="0.3">
      <c r="A2832">
        <v>1984</v>
      </c>
      <c r="B2832">
        <v>8</v>
      </c>
      <c r="C2832">
        <v>17</v>
      </c>
      <c r="D2832">
        <v>0.87595614407459965</v>
      </c>
      <c r="E2832">
        <v>1.5200000000000102E-2</v>
      </c>
      <c r="F2832">
        <f t="shared" si="72"/>
        <v>1.3314533389934005E-2</v>
      </c>
      <c r="M2832" s="31"/>
    </row>
    <row r="2833" spans="1:13" x14ac:dyDescent="0.3">
      <c r="A2833">
        <v>1984</v>
      </c>
      <c r="B2833">
        <v>8</v>
      </c>
      <c r="C2833">
        <v>1</v>
      </c>
      <c r="D2833">
        <v>0.88352361573255545</v>
      </c>
      <c r="E2833">
        <v>1.5200000000000102E-2</v>
      </c>
      <c r="F2833">
        <f t="shared" si="72"/>
        <v>1.3429558959134932E-2</v>
      </c>
      <c r="M2833" s="31"/>
    </row>
    <row r="2834" spans="1:13" x14ac:dyDescent="0.3">
      <c r="A2834">
        <v>1984</v>
      </c>
      <c r="B2834">
        <v>7</v>
      </c>
      <c r="C2834">
        <v>16</v>
      </c>
      <c r="D2834">
        <v>0.88898960553416817</v>
      </c>
      <c r="E2834">
        <v>1.5200000000000102E-2</v>
      </c>
      <c r="F2834">
        <f t="shared" si="72"/>
        <v>1.3512642004119448E-2</v>
      </c>
      <c r="M2834" s="31"/>
    </row>
    <row r="2835" spans="1:13" x14ac:dyDescent="0.3">
      <c r="A2835">
        <v>1984</v>
      </c>
      <c r="B2835">
        <v>6</v>
      </c>
      <c r="C2835">
        <v>30</v>
      </c>
      <c r="D2835">
        <v>0.89007993729632995</v>
      </c>
      <c r="E2835">
        <v>1.5200000000000102E-2</v>
      </c>
      <c r="F2835">
        <f t="shared" si="72"/>
        <v>1.3529215046904306E-2</v>
      </c>
      <c r="M2835" s="31"/>
    </row>
    <row r="2836" spans="1:13" x14ac:dyDescent="0.3">
      <c r="A2836">
        <v>1984</v>
      </c>
      <c r="B2836">
        <v>6</v>
      </c>
      <c r="C2836">
        <v>27</v>
      </c>
      <c r="D2836">
        <v>0.88805973692554763</v>
      </c>
      <c r="E2836">
        <v>1.5200000000000102E-2</v>
      </c>
      <c r="F2836">
        <f t="shared" si="72"/>
        <v>1.3498508001268415E-2</v>
      </c>
      <c r="M2836" s="31"/>
    </row>
    <row r="2837" spans="1:13" x14ac:dyDescent="0.3">
      <c r="A2837">
        <v>1984</v>
      </c>
      <c r="B2837">
        <v>6</v>
      </c>
      <c r="C2837">
        <v>25</v>
      </c>
      <c r="D2837">
        <v>0.88505095845152892</v>
      </c>
      <c r="E2837">
        <v>1.5200000000000102E-2</v>
      </c>
      <c r="F2837">
        <f t="shared" si="72"/>
        <v>1.3452774568463331E-2</v>
      </c>
      <c r="M2837" s="31"/>
    </row>
    <row r="2838" spans="1:13" x14ac:dyDescent="0.3">
      <c r="A2838">
        <v>1984</v>
      </c>
      <c r="B2838">
        <v>6</v>
      </c>
      <c r="C2838">
        <v>23</v>
      </c>
      <c r="D2838">
        <v>0.88232574892763016</v>
      </c>
      <c r="E2838">
        <v>1.5200000000000102E-2</v>
      </c>
      <c r="F2838">
        <f t="shared" si="72"/>
        <v>1.3411351383700068E-2</v>
      </c>
      <c r="M2838" s="31"/>
    </row>
    <row r="2839" spans="1:13" x14ac:dyDescent="0.3">
      <c r="A2839">
        <v>1984</v>
      </c>
      <c r="B2839">
        <v>6</v>
      </c>
      <c r="C2839">
        <v>21</v>
      </c>
      <c r="D2839">
        <v>0.88044837802889364</v>
      </c>
      <c r="E2839">
        <v>1.5200000000000102E-2</v>
      </c>
      <c r="F2839">
        <f t="shared" si="72"/>
        <v>1.3382815346039273E-2</v>
      </c>
      <c r="M2839" s="31"/>
    </row>
    <row r="2840" spans="1:13" x14ac:dyDescent="0.3">
      <c r="A2840">
        <v>1984</v>
      </c>
      <c r="B2840">
        <v>6</v>
      </c>
      <c r="C2840">
        <v>19</v>
      </c>
      <c r="D2840">
        <v>0.87871210915730391</v>
      </c>
      <c r="E2840">
        <v>1.5200000000000102E-2</v>
      </c>
      <c r="F2840">
        <f t="shared" si="72"/>
        <v>1.3356424059191109E-2</v>
      </c>
      <c r="M2840" s="31"/>
    </row>
    <row r="2841" spans="1:13" x14ac:dyDescent="0.3">
      <c r="A2841">
        <v>1984</v>
      </c>
      <c r="B2841">
        <v>6</v>
      </c>
      <c r="C2841">
        <v>17</v>
      </c>
      <c r="D2841">
        <v>0.87754048838442467</v>
      </c>
      <c r="E2841">
        <v>1.5200000000000102E-2</v>
      </c>
      <c r="F2841">
        <f t="shared" si="72"/>
        <v>1.3338615423443344E-2</v>
      </c>
      <c r="M2841" s="31"/>
    </row>
    <row r="2842" spans="1:13" x14ac:dyDescent="0.3">
      <c r="A2842">
        <v>1984</v>
      </c>
      <c r="B2842">
        <v>6</v>
      </c>
      <c r="C2842">
        <v>15</v>
      </c>
      <c r="D2842">
        <v>0.87622757591150091</v>
      </c>
      <c r="E2842">
        <v>1.5200000000000102E-2</v>
      </c>
      <c r="F2842">
        <f t="shared" si="72"/>
        <v>1.3318659153854903E-2</v>
      </c>
      <c r="M2842" s="31"/>
    </row>
    <row r="2843" spans="1:13" x14ac:dyDescent="0.3">
      <c r="A2843">
        <v>1984</v>
      </c>
      <c r="B2843">
        <v>6</v>
      </c>
      <c r="C2843">
        <v>13</v>
      </c>
      <c r="D2843">
        <v>0.87477344067002538</v>
      </c>
      <c r="E2843">
        <v>1.5200000000000102E-2</v>
      </c>
      <c r="F2843">
        <f t="shared" si="72"/>
        <v>1.3296556298184475E-2</v>
      </c>
      <c r="M2843" s="31"/>
    </row>
    <row r="2844" spans="1:13" x14ac:dyDescent="0.3">
      <c r="A2844">
        <v>1984</v>
      </c>
      <c r="B2844">
        <v>6</v>
      </c>
      <c r="C2844">
        <v>11</v>
      </c>
      <c r="D2844">
        <v>0.87247361926178035</v>
      </c>
      <c r="E2844">
        <v>1.5200000000000102E-2</v>
      </c>
      <c r="F2844">
        <f t="shared" si="72"/>
        <v>1.326159901277915E-2</v>
      </c>
      <c r="M2844" s="31"/>
    </row>
    <row r="2845" spans="1:13" x14ac:dyDescent="0.3">
      <c r="A2845">
        <v>1984</v>
      </c>
      <c r="B2845">
        <v>6</v>
      </c>
      <c r="C2845">
        <v>9</v>
      </c>
      <c r="D2845">
        <v>0.87003366830495632</v>
      </c>
      <c r="E2845">
        <v>1.5200000000000102E-2</v>
      </c>
      <c r="F2845">
        <f t="shared" si="72"/>
        <v>1.3224511758235425E-2</v>
      </c>
      <c r="M2845" s="31"/>
    </row>
    <row r="2846" spans="1:13" x14ac:dyDescent="0.3">
      <c r="A2846">
        <v>1984</v>
      </c>
      <c r="B2846">
        <v>6</v>
      </c>
      <c r="C2846">
        <v>7</v>
      </c>
      <c r="D2846">
        <v>0.86393411631135819</v>
      </c>
      <c r="E2846">
        <v>1.5200000000000102E-2</v>
      </c>
      <c r="F2846">
        <f t="shared" si="72"/>
        <v>1.3131798567932732E-2</v>
      </c>
      <c r="M2846" s="31"/>
    </row>
    <row r="2847" spans="1:13" x14ac:dyDescent="0.3">
      <c r="A2847">
        <v>1984</v>
      </c>
      <c r="B2847">
        <v>6</v>
      </c>
      <c r="C2847">
        <v>5</v>
      </c>
      <c r="D2847">
        <v>0.85321001247010009</v>
      </c>
      <c r="E2847">
        <v>1.5200000000000102E-2</v>
      </c>
      <c r="F2847">
        <f t="shared" si="72"/>
        <v>1.2968792189545608E-2</v>
      </c>
      <c r="M2847" s="31"/>
    </row>
    <row r="2848" spans="1:13" x14ac:dyDescent="0.3">
      <c r="A2848">
        <v>1984</v>
      </c>
      <c r="B2848">
        <v>6</v>
      </c>
      <c r="C2848">
        <v>3</v>
      </c>
      <c r="D2848">
        <v>0.83929861821439145</v>
      </c>
      <c r="E2848">
        <v>1.5200000000000102E-2</v>
      </c>
      <c r="F2848">
        <f t="shared" si="72"/>
        <v>1.2757338996858835E-2</v>
      </c>
      <c r="M2848" s="31"/>
    </row>
    <row r="2849" spans="1:13" x14ac:dyDescent="0.3">
      <c r="A2849">
        <v>1984</v>
      </c>
      <c r="B2849">
        <v>6</v>
      </c>
      <c r="C2849">
        <v>1</v>
      </c>
      <c r="D2849">
        <v>0.82418496685817932</v>
      </c>
      <c r="E2849">
        <v>1.5200000000000102E-2</v>
      </c>
      <c r="F2849">
        <f t="shared" si="72"/>
        <v>1.2527611496244409E-2</v>
      </c>
      <c r="M2849" s="31"/>
    </row>
    <row r="2850" spans="1:13" x14ac:dyDescent="0.3">
      <c r="A2850">
        <v>1984</v>
      </c>
      <c r="B2850">
        <v>5</v>
      </c>
      <c r="C2850">
        <v>29</v>
      </c>
      <c r="D2850">
        <v>0.80927149265121312</v>
      </c>
      <c r="E2850">
        <v>1.5200000000000102E-2</v>
      </c>
      <c r="F2850">
        <f t="shared" si="72"/>
        <v>1.2300926688298523E-2</v>
      </c>
      <c r="M2850" s="31"/>
    </row>
    <row r="2851" spans="1:13" x14ac:dyDescent="0.3">
      <c r="A2851">
        <v>1984</v>
      </c>
      <c r="B2851">
        <v>5</v>
      </c>
      <c r="C2851">
        <v>27</v>
      </c>
      <c r="D2851">
        <v>0.79690341160711997</v>
      </c>
      <c r="E2851">
        <v>1.5200000000000102E-2</v>
      </c>
      <c r="F2851">
        <f t="shared" si="72"/>
        <v>1.2112931856428305E-2</v>
      </c>
      <c r="M2851" s="31"/>
    </row>
    <row r="2852" spans="1:13" x14ac:dyDescent="0.3">
      <c r="A2852">
        <v>1984</v>
      </c>
      <c r="B2852">
        <v>5</v>
      </c>
      <c r="C2852">
        <v>25</v>
      </c>
      <c r="D2852">
        <v>0.78856948027137586</v>
      </c>
      <c r="E2852">
        <v>1.5200000000000102E-2</v>
      </c>
      <c r="F2852">
        <f t="shared" si="72"/>
        <v>1.1986256100124994E-2</v>
      </c>
      <c r="M2852" s="31"/>
    </row>
    <row r="2853" spans="1:13" x14ac:dyDescent="0.3">
      <c r="A2853">
        <v>1984</v>
      </c>
      <c r="B2853">
        <v>5</v>
      </c>
      <c r="C2853">
        <v>23</v>
      </c>
      <c r="D2853">
        <v>0.78245322350706159</v>
      </c>
      <c r="E2853">
        <v>1.5200000000000102E-2</v>
      </c>
      <c r="F2853">
        <f t="shared" si="72"/>
        <v>1.1893288997307416E-2</v>
      </c>
      <c r="M2853" s="31"/>
    </row>
    <row r="2854" spans="1:13" x14ac:dyDescent="0.3">
      <c r="A2854">
        <v>1984</v>
      </c>
      <c r="B2854">
        <v>5</v>
      </c>
      <c r="C2854">
        <v>21</v>
      </c>
      <c r="D2854">
        <v>0.7786806200810763</v>
      </c>
      <c r="E2854">
        <v>1.5200000000000102E-2</v>
      </c>
      <c r="F2854">
        <f t="shared" si="72"/>
        <v>1.183594542523244E-2</v>
      </c>
      <c r="M2854" s="31"/>
    </row>
    <row r="2855" spans="1:13" x14ac:dyDescent="0.3">
      <c r="A2855">
        <v>1984</v>
      </c>
      <c r="B2855">
        <v>5</v>
      </c>
      <c r="C2855">
        <v>19</v>
      </c>
      <c r="D2855">
        <v>0.77422482212749444</v>
      </c>
      <c r="E2855">
        <v>1.5200000000000102E-2</v>
      </c>
      <c r="F2855">
        <f t="shared" si="72"/>
        <v>1.1768217296337995E-2</v>
      </c>
      <c r="M2855" s="31"/>
    </row>
    <row r="2856" spans="1:13" x14ac:dyDescent="0.3">
      <c r="A2856">
        <v>1984</v>
      </c>
      <c r="B2856">
        <v>5</v>
      </c>
      <c r="C2856">
        <v>17</v>
      </c>
      <c r="D2856">
        <v>0.76854045564131213</v>
      </c>
      <c r="E2856">
        <v>1.5200000000000102E-2</v>
      </c>
      <c r="F2856">
        <f t="shared" si="72"/>
        <v>1.1681814925748024E-2</v>
      </c>
      <c r="M2856" s="31"/>
    </row>
    <row r="2857" spans="1:13" x14ac:dyDescent="0.3">
      <c r="A2857">
        <v>1984</v>
      </c>
      <c r="B2857">
        <v>5</v>
      </c>
      <c r="C2857">
        <v>15</v>
      </c>
      <c r="D2857">
        <v>0.75985625768479292</v>
      </c>
      <c r="E2857">
        <v>1.5200000000000102E-2</v>
      </c>
      <c r="F2857">
        <f t="shared" si="72"/>
        <v>1.154981511680893E-2</v>
      </c>
      <c r="M2857" s="31"/>
    </row>
    <row r="2858" spans="1:13" x14ac:dyDescent="0.3">
      <c r="A2858">
        <v>1984</v>
      </c>
      <c r="B2858">
        <v>5</v>
      </c>
      <c r="C2858">
        <v>13</v>
      </c>
      <c r="D2858">
        <v>0.74914919825739468</v>
      </c>
      <c r="E2858">
        <v>1.5200000000000102E-2</v>
      </c>
      <c r="F2858">
        <f t="shared" si="72"/>
        <v>1.1387067813512475E-2</v>
      </c>
      <c r="M2858" s="31"/>
    </row>
    <row r="2859" spans="1:13" x14ac:dyDescent="0.3">
      <c r="A2859">
        <v>1984</v>
      </c>
      <c r="B2859">
        <v>5</v>
      </c>
      <c r="C2859">
        <v>11</v>
      </c>
      <c r="D2859">
        <v>0.73711802296394446</v>
      </c>
      <c r="E2859">
        <v>1.5200000000000102E-2</v>
      </c>
      <c r="F2859">
        <f t="shared" si="72"/>
        <v>1.1204193949052031E-2</v>
      </c>
      <c r="M2859" s="31"/>
    </row>
    <row r="2860" spans="1:13" x14ac:dyDescent="0.3">
      <c r="A2860">
        <v>1984</v>
      </c>
      <c r="B2860">
        <v>5</v>
      </c>
      <c r="C2860">
        <v>9</v>
      </c>
      <c r="D2860">
        <v>0.7274284851421029</v>
      </c>
      <c r="E2860">
        <v>1.5200000000000102E-2</v>
      </c>
      <c r="F2860">
        <f t="shared" si="72"/>
        <v>1.1056912974160038E-2</v>
      </c>
      <c r="M2860" s="31"/>
    </row>
    <row r="2861" spans="1:13" x14ac:dyDescent="0.3">
      <c r="A2861">
        <v>1984</v>
      </c>
      <c r="B2861">
        <v>5</v>
      </c>
      <c r="C2861">
        <v>7</v>
      </c>
      <c r="D2861">
        <v>0.72032972762045366</v>
      </c>
      <c r="E2861">
        <v>1.5200000000000102E-2</v>
      </c>
      <c r="F2861">
        <f t="shared" si="72"/>
        <v>1.094901185983097E-2</v>
      </c>
      <c r="M2861" s="31"/>
    </row>
    <row r="2862" spans="1:13" x14ac:dyDescent="0.3">
      <c r="A2862">
        <v>1984</v>
      </c>
      <c r="B2862">
        <v>5</v>
      </c>
      <c r="C2862">
        <v>5</v>
      </c>
      <c r="D2862">
        <v>0.71661430273293747</v>
      </c>
      <c r="E2862">
        <v>1.5200000000000102E-2</v>
      </c>
      <c r="F2862">
        <f t="shared" si="72"/>
        <v>1.0892537401540723E-2</v>
      </c>
      <c r="M2862" s="31"/>
    </row>
    <row r="2863" spans="1:13" x14ac:dyDescent="0.3">
      <c r="A2863">
        <v>1984</v>
      </c>
      <c r="B2863">
        <v>5</v>
      </c>
      <c r="C2863">
        <v>3</v>
      </c>
      <c r="D2863">
        <v>0.71573198390591986</v>
      </c>
      <c r="E2863">
        <v>1.5200000000000102E-2</v>
      </c>
      <c r="F2863">
        <f t="shared" si="72"/>
        <v>1.0879126155370055E-2</v>
      </c>
      <c r="M2863" s="31"/>
    </row>
    <row r="2864" spans="1:13" x14ac:dyDescent="0.3">
      <c r="A2864">
        <v>1984</v>
      </c>
      <c r="B2864">
        <v>5</v>
      </c>
      <c r="C2864">
        <v>1</v>
      </c>
      <c r="D2864">
        <v>0.71525408850778871</v>
      </c>
      <c r="E2864">
        <v>1.5200000000000102E-2</v>
      </c>
      <c r="F2864">
        <f t="shared" si="72"/>
        <v>1.0871862145318462E-2</v>
      </c>
      <c r="M2864" s="31"/>
    </row>
    <row r="2865" spans="1:13" x14ac:dyDescent="0.3">
      <c r="A2865">
        <v>1984</v>
      </c>
      <c r="B2865">
        <v>4</v>
      </c>
      <c r="C2865">
        <v>28</v>
      </c>
      <c r="D2865">
        <v>0.714236614082289</v>
      </c>
      <c r="E2865">
        <v>1.5200000000000102E-2</v>
      </c>
      <c r="F2865">
        <f t="shared" si="72"/>
        <v>1.0856396534050865E-2</v>
      </c>
      <c r="M2865" s="31"/>
    </row>
    <row r="2866" spans="1:13" x14ac:dyDescent="0.3">
      <c r="A2866">
        <v>1984</v>
      </c>
      <c r="B2866">
        <v>4</v>
      </c>
      <c r="C2866">
        <v>26</v>
      </c>
      <c r="D2866">
        <v>0.71220000933484007</v>
      </c>
      <c r="E2866">
        <v>1.5200000000000102E-2</v>
      </c>
      <c r="F2866">
        <f t="shared" si="72"/>
        <v>1.0825440141889641E-2</v>
      </c>
      <c r="M2866" s="31"/>
    </row>
    <row r="2867" spans="1:13" x14ac:dyDescent="0.3">
      <c r="A2867">
        <v>1984</v>
      </c>
      <c r="B2867">
        <v>4</v>
      </c>
      <c r="C2867">
        <v>24</v>
      </c>
      <c r="D2867">
        <v>0.71393649536125248</v>
      </c>
      <c r="E2867">
        <v>1.5200000000000102E-2</v>
      </c>
      <c r="F2867">
        <f t="shared" si="72"/>
        <v>1.0851834729491111E-2</v>
      </c>
      <c r="M2867" s="31"/>
    </row>
    <row r="2868" spans="1:13" x14ac:dyDescent="0.3">
      <c r="A2868">
        <v>1984</v>
      </c>
      <c r="B2868">
        <v>4</v>
      </c>
      <c r="C2868">
        <v>22</v>
      </c>
      <c r="D2868">
        <v>0.71688784044588816</v>
      </c>
      <c r="E2868">
        <v>1.5200000000000102E-2</v>
      </c>
      <c r="F2868">
        <f t="shared" si="72"/>
        <v>1.0896695174777574E-2</v>
      </c>
      <c r="M2868" s="31"/>
    </row>
    <row r="2869" spans="1:13" x14ac:dyDescent="0.3">
      <c r="A2869">
        <v>1984</v>
      </c>
      <c r="B2869">
        <v>4</v>
      </c>
      <c r="C2869">
        <v>20</v>
      </c>
      <c r="D2869">
        <v>0.72186856507481423</v>
      </c>
      <c r="E2869">
        <v>1.5200000000000102E-2</v>
      </c>
      <c r="F2869">
        <f t="shared" si="72"/>
        <v>1.097240218913725E-2</v>
      </c>
      <c r="M2869" s="31"/>
    </row>
    <row r="2870" spans="1:13" x14ac:dyDescent="0.3">
      <c r="A2870">
        <v>1984</v>
      </c>
      <c r="B2870">
        <v>4</v>
      </c>
      <c r="C2870">
        <v>18</v>
      </c>
      <c r="D2870">
        <v>0.72848276226705988</v>
      </c>
      <c r="E2870">
        <v>1.5200000000000102E-2</v>
      </c>
      <c r="F2870">
        <f t="shared" si="72"/>
        <v>1.1072937986459384E-2</v>
      </c>
      <c r="M2870" s="31"/>
    </row>
    <row r="2871" spans="1:13" x14ac:dyDescent="0.3">
      <c r="A2871">
        <v>1984</v>
      </c>
      <c r="B2871">
        <v>4</v>
      </c>
      <c r="C2871">
        <v>16</v>
      </c>
      <c r="D2871">
        <v>0.73660521318572147</v>
      </c>
      <c r="E2871">
        <v>1.5200000000000102E-2</v>
      </c>
      <c r="F2871">
        <f t="shared" si="72"/>
        <v>1.1196399240423042E-2</v>
      </c>
      <c r="M2871" s="31"/>
    </row>
    <row r="2872" spans="1:13" x14ac:dyDescent="0.3">
      <c r="A2872">
        <v>1984</v>
      </c>
      <c r="B2872">
        <v>4</v>
      </c>
      <c r="C2872">
        <v>14</v>
      </c>
      <c r="D2872">
        <v>0.74270744533803934</v>
      </c>
      <c r="E2872">
        <v>1.5200000000000102E-2</v>
      </c>
      <c r="F2872">
        <f t="shared" si="72"/>
        <v>1.1289153169138274E-2</v>
      </c>
      <c r="M2872" s="31"/>
    </row>
    <row r="2873" spans="1:13" x14ac:dyDescent="0.3">
      <c r="A2873">
        <v>1984</v>
      </c>
      <c r="B2873">
        <v>4</v>
      </c>
      <c r="C2873">
        <v>12</v>
      </c>
      <c r="D2873">
        <v>0.74745852751735131</v>
      </c>
      <c r="E2873">
        <v>1.5200000000000102E-2</v>
      </c>
      <c r="F2873">
        <f t="shared" si="72"/>
        <v>1.1361369618263817E-2</v>
      </c>
      <c r="M2873" s="31"/>
    </row>
    <row r="2874" spans="1:13" x14ac:dyDescent="0.3">
      <c r="A2874">
        <v>1984</v>
      </c>
      <c r="B2874">
        <v>4</v>
      </c>
      <c r="C2874">
        <v>10</v>
      </c>
      <c r="D2874">
        <v>0.7530361613782901</v>
      </c>
      <c r="E2874">
        <v>1.5200000000000102E-2</v>
      </c>
      <c r="F2874">
        <f t="shared" si="72"/>
        <v>1.1446149652950087E-2</v>
      </c>
      <c r="M2874" s="31"/>
    </row>
    <row r="2875" spans="1:13" x14ac:dyDescent="0.3">
      <c r="A2875">
        <v>1984</v>
      </c>
      <c r="B2875">
        <v>4</v>
      </c>
      <c r="C2875">
        <v>8</v>
      </c>
      <c r="D2875">
        <v>0.759444387242452</v>
      </c>
      <c r="E2875">
        <v>1.5200000000000102E-2</v>
      </c>
      <c r="F2875">
        <f t="shared" si="72"/>
        <v>1.1543554686085348E-2</v>
      </c>
      <c r="M2875" s="31"/>
    </row>
    <row r="2876" spans="1:13" x14ac:dyDescent="0.3">
      <c r="A2876">
        <v>1984</v>
      </c>
      <c r="B2876">
        <v>4</v>
      </c>
      <c r="C2876">
        <v>6</v>
      </c>
      <c r="D2876">
        <v>0.76737435332313819</v>
      </c>
      <c r="E2876">
        <v>1.5200000000000102E-2</v>
      </c>
      <c r="F2876">
        <f t="shared" si="72"/>
        <v>1.1664090170511779E-2</v>
      </c>
      <c r="M2876" s="31"/>
    </row>
    <row r="2877" spans="1:13" x14ac:dyDescent="0.3">
      <c r="A2877">
        <v>1984</v>
      </c>
      <c r="B2877">
        <v>4</v>
      </c>
      <c r="C2877">
        <v>4</v>
      </c>
      <c r="D2877">
        <v>0.77573649360513741</v>
      </c>
      <c r="E2877">
        <v>1.5200000000000102E-2</v>
      </c>
      <c r="F2877">
        <f t="shared" si="72"/>
        <v>1.1791194702798168E-2</v>
      </c>
      <c r="M2877" s="31"/>
    </row>
    <row r="2878" spans="1:13" x14ac:dyDescent="0.3">
      <c r="A2878">
        <v>1984</v>
      </c>
      <c r="B2878">
        <v>4</v>
      </c>
      <c r="C2878">
        <v>2</v>
      </c>
      <c r="D2878">
        <v>0.78632774205691736</v>
      </c>
      <c r="E2878">
        <v>1.5200000000000102E-2</v>
      </c>
      <c r="F2878">
        <f t="shared" si="72"/>
        <v>1.1952181679265225E-2</v>
      </c>
      <c r="M2878" s="31"/>
    </row>
    <row r="2879" spans="1:13" x14ac:dyDescent="0.3">
      <c r="A2879">
        <v>1984</v>
      </c>
      <c r="B2879">
        <v>3</v>
      </c>
      <c r="C2879">
        <v>31</v>
      </c>
      <c r="D2879">
        <v>0.79639979915961168</v>
      </c>
      <c r="E2879">
        <v>1.5200000000000102E-2</v>
      </c>
      <c r="F2879">
        <f t="shared" si="72"/>
        <v>1.2105276947226179E-2</v>
      </c>
      <c r="M2879" s="31"/>
    </row>
    <row r="2880" spans="1:13" x14ac:dyDescent="0.3">
      <c r="A2880">
        <v>1984</v>
      </c>
      <c r="B2880">
        <v>3</v>
      </c>
      <c r="C2880">
        <v>28</v>
      </c>
      <c r="D2880">
        <v>0.80539257216571014</v>
      </c>
      <c r="E2880">
        <v>1.5200000000000102E-2</v>
      </c>
      <c r="F2880">
        <f t="shared" si="72"/>
        <v>1.2241967096918877E-2</v>
      </c>
      <c r="M2880" s="31"/>
    </row>
    <row r="2881" spans="1:13" x14ac:dyDescent="0.3">
      <c r="A2881">
        <v>1984</v>
      </c>
      <c r="B2881">
        <v>3</v>
      </c>
      <c r="C2881">
        <v>26</v>
      </c>
      <c r="D2881">
        <v>0.81260087965764161</v>
      </c>
      <c r="E2881">
        <v>1.5200000000000102E-2</v>
      </c>
      <c r="F2881">
        <f t="shared" si="72"/>
        <v>1.2351533370796235E-2</v>
      </c>
      <c r="M2881" s="31"/>
    </row>
    <row r="2882" spans="1:13" x14ac:dyDescent="0.3">
      <c r="A2882">
        <v>1984</v>
      </c>
      <c r="B2882">
        <v>3</v>
      </c>
      <c r="C2882">
        <v>24</v>
      </c>
      <c r="D2882">
        <v>0.81982466441102886</v>
      </c>
      <c r="E2882">
        <v>1.5200000000000102E-2</v>
      </c>
      <c r="F2882">
        <f t="shared" si="72"/>
        <v>1.2461334899047723E-2</v>
      </c>
      <c r="M2882" s="31"/>
    </row>
    <row r="2883" spans="1:13" x14ac:dyDescent="0.3">
      <c r="A2883">
        <v>1984</v>
      </c>
      <c r="B2883">
        <v>3</v>
      </c>
      <c r="C2883">
        <v>22</v>
      </c>
      <c r="D2883">
        <v>0.82580695239963842</v>
      </c>
      <c r="E2883">
        <v>1.5200000000000102E-2</v>
      </c>
      <c r="F2883">
        <f t="shared" ref="F2883:F2946" si="73">D2883*E2883</f>
        <v>1.2552265676474588E-2</v>
      </c>
      <c r="M2883" s="31"/>
    </row>
    <row r="2884" spans="1:13" x14ac:dyDescent="0.3">
      <c r="A2884">
        <v>1984</v>
      </c>
      <c r="B2884">
        <v>3</v>
      </c>
      <c r="C2884">
        <v>20</v>
      </c>
      <c r="D2884">
        <v>0.83068067128995315</v>
      </c>
      <c r="E2884">
        <v>1.5200000000000102E-2</v>
      </c>
      <c r="F2884">
        <f t="shared" si="73"/>
        <v>1.2626346203607372E-2</v>
      </c>
      <c r="M2884" s="31"/>
    </row>
    <row r="2885" spans="1:13" x14ac:dyDescent="0.3">
      <c r="A2885">
        <v>1984</v>
      </c>
      <c r="B2885">
        <v>3</v>
      </c>
      <c r="C2885">
        <v>18</v>
      </c>
      <c r="D2885">
        <v>0.83472094739940472</v>
      </c>
      <c r="E2885">
        <v>1.5200000000000102E-2</v>
      </c>
      <c r="F2885">
        <f t="shared" si="73"/>
        <v>1.2687758400471037E-2</v>
      </c>
      <c r="M2885" s="31"/>
    </row>
    <row r="2886" spans="1:13" x14ac:dyDescent="0.3">
      <c r="A2886">
        <v>1984</v>
      </c>
      <c r="B2886">
        <v>3</v>
      </c>
      <c r="C2886">
        <v>16</v>
      </c>
      <c r="D2886">
        <v>0.83722419003818127</v>
      </c>
      <c r="E2886">
        <v>1.5200000000000102E-2</v>
      </c>
      <c r="F2886">
        <f t="shared" si="73"/>
        <v>1.2725807688580441E-2</v>
      </c>
      <c r="M2886" s="31"/>
    </row>
    <row r="2887" spans="1:13" x14ac:dyDescent="0.3">
      <c r="A2887">
        <v>1984</v>
      </c>
      <c r="B2887">
        <v>3</v>
      </c>
      <c r="C2887">
        <v>14</v>
      </c>
      <c r="D2887">
        <v>0.83552546269119743</v>
      </c>
      <c r="E2887">
        <v>1.5200000000000102E-2</v>
      </c>
      <c r="F2887">
        <f t="shared" si="73"/>
        <v>1.2699987032906286E-2</v>
      </c>
      <c r="M2887" s="31"/>
    </row>
    <row r="2888" spans="1:13" x14ac:dyDescent="0.3">
      <c r="A2888">
        <v>1984</v>
      </c>
      <c r="B2888">
        <v>3</v>
      </c>
      <c r="C2888">
        <v>12</v>
      </c>
      <c r="D2888">
        <v>0.83005036893869011</v>
      </c>
      <c r="E2888">
        <v>1.5200000000000102E-2</v>
      </c>
      <c r="F2888">
        <f t="shared" si="73"/>
        <v>1.2616765607868174E-2</v>
      </c>
      <c r="M2888" s="31"/>
    </row>
    <row r="2889" spans="1:13" x14ac:dyDescent="0.3">
      <c r="A2889">
        <v>1984</v>
      </c>
      <c r="B2889">
        <v>3</v>
      </c>
      <c r="C2889">
        <v>10</v>
      </c>
      <c r="D2889">
        <v>0.82249121973553074</v>
      </c>
      <c r="E2889">
        <v>1.5200000000000102E-2</v>
      </c>
      <c r="F2889">
        <f t="shared" si="73"/>
        <v>1.2501866539980151E-2</v>
      </c>
      <c r="M2889" s="31"/>
    </row>
    <row r="2890" spans="1:13" x14ac:dyDescent="0.3">
      <c r="A2890">
        <v>1984</v>
      </c>
      <c r="B2890">
        <v>3</v>
      </c>
      <c r="C2890">
        <v>8</v>
      </c>
      <c r="D2890">
        <v>0.81314041867265541</v>
      </c>
      <c r="E2890">
        <v>1.5200000000000102E-2</v>
      </c>
      <c r="F2890">
        <f t="shared" si="73"/>
        <v>1.2359734363824445E-2</v>
      </c>
      <c r="M2890" s="31"/>
    </row>
    <row r="2891" spans="1:13" x14ac:dyDescent="0.3">
      <c r="A2891">
        <v>1984</v>
      </c>
      <c r="B2891">
        <v>3</v>
      </c>
      <c r="C2891">
        <v>6</v>
      </c>
      <c r="D2891">
        <v>0.80284511524438962</v>
      </c>
      <c r="E2891">
        <v>1.5200000000000102E-2</v>
      </c>
      <c r="F2891">
        <f t="shared" si="73"/>
        <v>1.2203245751714805E-2</v>
      </c>
      <c r="M2891" s="31"/>
    </row>
    <row r="2892" spans="1:13" x14ac:dyDescent="0.3">
      <c r="A2892">
        <v>1984</v>
      </c>
      <c r="B2892">
        <v>3</v>
      </c>
      <c r="C2892">
        <v>4</v>
      </c>
      <c r="D2892">
        <v>0.79534848860677676</v>
      </c>
      <c r="E2892">
        <v>1.5200000000000102E-2</v>
      </c>
      <c r="F2892">
        <f t="shared" si="73"/>
        <v>1.2089297026823088E-2</v>
      </c>
      <c r="M2892" s="31"/>
    </row>
    <row r="2893" spans="1:13" x14ac:dyDescent="0.3">
      <c r="A2893">
        <v>1984</v>
      </c>
      <c r="B2893">
        <v>3</v>
      </c>
      <c r="C2893">
        <v>2</v>
      </c>
      <c r="D2893">
        <v>0.79201273289283836</v>
      </c>
      <c r="E2893">
        <v>1.5200000000000102E-2</v>
      </c>
      <c r="F2893">
        <f t="shared" si="73"/>
        <v>1.2038593539971224E-2</v>
      </c>
      <c r="M2893" s="31"/>
    </row>
    <row r="2894" spans="1:13" x14ac:dyDescent="0.3">
      <c r="A2894">
        <v>1984</v>
      </c>
      <c r="B2894">
        <v>2</v>
      </c>
      <c r="C2894">
        <v>29</v>
      </c>
      <c r="D2894">
        <v>0.79116655178308071</v>
      </c>
      <c r="E2894">
        <v>1.5200000000000102E-2</v>
      </c>
      <c r="F2894">
        <f t="shared" si="73"/>
        <v>1.2025731587102908E-2</v>
      </c>
      <c r="M2894" s="31"/>
    </row>
    <row r="2895" spans="1:13" x14ac:dyDescent="0.3">
      <c r="A2895">
        <v>1984</v>
      </c>
      <c r="B2895">
        <v>2</v>
      </c>
      <c r="C2895">
        <v>6</v>
      </c>
      <c r="D2895">
        <v>0.79557400761688568</v>
      </c>
      <c r="E2895">
        <v>1.5200000000000102E-2</v>
      </c>
      <c r="F2895">
        <f t="shared" si="73"/>
        <v>1.2092724915776744E-2</v>
      </c>
      <c r="M2895" s="31"/>
    </row>
    <row r="2896" spans="1:13" x14ac:dyDescent="0.3">
      <c r="A2896">
        <v>1984</v>
      </c>
      <c r="B2896">
        <v>1</v>
      </c>
      <c r="C2896">
        <v>15</v>
      </c>
      <c r="D2896">
        <v>0.808587960247661</v>
      </c>
      <c r="E2896">
        <v>1.5200000000000102E-2</v>
      </c>
      <c r="F2896">
        <f t="shared" si="73"/>
        <v>1.2290536995764529E-2</v>
      </c>
      <c r="M2896" s="31"/>
    </row>
    <row r="2897" spans="1:13" x14ac:dyDescent="0.3">
      <c r="A2897">
        <v>1983</v>
      </c>
      <c r="B2897">
        <v>12</v>
      </c>
      <c r="C2897">
        <v>24</v>
      </c>
      <c r="D2897">
        <v>0.82863237599731576</v>
      </c>
      <c r="E2897">
        <v>1.5200000000000102E-2</v>
      </c>
      <c r="F2897">
        <f t="shared" si="73"/>
        <v>1.2595212115159285E-2</v>
      </c>
      <c r="M2897" s="31"/>
    </row>
    <row r="2898" spans="1:13" x14ac:dyDescent="0.3">
      <c r="A2898">
        <v>1983</v>
      </c>
      <c r="B2898">
        <v>12</v>
      </c>
      <c r="C2898">
        <v>2</v>
      </c>
      <c r="D2898">
        <v>0.85371901280979046</v>
      </c>
      <c r="E2898">
        <v>1.5200000000000102E-2</v>
      </c>
      <c r="F2898">
        <f t="shared" si="73"/>
        <v>1.2976528994708903E-2</v>
      </c>
      <c r="M2898" s="31"/>
    </row>
    <row r="2899" spans="1:13" x14ac:dyDescent="0.3">
      <c r="A2899">
        <v>1983</v>
      </c>
      <c r="B2899">
        <v>11</v>
      </c>
      <c r="C2899">
        <v>10</v>
      </c>
      <c r="D2899">
        <v>0.88366853955386915</v>
      </c>
      <c r="E2899">
        <v>1.5200000000000102E-2</v>
      </c>
      <c r="F2899">
        <f t="shared" si="73"/>
        <v>1.3431761801218901E-2</v>
      </c>
      <c r="M2899" s="31"/>
    </row>
    <row r="2900" spans="1:13" x14ac:dyDescent="0.3">
      <c r="A2900">
        <v>1983</v>
      </c>
      <c r="B2900">
        <v>10</v>
      </c>
      <c r="C2900">
        <v>18</v>
      </c>
      <c r="D2900">
        <v>0.9137247992930595</v>
      </c>
      <c r="E2900">
        <v>1.5200000000000102E-2</v>
      </c>
      <c r="F2900">
        <f t="shared" si="73"/>
        <v>1.3888616949254598E-2</v>
      </c>
      <c r="M2900" s="31"/>
    </row>
    <row r="2901" spans="1:13" x14ac:dyDescent="0.3">
      <c r="A2901">
        <v>1983</v>
      </c>
      <c r="B2901">
        <v>9</v>
      </c>
      <c r="C2901">
        <v>26</v>
      </c>
      <c r="D2901">
        <v>0.93854640481352625</v>
      </c>
      <c r="E2901">
        <v>1.5200000000000102E-2</v>
      </c>
      <c r="F2901">
        <f t="shared" si="73"/>
        <v>1.4265905353165695E-2</v>
      </c>
      <c r="M2901" s="31"/>
    </row>
    <row r="2902" spans="1:13" x14ac:dyDescent="0.3">
      <c r="A2902">
        <v>1983</v>
      </c>
      <c r="B2902">
        <v>9</v>
      </c>
      <c r="C2902">
        <v>4</v>
      </c>
      <c r="D2902">
        <v>0.95628636397865785</v>
      </c>
      <c r="E2902">
        <v>1.5200000000000102E-2</v>
      </c>
      <c r="F2902">
        <f t="shared" si="73"/>
        <v>1.4535552732475697E-2</v>
      </c>
      <c r="M2902" s="31"/>
    </row>
    <row r="2903" spans="1:13" x14ac:dyDescent="0.3">
      <c r="A2903">
        <v>1983</v>
      </c>
      <c r="B2903">
        <v>8</v>
      </c>
      <c r="C2903">
        <v>13</v>
      </c>
      <c r="D2903">
        <v>0.96786038417858922</v>
      </c>
      <c r="E2903">
        <v>1.5200000000000102E-2</v>
      </c>
      <c r="F2903">
        <f t="shared" si="73"/>
        <v>1.4711477839514655E-2</v>
      </c>
      <c r="M2903" s="31"/>
    </row>
    <row r="2904" spans="1:13" x14ac:dyDescent="0.3">
      <c r="A2904">
        <v>1983</v>
      </c>
      <c r="B2904">
        <v>7</v>
      </c>
      <c r="C2904">
        <v>22</v>
      </c>
      <c r="D2904">
        <v>0.97379492167379766</v>
      </c>
      <c r="E2904">
        <v>1.5200000000000102E-2</v>
      </c>
      <c r="F2904">
        <f t="shared" si="73"/>
        <v>1.4801682809441824E-2</v>
      </c>
      <c r="M2904" s="31"/>
    </row>
    <row r="2905" spans="1:13" x14ac:dyDescent="0.3">
      <c r="A2905">
        <v>1983</v>
      </c>
      <c r="B2905">
        <v>6</v>
      </c>
      <c r="C2905">
        <v>30</v>
      </c>
      <c r="D2905">
        <v>0.97493676235899474</v>
      </c>
      <c r="E2905">
        <v>1.5200000000000102E-2</v>
      </c>
      <c r="F2905">
        <f t="shared" si="73"/>
        <v>1.4819038787856819E-2</v>
      </c>
      <c r="M2905" s="31"/>
    </row>
    <row r="2906" spans="1:13" x14ac:dyDescent="0.3">
      <c r="A2906">
        <v>1983</v>
      </c>
      <c r="B2906">
        <v>6</v>
      </c>
      <c r="C2906">
        <v>27</v>
      </c>
      <c r="D2906">
        <v>0.97229962080822496</v>
      </c>
      <c r="E2906">
        <v>1.5200000000000102E-2</v>
      </c>
      <c r="F2906">
        <f t="shared" si="73"/>
        <v>1.4778954236285119E-2</v>
      </c>
      <c r="M2906" s="31"/>
    </row>
    <row r="2907" spans="1:13" x14ac:dyDescent="0.3">
      <c r="A2907">
        <v>1983</v>
      </c>
      <c r="B2907">
        <v>6</v>
      </c>
      <c r="C2907">
        <v>24</v>
      </c>
      <c r="D2907">
        <v>0.96647134371133725</v>
      </c>
      <c r="E2907">
        <v>1.5200000000000102E-2</v>
      </c>
      <c r="F2907">
        <f t="shared" si="73"/>
        <v>1.4690364424412425E-2</v>
      </c>
      <c r="M2907" s="31"/>
    </row>
    <row r="2908" spans="1:13" x14ac:dyDescent="0.3">
      <c r="A2908">
        <v>1983</v>
      </c>
      <c r="B2908">
        <v>6</v>
      </c>
      <c r="C2908">
        <v>21</v>
      </c>
      <c r="D2908">
        <v>0.95992761157602469</v>
      </c>
      <c r="E2908">
        <v>1.5200000000000102E-2</v>
      </c>
      <c r="F2908">
        <f t="shared" si="73"/>
        <v>1.4590899695955674E-2</v>
      </c>
      <c r="M2908" s="31"/>
    </row>
    <row r="2909" spans="1:13" x14ac:dyDescent="0.3">
      <c r="A2909">
        <v>1983</v>
      </c>
      <c r="B2909">
        <v>6</v>
      </c>
      <c r="C2909">
        <v>18</v>
      </c>
      <c r="D2909">
        <v>0.95324989369346091</v>
      </c>
      <c r="E2909">
        <v>1.5200000000000102E-2</v>
      </c>
      <c r="F2909">
        <f t="shared" si="73"/>
        <v>1.4489398384140704E-2</v>
      </c>
      <c r="M2909" s="31"/>
    </row>
    <row r="2910" spans="1:13" x14ac:dyDescent="0.3">
      <c r="A2910">
        <v>1983</v>
      </c>
      <c r="B2910">
        <v>6</v>
      </c>
      <c r="C2910">
        <v>16</v>
      </c>
      <c r="D2910">
        <v>0.94730595911778226</v>
      </c>
      <c r="E2910">
        <v>1.5200000000000102E-2</v>
      </c>
      <c r="F2910">
        <f t="shared" si="73"/>
        <v>1.4399050578590387E-2</v>
      </c>
      <c r="M2910" s="31"/>
    </row>
    <row r="2911" spans="1:13" x14ac:dyDescent="0.3">
      <c r="A2911">
        <v>1983</v>
      </c>
      <c r="B2911">
        <v>6</v>
      </c>
      <c r="C2911">
        <v>13</v>
      </c>
      <c r="D2911">
        <v>0.94367801509206906</v>
      </c>
      <c r="E2911">
        <v>1.5200000000000102E-2</v>
      </c>
      <c r="F2911">
        <f t="shared" si="73"/>
        <v>1.4343905829399546E-2</v>
      </c>
      <c r="M2911" s="31"/>
    </row>
    <row r="2912" spans="1:13" x14ac:dyDescent="0.3">
      <c r="A2912">
        <v>1983</v>
      </c>
      <c r="B2912">
        <v>6</v>
      </c>
      <c r="C2912">
        <v>10</v>
      </c>
      <c r="D2912">
        <v>0.94120653903482576</v>
      </c>
      <c r="E2912">
        <v>1.5200000000000102E-2</v>
      </c>
      <c r="F2912">
        <f t="shared" si="73"/>
        <v>1.4306339393329448E-2</v>
      </c>
      <c r="M2912" s="31"/>
    </row>
    <row r="2913" spans="1:13" x14ac:dyDescent="0.3">
      <c r="A2913">
        <v>1983</v>
      </c>
      <c r="B2913">
        <v>6</v>
      </c>
      <c r="C2913">
        <v>7</v>
      </c>
      <c r="D2913">
        <v>0.93513757841995893</v>
      </c>
      <c r="E2913">
        <v>1.5200000000000102E-2</v>
      </c>
      <c r="F2913">
        <f t="shared" si="73"/>
        <v>1.4214091191983471E-2</v>
      </c>
      <c r="M2913" s="31"/>
    </row>
    <row r="2914" spans="1:13" x14ac:dyDescent="0.3">
      <c r="A2914">
        <v>1983</v>
      </c>
      <c r="B2914">
        <v>6</v>
      </c>
      <c r="C2914">
        <v>5</v>
      </c>
      <c r="D2914">
        <v>0.92606287556684708</v>
      </c>
      <c r="E2914">
        <v>1.5200000000000102E-2</v>
      </c>
      <c r="F2914">
        <f t="shared" si="73"/>
        <v>1.4076155708616171E-2</v>
      </c>
      <c r="M2914" s="31"/>
    </row>
    <row r="2915" spans="1:13" x14ac:dyDescent="0.3">
      <c r="A2915">
        <v>1983</v>
      </c>
      <c r="B2915">
        <v>6</v>
      </c>
      <c r="C2915">
        <v>2</v>
      </c>
      <c r="D2915">
        <v>0.91486238765650219</v>
      </c>
      <c r="E2915">
        <v>1.5200000000000102E-2</v>
      </c>
      <c r="F2915">
        <f t="shared" si="73"/>
        <v>1.3905908292378926E-2</v>
      </c>
      <c r="M2915" s="31"/>
    </row>
    <row r="2916" spans="1:13" x14ac:dyDescent="0.3">
      <c r="A2916">
        <v>1983</v>
      </c>
      <c r="B2916">
        <v>5</v>
      </c>
      <c r="C2916">
        <v>30</v>
      </c>
      <c r="D2916">
        <v>0.90341048443789851</v>
      </c>
      <c r="E2916">
        <v>1.5200000000000102E-2</v>
      </c>
      <c r="F2916">
        <f t="shared" si="73"/>
        <v>1.373183936345615E-2</v>
      </c>
      <c r="M2916" s="31"/>
    </row>
    <row r="2917" spans="1:13" x14ac:dyDescent="0.3">
      <c r="A2917">
        <v>1983</v>
      </c>
      <c r="B2917">
        <v>5</v>
      </c>
      <c r="C2917">
        <v>27</v>
      </c>
      <c r="D2917">
        <v>0.89313254174655698</v>
      </c>
      <c r="E2917">
        <v>1.5200000000000102E-2</v>
      </c>
      <c r="F2917">
        <f t="shared" si="73"/>
        <v>1.3575614634547758E-2</v>
      </c>
      <c r="M2917" s="31"/>
    </row>
    <row r="2918" spans="1:13" x14ac:dyDescent="0.3">
      <c r="A2918">
        <v>1983</v>
      </c>
      <c r="B2918">
        <v>5</v>
      </c>
      <c r="C2918">
        <v>24</v>
      </c>
      <c r="D2918">
        <v>0.8860063207472284</v>
      </c>
      <c r="E2918">
        <v>1.5200000000000102E-2</v>
      </c>
      <c r="F2918">
        <f t="shared" si="73"/>
        <v>1.3467296075357963E-2</v>
      </c>
      <c r="M2918" s="31"/>
    </row>
    <row r="2919" spans="1:13" x14ac:dyDescent="0.3">
      <c r="A2919">
        <v>1983</v>
      </c>
      <c r="B2919">
        <v>5</v>
      </c>
      <c r="C2919">
        <v>22</v>
      </c>
      <c r="D2919">
        <v>0.88187170578625973</v>
      </c>
      <c r="E2919">
        <v>1.5200000000000102E-2</v>
      </c>
      <c r="F2919">
        <f t="shared" si="73"/>
        <v>1.3404449927951237E-2</v>
      </c>
      <c r="M2919" s="31"/>
    </row>
    <row r="2920" spans="1:13" x14ac:dyDescent="0.3">
      <c r="A2920">
        <v>1983</v>
      </c>
      <c r="B2920">
        <v>5</v>
      </c>
      <c r="C2920">
        <v>19</v>
      </c>
      <c r="D2920">
        <v>0.88000947559340115</v>
      </c>
      <c r="E2920">
        <v>1.5200000000000102E-2</v>
      </c>
      <c r="F2920">
        <f t="shared" si="73"/>
        <v>1.3376144029019788E-2</v>
      </c>
      <c r="M2920" s="31"/>
    </row>
    <row r="2921" spans="1:13" x14ac:dyDescent="0.3">
      <c r="A2921">
        <v>1983</v>
      </c>
      <c r="B2921">
        <v>5</v>
      </c>
      <c r="C2921">
        <v>16</v>
      </c>
      <c r="D2921">
        <v>0.87758174841173764</v>
      </c>
      <c r="E2921">
        <v>1.5200000000000102E-2</v>
      </c>
      <c r="F2921">
        <f t="shared" si="73"/>
        <v>1.3339242575858503E-2</v>
      </c>
      <c r="M2921" s="31"/>
    </row>
    <row r="2922" spans="1:13" x14ac:dyDescent="0.3">
      <c r="A2922">
        <v>1983</v>
      </c>
      <c r="B2922">
        <v>5</v>
      </c>
      <c r="C2922">
        <v>13</v>
      </c>
      <c r="D2922">
        <v>0.87317426350898453</v>
      </c>
      <c r="E2922">
        <v>1.5200000000000102E-2</v>
      </c>
      <c r="F2922">
        <f t="shared" si="73"/>
        <v>1.3272248805336654E-2</v>
      </c>
      <c r="M2922" s="31"/>
    </row>
    <row r="2923" spans="1:13" x14ac:dyDescent="0.3">
      <c r="A2923">
        <v>1983</v>
      </c>
      <c r="B2923">
        <v>5</v>
      </c>
      <c r="C2923">
        <v>11</v>
      </c>
      <c r="D2923">
        <v>0.86439457493644578</v>
      </c>
      <c r="E2923">
        <v>1.5200000000000102E-2</v>
      </c>
      <c r="F2923">
        <f t="shared" si="73"/>
        <v>1.3138797539034065E-2</v>
      </c>
      <c r="M2923" s="31"/>
    </row>
    <row r="2924" spans="1:13" x14ac:dyDescent="0.3">
      <c r="A2924">
        <v>1983</v>
      </c>
      <c r="B2924">
        <v>5</v>
      </c>
      <c r="C2924">
        <v>8</v>
      </c>
      <c r="D2924">
        <v>0.85197866095929298</v>
      </c>
      <c r="E2924">
        <v>1.5200000000000102E-2</v>
      </c>
      <c r="F2924">
        <f t="shared" si="73"/>
        <v>1.2950075646581341E-2</v>
      </c>
      <c r="M2924" s="31"/>
    </row>
    <row r="2925" spans="1:13" x14ac:dyDescent="0.3">
      <c r="A2925">
        <v>1983</v>
      </c>
      <c r="B2925">
        <v>5</v>
      </c>
      <c r="C2925">
        <v>5</v>
      </c>
      <c r="D2925">
        <v>0.83680611087341206</v>
      </c>
      <c r="E2925">
        <v>1.5200000000000102E-2</v>
      </c>
      <c r="F2925">
        <f t="shared" si="73"/>
        <v>1.2719452885275949E-2</v>
      </c>
      <c r="M2925" s="31"/>
    </row>
    <row r="2926" spans="1:13" x14ac:dyDescent="0.3">
      <c r="A2926">
        <v>1983</v>
      </c>
      <c r="B2926">
        <v>5</v>
      </c>
      <c r="C2926">
        <v>2</v>
      </c>
      <c r="D2926">
        <v>0.81933231293011444</v>
      </c>
      <c r="E2926">
        <v>1.5200000000000102E-2</v>
      </c>
      <c r="F2926">
        <f t="shared" si="73"/>
        <v>1.2453851156537823E-2</v>
      </c>
      <c r="M2926" s="31"/>
    </row>
    <row r="2927" spans="1:13" x14ac:dyDescent="0.3">
      <c r="A2927">
        <v>1983</v>
      </c>
      <c r="B2927">
        <v>4</v>
      </c>
      <c r="C2927">
        <v>30</v>
      </c>
      <c r="D2927">
        <v>0.80042616078822271</v>
      </c>
      <c r="E2927">
        <v>1.5200000000000102E-2</v>
      </c>
      <c r="F2927">
        <f t="shared" si="73"/>
        <v>1.2166477643981067E-2</v>
      </c>
      <c r="M2927" s="31"/>
    </row>
    <row r="2928" spans="1:13" x14ac:dyDescent="0.3">
      <c r="A2928">
        <v>1983</v>
      </c>
      <c r="B2928">
        <v>4</v>
      </c>
      <c r="C2928">
        <v>27</v>
      </c>
      <c r="D2928">
        <v>0.78397111142921927</v>
      </c>
      <c r="E2928">
        <v>1.5200000000000102E-2</v>
      </c>
      <c r="F2928">
        <f t="shared" si="73"/>
        <v>1.1916360893724214E-2</v>
      </c>
      <c r="M2928" s="31"/>
    </row>
    <row r="2929" spans="1:13" x14ac:dyDescent="0.3">
      <c r="A2929">
        <v>1983</v>
      </c>
      <c r="B2929">
        <v>4</v>
      </c>
      <c r="C2929">
        <v>24</v>
      </c>
      <c r="D2929">
        <v>0.76883451149500981</v>
      </c>
      <c r="E2929">
        <v>1.5200000000000102E-2</v>
      </c>
      <c r="F2929">
        <f t="shared" si="73"/>
        <v>1.1686284574724228E-2</v>
      </c>
      <c r="M2929" s="31"/>
    </row>
    <row r="2930" spans="1:13" x14ac:dyDescent="0.3">
      <c r="A2930">
        <v>1983</v>
      </c>
      <c r="B2930">
        <v>4</v>
      </c>
      <c r="C2930">
        <v>21</v>
      </c>
      <c r="D2930">
        <v>0.75459007384147947</v>
      </c>
      <c r="E2930">
        <v>1.5200000000000102E-2</v>
      </c>
      <c r="F2930">
        <f t="shared" si="73"/>
        <v>1.1469769122390566E-2</v>
      </c>
      <c r="M2930" s="31"/>
    </row>
    <row r="2931" spans="1:13" x14ac:dyDescent="0.3">
      <c r="A2931">
        <v>1983</v>
      </c>
      <c r="B2931">
        <v>4</v>
      </c>
      <c r="C2931">
        <v>18</v>
      </c>
      <c r="D2931">
        <v>0.74151467167315976</v>
      </c>
      <c r="E2931">
        <v>1.5200000000000102E-2</v>
      </c>
      <c r="F2931">
        <f t="shared" si="73"/>
        <v>1.1271023009432104E-2</v>
      </c>
      <c r="M2931" s="31"/>
    </row>
    <row r="2932" spans="1:13" x14ac:dyDescent="0.3">
      <c r="A2932">
        <v>1983</v>
      </c>
      <c r="B2932">
        <v>4</v>
      </c>
      <c r="C2932">
        <v>16</v>
      </c>
      <c r="D2932">
        <v>0.73039079047578193</v>
      </c>
      <c r="E2932">
        <v>1.5200000000000102E-2</v>
      </c>
      <c r="F2932">
        <f t="shared" si="73"/>
        <v>1.1101940015231959E-2</v>
      </c>
      <c r="M2932" s="31"/>
    </row>
    <row r="2933" spans="1:13" x14ac:dyDescent="0.3">
      <c r="A2933">
        <v>1983</v>
      </c>
      <c r="B2933">
        <v>4</v>
      </c>
      <c r="C2933">
        <v>13</v>
      </c>
      <c r="D2933">
        <v>0.71971272502336869</v>
      </c>
      <c r="E2933">
        <v>1.5200000000000102E-2</v>
      </c>
      <c r="F2933">
        <f t="shared" si="73"/>
        <v>1.0939633420355277E-2</v>
      </c>
      <c r="M2933" s="31"/>
    </row>
    <row r="2934" spans="1:13" x14ac:dyDescent="0.3">
      <c r="A2934">
        <v>1983</v>
      </c>
      <c r="B2934">
        <v>4</v>
      </c>
      <c r="C2934">
        <v>10</v>
      </c>
      <c r="D2934">
        <v>0.70988014653102927</v>
      </c>
      <c r="E2934">
        <v>1.5200000000000102E-2</v>
      </c>
      <c r="F2934">
        <f t="shared" si="73"/>
        <v>1.0790178227271718E-2</v>
      </c>
      <c r="M2934" s="31"/>
    </row>
    <row r="2935" spans="1:13" x14ac:dyDescent="0.3">
      <c r="A2935">
        <v>1983</v>
      </c>
      <c r="B2935">
        <v>4</v>
      </c>
      <c r="C2935">
        <v>7</v>
      </c>
      <c r="D2935">
        <v>0.70061676563718989</v>
      </c>
      <c r="E2935">
        <v>1.5200000000000102E-2</v>
      </c>
      <c r="F2935">
        <f t="shared" si="73"/>
        <v>1.0649374837685358E-2</v>
      </c>
      <c r="M2935" s="31"/>
    </row>
    <row r="2936" spans="1:13" x14ac:dyDescent="0.3">
      <c r="A2936">
        <v>1983</v>
      </c>
      <c r="B2936">
        <v>4</v>
      </c>
      <c r="C2936">
        <v>5</v>
      </c>
      <c r="D2936">
        <v>0.69165044368818651</v>
      </c>
      <c r="E2936">
        <v>1.5200000000000102E-2</v>
      </c>
      <c r="F2936">
        <f t="shared" si="73"/>
        <v>1.0513086744060506E-2</v>
      </c>
      <c r="M2936" s="31"/>
    </row>
    <row r="2937" spans="1:13" x14ac:dyDescent="0.3">
      <c r="A2937">
        <v>1983</v>
      </c>
      <c r="B2937">
        <v>4</v>
      </c>
      <c r="C2937">
        <v>2</v>
      </c>
      <c r="D2937">
        <v>0.68351185951323101</v>
      </c>
      <c r="E2937">
        <v>1.5200000000000102E-2</v>
      </c>
      <c r="F2937">
        <f t="shared" si="73"/>
        <v>1.0389380264601181E-2</v>
      </c>
      <c r="M2937" s="31"/>
    </row>
    <row r="2938" spans="1:13" x14ac:dyDescent="0.3">
      <c r="A2938">
        <v>1983</v>
      </c>
      <c r="B2938">
        <v>3</v>
      </c>
      <c r="C2938">
        <v>30</v>
      </c>
      <c r="D2938">
        <v>0.67792206283076584</v>
      </c>
      <c r="E2938">
        <v>1.5200000000000102E-2</v>
      </c>
      <c r="F2938">
        <f t="shared" si="73"/>
        <v>1.0304415355027709E-2</v>
      </c>
      <c r="M2938" s="31"/>
    </row>
    <row r="2939" spans="1:13" x14ac:dyDescent="0.3">
      <c r="A2939">
        <v>1983</v>
      </c>
      <c r="B2939">
        <v>3</v>
      </c>
      <c r="C2939">
        <v>27</v>
      </c>
      <c r="D2939">
        <v>0.67327274156663874</v>
      </c>
      <c r="E2939">
        <v>1.5200000000000102E-2</v>
      </c>
      <c r="F2939">
        <f t="shared" si="73"/>
        <v>1.0233745671812977E-2</v>
      </c>
      <c r="M2939" s="31"/>
    </row>
    <row r="2940" spans="1:13" x14ac:dyDescent="0.3">
      <c r="A2940">
        <v>1983</v>
      </c>
      <c r="B2940">
        <v>3</v>
      </c>
      <c r="C2940">
        <v>24</v>
      </c>
      <c r="D2940">
        <v>0.67141534974640871</v>
      </c>
      <c r="E2940">
        <v>1.5200000000000102E-2</v>
      </c>
      <c r="F2940">
        <f t="shared" si="73"/>
        <v>1.0205513316145481E-2</v>
      </c>
      <c r="M2940" s="31"/>
    </row>
    <row r="2941" spans="1:13" x14ac:dyDescent="0.3">
      <c r="A2941">
        <v>1983</v>
      </c>
      <c r="B2941">
        <v>3</v>
      </c>
      <c r="C2941">
        <v>22</v>
      </c>
      <c r="D2941">
        <v>0.67154812667006192</v>
      </c>
      <c r="E2941">
        <v>1.5200000000000102E-2</v>
      </c>
      <c r="F2941">
        <f t="shared" si="73"/>
        <v>1.020753152538501E-2</v>
      </c>
      <c r="M2941" s="31"/>
    </row>
    <row r="2942" spans="1:13" x14ac:dyDescent="0.3">
      <c r="A2942">
        <v>1983</v>
      </c>
      <c r="B2942">
        <v>3</v>
      </c>
      <c r="C2942">
        <v>19</v>
      </c>
      <c r="D2942">
        <v>0.67367136147825535</v>
      </c>
      <c r="E2942">
        <v>1.5200000000000102E-2</v>
      </c>
      <c r="F2942">
        <f t="shared" si="73"/>
        <v>1.0239804694469549E-2</v>
      </c>
      <c r="M2942" s="31"/>
    </row>
    <row r="2943" spans="1:13" x14ac:dyDescent="0.3">
      <c r="A2943">
        <v>1983</v>
      </c>
      <c r="B2943">
        <v>3</v>
      </c>
      <c r="C2943">
        <v>16</v>
      </c>
      <c r="D2943">
        <v>0.67526503790852987</v>
      </c>
      <c r="E2943">
        <v>1.5200000000000102E-2</v>
      </c>
      <c r="F2943">
        <f t="shared" si="73"/>
        <v>1.0264028576209724E-2</v>
      </c>
      <c r="M2943" s="31"/>
    </row>
    <row r="2944" spans="1:13" x14ac:dyDescent="0.3">
      <c r="A2944">
        <v>1983</v>
      </c>
      <c r="B2944">
        <v>3</v>
      </c>
      <c r="C2944">
        <v>13</v>
      </c>
      <c r="D2944">
        <v>0.67685929145210955</v>
      </c>
      <c r="E2944">
        <v>1.5200000000000102E-2</v>
      </c>
      <c r="F2944">
        <f t="shared" si="73"/>
        <v>1.0288261230072135E-2</v>
      </c>
      <c r="M2944" s="31"/>
    </row>
    <row r="2945" spans="1:13" x14ac:dyDescent="0.3">
      <c r="A2945">
        <v>1983</v>
      </c>
      <c r="B2945">
        <v>3</v>
      </c>
      <c r="C2945">
        <v>11</v>
      </c>
      <c r="D2945">
        <v>0.67579623819836931</v>
      </c>
      <c r="E2945">
        <v>1.5200000000000102E-2</v>
      </c>
      <c r="F2945">
        <f t="shared" si="73"/>
        <v>1.0272102820615282E-2</v>
      </c>
      <c r="M2945" s="31"/>
    </row>
    <row r="2946" spans="1:13" x14ac:dyDescent="0.3">
      <c r="A2946">
        <v>1983</v>
      </c>
      <c r="B2946">
        <v>3</v>
      </c>
      <c r="C2946">
        <v>8</v>
      </c>
      <c r="D2946">
        <v>0.6734059535603456</v>
      </c>
      <c r="E2946">
        <v>1.5200000000000102E-2</v>
      </c>
      <c r="F2946">
        <f t="shared" si="73"/>
        <v>1.0235770494117322E-2</v>
      </c>
      <c r="M2946" s="31"/>
    </row>
    <row r="2947" spans="1:13" x14ac:dyDescent="0.3">
      <c r="A2947">
        <v>1983</v>
      </c>
      <c r="B2947">
        <v>3</v>
      </c>
      <c r="C2947">
        <v>5</v>
      </c>
      <c r="D2947">
        <v>0.66876392021184738</v>
      </c>
      <c r="E2947">
        <v>1.5200000000000102E-2</v>
      </c>
      <c r="F2947">
        <f t="shared" ref="F2947:F3010" si="74">D2947*E2947</f>
        <v>1.0165211587220148E-2</v>
      </c>
      <c r="M2947" s="31"/>
    </row>
    <row r="2948" spans="1:13" x14ac:dyDescent="0.3">
      <c r="A2948">
        <v>1983</v>
      </c>
      <c r="B2948">
        <v>3</v>
      </c>
      <c r="C2948">
        <v>2</v>
      </c>
      <c r="D2948">
        <v>0.66479126112921938</v>
      </c>
      <c r="E2948">
        <v>1.5200000000000102E-2</v>
      </c>
      <c r="F2948">
        <f t="shared" si="74"/>
        <v>1.0104827169164202E-2</v>
      </c>
      <c r="M2948" s="31"/>
    </row>
    <row r="2949" spans="1:13" x14ac:dyDescent="0.3">
      <c r="A2949">
        <v>1983</v>
      </c>
      <c r="B2949">
        <v>2</v>
      </c>
      <c r="C2949">
        <v>28</v>
      </c>
      <c r="D2949">
        <v>0.66254258608979688</v>
      </c>
      <c r="E2949">
        <v>1.5200000000000102E-2</v>
      </c>
      <c r="F2949">
        <f t="shared" si="74"/>
        <v>1.0070647308564981E-2</v>
      </c>
      <c r="M2949" s="31"/>
    </row>
    <row r="2950" spans="1:13" x14ac:dyDescent="0.3">
      <c r="A2950">
        <v>1983</v>
      </c>
      <c r="B2950">
        <v>2</v>
      </c>
      <c r="C2950">
        <v>16</v>
      </c>
      <c r="D2950">
        <v>0.66465881301535679</v>
      </c>
      <c r="E2950">
        <v>1.5200000000000102E-2</v>
      </c>
      <c r="F2950">
        <f t="shared" si="74"/>
        <v>1.0102813957833492E-2</v>
      </c>
      <c r="M2950" s="31"/>
    </row>
    <row r="2951" spans="1:13" x14ac:dyDescent="0.3">
      <c r="A2951">
        <v>1983</v>
      </c>
      <c r="B2951">
        <v>2</v>
      </c>
      <c r="C2951">
        <v>5</v>
      </c>
      <c r="D2951">
        <v>0.67048678105889536</v>
      </c>
      <c r="E2951">
        <v>1.5200000000000102E-2</v>
      </c>
      <c r="F2951">
        <f t="shared" si="74"/>
        <v>1.0191399072095278E-2</v>
      </c>
      <c r="M2951" s="31"/>
    </row>
    <row r="2952" spans="1:13" x14ac:dyDescent="0.3">
      <c r="A2952">
        <v>1983</v>
      </c>
      <c r="B2952">
        <v>1</v>
      </c>
      <c r="C2952">
        <v>25</v>
      </c>
      <c r="D2952">
        <v>0.67978419300230342</v>
      </c>
      <c r="E2952">
        <v>1.5200000000000102E-2</v>
      </c>
      <c r="F2952">
        <f t="shared" si="74"/>
        <v>1.0332719733635082E-2</v>
      </c>
      <c r="M2952" s="31"/>
    </row>
    <row r="2953" spans="1:13" x14ac:dyDescent="0.3">
      <c r="A2953">
        <v>1983</v>
      </c>
      <c r="B2953">
        <v>1</v>
      </c>
      <c r="C2953">
        <v>14</v>
      </c>
      <c r="D2953">
        <v>0.68897961328168367</v>
      </c>
      <c r="E2953">
        <v>1.5200000000000102E-2</v>
      </c>
      <c r="F2953">
        <f t="shared" si="74"/>
        <v>1.0472490121881662E-2</v>
      </c>
      <c r="M2953" s="31"/>
    </row>
    <row r="2954" spans="1:13" x14ac:dyDescent="0.3">
      <c r="A2954">
        <v>1983</v>
      </c>
      <c r="B2954">
        <v>1</v>
      </c>
      <c r="C2954">
        <v>3</v>
      </c>
      <c r="D2954">
        <v>0.69740171075393431</v>
      </c>
      <c r="E2954">
        <v>1.5200000000000102E-2</v>
      </c>
      <c r="F2954">
        <f t="shared" si="74"/>
        <v>1.0600506003459872E-2</v>
      </c>
      <c r="M2954" s="31"/>
    </row>
    <row r="2955" spans="1:13" x14ac:dyDescent="0.3">
      <c r="A2955">
        <v>1982</v>
      </c>
      <c r="B2955">
        <v>12</v>
      </c>
      <c r="C2955">
        <v>23</v>
      </c>
      <c r="D2955">
        <v>0.70370112720105016</v>
      </c>
      <c r="E2955">
        <v>1.5200000000000102E-2</v>
      </c>
      <c r="F2955">
        <f t="shared" si="74"/>
        <v>1.0696257133456035E-2</v>
      </c>
      <c r="M2955" s="31"/>
    </row>
    <row r="2956" spans="1:13" x14ac:dyDescent="0.3">
      <c r="A2956">
        <v>1982</v>
      </c>
      <c r="B2956">
        <v>12</v>
      </c>
      <c r="C2956">
        <v>12</v>
      </c>
      <c r="D2956">
        <v>0.70907336084727213</v>
      </c>
      <c r="E2956">
        <v>1.5200000000000102E-2</v>
      </c>
      <c r="F2956">
        <f t="shared" si="74"/>
        <v>1.0777915084878608E-2</v>
      </c>
      <c r="M2956" s="31"/>
    </row>
    <row r="2957" spans="1:13" x14ac:dyDescent="0.3">
      <c r="A2957">
        <v>1982</v>
      </c>
      <c r="B2957">
        <v>12</v>
      </c>
      <c r="C2957">
        <v>1</v>
      </c>
      <c r="D2957">
        <v>0.71337834786715792</v>
      </c>
      <c r="E2957">
        <v>1.5200000000000102E-2</v>
      </c>
      <c r="F2957">
        <f t="shared" si="74"/>
        <v>1.0843350887580873E-2</v>
      </c>
      <c r="M2957" s="31"/>
    </row>
    <row r="2958" spans="1:13" x14ac:dyDescent="0.3">
      <c r="A2958">
        <v>1982</v>
      </c>
      <c r="B2958">
        <v>11</v>
      </c>
      <c r="C2958">
        <v>20</v>
      </c>
      <c r="D2958">
        <v>0.71930794092240002</v>
      </c>
      <c r="E2958">
        <v>1.5200000000000102E-2</v>
      </c>
      <c r="F2958">
        <f t="shared" si="74"/>
        <v>1.0933480702020553E-2</v>
      </c>
      <c r="M2958" s="31"/>
    </row>
    <row r="2959" spans="1:13" x14ac:dyDescent="0.3">
      <c r="A2959">
        <v>1982</v>
      </c>
      <c r="B2959">
        <v>11</v>
      </c>
      <c r="C2959">
        <v>9</v>
      </c>
      <c r="D2959">
        <v>0.7272781036807231</v>
      </c>
      <c r="E2959">
        <v>1.5200000000000102E-2</v>
      </c>
      <c r="F2959">
        <f t="shared" si="74"/>
        <v>1.1054627175947065E-2</v>
      </c>
      <c r="M2959" s="31"/>
    </row>
    <row r="2960" spans="1:13" x14ac:dyDescent="0.3">
      <c r="A2960">
        <v>1982</v>
      </c>
      <c r="B2960">
        <v>10</v>
      </c>
      <c r="C2960">
        <v>29</v>
      </c>
      <c r="D2960">
        <v>0.73757579459957889</v>
      </c>
      <c r="E2960">
        <v>1.5200000000000102E-2</v>
      </c>
      <c r="F2960">
        <f t="shared" si="74"/>
        <v>1.1211152077913674E-2</v>
      </c>
      <c r="M2960" s="31"/>
    </row>
    <row r="2961" spans="1:13" x14ac:dyDescent="0.3">
      <c r="A2961">
        <v>1982</v>
      </c>
      <c r="B2961">
        <v>10</v>
      </c>
      <c r="C2961">
        <v>18</v>
      </c>
      <c r="D2961">
        <v>0.74940746684197268</v>
      </c>
      <c r="E2961">
        <v>1.5200000000000102E-2</v>
      </c>
      <c r="F2961">
        <f t="shared" si="74"/>
        <v>1.1390993495998061E-2</v>
      </c>
      <c r="M2961" s="31"/>
    </row>
    <row r="2962" spans="1:13" x14ac:dyDescent="0.3">
      <c r="A2962">
        <v>1982</v>
      </c>
      <c r="B2962">
        <v>10</v>
      </c>
      <c r="C2962">
        <v>7</v>
      </c>
      <c r="D2962">
        <v>0.76320089886528164</v>
      </c>
      <c r="E2962">
        <v>1.5200000000000102E-2</v>
      </c>
      <c r="F2962">
        <f t="shared" si="74"/>
        <v>1.1600653662752359E-2</v>
      </c>
      <c r="M2962" s="31"/>
    </row>
    <row r="2963" spans="1:13" x14ac:dyDescent="0.3">
      <c r="A2963">
        <v>1982</v>
      </c>
      <c r="B2963">
        <v>9</v>
      </c>
      <c r="C2963">
        <v>26</v>
      </c>
      <c r="D2963">
        <v>0.77966901201187722</v>
      </c>
      <c r="E2963">
        <v>1.5200000000000102E-2</v>
      </c>
      <c r="F2963">
        <f t="shared" si="74"/>
        <v>1.1850968982580614E-2</v>
      </c>
      <c r="M2963" s="31"/>
    </row>
    <row r="2964" spans="1:13" x14ac:dyDescent="0.3">
      <c r="A2964">
        <v>1982</v>
      </c>
      <c r="B2964">
        <v>9</v>
      </c>
      <c r="C2964">
        <v>15</v>
      </c>
      <c r="D2964">
        <v>0.79719100610793381</v>
      </c>
      <c r="E2964">
        <v>1.5200000000000102E-2</v>
      </c>
      <c r="F2964">
        <f t="shared" si="74"/>
        <v>1.2117303292840675E-2</v>
      </c>
      <c r="M2964" s="31"/>
    </row>
    <row r="2965" spans="1:13" x14ac:dyDescent="0.3">
      <c r="A2965">
        <v>1982</v>
      </c>
      <c r="B2965">
        <v>9</v>
      </c>
      <c r="C2965">
        <v>4</v>
      </c>
      <c r="D2965">
        <v>0.8149471677116551</v>
      </c>
      <c r="E2965">
        <v>1.5200000000000102E-2</v>
      </c>
      <c r="F2965">
        <f t="shared" si="74"/>
        <v>1.2387196949217241E-2</v>
      </c>
      <c r="M2965" s="31"/>
    </row>
    <row r="2966" spans="1:13" x14ac:dyDescent="0.3">
      <c r="A2966">
        <v>1982</v>
      </c>
      <c r="B2966">
        <v>8</v>
      </c>
      <c r="C2966">
        <v>24</v>
      </c>
      <c r="D2966">
        <v>0.83237916062931405</v>
      </c>
      <c r="E2966">
        <v>1.5200000000000102E-2</v>
      </c>
      <c r="F2966">
        <f t="shared" si="74"/>
        <v>1.2652163241565659E-2</v>
      </c>
      <c r="M2966" s="31"/>
    </row>
    <row r="2967" spans="1:13" x14ac:dyDescent="0.3">
      <c r="A2967">
        <v>1982</v>
      </c>
      <c r="B2967">
        <v>8</v>
      </c>
      <c r="C2967">
        <v>13</v>
      </c>
      <c r="D2967">
        <v>0.85046349662933707</v>
      </c>
      <c r="E2967">
        <v>1.5200000000000102E-2</v>
      </c>
      <c r="F2967">
        <f t="shared" si="74"/>
        <v>1.292704514876601E-2</v>
      </c>
      <c r="M2967" s="31"/>
    </row>
    <row r="2968" spans="1:13" x14ac:dyDescent="0.3">
      <c r="A2968">
        <v>1982</v>
      </c>
      <c r="B2968">
        <v>8</v>
      </c>
      <c r="C2968">
        <v>2</v>
      </c>
      <c r="D2968">
        <v>0.86581775738412459</v>
      </c>
      <c r="E2968">
        <v>1.5200000000000102E-2</v>
      </c>
      <c r="F2968">
        <f t="shared" si="74"/>
        <v>1.3160429912238782E-2</v>
      </c>
      <c r="M2968" s="31"/>
    </row>
    <row r="2969" spans="1:13" x14ac:dyDescent="0.3">
      <c r="A2969">
        <v>1982</v>
      </c>
      <c r="B2969">
        <v>7</v>
      </c>
      <c r="C2969">
        <v>22</v>
      </c>
      <c r="D2969">
        <v>0.88024644957657905</v>
      </c>
      <c r="E2969">
        <v>1.5200000000000102E-2</v>
      </c>
      <c r="F2969">
        <f t="shared" si="74"/>
        <v>1.3379746033564092E-2</v>
      </c>
      <c r="M2969" s="31"/>
    </row>
    <row r="2970" spans="1:13" x14ac:dyDescent="0.3">
      <c r="A2970">
        <v>1982</v>
      </c>
      <c r="B2970">
        <v>7</v>
      </c>
      <c r="C2970">
        <v>11</v>
      </c>
      <c r="D2970">
        <v>0.89032465940992533</v>
      </c>
      <c r="E2970">
        <v>1.5200000000000102E-2</v>
      </c>
      <c r="F2970">
        <f t="shared" si="74"/>
        <v>1.3532934823030956E-2</v>
      </c>
      <c r="M2970" s="31"/>
    </row>
    <row r="2971" spans="1:13" x14ac:dyDescent="0.3">
      <c r="A2971">
        <v>1982</v>
      </c>
      <c r="B2971">
        <v>6</v>
      </c>
      <c r="C2971">
        <v>30</v>
      </c>
      <c r="D2971">
        <v>0.89231534748333863</v>
      </c>
      <c r="E2971">
        <v>1.5200000000000102E-2</v>
      </c>
      <c r="F2971">
        <f t="shared" si="74"/>
        <v>1.3563193281746839E-2</v>
      </c>
      <c r="M2971" s="31"/>
    </row>
    <row r="2972" spans="1:13" x14ac:dyDescent="0.3">
      <c r="A2972">
        <v>1982</v>
      </c>
      <c r="B2972">
        <v>6</v>
      </c>
      <c r="C2972">
        <v>26</v>
      </c>
      <c r="D2972">
        <v>0.88336640149903789</v>
      </c>
      <c r="E2972">
        <v>1.5200000000000102E-2</v>
      </c>
      <c r="F2972">
        <f t="shared" si="74"/>
        <v>1.3427169302785466E-2</v>
      </c>
      <c r="M2972" s="31"/>
    </row>
    <row r="2973" spans="1:13" x14ac:dyDescent="0.3">
      <c r="A2973">
        <v>1982</v>
      </c>
      <c r="B2973">
        <v>6</v>
      </c>
      <c r="C2973">
        <v>23</v>
      </c>
      <c r="D2973">
        <v>0.86426510533069933</v>
      </c>
      <c r="E2973">
        <v>1.5200000000000102E-2</v>
      </c>
      <c r="F2973">
        <f t="shared" si="74"/>
        <v>1.3136829601026719E-2</v>
      </c>
      <c r="M2973" s="31"/>
    </row>
    <row r="2974" spans="1:13" x14ac:dyDescent="0.3">
      <c r="A2974">
        <v>1982</v>
      </c>
      <c r="B2974">
        <v>6</v>
      </c>
      <c r="C2974">
        <v>19</v>
      </c>
      <c r="D2974">
        <v>0.83531697582172659</v>
      </c>
      <c r="E2974">
        <v>1.5200000000000102E-2</v>
      </c>
      <c r="F2974">
        <f t="shared" si="74"/>
        <v>1.269681803249033E-2</v>
      </c>
      <c r="M2974" s="31"/>
    </row>
    <row r="2975" spans="1:13" x14ac:dyDescent="0.3">
      <c r="A2975">
        <v>1982</v>
      </c>
      <c r="B2975">
        <v>6</v>
      </c>
      <c r="C2975">
        <v>16</v>
      </c>
      <c r="D2975">
        <v>0.80203717635605021</v>
      </c>
      <c r="E2975">
        <v>1.5200000000000102E-2</v>
      </c>
      <c r="F2975">
        <f t="shared" si="74"/>
        <v>1.2190965080612045E-2</v>
      </c>
      <c r="M2975" s="31"/>
    </row>
    <row r="2976" spans="1:13" x14ac:dyDescent="0.3">
      <c r="A2976">
        <v>1982</v>
      </c>
      <c r="B2976">
        <v>6</v>
      </c>
      <c r="C2976">
        <v>13</v>
      </c>
      <c r="D2976">
        <v>0.77197335810745171</v>
      </c>
      <c r="E2976">
        <v>1.5200000000000102E-2</v>
      </c>
      <c r="F2976">
        <f t="shared" si="74"/>
        <v>1.1733995043233345E-2</v>
      </c>
      <c r="M2976" s="31"/>
    </row>
    <row r="2977" spans="1:13" x14ac:dyDescent="0.3">
      <c r="A2977">
        <v>1982</v>
      </c>
      <c r="B2977">
        <v>6</v>
      </c>
      <c r="C2977">
        <v>9</v>
      </c>
      <c r="D2977">
        <v>0.7485902411993951</v>
      </c>
      <c r="E2977">
        <v>1.5200000000000102E-2</v>
      </c>
      <c r="F2977">
        <f t="shared" si="74"/>
        <v>1.1378571666230882E-2</v>
      </c>
      <c r="M2977" s="31"/>
    </row>
    <row r="2978" spans="1:13" x14ac:dyDescent="0.3">
      <c r="A2978">
        <v>1982</v>
      </c>
      <c r="B2978">
        <v>6</v>
      </c>
      <c r="C2978">
        <v>6</v>
      </c>
      <c r="D2978">
        <v>0.73391310865699577</v>
      </c>
      <c r="E2978">
        <v>1.5200000000000102E-2</v>
      </c>
      <c r="F2978">
        <f t="shared" si="74"/>
        <v>1.1155479251586411E-2</v>
      </c>
      <c r="M2978" s="31"/>
    </row>
    <row r="2979" spans="1:13" x14ac:dyDescent="0.3">
      <c r="A2979">
        <v>1982</v>
      </c>
      <c r="B2979">
        <v>6</v>
      </c>
      <c r="C2979">
        <v>2</v>
      </c>
      <c r="D2979">
        <v>0.72727775198996736</v>
      </c>
      <c r="E2979">
        <v>1.5200000000000102E-2</v>
      </c>
      <c r="F2979">
        <f t="shared" si="74"/>
        <v>1.1054621830247578E-2</v>
      </c>
      <c r="M2979" s="31"/>
    </row>
    <row r="2980" spans="1:13" x14ac:dyDescent="0.3">
      <c r="A2980">
        <v>1982</v>
      </c>
      <c r="B2980">
        <v>5</v>
      </c>
      <c r="C2980">
        <v>30</v>
      </c>
      <c r="D2980">
        <v>0.72565479193433169</v>
      </c>
      <c r="E2980">
        <v>1.5200000000000102E-2</v>
      </c>
      <c r="F2980">
        <f t="shared" si="74"/>
        <v>1.1029952837401916E-2</v>
      </c>
      <c r="M2980" s="31"/>
    </row>
    <row r="2981" spans="1:13" x14ac:dyDescent="0.3">
      <c r="A2981">
        <v>1982</v>
      </c>
      <c r="B2981">
        <v>5</v>
      </c>
      <c r="C2981">
        <v>27</v>
      </c>
      <c r="D2981">
        <v>0.72524954230480498</v>
      </c>
      <c r="E2981">
        <v>1.5200000000000102E-2</v>
      </c>
      <c r="F2981">
        <f t="shared" si="74"/>
        <v>1.1023793043033111E-2</v>
      </c>
      <c r="M2981" s="31"/>
    </row>
    <row r="2982" spans="1:13" x14ac:dyDescent="0.3">
      <c r="A2982">
        <v>1982</v>
      </c>
      <c r="B2982">
        <v>5</v>
      </c>
      <c r="C2982">
        <v>23</v>
      </c>
      <c r="D2982">
        <v>0.72362769400662819</v>
      </c>
      <c r="E2982">
        <v>1.5200000000000102E-2</v>
      </c>
      <c r="F2982">
        <f t="shared" si="74"/>
        <v>1.0999140948900822E-2</v>
      </c>
      <c r="M2982" s="31"/>
    </row>
    <row r="2983" spans="1:13" x14ac:dyDescent="0.3">
      <c r="A2983">
        <v>1982</v>
      </c>
      <c r="B2983">
        <v>5</v>
      </c>
      <c r="C2983">
        <v>20</v>
      </c>
      <c r="D2983">
        <v>0.71768936306904751</v>
      </c>
      <c r="E2983">
        <v>1.5200000000000102E-2</v>
      </c>
      <c r="F2983">
        <f t="shared" si="74"/>
        <v>1.0908878318649595E-2</v>
      </c>
      <c r="M2983" s="31"/>
    </row>
    <row r="2984" spans="1:13" x14ac:dyDescent="0.3">
      <c r="A2984">
        <v>1982</v>
      </c>
      <c r="B2984">
        <v>5</v>
      </c>
      <c r="C2984">
        <v>16</v>
      </c>
      <c r="D2984">
        <v>0.70974520050742385</v>
      </c>
      <c r="E2984">
        <v>1.5200000000000102E-2</v>
      </c>
      <c r="F2984">
        <f t="shared" si="74"/>
        <v>1.0788127047712915E-2</v>
      </c>
      <c r="M2984" s="31"/>
    </row>
    <row r="2985" spans="1:13" x14ac:dyDescent="0.3">
      <c r="A2985">
        <v>1982</v>
      </c>
      <c r="B2985">
        <v>5</v>
      </c>
      <c r="C2985">
        <v>13</v>
      </c>
      <c r="D2985">
        <v>0.70356681897214457</v>
      </c>
      <c r="E2985">
        <v>1.5200000000000102E-2</v>
      </c>
      <c r="F2985">
        <f t="shared" si="74"/>
        <v>1.069421564837667E-2</v>
      </c>
      <c r="M2985" s="31"/>
    </row>
    <row r="2986" spans="1:13" x14ac:dyDescent="0.3">
      <c r="A2986">
        <v>1982</v>
      </c>
      <c r="B2986">
        <v>5</v>
      </c>
      <c r="C2986">
        <v>10</v>
      </c>
      <c r="D2986">
        <v>0.70356681897214457</v>
      </c>
      <c r="E2986">
        <v>1.5200000000000102E-2</v>
      </c>
      <c r="F2986">
        <f t="shared" si="74"/>
        <v>1.069421564837667E-2</v>
      </c>
      <c r="M2986" s="31"/>
    </row>
    <row r="2987" spans="1:13" x14ac:dyDescent="0.3">
      <c r="A2987">
        <v>1982</v>
      </c>
      <c r="B2987">
        <v>5</v>
      </c>
      <c r="C2987">
        <v>6</v>
      </c>
      <c r="D2987">
        <v>0.71391674510385261</v>
      </c>
      <c r="E2987">
        <v>1.5200000000000102E-2</v>
      </c>
      <c r="F2987">
        <f t="shared" si="74"/>
        <v>1.0851534525578632E-2</v>
      </c>
      <c r="M2987" s="31"/>
    </row>
    <row r="2988" spans="1:13" x14ac:dyDescent="0.3">
      <c r="A2988">
        <v>1982</v>
      </c>
      <c r="B2988">
        <v>5</v>
      </c>
      <c r="C2988">
        <v>3</v>
      </c>
      <c r="D2988">
        <v>0.73445561637560663</v>
      </c>
      <c r="E2988">
        <v>1.5200000000000102E-2</v>
      </c>
      <c r="F2988">
        <f t="shared" si="74"/>
        <v>1.1163725368909297E-2</v>
      </c>
      <c r="M2988" s="31"/>
    </row>
    <row r="2989" spans="1:13" x14ac:dyDescent="0.3">
      <c r="A2989">
        <v>1982</v>
      </c>
      <c r="B2989">
        <v>4</v>
      </c>
      <c r="C2989">
        <v>30</v>
      </c>
      <c r="D2989">
        <v>0.7610119859268516</v>
      </c>
      <c r="E2989">
        <v>1.5200000000000102E-2</v>
      </c>
      <c r="F2989">
        <f t="shared" si="74"/>
        <v>1.1567382186088222E-2</v>
      </c>
      <c r="M2989" s="31"/>
    </row>
    <row r="2990" spans="1:13" x14ac:dyDescent="0.3">
      <c r="A2990">
        <v>1982</v>
      </c>
      <c r="B2990">
        <v>4</v>
      </c>
      <c r="C2990">
        <v>26</v>
      </c>
      <c r="D2990">
        <v>0.79124782560993434</v>
      </c>
      <c r="E2990">
        <v>1.5200000000000102E-2</v>
      </c>
      <c r="F2990">
        <f t="shared" si="74"/>
        <v>1.2026966949271084E-2</v>
      </c>
      <c r="M2990" s="31"/>
    </row>
    <row r="2991" spans="1:13" x14ac:dyDescent="0.3">
      <c r="A2991">
        <v>1982</v>
      </c>
      <c r="B2991">
        <v>4</v>
      </c>
      <c r="C2991">
        <v>23</v>
      </c>
      <c r="D2991">
        <v>0.8198187980743189</v>
      </c>
      <c r="E2991">
        <v>1.5200000000000102E-2</v>
      </c>
      <c r="F2991">
        <f t="shared" si="74"/>
        <v>1.2461245730729731E-2</v>
      </c>
      <c r="M2991" s="31"/>
    </row>
    <row r="2992" spans="1:13" x14ac:dyDescent="0.3">
      <c r="A2992">
        <v>1982</v>
      </c>
      <c r="B2992">
        <v>4</v>
      </c>
      <c r="C2992">
        <v>19</v>
      </c>
      <c r="D2992">
        <v>0.84330198938678769</v>
      </c>
      <c r="E2992">
        <v>1.5200000000000102E-2</v>
      </c>
      <c r="F2992">
        <f t="shared" si="74"/>
        <v>1.2818190238679259E-2</v>
      </c>
      <c r="M2992" s="31"/>
    </row>
    <row r="2993" spans="1:13" x14ac:dyDescent="0.3">
      <c r="A2993">
        <v>1982</v>
      </c>
      <c r="B2993">
        <v>4</v>
      </c>
      <c r="C2993">
        <v>16</v>
      </c>
      <c r="D2993">
        <v>0.86257158264463429</v>
      </c>
      <c r="E2993">
        <v>1.5200000000000102E-2</v>
      </c>
      <c r="F2993">
        <f t="shared" si="74"/>
        <v>1.311108805619853E-2</v>
      </c>
      <c r="M2993" s="31"/>
    </row>
    <row r="2994" spans="1:13" x14ac:dyDescent="0.3">
      <c r="A2994">
        <v>1982</v>
      </c>
      <c r="B2994">
        <v>4</v>
      </c>
      <c r="C2994">
        <v>13</v>
      </c>
      <c r="D2994">
        <v>0.87897078560031061</v>
      </c>
      <c r="E2994">
        <v>1.5200000000000102E-2</v>
      </c>
      <c r="F2994">
        <f t="shared" si="74"/>
        <v>1.3360355941124811E-2</v>
      </c>
      <c r="M2994" s="31"/>
    </row>
    <row r="2995" spans="1:13" x14ac:dyDescent="0.3">
      <c r="A2995">
        <v>1982</v>
      </c>
      <c r="B2995">
        <v>4</v>
      </c>
      <c r="C2995">
        <v>9</v>
      </c>
      <c r="D2995">
        <v>0.89089310497745211</v>
      </c>
      <c r="E2995">
        <v>1.5200000000000102E-2</v>
      </c>
      <c r="F2995">
        <f t="shared" si="74"/>
        <v>1.3541575195657364E-2</v>
      </c>
      <c r="M2995" s="31"/>
    </row>
    <row r="2996" spans="1:13" x14ac:dyDescent="0.3">
      <c r="A2996">
        <v>1982</v>
      </c>
      <c r="B2996">
        <v>4</v>
      </c>
      <c r="C2996">
        <v>6</v>
      </c>
      <c r="D2996">
        <v>0.90128598073351873</v>
      </c>
      <c r="E2996">
        <v>1.5200000000000102E-2</v>
      </c>
      <c r="F2996">
        <f t="shared" si="74"/>
        <v>1.3699546907149578E-2</v>
      </c>
      <c r="M2996" s="31"/>
    </row>
    <row r="2997" spans="1:13" x14ac:dyDescent="0.3">
      <c r="A2997">
        <v>1982</v>
      </c>
      <c r="B2997">
        <v>4</v>
      </c>
      <c r="C2997">
        <v>2</v>
      </c>
      <c r="D2997">
        <v>0.90788819227173134</v>
      </c>
      <c r="E2997">
        <v>1.5200000000000102E-2</v>
      </c>
      <c r="F2997">
        <f t="shared" si="74"/>
        <v>1.379990052253041E-2</v>
      </c>
      <c r="M2997" s="31"/>
    </row>
    <row r="2998" spans="1:13" x14ac:dyDescent="0.3">
      <c r="A2998">
        <v>1982</v>
      </c>
      <c r="B2998">
        <v>3</v>
      </c>
      <c r="C2998">
        <v>30</v>
      </c>
      <c r="D2998">
        <v>0.91106998131370109</v>
      </c>
      <c r="E2998">
        <v>1.5200000000000102E-2</v>
      </c>
      <c r="F2998">
        <f t="shared" si="74"/>
        <v>1.384826371596835E-2</v>
      </c>
      <c r="M2998" s="31"/>
    </row>
    <row r="2999" spans="1:13" x14ac:dyDescent="0.3">
      <c r="A2999">
        <v>1982</v>
      </c>
      <c r="B2999">
        <v>3</v>
      </c>
      <c r="C2999">
        <v>27</v>
      </c>
      <c r="D2999">
        <v>0.90925033003114819</v>
      </c>
      <c r="E2999">
        <v>1.5200000000000102E-2</v>
      </c>
      <c r="F2999">
        <f t="shared" si="74"/>
        <v>1.3820605016473546E-2</v>
      </c>
      <c r="M2999" s="31"/>
    </row>
    <row r="3000" spans="1:13" x14ac:dyDescent="0.3">
      <c r="A3000">
        <v>1982</v>
      </c>
      <c r="B3000">
        <v>3</v>
      </c>
      <c r="C3000">
        <v>23</v>
      </c>
      <c r="D3000">
        <v>0.90272131944630962</v>
      </c>
      <c r="E3000">
        <v>1.5200000000000102E-2</v>
      </c>
      <c r="F3000">
        <f t="shared" si="74"/>
        <v>1.3721364055583999E-2</v>
      </c>
      <c r="M3000" s="31"/>
    </row>
    <row r="3001" spans="1:13" x14ac:dyDescent="0.3">
      <c r="A3001">
        <v>1982</v>
      </c>
      <c r="B3001">
        <v>3</v>
      </c>
      <c r="C3001">
        <v>20</v>
      </c>
      <c r="D3001">
        <v>0.88866417098135786</v>
      </c>
      <c r="E3001">
        <v>1.5200000000000102E-2</v>
      </c>
      <c r="F3001">
        <f t="shared" si="74"/>
        <v>1.350769539891673E-2</v>
      </c>
      <c r="M3001" s="31"/>
    </row>
    <row r="3002" spans="1:13" x14ac:dyDescent="0.3">
      <c r="A3002">
        <v>1982</v>
      </c>
      <c r="B3002">
        <v>3</v>
      </c>
      <c r="C3002">
        <v>16</v>
      </c>
      <c r="D3002">
        <v>0.87027503595921274</v>
      </c>
      <c r="E3002">
        <v>1.5200000000000102E-2</v>
      </c>
      <c r="F3002">
        <f t="shared" si="74"/>
        <v>1.3228180546580122E-2</v>
      </c>
      <c r="M3002" s="31"/>
    </row>
    <row r="3003" spans="1:13" x14ac:dyDescent="0.3">
      <c r="A3003">
        <v>1982</v>
      </c>
      <c r="B3003">
        <v>3</v>
      </c>
      <c r="C3003">
        <v>13</v>
      </c>
      <c r="D3003">
        <v>0.85043301265702198</v>
      </c>
      <c r="E3003">
        <v>1.5200000000000102E-2</v>
      </c>
      <c r="F3003">
        <f t="shared" si="74"/>
        <v>1.2926581792386821E-2</v>
      </c>
      <c r="M3003" s="31"/>
    </row>
    <row r="3004" spans="1:13" x14ac:dyDescent="0.3">
      <c r="A3004">
        <v>1982</v>
      </c>
      <c r="B3004">
        <v>3</v>
      </c>
      <c r="C3004">
        <v>10</v>
      </c>
      <c r="D3004">
        <v>0.83293956309878048</v>
      </c>
      <c r="E3004">
        <v>1.5200000000000102E-2</v>
      </c>
      <c r="F3004">
        <f t="shared" si="74"/>
        <v>1.2660681359101549E-2</v>
      </c>
      <c r="M3004" s="31"/>
    </row>
    <row r="3005" spans="1:13" x14ac:dyDescent="0.3">
      <c r="A3005">
        <v>1982</v>
      </c>
      <c r="B3005">
        <v>3</v>
      </c>
      <c r="C3005">
        <v>6</v>
      </c>
      <c r="D3005">
        <v>0.81971180726169601</v>
      </c>
      <c r="E3005">
        <v>1.5200000000000102E-2</v>
      </c>
      <c r="F3005">
        <f t="shared" si="74"/>
        <v>1.2459619470377863E-2</v>
      </c>
      <c r="M3005" s="31"/>
    </row>
    <row r="3006" spans="1:13" x14ac:dyDescent="0.3">
      <c r="A3006">
        <v>1982</v>
      </c>
      <c r="B3006">
        <v>3</v>
      </c>
      <c r="C3006">
        <v>3</v>
      </c>
      <c r="D3006">
        <v>0.81278701810603116</v>
      </c>
      <c r="E3006">
        <v>1.5200000000000102E-2</v>
      </c>
      <c r="F3006">
        <f t="shared" si="74"/>
        <v>1.2354362675211757E-2</v>
      </c>
    </row>
    <row r="3007" spans="1:13" x14ac:dyDescent="0.3">
      <c r="A3007">
        <v>1982</v>
      </c>
      <c r="B3007">
        <v>2</v>
      </c>
      <c r="C3007">
        <v>28</v>
      </c>
      <c r="D3007">
        <v>0.81073623641334469</v>
      </c>
      <c r="E3007">
        <v>1.5200000000000102E-2</v>
      </c>
      <c r="F3007">
        <f t="shared" si="74"/>
        <v>1.2323190793482923E-2</v>
      </c>
    </row>
    <row r="3008" spans="1:13" x14ac:dyDescent="0.3">
      <c r="A3008">
        <v>1982</v>
      </c>
      <c r="B3008">
        <v>2</v>
      </c>
      <c r="C3008">
        <v>11</v>
      </c>
      <c r="D3008">
        <v>0.81188240729984817</v>
      </c>
      <c r="E3008">
        <v>1.5200000000000102E-2</v>
      </c>
      <c r="F3008">
        <f t="shared" si="74"/>
        <v>1.2340612590957775E-2</v>
      </c>
    </row>
    <row r="3009" spans="1:6" x14ac:dyDescent="0.3">
      <c r="A3009">
        <v>1982</v>
      </c>
      <c r="B3009">
        <v>1</v>
      </c>
      <c r="C3009">
        <v>26</v>
      </c>
      <c r="D3009">
        <v>0.81428072374125671</v>
      </c>
      <c r="E3009">
        <v>1.5200000000000102E-2</v>
      </c>
      <c r="F3009">
        <f t="shared" si="74"/>
        <v>1.2377067000867185E-2</v>
      </c>
    </row>
    <row r="3010" spans="1:6" x14ac:dyDescent="0.3">
      <c r="A3010">
        <v>1982</v>
      </c>
      <c r="B3010">
        <v>1</v>
      </c>
      <c r="C3010">
        <v>10</v>
      </c>
      <c r="D3010">
        <v>0.81863082451351987</v>
      </c>
      <c r="E3010">
        <v>1.5200000000000102E-2</v>
      </c>
      <c r="F3010">
        <f t="shared" si="74"/>
        <v>1.2443188532605585E-2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Grosor Lajas</vt:lpstr>
      <vt:lpstr>Cuña</vt:lpstr>
      <vt:lpstr>Varadero</vt:lpstr>
      <vt:lpstr>Rates</vt:lpstr>
      <vt:lpstr>Disepimentos</vt:lpstr>
      <vt:lpstr>Hoja2</vt:lpstr>
      <vt:lpstr>monthly</vt:lpstr>
    </vt:vector>
  </TitlesOfParts>
  <Company>Lizcano-Sandoval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D. Lizcano</dc:creator>
  <cp:lastModifiedBy>LUIS DAVID LIZCANO SANDOVAL</cp:lastModifiedBy>
  <cp:lastPrinted>2015-11-02T17:53:15Z</cp:lastPrinted>
  <dcterms:created xsi:type="dcterms:W3CDTF">2015-09-25T16:25:10Z</dcterms:created>
  <dcterms:modified xsi:type="dcterms:W3CDTF">2026-07-02T21:46:52Z</dcterms:modified>
</cp:coreProperties>
</file>