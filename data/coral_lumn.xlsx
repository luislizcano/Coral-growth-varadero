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\"/>
    </mc:Choice>
  </mc:AlternateContent>
  <xr:revisionPtr revIDLastSave="0" documentId="13_ncr:1_{F9ED1FC6-438F-4436-8B4F-7FDCDCA8DB7A}" xr6:coauthVersionLast="47" xr6:coauthVersionMax="47" xr10:uidLastSave="{00000000-0000-0000-0000-000000000000}"/>
  <bookViews>
    <workbookView xWindow="-108" yWindow="-108" windowWidth="23256" windowHeight="12456" activeTab="2" xr2:uid="{00D95527-D75E-4AD9-900B-59FC494863D4}"/>
  </bookViews>
  <sheets>
    <sheet name="indexed" sheetId="1" r:id="rId1"/>
    <sheet name="columns" sheetId="2" r:id="rId2"/>
    <sheet name="waterflow" sheetId="3" r:id="rId3"/>
  </sheets>
  <definedNames>
    <definedName name="_xlnm._FilterDatabase" localSheetId="0" hidden="1">indexed!$A$1:$D$1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P2" i="2"/>
  <c r="P1" i="2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2" i="3"/>
  <c r="D2" i="3"/>
  <c r="D1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2" i="2"/>
</calcChain>
</file>

<file path=xl/sharedStrings.xml><?xml version="1.0" encoding="utf-8"?>
<sst xmlns="http://schemas.openxmlformats.org/spreadsheetml/2006/main" count="473" uniqueCount="11">
  <si>
    <t>Core</t>
  </si>
  <si>
    <t>Year</t>
  </si>
  <si>
    <t>G/B</t>
  </si>
  <si>
    <t>G/B_std</t>
  </si>
  <si>
    <t>VAR1</t>
  </si>
  <si>
    <t>VAR2</t>
  </si>
  <si>
    <t>VAR3</t>
  </si>
  <si>
    <t>VAR4</t>
  </si>
  <si>
    <t>Global Average</t>
  </si>
  <si>
    <t>WaterFlow</t>
  </si>
  <si>
    <t>stda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</si>
</sst>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waterflow!$B$2:$B$36</c:f>
              <c:numCache>
                <c:formatCode>0.00</c:formatCode>
                <c:ptCount val="35"/>
                <c:pt idx="0">
                  <c:v>259.74166666666667</c:v>
                </c:pt>
                <c:pt idx="1">
                  <c:v>326.30833333333334</c:v>
                </c:pt>
                <c:pt idx="2">
                  <c:v>294.05</c:v>
                </c:pt>
                <c:pt idx="3">
                  <c:v>356.47499999999997</c:v>
                </c:pt>
                <c:pt idx="4">
                  <c:v>515.89166666666677</c:v>
                </c:pt>
                <c:pt idx="5">
                  <c:v>465.34166666666653</c:v>
                </c:pt>
                <c:pt idx="6">
                  <c:v>419.25833333333338</c:v>
                </c:pt>
                <c:pt idx="7">
                  <c:v>560.5</c:v>
                </c:pt>
                <c:pt idx="8">
                  <c:v>512.25833333333333</c:v>
                </c:pt>
                <c:pt idx="9">
                  <c:v>482.4083333333333</c:v>
                </c:pt>
                <c:pt idx="10">
                  <c:v>401.79999999999995</c:v>
                </c:pt>
                <c:pt idx="11">
                  <c:v>370.78333333333336</c:v>
                </c:pt>
                <c:pt idx="12">
                  <c:v>366.98333333333335</c:v>
                </c:pt>
                <c:pt idx="13">
                  <c:v>361.55833333333334</c:v>
                </c:pt>
                <c:pt idx="14">
                  <c:v>284.84999999999997</c:v>
                </c:pt>
                <c:pt idx="15">
                  <c:v>511.77500000000003</c:v>
                </c:pt>
                <c:pt idx="16">
                  <c:v>537.83333333333337</c:v>
                </c:pt>
                <c:pt idx="17">
                  <c:v>358.34166666666664</c:v>
                </c:pt>
                <c:pt idx="18">
                  <c:v>214.61666666666665</c:v>
                </c:pt>
                <c:pt idx="19">
                  <c:v>407.42499999999995</c:v>
                </c:pt>
                <c:pt idx="20">
                  <c:v>391.52500000000003</c:v>
                </c:pt>
                <c:pt idx="21">
                  <c:v>384.99999999999994</c:v>
                </c:pt>
                <c:pt idx="22">
                  <c:v>324.16666666666669</c:v>
                </c:pt>
                <c:pt idx="23">
                  <c:v>248.8416666666667</c:v>
                </c:pt>
                <c:pt idx="24">
                  <c:v>242.79999999999998</c:v>
                </c:pt>
                <c:pt idx="25">
                  <c:v>316.10833333333335</c:v>
                </c:pt>
                <c:pt idx="26">
                  <c:v>369.30833333333334</c:v>
                </c:pt>
                <c:pt idx="27">
                  <c:v>437.18333333333334</c:v>
                </c:pt>
                <c:pt idx="28">
                  <c:v>312.54166666666669</c:v>
                </c:pt>
                <c:pt idx="29">
                  <c:v>317.27500000000003</c:v>
                </c:pt>
                <c:pt idx="30">
                  <c:v>304.03333333333336</c:v>
                </c:pt>
                <c:pt idx="31">
                  <c:v>362.58333333333331</c:v>
                </c:pt>
                <c:pt idx="32">
                  <c:v>157.01666666666668</c:v>
                </c:pt>
                <c:pt idx="33">
                  <c:v>239.70833333333334</c:v>
                </c:pt>
                <c:pt idx="34">
                  <c:v>256.24583333333334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9-470C-8DCC-3FA3FEF9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2"/>
          <c:order val="2"/>
          <c:tx>
            <c:strRef>
              <c:f>columns!$D$2</c:f>
              <c:strCache>
                <c:ptCount val="1"/>
                <c:pt idx="0">
                  <c:v>VAR2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columns!$E$2:$E$36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columns!$F$2:$F$36</c:f>
              <c:numCache>
                <c:formatCode>0.000</c:formatCode>
                <c:ptCount val="35"/>
                <c:pt idx="0">
                  <c:v>0.97716666666666596</c:v>
                </c:pt>
                <c:pt idx="1">
                  <c:v>0.97841666666666605</c:v>
                </c:pt>
                <c:pt idx="2">
                  <c:v>0.97316666666666596</c:v>
                </c:pt>
                <c:pt idx="3">
                  <c:v>0.96508333333333296</c:v>
                </c:pt>
                <c:pt idx="4">
                  <c:v>0.97116666666666596</c:v>
                </c:pt>
                <c:pt idx="5">
                  <c:v>0.97824999999999995</c:v>
                </c:pt>
                <c:pt idx="6">
                  <c:v>0.96433333333333304</c:v>
                </c:pt>
                <c:pt idx="7">
                  <c:v>0.97841666666666605</c:v>
                </c:pt>
                <c:pt idx="8">
                  <c:v>0.98799999999999999</c:v>
                </c:pt>
                <c:pt idx="9">
                  <c:v>0.96541666666666603</c:v>
                </c:pt>
                <c:pt idx="10">
                  <c:v>0.96174999999999999</c:v>
                </c:pt>
                <c:pt idx="11">
                  <c:v>0.97099999999999997</c:v>
                </c:pt>
                <c:pt idx="12">
                  <c:v>0.97808333333333297</c:v>
                </c:pt>
                <c:pt idx="13">
                  <c:v>0.96975</c:v>
                </c:pt>
                <c:pt idx="14">
                  <c:v>0.957666666666666</c:v>
                </c:pt>
                <c:pt idx="15">
                  <c:v>0.96975</c:v>
                </c:pt>
                <c:pt idx="16">
                  <c:v>1.0002499999999901</c:v>
                </c:pt>
                <c:pt idx="17">
                  <c:v>0.96991666666666598</c:v>
                </c:pt>
                <c:pt idx="18">
                  <c:v>0.959666666666666</c:v>
                </c:pt>
                <c:pt idx="19">
                  <c:v>0.99299999999999999</c:v>
                </c:pt>
                <c:pt idx="20">
                  <c:v>0.99516666666666598</c:v>
                </c:pt>
                <c:pt idx="21">
                  <c:v>0.98708333333333298</c:v>
                </c:pt>
                <c:pt idx="22">
                  <c:v>1.0006666666666599</c:v>
                </c:pt>
                <c:pt idx="23">
                  <c:v>0.99158333333333304</c:v>
                </c:pt>
                <c:pt idx="24">
                  <c:v>0.99941666666666595</c:v>
                </c:pt>
                <c:pt idx="25">
                  <c:v>1.01275</c:v>
                </c:pt>
                <c:pt idx="26">
                  <c:v>1.00125</c:v>
                </c:pt>
                <c:pt idx="27">
                  <c:v>0.99774999999999903</c:v>
                </c:pt>
                <c:pt idx="28">
                  <c:v>0.99958333333333305</c:v>
                </c:pt>
                <c:pt idx="29">
                  <c:v>0.99608333333333299</c:v>
                </c:pt>
                <c:pt idx="30">
                  <c:v>0.99649999999999905</c:v>
                </c:pt>
                <c:pt idx="31">
                  <c:v>1.0079166666666599</c:v>
                </c:pt>
                <c:pt idx="32">
                  <c:v>0.998</c:v>
                </c:pt>
                <c:pt idx="33">
                  <c:v>0.99308333333333298</c:v>
                </c:pt>
                <c:pt idx="34">
                  <c:v>1.00925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9-470C-8DCC-3FA3FEF9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F29-470C-8DCC-3FA3FEF9218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BF29-470C-8DCC-3FA3FEF9218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BF29-470C-8DCC-3FA3FEF92186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 val="autoZero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waterflow!$C$2:$C$36</c:f>
              <c:numCache>
                <c:formatCode>0.0</c:formatCode>
                <c:ptCount val="35"/>
                <c:pt idx="0">
                  <c:v>-1.0404239729056239</c:v>
                </c:pt>
                <c:pt idx="1">
                  <c:v>-0.36362350582824182</c:v>
                </c:pt>
                <c:pt idx="2">
                  <c:v>-0.69160230002660761</c:v>
                </c:pt>
                <c:pt idx="3">
                  <c:v>-5.6911226056068485E-2</c:v>
                </c:pt>
                <c:pt idx="4">
                  <c:v>1.5639191363863867</c:v>
                </c:pt>
                <c:pt idx="5">
                  <c:v>1.0499642498952226</c:v>
                </c:pt>
                <c:pt idx="6">
                  <c:v>0.58142311532613034</c:v>
                </c:pt>
                <c:pt idx="7">
                  <c:v>2.0174635655633044</c:v>
                </c:pt>
                <c:pt idx="8">
                  <c:v>1.5269780993751516</c:v>
                </c:pt>
                <c:pt idx="9">
                  <c:v>1.2234854512690942</c:v>
                </c:pt>
                <c:pt idx="10">
                  <c:v>0.40391973794416697</c:v>
                </c:pt>
                <c:pt idx="11">
                  <c:v>8.8565288962943814E-2</c:v>
                </c:pt>
                <c:pt idx="12">
                  <c:v>4.9929708969542803E-2</c:v>
                </c:pt>
                <c:pt idx="13">
                  <c:v>-5.2276650999835781E-3</c:v>
                </c:pt>
                <c:pt idx="14">
                  <c:v>-0.78514107264221022</c:v>
                </c:pt>
                <c:pt idx="15">
                  <c:v>1.5220639247268686</c:v>
                </c:pt>
                <c:pt idx="16">
                  <c:v>1.7870057199886329</c:v>
                </c:pt>
                <c:pt idx="17">
                  <c:v>-3.7932344655801302E-2</c:v>
                </c:pt>
                <c:pt idx="18">
                  <c:v>-1.4992214853272599</c:v>
                </c:pt>
                <c:pt idx="19">
                  <c:v>0.4611105635922933</c:v>
                </c:pt>
                <c:pt idx="20">
                  <c:v>0.29945116309359038</c:v>
                </c:pt>
                <c:pt idx="21">
                  <c:v>0.23310980534176295</c:v>
                </c:pt>
                <c:pt idx="22">
                  <c:v>-0.38539838314908381</c:v>
                </c:pt>
                <c:pt idx="23">
                  <c:v>-1.1512470839393263</c:v>
                </c:pt>
                <c:pt idx="24">
                  <c:v>-1.2126742670428698</c:v>
                </c:pt>
                <c:pt idx="25">
                  <c:v>-0.4673295363368441</c:v>
                </c:pt>
                <c:pt idx="26">
                  <c:v>7.3568583570768231E-2</c:v>
                </c:pt>
                <c:pt idx="27">
                  <c:v>0.7636712130581591</c:v>
                </c:pt>
                <c:pt idx="28">
                  <c:v>-0.5035927561552116</c:v>
                </c:pt>
                <c:pt idx="29">
                  <c:v>-0.45546773546167696</c:v>
                </c:pt>
                <c:pt idx="30">
                  <c:v>-0.59009917539482182</c:v>
                </c:pt>
                <c:pt idx="31">
                  <c:v>5.1937742403414307E-3</c:v>
                </c:pt>
                <c:pt idx="32">
                  <c:v>-2.0848555399640731</c:v>
                </c:pt>
                <c:pt idx="33">
                  <c:v>-1.244108039362062</c:v>
                </c:pt>
                <c:pt idx="34">
                  <c:v>-1.0759670119565707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B-4519-A278-1D0CF063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5"/>
          <c:order val="5"/>
          <c:tx>
            <c:v>G/B STDA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columns!$K$2:$K$35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columns!$O$2:$O$35</c:f>
              <c:numCache>
                <c:formatCode>0.0</c:formatCode>
                <c:ptCount val="34"/>
                <c:pt idx="0">
                  <c:v>-1.5771752669169647</c:v>
                </c:pt>
                <c:pt idx="1">
                  <c:v>-2.1765114433357593</c:v>
                </c:pt>
                <c:pt idx="2">
                  <c:v>-2.0982307998851368</c:v>
                </c:pt>
                <c:pt idx="3">
                  <c:v>-1.1894414548254602</c:v>
                </c:pt>
                <c:pt idx="4">
                  <c:v>-0.46045296269154867</c:v>
                </c:pt>
                <c:pt idx="5">
                  <c:v>-0.53873360614211929</c:v>
                </c:pt>
                <c:pt idx="6">
                  <c:v>-1.0218719524389888</c:v>
                </c:pt>
                <c:pt idx="7">
                  <c:v>-0.36749469859395367</c:v>
                </c:pt>
                <c:pt idx="8">
                  <c:v>-8.4950501139376744E-2</c:v>
                </c:pt>
                <c:pt idx="9">
                  <c:v>2.7577923821043408E-2</c:v>
                </c:pt>
                <c:pt idx="10">
                  <c:v>-0.34792453773131099</c:v>
                </c:pt>
                <c:pt idx="11">
                  <c:v>-0.14733038888914882</c:v>
                </c:pt>
                <c:pt idx="12">
                  <c:v>-0.20114833126145848</c:v>
                </c:pt>
                <c:pt idx="13">
                  <c:v>-0.37727977902528154</c:v>
                </c:pt>
                <c:pt idx="14">
                  <c:v>-0.72465013433756353</c:v>
                </c:pt>
                <c:pt idx="15">
                  <c:v>-0.22928043750147228</c:v>
                </c:pt>
                <c:pt idx="16">
                  <c:v>1.073358394919036</c:v>
                </c:pt>
                <c:pt idx="17">
                  <c:v>-0.57420452270569089</c:v>
                </c:pt>
                <c:pt idx="18">
                  <c:v>-1.4108288995843261</c:v>
                </c:pt>
                <c:pt idx="19">
                  <c:v>1.0978210959974013</c:v>
                </c:pt>
                <c:pt idx="20">
                  <c:v>0.9791769957676798</c:v>
                </c:pt>
                <c:pt idx="21">
                  <c:v>0.70397160863651731</c:v>
                </c:pt>
                <c:pt idx="22">
                  <c:v>0.56086480732828725</c:v>
                </c:pt>
                <c:pt idx="23">
                  <c:v>2.8801058874895837E-2</c:v>
                </c:pt>
                <c:pt idx="24">
                  <c:v>0.87765678629259636</c:v>
                </c:pt>
                <c:pt idx="25">
                  <c:v>1.7901155365141299</c:v>
                </c:pt>
                <c:pt idx="26">
                  <c:v>1.7277356487643969</c:v>
                </c:pt>
                <c:pt idx="27">
                  <c:v>1.3933907387390998</c:v>
                </c:pt>
                <c:pt idx="28">
                  <c:v>0.45606239810942789</c:v>
                </c:pt>
                <c:pt idx="29">
                  <c:v>0.69018592008731783</c:v>
                </c:pt>
                <c:pt idx="30">
                  <c:v>0.50956717020556808</c:v>
                </c:pt>
                <c:pt idx="31">
                  <c:v>0.81254327242419555</c:v>
                </c:pt>
                <c:pt idx="32">
                  <c:v>0.18321498541283629</c:v>
                </c:pt>
                <c:pt idx="33">
                  <c:v>0.61546537511135313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CB-4519-A278-1D0CF063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8CB-4519-A278-1D0CF063AAF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columns!$D$2</c15:sqref>
                        </c15:formulaRef>
                      </c:ext>
                    </c:extLst>
                    <c:strCache>
                      <c:ptCount val="1"/>
                      <c:pt idx="0">
                        <c:v>VAR2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columns!$E$2:$E$36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columns!$F$2:$F$36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0.97716666666666596</c:v>
                      </c:pt>
                      <c:pt idx="1">
                        <c:v>0.97841666666666605</c:v>
                      </c:pt>
                      <c:pt idx="2">
                        <c:v>0.97316666666666596</c:v>
                      </c:pt>
                      <c:pt idx="3">
                        <c:v>0.96508333333333296</c:v>
                      </c:pt>
                      <c:pt idx="4">
                        <c:v>0.97116666666666596</c:v>
                      </c:pt>
                      <c:pt idx="5">
                        <c:v>0.97824999999999995</c:v>
                      </c:pt>
                      <c:pt idx="6">
                        <c:v>0.96433333333333304</c:v>
                      </c:pt>
                      <c:pt idx="7">
                        <c:v>0.97841666666666605</c:v>
                      </c:pt>
                      <c:pt idx="8">
                        <c:v>0.98799999999999999</c:v>
                      </c:pt>
                      <c:pt idx="9">
                        <c:v>0.96541666666666603</c:v>
                      </c:pt>
                      <c:pt idx="10">
                        <c:v>0.96174999999999999</c:v>
                      </c:pt>
                      <c:pt idx="11">
                        <c:v>0.97099999999999997</c:v>
                      </c:pt>
                      <c:pt idx="12">
                        <c:v>0.97808333333333297</c:v>
                      </c:pt>
                      <c:pt idx="13">
                        <c:v>0.96975</c:v>
                      </c:pt>
                      <c:pt idx="14">
                        <c:v>0.957666666666666</c:v>
                      </c:pt>
                      <c:pt idx="15">
                        <c:v>0.96975</c:v>
                      </c:pt>
                      <c:pt idx="16">
                        <c:v>1.0002499999999901</c:v>
                      </c:pt>
                      <c:pt idx="17">
                        <c:v>0.96991666666666598</c:v>
                      </c:pt>
                      <c:pt idx="18">
                        <c:v>0.959666666666666</c:v>
                      </c:pt>
                      <c:pt idx="19">
                        <c:v>0.99299999999999999</c:v>
                      </c:pt>
                      <c:pt idx="20">
                        <c:v>0.99516666666666598</c:v>
                      </c:pt>
                      <c:pt idx="21">
                        <c:v>0.98708333333333298</c:v>
                      </c:pt>
                      <c:pt idx="22">
                        <c:v>1.0006666666666599</c:v>
                      </c:pt>
                      <c:pt idx="23">
                        <c:v>0.99158333333333304</c:v>
                      </c:pt>
                      <c:pt idx="24">
                        <c:v>0.99941666666666595</c:v>
                      </c:pt>
                      <c:pt idx="25">
                        <c:v>1.01275</c:v>
                      </c:pt>
                      <c:pt idx="26">
                        <c:v>1.00125</c:v>
                      </c:pt>
                      <c:pt idx="27">
                        <c:v>0.99774999999999903</c:v>
                      </c:pt>
                      <c:pt idx="28">
                        <c:v>0.99958333333333305</c:v>
                      </c:pt>
                      <c:pt idx="29">
                        <c:v>0.99608333333333299</c:v>
                      </c:pt>
                      <c:pt idx="30">
                        <c:v>0.99649999999999905</c:v>
                      </c:pt>
                      <c:pt idx="31">
                        <c:v>1.0079166666666599</c:v>
                      </c:pt>
                      <c:pt idx="32">
                        <c:v>0.998</c:v>
                      </c:pt>
                      <c:pt idx="33">
                        <c:v>0.99308333333333298</c:v>
                      </c:pt>
                      <c:pt idx="34">
                        <c:v>1.00925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98CB-4519-A278-1D0CF063AAF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98CB-4519-A278-1D0CF063AAF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98CB-4519-A278-1D0CF063AAF3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At val="-3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waterflow!$C$2:$C$36</c:f>
              <c:numCache>
                <c:formatCode>0.0</c:formatCode>
                <c:ptCount val="35"/>
                <c:pt idx="0">
                  <c:v>-1.0404239729056239</c:v>
                </c:pt>
                <c:pt idx="1">
                  <c:v>-0.36362350582824182</c:v>
                </c:pt>
                <c:pt idx="2">
                  <c:v>-0.69160230002660761</c:v>
                </c:pt>
                <c:pt idx="3">
                  <c:v>-5.6911226056068485E-2</c:v>
                </c:pt>
                <c:pt idx="4">
                  <c:v>1.5639191363863867</c:v>
                </c:pt>
                <c:pt idx="5">
                  <c:v>1.0499642498952226</c:v>
                </c:pt>
                <c:pt idx="6">
                  <c:v>0.58142311532613034</c:v>
                </c:pt>
                <c:pt idx="7">
                  <c:v>2.0174635655633044</c:v>
                </c:pt>
                <c:pt idx="8">
                  <c:v>1.5269780993751516</c:v>
                </c:pt>
                <c:pt idx="9">
                  <c:v>1.2234854512690942</c:v>
                </c:pt>
                <c:pt idx="10">
                  <c:v>0.40391973794416697</c:v>
                </c:pt>
                <c:pt idx="11">
                  <c:v>8.8565288962943814E-2</c:v>
                </c:pt>
                <c:pt idx="12">
                  <c:v>4.9929708969542803E-2</c:v>
                </c:pt>
                <c:pt idx="13">
                  <c:v>-5.2276650999835781E-3</c:v>
                </c:pt>
                <c:pt idx="14">
                  <c:v>-0.78514107264221022</c:v>
                </c:pt>
                <c:pt idx="15">
                  <c:v>1.5220639247268686</c:v>
                </c:pt>
                <c:pt idx="16">
                  <c:v>1.7870057199886329</c:v>
                </c:pt>
                <c:pt idx="17">
                  <c:v>-3.7932344655801302E-2</c:v>
                </c:pt>
                <c:pt idx="18">
                  <c:v>-1.4992214853272599</c:v>
                </c:pt>
                <c:pt idx="19">
                  <c:v>0.4611105635922933</c:v>
                </c:pt>
                <c:pt idx="20">
                  <c:v>0.29945116309359038</c:v>
                </c:pt>
                <c:pt idx="21">
                  <c:v>0.23310980534176295</c:v>
                </c:pt>
                <c:pt idx="22">
                  <c:v>-0.38539838314908381</c:v>
                </c:pt>
                <c:pt idx="23">
                  <c:v>-1.1512470839393263</c:v>
                </c:pt>
                <c:pt idx="24">
                  <c:v>-1.2126742670428698</c:v>
                </c:pt>
                <c:pt idx="25">
                  <c:v>-0.4673295363368441</c:v>
                </c:pt>
                <c:pt idx="26">
                  <c:v>7.3568583570768231E-2</c:v>
                </c:pt>
                <c:pt idx="27">
                  <c:v>0.7636712130581591</c:v>
                </c:pt>
                <c:pt idx="28">
                  <c:v>-0.5035927561552116</c:v>
                </c:pt>
                <c:pt idx="29">
                  <c:v>-0.45546773546167696</c:v>
                </c:pt>
                <c:pt idx="30">
                  <c:v>-0.59009917539482182</c:v>
                </c:pt>
                <c:pt idx="31">
                  <c:v>5.1937742403414307E-3</c:v>
                </c:pt>
                <c:pt idx="32">
                  <c:v>-2.0848555399640731</c:v>
                </c:pt>
                <c:pt idx="33">
                  <c:v>-1.244108039362062</c:v>
                </c:pt>
                <c:pt idx="34">
                  <c:v>-1.0759670119565707</c:v>
                </c:pt>
              </c:numCache>
            </c:numRef>
          </c:xVal>
          <c:yVal>
            <c:numRef>
              <c:f>columns!$O$2:$O$35</c:f>
              <c:numCache>
                <c:formatCode>0.0</c:formatCode>
                <c:ptCount val="34"/>
                <c:pt idx="0">
                  <c:v>-1.5771752669169647</c:v>
                </c:pt>
                <c:pt idx="1">
                  <c:v>-2.1765114433357593</c:v>
                </c:pt>
                <c:pt idx="2">
                  <c:v>-2.0982307998851368</c:v>
                </c:pt>
                <c:pt idx="3">
                  <c:v>-1.1894414548254602</c:v>
                </c:pt>
                <c:pt idx="4">
                  <c:v>-0.46045296269154867</c:v>
                </c:pt>
                <c:pt idx="5">
                  <c:v>-0.53873360614211929</c:v>
                </c:pt>
                <c:pt idx="6">
                  <c:v>-1.0218719524389888</c:v>
                </c:pt>
                <c:pt idx="7">
                  <c:v>-0.36749469859395367</c:v>
                </c:pt>
                <c:pt idx="8">
                  <c:v>-8.4950501139376744E-2</c:v>
                </c:pt>
                <c:pt idx="9">
                  <c:v>2.7577923821043408E-2</c:v>
                </c:pt>
                <c:pt idx="10">
                  <c:v>-0.34792453773131099</c:v>
                </c:pt>
                <c:pt idx="11">
                  <c:v>-0.14733038888914882</c:v>
                </c:pt>
                <c:pt idx="12">
                  <c:v>-0.20114833126145848</c:v>
                </c:pt>
                <c:pt idx="13">
                  <c:v>-0.37727977902528154</c:v>
                </c:pt>
                <c:pt idx="14">
                  <c:v>-0.72465013433756353</c:v>
                </c:pt>
                <c:pt idx="15">
                  <c:v>-0.22928043750147228</c:v>
                </c:pt>
                <c:pt idx="16">
                  <c:v>1.073358394919036</c:v>
                </c:pt>
                <c:pt idx="17">
                  <c:v>-0.57420452270569089</c:v>
                </c:pt>
                <c:pt idx="18">
                  <c:v>-1.4108288995843261</c:v>
                </c:pt>
                <c:pt idx="19">
                  <c:v>1.0978210959974013</c:v>
                </c:pt>
                <c:pt idx="20">
                  <c:v>0.9791769957676798</c:v>
                </c:pt>
                <c:pt idx="21">
                  <c:v>0.70397160863651731</c:v>
                </c:pt>
                <c:pt idx="22">
                  <c:v>0.56086480732828725</c:v>
                </c:pt>
                <c:pt idx="23">
                  <c:v>2.8801058874895837E-2</c:v>
                </c:pt>
                <c:pt idx="24">
                  <c:v>0.87765678629259636</c:v>
                </c:pt>
                <c:pt idx="25">
                  <c:v>1.7901155365141299</c:v>
                </c:pt>
                <c:pt idx="26">
                  <c:v>1.7277356487643969</c:v>
                </c:pt>
                <c:pt idx="27">
                  <c:v>1.3933907387390998</c:v>
                </c:pt>
                <c:pt idx="28">
                  <c:v>0.45606239810942789</c:v>
                </c:pt>
                <c:pt idx="29">
                  <c:v>0.69018592008731783</c:v>
                </c:pt>
                <c:pt idx="30">
                  <c:v>0.50956717020556808</c:v>
                </c:pt>
                <c:pt idx="31">
                  <c:v>0.81254327242419555</c:v>
                </c:pt>
                <c:pt idx="32">
                  <c:v>0.18321498541283629</c:v>
                </c:pt>
                <c:pt idx="33">
                  <c:v>0.61546537511135313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E-47DA-9D17-DF30E0F29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valAx>
        <c:axId val="157143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At val="-3"/>
        <c:crossBetween val="midCat"/>
      </c:valAx>
      <c:valAx>
        <c:axId val="15714264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waterflow!$C$2:$C$36</c:f>
              <c:numCache>
                <c:formatCode>0.0</c:formatCode>
                <c:ptCount val="35"/>
                <c:pt idx="0">
                  <c:v>-1.0404239729056239</c:v>
                </c:pt>
                <c:pt idx="1">
                  <c:v>-0.36362350582824182</c:v>
                </c:pt>
                <c:pt idx="2">
                  <c:v>-0.69160230002660761</c:v>
                </c:pt>
                <c:pt idx="3">
                  <c:v>-5.6911226056068485E-2</c:v>
                </c:pt>
                <c:pt idx="4">
                  <c:v>1.5639191363863867</c:v>
                </c:pt>
                <c:pt idx="5">
                  <c:v>1.0499642498952226</c:v>
                </c:pt>
                <c:pt idx="6">
                  <c:v>0.58142311532613034</c:v>
                </c:pt>
                <c:pt idx="7">
                  <c:v>2.0174635655633044</c:v>
                </c:pt>
                <c:pt idx="8">
                  <c:v>1.5269780993751516</c:v>
                </c:pt>
                <c:pt idx="9">
                  <c:v>1.2234854512690942</c:v>
                </c:pt>
                <c:pt idx="10">
                  <c:v>0.40391973794416697</c:v>
                </c:pt>
                <c:pt idx="11">
                  <c:v>8.8565288962943814E-2</c:v>
                </c:pt>
                <c:pt idx="12">
                  <c:v>4.9929708969542803E-2</c:v>
                </c:pt>
                <c:pt idx="13">
                  <c:v>-5.2276650999835781E-3</c:v>
                </c:pt>
                <c:pt idx="14">
                  <c:v>-0.78514107264221022</c:v>
                </c:pt>
                <c:pt idx="15">
                  <c:v>1.5220639247268686</c:v>
                </c:pt>
                <c:pt idx="16">
                  <c:v>1.7870057199886329</c:v>
                </c:pt>
                <c:pt idx="17">
                  <c:v>-3.7932344655801302E-2</c:v>
                </c:pt>
                <c:pt idx="18">
                  <c:v>-1.4992214853272599</c:v>
                </c:pt>
                <c:pt idx="19">
                  <c:v>0.4611105635922933</c:v>
                </c:pt>
                <c:pt idx="20">
                  <c:v>0.29945116309359038</c:v>
                </c:pt>
                <c:pt idx="21">
                  <c:v>0.23310980534176295</c:v>
                </c:pt>
                <c:pt idx="22">
                  <c:v>-0.38539838314908381</c:v>
                </c:pt>
                <c:pt idx="23">
                  <c:v>-1.1512470839393263</c:v>
                </c:pt>
                <c:pt idx="24">
                  <c:v>-1.2126742670428698</c:v>
                </c:pt>
                <c:pt idx="25">
                  <c:v>-0.4673295363368441</c:v>
                </c:pt>
                <c:pt idx="26">
                  <c:v>7.3568583570768231E-2</c:v>
                </c:pt>
                <c:pt idx="27">
                  <c:v>0.7636712130581591</c:v>
                </c:pt>
                <c:pt idx="28">
                  <c:v>-0.5035927561552116</c:v>
                </c:pt>
                <c:pt idx="29">
                  <c:v>-0.45546773546167696</c:v>
                </c:pt>
                <c:pt idx="30">
                  <c:v>-0.59009917539482182</c:v>
                </c:pt>
                <c:pt idx="31">
                  <c:v>5.1937742403414307E-3</c:v>
                </c:pt>
                <c:pt idx="32">
                  <c:v>-2.0848555399640731</c:v>
                </c:pt>
                <c:pt idx="33">
                  <c:v>-1.244108039362062</c:v>
                </c:pt>
                <c:pt idx="34">
                  <c:v>-1.0759670119565707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4-4561-BB73-D22980E5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2"/>
          <c:order val="2"/>
          <c:tx>
            <c:strRef>
              <c:f>columns!$D$2</c:f>
              <c:strCache>
                <c:ptCount val="1"/>
                <c:pt idx="0">
                  <c:v>VAR2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indexed!$B$36:$B$97</c:f>
              <c:numCache>
                <c:formatCode>General</c:formatCode>
                <c:ptCount val="6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</c:numCache>
            </c:numRef>
          </c:xVal>
          <c:yVal>
            <c:numRef>
              <c:f>indexed!$D$36:$D$97</c:f>
              <c:numCache>
                <c:formatCode>0.000</c:formatCode>
                <c:ptCount val="62"/>
                <c:pt idx="0">
                  <c:v>1.0408329997330599E-2</c:v>
                </c:pt>
                <c:pt idx="1">
                  <c:v>8.0278870007599E-3</c:v>
                </c:pt>
                <c:pt idx="2">
                  <c:v>1.7554244932537402E-2</c:v>
                </c:pt>
                <c:pt idx="3">
                  <c:v>1.1766349038549199E-2</c:v>
                </c:pt>
                <c:pt idx="4">
                  <c:v>2.2155784524109899E-2</c:v>
                </c:pt>
                <c:pt idx="5">
                  <c:v>4.4409509628620503E-2</c:v>
                </c:pt>
                <c:pt idx="6">
                  <c:v>2.1304431179423301E-2</c:v>
                </c:pt>
                <c:pt idx="7">
                  <c:v>3.4908864030197002E-2</c:v>
                </c:pt>
                <c:pt idx="8">
                  <c:v>3.0573309809820499E-2</c:v>
                </c:pt>
                <c:pt idx="9">
                  <c:v>2.9754933382652001E-2</c:v>
                </c:pt>
                <c:pt idx="10">
                  <c:v>3.0698312064938699E-2</c:v>
                </c:pt>
                <c:pt idx="11">
                  <c:v>2.9344350548119201E-2</c:v>
                </c:pt>
                <c:pt idx="12">
                  <c:v>3.0001388856740099E-2</c:v>
                </c:pt>
                <c:pt idx="13">
                  <c:v>1.82762886624371E-2</c:v>
                </c:pt>
                <c:pt idx="14">
                  <c:v>1.8690461025168199E-2</c:v>
                </c:pt>
                <c:pt idx="15">
                  <c:v>3.00427725388017E-2</c:v>
                </c:pt>
                <c:pt idx="16">
                  <c:v>3.0724952844109001E-2</c:v>
                </c:pt>
                <c:pt idx="17">
                  <c:v>3.6094467804091597E-2</c:v>
                </c:pt>
                <c:pt idx="18">
                  <c:v>2.1843798093543899E-2</c:v>
                </c:pt>
                <c:pt idx="19">
                  <c:v>2.6288607971722399E-2</c:v>
                </c:pt>
                <c:pt idx="20">
                  <c:v>2.54481052458932E-2</c:v>
                </c:pt>
                <c:pt idx="21">
                  <c:v>2.50361859327775E-2</c:v>
                </c:pt>
                <c:pt idx="22">
                  <c:v>2.1478671591449301E-2</c:v>
                </c:pt>
                <c:pt idx="23">
                  <c:v>2.2516492272163999E-2</c:v>
                </c:pt>
                <c:pt idx="24">
                  <c:v>1.6876332719539599E-2</c:v>
                </c:pt>
                <c:pt idx="25">
                  <c:v>2.4094982502964799E-2</c:v>
                </c:pt>
                <c:pt idx="26">
                  <c:v>4.1861514110652497E-2</c:v>
                </c:pt>
                <c:pt idx="27">
                  <c:v>3.6337121014691803E-2</c:v>
                </c:pt>
                <c:pt idx="28">
                  <c:v>1.8118089069080901E-2</c:v>
                </c:pt>
                <c:pt idx="29">
                  <c:v>1.72281921878241E-2</c:v>
                </c:pt>
                <c:pt idx="30">
                  <c:v>1.9764522853748901E-2</c:v>
                </c:pt>
                <c:pt idx="31">
                  <c:v>2.0424843755197701E-2</c:v>
                </c:pt>
                <c:pt idx="32">
                  <c:v>2.0630956440174101E-2</c:v>
                </c:pt>
                <c:pt idx="33">
                  <c:v>1.8342490825865702E-2</c:v>
                </c:pt>
                <c:pt idx="34">
                  <c:v>1.9522131962560699E-2</c:v>
                </c:pt>
                <c:pt idx="35">
                  <c:v>1.50400979203775E-2</c:v>
                </c:pt>
                <c:pt idx="36">
                  <c:v>2.3591215622461099E-2</c:v>
                </c:pt>
                <c:pt idx="37">
                  <c:v>1.3937903411745599E-2</c:v>
                </c:pt>
                <c:pt idx="38">
                  <c:v>1.18203086664306E-2</c:v>
                </c:pt>
                <c:pt idx="39">
                  <c:v>2.3654553024478799E-2</c:v>
                </c:pt>
                <c:pt idx="40">
                  <c:v>3.1677709398365103E-2</c:v>
                </c:pt>
                <c:pt idx="41">
                  <c:v>2.6834368510053101E-2</c:v>
                </c:pt>
                <c:pt idx="42">
                  <c:v>3.2137017266508701E-2</c:v>
                </c:pt>
                <c:pt idx="43">
                  <c:v>1.9570192238259201E-2</c:v>
                </c:pt>
                <c:pt idx="44">
                  <c:v>1.7399712641305298E-2</c:v>
                </c:pt>
                <c:pt idx="45">
                  <c:v>2.9568103207218501E-2</c:v>
                </c:pt>
                <c:pt idx="46">
                  <c:v>1.99732776023821E-2</c:v>
                </c:pt>
                <c:pt idx="47">
                  <c:v>3.0639645539527301E-2</c:v>
                </c:pt>
                <c:pt idx="48">
                  <c:v>1.8776193824773201E-2</c:v>
                </c:pt>
                <c:pt idx="49">
                  <c:v>3.2872918761174597E-2</c:v>
                </c:pt>
                <c:pt idx="50">
                  <c:v>2.8122567234852298E-2</c:v>
                </c:pt>
                <c:pt idx="51">
                  <c:v>3.4587066246143897E-2</c:v>
                </c:pt>
                <c:pt idx="52">
                  <c:v>2.9005746557076099E-2</c:v>
                </c:pt>
                <c:pt idx="53">
                  <c:v>2.9787123514578E-2</c:v>
                </c:pt>
                <c:pt idx="54">
                  <c:v>2.2584521382145901E-2</c:v>
                </c:pt>
                <c:pt idx="55">
                  <c:v>2.7971170222862701E-2</c:v>
                </c:pt>
                <c:pt idx="56">
                  <c:v>2.1742292260184301E-2</c:v>
                </c:pt>
                <c:pt idx="57">
                  <c:v>1.9055540831045301E-2</c:v>
                </c:pt>
                <c:pt idx="58">
                  <c:v>2.4054231656946701E-2</c:v>
                </c:pt>
                <c:pt idx="59">
                  <c:v>2.5282045371801301E-2</c:v>
                </c:pt>
                <c:pt idx="60">
                  <c:v>2.97107265600704E-2</c:v>
                </c:pt>
                <c:pt idx="61">
                  <c:v>3.0797274050546299E-2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44-4561-BB73-D22980E5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444-4561-BB73-D22980E5C87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8444-4561-BB73-D22980E5C87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8444-4561-BB73-D22980E5C87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G/B STDA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columns!$K$2:$K$35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columns!$O$2:$O$35</c15:sqref>
                        </c15:formulaRef>
                      </c:ext>
                    </c:extLst>
                    <c:numCache>
                      <c:formatCode>0.0</c:formatCode>
                      <c:ptCount val="34"/>
                      <c:pt idx="0">
                        <c:v>-1.5771752669169647</c:v>
                      </c:pt>
                      <c:pt idx="1">
                        <c:v>-2.1765114433357593</c:v>
                      </c:pt>
                      <c:pt idx="2">
                        <c:v>-2.0982307998851368</c:v>
                      </c:pt>
                      <c:pt idx="3">
                        <c:v>-1.1894414548254602</c:v>
                      </c:pt>
                      <c:pt idx="4">
                        <c:v>-0.46045296269154867</c:v>
                      </c:pt>
                      <c:pt idx="5">
                        <c:v>-0.53873360614211929</c:v>
                      </c:pt>
                      <c:pt idx="6">
                        <c:v>-1.0218719524389888</c:v>
                      </c:pt>
                      <c:pt idx="7">
                        <c:v>-0.36749469859395367</c:v>
                      </c:pt>
                      <c:pt idx="8">
                        <c:v>-8.4950501139376744E-2</c:v>
                      </c:pt>
                      <c:pt idx="9">
                        <c:v>2.7577923821043408E-2</c:v>
                      </c:pt>
                      <c:pt idx="10">
                        <c:v>-0.34792453773131099</c:v>
                      </c:pt>
                      <c:pt idx="11">
                        <c:v>-0.14733038888914882</c:v>
                      </c:pt>
                      <c:pt idx="12">
                        <c:v>-0.20114833126145848</c:v>
                      </c:pt>
                      <c:pt idx="13">
                        <c:v>-0.37727977902528154</c:v>
                      </c:pt>
                      <c:pt idx="14">
                        <c:v>-0.72465013433756353</c:v>
                      </c:pt>
                      <c:pt idx="15">
                        <c:v>-0.22928043750147228</c:v>
                      </c:pt>
                      <c:pt idx="16">
                        <c:v>1.073358394919036</c:v>
                      </c:pt>
                      <c:pt idx="17">
                        <c:v>-0.57420452270569089</c:v>
                      </c:pt>
                      <c:pt idx="18">
                        <c:v>-1.4108288995843261</c:v>
                      </c:pt>
                      <c:pt idx="19">
                        <c:v>1.0978210959974013</c:v>
                      </c:pt>
                      <c:pt idx="20">
                        <c:v>0.9791769957676798</c:v>
                      </c:pt>
                      <c:pt idx="21">
                        <c:v>0.70397160863651731</c:v>
                      </c:pt>
                      <c:pt idx="22">
                        <c:v>0.56086480732828725</c:v>
                      </c:pt>
                      <c:pt idx="23">
                        <c:v>2.8801058874895837E-2</c:v>
                      </c:pt>
                      <c:pt idx="24">
                        <c:v>0.87765678629259636</c:v>
                      </c:pt>
                      <c:pt idx="25">
                        <c:v>1.7901155365141299</c:v>
                      </c:pt>
                      <c:pt idx="26">
                        <c:v>1.7277356487643969</c:v>
                      </c:pt>
                      <c:pt idx="27">
                        <c:v>1.3933907387390998</c:v>
                      </c:pt>
                      <c:pt idx="28">
                        <c:v>0.45606239810942789</c:v>
                      </c:pt>
                      <c:pt idx="29">
                        <c:v>0.69018592008731783</c:v>
                      </c:pt>
                      <c:pt idx="30">
                        <c:v>0.50956717020556808</c:v>
                      </c:pt>
                      <c:pt idx="31">
                        <c:v>0.81254327242419555</c:v>
                      </c:pt>
                      <c:pt idx="32">
                        <c:v>0.18321498541283629</c:v>
                      </c:pt>
                      <c:pt idx="33">
                        <c:v>0.61546537511135313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444-4561-BB73-D22980E5C873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At val="-3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1</xdr:row>
      <xdr:rowOff>19050</xdr:rowOff>
    </xdr:from>
    <xdr:to>
      <xdr:col>10</xdr:col>
      <xdr:colOff>289560</xdr:colOff>
      <xdr:row>16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283E75-8BE5-FEC8-B25E-9BE1E3F6D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480060</xdr:colOff>
      <xdr:row>17</xdr:row>
      <xdr:rowOff>0</xdr:rowOff>
    </xdr:from>
    <xdr:to>
      <xdr:col>10</xdr:col>
      <xdr:colOff>297180</xdr:colOff>
      <xdr:row>32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1AE8E41-7B19-44A9-B3FC-61A6E1300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441960</xdr:colOff>
      <xdr:row>17</xdr:row>
      <xdr:rowOff>38100</xdr:rowOff>
    </xdr:from>
    <xdr:to>
      <xdr:col>16</xdr:col>
      <xdr:colOff>259080</xdr:colOff>
      <xdr:row>32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39F7A7E-BF48-4392-BC72-2DB1FAFC4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495300</xdr:colOff>
      <xdr:row>32</xdr:row>
      <xdr:rowOff>121920</xdr:rowOff>
    </xdr:from>
    <xdr:to>
      <xdr:col>10</xdr:col>
      <xdr:colOff>312420</xdr:colOff>
      <xdr:row>47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5FA71F-E5C0-4C1B-AE32-2A903A84E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8FA6-E046-42AB-8822-D18490807E41}">
  <dimension ref="A1:D227"/>
  <sheetViews>
    <sheetView topLeftCell="A33" workbookViewId="0">
      <selection activeCell="C25" sqref="C25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2015</v>
      </c>
      <c r="C2" s="2">
        <v>0.96499999999999997</v>
      </c>
      <c r="D2" s="2">
        <v>1.39283882771841E-2</v>
      </c>
    </row>
    <row r="3" spans="1:4" x14ac:dyDescent="0.3">
      <c r="A3" t="s">
        <v>4</v>
      </c>
      <c r="B3">
        <v>2014</v>
      </c>
      <c r="C3" s="2">
        <v>0.96316666666666595</v>
      </c>
      <c r="D3" s="2">
        <v>2.0919035843127601E-2</v>
      </c>
    </row>
    <row r="4" spans="1:4" x14ac:dyDescent="0.3">
      <c r="A4" t="s">
        <v>4</v>
      </c>
      <c r="B4">
        <v>2013</v>
      </c>
      <c r="C4" s="2">
        <v>0.96408333333333296</v>
      </c>
      <c r="D4" s="2">
        <v>2.6979650019070101E-2</v>
      </c>
    </row>
    <row r="5" spans="1:4" x14ac:dyDescent="0.3">
      <c r="A5" t="s">
        <v>4</v>
      </c>
      <c r="B5">
        <v>2012</v>
      </c>
      <c r="C5" s="2">
        <v>0.99783333333333302</v>
      </c>
      <c r="D5" s="2">
        <v>1.42116043066817E-2</v>
      </c>
    </row>
    <row r="6" spans="1:4" x14ac:dyDescent="0.3">
      <c r="A6" t="s">
        <v>4</v>
      </c>
      <c r="B6">
        <v>2011</v>
      </c>
      <c r="C6" s="2">
        <v>0.99549999999999905</v>
      </c>
      <c r="D6" s="2">
        <v>3.85899186081263E-2</v>
      </c>
    </row>
    <row r="7" spans="1:4" x14ac:dyDescent="0.3">
      <c r="A7" t="s">
        <v>4</v>
      </c>
      <c r="B7">
        <v>2010</v>
      </c>
      <c r="C7" s="2">
        <v>0.99691666666666601</v>
      </c>
      <c r="D7" s="2">
        <v>4.7997080087956397E-2</v>
      </c>
    </row>
    <row r="8" spans="1:4" x14ac:dyDescent="0.3">
      <c r="A8" t="s">
        <v>4</v>
      </c>
      <c r="B8">
        <v>2009</v>
      </c>
      <c r="C8" s="2">
        <v>0.98608333333333298</v>
      </c>
      <c r="D8" s="2">
        <v>2.6314387123719401E-2</v>
      </c>
    </row>
    <row r="9" spans="1:4" x14ac:dyDescent="0.3">
      <c r="A9" t="s">
        <v>4</v>
      </c>
      <c r="B9">
        <v>2008</v>
      </c>
      <c r="C9" s="2">
        <v>1.0197499999999999</v>
      </c>
      <c r="D9" s="2">
        <v>1.9254869513969701E-2</v>
      </c>
    </row>
    <row r="10" spans="1:4" x14ac:dyDescent="0.3">
      <c r="A10" t="s">
        <v>4</v>
      </c>
      <c r="B10">
        <v>2007</v>
      </c>
      <c r="C10" s="2">
        <v>0.99433333333333296</v>
      </c>
      <c r="D10" s="2">
        <v>2.2386413628616601E-2</v>
      </c>
    </row>
    <row r="11" spans="1:4" x14ac:dyDescent="0.3">
      <c r="A11" t="s">
        <v>4</v>
      </c>
      <c r="B11">
        <v>2006</v>
      </c>
      <c r="C11" s="2">
        <v>0.99208333333333298</v>
      </c>
      <c r="D11" s="2">
        <v>1.7956808449637401E-2</v>
      </c>
    </row>
    <row r="12" spans="1:4" x14ac:dyDescent="0.3">
      <c r="A12" t="s">
        <v>4</v>
      </c>
      <c r="B12">
        <v>2005</v>
      </c>
      <c r="C12" s="2">
        <v>0.99549999999999905</v>
      </c>
      <c r="D12" s="2">
        <v>3.0888362033149399E-2</v>
      </c>
    </row>
    <row r="13" spans="1:4" x14ac:dyDescent="0.3">
      <c r="A13" t="s">
        <v>4</v>
      </c>
      <c r="B13">
        <v>2004</v>
      </c>
      <c r="C13" s="2">
        <v>1.0119166666666599</v>
      </c>
      <c r="D13" s="2">
        <v>3.74735260085724E-2</v>
      </c>
    </row>
    <row r="14" spans="1:4" x14ac:dyDescent="0.3">
      <c r="A14" t="s">
        <v>4</v>
      </c>
      <c r="B14">
        <v>2003</v>
      </c>
      <c r="C14" s="2">
        <v>1.0165833333333301</v>
      </c>
      <c r="D14" s="2">
        <v>3.2530987558251998E-2</v>
      </c>
    </row>
    <row r="15" spans="1:4" x14ac:dyDescent="0.3">
      <c r="A15" t="s">
        <v>4</v>
      </c>
      <c r="B15">
        <v>2002</v>
      </c>
      <c r="C15" s="2">
        <v>1.0248333333333299</v>
      </c>
      <c r="D15" s="2">
        <v>3.9611369656458499E-2</v>
      </c>
    </row>
    <row r="16" spans="1:4" x14ac:dyDescent="0.3">
      <c r="A16" t="s">
        <v>4</v>
      </c>
      <c r="B16">
        <v>2001</v>
      </c>
      <c r="C16" s="2">
        <v>1.00366666666666</v>
      </c>
      <c r="D16" s="2">
        <v>3.76329964823746E-2</v>
      </c>
    </row>
    <row r="17" spans="1:4" x14ac:dyDescent="0.3">
      <c r="A17" t="s">
        <v>4</v>
      </c>
      <c r="B17">
        <v>2000</v>
      </c>
      <c r="C17" s="2">
        <v>1.0249999999999999</v>
      </c>
      <c r="D17" s="2">
        <v>4.3432287947604502E-2</v>
      </c>
    </row>
    <row r="18" spans="1:4" x14ac:dyDescent="0.3">
      <c r="A18" t="s">
        <v>4</v>
      </c>
      <c r="B18">
        <v>1999</v>
      </c>
      <c r="C18" s="2">
        <v>1.03033333333333</v>
      </c>
      <c r="D18" s="2">
        <v>3.2619941846370702E-2</v>
      </c>
    </row>
    <row r="19" spans="1:4" x14ac:dyDescent="0.3">
      <c r="A19" t="s">
        <v>4</v>
      </c>
      <c r="B19">
        <v>1998</v>
      </c>
      <c r="C19" s="2">
        <v>1.00833333333333</v>
      </c>
      <c r="D19" s="2">
        <v>4.8165120033887399E-2</v>
      </c>
    </row>
    <row r="20" spans="1:4" x14ac:dyDescent="0.3">
      <c r="A20" t="s">
        <v>4</v>
      </c>
      <c r="B20">
        <v>1997</v>
      </c>
      <c r="C20" s="2">
        <v>0.98308333333333298</v>
      </c>
      <c r="D20" s="2">
        <v>2.69964924769979E-2</v>
      </c>
    </row>
    <row r="21" spans="1:4" x14ac:dyDescent="0.3">
      <c r="A21" t="s">
        <v>4</v>
      </c>
      <c r="B21">
        <v>1996</v>
      </c>
      <c r="C21" s="2">
        <v>1.03816666666666</v>
      </c>
      <c r="D21" s="2">
        <v>3.2194955373709602E-2</v>
      </c>
    </row>
    <row r="22" spans="1:4" x14ac:dyDescent="0.3">
      <c r="A22" t="s">
        <v>4</v>
      </c>
      <c r="B22">
        <v>1995</v>
      </c>
      <c r="C22" s="2">
        <v>1.02633333333333</v>
      </c>
      <c r="D22" s="2">
        <v>3.3899137380640099E-2</v>
      </c>
    </row>
    <row r="23" spans="1:4" x14ac:dyDescent="0.3">
      <c r="A23" t="s">
        <v>4</v>
      </c>
      <c r="B23">
        <v>1994</v>
      </c>
      <c r="C23" s="2">
        <v>1.01383333333333</v>
      </c>
      <c r="D23" s="2">
        <v>2.75477546794432E-2</v>
      </c>
    </row>
    <row r="24" spans="1:4" x14ac:dyDescent="0.3">
      <c r="A24" t="s">
        <v>4</v>
      </c>
      <c r="B24">
        <v>1993</v>
      </c>
      <c r="C24" s="2">
        <v>1.02125</v>
      </c>
      <c r="D24" s="2">
        <v>2.7552016920066601E-2</v>
      </c>
    </row>
    <row r="25" spans="1:4" x14ac:dyDescent="0.3">
      <c r="A25" t="s">
        <v>4</v>
      </c>
      <c r="B25">
        <v>1992</v>
      </c>
      <c r="C25" s="2">
        <v>0.99616666666666598</v>
      </c>
      <c r="D25" s="2">
        <v>1.8814082411047699E-2</v>
      </c>
    </row>
    <row r="26" spans="1:4" x14ac:dyDescent="0.3">
      <c r="A26" t="s">
        <v>4</v>
      </c>
      <c r="B26">
        <v>1991</v>
      </c>
      <c r="C26" s="2">
        <v>1.0179166666666599</v>
      </c>
      <c r="D26" s="2">
        <v>2.2451800224777801E-2</v>
      </c>
    </row>
    <row r="27" spans="1:4" x14ac:dyDescent="0.3">
      <c r="A27" t="s">
        <v>4</v>
      </c>
      <c r="B27">
        <v>1990</v>
      </c>
      <c r="C27" s="2">
        <v>1.02325</v>
      </c>
      <c r="D27" s="2">
        <v>3.4202937141288102E-2</v>
      </c>
    </row>
    <row r="28" spans="1:4" x14ac:dyDescent="0.3">
      <c r="A28" t="s">
        <v>4</v>
      </c>
      <c r="B28">
        <v>1989</v>
      </c>
      <c r="C28" s="2">
        <v>1.03216666666666</v>
      </c>
      <c r="D28" s="2">
        <v>3.6443813125845E-2</v>
      </c>
    </row>
    <row r="29" spans="1:4" x14ac:dyDescent="0.3">
      <c r="A29" t="s">
        <v>4</v>
      </c>
      <c r="B29">
        <v>1988</v>
      </c>
      <c r="C29" s="2">
        <v>1.03705410241666</v>
      </c>
      <c r="D29" s="2">
        <v>4.3826401314982E-2</v>
      </c>
    </row>
    <row r="30" spans="1:4" x14ac:dyDescent="0.3">
      <c r="A30" t="s">
        <v>4</v>
      </c>
      <c r="B30">
        <v>1987</v>
      </c>
      <c r="C30" s="2">
        <v>1.0229430473333301</v>
      </c>
      <c r="D30" s="2">
        <v>3.30457907034237E-2</v>
      </c>
    </row>
    <row r="31" spans="1:4" x14ac:dyDescent="0.3">
      <c r="A31" t="s">
        <v>4</v>
      </c>
      <c r="B31">
        <v>1986</v>
      </c>
      <c r="C31" s="2">
        <v>1.0263941015</v>
      </c>
      <c r="D31" s="2">
        <v>2.0901095669691502E-2</v>
      </c>
    </row>
    <row r="32" spans="1:4" x14ac:dyDescent="0.3">
      <c r="A32" t="s">
        <v>4</v>
      </c>
      <c r="B32">
        <v>1985</v>
      </c>
      <c r="C32" s="2">
        <v>1.02783837741666</v>
      </c>
      <c r="D32" s="2">
        <v>2.9343930217062501E-2</v>
      </c>
    </row>
    <row r="33" spans="1:4" x14ac:dyDescent="0.3">
      <c r="A33" t="s">
        <v>4</v>
      </c>
      <c r="B33">
        <v>1984</v>
      </c>
      <c r="C33" s="2">
        <v>1.04564708883333</v>
      </c>
      <c r="D33" s="2">
        <v>2.1013947378781001E-2</v>
      </c>
    </row>
    <row r="34" spans="1:4" x14ac:dyDescent="0.3">
      <c r="A34" t="s">
        <v>4</v>
      </c>
      <c r="B34">
        <v>1983</v>
      </c>
      <c r="C34" s="2">
        <v>1.01718703166666</v>
      </c>
      <c r="D34" s="2">
        <v>2.5503947439869099E-2</v>
      </c>
    </row>
    <row r="35" spans="1:4" x14ac:dyDescent="0.3">
      <c r="A35" t="s">
        <v>4</v>
      </c>
      <c r="B35">
        <v>1982</v>
      </c>
      <c r="C35" s="2">
        <v>1.0290533209999999</v>
      </c>
      <c r="D35" s="2">
        <v>1.9732883017508002E-2</v>
      </c>
    </row>
    <row r="36" spans="1:4" x14ac:dyDescent="0.3">
      <c r="A36" t="s">
        <v>5</v>
      </c>
      <c r="B36">
        <v>2015</v>
      </c>
      <c r="C36" s="2">
        <v>0.97716666666666596</v>
      </c>
      <c r="D36" s="2">
        <v>1.0408329997330599E-2</v>
      </c>
    </row>
    <row r="37" spans="1:4" x14ac:dyDescent="0.3">
      <c r="A37" t="s">
        <v>5</v>
      </c>
      <c r="B37">
        <v>2014</v>
      </c>
      <c r="C37" s="2">
        <v>0.97841666666666605</v>
      </c>
      <c r="D37" s="2">
        <v>8.0278870007599E-3</v>
      </c>
    </row>
    <row r="38" spans="1:4" x14ac:dyDescent="0.3">
      <c r="A38" t="s">
        <v>5</v>
      </c>
      <c r="B38">
        <v>2013</v>
      </c>
      <c r="C38" s="2">
        <v>0.97316666666666596</v>
      </c>
      <c r="D38" s="2">
        <v>1.7554244932537402E-2</v>
      </c>
    </row>
    <row r="39" spans="1:4" x14ac:dyDescent="0.3">
      <c r="A39" t="s">
        <v>5</v>
      </c>
      <c r="B39">
        <v>2012</v>
      </c>
      <c r="C39" s="2">
        <v>0.96508333333333296</v>
      </c>
      <c r="D39" s="2">
        <v>1.1766349038549199E-2</v>
      </c>
    </row>
    <row r="40" spans="1:4" x14ac:dyDescent="0.3">
      <c r="A40" t="s">
        <v>5</v>
      </c>
      <c r="B40">
        <v>2011</v>
      </c>
      <c r="C40" s="2">
        <v>0.97116666666666596</v>
      </c>
      <c r="D40" s="2">
        <v>2.2155784524109899E-2</v>
      </c>
    </row>
    <row r="41" spans="1:4" x14ac:dyDescent="0.3">
      <c r="A41" t="s">
        <v>5</v>
      </c>
      <c r="B41">
        <v>2010</v>
      </c>
      <c r="C41" s="2">
        <v>0.97824999999999995</v>
      </c>
      <c r="D41" s="2">
        <v>4.4409509628620503E-2</v>
      </c>
    </row>
    <row r="42" spans="1:4" x14ac:dyDescent="0.3">
      <c r="A42" t="s">
        <v>5</v>
      </c>
      <c r="B42">
        <v>2009</v>
      </c>
      <c r="C42" s="2">
        <v>0.96433333333333304</v>
      </c>
      <c r="D42" s="2">
        <v>2.1304431179423301E-2</v>
      </c>
    </row>
    <row r="43" spans="1:4" x14ac:dyDescent="0.3">
      <c r="A43" t="s">
        <v>5</v>
      </c>
      <c r="B43">
        <v>2008</v>
      </c>
      <c r="C43" s="2">
        <v>0.97841666666666605</v>
      </c>
      <c r="D43" s="2">
        <v>3.4908864030197002E-2</v>
      </c>
    </row>
    <row r="44" spans="1:4" x14ac:dyDescent="0.3">
      <c r="A44" t="s">
        <v>5</v>
      </c>
      <c r="B44">
        <v>2007</v>
      </c>
      <c r="C44" s="2">
        <v>0.98799999999999999</v>
      </c>
      <c r="D44" s="2">
        <v>3.0573309809820499E-2</v>
      </c>
    </row>
    <row r="45" spans="1:4" x14ac:dyDescent="0.3">
      <c r="A45" t="s">
        <v>5</v>
      </c>
      <c r="B45">
        <v>2006</v>
      </c>
      <c r="C45" s="2">
        <v>0.96541666666666603</v>
      </c>
      <c r="D45" s="2">
        <v>2.9754933382652001E-2</v>
      </c>
    </row>
    <row r="46" spans="1:4" x14ac:dyDescent="0.3">
      <c r="A46" t="s">
        <v>5</v>
      </c>
      <c r="B46">
        <v>2005</v>
      </c>
      <c r="C46" s="2">
        <v>0.96174999999999999</v>
      </c>
      <c r="D46" s="2">
        <v>3.0698312064938699E-2</v>
      </c>
    </row>
    <row r="47" spans="1:4" x14ac:dyDescent="0.3">
      <c r="A47" t="s">
        <v>5</v>
      </c>
      <c r="B47">
        <v>2004</v>
      </c>
      <c r="C47" s="2">
        <v>0.97099999999999997</v>
      </c>
      <c r="D47" s="2">
        <v>2.9344350548119201E-2</v>
      </c>
    </row>
    <row r="48" spans="1:4" x14ac:dyDescent="0.3">
      <c r="A48" t="s">
        <v>5</v>
      </c>
      <c r="B48">
        <v>2003</v>
      </c>
      <c r="C48" s="2">
        <v>0.97808333333333297</v>
      </c>
      <c r="D48" s="2">
        <v>3.0001388856740099E-2</v>
      </c>
    </row>
    <row r="49" spans="1:4" x14ac:dyDescent="0.3">
      <c r="A49" t="s">
        <v>5</v>
      </c>
      <c r="B49">
        <v>2002</v>
      </c>
      <c r="C49" s="2">
        <v>0.96975</v>
      </c>
      <c r="D49" s="2">
        <v>1.82762886624371E-2</v>
      </c>
    </row>
    <row r="50" spans="1:4" x14ac:dyDescent="0.3">
      <c r="A50" t="s">
        <v>5</v>
      </c>
      <c r="B50">
        <v>2001</v>
      </c>
      <c r="C50" s="2">
        <v>0.957666666666666</v>
      </c>
      <c r="D50" s="2">
        <v>1.8690461025168199E-2</v>
      </c>
    </row>
    <row r="51" spans="1:4" x14ac:dyDescent="0.3">
      <c r="A51" t="s">
        <v>5</v>
      </c>
      <c r="B51">
        <v>2000</v>
      </c>
      <c r="C51" s="2">
        <v>0.96975</v>
      </c>
      <c r="D51" s="2">
        <v>3.00427725388017E-2</v>
      </c>
    </row>
    <row r="52" spans="1:4" x14ac:dyDescent="0.3">
      <c r="A52" t="s">
        <v>5</v>
      </c>
      <c r="B52">
        <v>1999</v>
      </c>
      <c r="C52" s="2">
        <v>1.0002499999999901</v>
      </c>
      <c r="D52" s="2">
        <v>3.0724952844109001E-2</v>
      </c>
    </row>
    <row r="53" spans="1:4" x14ac:dyDescent="0.3">
      <c r="A53" t="s">
        <v>5</v>
      </c>
      <c r="B53">
        <v>1998</v>
      </c>
      <c r="C53" s="2">
        <v>0.96991666666666598</v>
      </c>
      <c r="D53" s="2">
        <v>3.6094467804091597E-2</v>
      </c>
    </row>
    <row r="54" spans="1:4" x14ac:dyDescent="0.3">
      <c r="A54" t="s">
        <v>5</v>
      </c>
      <c r="B54">
        <v>1997</v>
      </c>
      <c r="C54" s="2">
        <v>0.959666666666666</v>
      </c>
      <c r="D54" s="2">
        <v>2.1843798093543899E-2</v>
      </c>
    </row>
    <row r="55" spans="1:4" x14ac:dyDescent="0.3">
      <c r="A55" t="s">
        <v>5</v>
      </c>
      <c r="B55">
        <v>1996</v>
      </c>
      <c r="C55" s="2">
        <v>0.99299999999999999</v>
      </c>
      <c r="D55" s="2">
        <v>2.6288607971722399E-2</v>
      </c>
    </row>
    <row r="56" spans="1:4" x14ac:dyDescent="0.3">
      <c r="A56" t="s">
        <v>5</v>
      </c>
      <c r="B56">
        <v>1995</v>
      </c>
      <c r="C56" s="2">
        <v>0.99516666666666598</v>
      </c>
      <c r="D56" s="2">
        <v>2.54481052458932E-2</v>
      </c>
    </row>
    <row r="57" spans="1:4" x14ac:dyDescent="0.3">
      <c r="A57" t="s">
        <v>5</v>
      </c>
      <c r="B57">
        <v>1994</v>
      </c>
      <c r="C57" s="2">
        <v>0.98708333333333298</v>
      </c>
      <c r="D57" s="2">
        <v>2.50361859327775E-2</v>
      </c>
    </row>
    <row r="58" spans="1:4" x14ac:dyDescent="0.3">
      <c r="A58" t="s">
        <v>5</v>
      </c>
      <c r="B58">
        <v>1993</v>
      </c>
      <c r="C58" s="2">
        <v>1.0006666666666599</v>
      </c>
      <c r="D58" s="2">
        <v>2.1478671591449301E-2</v>
      </c>
    </row>
    <row r="59" spans="1:4" x14ac:dyDescent="0.3">
      <c r="A59" t="s">
        <v>5</v>
      </c>
      <c r="B59">
        <v>1992</v>
      </c>
      <c r="C59" s="2">
        <v>0.99158333333333304</v>
      </c>
      <c r="D59" s="2">
        <v>2.2516492272163999E-2</v>
      </c>
    </row>
    <row r="60" spans="1:4" x14ac:dyDescent="0.3">
      <c r="A60" t="s">
        <v>5</v>
      </c>
      <c r="B60">
        <v>1991</v>
      </c>
      <c r="C60" s="2">
        <v>0.99941666666666595</v>
      </c>
      <c r="D60" s="2">
        <v>1.6876332719539599E-2</v>
      </c>
    </row>
    <row r="61" spans="1:4" x14ac:dyDescent="0.3">
      <c r="A61" t="s">
        <v>5</v>
      </c>
      <c r="B61">
        <v>1990</v>
      </c>
      <c r="C61" s="2">
        <v>1.01275</v>
      </c>
      <c r="D61" s="2">
        <v>2.4094982502964799E-2</v>
      </c>
    </row>
    <row r="62" spans="1:4" x14ac:dyDescent="0.3">
      <c r="A62" t="s">
        <v>5</v>
      </c>
      <c r="B62">
        <v>1989</v>
      </c>
      <c r="C62" s="2">
        <v>1.00125</v>
      </c>
      <c r="D62" s="2">
        <v>4.1861514110652497E-2</v>
      </c>
    </row>
    <row r="63" spans="1:4" x14ac:dyDescent="0.3">
      <c r="A63" t="s">
        <v>5</v>
      </c>
      <c r="B63">
        <v>1988</v>
      </c>
      <c r="C63" s="2">
        <v>0.99774999999999903</v>
      </c>
      <c r="D63" s="2">
        <v>3.6337121014691803E-2</v>
      </c>
    </row>
    <row r="64" spans="1:4" x14ac:dyDescent="0.3">
      <c r="A64" t="s">
        <v>5</v>
      </c>
      <c r="B64">
        <v>1987</v>
      </c>
      <c r="C64" s="2">
        <v>0.99958333333333305</v>
      </c>
      <c r="D64" s="2">
        <v>1.8118089069080901E-2</v>
      </c>
    </row>
    <row r="65" spans="1:4" x14ac:dyDescent="0.3">
      <c r="A65" t="s">
        <v>5</v>
      </c>
      <c r="B65">
        <v>1986</v>
      </c>
      <c r="C65" s="2">
        <v>0.99608333333333299</v>
      </c>
      <c r="D65" s="2">
        <v>1.72281921878241E-2</v>
      </c>
    </row>
    <row r="66" spans="1:4" x14ac:dyDescent="0.3">
      <c r="A66" t="s">
        <v>5</v>
      </c>
      <c r="B66">
        <v>1985</v>
      </c>
      <c r="C66" s="2">
        <v>0.99649999999999905</v>
      </c>
      <c r="D66" s="2">
        <v>1.9764522853748901E-2</v>
      </c>
    </row>
    <row r="67" spans="1:4" x14ac:dyDescent="0.3">
      <c r="A67" t="s">
        <v>5</v>
      </c>
      <c r="B67">
        <v>1984</v>
      </c>
      <c r="C67" s="2">
        <v>1.0079166666666599</v>
      </c>
      <c r="D67" s="2">
        <v>2.0424843755197701E-2</v>
      </c>
    </row>
    <row r="68" spans="1:4" x14ac:dyDescent="0.3">
      <c r="A68" t="s">
        <v>5</v>
      </c>
      <c r="B68">
        <v>1983</v>
      </c>
      <c r="C68" s="2">
        <v>0.998</v>
      </c>
      <c r="D68" s="2">
        <v>2.0630956440174101E-2</v>
      </c>
    </row>
    <row r="69" spans="1:4" x14ac:dyDescent="0.3">
      <c r="A69" t="s">
        <v>5</v>
      </c>
      <c r="B69">
        <v>1982</v>
      </c>
      <c r="C69" s="2">
        <v>0.99308333333333298</v>
      </c>
      <c r="D69" s="2">
        <v>1.8342490825865702E-2</v>
      </c>
    </row>
    <row r="70" spans="1:4" x14ac:dyDescent="0.3">
      <c r="A70" t="s">
        <v>5</v>
      </c>
      <c r="B70">
        <v>1981</v>
      </c>
      <c r="C70" s="2">
        <v>1.00925</v>
      </c>
      <c r="D70" s="2">
        <v>1.9522131962560699E-2</v>
      </c>
    </row>
    <row r="71" spans="1:4" x14ac:dyDescent="0.3">
      <c r="A71" t="s">
        <v>5</v>
      </c>
      <c r="B71">
        <v>1980</v>
      </c>
      <c r="C71" s="2">
        <v>0.99124999999999996</v>
      </c>
      <c r="D71" s="2">
        <v>1.50400979203775E-2</v>
      </c>
    </row>
    <row r="72" spans="1:4" x14ac:dyDescent="0.3">
      <c r="A72" t="s">
        <v>5</v>
      </c>
      <c r="B72">
        <v>1979</v>
      </c>
      <c r="C72" s="2">
        <v>1.01</v>
      </c>
      <c r="D72" s="2">
        <v>2.3591215622461099E-2</v>
      </c>
    </row>
    <row r="73" spans="1:4" x14ac:dyDescent="0.3">
      <c r="A73" t="s">
        <v>5</v>
      </c>
      <c r="B73">
        <v>1978</v>
      </c>
      <c r="C73" s="2">
        <v>1.00541666666666</v>
      </c>
      <c r="D73" s="2">
        <v>1.3937903411745599E-2</v>
      </c>
    </row>
    <row r="74" spans="1:4" x14ac:dyDescent="0.3">
      <c r="A74" t="s">
        <v>5</v>
      </c>
      <c r="B74">
        <v>1977</v>
      </c>
      <c r="C74" s="2">
        <v>0.99891666666666601</v>
      </c>
      <c r="D74" s="2">
        <v>1.18203086664306E-2</v>
      </c>
    </row>
    <row r="75" spans="1:4" x14ac:dyDescent="0.3">
      <c r="A75" t="s">
        <v>5</v>
      </c>
      <c r="B75">
        <v>1976</v>
      </c>
      <c r="C75" s="2">
        <v>0.99758333333333304</v>
      </c>
      <c r="D75" s="2">
        <v>2.3654553024478799E-2</v>
      </c>
    </row>
    <row r="76" spans="1:4" x14ac:dyDescent="0.3">
      <c r="A76" t="s">
        <v>5</v>
      </c>
      <c r="B76">
        <v>1975</v>
      </c>
      <c r="C76" s="2">
        <v>1.01525</v>
      </c>
      <c r="D76" s="2">
        <v>3.1677709398365103E-2</v>
      </c>
    </row>
    <row r="77" spans="1:4" x14ac:dyDescent="0.3">
      <c r="A77" t="s">
        <v>5</v>
      </c>
      <c r="B77">
        <v>1974</v>
      </c>
      <c r="C77" s="2">
        <v>1.0025833333333301</v>
      </c>
      <c r="D77" s="2">
        <v>2.6834368510053101E-2</v>
      </c>
    </row>
    <row r="78" spans="1:4" x14ac:dyDescent="0.3">
      <c r="A78" t="s">
        <v>5</v>
      </c>
      <c r="B78">
        <v>1973</v>
      </c>
      <c r="C78" s="2">
        <v>1.0106666666666599</v>
      </c>
      <c r="D78" s="2">
        <v>3.2137017266508701E-2</v>
      </c>
    </row>
    <row r="79" spans="1:4" x14ac:dyDescent="0.3">
      <c r="A79" t="s">
        <v>5</v>
      </c>
      <c r="B79">
        <v>1972</v>
      </c>
      <c r="C79" s="2">
        <v>1.0025833333333301</v>
      </c>
      <c r="D79" s="2">
        <v>1.9570192238259201E-2</v>
      </c>
    </row>
    <row r="80" spans="1:4" x14ac:dyDescent="0.3">
      <c r="A80" t="s">
        <v>5</v>
      </c>
      <c r="B80">
        <v>1971</v>
      </c>
      <c r="C80" s="2">
        <v>1.01725</v>
      </c>
      <c r="D80" s="2">
        <v>1.7399712641305298E-2</v>
      </c>
    </row>
    <row r="81" spans="1:4" x14ac:dyDescent="0.3">
      <c r="A81" t="s">
        <v>5</v>
      </c>
      <c r="B81">
        <v>1970</v>
      </c>
      <c r="C81" s="2">
        <v>1.0225</v>
      </c>
      <c r="D81" s="2">
        <v>2.9568103207218501E-2</v>
      </c>
    </row>
    <row r="82" spans="1:4" x14ac:dyDescent="0.3">
      <c r="A82" t="s">
        <v>5</v>
      </c>
      <c r="B82">
        <v>1969</v>
      </c>
      <c r="C82" s="2">
        <v>1.0267500000000001</v>
      </c>
      <c r="D82" s="2">
        <v>1.99732776023821E-2</v>
      </c>
    </row>
    <row r="83" spans="1:4" x14ac:dyDescent="0.3">
      <c r="A83" t="s">
        <v>5</v>
      </c>
      <c r="B83">
        <v>1968</v>
      </c>
      <c r="C83" s="2">
        <v>0.99966666666666604</v>
      </c>
      <c r="D83" s="2">
        <v>3.0639645539527301E-2</v>
      </c>
    </row>
    <row r="84" spans="1:4" x14ac:dyDescent="0.3">
      <c r="A84" t="s">
        <v>5</v>
      </c>
      <c r="B84">
        <v>1967</v>
      </c>
      <c r="C84" s="2">
        <v>1.0089999999999999</v>
      </c>
      <c r="D84" s="2">
        <v>1.8776193824773201E-2</v>
      </c>
    </row>
    <row r="85" spans="1:4" x14ac:dyDescent="0.3">
      <c r="A85" t="s">
        <v>5</v>
      </c>
      <c r="B85">
        <v>1966</v>
      </c>
      <c r="C85" s="2">
        <v>1.0180833333333299</v>
      </c>
      <c r="D85" s="2">
        <v>3.2872918761174597E-2</v>
      </c>
    </row>
    <row r="86" spans="1:4" x14ac:dyDescent="0.3">
      <c r="A86" t="s">
        <v>5</v>
      </c>
      <c r="B86">
        <v>1965</v>
      </c>
      <c r="C86" s="2">
        <v>0.98916666666666597</v>
      </c>
      <c r="D86" s="2">
        <v>2.8122567234852298E-2</v>
      </c>
    </row>
    <row r="87" spans="1:4" x14ac:dyDescent="0.3">
      <c r="A87" t="s">
        <v>5</v>
      </c>
      <c r="B87">
        <v>1964</v>
      </c>
      <c r="C87" s="2">
        <v>0.99891666666666601</v>
      </c>
      <c r="D87" s="2">
        <v>3.4587066246143897E-2</v>
      </c>
    </row>
    <row r="88" spans="1:4" x14ac:dyDescent="0.3">
      <c r="A88" t="s">
        <v>5</v>
      </c>
      <c r="B88">
        <v>1963</v>
      </c>
      <c r="C88" s="2">
        <v>1.00633333333333</v>
      </c>
      <c r="D88" s="2">
        <v>2.9005746557076099E-2</v>
      </c>
    </row>
    <row r="89" spans="1:4" x14ac:dyDescent="0.3">
      <c r="A89" t="s">
        <v>5</v>
      </c>
      <c r="B89">
        <v>1962</v>
      </c>
      <c r="C89" s="2">
        <v>1.02</v>
      </c>
      <c r="D89" s="2">
        <v>2.9787123514578E-2</v>
      </c>
    </row>
    <row r="90" spans="1:4" x14ac:dyDescent="0.3">
      <c r="A90" t="s">
        <v>5</v>
      </c>
      <c r="B90">
        <v>1961</v>
      </c>
      <c r="C90" s="2">
        <v>1.00833333333333</v>
      </c>
      <c r="D90" s="2">
        <v>2.2584521382145901E-2</v>
      </c>
    </row>
    <row r="91" spans="1:4" x14ac:dyDescent="0.3">
      <c r="A91" t="s">
        <v>5</v>
      </c>
      <c r="B91">
        <v>1960</v>
      </c>
      <c r="C91" s="2">
        <v>1.01725</v>
      </c>
      <c r="D91" s="2">
        <v>2.7971170222862701E-2</v>
      </c>
    </row>
    <row r="92" spans="1:4" x14ac:dyDescent="0.3">
      <c r="A92" t="s">
        <v>5</v>
      </c>
      <c r="B92">
        <v>1959</v>
      </c>
      <c r="C92" s="2">
        <v>1.006</v>
      </c>
      <c r="D92" s="2">
        <v>2.1742292260184301E-2</v>
      </c>
    </row>
    <row r="93" spans="1:4" x14ac:dyDescent="0.3">
      <c r="A93" t="s">
        <v>5</v>
      </c>
      <c r="B93">
        <v>1958</v>
      </c>
      <c r="C93" s="2">
        <v>1.01725</v>
      </c>
      <c r="D93" s="2">
        <v>1.9055540831045301E-2</v>
      </c>
    </row>
    <row r="94" spans="1:4" x14ac:dyDescent="0.3">
      <c r="A94" t="s">
        <v>5</v>
      </c>
      <c r="B94">
        <v>1957</v>
      </c>
      <c r="C94" s="2">
        <v>1.00766666666666</v>
      </c>
      <c r="D94" s="2">
        <v>2.4054231656946701E-2</v>
      </c>
    </row>
    <row r="95" spans="1:4" x14ac:dyDescent="0.3">
      <c r="A95" t="s">
        <v>5</v>
      </c>
      <c r="B95">
        <v>1956</v>
      </c>
      <c r="C95" s="2">
        <v>1.0425</v>
      </c>
      <c r="D95" s="2">
        <v>2.5282045371801301E-2</v>
      </c>
    </row>
    <row r="96" spans="1:4" x14ac:dyDescent="0.3">
      <c r="A96" t="s">
        <v>5</v>
      </c>
      <c r="B96">
        <v>1955</v>
      </c>
      <c r="C96" s="2">
        <v>1.0529999999999999</v>
      </c>
      <c r="D96" s="2">
        <v>2.97107265600704E-2</v>
      </c>
    </row>
    <row r="97" spans="1:4" x14ac:dyDescent="0.3">
      <c r="A97" t="s">
        <v>5</v>
      </c>
      <c r="B97">
        <v>1954</v>
      </c>
      <c r="C97" s="2">
        <v>1.0568859638333299</v>
      </c>
      <c r="D97" s="2">
        <v>3.0797274050546299E-2</v>
      </c>
    </row>
    <row r="98" spans="1:4" x14ac:dyDescent="0.3">
      <c r="A98" t="s">
        <v>6</v>
      </c>
      <c r="B98">
        <v>2015</v>
      </c>
      <c r="C98" s="2">
        <v>1.00616666666666</v>
      </c>
      <c r="D98" s="2">
        <v>6.5470094954363206E-2</v>
      </c>
    </row>
    <row r="99" spans="1:4" x14ac:dyDescent="0.3">
      <c r="A99" t="s">
        <v>6</v>
      </c>
      <c r="B99">
        <v>2014</v>
      </c>
      <c r="C99" s="2">
        <v>0.97299999999999998</v>
      </c>
      <c r="D99" s="2">
        <v>1.1127361853475499E-2</v>
      </c>
    </row>
    <row r="100" spans="1:4" x14ac:dyDescent="0.3">
      <c r="A100" t="s">
        <v>6</v>
      </c>
      <c r="B100">
        <v>2013</v>
      </c>
      <c r="C100" s="2">
        <v>0.97808333333333297</v>
      </c>
      <c r="D100" s="2">
        <v>1.2830775030323999E-2</v>
      </c>
    </row>
    <row r="101" spans="1:4" x14ac:dyDescent="0.3">
      <c r="A101" t="s">
        <v>6</v>
      </c>
      <c r="B101">
        <v>2012</v>
      </c>
      <c r="C101" s="2">
        <v>0.99783333333333302</v>
      </c>
      <c r="D101" s="2">
        <v>1.72723285440421E-2</v>
      </c>
    </row>
    <row r="102" spans="1:4" x14ac:dyDescent="0.3">
      <c r="A102" t="s">
        <v>6</v>
      </c>
      <c r="B102">
        <v>2011</v>
      </c>
      <c r="C102" s="2">
        <v>1.0342499999999999</v>
      </c>
      <c r="D102" s="2">
        <v>1.4703895587719101E-2</v>
      </c>
    </row>
    <row r="103" spans="1:4" x14ac:dyDescent="0.3">
      <c r="A103" t="s">
        <v>6</v>
      </c>
      <c r="B103">
        <v>2010</v>
      </c>
      <c r="C103" s="2">
        <v>1.02475</v>
      </c>
      <c r="D103" s="2">
        <v>2.6406352541489899E-2</v>
      </c>
    </row>
    <row r="104" spans="1:4" x14ac:dyDescent="0.3">
      <c r="A104" t="s">
        <v>6</v>
      </c>
      <c r="B104">
        <v>2009</v>
      </c>
      <c r="C104" s="2">
        <v>1.0268333333333299</v>
      </c>
      <c r="D104" s="2">
        <v>1.7826605924512899E-2</v>
      </c>
    </row>
    <row r="105" spans="1:4" x14ac:dyDescent="0.3">
      <c r="A105" t="s">
        <v>6</v>
      </c>
      <c r="B105">
        <v>2008</v>
      </c>
      <c r="C105" s="2">
        <v>1.01508333333333</v>
      </c>
      <c r="D105" s="2">
        <v>1.8322655292552299E-2</v>
      </c>
    </row>
    <row r="106" spans="1:4" x14ac:dyDescent="0.3">
      <c r="A106" t="s">
        <v>6</v>
      </c>
      <c r="B106">
        <v>2007</v>
      </c>
      <c r="C106" s="2">
        <v>1.0256666666666601</v>
      </c>
      <c r="D106" s="2">
        <v>3.29112672978649E-2</v>
      </c>
    </row>
    <row r="107" spans="1:4" x14ac:dyDescent="0.3">
      <c r="A107" t="s">
        <v>6</v>
      </c>
      <c r="B107">
        <v>2006</v>
      </c>
      <c r="C107" s="2">
        <v>1.05725</v>
      </c>
      <c r="D107" s="2">
        <v>2.0329669317169299E-2</v>
      </c>
    </row>
    <row r="108" spans="1:4" x14ac:dyDescent="0.3">
      <c r="A108" t="s">
        <v>6</v>
      </c>
      <c r="B108">
        <v>2005</v>
      </c>
      <c r="C108" s="2">
        <v>1.0260833333333299</v>
      </c>
      <c r="D108" s="2">
        <v>3.1638464315488203E-2</v>
      </c>
    </row>
    <row r="109" spans="1:4" x14ac:dyDescent="0.3">
      <c r="A109" t="s">
        <v>6</v>
      </c>
      <c r="B109">
        <v>2004</v>
      </c>
      <c r="C109" s="2">
        <v>1.0253333333333301</v>
      </c>
      <c r="D109" s="2">
        <v>2.2211108331943501E-2</v>
      </c>
    </row>
    <row r="110" spans="1:4" x14ac:dyDescent="0.3">
      <c r="A110" t="s">
        <v>6</v>
      </c>
      <c r="B110">
        <v>2003</v>
      </c>
      <c r="C110" s="2">
        <v>1.00091666666666</v>
      </c>
      <c r="D110" s="2">
        <v>4.1123888950635998E-2</v>
      </c>
    </row>
    <row r="111" spans="1:4" x14ac:dyDescent="0.3">
      <c r="A111" t="s">
        <v>6</v>
      </c>
      <c r="B111">
        <v>2002</v>
      </c>
      <c r="C111" s="2">
        <v>1.0004166666666601</v>
      </c>
      <c r="D111" s="2">
        <v>1.9796502598982298E-2</v>
      </c>
    </row>
    <row r="112" spans="1:4" x14ac:dyDescent="0.3">
      <c r="A112" t="s">
        <v>6</v>
      </c>
      <c r="B112">
        <v>2001</v>
      </c>
      <c r="C112" s="2">
        <v>1.00366666666666</v>
      </c>
      <c r="D112" s="2">
        <v>2.1068431073024502E-2</v>
      </c>
    </row>
    <row r="113" spans="1:4" x14ac:dyDescent="0.3">
      <c r="A113" t="s">
        <v>6</v>
      </c>
      <c r="B113">
        <v>2000</v>
      </c>
      <c r="C113" s="2">
        <v>1.0064166666666601</v>
      </c>
      <c r="D113" s="2">
        <v>3.2315091699005698E-2</v>
      </c>
    </row>
    <row r="114" spans="1:4" x14ac:dyDescent="0.3">
      <c r="A114" t="s">
        <v>6</v>
      </c>
      <c r="B114">
        <v>1999</v>
      </c>
      <c r="C114" s="2">
        <v>1.03091666666666</v>
      </c>
      <c r="D114" s="2">
        <v>2.4832011353871201E-2</v>
      </c>
    </row>
    <row r="115" spans="1:4" x14ac:dyDescent="0.3">
      <c r="A115" t="s">
        <v>6</v>
      </c>
      <c r="B115">
        <v>1998</v>
      </c>
      <c r="C115" s="2">
        <v>0.99708333333333299</v>
      </c>
      <c r="D115" s="2">
        <v>2.8842702979289401E-2</v>
      </c>
    </row>
    <row r="116" spans="1:4" x14ac:dyDescent="0.3">
      <c r="A116" t="s">
        <v>6</v>
      </c>
      <c r="B116">
        <v>1997</v>
      </c>
      <c r="C116" s="2">
        <v>1.00183333333333</v>
      </c>
      <c r="D116" s="2">
        <v>1.8398781250809799E-2</v>
      </c>
    </row>
    <row r="117" spans="1:4" x14ac:dyDescent="0.3">
      <c r="A117" t="s">
        <v>6</v>
      </c>
      <c r="B117">
        <v>1996</v>
      </c>
      <c r="C117" s="2">
        <v>1.0585833333333301</v>
      </c>
      <c r="D117" s="2">
        <v>2.1769279160126401E-2</v>
      </c>
    </row>
    <row r="118" spans="1:4" x14ac:dyDescent="0.3">
      <c r="A118" t="s">
        <v>6</v>
      </c>
      <c r="B118">
        <v>1995</v>
      </c>
      <c r="C118" s="2">
        <v>1.06375</v>
      </c>
      <c r="D118" s="2">
        <v>1.63213468695559E-2</v>
      </c>
    </row>
    <row r="119" spans="1:4" x14ac:dyDescent="0.3">
      <c r="A119" t="s">
        <v>6</v>
      </c>
      <c r="B119">
        <v>1994</v>
      </c>
      <c r="C119" s="2">
        <v>1.08083333333333</v>
      </c>
      <c r="D119" s="2">
        <v>2.4281805134834199E-2</v>
      </c>
    </row>
    <row r="120" spans="1:4" x14ac:dyDescent="0.3">
      <c r="A120" t="s">
        <v>6</v>
      </c>
      <c r="B120">
        <v>1993</v>
      </c>
      <c r="C120" s="2">
        <v>1.04341666666666</v>
      </c>
      <c r="D120" s="2">
        <v>2.2888895018141699E-2</v>
      </c>
    </row>
    <row r="121" spans="1:4" x14ac:dyDescent="0.3">
      <c r="A121" t="s">
        <v>6</v>
      </c>
      <c r="B121">
        <v>1992</v>
      </c>
      <c r="C121" s="2">
        <v>1.0356666666666601</v>
      </c>
      <c r="D121" s="2">
        <v>1.4310411552009201E-2</v>
      </c>
    </row>
    <row r="122" spans="1:4" x14ac:dyDescent="0.3">
      <c r="A122" t="s">
        <v>6</v>
      </c>
      <c r="B122">
        <v>1991</v>
      </c>
      <c r="C122" s="2">
        <v>1.0471666666666599</v>
      </c>
      <c r="D122" s="2">
        <v>1.54674634068558E-2</v>
      </c>
    </row>
    <row r="123" spans="1:4" x14ac:dyDescent="0.3">
      <c r="A123" t="s">
        <v>6</v>
      </c>
      <c r="B123">
        <v>1990</v>
      </c>
      <c r="C123" s="2">
        <v>1.0689166666666601</v>
      </c>
      <c r="D123" s="2">
        <v>3.1375897910609102E-2</v>
      </c>
    </row>
    <row r="124" spans="1:4" x14ac:dyDescent="0.3">
      <c r="A124" t="s">
        <v>6</v>
      </c>
      <c r="B124">
        <v>1989</v>
      </c>
      <c r="C124" s="2">
        <v>1.077</v>
      </c>
      <c r="D124" s="2">
        <v>2.7781615896455399E-2</v>
      </c>
    </row>
    <row r="125" spans="1:4" x14ac:dyDescent="0.3">
      <c r="A125" t="s">
        <v>6</v>
      </c>
      <c r="B125">
        <v>1988</v>
      </c>
      <c r="C125" s="2">
        <v>1.0564166666666599</v>
      </c>
      <c r="D125" s="2">
        <v>4.0488962207076401E-2</v>
      </c>
    </row>
    <row r="126" spans="1:4" x14ac:dyDescent="0.3">
      <c r="A126" t="s">
        <v>6</v>
      </c>
      <c r="B126">
        <v>1987</v>
      </c>
      <c r="C126" s="2">
        <v>1.0345</v>
      </c>
      <c r="D126" s="2">
        <v>2.7127644403985601E-2</v>
      </c>
    </row>
    <row r="127" spans="1:4" x14ac:dyDescent="0.3">
      <c r="A127" t="s">
        <v>6</v>
      </c>
      <c r="B127">
        <v>1986</v>
      </c>
      <c r="C127" s="2">
        <v>1.05591666666666</v>
      </c>
      <c r="D127" s="2">
        <v>2.81375140509906E-2</v>
      </c>
    </row>
    <row r="128" spans="1:4" x14ac:dyDescent="0.3">
      <c r="A128" t="s">
        <v>6</v>
      </c>
      <c r="B128">
        <v>1985</v>
      </c>
      <c r="C128" s="2">
        <v>1.046</v>
      </c>
      <c r="D128" s="2">
        <v>2.99939387816332E-2</v>
      </c>
    </row>
    <row r="129" spans="1:4" x14ac:dyDescent="0.3">
      <c r="A129" t="s">
        <v>6</v>
      </c>
      <c r="B129">
        <v>1984</v>
      </c>
      <c r="C129" s="2">
        <v>1.0356666666666601</v>
      </c>
      <c r="D129" s="2">
        <v>2.5606580593608499E-2</v>
      </c>
    </row>
    <row r="130" spans="1:4" x14ac:dyDescent="0.3">
      <c r="A130" t="s">
        <v>6</v>
      </c>
      <c r="B130">
        <v>1983</v>
      </c>
      <c r="C130" s="2">
        <v>1.0137499999999999</v>
      </c>
      <c r="D130" s="2">
        <v>2.4045884168700099E-2</v>
      </c>
    </row>
    <row r="131" spans="1:4" x14ac:dyDescent="0.3">
      <c r="A131" t="s">
        <v>6</v>
      </c>
      <c r="B131">
        <v>1982</v>
      </c>
      <c r="C131" s="2">
        <v>1.0347500000000001</v>
      </c>
      <c r="D131" s="2">
        <v>3.51700414867799E-2</v>
      </c>
    </row>
    <row r="132" spans="1:4" x14ac:dyDescent="0.3">
      <c r="A132" t="s">
        <v>6</v>
      </c>
      <c r="B132">
        <v>1981</v>
      </c>
      <c r="C132" s="2">
        <v>1.0753333333333299</v>
      </c>
      <c r="D132" s="2">
        <v>3.5361338244249703E-2</v>
      </c>
    </row>
    <row r="133" spans="1:4" x14ac:dyDescent="0.3">
      <c r="A133" t="s">
        <v>6</v>
      </c>
      <c r="B133">
        <v>1980</v>
      </c>
      <c r="C133" s="2">
        <v>1.0511666666666599</v>
      </c>
      <c r="D133" s="2">
        <v>2.0337307112940399E-2</v>
      </c>
    </row>
    <row r="134" spans="1:4" x14ac:dyDescent="0.3">
      <c r="A134" t="s">
        <v>6</v>
      </c>
      <c r="B134">
        <v>1979</v>
      </c>
      <c r="C134" s="2">
        <v>1.04066666666666</v>
      </c>
      <c r="D134" s="2">
        <v>3.4357302606931199E-2</v>
      </c>
    </row>
    <row r="135" spans="1:4" x14ac:dyDescent="0.3">
      <c r="A135" t="s">
        <v>6</v>
      </c>
      <c r="B135">
        <v>1978</v>
      </c>
      <c r="C135" s="2">
        <v>1.0573333333333299</v>
      </c>
      <c r="D135" s="2">
        <v>3.6425099571420198E-2</v>
      </c>
    </row>
    <row r="136" spans="1:4" x14ac:dyDescent="0.3">
      <c r="A136" t="s">
        <v>6</v>
      </c>
      <c r="B136">
        <v>1977</v>
      </c>
      <c r="C136" s="2">
        <v>1.03925</v>
      </c>
      <c r="D136" s="2">
        <v>2.6560822139521101E-2</v>
      </c>
    </row>
    <row r="137" spans="1:4" x14ac:dyDescent="0.3">
      <c r="A137" t="s">
        <v>6</v>
      </c>
      <c r="B137">
        <v>1976</v>
      </c>
      <c r="C137" s="2">
        <v>1.0525833333333301</v>
      </c>
      <c r="D137" s="2">
        <v>2.2585024536921201E-2</v>
      </c>
    </row>
    <row r="138" spans="1:4" x14ac:dyDescent="0.3">
      <c r="A138" t="s">
        <v>6</v>
      </c>
      <c r="B138">
        <v>1975</v>
      </c>
      <c r="C138" s="2">
        <v>1.0308333333333299</v>
      </c>
      <c r="D138" s="2">
        <v>4.4263330469389899E-2</v>
      </c>
    </row>
    <row r="139" spans="1:4" x14ac:dyDescent="0.3">
      <c r="A139" t="s">
        <v>6</v>
      </c>
      <c r="B139">
        <v>1974</v>
      </c>
      <c r="C139" s="2">
        <v>1.0017499999999999</v>
      </c>
      <c r="D139" s="2">
        <v>2.33865734596117E-2</v>
      </c>
    </row>
    <row r="140" spans="1:4" x14ac:dyDescent="0.3">
      <c r="A140" t="s">
        <v>6</v>
      </c>
      <c r="B140">
        <v>1973</v>
      </c>
      <c r="C140" s="2">
        <v>1.0142499999999901</v>
      </c>
      <c r="D140" s="2">
        <v>1.24617596889626E-2</v>
      </c>
    </row>
    <row r="141" spans="1:4" x14ac:dyDescent="0.3">
      <c r="A141" t="s">
        <v>6</v>
      </c>
      <c r="B141">
        <v>1972</v>
      </c>
      <c r="C141" s="2">
        <v>1.0033333333333301</v>
      </c>
      <c r="D141" s="2">
        <v>9.9848369890033397E-3</v>
      </c>
    </row>
    <row r="142" spans="1:4" x14ac:dyDescent="0.3">
      <c r="A142" t="s">
        <v>6</v>
      </c>
      <c r="B142">
        <v>1971</v>
      </c>
      <c r="C142" s="2">
        <v>0.99333333333333296</v>
      </c>
      <c r="D142" s="2">
        <v>2.7608738186349999E-2</v>
      </c>
    </row>
    <row r="143" spans="1:4" x14ac:dyDescent="0.3">
      <c r="A143" t="s">
        <v>6</v>
      </c>
      <c r="B143">
        <v>1970</v>
      </c>
      <c r="C143" s="2">
        <v>1.0073333333333301</v>
      </c>
      <c r="D143" s="2">
        <v>2.9030809130781699E-2</v>
      </c>
    </row>
    <row r="144" spans="1:4" x14ac:dyDescent="0.3">
      <c r="A144" t="s">
        <v>6</v>
      </c>
      <c r="B144">
        <v>1969</v>
      </c>
      <c r="C144" s="2">
        <v>1.022</v>
      </c>
      <c r="D144" s="2">
        <v>1.96283653744454E-2</v>
      </c>
    </row>
    <row r="145" spans="1:4" x14ac:dyDescent="0.3">
      <c r="A145" t="s">
        <v>6</v>
      </c>
      <c r="B145">
        <v>1968</v>
      </c>
      <c r="C145" s="2">
        <v>1.0115833333333299</v>
      </c>
      <c r="D145" s="2">
        <v>2.3508057935073799E-2</v>
      </c>
    </row>
    <row r="146" spans="1:4" x14ac:dyDescent="0.3">
      <c r="A146" t="s">
        <v>6</v>
      </c>
      <c r="B146">
        <v>1967</v>
      </c>
      <c r="C146" s="2">
        <v>1.0220833333333299</v>
      </c>
      <c r="D146" s="2">
        <v>2.0960822040322302E-2</v>
      </c>
    </row>
    <row r="147" spans="1:4" x14ac:dyDescent="0.3">
      <c r="A147" t="s">
        <v>6</v>
      </c>
      <c r="B147">
        <v>1966</v>
      </c>
      <c r="C147" s="2">
        <v>1.02</v>
      </c>
      <c r="D147" s="2">
        <v>3.06119406292856E-2</v>
      </c>
    </row>
    <row r="148" spans="1:4" x14ac:dyDescent="0.3">
      <c r="A148" t="s">
        <v>6</v>
      </c>
      <c r="B148">
        <v>1965</v>
      </c>
      <c r="C148" s="2">
        <v>0.99708333333333299</v>
      </c>
      <c r="D148" s="2">
        <v>2.7016689566849401E-2</v>
      </c>
    </row>
    <row r="149" spans="1:4" x14ac:dyDescent="0.3">
      <c r="A149" t="s">
        <v>6</v>
      </c>
      <c r="B149">
        <v>1964</v>
      </c>
      <c r="C149" s="2">
        <v>1.0120833333333299</v>
      </c>
      <c r="D149" s="2">
        <v>2.8063105294815E-2</v>
      </c>
    </row>
    <row r="150" spans="1:4" x14ac:dyDescent="0.3">
      <c r="A150" t="s">
        <v>6</v>
      </c>
      <c r="B150">
        <v>1963</v>
      </c>
      <c r="C150" s="2">
        <v>1.02141666666666</v>
      </c>
      <c r="D150" s="2">
        <v>2.62486651897277E-2</v>
      </c>
    </row>
    <row r="151" spans="1:4" x14ac:dyDescent="0.3">
      <c r="A151" t="s">
        <v>6</v>
      </c>
      <c r="B151">
        <v>1962</v>
      </c>
      <c r="C151" s="2">
        <v>1.01958333333333</v>
      </c>
      <c r="D151" s="2">
        <v>3.3151054647513403E-2</v>
      </c>
    </row>
    <row r="152" spans="1:4" x14ac:dyDescent="0.3">
      <c r="A152" t="s">
        <v>6</v>
      </c>
      <c r="B152">
        <v>1961</v>
      </c>
      <c r="C152" s="2">
        <v>1.0389999999999999</v>
      </c>
      <c r="D152" s="2">
        <v>2.6856521131239701E-2</v>
      </c>
    </row>
    <row r="153" spans="1:4" x14ac:dyDescent="0.3">
      <c r="A153" t="s">
        <v>6</v>
      </c>
      <c r="B153">
        <v>1960</v>
      </c>
      <c r="C153" s="2">
        <v>1.04908333333333</v>
      </c>
      <c r="D153" s="2">
        <v>3.17130840028165E-2</v>
      </c>
    </row>
    <row r="154" spans="1:4" x14ac:dyDescent="0.3">
      <c r="A154" t="s">
        <v>6</v>
      </c>
      <c r="B154">
        <v>1959</v>
      </c>
      <c r="C154" s="2">
        <v>1.0459166666666599</v>
      </c>
      <c r="D154" s="2">
        <v>2.2022543546157899E-2</v>
      </c>
    </row>
    <row r="155" spans="1:4" x14ac:dyDescent="0.3">
      <c r="A155" t="s">
        <v>6</v>
      </c>
      <c r="B155">
        <v>1958</v>
      </c>
      <c r="C155" s="2">
        <v>1.0296666666666601</v>
      </c>
      <c r="D155" s="2">
        <v>2.75461046027906E-2</v>
      </c>
    </row>
    <row r="156" spans="1:4" x14ac:dyDescent="0.3">
      <c r="A156" t="s">
        <v>6</v>
      </c>
      <c r="B156">
        <v>1957</v>
      </c>
      <c r="C156" s="2">
        <v>1.02508333333333</v>
      </c>
      <c r="D156" s="2">
        <v>3.1090654349479101E-2</v>
      </c>
    </row>
    <row r="157" spans="1:4" x14ac:dyDescent="0.3">
      <c r="A157" t="s">
        <v>6</v>
      </c>
      <c r="B157">
        <v>1956</v>
      </c>
      <c r="C157" s="2">
        <v>1.05141666666666</v>
      </c>
      <c r="D157" s="2">
        <v>2.7926716870257301E-2</v>
      </c>
    </row>
    <row r="158" spans="1:4" x14ac:dyDescent="0.3">
      <c r="A158" t="s">
        <v>6</v>
      </c>
      <c r="B158">
        <v>1955</v>
      </c>
      <c r="C158" s="2">
        <v>1.04158333333333</v>
      </c>
      <c r="D158" s="2">
        <v>4.9962637555628998E-2</v>
      </c>
    </row>
    <row r="159" spans="1:4" x14ac:dyDescent="0.3">
      <c r="A159" t="s">
        <v>6</v>
      </c>
      <c r="B159">
        <v>1954</v>
      </c>
      <c r="C159" s="2">
        <v>1.0282499999999899</v>
      </c>
      <c r="D159" s="2">
        <v>3.4507245615957201E-2</v>
      </c>
    </row>
    <row r="160" spans="1:4" x14ac:dyDescent="0.3">
      <c r="A160" t="s">
        <v>6</v>
      </c>
      <c r="B160">
        <v>1953</v>
      </c>
      <c r="C160" s="2">
        <v>1.03633333333333</v>
      </c>
      <c r="D160" s="2">
        <v>2.7994588221600399E-2</v>
      </c>
    </row>
    <row r="161" spans="1:4" x14ac:dyDescent="0.3">
      <c r="A161" t="s">
        <v>6</v>
      </c>
      <c r="B161">
        <v>1952</v>
      </c>
      <c r="C161" s="2">
        <v>1.0409166666666601</v>
      </c>
      <c r="D161" s="2">
        <v>3.7950825439180498E-2</v>
      </c>
    </row>
    <row r="162" spans="1:4" x14ac:dyDescent="0.3">
      <c r="A162" t="s">
        <v>6</v>
      </c>
      <c r="B162">
        <v>1951</v>
      </c>
      <c r="C162" s="2">
        <v>1.0629166666666601</v>
      </c>
      <c r="D162" s="2">
        <v>1.8342490825865702E-2</v>
      </c>
    </row>
    <row r="163" spans="1:4" x14ac:dyDescent="0.3">
      <c r="A163" t="s">
        <v>7</v>
      </c>
      <c r="B163">
        <v>2015</v>
      </c>
      <c r="C163" s="2">
        <v>0.98266666666666602</v>
      </c>
      <c r="D163" s="2">
        <v>1.0620163783477099E-2</v>
      </c>
    </row>
    <row r="164" spans="1:4" x14ac:dyDescent="0.3">
      <c r="A164" t="s">
        <v>7</v>
      </c>
      <c r="B164">
        <v>2014</v>
      </c>
      <c r="C164" s="2">
        <v>0.97558333333333302</v>
      </c>
      <c r="D164" s="2">
        <v>1.0866615541802E-2</v>
      </c>
    </row>
    <row r="165" spans="1:4" x14ac:dyDescent="0.3">
      <c r="A165" t="s">
        <v>7</v>
      </c>
      <c r="B165">
        <v>2013</v>
      </c>
      <c r="C165" s="2">
        <v>0.98016666666666596</v>
      </c>
      <c r="D165" s="2">
        <v>2.88407329793797E-2</v>
      </c>
    </row>
    <row r="166" spans="1:4" x14ac:dyDescent="0.3">
      <c r="A166" t="s">
        <v>7</v>
      </c>
      <c r="B166">
        <v>2012</v>
      </c>
      <c r="C166" s="2">
        <v>0.99666666666666603</v>
      </c>
      <c r="D166" s="2">
        <v>1.6394751562249399E-2</v>
      </c>
    </row>
    <row r="167" spans="1:4" x14ac:dyDescent="0.3">
      <c r="A167" t="s">
        <v>7</v>
      </c>
      <c r="B167">
        <v>2011</v>
      </c>
      <c r="C167" s="2">
        <v>1.00616666666666</v>
      </c>
      <c r="D167" s="2">
        <v>2.5746432527221801E-2</v>
      </c>
    </row>
    <row r="168" spans="1:4" x14ac:dyDescent="0.3">
      <c r="A168" t="s">
        <v>7</v>
      </c>
      <c r="B168">
        <v>2010</v>
      </c>
      <c r="C168" s="2">
        <v>1.00183333333333</v>
      </c>
      <c r="D168" s="2">
        <v>3.5946509081571598E-2</v>
      </c>
    </row>
    <row r="169" spans="1:4" x14ac:dyDescent="0.3">
      <c r="A169" t="s">
        <v>7</v>
      </c>
      <c r="B169">
        <v>2009</v>
      </c>
      <c r="C169" s="2">
        <v>0.99158333333333304</v>
      </c>
      <c r="D169" s="2">
        <v>2.9426204565854399E-2</v>
      </c>
    </row>
    <row r="170" spans="1:4" x14ac:dyDescent="0.3">
      <c r="A170" t="s">
        <v>7</v>
      </c>
      <c r="B170">
        <v>2008</v>
      </c>
      <c r="C170" s="2">
        <v>1.00016666666666</v>
      </c>
      <c r="D170" s="2">
        <v>3.0962832068416601E-2</v>
      </c>
    </row>
    <row r="171" spans="1:4" x14ac:dyDescent="0.3">
      <c r="A171" t="s">
        <v>7</v>
      </c>
      <c r="B171">
        <v>2007</v>
      </c>
      <c r="C171" s="2">
        <v>1.02466666666666</v>
      </c>
      <c r="D171" s="2">
        <v>5.2627910557963099E-2</v>
      </c>
    </row>
    <row r="172" spans="1:4" x14ac:dyDescent="0.3">
      <c r="A172" t="s">
        <v>7</v>
      </c>
      <c r="B172">
        <v>2006</v>
      </c>
      <c r="C172" s="2">
        <v>1.02558333333333</v>
      </c>
      <c r="D172" s="2">
        <v>2.5130417401783799E-2</v>
      </c>
    </row>
    <row r="173" spans="1:4" x14ac:dyDescent="0.3">
      <c r="A173" t="s">
        <v>7</v>
      </c>
      <c r="B173">
        <v>2005</v>
      </c>
      <c r="C173" s="2">
        <v>1.03141666666666</v>
      </c>
      <c r="D173" s="2">
        <v>2.7493663181749999E-2</v>
      </c>
    </row>
    <row r="174" spans="1:4" x14ac:dyDescent="0.3">
      <c r="A174" t="s">
        <v>7</v>
      </c>
      <c r="B174">
        <v>2004</v>
      </c>
      <c r="C174" s="2">
        <v>1.02016666666666</v>
      </c>
      <c r="D174" s="2">
        <v>3.26853687960428E-2</v>
      </c>
    </row>
    <row r="175" spans="1:4" x14ac:dyDescent="0.3">
      <c r="A175" t="s">
        <v>7</v>
      </c>
      <c r="B175">
        <v>2003</v>
      </c>
      <c r="C175" s="2">
        <v>1.0291666666666599</v>
      </c>
      <c r="D175" s="2">
        <v>2.4664414311581201E-2</v>
      </c>
    </row>
    <row r="176" spans="1:4" x14ac:dyDescent="0.3">
      <c r="A176" t="s">
        <v>7</v>
      </c>
      <c r="B176">
        <v>2002</v>
      </c>
      <c r="C176" s="2">
        <v>1.0177499999999999</v>
      </c>
      <c r="D176" s="2">
        <v>1.8126449785277301E-2</v>
      </c>
    </row>
    <row r="177" spans="1:4" x14ac:dyDescent="0.3">
      <c r="A177" t="s">
        <v>7</v>
      </c>
      <c r="B177">
        <v>2001</v>
      </c>
      <c r="C177" s="2">
        <v>1.0240833333333299</v>
      </c>
      <c r="D177" s="2">
        <v>1.91428046455311E-2</v>
      </c>
    </row>
    <row r="178" spans="1:4" x14ac:dyDescent="0.3">
      <c r="A178" t="s">
        <v>7</v>
      </c>
      <c r="B178">
        <v>2000</v>
      </c>
      <c r="C178" s="2">
        <v>1.0216666666666601</v>
      </c>
      <c r="D178" s="2">
        <v>2.6077971663083802E-2</v>
      </c>
    </row>
    <row r="179" spans="1:4" x14ac:dyDescent="0.3">
      <c r="A179" t="s">
        <v>7</v>
      </c>
      <c r="B179">
        <v>1999</v>
      </c>
      <c r="C179" s="2">
        <v>1.0500833333333299</v>
      </c>
      <c r="D179" s="2">
        <v>3.5279296873361697E-2</v>
      </c>
    </row>
    <row r="180" spans="1:4" x14ac:dyDescent="0.3">
      <c r="A180" t="s">
        <v>7</v>
      </c>
      <c r="B180">
        <v>1998</v>
      </c>
      <c r="C180" s="2">
        <v>1.024</v>
      </c>
      <c r="D180" s="2">
        <v>0.04</v>
      </c>
    </row>
    <row r="181" spans="1:4" x14ac:dyDescent="0.3">
      <c r="A181" t="s">
        <v>7</v>
      </c>
      <c r="B181">
        <v>1997</v>
      </c>
      <c r="C181" s="2">
        <v>0.99774999999999903</v>
      </c>
      <c r="D181" s="2">
        <v>1.8261360100695401E-2</v>
      </c>
    </row>
    <row r="182" spans="1:4" x14ac:dyDescent="0.3">
      <c r="A182" t="s">
        <v>7</v>
      </c>
      <c r="B182">
        <v>1996</v>
      </c>
      <c r="C182" s="2">
        <v>1.0234999999999901</v>
      </c>
      <c r="D182" s="2">
        <v>2.3658556015261602E-2</v>
      </c>
    </row>
    <row r="183" spans="1:4" x14ac:dyDescent="0.3">
      <c r="A183" t="s">
        <v>7</v>
      </c>
      <c r="B183">
        <v>1995</v>
      </c>
      <c r="C183" s="2">
        <v>1.0199166666666599</v>
      </c>
      <c r="D183" s="2">
        <v>3.4092010083231303E-2</v>
      </c>
    </row>
    <row r="184" spans="1:4" x14ac:dyDescent="0.3">
      <c r="A184" t="s">
        <v>7</v>
      </c>
      <c r="B184">
        <v>1994</v>
      </c>
      <c r="C184" s="2">
        <v>1.0046666666666599</v>
      </c>
      <c r="D184" s="2">
        <v>3.0221405217714999E-2</v>
      </c>
    </row>
    <row r="185" spans="1:4" x14ac:dyDescent="0.3">
      <c r="A185" t="s">
        <v>7</v>
      </c>
      <c r="B185">
        <v>1993</v>
      </c>
      <c r="C185" s="2">
        <v>1.0113333333333301</v>
      </c>
      <c r="D185" s="2">
        <v>2.4163583920411898E-2</v>
      </c>
    </row>
    <row r="186" spans="1:4" x14ac:dyDescent="0.3">
      <c r="A186" t="s">
        <v>7</v>
      </c>
      <c r="B186">
        <v>1992</v>
      </c>
      <c r="C186" s="2">
        <v>1.0169999999999999</v>
      </c>
      <c r="D186" s="2">
        <v>2.37295366387738E-2</v>
      </c>
    </row>
    <row r="187" spans="1:4" x14ac:dyDescent="0.3">
      <c r="A187" t="s">
        <v>7</v>
      </c>
      <c r="B187">
        <v>1991</v>
      </c>
      <c r="C187" s="2">
        <v>1.0337499999999999</v>
      </c>
      <c r="D187" s="2">
        <v>2.4816142107324201E-2</v>
      </c>
    </row>
    <row r="188" spans="1:4" x14ac:dyDescent="0.3">
      <c r="A188" t="s">
        <v>7</v>
      </c>
      <c r="B188">
        <v>1990</v>
      </c>
      <c r="C188" s="2">
        <v>1.0555000000000001</v>
      </c>
      <c r="D188" s="2">
        <v>2.01291285996642E-2</v>
      </c>
    </row>
    <row r="189" spans="1:4" x14ac:dyDescent="0.3">
      <c r="A189" t="s">
        <v>7</v>
      </c>
      <c r="B189">
        <v>1989</v>
      </c>
      <c r="C189" s="2">
        <v>1.04575</v>
      </c>
      <c r="D189" s="2">
        <v>4.6041730083598097E-2</v>
      </c>
    </row>
    <row r="190" spans="1:4" x14ac:dyDescent="0.3">
      <c r="A190" t="s">
        <v>7</v>
      </c>
      <c r="B190">
        <v>1988</v>
      </c>
      <c r="C190" s="2">
        <v>1.04216666666666</v>
      </c>
      <c r="D190" s="2">
        <v>4.3958313586093499E-2</v>
      </c>
    </row>
    <row r="191" spans="1:4" x14ac:dyDescent="0.3">
      <c r="A191" t="s">
        <v>7</v>
      </c>
      <c r="B191">
        <v>1987</v>
      </c>
      <c r="C191" s="2">
        <v>1.0125</v>
      </c>
      <c r="D191" s="2">
        <v>3.1978686083645798E-2</v>
      </c>
    </row>
    <row r="192" spans="1:4" x14ac:dyDescent="0.3">
      <c r="A192" t="s">
        <v>7</v>
      </c>
      <c r="B192">
        <v>1986</v>
      </c>
      <c r="C192" s="2">
        <v>1.00708333333333</v>
      </c>
      <c r="D192" s="2">
        <v>1.7254555832292399E-2</v>
      </c>
    </row>
    <row r="193" spans="1:4" x14ac:dyDescent="0.3">
      <c r="A193" t="s">
        <v>7</v>
      </c>
      <c r="B193">
        <v>1985</v>
      </c>
      <c r="C193" s="2">
        <v>1.0028333333333299</v>
      </c>
      <c r="D193" s="2">
        <v>2.6855956960094001E-2</v>
      </c>
    </row>
    <row r="194" spans="1:4" x14ac:dyDescent="0.3">
      <c r="A194" t="s">
        <v>7</v>
      </c>
      <c r="B194">
        <v>1984</v>
      </c>
      <c r="C194" s="2">
        <v>1.0045833333333301</v>
      </c>
      <c r="D194" s="2">
        <v>2.5624769030740301E-2</v>
      </c>
    </row>
    <row r="195" spans="1:4" x14ac:dyDescent="0.3">
      <c r="A195" t="s">
        <v>7</v>
      </c>
      <c r="B195">
        <v>1983</v>
      </c>
      <c r="C195" s="2">
        <v>1.022</v>
      </c>
      <c r="D195" s="2">
        <v>2.3151673805580399E-2</v>
      </c>
    </row>
    <row r="196" spans="1:4" x14ac:dyDescent="0.3">
      <c r="A196" t="s">
        <v>7</v>
      </c>
      <c r="B196">
        <v>1982</v>
      </c>
      <c r="C196" s="2">
        <v>1.0235000000000001</v>
      </c>
      <c r="D196" s="2">
        <v>2.4009467829473899E-2</v>
      </c>
    </row>
    <row r="197" spans="1:4" x14ac:dyDescent="0.3">
      <c r="A197" t="s">
        <v>7</v>
      </c>
      <c r="B197">
        <v>1981</v>
      </c>
      <c r="C197" s="2">
        <v>1.04508333333333</v>
      </c>
      <c r="D197" s="2">
        <v>2.9240253491418702E-2</v>
      </c>
    </row>
    <row r="198" spans="1:4" x14ac:dyDescent="0.3">
      <c r="A198" t="s">
        <v>7</v>
      </c>
      <c r="B198">
        <v>1980</v>
      </c>
      <c r="C198" s="2">
        <v>1.02725</v>
      </c>
      <c r="D198" s="2">
        <v>2.08942140751496E-2</v>
      </c>
    </row>
    <row r="199" spans="1:4" x14ac:dyDescent="0.3">
      <c r="A199" t="s">
        <v>7</v>
      </c>
      <c r="B199">
        <v>1979</v>
      </c>
      <c r="C199" s="2">
        <v>1.05941666666666</v>
      </c>
      <c r="D199" s="2">
        <v>1.78908729058515E-2</v>
      </c>
    </row>
    <row r="200" spans="1:4" x14ac:dyDescent="0.3">
      <c r="A200" t="s">
        <v>7</v>
      </c>
      <c r="B200">
        <v>1978</v>
      </c>
      <c r="C200" s="2">
        <v>1.0627500000000001</v>
      </c>
      <c r="D200" s="2">
        <v>1.0091625691181201E-2</v>
      </c>
    </row>
    <row r="201" spans="1:4" x14ac:dyDescent="0.3">
      <c r="A201" t="s">
        <v>7</v>
      </c>
      <c r="B201">
        <v>1977</v>
      </c>
      <c r="C201" s="2">
        <v>1.0458333333333301</v>
      </c>
      <c r="D201" s="2">
        <v>1.7775536474877399E-2</v>
      </c>
    </row>
    <row r="202" spans="1:4" x14ac:dyDescent="0.3">
      <c r="A202" t="s">
        <v>7</v>
      </c>
      <c r="B202">
        <v>1976</v>
      </c>
      <c r="C202" s="2">
        <v>1.0496666666666601</v>
      </c>
      <c r="D202" s="2">
        <v>1.8006732747570298E-2</v>
      </c>
    </row>
    <row r="203" spans="1:4" x14ac:dyDescent="0.3">
      <c r="A203" t="s">
        <v>7</v>
      </c>
      <c r="B203">
        <v>1975</v>
      </c>
      <c r="C203" s="2">
        <v>1.0527500000000001</v>
      </c>
      <c r="D203" s="2">
        <v>2.4219169717770699E-2</v>
      </c>
    </row>
    <row r="204" spans="1:4" x14ac:dyDescent="0.3">
      <c r="A204" t="s">
        <v>7</v>
      </c>
      <c r="B204">
        <v>1974</v>
      </c>
      <c r="C204" s="2">
        <v>1.02983333333333</v>
      </c>
      <c r="D204" s="2">
        <v>1.7729448195962901E-2</v>
      </c>
    </row>
    <row r="205" spans="1:4" x14ac:dyDescent="0.3">
      <c r="A205" t="s">
        <v>7</v>
      </c>
      <c r="B205">
        <v>1973</v>
      </c>
      <c r="C205" s="2">
        <v>1.0322499999999999</v>
      </c>
      <c r="D205" s="2">
        <v>3.1651870546476502E-2</v>
      </c>
    </row>
    <row r="206" spans="1:4" x14ac:dyDescent="0.3">
      <c r="A206" t="s">
        <v>7</v>
      </c>
      <c r="B206">
        <v>1972</v>
      </c>
      <c r="C206" s="2">
        <v>1.0245833333333301</v>
      </c>
      <c r="D206" s="2">
        <v>2.0698960594604E-2</v>
      </c>
    </row>
    <row r="207" spans="1:4" x14ac:dyDescent="0.3">
      <c r="A207" t="s">
        <v>7</v>
      </c>
      <c r="B207">
        <v>1971</v>
      </c>
      <c r="C207" s="2">
        <v>1.036</v>
      </c>
      <c r="D207" s="2">
        <v>2.2751623318707601E-2</v>
      </c>
    </row>
    <row r="208" spans="1:4" x14ac:dyDescent="0.3">
      <c r="A208" t="s">
        <v>7</v>
      </c>
      <c r="B208">
        <v>1970</v>
      </c>
      <c r="C208" s="2">
        <v>1.03866666666666</v>
      </c>
      <c r="D208" s="2">
        <v>3.6671349563219997E-2</v>
      </c>
    </row>
    <row r="209" spans="1:4" x14ac:dyDescent="0.3">
      <c r="A209" t="s">
        <v>7</v>
      </c>
      <c r="B209">
        <v>1969</v>
      </c>
      <c r="C209" s="2">
        <v>1.0373333333333301</v>
      </c>
      <c r="D209" s="2">
        <v>3.4584109155226299E-2</v>
      </c>
    </row>
    <row r="210" spans="1:4" x14ac:dyDescent="0.3">
      <c r="A210" t="s">
        <v>7</v>
      </c>
      <c r="B210">
        <v>1968</v>
      </c>
      <c r="C210" s="2">
        <v>1.04558333333333</v>
      </c>
      <c r="D210" s="2">
        <v>3.4697283973699103E-2</v>
      </c>
    </row>
    <row r="211" spans="1:4" x14ac:dyDescent="0.3">
      <c r="A211" t="s">
        <v>7</v>
      </c>
      <c r="B211">
        <v>1967</v>
      </c>
      <c r="C211" s="2">
        <v>1.0302499999999899</v>
      </c>
      <c r="D211" s="2">
        <v>2.7092853804513199E-2</v>
      </c>
    </row>
    <row r="212" spans="1:4" x14ac:dyDescent="0.3">
      <c r="A212" t="s">
        <v>7</v>
      </c>
      <c r="B212">
        <v>1966</v>
      </c>
      <c r="C212" s="2">
        <v>1.0254999999999901</v>
      </c>
      <c r="D212" s="2">
        <v>2.57205259383523E-2</v>
      </c>
    </row>
    <row r="213" spans="1:4" x14ac:dyDescent="0.3">
      <c r="A213" t="s">
        <v>7</v>
      </c>
      <c r="B213">
        <v>1965</v>
      </c>
      <c r="C213" s="2">
        <v>1.0293333333333301</v>
      </c>
      <c r="D213" s="2">
        <v>4.1532754507372802E-2</v>
      </c>
    </row>
    <row r="214" spans="1:4" x14ac:dyDescent="0.3">
      <c r="A214" t="s">
        <v>7</v>
      </c>
      <c r="B214">
        <v>1964</v>
      </c>
      <c r="C214" s="2">
        <v>1.0115833333333299</v>
      </c>
      <c r="D214" s="2">
        <v>2.3380093838109E-2</v>
      </c>
    </row>
    <row r="215" spans="1:4" x14ac:dyDescent="0.3">
      <c r="A215" t="s">
        <v>7</v>
      </c>
      <c r="B215">
        <v>1963</v>
      </c>
      <c r="C215" s="2">
        <v>1.0285</v>
      </c>
      <c r="D215" s="2">
        <v>2.6705464200830101E-2</v>
      </c>
    </row>
    <row r="216" spans="1:4" x14ac:dyDescent="0.3">
      <c r="A216" t="s">
        <v>7</v>
      </c>
      <c r="B216">
        <v>1962</v>
      </c>
      <c r="C216" s="2">
        <v>1.0211666666666599</v>
      </c>
      <c r="D216" s="2">
        <v>2.4657041529139199E-2</v>
      </c>
    </row>
    <row r="217" spans="1:4" x14ac:dyDescent="0.3">
      <c r="A217" t="s">
        <v>7</v>
      </c>
      <c r="B217">
        <v>1961</v>
      </c>
      <c r="C217" s="2">
        <v>1.0297499999999999</v>
      </c>
      <c r="D217" s="2">
        <v>2.6264822654853599E-2</v>
      </c>
    </row>
    <row r="218" spans="1:4" x14ac:dyDescent="0.3">
      <c r="A218" t="s">
        <v>7</v>
      </c>
      <c r="B218">
        <v>1960</v>
      </c>
      <c r="C218" s="2">
        <v>1.03033333333333</v>
      </c>
      <c r="D218" s="2">
        <v>2.0886417218911001E-2</v>
      </c>
    </row>
    <row r="219" spans="1:4" x14ac:dyDescent="0.3">
      <c r="A219" t="s">
        <v>7</v>
      </c>
      <c r="B219">
        <v>1959</v>
      </c>
      <c r="C219" s="2">
        <v>1.0220833333333299</v>
      </c>
      <c r="D219" s="2">
        <v>2.3426707110915199E-2</v>
      </c>
    </row>
    <row r="220" spans="1:4" x14ac:dyDescent="0.3">
      <c r="A220" t="s">
        <v>7</v>
      </c>
      <c r="B220">
        <v>1958</v>
      </c>
      <c r="C220" s="2">
        <v>1.0251666666666599</v>
      </c>
      <c r="D220" s="2">
        <v>2.16871697861508E-2</v>
      </c>
    </row>
    <row r="221" spans="1:4" x14ac:dyDescent="0.3">
      <c r="A221" t="s">
        <v>7</v>
      </c>
      <c r="B221">
        <v>1957</v>
      </c>
      <c r="C221" s="2">
        <v>1.0249999999999999</v>
      </c>
      <c r="D221" s="2">
        <v>1.56495715886758E-2</v>
      </c>
    </row>
    <row r="222" spans="1:4" x14ac:dyDescent="0.3">
      <c r="A222" t="s">
        <v>7</v>
      </c>
      <c r="B222">
        <v>1956</v>
      </c>
      <c r="C222" s="2">
        <v>1.04958333333333</v>
      </c>
      <c r="D222" s="2">
        <v>2.1584751913133401E-2</v>
      </c>
    </row>
    <row r="223" spans="1:4" x14ac:dyDescent="0.3">
      <c r="A223" t="s">
        <v>7</v>
      </c>
      <c r="B223">
        <v>1955</v>
      </c>
      <c r="C223" s="2">
        <v>1.032</v>
      </c>
      <c r="D223" s="2">
        <v>2.4819347291981701E-2</v>
      </c>
    </row>
    <row r="224" spans="1:4" x14ac:dyDescent="0.3">
      <c r="A224" t="s">
        <v>7</v>
      </c>
      <c r="B224">
        <v>1954</v>
      </c>
      <c r="C224" s="2">
        <v>1.03291666666666</v>
      </c>
      <c r="D224" s="2">
        <v>2.64178257082507E-2</v>
      </c>
    </row>
    <row r="225" spans="1:4" x14ac:dyDescent="0.3">
      <c r="A225" t="s">
        <v>7</v>
      </c>
      <c r="B225">
        <v>1953</v>
      </c>
      <c r="C225" s="2">
        <v>1.0175000000000001</v>
      </c>
      <c r="D225" s="2">
        <v>2.5021808669456899E-2</v>
      </c>
    </row>
    <row r="226" spans="1:4" x14ac:dyDescent="0.3">
      <c r="A226" t="s">
        <v>7</v>
      </c>
      <c r="B226">
        <v>1952</v>
      </c>
      <c r="C226" s="2">
        <v>1.0302500000000001</v>
      </c>
      <c r="D226" s="2">
        <v>3.1735053747609002E-2</v>
      </c>
    </row>
    <row r="227" spans="1:4" x14ac:dyDescent="0.3">
      <c r="A227" t="s">
        <v>7</v>
      </c>
      <c r="B227">
        <v>1951</v>
      </c>
      <c r="C227" s="2">
        <v>1.0385833333333301</v>
      </c>
      <c r="D227" s="2">
        <v>2.69459335212817E-2</v>
      </c>
    </row>
  </sheetData>
  <autoFilter ref="A1:D1" xr:uid="{05AD87A9-B279-482A-8CC9-564C1FF43C4E}">
    <sortState xmlns:xlrd2="http://schemas.microsoft.com/office/spreadsheetml/2017/richdata2" ref="A2:D22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0CDD-5C49-454D-B115-5B41D8C27B42}">
  <dimension ref="A1:P66"/>
  <sheetViews>
    <sheetView topLeftCell="A2" workbookViewId="0">
      <selection activeCell="Q9" sqref="Q9"/>
    </sheetView>
  </sheetViews>
  <sheetFormatPr baseColWidth="10" defaultRowHeight="14.4" x14ac:dyDescent="0.3"/>
  <cols>
    <col min="1" max="1" width="8" customWidth="1"/>
    <col min="2" max="2" width="7.5546875" customWidth="1"/>
    <col min="3" max="3" width="8.5546875" customWidth="1"/>
    <col min="4" max="4" width="7.44140625" customWidth="1"/>
    <col min="5" max="5" width="7.21875" customWidth="1"/>
    <col min="6" max="6" width="8.5546875" customWidth="1"/>
    <col min="7" max="7" width="7.21875" customWidth="1"/>
    <col min="8" max="8" width="7.33203125" customWidth="1"/>
    <col min="9" max="9" width="8.6640625" customWidth="1"/>
    <col min="10" max="10" width="8.109375" customWidth="1"/>
    <col min="11" max="11" width="6.5546875" customWidth="1"/>
    <col min="12" max="12" width="7.77734375" customWidth="1"/>
    <col min="13" max="14" width="9.109375" customWidth="1"/>
    <col min="15" max="15" width="7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N1" s="1" t="s">
        <v>8</v>
      </c>
      <c r="O1" s="1" t="s">
        <v>10</v>
      </c>
      <c r="P1" s="3">
        <f>AVERAGE(N2:N35)</f>
        <v>1.0096136059080856</v>
      </c>
    </row>
    <row r="2" spans="1:16" x14ac:dyDescent="0.3">
      <c r="A2" t="s">
        <v>4</v>
      </c>
      <c r="B2">
        <v>2015</v>
      </c>
      <c r="C2" s="2">
        <v>0.96499999999999997</v>
      </c>
      <c r="D2" t="s">
        <v>5</v>
      </c>
      <c r="E2">
        <v>2015</v>
      </c>
      <c r="F2" s="2">
        <v>0.97716666666666596</v>
      </c>
      <c r="G2" t="s">
        <v>6</v>
      </c>
      <c r="H2">
        <v>2015</v>
      </c>
      <c r="I2" s="2">
        <v>1.00616666666666</v>
      </c>
      <c r="J2" t="s">
        <v>7</v>
      </c>
      <c r="K2">
        <v>2015</v>
      </c>
      <c r="L2" s="2">
        <v>0.98266666666666602</v>
      </c>
      <c r="N2" s="2">
        <f>AVERAGE(L2,I2,F2,C2)</f>
        <v>0.9827499999999979</v>
      </c>
      <c r="O2" s="4">
        <f>STANDARDIZE(N2,P$1,P$2)</f>
        <v>-1.5771752669169647</v>
      </c>
      <c r="P2" s="3">
        <f>_xlfn.STDEV.S(N2:N35)</f>
        <v>1.7032733439068058E-2</v>
      </c>
    </row>
    <row r="3" spans="1:16" x14ac:dyDescent="0.3">
      <c r="A3" t="s">
        <v>4</v>
      </c>
      <c r="B3">
        <v>2014</v>
      </c>
      <c r="C3" s="2">
        <v>0.96316666666666595</v>
      </c>
      <c r="D3" t="s">
        <v>5</v>
      </c>
      <c r="E3">
        <v>2014</v>
      </c>
      <c r="F3" s="2">
        <v>0.97841666666666605</v>
      </c>
      <c r="G3" t="s">
        <v>6</v>
      </c>
      <c r="H3">
        <v>2014</v>
      </c>
      <c r="I3" s="2">
        <v>0.97299999999999998</v>
      </c>
      <c r="J3" t="s">
        <v>7</v>
      </c>
      <c r="K3">
        <v>2014</v>
      </c>
      <c r="L3" s="2">
        <v>0.97558333333333302</v>
      </c>
      <c r="N3" s="2">
        <f t="shared" ref="N3:N66" si="0">AVERAGE(L3,I3,F3,C3)</f>
        <v>0.9725416666666663</v>
      </c>
      <c r="O3" s="4">
        <f t="shared" ref="O3:O35" si="1">STANDARDIZE(N3,P$1,P$2)</f>
        <v>-2.1765114433357593</v>
      </c>
    </row>
    <row r="4" spans="1:16" x14ac:dyDescent="0.3">
      <c r="A4" t="s">
        <v>4</v>
      </c>
      <c r="B4">
        <v>2013</v>
      </c>
      <c r="C4" s="2">
        <v>0.96408333333333296</v>
      </c>
      <c r="D4" t="s">
        <v>5</v>
      </c>
      <c r="E4">
        <v>2013</v>
      </c>
      <c r="F4" s="2">
        <v>0.97316666666666596</v>
      </c>
      <c r="G4" t="s">
        <v>6</v>
      </c>
      <c r="H4">
        <v>2013</v>
      </c>
      <c r="I4" s="2">
        <v>0.97808333333333297</v>
      </c>
      <c r="J4" t="s">
        <v>7</v>
      </c>
      <c r="K4">
        <v>2013</v>
      </c>
      <c r="L4" s="2">
        <v>0.98016666666666596</v>
      </c>
      <c r="N4" s="2">
        <f t="shared" si="0"/>
        <v>0.97387499999999949</v>
      </c>
      <c r="O4" s="4">
        <f t="shared" si="1"/>
        <v>-2.0982307998851368</v>
      </c>
    </row>
    <row r="5" spans="1:16" x14ac:dyDescent="0.3">
      <c r="A5" t="s">
        <v>4</v>
      </c>
      <c r="B5">
        <v>2012</v>
      </c>
      <c r="C5" s="2">
        <v>0.99783333333333302</v>
      </c>
      <c r="D5" t="s">
        <v>5</v>
      </c>
      <c r="E5">
        <v>2012</v>
      </c>
      <c r="F5" s="2">
        <v>0.96508333333333296</v>
      </c>
      <c r="G5" t="s">
        <v>6</v>
      </c>
      <c r="H5">
        <v>2012</v>
      </c>
      <c r="I5" s="2">
        <v>0.99783333333333302</v>
      </c>
      <c r="J5" t="s">
        <v>7</v>
      </c>
      <c r="K5">
        <v>2012</v>
      </c>
      <c r="L5" s="2">
        <v>0.99666666666666603</v>
      </c>
      <c r="N5" s="2">
        <f t="shared" si="0"/>
        <v>0.9893541666666662</v>
      </c>
      <c r="O5" s="4">
        <f t="shared" si="1"/>
        <v>-1.1894414548254602</v>
      </c>
    </row>
    <row r="6" spans="1:16" x14ac:dyDescent="0.3">
      <c r="A6" t="s">
        <v>4</v>
      </c>
      <c r="B6">
        <v>2011</v>
      </c>
      <c r="C6" s="2">
        <v>0.99549999999999905</v>
      </c>
      <c r="D6" t="s">
        <v>5</v>
      </c>
      <c r="E6">
        <v>2011</v>
      </c>
      <c r="F6" s="2">
        <v>0.97116666666666596</v>
      </c>
      <c r="G6" t="s">
        <v>6</v>
      </c>
      <c r="H6">
        <v>2011</v>
      </c>
      <c r="I6" s="2">
        <v>1.0342499999999999</v>
      </c>
      <c r="J6" t="s">
        <v>7</v>
      </c>
      <c r="K6">
        <v>2011</v>
      </c>
      <c r="L6" s="2">
        <v>1.00616666666666</v>
      </c>
      <c r="N6" s="2">
        <f t="shared" si="0"/>
        <v>1.0017708333333313</v>
      </c>
      <c r="O6" s="4">
        <f t="shared" si="1"/>
        <v>-0.46045296269154867</v>
      </c>
    </row>
    <row r="7" spans="1:16" x14ac:dyDescent="0.3">
      <c r="A7" t="s">
        <v>4</v>
      </c>
      <c r="B7">
        <v>2010</v>
      </c>
      <c r="C7" s="2">
        <v>0.99691666666666601</v>
      </c>
      <c r="D7" t="s">
        <v>5</v>
      </c>
      <c r="E7">
        <v>2010</v>
      </c>
      <c r="F7" s="2">
        <v>0.97824999999999995</v>
      </c>
      <c r="G7" t="s">
        <v>6</v>
      </c>
      <c r="H7">
        <v>2010</v>
      </c>
      <c r="I7" s="2">
        <v>1.02475</v>
      </c>
      <c r="J7" t="s">
        <v>7</v>
      </c>
      <c r="K7">
        <v>2010</v>
      </c>
      <c r="L7" s="2">
        <v>1.00183333333333</v>
      </c>
      <c r="N7" s="2">
        <f t="shared" si="0"/>
        <v>1.000437499999999</v>
      </c>
      <c r="O7" s="4">
        <f t="shared" si="1"/>
        <v>-0.53873360614211929</v>
      </c>
    </row>
    <row r="8" spans="1:16" x14ac:dyDescent="0.3">
      <c r="A8" t="s">
        <v>4</v>
      </c>
      <c r="B8">
        <v>2009</v>
      </c>
      <c r="C8" s="2">
        <v>0.98608333333333298</v>
      </c>
      <c r="D8" t="s">
        <v>5</v>
      </c>
      <c r="E8">
        <v>2009</v>
      </c>
      <c r="F8" s="2">
        <v>0.96433333333333304</v>
      </c>
      <c r="G8" t="s">
        <v>6</v>
      </c>
      <c r="H8">
        <v>2009</v>
      </c>
      <c r="I8" s="2">
        <v>1.0268333333333299</v>
      </c>
      <c r="J8" t="s">
        <v>7</v>
      </c>
      <c r="K8">
        <v>2009</v>
      </c>
      <c r="L8" s="2">
        <v>0.99158333333333304</v>
      </c>
      <c r="N8" s="2">
        <f t="shared" si="0"/>
        <v>0.99220833333333225</v>
      </c>
      <c r="O8" s="4">
        <f t="shared" si="1"/>
        <v>-1.0218719524389888</v>
      </c>
    </row>
    <row r="9" spans="1:16" x14ac:dyDescent="0.3">
      <c r="A9" t="s">
        <v>4</v>
      </c>
      <c r="B9">
        <v>2008</v>
      </c>
      <c r="C9" s="2">
        <v>1.0197499999999999</v>
      </c>
      <c r="D9" t="s">
        <v>5</v>
      </c>
      <c r="E9">
        <v>2008</v>
      </c>
      <c r="F9" s="2">
        <v>0.97841666666666605</v>
      </c>
      <c r="G9" t="s">
        <v>6</v>
      </c>
      <c r="H9">
        <v>2008</v>
      </c>
      <c r="I9" s="2">
        <v>1.01508333333333</v>
      </c>
      <c r="J9" t="s">
        <v>7</v>
      </c>
      <c r="K9">
        <v>2008</v>
      </c>
      <c r="L9" s="2">
        <v>1.00016666666666</v>
      </c>
      <c r="N9" s="2">
        <f t="shared" si="0"/>
        <v>1.0033541666666641</v>
      </c>
      <c r="O9" s="4">
        <f t="shared" si="1"/>
        <v>-0.36749469859395367</v>
      </c>
    </row>
    <row r="10" spans="1:16" x14ac:dyDescent="0.3">
      <c r="A10" t="s">
        <v>4</v>
      </c>
      <c r="B10">
        <v>2007</v>
      </c>
      <c r="C10" s="2">
        <v>0.99433333333333296</v>
      </c>
      <c r="D10" t="s">
        <v>5</v>
      </c>
      <c r="E10">
        <v>2007</v>
      </c>
      <c r="F10" s="2">
        <v>0.98799999999999999</v>
      </c>
      <c r="G10" t="s">
        <v>6</v>
      </c>
      <c r="H10">
        <v>2007</v>
      </c>
      <c r="I10" s="2">
        <v>1.0256666666666601</v>
      </c>
      <c r="J10" t="s">
        <v>7</v>
      </c>
      <c r="K10">
        <v>2007</v>
      </c>
      <c r="L10" s="2">
        <v>1.02466666666666</v>
      </c>
      <c r="N10" s="2">
        <f t="shared" si="0"/>
        <v>1.0081666666666633</v>
      </c>
      <c r="O10" s="4">
        <f t="shared" si="1"/>
        <v>-8.4950501139376744E-2</v>
      </c>
    </row>
    <row r="11" spans="1:16" x14ac:dyDescent="0.3">
      <c r="A11" t="s">
        <v>4</v>
      </c>
      <c r="B11">
        <v>2006</v>
      </c>
      <c r="C11" s="2">
        <v>0.99208333333333298</v>
      </c>
      <c r="D11" t="s">
        <v>5</v>
      </c>
      <c r="E11">
        <v>2006</v>
      </c>
      <c r="F11" s="2">
        <v>0.96541666666666603</v>
      </c>
      <c r="G11" t="s">
        <v>6</v>
      </c>
      <c r="H11">
        <v>2006</v>
      </c>
      <c r="I11" s="2">
        <v>1.05725</v>
      </c>
      <c r="J11" t="s">
        <v>7</v>
      </c>
      <c r="K11">
        <v>2006</v>
      </c>
      <c r="L11" s="2">
        <v>1.02558333333333</v>
      </c>
      <c r="N11" s="2">
        <f t="shared" si="0"/>
        <v>1.0100833333333323</v>
      </c>
      <c r="O11" s="4">
        <f t="shared" si="1"/>
        <v>2.7577923821043408E-2</v>
      </c>
    </row>
    <row r="12" spans="1:16" x14ac:dyDescent="0.3">
      <c r="A12" t="s">
        <v>4</v>
      </c>
      <c r="B12">
        <v>2005</v>
      </c>
      <c r="C12" s="2">
        <v>0.99549999999999905</v>
      </c>
      <c r="D12" t="s">
        <v>5</v>
      </c>
      <c r="E12">
        <v>2005</v>
      </c>
      <c r="F12" s="2">
        <v>0.96174999999999999</v>
      </c>
      <c r="G12" t="s">
        <v>6</v>
      </c>
      <c r="H12">
        <v>2005</v>
      </c>
      <c r="I12" s="2">
        <v>1.0260833333333299</v>
      </c>
      <c r="J12" t="s">
        <v>7</v>
      </c>
      <c r="K12">
        <v>2005</v>
      </c>
      <c r="L12" s="2">
        <v>1.03141666666666</v>
      </c>
      <c r="N12" s="2">
        <f t="shared" si="0"/>
        <v>1.0036874999999972</v>
      </c>
      <c r="O12" s="4">
        <f t="shared" si="1"/>
        <v>-0.34792453773131099</v>
      </c>
    </row>
    <row r="13" spans="1:16" x14ac:dyDescent="0.3">
      <c r="A13" t="s">
        <v>4</v>
      </c>
      <c r="B13">
        <v>2004</v>
      </c>
      <c r="C13" s="2">
        <v>1.0119166666666599</v>
      </c>
      <c r="D13" t="s">
        <v>5</v>
      </c>
      <c r="E13">
        <v>2004</v>
      </c>
      <c r="F13" s="2">
        <v>0.97099999999999997</v>
      </c>
      <c r="G13" t="s">
        <v>6</v>
      </c>
      <c r="H13">
        <v>2004</v>
      </c>
      <c r="I13" s="2">
        <v>1.0253333333333301</v>
      </c>
      <c r="J13" t="s">
        <v>7</v>
      </c>
      <c r="K13">
        <v>2004</v>
      </c>
      <c r="L13" s="2">
        <v>1.02016666666666</v>
      </c>
      <c r="N13" s="2">
        <f t="shared" si="0"/>
        <v>1.0071041666666625</v>
      </c>
      <c r="O13" s="4">
        <f t="shared" si="1"/>
        <v>-0.14733038888914882</v>
      </c>
    </row>
    <row r="14" spans="1:16" x14ac:dyDescent="0.3">
      <c r="A14" t="s">
        <v>4</v>
      </c>
      <c r="B14">
        <v>2003</v>
      </c>
      <c r="C14" s="2">
        <v>1.0165833333333301</v>
      </c>
      <c r="D14" t="s">
        <v>5</v>
      </c>
      <c r="E14">
        <v>2003</v>
      </c>
      <c r="F14" s="2">
        <v>0.97808333333333297</v>
      </c>
      <c r="G14" t="s">
        <v>6</v>
      </c>
      <c r="H14">
        <v>2003</v>
      </c>
      <c r="I14" s="2">
        <v>1.00091666666666</v>
      </c>
      <c r="J14" t="s">
        <v>7</v>
      </c>
      <c r="K14">
        <v>2003</v>
      </c>
      <c r="L14" s="2">
        <v>1.0291666666666599</v>
      </c>
      <c r="N14" s="2">
        <f t="shared" si="0"/>
        <v>1.0061874999999958</v>
      </c>
      <c r="O14" s="4">
        <f t="shared" si="1"/>
        <v>-0.20114833126145848</v>
      </c>
    </row>
    <row r="15" spans="1:16" x14ac:dyDescent="0.3">
      <c r="A15" t="s">
        <v>4</v>
      </c>
      <c r="B15">
        <v>2002</v>
      </c>
      <c r="C15" s="2">
        <v>1.0248333333333299</v>
      </c>
      <c r="D15" t="s">
        <v>5</v>
      </c>
      <c r="E15">
        <v>2002</v>
      </c>
      <c r="F15" s="2">
        <v>0.96975</v>
      </c>
      <c r="G15" t="s">
        <v>6</v>
      </c>
      <c r="H15">
        <v>2002</v>
      </c>
      <c r="I15" s="2">
        <v>1.0004166666666601</v>
      </c>
      <c r="J15" t="s">
        <v>7</v>
      </c>
      <c r="K15">
        <v>2002</v>
      </c>
      <c r="L15" s="2">
        <v>1.0177499999999999</v>
      </c>
      <c r="N15" s="2">
        <f t="shared" si="0"/>
        <v>1.0031874999999975</v>
      </c>
      <c r="O15" s="4">
        <f t="shared" si="1"/>
        <v>-0.37727977902528154</v>
      </c>
    </row>
    <row r="16" spans="1:16" x14ac:dyDescent="0.3">
      <c r="A16" t="s">
        <v>4</v>
      </c>
      <c r="B16">
        <v>2001</v>
      </c>
      <c r="C16" s="2">
        <v>1.00366666666666</v>
      </c>
      <c r="D16" t="s">
        <v>5</v>
      </c>
      <c r="E16">
        <v>2001</v>
      </c>
      <c r="F16" s="2">
        <v>0.957666666666666</v>
      </c>
      <c r="G16" t="s">
        <v>6</v>
      </c>
      <c r="H16">
        <v>2001</v>
      </c>
      <c r="I16" s="2">
        <v>1.00366666666666</v>
      </c>
      <c r="J16" t="s">
        <v>7</v>
      </c>
      <c r="K16">
        <v>2001</v>
      </c>
      <c r="L16" s="2">
        <v>1.0240833333333299</v>
      </c>
      <c r="N16" s="2">
        <f t="shared" si="0"/>
        <v>0.997270833333329</v>
      </c>
      <c r="O16" s="4">
        <f t="shared" si="1"/>
        <v>-0.72465013433756353</v>
      </c>
    </row>
    <row r="17" spans="1:15" x14ac:dyDescent="0.3">
      <c r="A17" t="s">
        <v>4</v>
      </c>
      <c r="B17">
        <v>2000</v>
      </c>
      <c r="C17" s="2">
        <v>1.0249999999999999</v>
      </c>
      <c r="D17" t="s">
        <v>5</v>
      </c>
      <c r="E17">
        <v>2000</v>
      </c>
      <c r="F17" s="2">
        <v>0.96975</v>
      </c>
      <c r="G17" t="s">
        <v>6</v>
      </c>
      <c r="H17">
        <v>2000</v>
      </c>
      <c r="I17" s="2">
        <v>1.0064166666666601</v>
      </c>
      <c r="J17" t="s">
        <v>7</v>
      </c>
      <c r="K17">
        <v>2000</v>
      </c>
      <c r="L17" s="2">
        <v>1.0216666666666601</v>
      </c>
      <c r="N17" s="2">
        <f t="shared" si="0"/>
        <v>1.0057083333333301</v>
      </c>
      <c r="O17" s="4">
        <f t="shared" si="1"/>
        <v>-0.22928043750147228</v>
      </c>
    </row>
    <row r="18" spans="1:15" x14ac:dyDescent="0.3">
      <c r="A18" t="s">
        <v>4</v>
      </c>
      <c r="B18">
        <v>1999</v>
      </c>
      <c r="C18" s="2">
        <v>1.03033333333333</v>
      </c>
      <c r="D18" t="s">
        <v>5</v>
      </c>
      <c r="E18">
        <v>1999</v>
      </c>
      <c r="F18" s="2">
        <v>1.0002499999999901</v>
      </c>
      <c r="G18" t="s">
        <v>6</v>
      </c>
      <c r="H18">
        <v>1999</v>
      </c>
      <c r="I18" s="2">
        <v>1.03091666666666</v>
      </c>
      <c r="J18" t="s">
        <v>7</v>
      </c>
      <c r="K18">
        <v>1999</v>
      </c>
      <c r="L18" s="2">
        <v>1.0500833333333299</v>
      </c>
      <c r="N18" s="2">
        <f t="shared" si="0"/>
        <v>1.0278958333333275</v>
      </c>
      <c r="O18" s="4">
        <f t="shared" si="1"/>
        <v>1.073358394919036</v>
      </c>
    </row>
    <row r="19" spans="1:15" x14ac:dyDescent="0.3">
      <c r="A19" t="s">
        <v>4</v>
      </c>
      <c r="B19">
        <v>1998</v>
      </c>
      <c r="C19" s="2">
        <v>1.00833333333333</v>
      </c>
      <c r="D19" t="s">
        <v>5</v>
      </c>
      <c r="E19">
        <v>1998</v>
      </c>
      <c r="F19" s="2">
        <v>0.96991666666666598</v>
      </c>
      <c r="G19" t="s">
        <v>6</v>
      </c>
      <c r="H19">
        <v>1998</v>
      </c>
      <c r="I19" s="2">
        <v>0.99708333333333299</v>
      </c>
      <c r="J19" t="s">
        <v>7</v>
      </c>
      <c r="K19">
        <v>1998</v>
      </c>
      <c r="L19" s="2">
        <v>1.024</v>
      </c>
      <c r="N19" s="2">
        <f t="shared" si="0"/>
        <v>0.99983333333333224</v>
      </c>
      <c r="O19" s="4">
        <f t="shared" si="1"/>
        <v>-0.57420452270569089</v>
      </c>
    </row>
    <row r="20" spans="1:15" x14ac:dyDescent="0.3">
      <c r="A20" t="s">
        <v>4</v>
      </c>
      <c r="B20">
        <v>1997</v>
      </c>
      <c r="C20" s="2">
        <v>0.98308333333333298</v>
      </c>
      <c r="D20" t="s">
        <v>5</v>
      </c>
      <c r="E20">
        <v>1997</v>
      </c>
      <c r="F20" s="2">
        <v>0.959666666666666</v>
      </c>
      <c r="G20" t="s">
        <v>6</v>
      </c>
      <c r="H20">
        <v>1997</v>
      </c>
      <c r="I20" s="2">
        <v>1.00183333333333</v>
      </c>
      <c r="J20" t="s">
        <v>7</v>
      </c>
      <c r="K20">
        <v>1997</v>
      </c>
      <c r="L20" s="2">
        <v>0.99774999999999903</v>
      </c>
      <c r="N20" s="2">
        <f t="shared" si="0"/>
        <v>0.98558333333333203</v>
      </c>
      <c r="O20" s="4">
        <f t="shared" si="1"/>
        <v>-1.4108288995843261</v>
      </c>
    </row>
    <row r="21" spans="1:15" x14ac:dyDescent="0.3">
      <c r="A21" t="s">
        <v>4</v>
      </c>
      <c r="B21">
        <v>1996</v>
      </c>
      <c r="C21" s="2">
        <v>1.03816666666666</v>
      </c>
      <c r="D21" t="s">
        <v>5</v>
      </c>
      <c r="E21">
        <v>1996</v>
      </c>
      <c r="F21" s="2">
        <v>0.99299999999999999</v>
      </c>
      <c r="G21" t="s">
        <v>6</v>
      </c>
      <c r="H21">
        <v>1996</v>
      </c>
      <c r="I21" s="2">
        <v>1.0585833333333301</v>
      </c>
      <c r="J21" t="s">
        <v>7</v>
      </c>
      <c r="K21">
        <v>1996</v>
      </c>
      <c r="L21" s="2">
        <v>1.0234999999999901</v>
      </c>
      <c r="N21" s="2">
        <f t="shared" si="0"/>
        <v>1.0283124999999949</v>
      </c>
      <c r="O21" s="4">
        <f t="shared" si="1"/>
        <v>1.0978210959974013</v>
      </c>
    </row>
    <row r="22" spans="1:15" x14ac:dyDescent="0.3">
      <c r="A22" t="s">
        <v>4</v>
      </c>
      <c r="B22">
        <v>1995</v>
      </c>
      <c r="C22" s="2">
        <v>1.02633333333333</v>
      </c>
      <c r="D22" t="s">
        <v>5</v>
      </c>
      <c r="E22">
        <v>1995</v>
      </c>
      <c r="F22" s="2">
        <v>0.99516666666666598</v>
      </c>
      <c r="G22" t="s">
        <v>6</v>
      </c>
      <c r="H22">
        <v>1995</v>
      </c>
      <c r="I22" s="2">
        <v>1.06375</v>
      </c>
      <c r="J22" t="s">
        <v>7</v>
      </c>
      <c r="K22">
        <v>1995</v>
      </c>
      <c r="L22" s="2">
        <v>1.0199166666666599</v>
      </c>
      <c r="N22" s="2">
        <f t="shared" si="0"/>
        <v>1.0262916666666639</v>
      </c>
      <c r="O22" s="4">
        <f t="shared" si="1"/>
        <v>0.9791769957676798</v>
      </c>
    </row>
    <row r="23" spans="1:15" x14ac:dyDescent="0.3">
      <c r="A23" t="s">
        <v>4</v>
      </c>
      <c r="B23">
        <v>1994</v>
      </c>
      <c r="C23" s="2">
        <v>1.01383333333333</v>
      </c>
      <c r="D23" t="s">
        <v>5</v>
      </c>
      <c r="E23">
        <v>1994</v>
      </c>
      <c r="F23" s="2">
        <v>0.98708333333333298</v>
      </c>
      <c r="G23" t="s">
        <v>6</v>
      </c>
      <c r="H23">
        <v>1994</v>
      </c>
      <c r="I23" s="2">
        <v>1.08083333333333</v>
      </c>
      <c r="J23" t="s">
        <v>7</v>
      </c>
      <c r="K23">
        <v>1994</v>
      </c>
      <c r="L23" s="2">
        <v>1.0046666666666599</v>
      </c>
      <c r="N23" s="2">
        <f t="shared" si="0"/>
        <v>1.0216041666666633</v>
      </c>
      <c r="O23" s="4">
        <f t="shared" si="1"/>
        <v>0.70397160863651731</v>
      </c>
    </row>
    <row r="24" spans="1:15" x14ac:dyDescent="0.3">
      <c r="A24" t="s">
        <v>4</v>
      </c>
      <c r="B24">
        <v>1993</v>
      </c>
      <c r="C24" s="2">
        <v>1.02125</v>
      </c>
      <c r="D24" t="s">
        <v>5</v>
      </c>
      <c r="E24">
        <v>1993</v>
      </c>
      <c r="F24" s="2">
        <v>1.0006666666666599</v>
      </c>
      <c r="G24" t="s">
        <v>6</v>
      </c>
      <c r="H24">
        <v>1993</v>
      </c>
      <c r="I24" s="2">
        <v>1.04341666666666</v>
      </c>
      <c r="J24" t="s">
        <v>7</v>
      </c>
      <c r="K24">
        <v>1993</v>
      </c>
      <c r="L24" s="2">
        <v>1.0113333333333301</v>
      </c>
      <c r="N24" s="2">
        <f t="shared" si="0"/>
        <v>1.0191666666666626</v>
      </c>
      <c r="O24" s="4">
        <f t="shared" si="1"/>
        <v>0.56086480732828725</v>
      </c>
    </row>
    <row r="25" spans="1:15" x14ac:dyDescent="0.3">
      <c r="A25" t="s">
        <v>4</v>
      </c>
      <c r="B25">
        <v>1992</v>
      </c>
      <c r="C25" s="2">
        <v>0.99616666666666598</v>
      </c>
      <c r="D25" t="s">
        <v>5</v>
      </c>
      <c r="E25">
        <v>1992</v>
      </c>
      <c r="F25" s="2">
        <v>0.99158333333333304</v>
      </c>
      <c r="G25" t="s">
        <v>6</v>
      </c>
      <c r="H25">
        <v>1992</v>
      </c>
      <c r="I25" s="2">
        <v>1.0356666666666601</v>
      </c>
      <c r="J25" t="s">
        <v>7</v>
      </c>
      <c r="K25">
        <v>1992</v>
      </c>
      <c r="L25" s="2">
        <v>1.0169999999999999</v>
      </c>
      <c r="N25" s="2">
        <f t="shared" si="0"/>
        <v>1.0101041666666646</v>
      </c>
      <c r="O25" s="4">
        <f t="shared" si="1"/>
        <v>2.8801058874895837E-2</v>
      </c>
    </row>
    <row r="26" spans="1:15" x14ac:dyDescent="0.3">
      <c r="A26" t="s">
        <v>4</v>
      </c>
      <c r="B26">
        <v>1991</v>
      </c>
      <c r="C26" s="2">
        <v>1.0179166666666599</v>
      </c>
      <c r="D26" t="s">
        <v>5</v>
      </c>
      <c r="E26">
        <v>1991</v>
      </c>
      <c r="F26" s="2">
        <v>0.99941666666666595</v>
      </c>
      <c r="G26" t="s">
        <v>6</v>
      </c>
      <c r="H26">
        <v>1991</v>
      </c>
      <c r="I26" s="2">
        <v>1.0471666666666599</v>
      </c>
      <c r="J26" t="s">
        <v>7</v>
      </c>
      <c r="K26">
        <v>1991</v>
      </c>
      <c r="L26" s="2">
        <v>1.0337499999999999</v>
      </c>
      <c r="N26" s="2">
        <f t="shared" si="0"/>
        <v>1.0245624999999965</v>
      </c>
      <c r="O26" s="4">
        <f t="shared" si="1"/>
        <v>0.87765678629259636</v>
      </c>
    </row>
    <row r="27" spans="1:15" x14ac:dyDescent="0.3">
      <c r="A27" t="s">
        <v>4</v>
      </c>
      <c r="B27">
        <v>1990</v>
      </c>
      <c r="C27" s="2">
        <v>1.02325</v>
      </c>
      <c r="D27" t="s">
        <v>5</v>
      </c>
      <c r="E27">
        <v>1990</v>
      </c>
      <c r="F27" s="2">
        <v>1.01275</v>
      </c>
      <c r="G27" t="s">
        <v>6</v>
      </c>
      <c r="H27">
        <v>1990</v>
      </c>
      <c r="I27" s="2">
        <v>1.0689166666666601</v>
      </c>
      <c r="J27" t="s">
        <v>7</v>
      </c>
      <c r="K27">
        <v>1990</v>
      </c>
      <c r="L27" s="2">
        <v>1.0555000000000001</v>
      </c>
      <c r="N27" s="2">
        <f t="shared" si="0"/>
        <v>1.0401041666666651</v>
      </c>
      <c r="O27" s="4">
        <f t="shared" si="1"/>
        <v>1.7901155365141299</v>
      </c>
    </row>
    <row r="28" spans="1:15" x14ac:dyDescent="0.3">
      <c r="A28" t="s">
        <v>4</v>
      </c>
      <c r="B28">
        <v>1989</v>
      </c>
      <c r="C28" s="2">
        <v>1.03216666666666</v>
      </c>
      <c r="D28" t="s">
        <v>5</v>
      </c>
      <c r="E28">
        <v>1989</v>
      </c>
      <c r="F28" s="2">
        <v>1.00125</v>
      </c>
      <c r="G28" t="s">
        <v>6</v>
      </c>
      <c r="H28">
        <v>1989</v>
      </c>
      <c r="I28" s="2">
        <v>1.077</v>
      </c>
      <c r="J28" t="s">
        <v>7</v>
      </c>
      <c r="K28">
        <v>1989</v>
      </c>
      <c r="L28" s="2">
        <v>1.04575</v>
      </c>
      <c r="N28" s="2">
        <f t="shared" si="0"/>
        <v>1.0390416666666649</v>
      </c>
      <c r="O28" s="4">
        <f t="shared" si="1"/>
        <v>1.7277356487643969</v>
      </c>
    </row>
    <row r="29" spans="1:15" x14ac:dyDescent="0.3">
      <c r="A29" t="s">
        <v>4</v>
      </c>
      <c r="B29">
        <v>1988</v>
      </c>
      <c r="C29" s="2">
        <v>1.03705410241666</v>
      </c>
      <c r="D29" t="s">
        <v>5</v>
      </c>
      <c r="E29">
        <v>1988</v>
      </c>
      <c r="F29" s="2">
        <v>0.99774999999999903</v>
      </c>
      <c r="G29" t="s">
        <v>6</v>
      </c>
      <c r="H29">
        <v>1988</v>
      </c>
      <c r="I29" s="2">
        <v>1.0564166666666599</v>
      </c>
      <c r="J29" t="s">
        <v>7</v>
      </c>
      <c r="K29">
        <v>1988</v>
      </c>
      <c r="L29" s="2">
        <v>1.04216666666666</v>
      </c>
      <c r="N29" s="2">
        <f t="shared" si="0"/>
        <v>1.0333468589374948</v>
      </c>
      <c r="O29" s="4">
        <f t="shared" si="1"/>
        <v>1.3933907387390998</v>
      </c>
    </row>
    <row r="30" spans="1:15" x14ac:dyDescent="0.3">
      <c r="A30" t="s">
        <v>4</v>
      </c>
      <c r="B30">
        <v>1987</v>
      </c>
      <c r="C30" s="2">
        <v>1.0229430473333301</v>
      </c>
      <c r="D30" t="s">
        <v>5</v>
      </c>
      <c r="E30">
        <v>1987</v>
      </c>
      <c r="F30" s="2">
        <v>0.99958333333333305</v>
      </c>
      <c r="G30" t="s">
        <v>6</v>
      </c>
      <c r="H30">
        <v>1987</v>
      </c>
      <c r="I30" s="2">
        <v>1.0345</v>
      </c>
      <c r="J30" t="s">
        <v>7</v>
      </c>
      <c r="K30">
        <v>1987</v>
      </c>
      <c r="L30" s="2">
        <v>1.0125</v>
      </c>
      <c r="N30" s="2">
        <f t="shared" si="0"/>
        <v>1.0173815951666656</v>
      </c>
      <c r="O30" s="4">
        <f t="shared" si="1"/>
        <v>0.45606239810942789</v>
      </c>
    </row>
    <row r="31" spans="1:15" x14ac:dyDescent="0.3">
      <c r="A31" t="s">
        <v>4</v>
      </c>
      <c r="B31">
        <v>1986</v>
      </c>
      <c r="C31" s="2">
        <v>1.0263941015</v>
      </c>
      <c r="D31" t="s">
        <v>5</v>
      </c>
      <c r="E31">
        <v>1986</v>
      </c>
      <c r="F31" s="2">
        <v>0.99608333333333299</v>
      </c>
      <c r="G31" t="s">
        <v>6</v>
      </c>
      <c r="H31">
        <v>1986</v>
      </c>
      <c r="I31" s="2">
        <v>1.05591666666666</v>
      </c>
      <c r="J31" t="s">
        <v>7</v>
      </c>
      <c r="K31">
        <v>1986</v>
      </c>
      <c r="L31" s="2">
        <v>1.00708333333333</v>
      </c>
      <c r="N31" s="2">
        <f t="shared" si="0"/>
        <v>1.0213693587083308</v>
      </c>
      <c r="O31" s="4">
        <f t="shared" si="1"/>
        <v>0.69018592008731783</v>
      </c>
    </row>
    <row r="32" spans="1:15" x14ac:dyDescent="0.3">
      <c r="A32" t="s">
        <v>4</v>
      </c>
      <c r="B32">
        <v>1985</v>
      </c>
      <c r="C32" s="2">
        <v>1.02783837741666</v>
      </c>
      <c r="D32" t="s">
        <v>5</v>
      </c>
      <c r="E32">
        <v>1985</v>
      </c>
      <c r="F32" s="2">
        <v>0.99649999999999905</v>
      </c>
      <c r="G32" t="s">
        <v>6</v>
      </c>
      <c r="H32">
        <v>1985</v>
      </c>
      <c r="I32" s="2">
        <v>1.046</v>
      </c>
      <c r="J32" t="s">
        <v>7</v>
      </c>
      <c r="K32">
        <v>1985</v>
      </c>
      <c r="L32" s="2">
        <v>1.0028333333333299</v>
      </c>
      <c r="N32" s="2">
        <f t="shared" si="0"/>
        <v>1.0182929276874972</v>
      </c>
      <c r="O32" s="4">
        <f t="shared" si="1"/>
        <v>0.50956717020556808</v>
      </c>
    </row>
    <row r="33" spans="1:15" x14ac:dyDescent="0.3">
      <c r="A33" t="s">
        <v>4</v>
      </c>
      <c r="B33">
        <v>1984</v>
      </c>
      <c r="C33" s="2">
        <v>1.04564708883333</v>
      </c>
      <c r="D33" t="s">
        <v>5</v>
      </c>
      <c r="E33">
        <v>1984</v>
      </c>
      <c r="F33" s="2">
        <v>1.0079166666666599</v>
      </c>
      <c r="G33" t="s">
        <v>6</v>
      </c>
      <c r="H33">
        <v>1984</v>
      </c>
      <c r="I33" s="2">
        <v>1.0356666666666601</v>
      </c>
      <c r="J33" t="s">
        <v>7</v>
      </c>
      <c r="K33">
        <v>1984</v>
      </c>
      <c r="L33" s="2">
        <v>1.0045833333333301</v>
      </c>
      <c r="N33" s="2">
        <f t="shared" si="0"/>
        <v>1.023453438874995</v>
      </c>
      <c r="O33" s="4">
        <f t="shared" si="1"/>
        <v>0.81254327242419555</v>
      </c>
    </row>
    <row r="34" spans="1:15" x14ac:dyDescent="0.3">
      <c r="A34" t="s">
        <v>4</v>
      </c>
      <c r="B34">
        <v>1983</v>
      </c>
      <c r="C34" s="2">
        <v>1.01718703166666</v>
      </c>
      <c r="D34" t="s">
        <v>5</v>
      </c>
      <c r="E34">
        <v>1983</v>
      </c>
      <c r="F34" s="2">
        <v>0.998</v>
      </c>
      <c r="G34" t="s">
        <v>6</v>
      </c>
      <c r="H34">
        <v>1983</v>
      </c>
      <c r="I34" s="2">
        <v>1.0137499999999999</v>
      </c>
      <c r="J34" t="s">
        <v>7</v>
      </c>
      <c r="K34">
        <v>1983</v>
      </c>
      <c r="L34" s="2">
        <v>1.022</v>
      </c>
      <c r="N34" s="2">
        <f t="shared" si="0"/>
        <v>1.0127342579166652</v>
      </c>
      <c r="O34" s="4">
        <f t="shared" si="1"/>
        <v>0.18321498541283629</v>
      </c>
    </row>
    <row r="35" spans="1:15" x14ac:dyDescent="0.3">
      <c r="A35" t="s">
        <v>4</v>
      </c>
      <c r="B35">
        <v>1982</v>
      </c>
      <c r="C35" s="2">
        <v>1.0290533209999999</v>
      </c>
      <c r="D35" t="s">
        <v>5</v>
      </c>
      <c r="E35">
        <v>1982</v>
      </c>
      <c r="F35" s="2">
        <v>0.99308333333333298</v>
      </c>
      <c r="G35" t="s">
        <v>6</v>
      </c>
      <c r="H35">
        <v>1982</v>
      </c>
      <c r="I35" s="2">
        <v>1.0347500000000001</v>
      </c>
      <c r="J35" t="s">
        <v>7</v>
      </c>
      <c r="K35">
        <v>1982</v>
      </c>
      <c r="L35" s="2">
        <v>1.0235000000000001</v>
      </c>
      <c r="N35" s="2">
        <f t="shared" si="0"/>
        <v>1.0200966635833333</v>
      </c>
      <c r="O35" s="4">
        <f t="shared" si="1"/>
        <v>0.61546537511135313</v>
      </c>
    </row>
    <row r="36" spans="1:15" x14ac:dyDescent="0.3">
      <c r="D36" t="s">
        <v>5</v>
      </c>
      <c r="E36">
        <v>1981</v>
      </c>
      <c r="F36" s="2">
        <v>1.00925</v>
      </c>
      <c r="G36" t="s">
        <v>6</v>
      </c>
      <c r="H36">
        <v>1981</v>
      </c>
      <c r="I36" s="2">
        <v>1.0753333333333299</v>
      </c>
      <c r="J36" t="s">
        <v>7</v>
      </c>
      <c r="K36">
        <v>1981</v>
      </c>
      <c r="L36" s="2">
        <v>1.04508333333333</v>
      </c>
      <c r="N36" s="2">
        <f t="shared" si="0"/>
        <v>1.0432222222222201</v>
      </c>
    </row>
    <row r="37" spans="1:15" x14ac:dyDescent="0.3">
      <c r="D37" t="s">
        <v>5</v>
      </c>
      <c r="E37">
        <v>1980</v>
      </c>
      <c r="F37" s="2">
        <v>0.99124999999999996</v>
      </c>
      <c r="G37" t="s">
        <v>6</v>
      </c>
      <c r="H37">
        <v>1980</v>
      </c>
      <c r="I37" s="2">
        <v>1.0511666666666599</v>
      </c>
      <c r="J37" t="s">
        <v>7</v>
      </c>
      <c r="K37">
        <v>1980</v>
      </c>
      <c r="L37" s="2">
        <v>1.02725</v>
      </c>
      <c r="N37" s="2">
        <f t="shared" si="0"/>
        <v>1.02322222222222</v>
      </c>
    </row>
    <row r="38" spans="1:15" x14ac:dyDescent="0.3">
      <c r="D38" t="s">
        <v>5</v>
      </c>
      <c r="E38">
        <v>1979</v>
      </c>
      <c r="F38" s="2">
        <v>1.01</v>
      </c>
      <c r="G38" t="s">
        <v>6</v>
      </c>
      <c r="H38">
        <v>1979</v>
      </c>
      <c r="I38" s="2">
        <v>1.04066666666666</v>
      </c>
      <c r="J38" t="s">
        <v>7</v>
      </c>
      <c r="K38">
        <v>1979</v>
      </c>
      <c r="L38" s="2">
        <v>1.05941666666666</v>
      </c>
      <c r="N38" s="2">
        <f t="shared" si="0"/>
        <v>1.0366944444444399</v>
      </c>
    </row>
    <row r="39" spans="1:15" x14ac:dyDescent="0.3">
      <c r="D39" t="s">
        <v>5</v>
      </c>
      <c r="E39">
        <v>1978</v>
      </c>
      <c r="F39" s="2">
        <v>1.00541666666666</v>
      </c>
      <c r="G39" t="s">
        <v>6</v>
      </c>
      <c r="H39">
        <v>1978</v>
      </c>
      <c r="I39" s="2">
        <v>1.0573333333333299</v>
      </c>
      <c r="J39" t="s">
        <v>7</v>
      </c>
      <c r="K39">
        <v>1978</v>
      </c>
      <c r="L39" s="2">
        <v>1.0627500000000001</v>
      </c>
      <c r="N39" s="2">
        <f t="shared" si="0"/>
        <v>1.0418333333333301</v>
      </c>
    </row>
    <row r="40" spans="1:15" x14ac:dyDescent="0.3">
      <c r="D40" t="s">
        <v>5</v>
      </c>
      <c r="E40">
        <v>1977</v>
      </c>
      <c r="F40" s="2">
        <v>0.99891666666666601</v>
      </c>
      <c r="G40" t="s">
        <v>6</v>
      </c>
      <c r="H40">
        <v>1977</v>
      </c>
      <c r="I40" s="2">
        <v>1.03925</v>
      </c>
      <c r="J40" t="s">
        <v>7</v>
      </c>
      <c r="K40">
        <v>1977</v>
      </c>
      <c r="L40" s="2">
        <v>1.0458333333333301</v>
      </c>
      <c r="N40" s="2">
        <f t="shared" si="0"/>
        <v>1.0279999999999987</v>
      </c>
    </row>
    <row r="41" spans="1:15" x14ac:dyDescent="0.3">
      <c r="D41" t="s">
        <v>5</v>
      </c>
      <c r="E41">
        <v>1976</v>
      </c>
      <c r="F41" s="2">
        <v>0.99758333333333304</v>
      </c>
      <c r="G41" t="s">
        <v>6</v>
      </c>
      <c r="H41">
        <v>1976</v>
      </c>
      <c r="I41" s="2">
        <v>1.0525833333333301</v>
      </c>
      <c r="J41" t="s">
        <v>7</v>
      </c>
      <c r="K41">
        <v>1976</v>
      </c>
      <c r="L41" s="2">
        <v>1.0496666666666601</v>
      </c>
      <c r="N41" s="2">
        <f t="shared" si="0"/>
        <v>1.0332777777777744</v>
      </c>
    </row>
    <row r="42" spans="1:15" x14ac:dyDescent="0.3">
      <c r="D42" t="s">
        <v>5</v>
      </c>
      <c r="E42">
        <v>1975</v>
      </c>
      <c r="F42" s="2">
        <v>1.01525</v>
      </c>
      <c r="G42" t="s">
        <v>6</v>
      </c>
      <c r="H42">
        <v>1975</v>
      </c>
      <c r="I42" s="2">
        <v>1.0308333333333299</v>
      </c>
      <c r="J42" t="s">
        <v>7</v>
      </c>
      <c r="K42">
        <v>1975</v>
      </c>
      <c r="L42" s="2">
        <v>1.0527500000000001</v>
      </c>
      <c r="N42" s="2">
        <f t="shared" si="0"/>
        <v>1.0329444444444433</v>
      </c>
    </row>
    <row r="43" spans="1:15" x14ac:dyDescent="0.3">
      <c r="D43" t="s">
        <v>5</v>
      </c>
      <c r="E43">
        <v>1974</v>
      </c>
      <c r="F43" s="2">
        <v>1.0025833333333301</v>
      </c>
      <c r="G43" t="s">
        <v>6</v>
      </c>
      <c r="H43">
        <v>1974</v>
      </c>
      <c r="I43" s="2">
        <v>1.0017499999999999</v>
      </c>
      <c r="J43" t="s">
        <v>7</v>
      </c>
      <c r="K43">
        <v>1974</v>
      </c>
      <c r="L43" s="2">
        <v>1.02983333333333</v>
      </c>
      <c r="N43" s="2">
        <f t="shared" si="0"/>
        <v>1.0113888888888869</v>
      </c>
    </row>
    <row r="44" spans="1:15" x14ac:dyDescent="0.3">
      <c r="D44" t="s">
        <v>5</v>
      </c>
      <c r="E44">
        <v>1973</v>
      </c>
      <c r="F44" s="2">
        <v>1.0106666666666599</v>
      </c>
      <c r="G44" t="s">
        <v>6</v>
      </c>
      <c r="H44">
        <v>1973</v>
      </c>
      <c r="I44" s="2">
        <v>1.0142499999999901</v>
      </c>
      <c r="J44" t="s">
        <v>7</v>
      </c>
      <c r="K44">
        <v>1973</v>
      </c>
      <c r="L44" s="2">
        <v>1.0322499999999999</v>
      </c>
      <c r="N44" s="2">
        <f t="shared" si="0"/>
        <v>1.0190555555555501</v>
      </c>
    </row>
    <row r="45" spans="1:15" x14ac:dyDescent="0.3">
      <c r="D45" t="s">
        <v>5</v>
      </c>
      <c r="E45">
        <v>1972</v>
      </c>
      <c r="F45" s="2">
        <v>1.0025833333333301</v>
      </c>
      <c r="G45" t="s">
        <v>6</v>
      </c>
      <c r="H45">
        <v>1972</v>
      </c>
      <c r="I45" s="2">
        <v>1.0033333333333301</v>
      </c>
      <c r="J45" t="s">
        <v>7</v>
      </c>
      <c r="K45">
        <v>1972</v>
      </c>
      <c r="L45" s="2">
        <v>1.0245833333333301</v>
      </c>
      <c r="N45" s="2">
        <f t="shared" si="0"/>
        <v>1.0101666666666633</v>
      </c>
    </row>
    <row r="46" spans="1:15" x14ac:dyDescent="0.3">
      <c r="D46" t="s">
        <v>5</v>
      </c>
      <c r="E46">
        <v>1971</v>
      </c>
      <c r="F46" s="2">
        <v>1.01725</v>
      </c>
      <c r="G46" t="s">
        <v>6</v>
      </c>
      <c r="H46">
        <v>1971</v>
      </c>
      <c r="I46" s="2">
        <v>0.99333333333333296</v>
      </c>
      <c r="J46" t="s">
        <v>7</v>
      </c>
      <c r="K46">
        <v>1971</v>
      </c>
      <c r="L46" s="2">
        <v>1.036</v>
      </c>
      <c r="N46" s="2">
        <f t="shared" si="0"/>
        <v>1.0155277777777776</v>
      </c>
    </row>
    <row r="47" spans="1:15" x14ac:dyDescent="0.3">
      <c r="D47" t="s">
        <v>5</v>
      </c>
      <c r="E47">
        <v>1970</v>
      </c>
      <c r="F47" s="2">
        <v>1.0225</v>
      </c>
      <c r="G47" t="s">
        <v>6</v>
      </c>
      <c r="H47">
        <v>1970</v>
      </c>
      <c r="I47" s="2">
        <v>1.0073333333333301</v>
      </c>
      <c r="J47" t="s">
        <v>7</v>
      </c>
      <c r="K47">
        <v>1970</v>
      </c>
      <c r="L47" s="2">
        <v>1.03866666666666</v>
      </c>
      <c r="N47" s="2">
        <f t="shared" si="0"/>
        <v>1.0228333333333299</v>
      </c>
    </row>
    <row r="48" spans="1:15" x14ac:dyDescent="0.3">
      <c r="D48" t="s">
        <v>5</v>
      </c>
      <c r="E48">
        <v>1969</v>
      </c>
      <c r="F48" s="2">
        <v>1.0267500000000001</v>
      </c>
      <c r="G48" t="s">
        <v>6</v>
      </c>
      <c r="H48">
        <v>1969</v>
      </c>
      <c r="I48" s="2">
        <v>1.022</v>
      </c>
      <c r="J48" t="s">
        <v>7</v>
      </c>
      <c r="K48">
        <v>1969</v>
      </c>
      <c r="L48" s="2">
        <v>1.0373333333333301</v>
      </c>
      <c r="N48" s="2">
        <f t="shared" si="0"/>
        <v>1.0286944444444435</v>
      </c>
    </row>
    <row r="49" spans="4:14" x14ac:dyDescent="0.3">
      <c r="D49" t="s">
        <v>5</v>
      </c>
      <c r="E49">
        <v>1968</v>
      </c>
      <c r="F49" s="2">
        <v>0.99966666666666604</v>
      </c>
      <c r="G49" t="s">
        <v>6</v>
      </c>
      <c r="H49">
        <v>1968</v>
      </c>
      <c r="I49" s="2">
        <v>1.0115833333333299</v>
      </c>
      <c r="J49" t="s">
        <v>7</v>
      </c>
      <c r="K49">
        <v>1968</v>
      </c>
      <c r="L49" s="2">
        <v>1.04558333333333</v>
      </c>
      <c r="N49" s="2">
        <f t="shared" si="0"/>
        <v>1.0189444444444422</v>
      </c>
    </row>
    <row r="50" spans="4:14" x14ac:dyDescent="0.3">
      <c r="D50" t="s">
        <v>5</v>
      </c>
      <c r="E50">
        <v>1967</v>
      </c>
      <c r="F50" s="2">
        <v>1.0089999999999999</v>
      </c>
      <c r="G50" t="s">
        <v>6</v>
      </c>
      <c r="H50">
        <v>1967</v>
      </c>
      <c r="I50" s="2">
        <v>1.0220833333333299</v>
      </c>
      <c r="J50" t="s">
        <v>7</v>
      </c>
      <c r="K50">
        <v>1967</v>
      </c>
      <c r="L50" s="2">
        <v>1.0302499999999899</v>
      </c>
      <c r="N50" s="2">
        <f t="shared" si="0"/>
        <v>1.02044444444444</v>
      </c>
    </row>
    <row r="51" spans="4:14" x14ac:dyDescent="0.3">
      <c r="D51" t="s">
        <v>5</v>
      </c>
      <c r="E51">
        <v>1966</v>
      </c>
      <c r="F51" s="2">
        <v>1.0180833333333299</v>
      </c>
      <c r="G51" t="s">
        <v>6</v>
      </c>
      <c r="H51">
        <v>1966</v>
      </c>
      <c r="I51" s="2">
        <v>1.02</v>
      </c>
      <c r="J51" t="s">
        <v>7</v>
      </c>
      <c r="K51">
        <v>1966</v>
      </c>
      <c r="L51" s="2">
        <v>1.0254999999999901</v>
      </c>
      <c r="N51" s="2">
        <f t="shared" si="0"/>
        <v>1.0211944444444399</v>
      </c>
    </row>
    <row r="52" spans="4:14" x14ac:dyDescent="0.3">
      <c r="D52" t="s">
        <v>5</v>
      </c>
      <c r="E52">
        <v>1965</v>
      </c>
      <c r="F52" s="2">
        <v>0.98916666666666597</v>
      </c>
      <c r="G52" t="s">
        <v>6</v>
      </c>
      <c r="H52">
        <v>1965</v>
      </c>
      <c r="I52" s="2">
        <v>0.99708333333333299</v>
      </c>
      <c r="J52" t="s">
        <v>7</v>
      </c>
      <c r="K52">
        <v>1965</v>
      </c>
      <c r="L52" s="2">
        <v>1.0293333333333301</v>
      </c>
      <c r="N52" s="2">
        <f t="shared" si="0"/>
        <v>1.0051944444444429</v>
      </c>
    </row>
    <row r="53" spans="4:14" x14ac:dyDescent="0.3">
      <c r="D53" t="s">
        <v>5</v>
      </c>
      <c r="E53">
        <v>1964</v>
      </c>
      <c r="F53" s="2">
        <v>0.99891666666666601</v>
      </c>
      <c r="G53" t="s">
        <v>6</v>
      </c>
      <c r="H53">
        <v>1964</v>
      </c>
      <c r="I53" s="2">
        <v>1.0120833333333299</v>
      </c>
      <c r="J53" t="s">
        <v>7</v>
      </c>
      <c r="K53">
        <v>1964</v>
      </c>
      <c r="L53" s="2">
        <v>1.0115833333333299</v>
      </c>
      <c r="N53" s="2">
        <f t="shared" si="0"/>
        <v>1.0075277777777754</v>
      </c>
    </row>
    <row r="54" spans="4:14" x14ac:dyDescent="0.3">
      <c r="D54" t="s">
        <v>5</v>
      </c>
      <c r="E54">
        <v>1963</v>
      </c>
      <c r="F54" s="2">
        <v>1.00633333333333</v>
      </c>
      <c r="G54" t="s">
        <v>6</v>
      </c>
      <c r="H54">
        <v>1963</v>
      </c>
      <c r="I54" s="2">
        <v>1.02141666666666</v>
      </c>
      <c r="J54" t="s">
        <v>7</v>
      </c>
      <c r="K54">
        <v>1963</v>
      </c>
      <c r="L54" s="2">
        <v>1.0285</v>
      </c>
      <c r="N54" s="2">
        <f t="shared" si="0"/>
        <v>1.0187499999999967</v>
      </c>
    </row>
    <row r="55" spans="4:14" x14ac:dyDescent="0.3">
      <c r="D55" t="s">
        <v>5</v>
      </c>
      <c r="E55">
        <v>1962</v>
      </c>
      <c r="F55" s="2">
        <v>1.02</v>
      </c>
      <c r="G55" t="s">
        <v>6</v>
      </c>
      <c r="H55">
        <v>1962</v>
      </c>
      <c r="I55" s="2">
        <v>1.01958333333333</v>
      </c>
      <c r="J55" t="s">
        <v>7</v>
      </c>
      <c r="K55">
        <v>1962</v>
      </c>
      <c r="L55" s="2">
        <v>1.0211666666666599</v>
      </c>
      <c r="N55" s="2">
        <f t="shared" si="0"/>
        <v>1.0202499999999965</v>
      </c>
    </row>
    <row r="56" spans="4:14" x14ac:dyDescent="0.3">
      <c r="D56" t="s">
        <v>5</v>
      </c>
      <c r="E56">
        <v>1961</v>
      </c>
      <c r="F56" s="2">
        <v>1.00833333333333</v>
      </c>
      <c r="G56" t="s">
        <v>6</v>
      </c>
      <c r="H56">
        <v>1961</v>
      </c>
      <c r="I56" s="2">
        <v>1.0389999999999999</v>
      </c>
      <c r="J56" t="s">
        <v>7</v>
      </c>
      <c r="K56">
        <v>1961</v>
      </c>
      <c r="L56" s="2">
        <v>1.0297499999999999</v>
      </c>
      <c r="N56" s="2">
        <f t="shared" si="0"/>
        <v>1.0256944444444434</v>
      </c>
    </row>
    <row r="57" spans="4:14" x14ac:dyDescent="0.3">
      <c r="D57" t="s">
        <v>5</v>
      </c>
      <c r="E57">
        <v>1960</v>
      </c>
      <c r="F57" s="2">
        <v>1.01725</v>
      </c>
      <c r="G57" t="s">
        <v>6</v>
      </c>
      <c r="H57">
        <v>1960</v>
      </c>
      <c r="I57" s="2">
        <v>1.04908333333333</v>
      </c>
      <c r="J57" t="s">
        <v>7</v>
      </c>
      <c r="K57">
        <v>1960</v>
      </c>
      <c r="L57" s="2">
        <v>1.03033333333333</v>
      </c>
      <c r="N57" s="2">
        <f t="shared" si="0"/>
        <v>1.0322222222222199</v>
      </c>
    </row>
    <row r="58" spans="4:14" x14ac:dyDescent="0.3">
      <c r="D58" t="s">
        <v>5</v>
      </c>
      <c r="E58">
        <v>1959</v>
      </c>
      <c r="F58" s="2">
        <v>1.006</v>
      </c>
      <c r="G58" t="s">
        <v>6</v>
      </c>
      <c r="H58">
        <v>1959</v>
      </c>
      <c r="I58" s="2">
        <v>1.0459166666666599</v>
      </c>
      <c r="J58" t="s">
        <v>7</v>
      </c>
      <c r="K58">
        <v>1959</v>
      </c>
      <c r="L58" s="2">
        <v>1.0220833333333299</v>
      </c>
      <c r="N58" s="2">
        <f t="shared" si="0"/>
        <v>1.0246666666666633</v>
      </c>
    </row>
    <row r="59" spans="4:14" x14ac:dyDescent="0.3">
      <c r="D59" t="s">
        <v>5</v>
      </c>
      <c r="E59">
        <v>1958</v>
      </c>
      <c r="F59" s="2">
        <v>1.01725</v>
      </c>
      <c r="G59" t="s">
        <v>6</v>
      </c>
      <c r="H59">
        <v>1958</v>
      </c>
      <c r="I59" s="2">
        <v>1.0296666666666601</v>
      </c>
      <c r="J59" t="s">
        <v>7</v>
      </c>
      <c r="K59">
        <v>1958</v>
      </c>
      <c r="L59" s="2">
        <v>1.0251666666666599</v>
      </c>
      <c r="N59" s="2">
        <f t="shared" si="0"/>
        <v>1.0240277777777733</v>
      </c>
    </row>
    <row r="60" spans="4:14" x14ac:dyDescent="0.3">
      <c r="D60" t="s">
        <v>5</v>
      </c>
      <c r="E60">
        <v>1957</v>
      </c>
      <c r="F60" s="2">
        <v>1.00766666666666</v>
      </c>
      <c r="G60" t="s">
        <v>6</v>
      </c>
      <c r="H60">
        <v>1957</v>
      </c>
      <c r="I60" s="2">
        <v>1.02508333333333</v>
      </c>
      <c r="J60" t="s">
        <v>7</v>
      </c>
      <c r="K60">
        <v>1957</v>
      </c>
      <c r="L60" s="2">
        <v>1.0249999999999999</v>
      </c>
      <c r="N60" s="2">
        <f t="shared" si="0"/>
        <v>1.0192499999999967</v>
      </c>
    </row>
    <row r="61" spans="4:14" x14ac:dyDescent="0.3">
      <c r="D61" t="s">
        <v>5</v>
      </c>
      <c r="E61">
        <v>1956</v>
      </c>
      <c r="F61" s="2">
        <v>1.0425</v>
      </c>
      <c r="G61" t="s">
        <v>6</v>
      </c>
      <c r="H61">
        <v>1956</v>
      </c>
      <c r="I61" s="2">
        <v>1.05141666666666</v>
      </c>
      <c r="J61" t="s">
        <v>7</v>
      </c>
      <c r="K61">
        <v>1956</v>
      </c>
      <c r="L61" s="2">
        <v>1.04958333333333</v>
      </c>
      <c r="N61" s="2">
        <f t="shared" si="0"/>
        <v>1.0478333333333301</v>
      </c>
    </row>
    <row r="62" spans="4:14" x14ac:dyDescent="0.3">
      <c r="D62" t="s">
        <v>5</v>
      </c>
      <c r="E62">
        <v>1955</v>
      </c>
      <c r="F62" s="2">
        <v>1.0529999999999999</v>
      </c>
      <c r="G62" t="s">
        <v>6</v>
      </c>
      <c r="H62">
        <v>1955</v>
      </c>
      <c r="I62" s="2">
        <v>1.04158333333333</v>
      </c>
      <c r="J62" t="s">
        <v>7</v>
      </c>
      <c r="K62">
        <v>1955</v>
      </c>
      <c r="L62" s="2">
        <v>1.032</v>
      </c>
      <c r="N62" s="2">
        <f t="shared" si="0"/>
        <v>1.0421944444444433</v>
      </c>
    </row>
    <row r="63" spans="4:14" x14ac:dyDescent="0.3">
      <c r="D63" t="s">
        <v>5</v>
      </c>
      <c r="E63">
        <v>1954</v>
      </c>
      <c r="F63" s="2">
        <v>1.0568859638333299</v>
      </c>
      <c r="G63" t="s">
        <v>6</v>
      </c>
      <c r="H63">
        <v>1954</v>
      </c>
      <c r="I63" s="2">
        <v>1.0282499999999899</v>
      </c>
      <c r="J63" t="s">
        <v>7</v>
      </c>
      <c r="K63">
        <v>1954</v>
      </c>
      <c r="L63" s="2">
        <v>1.03291666666666</v>
      </c>
      <c r="N63" s="2">
        <f t="shared" si="0"/>
        <v>1.0393508768333266</v>
      </c>
    </row>
    <row r="64" spans="4:14" x14ac:dyDescent="0.3">
      <c r="G64" t="s">
        <v>6</v>
      </c>
      <c r="H64">
        <v>1953</v>
      </c>
      <c r="I64" s="2">
        <v>1.03633333333333</v>
      </c>
      <c r="J64" t="s">
        <v>7</v>
      </c>
      <c r="K64">
        <v>1953</v>
      </c>
      <c r="L64" s="2">
        <v>1.0175000000000001</v>
      </c>
      <c r="N64" s="2">
        <f t="shared" si="0"/>
        <v>1.0269166666666649</v>
      </c>
    </row>
    <row r="65" spans="7:14" x14ac:dyDescent="0.3">
      <c r="G65" t="s">
        <v>6</v>
      </c>
      <c r="H65">
        <v>1952</v>
      </c>
      <c r="I65" s="2">
        <v>1.0409166666666601</v>
      </c>
      <c r="J65" t="s">
        <v>7</v>
      </c>
      <c r="K65">
        <v>1952</v>
      </c>
      <c r="L65" s="2">
        <v>1.0302500000000001</v>
      </c>
      <c r="N65" s="2">
        <f t="shared" si="0"/>
        <v>1.0355833333333302</v>
      </c>
    </row>
    <row r="66" spans="7:14" x14ac:dyDescent="0.3">
      <c r="G66" t="s">
        <v>6</v>
      </c>
      <c r="H66">
        <v>1951</v>
      </c>
      <c r="I66" s="2">
        <v>1.0629166666666601</v>
      </c>
      <c r="J66" t="s">
        <v>7</v>
      </c>
      <c r="K66">
        <v>1951</v>
      </c>
      <c r="L66" s="2">
        <v>1.0385833333333301</v>
      </c>
      <c r="N66" s="2">
        <f t="shared" si="0"/>
        <v>1.050749999999995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0D66-8CE6-424E-B1F2-F32778C5AA83}">
  <dimension ref="A1:D36"/>
  <sheetViews>
    <sheetView tabSelected="1" topLeftCell="E25" workbookViewId="0">
      <selection activeCell="O46" sqref="O46"/>
    </sheetView>
  </sheetViews>
  <sheetFormatPr baseColWidth="10" defaultRowHeight="14.4" x14ac:dyDescent="0.3"/>
  <cols>
    <col min="3" max="3" width="6.5546875" customWidth="1"/>
  </cols>
  <sheetData>
    <row r="1" spans="1:4" x14ac:dyDescent="0.3">
      <c r="A1" t="s">
        <v>1</v>
      </c>
      <c r="B1" t="s">
        <v>9</v>
      </c>
      <c r="C1" t="s">
        <v>10</v>
      </c>
      <c r="D1" s="4">
        <f>AVERAGE(B2:B36)</f>
        <v>362.07249999999993</v>
      </c>
    </row>
    <row r="2" spans="1:4" x14ac:dyDescent="0.3">
      <c r="A2">
        <v>2015</v>
      </c>
      <c r="B2" s="3">
        <v>259.74166666666667</v>
      </c>
      <c r="C2" s="4">
        <f>STANDARDIZE(B2,D$1,D$2)</f>
        <v>-1.0404239729056239</v>
      </c>
      <c r="D2" s="4">
        <f>_xlfn.STDEV.S(B2:B36)</f>
        <v>98.354936062796398</v>
      </c>
    </row>
    <row r="3" spans="1:4" x14ac:dyDescent="0.3">
      <c r="A3">
        <v>2014</v>
      </c>
      <c r="B3" s="3">
        <v>326.30833333333334</v>
      </c>
      <c r="C3" s="4">
        <f t="shared" ref="C3:C36" si="0">STANDARDIZE(B3,D$1,D$2)</f>
        <v>-0.36362350582824182</v>
      </c>
    </row>
    <row r="4" spans="1:4" x14ac:dyDescent="0.3">
      <c r="A4">
        <v>2013</v>
      </c>
      <c r="B4" s="3">
        <v>294.05</v>
      </c>
      <c r="C4" s="4">
        <f t="shared" si="0"/>
        <v>-0.69160230002660761</v>
      </c>
    </row>
    <row r="5" spans="1:4" x14ac:dyDescent="0.3">
      <c r="A5">
        <v>2012</v>
      </c>
      <c r="B5" s="3">
        <v>356.47499999999997</v>
      </c>
      <c r="C5" s="4">
        <f t="shared" si="0"/>
        <v>-5.6911226056068485E-2</v>
      </c>
    </row>
    <row r="6" spans="1:4" x14ac:dyDescent="0.3">
      <c r="A6">
        <v>2011</v>
      </c>
      <c r="B6" s="3">
        <v>515.89166666666677</v>
      </c>
      <c r="C6" s="4">
        <f t="shared" si="0"/>
        <v>1.5639191363863867</v>
      </c>
    </row>
    <row r="7" spans="1:4" x14ac:dyDescent="0.3">
      <c r="A7">
        <v>2010</v>
      </c>
      <c r="B7" s="3">
        <v>465.34166666666653</v>
      </c>
      <c r="C7" s="4">
        <f t="shared" si="0"/>
        <v>1.0499642498952226</v>
      </c>
    </row>
    <row r="8" spans="1:4" x14ac:dyDescent="0.3">
      <c r="A8">
        <v>2009</v>
      </c>
      <c r="B8" s="3">
        <v>419.25833333333338</v>
      </c>
      <c r="C8" s="4">
        <f t="shared" si="0"/>
        <v>0.58142311532613034</v>
      </c>
    </row>
    <row r="9" spans="1:4" x14ac:dyDescent="0.3">
      <c r="A9">
        <v>2008</v>
      </c>
      <c r="B9" s="3">
        <v>560.5</v>
      </c>
      <c r="C9" s="4">
        <f t="shared" si="0"/>
        <v>2.0174635655633044</v>
      </c>
    </row>
    <row r="10" spans="1:4" x14ac:dyDescent="0.3">
      <c r="A10">
        <v>2007</v>
      </c>
      <c r="B10" s="3">
        <v>512.25833333333333</v>
      </c>
      <c r="C10" s="4">
        <f t="shared" si="0"/>
        <v>1.5269780993751516</v>
      </c>
    </row>
    <row r="11" spans="1:4" x14ac:dyDescent="0.3">
      <c r="A11">
        <v>2006</v>
      </c>
      <c r="B11" s="3">
        <v>482.4083333333333</v>
      </c>
      <c r="C11" s="4">
        <f t="shared" si="0"/>
        <v>1.2234854512690942</v>
      </c>
    </row>
    <row r="12" spans="1:4" x14ac:dyDescent="0.3">
      <c r="A12">
        <v>2005</v>
      </c>
      <c r="B12" s="3">
        <v>401.79999999999995</v>
      </c>
      <c r="C12" s="4">
        <f t="shared" si="0"/>
        <v>0.40391973794416697</v>
      </c>
    </row>
    <row r="13" spans="1:4" x14ac:dyDescent="0.3">
      <c r="A13">
        <v>2004</v>
      </c>
      <c r="B13" s="3">
        <v>370.78333333333336</v>
      </c>
      <c r="C13" s="4">
        <f t="shared" si="0"/>
        <v>8.8565288962943814E-2</v>
      </c>
    </row>
    <row r="14" spans="1:4" x14ac:dyDescent="0.3">
      <c r="A14">
        <v>2003</v>
      </c>
      <c r="B14" s="3">
        <v>366.98333333333335</v>
      </c>
      <c r="C14" s="4">
        <f t="shared" si="0"/>
        <v>4.9929708969542803E-2</v>
      </c>
    </row>
    <row r="15" spans="1:4" x14ac:dyDescent="0.3">
      <c r="A15">
        <v>2002</v>
      </c>
      <c r="B15" s="3">
        <v>361.55833333333334</v>
      </c>
      <c r="C15" s="4">
        <f t="shared" si="0"/>
        <v>-5.2276650999835781E-3</v>
      </c>
    </row>
    <row r="16" spans="1:4" x14ac:dyDescent="0.3">
      <c r="A16">
        <v>2001</v>
      </c>
      <c r="B16" s="3">
        <v>284.84999999999997</v>
      </c>
      <c r="C16" s="4">
        <f t="shared" si="0"/>
        <v>-0.78514107264221022</v>
      </c>
    </row>
    <row r="17" spans="1:3" x14ac:dyDescent="0.3">
      <c r="A17">
        <v>2000</v>
      </c>
      <c r="B17" s="3">
        <v>511.77500000000003</v>
      </c>
      <c r="C17" s="4">
        <f t="shared" si="0"/>
        <v>1.5220639247268686</v>
      </c>
    </row>
    <row r="18" spans="1:3" x14ac:dyDescent="0.3">
      <c r="A18">
        <v>1999</v>
      </c>
      <c r="B18" s="3">
        <v>537.83333333333337</v>
      </c>
      <c r="C18" s="4">
        <f t="shared" si="0"/>
        <v>1.7870057199886329</v>
      </c>
    </row>
    <row r="19" spans="1:3" x14ac:dyDescent="0.3">
      <c r="A19">
        <v>1998</v>
      </c>
      <c r="B19" s="3">
        <v>358.34166666666664</v>
      </c>
      <c r="C19" s="4">
        <f t="shared" si="0"/>
        <v>-3.7932344655801302E-2</v>
      </c>
    </row>
    <row r="20" spans="1:3" x14ac:dyDescent="0.3">
      <c r="A20">
        <v>1997</v>
      </c>
      <c r="B20" s="3">
        <v>214.61666666666665</v>
      </c>
      <c r="C20" s="4">
        <f t="shared" si="0"/>
        <v>-1.4992214853272599</v>
      </c>
    </row>
    <row r="21" spans="1:3" x14ac:dyDescent="0.3">
      <c r="A21">
        <v>1996</v>
      </c>
      <c r="B21" s="3">
        <v>407.42499999999995</v>
      </c>
      <c r="C21" s="4">
        <f t="shared" si="0"/>
        <v>0.4611105635922933</v>
      </c>
    </row>
    <row r="22" spans="1:3" x14ac:dyDescent="0.3">
      <c r="A22">
        <v>1995</v>
      </c>
      <c r="B22" s="3">
        <v>391.52500000000003</v>
      </c>
      <c r="C22" s="4">
        <f t="shared" si="0"/>
        <v>0.29945116309359038</v>
      </c>
    </row>
    <row r="23" spans="1:3" x14ac:dyDescent="0.3">
      <c r="A23">
        <v>1994</v>
      </c>
      <c r="B23" s="3">
        <v>384.99999999999994</v>
      </c>
      <c r="C23" s="4">
        <f t="shared" si="0"/>
        <v>0.23310980534176295</v>
      </c>
    </row>
    <row r="24" spans="1:3" x14ac:dyDescent="0.3">
      <c r="A24">
        <v>1993</v>
      </c>
      <c r="B24" s="3">
        <v>324.16666666666669</v>
      </c>
      <c r="C24" s="4">
        <f t="shared" si="0"/>
        <v>-0.38539838314908381</v>
      </c>
    </row>
    <row r="25" spans="1:3" x14ac:dyDescent="0.3">
      <c r="A25">
        <v>1992</v>
      </c>
      <c r="B25" s="3">
        <v>248.8416666666667</v>
      </c>
      <c r="C25" s="4">
        <f t="shared" si="0"/>
        <v>-1.1512470839393263</v>
      </c>
    </row>
    <row r="26" spans="1:3" x14ac:dyDescent="0.3">
      <c r="A26">
        <v>1991</v>
      </c>
      <c r="B26" s="3">
        <v>242.79999999999998</v>
      </c>
      <c r="C26" s="4">
        <f t="shared" si="0"/>
        <v>-1.2126742670428698</v>
      </c>
    </row>
    <row r="27" spans="1:3" x14ac:dyDescent="0.3">
      <c r="A27">
        <v>1990</v>
      </c>
      <c r="B27" s="3">
        <v>316.10833333333335</v>
      </c>
      <c r="C27" s="4">
        <f t="shared" si="0"/>
        <v>-0.4673295363368441</v>
      </c>
    </row>
    <row r="28" spans="1:3" x14ac:dyDescent="0.3">
      <c r="A28">
        <v>1989</v>
      </c>
      <c r="B28" s="3">
        <v>369.30833333333334</v>
      </c>
      <c r="C28" s="4">
        <f t="shared" si="0"/>
        <v>7.3568583570768231E-2</v>
      </c>
    </row>
    <row r="29" spans="1:3" x14ac:dyDescent="0.3">
      <c r="A29">
        <v>1988</v>
      </c>
      <c r="B29" s="3">
        <v>437.18333333333334</v>
      </c>
      <c r="C29" s="4">
        <f t="shared" si="0"/>
        <v>0.7636712130581591</v>
      </c>
    </row>
    <row r="30" spans="1:3" x14ac:dyDescent="0.3">
      <c r="A30">
        <v>1987</v>
      </c>
      <c r="B30" s="3">
        <v>312.54166666666669</v>
      </c>
      <c r="C30" s="4">
        <f t="shared" si="0"/>
        <v>-0.5035927561552116</v>
      </c>
    </row>
    <row r="31" spans="1:3" x14ac:dyDescent="0.3">
      <c r="A31">
        <v>1986</v>
      </c>
      <c r="B31" s="3">
        <v>317.27500000000003</v>
      </c>
      <c r="C31" s="4">
        <f t="shared" si="0"/>
        <v>-0.45546773546167696</v>
      </c>
    </row>
    <row r="32" spans="1:3" x14ac:dyDescent="0.3">
      <c r="A32">
        <v>1985</v>
      </c>
      <c r="B32" s="3">
        <v>304.03333333333336</v>
      </c>
      <c r="C32" s="4">
        <f t="shared" si="0"/>
        <v>-0.59009917539482182</v>
      </c>
    </row>
    <row r="33" spans="1:3" x14ac:dyDescent="0.3">
      <c r="A33">
        <v>1984</v>
      </c>
      <c r="B33" s="3">
        <v>362.58333333333331</v>
      </c>
      <c r="C33" s="4">
        <f t="shared" si="0"/>
        <v>5.1937742403414307E-3</v>
      </c>
    </row>
    <row r="34" spans="1:3" x14ac:dyDescent="0.3">
      <c r="A34">
        <v>1983</v>
      </c>
      <c r="B34" s="3">
        <v>157.01666666666668</v>
      </c>
      <c r="C34" s="4">
        <f t="shared" si="0"/>
        <v>-2.0848555399640731</v>
      </c>
    </row>
    <row r="35" spans="1:3" x14ac:dyDescent="0.3">
      <c r="A35">
        <v>1982</v>
      </c>
      <c r="B35" s="3">
        <v>239.70833333333334</v>
      </c>
      <c r="C35" s="4">
        <f t="shared" si="0"/>
        <v>-1.244108039362062</v>
      </c>
    </row>
    <row r="36" spans="1:3" x14ac:dyDescent="0.3">
      <c r="A36">
        <v>1981</v>
      </c>
      <c r="B36" s="3">
        <v>256.24583333333334</v>
      </c>
      <c r="C36" s="4">
        <f t="shared" si="0"/>
        <v>-1.0759670119565707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indexed</vt:lpstr>
      <vt:lpstr>columns</vt:lpstr>
      <vt:lpstr>waterflow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2021-04-17T23:07:58Z</dcterms:created>
  <dcterms:modified xsi:type="dcterms:W3CDTF">2025-11-21T16:47:46Z</dcterms:modified>
</cp:coreProperties>
</file>