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"/>
    </mc:Choice>
  </mc:AlternateContent>
  <xr:revisionPtr revIDLastSave="0" documentId="13_ncr:1_{8447E072-35F4-4B1B-8222-103E74AB7B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amar completo" sheetId="1" r:id="rId1"/>
    <sheet name="Caudales" sheetId="2" r:id="rId2"/>
    <sheet name="Nivel" sheetId="3" r:id="rId3"/>
    <sheet name="Transporte" sheetId="4" r:id="rId4"/>
    <sheet name="Precipitacion" sheetId="5" r:id="rId5"/>
  </sheets>
  <externalReferences>
    <externalReference r:id="rId6"/>
  </externalReferences>
  <definedNames>
    <definedName name="_xlnm._FilterDatabase" localSheetId="1" hidden="1">Caudales!$B$6:$H$6</definedName>
    <definedName name="_xlnm._FilterDatabase" localSheetId="2" hidden="1">Nivel!$G$3:$K$3</definedName>
    <definedName name="_xlnm._FilterDatabase" localSheetId="4" hidden="1">Precipitacion!$A$7:$F$811</definedName>
    <definedName name="_xlnm._FilterDatabase" localSheetId="3" hidden="1">Transporte!$B$4:$F$4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  <c r="F4" i="5"/>
  <c r="I5" i="4" l="1"/>
  <c r="O17" i="1" l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14" i="1"/>
  <c r="O15" i="1"/>
  <c r="O16" i="1"/>
  <c r="O13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55" i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5" i="4"/>
  <c r="O8" i="2"/>
  <c r="F5" i="5" l="1"/>
  <c r="M74" i="5"/>
  <c r="M73" i="5"/>
  <c r="M61" i="5"/>
  <c r="M62" i="5"/>
  <c r="M63" i="5"/>
  <c r="M64" i="5"/>
  <c r="M65" i="5"/>
  <c r="M66" i="5"/>
  <c r="M67" i="5"/>
  <c r="M68" i="5"/>
  <c r="M60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44" i="5"/>
  <c r="M35" i="5"/>
  <c r="M36" i="5"/>
  <c r="M37" i="5"/>
  <c r="M38" i="5"/>
  <c r="M39" i="5"/>
  <c r="M40" i="5"/>
  <c r="M34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8" i="5"/>
  <c r="J9" i="5" a="1"/>
  <c r="J9" i="5" s="1"/>
  <c r="F210" i="5" s="1"/>
  <c r="J10" i="5" a="1"/>
  <c r="J10" i="5" s="1"/>
  <c r="J11" i="5" a="1"/>
  <c r="J11" i="5" s="1"/>
  <c r="J12" i="5" a="1"/>
  <c r="J12" i="5" s="1"/>
  <c r="J13" i="5" a="1"/>
  <c r="J13" i="5" s="1"/>
  <c r="J14" i="5" a="1"/>
  <c r="J14" i="5" s="1"/>
  <c r="J15" i="5" a="1"/>
  <c r="J15" i="5" s="1"/>
  <c r="J16" i="5" a="1"/>
  <c r="J16" i="5" s="1"/>
  <c r="J17" i="5" a="1"/>
  <c r="J17" i="5" s="1"/>
  <c r="J18" i="5" a="1"/>
  <c r="J18" i="5" s="1"/>
  <c r="J19" i="5" a="1"/>
  <c r="J19" i="5" s="1"/>
  <c r="J8" i="5" a="1"/>
  <c r="J8" i="5" s="1"/>
  <c r="I10" i="5"/>
  <c r="I11" i="5"/>
  <c r="I12" i="5"/>
  <c r="I13" i="5"/>
  <c r="I14" i="5"/>
  <c r="I15" i="5"/>
  <c r="I16" i="5"/>
  <c r="I17" i="5"/>
  <c r="I18" i="5"/>
  <c r="I19" i="5"/>
  <c r="I8" i="5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8" i="2" a="1"/>
  <c r="L8" i="2" s="1"/>
  <c r="F5" i="2"/>
  <c r="F4" i="2"/>
  <c r="K19" i="2"/>
  <c r="K9" i="2"/>
  <c r="K10" i="2"/>
  <c r="K11" i="2"/>
  <c r="K12" i="2"/>
  <c r="K13" i="2"/>
  <c r="K14" i="2"/>
  <c r="K15" i="2"/>
  <c r="K16" i="2"/>
  <c r="K17" i="2"/>
  <c r="K18" i="2"/>
  <c r="K8" i="2"/>
  <c r="E8" i="5" l="1"/>
  <c r="E11" i="5"/>
  <c r="E18" i="5"/>
  <c r="E14" i="5"/>
  <c r="E17" i="5"/>
  <c r="E13" i="5"/>
  <c r="E9" i="5"/>
  <c r="E45" i="5"/>
  <c r="E19" i="5"/>
  <c r="E15" i="5"/>
  <c r="E10" i="5"/>
  <c r="E16" i="5"/>
  <c r="E12" i="5"/>
  <c r="M6" i="5"/>
  <c r="M5" i="5"/>
  <c r="N8" i="5" s="1"/>
  <c r="O5" i="2"/>
  <c r="G8" i="2"/>
  <c r="L179" i="3"/>
  <c r="L195" i="3"/>
  <c r="L211" i="3"/>
  <c r="L388" i="3"/>
  <c r="L396" i="3"/>
  <c r="L404" i="3"/>
  <c r="L515" i="3"/>
  <c r="L519" i="3"/>
  <c r="L523" i="3"/>
  <c r="J2" i="3"/>
  <c r="L131" i="3" s="1"/>
  <c r="J1" i="3"/>
  <c r="L83" i="3" s="1"/>
  <c r="P5" i="3" a="1"/>
  <c r="P5" i="3" s="1"/>
  <c r="P6" i="3" a="1"/>
  <c r="P6" i="3" s="1"/>
  <c r="P7" i="3" a="1"/>
  <c r="P7" i="3" s="1"/>
  <c r="P8" i="3" a="1"/>
  <c r="P8" i="3" s="1"/>
  <c r="P9" i="3" a="1"/>
  <c r="P9" i="3" s="1"/>
  <c r="P10" i="3" a="1"/>
  <c r="P10" i="3" s="1"/>
  <c r="P11" i="3" a="1"/>
  <c r="P11" i="3" s="1"/>
  <c r="P12" i="3" a="1"/>
  <c r="P12" i="3" s="1"/>
  <c r="P13" i="3" a="1"/>
  <c r="P13" i="3" s="1"/>
  <c r="P14" i="3" a="1"/>
  <c r="P14" i="3" s="1"/>
  <c r="P15" i="3" a="1"/>
  <c r="P15" i="3" s="1"/>
  <c r="P4" i="3" a="1"/>
  <c r="P4" i="3" s="1"/>
  <c r="O5" i="3"/>
  <c r="O6" i="3"/>
  <c r="O7" i="3"/>
  <c r="O8" i="3"/>
  <c r="O9" i="3"/>
  <c r="K82" i="3" s="1"/>
  <c r="O10" i="3"/>
  <c r="O11" i="3"/>
  <c r="O12" i="3"/>
  <c r="O13" i="3"/>
  <c r="O14" i="3"/>
  <c r="O15" i="3"/>
  <c r="O4" i="3"/>
  <c r="K27" i="3" s="1"/>
  <c r="E2" i="3"/>
  <c r="E36" i="3" s="1"/>
  <c r="E1" i="3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5" i="4" a="1"/>
  <c r="J5" i="4" s="1"/>
  <c r="I6" i="4"/>
  <c r="Q39" i="4" s="1"/>
  <c r="I7" i="4"/>
  <c r="I8" i="4"/>
  <c r="Q61" i="4" s="1"/>
  <c r="I9" i="4"/>
  <c r="Q144" i="4" s="1"/>
  <c r="I10" i="4"/>
  <c r="I11" i="4"/>
  <c r="I12" i="4"/>
  <c r="I13" i="4"/>
  <c r="I14" i="4"/>
  <c r="I15" i="4"/>
  <c r="I16" i="4"/>
  <c r="O3" i="4"/>
  <c r="O2" i="4"/>
  <c r="F714" i="5"/>
  <c r="F605" i="5"/>
  <c r="F685" i="5"/>
  <c r="C3" i="4"/>
  <c r="C2" i="4"/>
  <c r="L527" i="3" l="1"/>
  <c r="L412" i="3"/>
  <c r="L227" i="3"/>
  <c r="L508" i="3"/>
  <c r="L380" i="3"/>
  <c r="L163" i="3"/>
  <c r="K222" i="3"/>
  <c r="L500" i="3"/>
  <c r="L372" i="3"/>
  <c r="L147" i="3"/>
  <c r="K19" i="3"/>
  <c r="L492" i="3"/>
  <c r="L364" i="3"/>
  <c r="K200" i="3"/>
  <c r="L484" i="3"/>
  <c r="L356" i="3"/>
  <c r="L115" i="3"/>
  <c r="L476" i="3"/>
  <c r="L348" i="3"/>
  <c r="L99" i="3"/>
  <c r="L468" i="3"/>
  <c r="L339" i="3"/>
  <c r="P5" i="4"/>
  <c r="P7" i="4"/>
  <c r="Q5" i="4"/>
  <c r="Q66" i="4"/>
  <c r="K83" i="3"/>
  <c r="L4" i="3"/>
  <c r="L460" i="3"/>
  <c r="L323" i="3"/>
  <c r="L67" i="3"/>
  <c r="K60" i="3"/>
  <c r="L452" i="3"/>
  <c r="L307" i="3"/>
  <c r="L51" i="3"/>
  <c r="K49" i="3"/>
  <c r="L543" i="3"/>
  <c r="L444" i="3"/>
  <c r="L291" i="3"/>
  <c r="L35" i="3"/>
  <c r="Q79" i="4"/>
  <c r="K38" i="3"/>
  <c r="L539" i="3"/>
  <c r="L436" i="3"/>
  <c r="L275" i="3"/>
  <c r="L19" i="3"/>
  <c r="L535" i="3"/>
  <c r="L428" i="3"/>
  <c r="L259" i="3"/>
  <c r="Q131" i="4"/>
  <c r="L531" i="3"/>
  <c r="L420" i="3"/>
  <c r="L243" i="3"/>
  <c r="F7" i="4"/>
  <c r="F30" i="4"/>
  <c r="N12" i="5"/>
  <c r="N16" i="5"/>
  <c r="N20" i="5"/>
  <c r="N24" i="5"/>
  <c r="N28" i="5"/>
  <c r="N35" i="5"/>
  <c r="N39" i="5"/>
  <c r="N46" i="5"/>
  <c r="N50" i="5"/>
  <c r="N54" i="5"/>
  <c r="N58" i="5"/>
  <c r="N63" i="5"/>
  <c r="N67" i="5"/>
  <c r="N10" i="5"/>
  <c r="N18" i="5"/>
  <c r="N26" i="5"/>
  <c r="N37" i="5"/>
  <c r="N48" i="5"/>
  <c r="N56" i="5"/>
  <c r="N65" i="5"/>
  <c r="N15" i="5"/>
  <c r="N19" i="5"/>
  <c r="N27" i="5"/>
  <c r="N38" i="5"/>
  <c r="N49" i="5"/>
  <c r="N57" i="5"/>
  <c r="N66" i="5"/>
  <c r="N9" i="5"/>
  <c r="N13" i="5"/>
  <c r="N17" i="5"/>
  <c r="N21" i="5"/>
  <c r="N25" i="5"/>
  <c r="N29" i="5"/>
  <c r="N36" i="5"/>
  <c r="N40" i="5"/>
  <c r="N47" i="5"/>
  <c r="N51" i="5"/>
  <c r="N55" i="5"/>
  <c r="N60" i="5"/>
  <c r="N64" i="5"/>
  <c r="N68" i="5"/>
  <c r="N14" i="5"/>
  <c r="N22" i="5"/>
  <c r="N30" i="5"/>
  <c r="N44" i="5"/>
  <c r="N52" i="5"/>
  <c r="N61" i="5"/>
  <c r="N73" i="5"/>
  <c r="N11" i="5"/>
  <c r="N23" i="5"/>
  <c r="N34" i="5"/>
  <c r="N45" i="5"/>
  <c r="N53" i="5"/>
  <c r="N62" i="5"/>
  <c r="N74" i="5"/>
  <c r="L8" i="3"/>
  <c r="L12" i="3"/>
  <c r="L16" i="3"/>
  <c r="L20" i="3"/>
  <c r="L24" i="3"/>
  <c r="L28" i="3"/>
  <c r="L32" i="3"/>
  <c r="L36" i="3"/>
  <c r="L40" i="3"/>
  <c r="L44" i="3"/>
  <c r="L48" i="3"/>
  <c r="L52" i="3"/>
  <c r="L56" i="3"/>
  <c r="L60" i="3"/>
  <c r="L64" i="3"/>
  <c r="L68" i="3"/>
  <c r="L72" i="3"/>
  <c r="L76" i="3"/>
  <c r="L80" i="3"/>
  <c r="L84" i="3"/>
  <c r="L88" i="3"/>
  <c r="L92" i="3"/>
  <c r="L96" i="3"/>
  <c r="L100" i="3"/>
  <c r="L104" i="3"/>
  <c r="L108" i="3"/>
  <c r="L112" i="3"/>
  <c r="L116" i="3"/>
  <c r="L120" i="3"/>
  <c r="L124" i="3"/>
  <c r="L128" i="3"/>
  <c r="L132" i="3"/>
  <c r="L136" i="3"/>
  <c r="L140" i="3"/>
  <c r="L144" i="3"/>
  <c r="L148" i="3"/>
  <c r="L152" i="3"/>
  <c r="L156" i="3"/>
  <c r="L160" i="3"/>
  <c r="L164" i="3"/>
  <c r="L168" i="3"/>
  <c r="L172" i="3"/>
  <c r="L176" i="3"/>
  <c r="L180" i="3"/>
  <c r="L184" i="3"/>
  <c r="L188" i="3"/>
  <c r="L192" i="3"/>
  <c r="L196" i="3"/>
  <c r="L200" i="3"/>
  <c r="L204" i="3"/>
  <c r="L208" i="3"/>
  <c r="L212" i="3"/>
  <c r="L216" i="3"/>
  <c r="L220" i="3"/>
  <c r="L224" i="3"/>
  <c r="L228" i="3"/>
  <c r="L232" i="3"/>
  <c r="L236" i="3"/>
  <c r="L240" i="3"/>
  <c r="L244" i="3"/>
  <c r="L248" i="3"/>
  <c r="L252" i="3"/>
  <c r="L256" i="3"/>
  <c r="L260" i="3"/>
  <c r="L264" i="3"/>
  <c r="L268" i="3"/>
  <c r="L272" i="3"/>
  <c r="L276" i="3"/>
  <c r="L280" i="3"/>
  <c r="L284" i="3"/>
  <c r="L288" i="3"/>
  <c r="L292" i="3"/>
  <c r="L296" i="3"/>
  <c r="L300" i="3"/>
  <c r="L304" i="3"/>
  <c r="L308" i="3"/>
  <c r="L312" i="3"/>
  <c r="L316" i="3"/>
  <c r="L320" i="3"/>
  <c r="L324" i="3"/>
  <c r="L328" i="3"/>
  <c r="L332" i="3"/>
  <c r="L336" i="3"/>
  <c r="L340" i="3"/>
  <c r="L5" i="3"/>
  <c r="L9" i="3"/>
  <c r="L13" i="3"/>
  <c r="L17" i="3"/>
  <c r="L21" i="3"/>
  <c r="L25" i="3"/>
  <c r="L29" i="3"/>
  <c r="L33" i="3"/>
  <c r="L37" i="3"/>
  <c r="L41" i="3"/>
  <c r="L45" i="3"/>
  <c r="L49" i="3"/>
  <c r="L53" i="3"/>
  <c r="L57" i="3"/>
  <c r="L61" i="3"/>
  <c r="L65" i="3"/>
  <c r="L69" i="3"/>
  <c r="L73" i="3"/>
  <c r="L77" i="3"/>
  <c r="L81" i="3"/>
  <c r="L85" i="3"/>
  <c r="L89" i="3"/>
  <c r="L93" i="3"/>
  <c r="L97" i="3"/>
  <c r="L101" i="3"/>
  <c r="L105" i="3"/>
  <c r="L109" i="3"/>
  <c r="L113" i="3"/>
  <c r="L117" i="3"/>
  <c r="L121" i="3"/>
  <c r="L125" i="3"/>
  <c r="L129" i="3"/>
  <c r="L133" i="3"/>
  <c r="L137" i="3"/>
  <c r="L141" i="3"/>
  <c r="L145" i="3"/>
  <c r="L149" i="3"/>
  <c r="L153" i="3"/>
  <c r="L157" i="3"/>
  <c r="L161" i="3"/>
  <c r="L165" i="3"/>
  <c r="L169" i="3"/>
  <c r="L173" i="3"/>
  <c r="L177" i="3"/>
  <c r="L181" i="3"/>
  <c r="L185" i="3"/>
  <c r="L189" i="3"/>
  <c r="L193" i="3"/>
  <c r="L197" i="3"/>
  <c r="L201" i="3"/>
  <c r="L205" i="3"/>
  <c r="L209" i="3"/>
  <c r="L213" i="3"/>
  <c r="L217" i="3"/>
  <c r="L221" i="3"/>
  <c r="L225" i="3"/>
  <c r="L229" i="3"/>
  <c r="L233" i="3"/>
  <c r="L237" i="3"/>
  <c r="L241" i="3"/>
  <c r="L245" i="3"/>
  <c r="L249" i="3"/>
  <c r="L253" i="3"/>
  <c r="L257" i="3"/>
  <c r="L261" i="3"/>
  <c r="L265" i="3"/>
  <c r="L269" i="3"/>
  <c r="L273" i="3"/>
  <c r="L277" i="3"/>
  <c r="L281" i="3"/>
  <c r="L285" i="3"/>
  <c r="L289" i="3"/>
  <c r="L293" i="3"/>
  <c r="L297" i="3"/>
  <c r="L301" i="3"/>
  <c r="L305" i="3"/>
  <c r="L309" i="3"/>
  <c r="L313" i="3"/>
  <c r="L317" i="3"/>
  <c r="L321" i="3"/>
  <c r="L325" i="3"/>
  <c r="L329" i="3"/>
  <c r="L333" i="3"/>
  <c r="L337" i="3"/>
  <c r="L6" i="3"/>
  <c r="L14" i="3"/>
  <c r="L22" i="3"/>
  <c r="L30" i="3"/>
  <c r="L38" i="3"/>
  <c r="L46" i="3"/>
  <c r="L54" i="3"/>
  <c r="L62" i="3"/>
  <c r="L70" i="3"/>
  <c r="L78" i="3"/>
  <c r="L86" i="3"/>
  <c r="L94" i="3"/>
  <c r="L102" i="3"/>
  <c r="L110" i="3"/>
  <c r="L118" i="3"/>
  <c r="L126" i="3"/>
  <c r="L134" i="3"/>
  <c r="L142" i="3"/>
  <c r="L150" i="3"/>
  <c r="L158" i="3"/>
  <c r="L166" i="3"/>
  <c r="L174" i="3"/>
  <c r="L182" i="3"/>
  <c r="L190" i="3"/>
  <c r="L198" i="3"/>
  <c r="L206" i="3"/>
  <c r="L214" i="3"/>
  <c r="L222" i="3"/>
  <c r="L230" i="3"/>
  <c r="L238" i="3"/>
  <c r="L246" i="3"/>
  <c r="L254" i="3"/>
  <c r="L262" i="3"/>
  <c r="L270" i="3"/>
  <c r="L278" i="3"/>
  <c r="L286" i="3"/>
  <c r="L294" i="3"/>
  <c r="L302" i="3"/>
  <c r="L310" i="3"/>
  <c r="L318" i="3"/>
  <c r="L326" i="3"/>
  <c r="L334" i="3"/>
  <c r="L341" i="3"/>
  <c r="L345" i="3"/>
  <c r="L349" i="3"/>
  <c r="L353" i="3"/>
  <c r="L357" i="3"/>
  <c r="L361" i="3"/>
  <c r="L365" i="3"/>
  <c r="L369" i="3"/>
  <c r="L373" i="3"/>
  <c r="L377" i="3"/>
  <c r="L381" i="3"/>
  <c r="L385" i="3"/>
  <c r="L389" i="3"/>
  <c r="L393" i="3"/>
  <c r="L397" i="3"/>
  <c r="L401" i="3"/>
  <c r="L405" i="3"/>
  <c r="L409" i="3"/>
  <c r="L413" i="3"/>
  <c r="L417" i="3"/>
  <c r="L421" i="3"/>
  <c r="L425" i="3"/>
  <c r="L429" i="3"/>
  <c r="L433" i="3"/>
  <c r="L437" i="3"/>
  <c r="L441" i="3"/>
  <c r="L445" i="3"/>
  <c r="L449" i="3"/>
  <c r="L453" i="3"/>
  <c r="L457" i="3"/>
  <c r="L461" i="3"/>
  <c r="L465" i="3"/>
  <c r="L469" i="3"/>
  <c r="L473" i="3"/>
  <c r="L477" i="3"/>
  <c r="L481" i="3"/>
  <c r="L485" i="3"/>
  <c r="L489" i="3"/>
  <c r="L493" i="3"/>
  <c r="L497" i="3"/>
  <c r="L501" i="3"/>
  <c r="L505" i="3"/>
  <c r="L509" i="3"/>
  <c r="L513" i="3"/>
  <c r="L7" i="3"/>
  <c r="L15" i="3"/>
  <c r="L23" i="3"/>
  <c r="L31" i="3"/>
  <c r="L39" i="3"/>
  <c r="L47" i="3"/>
  <c r="L55" i="3"/>
  <c r="L63" i="3"/>
  <c r="L71" i="3"/>
  <c r="L79" i="3"/>
  <c r="L87" i="3"/>
  <c r="L95" i="3"/>
  <c r="L103" i="3"/>
  <c r="L111" i="3"/>
  <c r="L119" i="3"/>
  <c r="L127" i="3"/>
  <c r="L135" i="3"/>
  <c r="L143" i="3"/>
  <c r="L151" i="3"/>
  <c r="L159" i="3"/>
  <c r="L167" i="3"/>
  <c r="L175" i="3"/>
  <c r="L183" i="3"/>
  <c r="L191" i="3"/>
  <c r="L199" i="3"/>
  <c r="L207" i="3"/>
  <c r="L215" i="3"/>
  <c r="L223" i="3"/>
  <c r="L231" i="3"/>
  <c r="L239" i="3"/>
  <c r="L247" i="3"/>
  <c r="L255" i="3"/>
  <c r="L263" i="3"/>
  <c r="L271" i="3"/>
  <c r="L279" i="3"/>
  <c r="L287" i="3"/>
  <c r="L295" i="3"/>
  <c r="L303" i="3"/>
  <c r="L311" i="3"/>
  <c r="L319" i="3"/>
  <c r="L327" i="3"/>
  <c r="L335" i="3"/>
  <c r="L342" i="3"/>
  <c r="L346" i="3"/>
  <c r="L350" i="3"/>
  <c r="L354" i="3"/>
  <c r="L358" i="3"/>
  <c r="L362" i="3"/>
  <c r="L366" i="3"/>
  <c r="L370" i="3"/>
  <c r="L374" i="3"/>
  <c r="L378" i="3"/>
  <c r="L382" i="3"/>
  <c r="L386" i="3"/>
  <c r="L390" i="3"/>
  <c r="L394" i="3"/>
  <c r="L398" i="3"/>
  <c r="L402" i="3"/>
  <c r="L406" i="3"/>
  <c r="L410" i="3"/>
  <c r="L414" i="3"/>
  <c r="L418" i="3"/>
  <c r="L422" i="3"/>
  <c r="L426" i="3"/>
  <c r="L430" i="3"/>
  <c r="L434" i="3"/>
  <c r="L438" i="3"/>
  <c r="L442" i="3"/>
  <c r="L446" i="3"/>
  <c r="L450" i="3"/>
  <c r="L454" i="3"/>
  <c r="L458" i="3"/>
  <c r="L462" i="3"/>
  <c r="L466" i="3"/>
  <c r="L470" i="3"/>
  <c r="L474" i="3"/>
  <c r="L478" i="3"/>
  <c r="L482" i="3"/>
  <c r="L486" i="3"/>
  <c r="L490" i="3"/>
  <c r="L494" i="3"/>
  <c r="L498" i="3"/>
  <c r="L502" i="3"/>
  <c r="L506" i="3"/>
  <c r="L510" i="3"/>
  <c r="L542" i="3"/>
  <c r="L538" i="3"/>
  <c r="L534" i="3"/>
  <c r="L530" i="3"/>
  <c r="L526" i="3"/>
  <c r="L522" i="3"/>
  <c r="L518" i="3"/>
  <c r="L514" i="3"/>
  <c r="L507" i="3"/>
  <c r="L499" i="3"/>
  <c r="L491" i="3"/>
  <c r="L483" i="3"/>
  <c r="L475" i="3"/>
  <c r="L467" i="3"/>
  <c r="L459" i="3"/>
  <c r="L451" i="3"/>
  <c r="L443" i="3"/>
  <c r="L435" i="3"/>
  <c r="L427" i="3"/>
  <c r="L419" i="3"/>
  <c r="L411" i="3"/>
  <c r="L403" i="3"/>
  <c r="L395" i="3"/>
  <c r="L387" i="3"/>
  <c r="L379" i="3"/>
  <c r="L371" i="3"/>
  <c r="L363" i="3"/>
  <c r="L355" i="3"/>
  <c r="L347" i="3"/>
  <c r="L338" i="3"/>
  <c r="L322" i="3"/>
  <c r="L306" i="3"/>
  <c r="L290" i="3"/>
  <c r="L274" i="3"/>
  <c r="L258" i="3"/>
  <c r="L242" i="3"/>
  <c r="L226" i="3"/>
  <c r="L210" i="3"/>
  <c r="L194" i="3"/>
  <c r="L178" i="3"/>
  <c r="L162" i="3"/>
  <c r="L146" i="3"/>
  <c r="L130" i="3"/>
  <c r="L114" i="3"/>
  <c r="L98" i="3"/>
  <c r="L82" i="3"/>
  <c r="L66" i="3"/>
  <c r="L50" i="3"/>
  <c r="L34" i="3"/>
  <c r="L18" i="3"/>
  <c r="L541" i="3"/>
  <c r="L537" i="3"/>
  <c r="L533" i="3"/>
  <c r="L529" i="3"/>
  <c r="L525" i="3"/>
  <c r="L521" i="3"/>
  <c r="L517" i="3"/>
  <c r="L512" i="3"/>
  <c r="L504" i="3"/>
  <c r="L496" i="3"/>
  <c r="L488" i="3"/>
  <c r="L480" i="3"/>
  <c r="L472" i="3"/>
  <c r="L464" i="3"/>
  <c r="L456" i="3"/>
  <c r="L448" i="3"/>
  <c r="L440" i="3"/>
  <c r="L432" i="3"/>
  <c r="L424" i="3"/>
  <c r="L416" i="3"/>
  <c r="L408" i="3"/>
  <c r="L400" i="3"/>
  <c r="L392" i="3"/>
  <c r="L384" i="3"/>
  <c r="L376" i="3"/>
  <c r="L368" i="3"/>
  <c r="L360" i="3"/>
  <c r="L352" i="3"/>
  <c r="L344" i="3"/>
  <c r="L331" i="3"/>
  <c r="L315" i="3"/>
  <c r="L299" i="3"/>
  <c r="L283" i="3"/>
  <c r="L267" i="3"/>
  <c r="L251" i="3"/>
  <c r="L235" i="3"/>
  <c r="L219" i="3"/>
  <c r="L203" i="3"/>
  <c r="L187" i="3"/>
  <c r="L171" i="3"/>
  <c r="L155" i="3"/>
  <c r="L139" i="3"/>
  <c r="L123" i="3"/>
  <c r="L107" i="3"/>
  <c r="L91" i="3"/>
  <c r="L75" i="3"/>
  <c r="L59" i="3"/>
  <c r="L43" i="3"/>
  <c r="L27" i="3"/>
  <c r="L11" i="3"/>
  <c r="L540" i="3"/>
  <c r="L536" i="3"/>
  <c r="L532" i="3"/>
  <c r="L528" i="3"/>
  <c r="L524" i="3"/>
  <c r="L520" i="3"/>
  <c r="L516" i="3"/>
  <c r="L511" i="3"/>
  <c r="L503" i="3"/>
  <c r="L495" i="3"/>
  <c r="L487" i="3"/>
  <c r="L479" i="3"/>
  <c r="L471" i="3"/>
  <c r="L463" i="3"/>
  <c r="L455" i="3"/>
  <c r="L447" i="3"/>
  <c r="L439" i="3"/>
  <c r="L431" i="3"/>
  <c r="L423" i="3"/>
  <c r="L415" i="3"/>
  <c r="L407" i="3"/>
  <c r="L399" i="3"/>
  <c r="L391" i="3"/>
  <c r="L383" i="3"/>
  <c r="L375" i="3"/>
  <c r="L367" i="3"/>
  <c r="L359" i="3"/>
  <c r="L351" i="3"/>
  <c r="L343" i="3"/>
  <c r="L330" i="3"/>
  <c r="L314" i="3"/>
  <c r="L298" i="3"/>
  <c r="L282" i="3"/>
  <c r="L266" i="3"/>
  <c r="L250" i="3"/>
  <c r="L234" i="3"/>
  <c r="L218" i="3"/>
  <c r="L202" i="3"/>
  <c r="L186" i="3"/>
  <c r="L170" i="3"/>
  <c r="L154" i="3"/>
  <c r="L138" i="3"/>
  <c r="L122" i="3"/>
  <c r="L106" i="3"/>
  <c r="L90" i="3"/>
  <c r="L74" i="3"/>
  <c r="L58" i="3"/>
  <c r="L42" i="3"/>
  <c r="L26" i="3"/>
  <c r="L10" i="3"/>
  <c r="K53" i="3"/>
  <c r="K101" i="3"/>
  <c r="K149" i="3"/>
  <c r="K197" i="3"/>
  <c r="K245" i="3"/>
  <c r="K293" i="3"/>
  <c r="K341" i="3"/>
  <c r="K389" i="3"/>
  <c r="K437" i="3"/>
  <c r="K485" i="3"/>
  <c r="K533" i="3"/>
  <c r="K17" i="3"/>
  <c r="K65" i="3"/>
  <c r="K113" i="3"/>
  <c r="K161" i="3"/>
  <c r="K209" i="3"/>
  <c r="K257" i="3"/>
  <c r="K305" i="3"/>
  <c r="K353" i="3"/>
  <c r="K401" i="3"/>
  <c r="K449" i="3"/>
  <c r="K497" i="3"/>
  <c r="K5" i="3"/>
  <c r="K29" i="3"/>
  <c r="K77" i="3"/>
  <c r="K125" i="3"/>
  <c r="K173" i="3"/>
  <c r="K221" i="3"/>
  <c r="K269" i="3"/>
  <c r="K317" i="3"/>
  <c r="K365" i="3"/>
  <c r="K413" i="3"/>
  <c r="K461" i="3"/>
  <c r="K509" i="3"/>
  <c r="K41" i="3"/>
  <c r="K89" i="3"/>
  <c r="K137" i="3"/>
  <c r="K185" i="3"/>
  <c r="K233" i="3"/>
  <c r="K281" i="3"/>
  <c r="K329" i="3"/>
  <c r="K377" i="3"/>
  <c r="K425" i="3"/>
  <c r="K473" i="3"/>
  <c r="K521" i="3"/>
  <c r="K57" i="3"/>
  <c r="K105" i="3"/>
  <c r="K153" i="3"/>
  <c r="K201" i="3"/>
  <c r="K249" i="3"/>
  <c r="K297" i="3"/>
  <c r="K345" i="3"/>
  <c r="K393" i="3"/>
  <c r="K441" i="3"/>
  <c r="K489" i="3"/>
  <c r="K537" i="3"/>
  <c r="K21" i="3"/>
  <c r="K69" i="3"/>
  <c r="K117" i="3"/>
  <c r="K165" i="3"/>
  <c r="K213" i="3"/>
  <c r="K261" i="3"/>
  <c r="K309" i="3"/>
  <c r="K357" i="3"/>
  <c r="K405" i="3"/>
  <c r="K453" i="3"/>
  <c r="K501" i="3"/>
  <c r="K9" i="3"/>
  <c r="K33" i="3"/>
  <c r="K81" i="3"/>
  <c r="K129" i="3"/>
  <c r="K543" i="3"/>
  <c r="K495" i="3"/>
  <c r="K447" i="3"/>
  <c r="K399" i="3"/>
  <c r="K351" i="3"/>
  <c r="K303" i="3"/>
  <c r="K255" i="3"/>
  <c r="K207" i="3"/>
  <c r="K159" i="3"/>
  <c r="K111" i="3"/>
  <c r="K63" i="3"/>
  <c r="K14" i="3"/>
  <c r="K506" i="3"/>
  <c r="K458" i="3"/>
  <c r="K410" i="3"/>
  <c r="K362" i="3"/>
  <c r="K314" i="3"/>
  <c r="K266" i="3"/>
  <c r="K218" i="3"/>
  <c r="K170" i="3"/>
  <c r="K122" i="3"/>
  <c r="K74" i="3"/>
  <c r="K26" i="3"/>
  <c r="K517" i="3"/>
  <c r="K469" i="3"/>
  <c r="K421" i="3"/>
  <c r="K373" i="3"/>
  <c r="K325" i="3"/>
  <c r="K277" i="3"/>
  <c r="K229" i="3"/>
  <c r="K181" i="3"/>
  <c r="K133" i="3"/>
  <c r="K85" i="3"/>
  <c r="K37" i="3"/>
  <c r="K528" i="3"/>
  <c r="K480" i="3"/>
  <c r="K432" i="3"/>
  <c r="K384" i="3"/>
  <c r="K336" i="3"/>
  <c r="K288" i="3"/>
  <c r="K240" i="3"/>
  <c r="K192" i="3"/>
  <c r="K144" i="3"/>
  <c r="K96" i="3"/>
  <c r="K48" i="3"/>
  <c r="K539" i="3"/>
  <c r="K491" i="3"/>
  <c r="K443" i="3"/>
  <c r="K395" i="3"/>
  <c r="K347" i="3"/>
  <c r="K299" i="3"/>
  <c r="K227" i="3"/>
  <c r="K167" i="3"/>
  <c r="K107" i="3"/>
  <c r="K23" i="3"/>
  <c r="K466" i="3"/>
  <c r="K370" i="3"/>
  <c r="K274" i="3"/>
  <c r="K178" i="3"/>
  <c r="K525" i="3"/>
  <c r="K429" i="3"/>
  <c r="K333" i="3"/>
  <c r="K237" i="3"/>
  <c r="K141" i="3"/>
  <c r="K488" i="3"/>
  <c r="K296" i="3"/>
  <c r="K104" i="3"/>
  <c r="K451" i="3"/>
  <c r="K259" i="3"/>
  <c r="K67" i="3"/>
  <c r="K414" i="3"/>
  <c r="K42" i="3"/>
  <c r="K90" i="3"/>
  <c r="K138" i="3"/>
  <c r="K186" i="3"/>
  <c r="K234" i="3"/>
  <c r="K282" i="3"/>
  <c r="K330" i="3"/>
  <c r="K378" i="3"/>
  <c r="K426" i="3"/>
  <c r="K474" i="3"/>
  <c r="K522" i="3"/>
  <c r="K54" i="3"/>
  <c r="K102" i="3"/>
  <c r="K150" i="3"/>
  <c r="K198" i="3"/>
  <c r="K246" i="3"/>
  <c r="K294" i="3"/>
  <c r="K342" i="3"/>
  <c r="K390" i="3"/>
  <c r="K438" i="3"/>
  <c r="K486" i="3"/>
  <c r="K534" i="3"/>
  <c r="K18" i="3"/>
  <c r="K66" i="3"/>
  <c r="K114" i="3"/>
  <c r="K162" i="3"/>
  <c r="K210" i="3"/>
  <c r="K258" i="3"/>
  <c r="K306" i="3"/>
  <c r="K354" i="3"/>
  <c r="K402" i="3"/>
  <c r="K450" i="3"/>
  <c r="K498" i="3"/>
  <c r="K6" i="3"/>
  <c r="K30" i="3"/>
  <c r="K46" i="3"/>
  <c r="K94" i="3"/>
  <c r="K142" i="3"/>
  <c r="K190" i="3"/>
  <c r="K238" i="3"/>
  <c r="K286" i="3"/>
  <c r="K334" i="3"/>
  <c r="K382" i="3"/>
  <c r="K430" i="3"/>
  <c r="K478" i="3"/>
  <c r="K526" i="3"/>
  <c r="K58" i="3"/>
  <c r="K106" i="3"/>
  <c r="K154" i="3"/>
  <c r="K202" i="3"/>
  <c r="K250" i="3"/>
  <c r="K298" i="3"/>
  <c r="K346" i="3"/>
  <c r="K394" i="3"/>
  <c r="K442" i="3"/>
  <c r="K490" i="3"/>
  <c r="K538" i="3"/>
  <c r="K531" i="3"/>
  <c r="K483" i="3"/>
  <c r="K435" i="3"/>
  <c r="K387" i="3"/>
  <c r="K339" i="3"/>
  <c r="K291" i="3"/>
  <c r="K243" i="3"/>
  <c r="K195" i="3"/>
  <c r="K147" i="3"/>
  <c r="K99" i="3"/>
  <c r="K51" i="3"/>
  <c r="K542" i="3"/>
  <c r="K494" i="3"/>
  <c r="K446" i="3"/>
  <c r="K398" i="3"/>
  <c r="K350" i="3"/>
  <c r="K302" i="3"/>
  <c r="K254" i="3"/>
  <c r="K206" i="3"/>
  <c r="K158" i="3"/>
  <c r="K110" i="3"/>
  <c r="K62" i="3"/>
  <c r="K13" i="3"/>
  <c r="K505" i="3"/>
  <c r="K457" i="3"/>
  <c r="K409" i="3"/>
  <c r="K361" i="3"/>
  <c r="K313" i="3"/>
  <c r="K265" i="3"/>
  <c r="K217" i="3"/>
  <c r="K169" i="3"/>
  <c r="K121" i="3"/>
  <c r="K73" i="3"/>
  <c r="K25" i="3"/>
  <c r="K516" i="3"/>
  <c r="K468" i="3"/>
  <c r="K420" i="3"/>
  <c r="K372" i="3"/>
  <c r="K324" i="3"/>
  <c r="K276" i="3"/>
  <c r="K228" i="3"/>
  <c r="K180" i="3"/>
  <c r="K132" i="3"/>
  <c r="K84" i="3"/>
  <c r="K36" i="3"/>
  <c r="K527" i="3"/>
  <c r="K479" i="3"/>
  <c r="K431" i="3"/>
  <c r="K383" i="3"/>
  <c r="K335" i="3"/>
  <c r="K275" i="3"/>
  <c r="K215" i="3"/>
  <c r="K155" i="3"/>
  <c r="K10" i="3"/>
  <c r="K454" i="3"/>
  <c r="K358" i="3"/>
  <c r="K262" i="3"/>
  <c r="K166" i="3"/>
  <c r="K70" i="3"/>
  <c r="K513" i="3"/>
  <c r="K417" i="3"/>
  <c r="K321" i="3"/>
  <c r="K225" i="3"/>
  <c r="K93" i="3"/>
  <c r="K440" i="3"/>
  <c r="K248" i="3"/>
  <c r="K56" i="3"/>
  <c r="K403" i="3"/>
  <c r="K211" i="3"/>
  <c r="K366" i="3"/>
  <c r="K174" i="3"/>
  <c r="K31" i="3"/>
  <c r="K79" i="3"/>
  <c r="K127" i="3"/>
  <c r="K175" i="3"/>
  <c r="K223" i="3"/>
  <c r="K271" i="3"/>
  <c r="K319" i="3"/>
  <c r="K367" i="3"/>
  <c r="K415" i="3"/>
  <c r="K463" i="3"/>
  <c r="K511" i="3"/>
  <c r="K43" i="3"/>
  <c r="K91" i="3"/>
  <c r="K139" i="3"/>
  <c r="K187" i="3"/>
  <c r="K235" i="3"/>
  <c r="K283" i="3"/>
  <c r="K331" i="3"/>
  <c r="K379" i="3"/>
  <c r="K427" i="3"/>
  <c r="K475" i="3"/>
  <c r="K523" i="3"/>
  <c r="K55" i="3"/>
  <c r="K103" i="3"/>
  <c r="K151" i="3"/>
  <c r="K199" i="3"/>
  <c r="K247" i="3"/>
  <c r="K295" i="3"/>
  <c r="K343" i="3"/>
  <c r="K391" i="3"/>
  <c r="K439" i="3"/>
  <c r="K487" i="3"/>
  <c r="K535" i="3"/>
  <c r="K35" i="3"/>
  <c r="K47" i="3"/>
  <c r="K95" i="3"/>
  <c r="K143" i="3"/>
  <c r="K191" i="3"/>
  <c r="K239" i="3"/>
  <c r="K287" i="3"/>
  <c r="K519" i="3"/>
  <c r="K471" i="3"/>
  <c r="K423" i="3"/>
  <c r="K375" i="3"/>
  <c r="K327" i="3"/>
  <c r="K279" i="3"/>
  <c r="K231" i="3"/>
  <c r="K183" i="3"/>
  <c r="K135" i="3"/>
  <c r="K87" i="3"/>
  <c r="K39" i="3"/>
  <c r="K530" i="3"/>
  <c r="K482" i="3"/>
  <c r="K434" i="3"/>
  <c r="K386" i="3"/>
  <c r="K338" i="3"/>
  <c r="K290" i="3"/>
  <c r="K242" i="3"/>
  <c r="K194" i="3"/>
  <c r="K146" i="3"/>
  <c r="K98" i="3"/>
  <c r="K50" i="3"/>
  <c r="K541" i="3"/>
  <c r="K493" i="3"/>
  <c r="K445" i="3"/>
  <c r="K397" i="3"/>
  <c r="K349" i="3"/>
  <c r="K301" i="3"/>
  <c r="K253" i="3"/>
  <c r="K205" i="3"/>
  <c r="K157" i="3"/>
  <c r="K109" i="3"/>
  <c r="K61" i="3"/>
  <c r="K12" i="3"/>
  <c r="K504" i="3"/>
  <c r="K456" i="3"/>
  <c r="K408" i="3"/>
  <c r="K360" i="3"/>
  <c r="K312" i="3"/>
  <c r="K264" i="3"/>
  <c r="K216" i="3"/>
  <c r="K168" i="3"/>
  <c r="K120" i="3"/>
  <c r="K72" i="3"/>
  <c r="K24" i="3"/>
  <c r="K515" i="3"/>
  <c r="K467" i="3"/>
  <c r="K419" i="3"/>
  <c r="K371" i="3"/>
  <c r="K323" i="3"/>
  <c r="K263" i="3"/>
  <c r="K203" i="3"/>
  <c r="K131" i="3"/>
  <c r="K71" i="3"/>
  <c r="K514" i="3"/>
  <c r="K418" i="3"/>
  <c r="K322" i="3"/>
  <c r="K226" i="3"/>
  <c r="K130" i="3"/>
  <c r="K34" i="3"/>
  <c r="K477" i="3"/>
  <c r="K381" i="3"/>
  <c r="K285" i="3"/>
  <c r="K189" i="3"/>
  <c r="K45" i="3"/>
  <c r="K392" i="3"/>
  <c r="K7" i="3"/>
  <c r="K355" i="3"/>
  <c r="K163" i="3"/>
  <c r="K510" i="3"/>
  <c r="K318" i="3"/>
  <c r="K126" i="3"/>
  <c r="K16" i="3"/>
  <c r="K64" i="3"/>
  <c r="K112" i="3"/>
  <c r="K160" i="3"/>
  <c r="K208" i="3"/>
  <c r="K256" i="3"/>
  <c r="K304" i="3"/>
  <c r="K352" i="3"/>
  <c r="K400" i="3"/>
  <c r="K448" i="3"/>
  <c r="K496" i="3"/>
  <c r="K4" i="3"/>
  <c r="K28" i="3"/>
  <c r="K76" i="3"/>
  <c r="K124" i="3"/>
  <c r="K172" i="3"/>
  <c r="K220" i="3"/>
  <c r="K268" i="3"/>
  <c r="K316" i="3"/>
  <c r="K364" i="3"/>
  <c r="K412" i="3"/>
  <c r="K460" i="3"/>
  <c r="K508" i="3"/>
  <c r="K40" i="3"/>
  <c r="K88" i="3"/>
  <c r="K136" i="3"/>
  <c r="K184" i="3"/>
  <c r="K232" i="3"/>
  <c r="K280" i="3"/>
  <c r="K328" i="3"/>
  <c r="K376" i="3"/>
  <c r="K424" i="3"/>
  <c r="K472" i="3"/>
  <c r="K520" i="3"/>
  <c r="K52" i="3"/>
  <c r="K100" i="3"/>
  <c r="K148" i="3"/>
  <c r="K196" i="3"/>
  <c r="K244" i="3"/>
  <c r="K292" i="3"/>
  <c r="K340" i="3"/>
  <c r="K388" i="3"/>
  <c r="K436" i="3"/>
  <c r="K484" i="3"/>
  <c r="K532" i="3"/>
  <c r="K20" i="3"/>
  <c r="K68" i="3"/>
  <c r="K116" i="3"/>
  <c r="K164" i="3"/>
  <c r="K212" i="3"/>
  <c r="K260" i="3"/>
  <c r="K308" i="3"/>
  <c r="K356" i="3"/>
  <c r="K404" i="3"/>
  <c r="K452" i="3"/>
  <c r="K500" i="3"/>
  <c r="K8" i="3"/>
  <c r="K32" i="3"/>
  <c r="K80" i="3"/>
  <c r="K128" i="3"/>
  <c r="K176" i="3"/>
  <c r="K224" i="3"/>
  <c r="K272" i="3"/>
  <c r="K320" i="3"/>
  <c r="K368" i="3"/>
  <c r="K416" i="3"/>
  <c r="K464" i="3"/>
  <c r="K512" i="3"/>
  <c r="K44" i="3"/>
  <c r="K92" i="3"/>
  <c r="K140" i="3"/>
  <c r="K188" i="3"/>
  <c r="K236" i="3"/>
  <c r="K284" i="3"/>
  <c r="K332" i="3"/>
  <c r="K380" i="3"/>
  <c r="K428" i="3"/>
  <c r="K476" i="3"/>
  <c r="K524" i="3"/>
  <c r="K15" i="3"/>
  <c r="K507" i="3"/>
  <c r="K459" i="3"/>
  <c r="K411" i="3"/>
  <c r="K363" i="3"/>
  <c r="K315" i="3"/>
  <c r="K267" i="3"/>
  <c r="K219" i="3"/>
  <c r="K171" i="3"/>
  <c r="K123" i="3"/>
  <c r="K75" i="3"/>
  <c r="K518" i="3"/>
  <c r="K470" i="3"/>
  <c r="K422" i="3"/>
  <c r="K374" i="3"/>
  <c r="K326" i="3"/>
  <c r="K278" i="3"/>
  <c r="K230" i="3"/>
  <c r="K182" i="3"/>
  <c r="K134" i="3"/>
  <c r="K86" i="3"/>
  <c r="K529" i="3"/>
  <c r="K481" i="3"/>
  <c r="K433" i="3"/>
  <c r="K385" i="3"/>
  <c r="K337" i="3"/>
  <c r="K289" i="3"/>
  <c r="K241" i="3"/>
  <c r="K193" i="3"/>
  <c r="K145" i="3"/>
  <c r="K97" i="3"/>
  <c r="K540" i="3"/>
  <c r="K492" i="3"/>
  <c r="K444" i="3"/>
  <c r="K396" i="3"/>
  <c r="K348" i="3"/>
  <c r="K300" i="3"/>
  <c r="K252" i="3"/>
  <c r="K204" i="3"/>
  <c r="K156" i="3"/>
  <c r="K108" i="3"/>
  <c r="K11" i="3"/>
  <c r="K503" i="3"/>
  <c r="K455" i="3"/>
  <c r="K407" i="3"/>
  <c r="K359" i="3"/>
  <c r="K311" i="3"/>
  <c r="K251" i="3"/>
  <c r="K179" i="3"/>
  <c r="K119" i="3"/>
  <c r="K59" i="3"/>
  <c r="K502" i="3"/>
  <c r="K406" i="3"/>
  <c r="K310" i="3"/>
  <c r="K214" i="3"/>
  <c r="K118" i="3"/>
  <c r="K22" i="3"/>
  <c r="K465" i="3"/>
  <c r="K369" i="3"/>
  <c r="K273" i="3"/>
  <c r="K177" i="3"/>
  <c r="K536" i="3"/>
  <c r="K344" i="3"/>
  <c r="K152" i="3"/>
  <c r="K499" i="3"/>
  <c r="K307" i="3"/>
  <c r="K115" i="3"/>
  <c r="K462" i="3"/>
  <c r="K270" i="3"/>
  <c r="K78" i="3"/>
  <c r="E12" i="3"/>
  <c r="E20" i="3"/>
  <c r="E48" i="3"/>
  <c r="E32" i="3"/>
  <c r="E16" i="3"/>
  <c r="E44" i="3"/>
  <c r="E28" i="3"/>
  <c r="E5" i="3"/>
  <c r="E40" i="3"/>
  <c r="E24" i="3"/>
  <c r="E8" i="3"/>
  <c r="E47" i="3"/>
  <c r="E39" i="3"/>
  <c r="E31" i="3"/>
  <c r="E23" i="3"/>
  <c r="E7" i="3"/>
  <c r="E46" i="3"/>
  <c r="E42" i="3"/>
  <c r="E38" i="3"/>
  <c r="E34" i="3"/>
  <c r="E30" i="3"/>
  <c r="E26" i="3"/>
  <c r="E22" i="3"/>
  <c r="E18" i="3"/>
  <c r="E14" i="3"/>
  <c r="E10" i="3"/>
  <c r="E6" i="3"/>
  <c r="E43" i="3"/>
  <c r="E35" i="3"/>
  <c r="E27" i="3"/>
  <c r="E19" i="3"/>
  <c r="E15" i="3"/>
  <c r="E11" i="3"/>
  <c r="E4" i="3"/>
  <c r="E45" i="3"/>
  <c r="E41" i="3"/>
  <c r="E37" i="3"/>
  <c r="E33" i="3"/>
  <c r="E29" i="3"/>
  <c r="E25" i="3"/>
  <c r="E21" i="3"/>
  <c r="E17" i="3"/>
  <c r="E13" i="3"/>
  <c r="E9" i="3"/>
  <c r="F708" i="5"/>
  <c r="F597" i="5"/>
  <c r="F550" i="5"/>
  <c r="F554" i="5"/>
  <c r="E24" i="5"/>
  <c r="F715" i="5"/>
  <c r="Q92" i="4"/>
  <c r="Q52" i="4"/>
  <c r="F34" i="4"/>
  <c r="P137" i="4"/>
  <c r="Q65" i="4"/>
  <c r="Q161" i="4"/>
  <c r="Q209" i="4"/>
  <c r="Q257" i="4"/>
  <c r="Q305" i="4"/>
  <c r="Q353" i="4"/>
  <c r="Q401" i="4"/>
  <c r="Q449" i="4"/>
  <c r="Q497" i="4"/>
  <c r="Q29" i="4"/>
  <c r="Q77" i="4"/>
  <c r="Q125" i="4"/>
  <c r="Q173" i="4"/>
  <c r="Q221" i="4"/>
  <c r="Q269" i="4"/>
  <c r="Q317" i="4"/>
  <c r="Q365" i="4"/>
  <c r="Q413" i="4"/>
  <c r="Q461" i="4"/>
  <c r="Q509" i="4"/>
  <c r="Q41" i="4"/>
  <c r="Q89" i="4"/>
  <c r="Q137" i="4"/>
  <c r="Q233" i="4"/>
  <c r="Q281" i="4"/>
  <c r="Q329" i="4"/>
  <c r="Q377" i="4"/>
  <c r="Q425" i="4"/>
  <c r="Q473" i="4"/>
  <c r="Q69" i="4"/>
  <c r="Q117" i="4"/>
  <c r="Q165" i="4"/>
  <c r="Q213" i="4"/>
  <c r="Q261" i="4"/>
  <c r="Q309" i="4"/>
  <c r="Q357" i="4"/>
  <c r="Q405" i="4"/>
  <c r="Q453" i="4"/>
  <c r="Q501" i="4"/>
  <c r="Q33" i="4"/>
  <c r="Q81" i="4"/>
  <c r="Q129" i="4"/>
  <c r="Q177" i="4"/>
  <c r="Q225" i="4"/>
  <c r="Q273" i="4"/>
  <c r="Q321" i="4"/>
  <c r="Q369" i="4"/>
  <c r="Q417" i="4"/>
  <c r="Q465" i="4"/>
  <c r="Q513" i="4"/>
  <c r="Q45" i="4"/>
  <c r="Q93" i="4"/>
  <c r="Q141" i="4"/>
  <c r="Q237" i="4"/>
  <c r="Q285" i="4"/>
  <c r="Q333" i="4"/>
  <c r="Q381" i="4"/>
  <c r="Q429" i="4"/>
  <c r="Q477" i="4"/>
  <c r="Q9" i="4"/>
  <c r="Q520" i="4"/>
  <c r="Q472" i="4"/>
  <c r="Q424" i="4"/>
  <c r="Q376" i="4"/>
  <c r="Q328" i="4"/>
  <c r="Q280" i="4"/>
  <c r="Q232" i="4"/>
  <c r="Q184" i="4"/>
  <c r="Q136" i="4"/>
  <c r="Q88" i="4"/>
  <c r="Q40" i="4"/>
  <c r="Q507" i="4"/>
  <c r="Q459" i="4"/>
  <c r="Q411" i="4"/>
  <c r="Q363" i="4"/>
  <c r="Q315" i="4"/>
  <c r="Q267" i="4"/>
  <c r="Q219" i="4"/>
  <c r="Q171" i="4"/>
  <c r="Q123" i="4"/>
  <c r="Q75" i="4"/>
  <c r="Q494" i="4"/>
  <c r="Q446" i="4"/>
  <c r="Q398" i="4"/>
  <c r="Q350" i="4"/>
  <c r="Q302" i="4"/>
  <c r="Q254" i="4"/>
  <c r="Q206" i="4"/>
  <c r="Q158" i="4"/>
  <c r="Q110" i="4"/>
  <c r="Q62" i="4"/>
  <c r="Q13" i="4"/>
  <c r="Q481" i="4"/>
  <c r="Q433" i="4"/>
  <c r="Q385" i="4"/>
  <c r="Q337" i="4"/>
  <c r="Q289" i="4"/>
  <c r="Q241" i="4"/>
  <c r="Q145" i="4"/>
  <c r="Q97" i="4"/>
  <c r="Q49" i="4"/>
  <c r="Q516" i="4"/>
  <c r="Q432" i="4"/>
  <c r="Q240" i="4"/>
  <c r="Q48" i="4"/>
  <c r="Q371" i="4"/>
  <c r="Q179" i="4"/>
  <c r="Q502" i="4"/>
  <c r="Q310" i="4"/>
  <c r="Q441" i="4"/>
  <c r="Q249" i="4"/>
  <c r="Q57" i="4"/>
  <c r="Q380" i="4"/>
  <c r="Q511" i="4"/>
  <c r="Q319" i="4"/>
  <c r="Q127" i="4"/>
  <c r="Q450" i="4"/>
  <c r="Q258" i="4"/>
  <c r="Q389" i="4"/>
  <c r="Q197" i="4"/>
  <c r="Q30" i="4"/>
  <c r="Q78" i="4"/>
  <c r="Q126" i="4"/>
  <c r="Q174" i="4"/>
  <c r="Q222" i="4"/>
  <c r="Q270" i="4"/>
  <c r="Q318" i="4"/>
  <c r="Q366" i="4"/>
  <c r="Q414" i="4"/>
  <c r="Q462" i="4"/>
  <c r="Q510" i="4"/>
  <c r="Q42" i="4"/>
  <c r="Q90" i="4"/>
  <c r="Q138" i="4"/>
  <c r="Q234" i="4"/>
  <c r="Q282" i="4"/>
  <c r="Q330" i="4"/>
  <c r="Q378" i="4"/>
  <c r="Q426" i="4"/>
  <c r="Q474" i="4"/>
  <c r="Q6" i="4"/>
  <c r="Q54" i="4"/>
  <c r="Q102" i="4"/>
  <c r="Q150" i="4"/>
  <c r="Q198" i="4"/>
  <c r="Q246" i="4"/>
  <c r="Q294" i="4"/>
  <c r="Q342" i="4"/>
  <c r="Q390" i="4"/>
  <c r="Q438" i="4"/>
  <c r="Q486" i="4"/>
  <c r="Q34" i="4"/>
  <c r="Q82" i="4"/>
  <c r="Q130" i="4"/>
  <c r="Q178" i="4"/>
  <c r="Q226" i="4"/>
  <c r="Q274" i="4"/>
  <c r="Q322" i="4"/>
  <c r="Q370" i="4"/>
  <c r="Q418" i="4"/>
  <c r="Q466" i="4"/>
  <c r="Q514" i="4"/>
  <c r="Q46" i="4"/>
  <c r="Q94" i="4"/>
  <c r="Q142" i="4"/>
  <c r="Q238" i="4"/>
  <c r="Q286" i="4"/>
  <c r="Q334" i="4"/>
  <c r="Q382" i="4"/>
  <c r="Q430" i="4"/>
  <c r="Q478" i="4"/>
  <c r="Q10" i="4"/>
  <c r="Q58" i="4"/>
  <c r="Q106" i="4"/>
  <c r="Q154" i="4"/>
  <c r="Q202" i="4"/>
  <c r="Q250" i="4"/>
  <c r="Q298" i="4"/>
  <c r="Q346" i="4"/>
  <c r="Q394" i="4"/>
  <c r="Q442" i="4"/>
  <c r="Q490" i="4"/>
  <c r="Q508" i="4"/>
  <c r="Q460" i="4"/>
  <c r="Q412" i="4"/>
  <c r="Q364" i="4"/>
  <c r="Q316" i="4"/>
  <c r="Q268" i="4"/>
  <c r="Q220" i="4"/>
  <c r="Q172" i="4"/>
  <c r="Q124" i="4"/>
  <c r="Q76" i="4"/>
  <c r="Q495" i="4"/>
  <c r="Q447" i="4"/>
  <c r="Q399" i="4"/>
  <c r="Q351" i="4"/>
  <c r="Q303" i="4"/>
  <c r="Q255" i="4"/>
  <c r="Q207" i="4"/>
  <c r="Q159" i="4"/>
  <c r="Q111" i="4"/>
  <c r="Q63" i="4"/>
  <c r="Q14" i="4"/>
  <c r="Q482" i="4"/>
  <c r="Q434" i="4"/>
  <c r="Q386" i="4"/>
  <c r="Q338" i="4"/>
  <c r="Q290" i="4"/>
  <c r="Q242" i="4"/>
  <c r="Q146" i="4"/>
  <c r="Q98" i="4"/>
  <c r="Q50" i="4"/>
  <c r="Q517" i="4"/>
  <c r="Q469" i="4"/>
  <c r="Q421" i="4"/>
  <c r="Q373" i="4"/>
  <c r="Q325" i="4"/>
  <c r="Q277" i="4"/>
  <c r="Q229" i="4"/>
  <c r="Q181" i="4"/>
  <c r="Q133" i="4"/>
  <c r="Q85" i="4"/>
  <c r="Q37" i="4"/>
  <c r="Q504" i="4"/>
  <c r="Q384" i="4"/>
  <c r="Q515" i="4"/>
  <c r="Q323" i="4"/>
  <c r="Q454" i="4"/>
  <c r="Q262" i="4"/>
  <c r="Q70" i="4"/>
  <c r="Q393" i="4"/>
  <c r="Q201" i="4"/>
  <c r="Q8" i="4"/>
  <c r="Q332" i="4"/>
  <c r="Q140" i="4"/>
  <c r="Q463" i="4"/>
  <c r="Q271" i="4"/>
  <c r="Q402" i="4"/>
  <c r="Q210" i="4"/>
  <c r="Q341" i="4"/>
  <c r="Q149" i="4"/>
  <c r="Q43" i="4"/>
  <c r="Q91" i="4"/>
  <c r="Q139" i="4"/>
  <c r="Q235" i="4"/>
  <c r="Q283" i="4"/>
  <c r="Q331" i="4"/>
  <c r="Q379" i="4"/>
  <c r="Q427" i="4"/>
  <c r="Q475" i="4"/>
  <c r="Q7" i="4"/>
  <c r="Q55" i="4"/>
  <c r="Q103" i="4"/>
  <c r="Q151" i="4"/>
  <c r="Q199" i="4"/>
  <c r="Q247" i="4"/>
  <c r="Q295" i="4"/>
  <c r="Q343" i="4"/>
  <c r="Q391" i="4"/>
  <c r="Q439" i="4"/>
  <c r="Q487" i="4"/>
  <c r="Q67" i="4"/>
  <c r="Q115" i="4"/>
  <c r="Q163" i="4"/>
  <c r="Q211" i="4"/>
  <c r="Q259" i="4"/>
  <c r="Q307" i="4"/>
  <c r="Q355" i="4"/>
  <c r="Q403" i="4"/>
  <c r="Q451" i="4"/>
  <c r="Q499" i="4"/>
  <c r="Q47" i="4"/>
  <c r="Q95" i="4"/>
  <c r="Q143" i="4"/>
  <c r="Q239" i="4"/>
  <c r="Q287" i="4"/>
  <c r="Q335" i="4"/>
  <c r="Q383" i="4"/>
  <c r="Q431" i="4"/>
  <c r="Q479" i="4"/>
  <c r="Q11" i="4"/>
  <c r="Q59" i="4"/>
  <c r="Q107" i="4"/>
  <c r="Q155" i="4"/>
  <c r="Q203" i="4"/>
  <c r="Q251" i="4"/>
  <c r="Q299" i="4"/>
  <c r="Q347" i="4"/>
  <c r="Q395" i="4"/>
  <c r="Q443" i="4"/>
  <c r="Q491" i="4"/>
  <c r="Q71" i="4"/>
  <c r="Q167" i="4"/>
  <c r="Q215" i="4"/>
  <c r="Q263" i="4"/>
  <c r="Q311" i="4"/>
  <c r="Q359" i="4"/>
  <c r="Q407" i="4"/>
  <c r="Q455" i="4"/>
  <c r="Q503" i="4"/>
  <c r="Q496" i="4"/>
  <c r="Q448" i="4"/>
  <c r="Q400" i="4"/>
  <c r="Q352" i="4"/>
  <c r="Q304" i="4"/>
  <c r="Q256" i="4"/>
  <c r="Q208" i="4"/>
  <c r="Q160" i="4"/>
  <c r="Q112" i="4"/>
  <c r="Q64" i="4"/>
  <c r="Q15" i="4"/>
  <c r="Q483" i="4"/>
  <c r="Q435" i="4"/>
  <c r="Q387" i="4"/>
  <c r="Q339" i="4"/>
  <c r="Q291" i="4"/>
  <c r="Q243" i="4"/>
  <c r="Q147" i="4"/>
  <c r="Q99" i="4"/>
  <c r="Q51" i="4"/>
  <c r="Q518" i="4"/>
  <c r="Q470" i="4"/>
  <c r="Q422" i="4"/>
  <c r="Q374" i="4"/>
  <c r="Q326" i="4"/>
  <c r="Q278" i="4"/>
  <c r="Q230" i="4"/>
  <c r="Q182" i="4"/>
  <c r="Q134" i="4"/>
  <c r="Q86" i="4"/>
  <c r="Q38" i="4"/>
  <c r="Q505" i="4"/>
  <c r="Q457" i="4"/>
  <c r="Q409" i="4"/>
  <c r="Q361" i="4"/>
  <c r="Q313" i="4"/>
  <c r="Q265" i="4"/>
  <c r="Q217" i="4"/>
  <c r="Q169" i="4"/>
  <c r="Q121" i="4"/>
  <c r="Q73" i="4"/>
  <c r="Q492" i="4"/>
  <c r="Q336" i="4"/>
  <c r="Q467" i="4"/>
  <c r="Q275" i="4"/>
  <c r="Q83" i="4"/>
  <c r="Q406" i="4"/>
  <c r="Q214" i="4"/>
  <c r="Q345" i="4"/>
  <c r="Q153" i="4"/>
  <c r="Q476" i="4"/>
  <c r="Q284" i="4"/>
  <c r="Q415" i="4"/>
  <c r="Q223" i="4"/>
  <c r="Q31" i="4"/>
  <c r="Q354" i="4"/>
  <c r="Q162" i="4"/>
  <c r="Q485" i="4"/>
  <c r="Q293" i="4"/>
  <c r="Q101" i="4"/>
  <c r="Q56" i="4"/>
  <c r="Q104" i="4"/>
  <c r="Q152" i="4"/>
  <c r="Q200" i="4"/>
  <c r="Q248" i="4"/>
  <c r="Q296" i="4"/>
  <c r="Q344" i="4"/>
  <c r="Q392" i="4"/>
  <c r="Q440" i="4"/>
  <c r="Q488" i="4"/>
  <c r="Q68" i="4"/>
  <c r="Q116" i="4"/>
  <c r="Q164" i="4"/>
  <c r="Q212" i="4"/>
  <c r="Q260" i="4"/>
  <c r="Q308" i="4"/>
  <c r="Q356" i="4"/>
  <c r="Q404" i="4"/>
  <c r="Q452" i="4"/>
  <c r="Q500" i="4"/>
  <c r="Q32" i="4"/>
  <c r="Q80" i="4"/>
  <c r="Q128" i="4"/>
  <c r="Q176" i="4"/>
  <c r="Q224" i="4"/>
  <c r="Q272" i="4"/>
  <c r="Q320" i="4"/>
  <c r="Q368" i="4"/>
  <c r="Q416" i="4"/>
  <c r="Q464" i="4"/>
  <c r="Q512" i="4"/>
  <c r="Q60" i="4"/>
  <c r="Q108" i="4"/>
  <c r="Q156" i="4"/>
  <c r="Q204" i="4"/>
  <c r="Q252" i="4"/>
  <c r="Q300" i="4"/>
  <c r="Q348" i="4"/>
  <c r="Q396" i="4"/>
  <c r="Q444" i="4"/>
  <c r="Q72" i="4"/>
  <c r="Q120" i="4"/>
  <c r="Q168" i="4"/>
  <c r="Q216" i="4"/>
  <c r="Q264" i="4"/>
  <c r="Q312" i="4"/>
  <c r="Q360" i="4"/>
  <c r="Q408" i="4"/>
  <c r="Q456" i="4"/>
  <c r="Q36" i="4"/>
  <c r="Q84" i="4"/>
  <c r="Q132" i="4"/>
  <c r="Q180" i="4"/>
  <c r="Q228" i="4"/>
  <c r="Q276" i="4"/>
  <c r="Q324" i="4"/>
  <c r="Q372" i="4"/>
  <c r="Q420" i="4"/>
  <c r="Q468" i="4"/>
  <c r="Q16" i="4"/>
  <c r="Q484" i="4"/>
  <c r="Q436" i="4"/>
  <c r="Q388" i="4"/>
  <c r="Q340" i="4"/>
  <c r="Q292" i="4"/>
  <c r="Q244" i="4"/>
  <c r="Q148" i="4"/>
  <c r="Q100" i="4"/>
  <c r="Q519" i="4"/>
  <c r="Q471" i="4"/>
  <c r="Q423" i="4"/>
  <c r="Q375" i="4"/>
  <c r="Q327" i="4"/>
  <c r="Q279" i="4"/>
  <c r="Q231" i="4"/>
  <c r="Q183" i="4"/>
  <c r="Q135" i="4"/>
  <c r="Q87" i="4"/>
  <c r="Q506" i="4"/>
  <c r="Q458" i="4"/>
  <c r="Q410" i="4"/>
  <c r="Q362" i="4"/>
  <c r="Q314" i="4"/>
  <c r="Q266" i="4"/>
  <c r="Q218" i="4"/>
  <c r="Q170" i="4"/>
  <c r="Q122" i="4"/>
  <c r="Q74" i="4"/>
  <c r="Q493" i="4"/>
  <c r="Q445" i="4"/>
  <c r="Q397" i="4"/>
  <c r="Q349" i="4"/>
  <c r="Q301" i="4"/>
  <c r="Q253" i="4"/>
  <c r="Q205" i="4"/>
  <c r="Q157" i="4"/>
  <c r="Q109" i="4"/>
  <c r="Q12" i="4"/>
  <c r="Q480" i="4"/>
  <c r="Q288" i="4"/>
  <c r="Q96" i="4"/>
  <c r="Q419" i="4"/>
  <c r="Q227" i="4"/>
  <c r="Q35" i="4"/>
  <c r="Q358" i="4"/>
  <c r="Q166" i="4"/>
  <c r="Q489" i="4"/>
  <c r="Q297" i="4"/>
  <c r="Q105" i="4"/>
  <c r="Q428" i="4"/>
  <c r="Q236" i="4"/>
  <c r="Q44" i="4"/>
  <c r="Q367" i="4"/>
  <c r="Q175" i="4"/>
  <c r="Q498" i="4"/>
  <c r="Q306" i="4"/>
  <c r="Q437" i="4"/>
  <c r="Q245" i="4"/>
  <c r="Q53" i="4"/>
  <c r="P519" i="4"/>
  <c r="P515" i="4"/>
  <c r="P511" i="4"/>
  <c r="P507" i="4"/>
  <c r="P503" i="4"/>
  <c r="P499" i="4"/>
  <c r="P495" i="4"/>
  <c r="P491" i="4"/>
  <c r="P487" i="4"/>
  <c r="P483" i="4"/>
  <c r="P479" i="4"/>
  <c r="P475" i="4"/>
  <c r="P471" i="4"/>
  <c r="P467" i="4"/>
  <c r="P463" i="4"/>
  <c r="P459" i="4"/>
  <c r="P455" i="4"/>
  <c r="P451" i="4"/>
  <c r="P447" i="4"/>
  <c r="P443" i="4"/>
  <c r="P439" i="4"/>
  <c r="P435" i="4"/>
  <c r="P431" i="4"/>
  <c r="P427" i="4"/>
  <c r="P423" i="4"/>
  <c r="P419" i="4"/>
  <c r="P415" i="4"/>
  <c r="P411" i="4"/>
  <c r="P407" i="4"/>
  <c r="P403" i="4"/>
  <c r="P399" i="4"/>
  <c r="P395" i="4"/>
  <c r="P391" i="4"/>
  <c r="P387" i="4"/>
  <c r="P383" i="4"/>
  <c r="P379" i="4"/>
  <c r="P375" i="4"/>
  <c r="P371" i="4"/>
  <c r="P367" i="4"/>
  <c r="P363" i="4"/>
  <c r="P359" i="4"/>
  <c r="P353" i="4"/>
  <c r="P345" i="4"/>
  <c r="P329" i="4"/>
  <c r="P313" i="4"/>
  <c r="P297" i="4"/>
  <c r="P281" i="4"/>
  <c r="P265" i="4"/>
  <c r="P249" i="4"/>
  <c r="P233" i="4"/>
  <c r="P217" i="4"/>
  <c r="P201" i="4"/>
  <c r="P169" i="4"/>
  <c r="P153" i="4"/>
  <c r="P6" i="4"/>
  <c r="P10" i="4"/>
  <c r="P14" i="4"/>
  <c r="P30" i="4"/>
  <c r="P34" i="4"/>
  <c r="P38" i="4"/>
  <c r="P42" i="4"/>
  <c r="P46" i="4"/>
  <c r="P50" i="4"/>
  <c r="P54" i="4"/>
  <c r="P58" i="4"/>
  <c r="P62" i="4"/>
  <c r="P66" i="4"/>
  <c r="P70" i="4"/>
  <c r="P74" i="4"/>
  <c r="P78" i="4"/>
  <c r="P82" i="4"/>
  <c r="P86" i="4"/>
  <c r="P90" i="4"/>
  <c r="P94" i="4"/>
  <c r="P98" i="4"/>
  <c r="P102" i="4"/>
  <c r="P106" i="4"/>
  <c r="P110" i="4"/>
  <c r="P122" i="4"/>
  <c r="P126" i="4"/>
  <c r="P130" i="4"/>
  <c r="P134" i="4"/>
  <c r="P138" i="4"/>
  <c r="P142" i="4"/>
  <c r="P146" i="4"/>
  <c r="P150" i="4"/>
  <c r="P154" i="4"/>
  <c r="P158" i="4"/>
  <c r="P162" i="4"/>
  <c r="P166" i="4"/>
  <c r="P170" i="4"/>
  <c r="P174" i="4"/>
  <c r="P178" i="4"/>
  <c r="P182" i="4"/>
  <c r="P198" i="4"/>
  <c r="P202" i="4"/>
  <c r="P206" i="4"/>
  <c r="P210" i="4"/>
  <c r="P214" i="4"/>
  <c r="P218" i="4"/>
  <c r="P222" i="4"/>
  <c r="P226" i="4"/>
  <c r="P230" i="4"/>
  <c r="P234" i="4"/>
  <c r="P238" i="4"/>
  <c r="P242" i="4"/>
  <c r="P246" i="4"/>
  <c r="P250" i="4"/>
  <c r="P254" i="4"/>
  <c r="P258" i="4"/>
  <c r="P262" i="4"/>
  <c r="P266" i="4"/>
  <c r="P270" i="4"/>
  <c r="P274" i="4"/>
  <c r="P278" i="4"/>
  <c r="P282" i="4"/>
  <c r="P286" i="4"/>
  <c r="P290" i="4"/>
  <c r="P294" i="4"/>
  <c r="P298" i="4"/>
  <c r="P302" i="4"/>
  <c r="P306" i="4"/>
  <c r="P310" i="4"/>
  <c r="P314" i="4"/>
  <c r="P318" i="4"/>
  <c r="P322" i="4"/>
  <c r="P326" i="4"/>
  <c r="P330" i="4"/>
  <c r="P334" i="4"/>
  <c r="P338" i="4"/>
  <c r="P342" i="4"/>
  <c r="P346" i="4"/>
  <c r="P350" i="4"/>
  <c r="P354" i="4"/>
  <c r="P11" i="4"/>
  <c r="P15" i="4"/>
  <c r="P31" i="4"/>
  <c r="P35" i="4"/>
  <c r="P39" i="4"/>
  <c r="P43" i="4"/>
  <c r="P47" i="4"/>
  <c r="P51" i="4"/>
  <c r="P55" i="4"/>
  <c r="P59" i="4"/>
  <c r="P63" i="4"/>
  <c r="P67" i="4"/>
  <c r="P71" i="4"/>
  <c r="P75" i="4"/>
  <c r="P79" i="4"/>
  <c r="P83" i="4"/>
  <c r="P87" i="4"/>
  <c r="P91" i="4"/>
  <c r="P95" i="4"/>
  <c r="P99" i="4"/>
  <c r="P103" i="4"/>
  <c r="P107" i="4"/>
  <c r="P111" i="4"/>
  <c r="P115" i="4"/>
  <c r="P123" i="4"/>
  <c r="P127" i="4"/>
  <c r="P131" i="4"/>
  <c r="P135" i="4"/>
  <c r="P139" i="4"/>
  <c r="P143" i="4"/>
  <c r="P147" i="4"/>
  <c r="P151" i="4"/>
  <c r="P155" i="4"/>
  <c r="P159" i="4"/>
  <c r="P163" i="4"/>
  <c r="P167" i="4"/>
  <c r="P171" i="4"/>
  <c r="P175" i="4"/>
  <c r="P179" i="4"/>
  <c r="P183" i="4"/>
  <c r="P199" i="4"/>
  <c r="P203" i="4"/>
  <c r="P207" i="4"/>
  <c r="P211" i="4"/>
  <c r="P215" i="4"/>
  <c r="P219" i="4"/>
  <c r="P223" i="4"/>
  <c r="P227" i="4"/>
  <c r="P231" i="4"/>
  <c r="P235" i="4"/>
  <c r="P239" i="4"/>
  <c r="P243" i="4"/>
  <c r="P247" i="4"/>
  <c r="P251" i="4"/>
  <c r="P255" i="4"/>
  <c r="P259" i="4"/>
  <c r="P263" i="4"/>
  <c r="P267" i="4"/>
  <c r="P271" i="4"/>
  <c r="P275" i="4"/>
  <c r="P279" i="4"/>
  <c r="P283" i="4"/>
  <c r="P287" i="4"/>
  <c r="P291" i="4"/>
  <c r="P295" i="4"/>
  <c r="P299" i="4"/>
  <c r="P303" i="4"/>
  <c r="P307" i="4"/>
  <c r="P311" i="4"/>
  <c r="P315" i="4"/>
  <c r="P319" i="4"/>
  <c r="P323" i="4"/>
  <c r="P327" i="4"/>
  <c r="P331" i="4"/>
  <c r="P335" i="4"/>
  <c r="P339" i="4"/>
  <c r="P343" i="4"/>
  <c r="P8" i="4"/>
  <c r="P12" i="4"/>
  <c r="P16" i="4"/>
  <c r="P32" i="4"/>
  <c r="P36" i="4"/>
  <c r="P40" i="4"/>
  <c r="P44" i="4"/>
  <c r="P48" i="4"/>
  <c r="P52" i="4"/>
  <c r="P56" i="4"/>
  <c r="P60" i="4"/>
  <c r="P64" i="4"/>
  <c r="P68" i="4"/>
  <c r="P72" i="4"/>
  <c r="P76" i="4"/>
  <c r="P80" i="4"/>
  <c r="P84" i="4"/>
  <c r="P88" i="4"/>
  <c r="P92" i="4"/>
  <c r="P96" i="4"/>
  <c r="P100" i="4"/>
  <c r="P104" i="4"/>
  <c r="P108" i="4"/>
  <c r="P112" i="4"/>
  <c r="P116" i="4"/>
  <c r="P120" i="4"/>
  <c r="P124" i="4"/>
  <c r="P128" i="4"/>
  <c r="P132" i="4"/>
  <c r="P136" i="4"/>
  <c r="P140" i="4"/>
  <c r="P144" i="4"/>
  <c r="P148" i="4"/>
  <c r="P152" i="4"/>
  <c r="P156" i="4"/>
  <c r="P160" i="4"/>
  <c r="P164" i="4"/>
  <c r="P168" i="4"/>
  <c r="P172" i="4"/>
  <c r="P176" i="4"/>
  <c r="P180" i="4"/>
  <c r="P184" i="4"/>
  <c r="P200" i="4"/>
  <c r="P204" i="4"/>
  <c r="P208" i="4"/>
  <c r="P212" i="4"/>
  <c r="P216" i="4"/>
  <c r="P220" i="4"/>
  <c r="P224" i="4"/>
  <c r="P228" i="4"/>
  <c r="P232" i="4"/>
  <c r="P236" i="4"/>
  <c r="P240" i="4"/>
  <c r="P244" i="4"/>
  <c r="P248" i="4"/>
  <c r="P252" i="4"/>
  <c r="P256" i="4"/>
  <c r="P260" i="4"/>
  <c r="P264" i="4"/>
  <c r="P268" i="4"/>
  <c r="P272" i="4"/>
  <c r="P276" i="4"/>
  <c r="P280" i="4"/>
  <c r="P284" i="4"/>
  <c r="P288" i="4"/>
  <c r="P292" i="4"/>
  <c r="P296" i="4"/>
  <c r="P300" i="4"/>
  <c r="P304" i="4"/>
  <c r="P308" i="4"/>
  <c r="P312" i="4"/>
  <c r="P316" i="4"/>
  <c r="P320" i="4"/>
  <c r="P324" i="4"/>
  <c r="P328" i="4"/>
  <c r="P332" i="4"/>
  <c r="P336" i="4"/>
  <c r="P340" i="4"/>
  <c r="P344" i="4"/>
  <c r="P348" i="4"/>
  <c r="P352" i="4"/>
  <c r="P356" i="4"/>
  <c r="P9" i="4"/>
  <c r="P13" i="4"/>
  <c r="P29" i="4"/>
  <c r="P33" i="4"/>
  <c r="P37" i="4"/>
  <c r="P41" i="4"/>
  <c r="P45" i="4"/>
  <c r="P49" i="4"/>
  <c r="P53" i="4"/>
  <c r="P57" i="4"/>
  <c r="P61" i="4"/>
  <c r="P65" i="4"/>
  <c r="P69" i="4"/>
  <c r="P73" i="4"/>
  <c r="P77" i="4"/>
  <c r="P81" i="4"/>
  <c r="P85" i="4"/>
  <c r="P89" i="4"/>
  <c r="P93" i="4"/>
  <c r="P97" i="4"/>
  <c r="P101" i="4"/>
  <c r="P105" i="4"/>
  <c r="P109" i="4"/>
  <c r="P117" i="4"/>
  <c r="P121" i="4"/>
  <c r="P518" i="4"/>
  <c r="P514" i="4"/>
  <c r="P510" i="4"/>
  <c r="P506" i="4"/>
  <c r="P502" i="4"/>
  <c r="P498" i="4"/>
  <c r="P494" i="4"/>
  <c r="P490" i="4"/>
  <c r="P486" i="4"/>
  <c r="P482" i="4"/>
  <c r="P478" i="4"/>
  <c r="P474" i="4"/>
  <c r="P470" i="4"/>
  <c r="P466" i="4"/>
  <c r="P462" i="4"/>
  <c r="P458" i="4"/>
  <c r="P454" i="4"/>
  <c r="P450" i="4"/>
  <c r="P446" i="4"/>
  <c r="P442" i="4"/>
  <c r="P438" i="4"/>
  <c r="P434" i="4"/>
  <c r="P430" i="4"/>
  <c r="P426" i="4"/>
  <c r="P422" i="4"/>
  <c r="P418" i="4"/>
  <c r="P414" i="4"/>
  <c r="P410" i="4"/>
  <c r="P406" i="4"/>
  <c r="P402" i="4"/>
  <c r="P398" i="4"/>
  <c r="P394" i="4"/>
  <c r="P390" i="4"/>
  <c r="P386" i="4"/>
  <c r="P382" i="4"/>
  <c r="P378" i="4"/>
  <c r="P374" i="4"/>
  <c r="P370" i="4"/>
  <c r="P366" i="4"/>
  <c r="P362" i="4"/>
  <c r="P358" i="4"/>
  <c r="P351" i="4"/>
  <c r="P341" i="4"/>
  <c r="P325" i="4"/>
  <c r="P309" i="4"/>
  <c r="P293" i="4"/>
  <c r="P277" i="4"/>
  <c r="P261" i="4"/>
  <c r="P245" i="4"/>
  <c r="P229" i="4"/>
  <c r="P213" i="4"/>
  <c r="P197" i="4"/>
  <c r="P181" i="4"/>
  <c r="P165" i="4"/>
  <c r="P149" i="4"/>
  <c r="P133" i="4"/>
  <c r="P517" i="4"/>
  <c r="P513" i="4"/>
  <c r="P509" i="4"/>
  <c r="P505" i="4"/>
  <c r="P501" i="4"/>
  <c r="P497" i="4"/>
  <c r="P493" i="4"/>
  <c r="P489" i="4"/>
  <c r="P485" i="4"/>
  <c r="P481" i="4"/>
  <c r="P477" i="4"/>
  <c r="P473" i="4"/>
  <c r="P469" i="4"/>
  <c r="P465" i="4"/>
  <c r="P461" i="4"/>
  <c r="P457" i="4"/>
  <c r="P453" i="4"/>
  <c r="P449" i="4"/>
  <c r="P445" i="4"/>
  <c r="P441" i="4"/>
  <c r="P437" i="4"/>
  <c r="P433" i="4"/>
  <c r="P429" i="4"/>
  <c r="P425" i="4"/>
  <c r="P421" i="4"/>
  <c r="P417" i="4"/>
  <c r="P413" i="4"/>
  <c r="P409" i="4"/>
  <c r="P405" i="4"/>
  <c r="P401" i="4"/>
  <c r="P397" i="4"/>
  <c r="P393" i="4"/>
  <c r="P389" i="4"/>
  <c r="P385" i="4"/>
  <c r="P381" i="4"/>
  <c r="P377" i="4"/>
  <c r="P373" i="4"/>
  <c r="P369" i="4"/>
  <c r="P365" i="4"/>
  <c r="P361" i="4"/>
  <c r="P357" i="4"/>
  <c r="P349" i="4"/>
  <c r="P337" i="4"/>
  <c r="P321" i="4"/>
  <c r="P305" i="4"/>
  <c r="P289" i="4"/>
  <c r="P273" i="4"/>
  <c r="P257" i="4"/>
  <c r="P241" i="4"/>
  <c r="P225" i="4"/>
  <c r="P209" i="4"/>
  <c r="P177" i="4"/>
  <c r="P161" i="4"/>
  <c r="P145" i="4"/>
  <c r="P129" i="4"/>
  <c r="P520" i="4"/>
  <c r="P516" i="4"/>
  <c r="P512" i="4"/>
  <c r="P508" i="4"/>
  <c r="P504" i="4"/>
  <c r="P500" i="4"/>
  <c r="P496" i="4"/>
  <c r="P492" i="4"/>
  <c r="P488" i="4"/>
  <c r="P484" i="4"/>
  <c r="P480" i="4"/>
  <c r="P476" i="4"/>
  <c r="P472" i="4"/>
  <c r="P468" i="4"/>
  <c r="P464" i="4"/>
  <c r="P460" i="4"/>
  <c r="P456" i="4"/>
  <c r="P452" i="4"/>
  <c r="P448" i="4"/>
  <c r="P444" i="4"/>
  <c r="P440" i="4"/>
  <c r="P436" i="4"/>
  <c r="P432" i="4"/>
  <c r="P428" i="4"/>
  <c r="P424" i="4"/>
  <c r="P420" i="4"/>
  <c r="P416" i="4"/>
  <c r="P412" i="4"/>
  <c r="P408" i="4"/>
  <c r="P404" i="4"/>
  <c r="P400" i="4"/>
  <c r="P396" i="4"/>
  <c r="P392" i="4"/>
  <c r="P388" i="4"/>
  <c r="P384" i="4"/>
  <c r="P380" i="4"/>
  <c r="P376" i="4"/>
  <c r="P372" i="4"/>
  <c r="P368" i="4"/>
  <c r="P364" i="4"/>
  <c r="P360" i="4"/>
  <c r="P355" i="4"/>
  <c r="P347" i="4"/>
  <c r="P333" i="4"/>
  <c r="P317" i="4"/>
  <c r="P301" i="4"/>
  <c r="P285" i="4"/>
  <c r="P269" i="4"/>
  <c r="P253" i="4"/>
  <c r="P237" i="4"/>
  <c r="P221" i="4"/>
  <c r="P205" i="4"/>
  <c r="P173" i="4"/>
  <c r="P157" i="4"/>
  <c r="P141" i="4"/>
  <c r="P125" i="4"/>
  <c r="F27" i="4"/>
  <c r="F23" i="4"/>
  <c r="F19" i="4"/>
  <c r="F15" i="4"/>
  <c r="F11" i="4"/>
  <c r="F44" i="4"/>
  <c r="F40" i="4"/>
  <c r="F36" i="4"/>
  <c r="F32" i="4"/>
  <c r="F28" i="4"/>
  <c r="F20" i="4"/>
  <c r="F12" i="4"/>
  <c r="F45" i="4"/>
  <c r="F33" i="4"/>
  <c r="F5" i="4"/>
  <c r="F26" i="4"/>
  <c r="F22" i="4"/>
  <c r="F18" i="4"/>
  <c r="F14" i="4"/>
  <c r="F10" i="4"/>
  <c r="F47" i="4"/>
  <c r="F43" i="4"/>
  <c r="F39" i="4"/>
  <c r="F35" i="4"/>
  <c r="F31" i="4"/>
  <c r="F24" i="4"/>
  <c r="F16" i="4"/>
  <c r="F8" i="4"/>
  <c r="F41" i="4"/>
  <c r="F37" i="4"/>
  <c r="F29" i="4"/>
  <c r="F25" i="4"/>
  <c r="F21" i="4"/>
  <c r="F17" i="4"/>
  <c r="F13" i="4"/>
  <c r="F9" i="4"/>
  <c r="F46" i="4"/>
  <c r="F42" i="4"/>
  <c r="F38" i="4"/>
  <c r="F712" i="5"/>
  <c r="E808" i="5"/>
  <c r="E792" i="5"/>
  <c r="E732" i="5"/>
  <c r="E728" i="5"/>
  <c r="E724" i="5"/>
  <c r="E720" i="5"/>
  <c r="E712" i="5"/>
  <c r="E708" i="5"/>
  <c r="E704" i="5"/>
  <c r="E700" i="5"/>
  <c r="E696" i="5"/>
  <c r="E692" i="5"/>
  <c r="E688" i="5"/>
  <c r="E684" i="5"/>
  <c r="E680" i="5"/>
  <c r="E672" i="5"/>
  <c r="E668" i="5"/>
  <c r="E664" i="5"/>
  <c r="E652" i="5"/>
  <c r="E648" i="5"/>
  <c r="E644" i="5"/>
  <c r="E636" i="5"/>
  <c r="E616" i="5"/>
  <c r="E612" i="5"/>
  <c r="E604" i="5"/>
  <c r="E600" i="5"/>
  <c r="E596" i="5"/>
  <c r="E592" i="5"/>
  <c r="E585" i="5"/>
  <c r="E577" i="5"/>
  <c r="E561" i="5"/>
  <c r="E553" i="5"/>
  <c r="E537" i="5"/>
  <c r="E529" i="5"/>
  <c r="E521" i="5"/>
  <c r="E505" i="5"/>
  <c r="E497" i="5"/>
  <c r="E481" i="5"/>
  <c r="E473" i="5"/>
  <c r="E465" i="5"/>
  <c r="E457" i="5"/>
  <c r="E449" i="5"/>
  <c r="E441" i="5"/>
  <c r="E397" i="5"/>
  <c r="E389" i="5"/>
  <c r="E379" i="5"/>
  <c r="E363" i="5"/>
  <c r="E347" i="5"/>
  <c r="E331" i="5"/>
  <c r="E263" i="5"/>
  <c r="E247" i="5"/>
  <c r="E231" i="5"/>
  <c r="E215" i="5"/>
  <c r="E199" i="5"/>
  <c r="E183" i="5"/>
  <c r="E167" i="5"/>
  <c r="E151" i="5"/>
  <c r="E135" i="5"/>
  <c r="E119" i="5"/>
  <c r="E103" i="5"/>
  <c r="E87" i="5"/>
  <c r="E71" i="5"/>
  <c r="E55" i="5"/>
  <c r="E39" i="5"/>
  <c r="E23" i="5"/>
  <c r="E807" i="5"/>
  <c r="E803" i="5"/>
  <c r="E795" i="5"/>
  <c r="E791" i="5"/>
  <c r="E731" i="5"/>
  <c r="E727" i="5"/>
  <c r="E723" i="5"/>
  <c r="E719" i="5"/>
  <c r="E715" i="5"/>
  <c r="E711" i="5"/>
  <c r="E707" i="5"/>
  <c r="E703" i="5"/>
  <c r="E699" i="5"/>
  <c r="E695" i="5"/>
  <c r="E691" i="5"/>
  <c r="E687" i="5"/>
  <c r="E683" i="5"/>
  <c r="E671" i="5"/>
  <c r="E667" i="5"/>
  <c r="E663" i="5"/>
  <c r="E655" i="5"/>
  <c r="E651" i="5"/>
  <c r="E647" i="5"/>
  <c r="E643" i="5"/>
  <c r="E639" i="5"/>
  <c r="E635" i="5"/>
  <c r="E619" i="5"/>
  <c r="E615" i="5"/>
  <c r="E611" i="5"/>
  <c r="E607" i="5"/>
  <c r="E603" i="5"/>
  <c r="E599" i="5"/>
  <c r="E595" i="5"/>
  <c r="E590" i="5"/>
  <c r="E582" i="5"/>
  <c r="E574" i="5"/>
  <c r="E558" i="5"/>
  <c r="E550" i="5"/>
  <c r="E542" i="5"/>
  <c r="E534" i="5"/>
  <c r="E526" i="5"/>
  <c r="E518" i="5"/>
  <c r="E510" i="5"/>
  <c r="E502" i="5"/>
  <c r="E478" i="5"/>
  <c r="E470" i="5"/>
  <c r="E462" i="5"/>
  <c r="E454" i="5"/>
  <c r="E446" i="5"/>
  <c r="E402" i="5"/>
  <c r="E394" i="5"/>
  <c r="E372" i="5"/>
  <c r="E356" i="5"/>
  <c r="E340" i="5"/>
  <c r="E256" i="5"/>
  <c r="E240" i="5"/>
  <c r="E224" i="5"/>
  <c r="E208" i="5"/>
  <c r="E192" i="5"/>
  <c r="E176" i="5"/>
  <c r="E160" i="5"/>
  <c r="E144" i="5"/>
  <c r="E128" i="5"/>
  <c r="E112" i="5"/>
  <c r="E96" i="5"/>
  <c r="E80" i="5"/>
  <c r="E64" i="5"/>
  <c r="E48" i="5"/>
  <c r="E32" i="5"/>
  <c r="E809" i="5"/>
  <c r="E805" i="5"/>
  <c r="E797" i="5"/>
  <c r="E793" i="5"/>
  <c r="E729" i="5"/>
  <c r="E725" i="5"/>
  <c r="E717" i="5"/>
  <c r="E713" i="5"/>
  <c r="E709" i="5"/>
  <c r="E705" i="5"/>
  <c r="E701" i="5"/>
  <c r="E697" i="5"/>
  <c r="E693" i="5"/>
  <c r="E689" i="5"/>
  <c r="E685" i="5"/>
  <c r="E681" i="5"/>
  <c r="E673" i="5"/>
  <c r="E669" i="5"/>
  <c r="E665" i="5"/>
  <c r="E653" i="5"/>
  <c r="E649" i="5"/>
  <c r="E645" i="5"/>
  <c r="E641" i="5"/>
  <c r="E637" i="5"/>
  <c r="E633" i="5"/>
  <c r="E617" i="5"/>
  <c r="E613" i="5"/>
  <c r="E609" i="5"/>
  <c r="E605" i="5"/>
  <c r="E601" i="5"/>
  <c r="E597" i="5"/>
  <c r="E593" i="5"/>
  <c r="E586" i="5"/>
  <c r="E578" i="5"/>
  <c r="E570" i="5"/>
  <c r="E562" i="5"/>
  <c r="E554" i="5"/>
  <c r="E546" i="5"/>
  <c r="E530" i="5"/>
  <c r="E506" i="5"/>
  <c r="E498" i="5"/>
  <c r="E482" i="5"/>
  <c r="E474" i="5"/>
  <c r="E466" i="5"/>
  <c r="E458" i="5"/>
  <c r="E450" i="5"/>
  <c r="E398" i="5"/>
  <c r="E390" i="5"/>
  <c r="E364" i="5"/>
  <c r="E348" i="5"/>
  <c r="E332" i="5"/>
  <c r="E264" i="5"/>
  <c r="E248" i="5"/>
  <c r="E232" i="5"/>
  <c r="E216" i="5"/>
  <c r="E200" i="5"/>
  <c r="E184" i="5"/>
  <c r="E168" i="5"/>
  <c r="E152" i="5"/>
  <c r="E136" i="5"/>
  <c r="E120" i="5"/>
  <c r="E88" i="5"/>
  <c r="E72" i="5"/>
  <c r="E56" i="5"/>
  <c r="E40" i="5"/>
  <c r="E21" i="5"/>
  <c r="E25" i="5"/>
  <c r="E29" i="5"/>
  <c r="E33" i="5"/>
  <c r="E37" i="5"/>
  <c r="E41" i="5"/>
  <c r="E49" i="5"/>
  <c r="E53" i="5"/>
  <c r="E57" i="5"/>
  <c r="E61" i="5"/>
  <c r="E65" i="5"/>
  <c r="E69" i="5"/>
  <c r="E73" i="5"/>
  <c r="E77" i="5"/>
  <c r="E81" i="5"/>
  <c r="E85" i="5"/>
  <c r="E89" i="5"/>
  <c r="E93" i="5"/>
  <c r="E97" i="5"/>
  <c r="E101" i="5"/>
  <c r="E109" i="5"/>
  <c r="E113" i="5"/>
  <c r="E117" i="5"/>
  <c r="E121" i="5"/>
  <c r="E129" i="5"/>
  <c r="E133" i="5"/>
  <c r="E137" i="5"/>
  <c r="E141" i="5"/>
  <c r="E145" i="5"/>
  <c r="E149" i="5"/>
  <c r="E153" i="5"/>
  <c r="E157" i="5"/>
  <c r="E161" i="5"/>
  <c r="E165" i="5"/>
  <c r="E169" i="5"/>
  <c r="E173" i="5"/>
  <c r="E177" i="5"/>
  <c r="E181" i="5"/>
  <c r="E185" i="5"/>
  <c r="E193" i="5"/>
  <c r="E197" i="5"/>
  <c r="E201" i="5"/>
  <c r="E205" i="5"/>
  <c r="E209" i="5"/>
  <c r="E213" i="5"/>
  <c r="E217" i="5"/>
  <c r="E221" i="5"/>
  <c r="E225" i="5"/>
  <c r="E229" i="5"/>
  <c r="E233" i="5"/>
  <c r="E237" i="5"/>
  <c r="E241" i="5"/>
  <c r="E245" i="5"/>
  <c r="E249" i="5"/>
  <c r="E253" i="5"/>
  <c r="E257" i="5"/>
  <c r="E261" i="5"/>
  <c r="E265" i="5"/>
  <c r="E269" i="5"/>
  <c r="E273" i="5"/>
  <c r="E277" i="5"/>
  <c r="E325" i="5"/>
  <c r="E329" i="5"/>
  <c r="E333" i="5"/>
  <c r="E337" i="5"/>
  <c r="E341" i="5"/>
  <c r="E345" i="5"/>
  <c r="E349" i="5"/>
  <c r="E353" i="5"/>
  <c r="E357" i="5"/>
  <c r="E361" i="5"/>
  <c r="E365" i="5"/>
  <c r="E369" i="5"/>
  <c r="E373" i="5"/>
  <c r="E377" i="5"/>
  <c r="E22" i="5"/>
  <c r="E26" i="5"/>
  <c r="E30" i="5"/>
  <c r="E34" i="5"/>
  <c r="E38" i="5"/>
  <c r="E42" i="5"/>
  <c r="E46" i="5"/>
  <c r="E50" i="5"/>
  <c r="E54" i="5"/>
  <c r="E58" i="5"/>
  <c r="E62" i="5"/>
  <c r="E66" i="5"/>
  <c r="E70" i="5"/>
  <c r="E74" i="5"/>
  <c r="E78" i="5"/>
  <c r="E82" i="5"/>
  <c r="E86" i="5"/>
  <c r="E90" i="5"/>
  <c r="E94" i="5"/>
  <c r="E98" i="5"/>
  <c r="E102" i="5"/>
  <c r="E106" i="5"/>
  <c r="E110" i="5"/>
  <c r="E114" i="5"/>
  <c r="E118" i="5"/>
  <c r="E122" i="5"/>
  <c r="E130" i="5"/>
  <c r="E134" i="5"/>
  <c r="E138" i="5"/>
  <c r="E142" i="5"/>
  <c r="E146" i="5"/>
  <c r="E150" i="5"/>
  <c r="E154" i="5"/>
  <c r="E158" i="5"/>
  <c r="E162" i="5"/>
  <c r="E166" i="5"/>
  <c r="E170" i="5"/>
  <c r="E174" i="5"/>
  <c r="E178" i="5"/>
  <c r="E182" i="5"/>
  <c r="E186" i="5"/>
  <c r="E190" i="5"/>
  <c r="E194" i="5"/>
  <c r="E198" i="5"/>
  <c r="E202" i="5"/>
  <c r="E206" i="5"/>
  <c r="E210" i="5"/>
  <c r="E214" i="5"/>
  <c r="E218" i="5"/>
  <c r="E222" i="5"/>
  <c r="E226" i="5"/>
  <c r="E230" i="5"/>
  <c r="E234" i="5"/>
  <c r="E238" i="5"/>
  <c r="E242" i="5"/>
  <c r="E246" i="5"/>
  <c r="E250" i="5"/>
  <c r="E254" i="5"/>
  <c r="E258" i="5"/>
  <c r="E262" i="5"/>
  <c r="E266" i="5"/>
  <c r="E270" i="5"/>
  <c r="E274" i="5"/>
  <c r="E326" i="5"/>
  <c r="E330" i="5"/>
  <c r="E334" i="5"/>
  <c r="E338" i="5"/>
  <c r="E342" i="5"/>
  <c r="E346" i="5"/>
  <c r="E350" i="5"/>
  <c r="E354" i="5"/>
  <c r="E358" i="5"/>
  <c r="E362" i="5"/>
  <c r="E366" i="5"/>
  <c r="E370" i="5"/>
  <c r="E374" i="5"/>
  <c r="E378" i="5"/>
  <c r="E27" i="5"/>
  <c r="E35" i="5"/>
  <c r="E43" i="5"/>
  <c r="E51" i="5"/>
  <c r="E59" i="5"/>
  <c r="E67" i="5"/>
  <c r="E75" i="5"/>
  <c r="E83" i="5"/>
  <c r="E91" i="5"/>
  <c r="E107" i="5"/>
  <c r="E115" i="5"/>
  <c r="E123" i="5"/>
  <c r="E131" i="5"/>
  <c r="E139" i="5"/>
  <c r="E147" i="5"/>
  <c r="E155" i="5"/>
  <c r="E163" i="5"/>
  <c r="E171" i="5"/>
  <c r="E179" i="5"/>
  <c r="E187" i="5"/>
  <c r="E195" i="5"/>
  <c r="E203" i="5"/>
  <c r="E211" i="5"/>
  <c r="E219" i="5"/>
  <c r="E227" i="5"/>
  <c r="E235" i="5"/>
  <c r="E243" i="5"/>
  <c r="E251" i="5"/>
  <c r="E259" i="5"/>
  <c r="E267" i="5"/>
  <c r="E275" i="5"/>
  <c r="E327" i="5"/>
  <c r="E335" i="5"/>
  <c r="E343" i="5"/>
  <c r="E351" i="5"/>
  <c r="E359" i="5"/>
  <c r="E367" i="5"/>
  <c r="E375" i="5"/>
  <c r="E391" i="5"/>
  <c r="E395" i="5"/>
  <c r="E399" i="5"/>
  <c r="E403" i="5"/>
  <c r="E443" i="5"/>
  <c r="E447" i="5"/>
  <c r="E451" i="5"/>
  <c r="E455" i="5"/>
  <c r="E459" i="5"/>
  <c r="E463" i="5"/>
  <c r="E467" i="5"/>
  <c r="E479" i="5"/>
  <c r="E495" i="5"/>
  <c r="E499" i="5"/>
  <c r="E503" i="5"/>
  <c r="E507" i="5"/>
  <c r="E511" i="5"/>
  <c r="E523" i="5"/>
  <c r="E527" i="5"/>
  <c r="E531" i="5"/>
  <c r="E535" i="5"/>
  <c r="E543" i="5"/>
  <c r="E547" i="5"/>
  <c r="E551" i="5"/>
  <c r="E555" i="5"/>
  <c r="E559" i="5"/>
  <c r="E563" i="5"/>
  <c r="E571" i="5"/>
  <c r="E575" i="5"/>
  <c r="E579" i="5"/>
  <c r="E583" i="5"/>
  <c r="E587" i="5"/>
  <c r="E591" i="5"/>
  <c r="E20" i="5"/>
  <c r="E28" i="5"/>
  <c r="E36" i="5"/>
  <c r="E44" i="5"/>
  <c r="E52" i="5"/>
  <c r="E60" i="5"/>
  <c r="E68" i="5"/>
  <c r="E76" i="5"/>
  <c r="E84" i="5"/>
  <c r="E92" i="5"/>
  <c r="E100" i="5"/>
  <c r="E108" i="5"/>
  <c r="E116" i="5"/>
  <c r="E132" i="5"/>
  <c r="E140" i="5"/>
  <c r="E148" i="5"/>
  <c r="E156" i="5"/>
  <c r="E164" i="5"/>
  <c r="E172" i="5"/>
  <c r="E180" i="5"/>
  <c r="E196" i="5"/>
  <c r="E204" i="5"/>
  <c r="E212" i="5"/>
  <c r="E220" i="5"/>
  <c r="E228" i="5"/>
  <c r="E236" i="5"/>
  <c r="E244" i="5"/>
  <c r="E252" i="5"/>
  <c r="E260" i="5"/>
  <c r="E268" i="5"/>
  <c r="E276" i="5"/>
  <c r="E328" i="5"/>
  <c r="E336" i="5"/>
  <c r="E344" i="5"/>
  <c r="E352" i="5"/>
  <c r="E360" i="5"/>
  <c r="E368" i="5"/>
  <c r="E376" i="5"/>
  <c r="E388" i="5"/>
  <c r="E392" i="5"/>
  <c r="E396" i="5"/>
  <c r="E400" i="5"/>
  <c r="E444" i="5"/>
  <c r="E448" i="5"/>
  <c r="E452" i="5"/>
  <c r="E456" i="5"/>
  <c r="E460" i="5"/>
  <c r="E464" i="5"/>
  <c r="E468" i="5"/>
  <c r="E480" i="5"/>
  <c r="E496" i="5"/>
  <c r="E500" i="5"/>
  <c r="E504" i="5"/>
  <c r="E508" i="5"/>
  <c r="E524" i="5"/>
  <c r="E528" i="5"/>
  <c r="E532" i="5"/>
  <c r="E540" i="5"/>
  <c r="E544" i="5"/>
  <c r="E548" i="5"/>
  <c r="E552" i="5"/>
  <c r="E556" i="5"/>
  <c r="E560" i="5"/>
  <c r="E564" i="5"/>
  <c r="E572" i="5"/>
  <c r="E576" i="5"/>
  <c r="E580" i="5"/>
  <c r="E584" i="5"/>
  <c r="E588" i="5"/>
  <c r="E806" i="5"/>
  <c r="E802" i="5"/>
  <c r="E798" i="5"/>
  <c r="E794" i="5"/>
  <c r="E730" i="5"/>
  <c r="E726" i="5"/>
  <c r="E722" i="5"/>
  <c r="E718" i="5"/>
  <c r="E714" i="5"/>
  <c r="E710" i="5"/>
  <c r="E706" i="5"/>
  <c r="E702" i="5"/>
  <c r="E698" i="5"/>
  <c r="E694" i="5"/>
  <c r="E690" i="5"/>
  <c r="E686" i="5"/>
  <c r="E682" i="5"/>
  <c r="E670" i="5"/>
  <c r="E666" i="5"/>
  <c r="E654" i="5"/>
  <c r="E650" i="5"/>
  <c r="E646" i="5"/>
  <c r="E642" i="5"/>
  <c r="E638" i="5"/>
  <c r="E634" i="5"/>
  <c r="E618" i="5"/>
  <c r="E614" i="5"/>
  <c r="E610" i="5"/>
  <c r="E606" i="5"/>
  <c r="E602" i="5"/>
  <c r="E598" i="5"/>
  <c r="E594" i="5"/>
  <c r="E589" i="5"/>
  <c r="E581" i="5"/>
  <c r="E573" i="5"/>
  <c r="E549" i="5"/>
  <c r="E541" i="5"/>
  <c r="E533" i="5"/>
  <c r="E525" i="5"/>
  <c r="E509" i="5"/>
  <c r="E501" i="5"/>
  <c r="E477" i="5"/>
  <c r="E461" i="5"/>
  <c r="E453" i="5"/>
  <c r="E445" i="5"/>
  <c r="E401" i="5"/>
  <c r="E393" i="5"/>
  <c r="E371" i="5"/>
  <c r="E355" i="5"/>
  <c r="E339" i="5"/>
  <c r="E255" i="5"/>
  <c r="E239" i="5"/>
  <c r="E223" i="5"/>
  <c r="E207" i="5"/>
  <c r="E191" i="5"/>
  <c r="E175" i="5"/>
  <c r="E159" i="5"/>
  <c r="E143" i="5"/>
  <c r="E111" i="5"/>
  <c r="E95" i="5"/>
  <c r="E79" i="5"/>
  <c r="E63" i="5"/>
  <c r="E47" i="5"/>
  <c r="E31" i="5"/>
  <c r="F791" i="5"/>
  <c r="F695" i="5"/>
  <c r="F647" i="5"/>
  <c r="F587" i="5"/>
  <c r="F443" i="5"/>
  <c r="F359" i="5"/>
  <c r="F275" i="5"/>
  <c r="F227" i="5"/>
  <c r="F179" i="5"/>
  <c r="F131" i="5"/>
  <c r="F83" i="5"/>
  <c r="F35" i="5"/>
  <c r="F731" i="5"/>
  <c r="F683" i="5"/>
  <c r="F635" i="5"/>
  <c r="F575" i="5"/>
  <c r="F527" i="5"/>
  <c r="F479" i="5"/>
  <c r="F395" i="5"/>
  <c r="F347" i="5"/>
  <c r="F263" i="5"/>
  <c r="F215" i="5"/>
  <c r="F167" i="5"/>
  <c r="F119" i="5"/>
  <c r="F71" i="5"/>
  <c r="F23" i="5"/>
  <c r="F719" i="5"/>
  <c r="F671" i="5"/>
  <c r="F611" i="5"/>
  <c r="F563" i="5"/>
  <c r="F467" i="5"/>
  <c r="F335" i="5"/>
  <c r="F251" i="5"/>
  <c r="F203" i="5"/>
  <c r="F155" i="5"/>
  <c r="F107" i="5"/>
  <c r="F59" i="5"/>
  <c r="F11" i="5"/>
  <c r="F795" i="5"/>
  <c r="F699" i="5"/>
  <c r="F651" i="5"/>
  <c r="F591" i="5"/>
  <c r="F543" i="5"/>
  <c r="F495" i="5"/>
  <c r="F447" i="5"/>
  <c r="F363" i="5"/>
  <c r="F231" i="5"/>
  <c r="F183" i="5"/>
  <c r="F135" i="5"/>
  <c r="F87" i="5"/>
  <c r="F39" i="5"/>
  <c r="F687" i="5"/>
  <c r="F639" i="5"/>
  <c r="F579" i="5"/>
  <c r="F531" i="5"/>
  <c r="F399" i="5"/>
  <c r="F351" i="5"/>
  <c r="F267" i="5"/>
  <c r="F219" i="5"/>
  <c r="F171" i="5"/>
  <c r="F123" i="5"/>
  <c r="F75" i="5"/>
  <c r="F27" i="5"/>
  <c r="F723" i="5"/>
  <c r="F615" i="5"/>
  <c r="F339" i="5"/>
  <c r="F255" i="5"/>
  <c r="F207" i="5"/>
  <c r="F159" i="5"/>
  <c r="F111" i="5"/>
  <c r="F63" i="5"/>
  <c r="F15" i="5"/>
  <c r="F8" i="5"/>
  <c r="F56" i="5"/>
  <c r="F152" i="5"/>
  <c r="F200" i="5"/>
  <c r="F248" i="5"/>
  <c r="F332" i="5"/>
  <c r="F464" i="5"/>
  <c r="F560" i="5"/>
  <c r="F668" i="5"/>
  <c r="F19" i="5"/>
  <c r="F67" i="5"/>
  <c r="F115" i="5"/>
  <c r="F163" i="5"/>
  <c r="F211" i="5"/>
  <c r="F259" i="5"/>
  <c r="F343" i="5"/>
  <c r="F391" i="5"/>
  <c r="F523" i="5"/>
  <c r="F571" i="5"/>
  <c r="F619" i="5"/>
  <c r="F727" i="5"/>
  <c r="F18" i="5"/>
  <c r="F66" i="5"/>
  <c r="F114" i="5"/>
  <c r="F162" i="5"/>
  <c r="F258" i="5"/>
  <c r="F342" i="5"/>
  <c r="F390" i="5"/>
  <c r="F474" i="5"/>
  <c r="F570" i="5"/>
  <c r="F618" i="5"/>
  <c r="F726" i="5"/>
  <c r="F13" i="5"/>
  <c r="F61" i="5"/>
  <c r="F109" i="5"/>
  <c r="F157" i="5"/>
  <c r="F205" i="5"/>
  <c r="F253" i="5"/>
  <c r="F337" i="5"/>
  <c r="F613" i="5"/>
  <c r="F673" i="5"/>
  <c r="F806" i="5"/>
  <c r="F194" i="5"/>
  <c r="F458" i="5"/>
  <c r="F101" i="5"/>
  <c r="F329" i="5"/>
  <c r="F807" i="5"/>
  <c r="F195" i="5"/>
  <c r="F459" i="5"/>
  <c r="F663" i="5"/>
  <c r="F93" i="5"/>
  <c r="F549" i="5"/>
  <c r="F802" i="5"/>
  <c r="F190" i="5"/>
  <c r="F454" i="5"/>
  <c r="F95" i="5"/>
  <c r="F551" i="5"/>
  <c r="F20" i="5"/>
  <c r="F68" i="5"/>
  <c r="F116" i="5"/>
  <c r="F164" i="5"/>
  <c r="F212" i="5"/>
  <c r="F260" i="5"/>
  <c r="F344" i="5"/>
  <c r="F392" i="5"/>
  <c r="F524" i="5"/>
  <c r="F572" i="5"/>
  <c r="F680" i="5"/>
  <c r="F728" i="5"/>
  <c r="F31" i="5"/>
  <c r="F79" i="5"/>
  <c r="F175" i="5"/>
  <c r="F223" i="5"/>
  <c r="F355" i="5"/>
  <c r="F403" i="5"/>
  <c r="F535" i="5"/>
  <c r="F583" i="5"/>
  <c r="F643" i="5"/>
  <c r="F691" i="5"/>
  <c r="F30" i="5"/>
  <c r="F78" i="5"/>
  <c r="F174" i="5"/>
  <c r="F222" i="5"/>
  <c r="F270" i="5"/>
  <c r="F354" i="5"/>
  <c r="F402" i="5"/>
  <c r="F534" i="5"/>
  <c r="F582" i="5"/>
  <c r="F642" i="5"/>
  <c r="F690" i="5"/>
  <c r="F25" i="5"/>
  <c r="F73" i="5"/>
  <c r="F121" i="5"/>
  <c r="F169" i="5"/>
  <c r="F217" i="5"/>
  <c r="F265" i="5"/>
  <c r="F349" i="5"/>
  <c r="F397" i="5"/>
  <c r="F481" i="5"/>
  <c r="F529" i="5"/>
  <c r="F577" i="5"/>
  <c r="F637" i="5"/>
  <c r="F50" i="5"/>
  <c r="F242" i="5"/>
  <c r="F506" i="5"/>
  <c r="F710" i="5"/>
  <c r="F149" i="5"/>
  <c r="F377" i="5"/>
  <c r="F51" i="5"/>
  <c r="F243" i="5"/>
  <c r="F507" i="5"/>
  <c r="F711" i="5"/>
  <c r="F141" i="5"/>
  <c r="F369" i="5"/>
  <c r="F46" i="5"/>
  <c r="F238" i="5"/>
  <c r="F502" i="5"/>
  <c r="F706" i="5"/>
  <c r="F143" i="5"/>
  <c r="F371" i="5"/>
  <c r="F599" i="5"/>
  <c r="F693" i="5"/>
  <c r="F645" i="5"/>
  <c r="F585" i="5"/>
  <c r="F537" i="5"/>
  <c r="F441" i="5"/>
  <c r="F357" i="5"/>
  <c r="F273" i="5"/>
  <c r="F225" i="5"/>
  <c r="F177" i="5"/>
  <c r="F129" i="5"/>
  <c r="F81" i="5"/>
  <c r="F33" i="5"/>
  <c r="F729" i="5"/>
  <c r="F681" i="5"/>
  <c r="F633" i="5"/>
  <c r="F573" i="5"/>
  <c r="F525" i="5"/>
  <c r="F477" i="5"/>
  <c r="F393" i="5"/>
  <c r="F345" i="5"/>
  <c r="F261" i="5"/>
  <c r="F213" i="5"/>
  <c r="F165" i="5"/>
  <c r="F117" i="5"/>
  <c r="F69" i="5"/>
  <c r="F21" i="5"/>
  <c r="F717" i="5"/>
  <c r="F669" i="5"/>
  <c r="F609" i="5"/>
  <c r="F561" i="5"/>
  <c r="F465" i="5"/>
  <c r="F333" i="5"/>
  <c r="F249" i="5"/>
  <c r="F201" i="5"/>
  <c r="F153" i="5"/>
  <c r="F57" i="5"/>
  <c r="F9" i="5"/>
  <c r="F793" i="5"/>
  <c r="F797" i="5"/>
  <c r="F701" i="5"/>
  <c r="F653" i="5"/>
  <c r="F593" i="5"/>
  <c r="F497" i="5"/>
  <c r="F449" i="5"/>
  <c r="F365" i="5"/>
  <c r="F233" i="5"/>
  <c r="F185" i="5"/>
  <c r="F137" i="5"/>
  <c r="F89" i="5"/>
  <c r="F41" i="5"/>
  <c r="F689" i="5"/>
  <c r="F641" i="5"/>
  <c r="F581" i="5"/>
  <c r="F533" i="5"/>
  <c r="F401" i="5"/>
  <c r="F353" i="5"/>
  <c r="F269" i="5"/>
  <c r="F221" i="5"/>
  <c r="F173" i="5"/>
  <c r="F77" i="5"/>
  <c r="F29" i="5"/>
  <c r="F725" i="5"/>
  <c r="F617" i="5"/>
  <c r="F521" i="5"/>
  <c r="F473" i="5"/>
  <c r="F389" i="5"/>
  <c r="F341" i="5"/>
  <c r="F257" i="5"/>
  <c r="F209" i="5"/>
  <c r="F161" i="5"/>
  <c r="F113" i="5"/>
  <c r="F65" i="5"/>
  <c r="F17" i="5"/>
  <c r="F32" i="5"/>
  <c r="F80" i="5"/>
  <c r="F128" i="5"/>
  <c r="F176" i="5"/>
  <c r="F224" i="5"/>
  <c r="F356" i="5"/>
  <c r="F584" i="5"/>
  <c r="F644" i="5"/>
  <c r="F692" i="5"/>
  <c r="F43" i="5"/>
  <c r="F91" i="5"/>
  <c r="F139" i="5"/>
  <c r="F187" i="5"/>
  <c r="F235" i="5"/>
  <c r="F367" i="5"/>
  <c r="F451" i="5"/>
  <c r="F499" i="5"/>
  <c r="F547" i="5"/>
  <c r="F595" i="5"/>
  <c r="F655" i="5"/>
  <c r="F703" i="5"/>
  <c r="F42" i="5"/>
  <c r="F90" i="5"/>
  <c r="F138" i="5"/>
  <c r="F186" i="5"/>
  <c r="F234" i="5"/>
  <c r="F366" i="5"/>
  <c r="F450" i="5"/>
  <c r="F498" i="5"/>
  <c r="F546" i="5"/>
  <c r="F594" i="5"/>
  <c r="F654" i="5"/>
  <c r="F702" i="5"/>
  <c r="F798" i="5"/>
  <c r="F37" i="5"/>
  <c r="F85" i="5"/>
  <c r="F133" i="5"/>
  <c r="F181" i="5"/>
  <c r="F229" i="5"/>
  <c r="F277" i="5"/>
  <c r="F361" i="5"/>
  <c r="F445" i="5"/>
  <c r="F541" i="5"/>
  <c r="F589" i="5"/>
  <c r="F649" i="5"/>
  <c r="F697" i="5"/>
  <c r="F98" i="5"/>
  <c r="F326" i="5"/>
  <c r="F809" i="5"/>
  <c r="F197" i="5"/>
  <c r="F461" i="5"/>
  <c r="F665" i="5"/>
  <c r="F327" i="5"/>
  <c r="F555" i="5"/>
  <c r="F453" i="5"/>
  <c r="F94" i="5"/>
  <c r="F803" i="5"/>
  <c r="F191" i="5"/>
  <c r="F455" i="5"/>
  <c r="F694" i="5"/>
  <c r="F646" i="5"/>
  <c r="F586" i="5"/>
  <c r="F358" i="5"/>
  <c r="F274" i="5"/>
  <c r="F226" i="5"/>
  <c r="F178" i="5"/>
  <c r="F130" i="5"/>
  <c r="F82" i="5"/>
  <c r="F34" i="5"/>
  <c r="F730" i="5"/>
  <c r="F682" i="5"/>
  <c r="F634" i="5"/>
  <c r="F574" i="5"/>
  <c r="F526" i="5"/>
  <c r="F478" i="5"/>
  <c r="F394" i="5"/>
  <c r="F346" i="5"/>
  <c r="F262" i="5"/>
  <c r="F214" i="5"/>
  <c r="F166" i="5"/>
  <c r="F118" i="5"/>
  <c r="F70" i="5"/>
  <c r="F22" i="5"/>
  <c r="F718" i="5"/>
  <c r="F670" i="5"/>
  <c r="F610" i="5"/>
  <c r="F562" i="5"/>
  <c r="F466" i="5"/>
  <c r="F334" i="5"/>
  <c r="F250" i="5"/>
  <c r="F202" i="5"/>
  <c r="F154" i="5"/>
  <c r="F106" i="5"/>
  <c r="F58" i="5"/>
  <c r="F10" i="5"/>
  <c r="F794" i="5"/>
  <c r="F698" i="5"/>
  <c r="F650" i="5"/>
  <c r="F590" i="5"/>
  <c r="F542" i="5"/>
  <c r="F446" i="5"/>
  <c r="F362" i="5"/>
  <c r="F230" i="5"/>
  <c r="F182" i="5"/>
  <c r="F134" i="5"/>
  <c r="F86" i="5"/>
  <c r="F38" i="5"/>
  <c r="F686" i="5"/>
  <c r="F638" i="5"/>
  <c r="F578" i="5"/>
  <c r="F530" i="5"/>
  <c r="F482" i="5"/>
  <c r="F398" i="5"/>
  <c r="F350" i="5"/>
  <c r="F266" i="5"/>
  <c r="F218" i="5"/>
  <c r="F170" i="5"/>
  <c r="F122" i="5"/>
  <c r="F74" i="5"/>
  <c r="F26" i="5"/>
  <c r="F722" i="5"/>
  <c r="F614" i="5"/>
  <c r="F518" i="5"/>
  <c r="F470" i="5"/>
  <c r="F338" i="5"/>
  <c r="F254" i="5"/>
  <c r="F206" i="5"/>
  <c r="F158" i="5"/>
  <c r="F110" i="5"/>
  <c r="F62" i="5"/>
  <c r="F14" i="5"/>
  <c r="F44" i="5"/>
  <c r="F92" i="5"/>
  <c r="F140" i="5"/>
  <c r="F236" i="5"/>
  <c r="F368" i="5"/>
  <c r="F452" i="5"/>
  <c r="F500" i="5"/>
  <c r="F548" i="5"/>
  <c r="F596" i="5"/>
  <c r="F704" i="5"/>
  <c r="F55" i="5"/>
  <c r="F103" i="5"/>
  <c r="F151" i="5"/>
  <c r="F199" i="5"/>
  <c r="F247" i="5"/>
  <c r="F331" i="5"/>
  <c r="F379" i="5"/>
  <c r="F463" i="5"/>
  <c r="F511" i="5"/>
  <c r="F559" i="5"/>
  <c r="F607" i="5"/>
  <c r="F667" i="5"/>
  <c r="F54" i="5"/>
  <c r="F102" i="5"/>
  <c r="F150" i="5"/>
  <c r="F198" i="5"/>
  <c r="F246" i="5"/>
  <c r="F330" i="5"/>
  <c r="F378" i="5"/>
  <c r="F462" i="5"/>
  <c r="F510" i="5"/>
  <c r="F558" i="5"/>
  <c r="F606" i="5"/>
  <c r="F666" i="5"/>
  <c r="F805" i="5"/>
  <c r="F49" i="5"/>
  <c r="F97" i="5"/>
  <c r="F145" i="5"/>
  <c r="F193" i="5"/>
  <c r="F241" i="5"/>
  <c r="F325" i="5"/>
  <c r="F373" i="5"/>
  <c r="F457" i="5"/>
  <c r="F505" i="5"/>
  <c r="F553" i="5"/>
  <c r="F601" i="5"/>
  <c r="F709" i="5"/>
  <c r="F146" i="5"/>
  <c r="F374" i="5"/>
  <c r="F602" i="5"/>
  <c r="F53" i="5"/>
  <c r="F245" i="5"/>
  <c r="F509" i="5"/>
  <c r="F713" i="5"/>
  <c r="F147" i="5"/>
  <c r="F375" i="5"/>
  <c r="F603" i="5"/>
  <c r="F45" i="5"/>
  <c r="F237" i="5"/>
  <c r="F501" i="5"/>
  <c r="F705" i="5"/>
  <c r="F142" i="5"/>
  <c r="F370" i="5"/>
  <c r="F598" i="5"/>
  <c r="F47" i="5"/>
  <c r="F239" i="5"/>
  <c r="F503" i="5"/>
  <c r="F707" i="5"/>
  <c r="F28" i="5"/>
  <c r="F76" i="5"/>
  <c r="F172" i="5"/>
  <c r="F220" i="5"/>
  <c r="F268" i="5"/>
  <c r="F352" i="5"/>
  <c r="F400" i="5"/>
  <c r="F532" i="5"/>
  <c r="F580" i="5"/>
  <c r="F688" i="5"/>
  <c r="F24" i="5"/>
  <c r="F72" i="5"/>
  <c r="F120" i="5"/>
  <c r="F168" i="5"/>
  <c r="F216" i="5"/>
  <c r="F264" i="5"/>
  <c r="F348" i="5"/>
  <c r="F396" i="5"/>
  <c r="F480" i="5"/>
  <c r="F528" i="5"/>
  <c r="F576" i="5"/>
  <c r="F636" i="5"/>
  <c r="F684" i="5"/>
  <c r="F732" i="5"/>
  <c r="F40" i="5"/>
  <c r="F88" i="5"/>
  <c r="F136" i="5"/>
  <c r="F184" i="5"/>
  <c r="F232" i="5"/>
  <c r="F364" i="5"/>
  <c r="F448" i="5"/>
  <c r="F496" i="5"/>
  <c r="F544" i="5"/>
  <c r="F592" i="5"/>
  <c r="F652" i="5"/>
  <c r="F700" i="5"/>
  <c r="F36" i="5"/>
  <c r="F84" i="5"/>
  <c r="F132" i="5"/>
  <c r="F180" i="5"/>
  <c r="F228" i="5"/>
  <c r="F276" i="5"/>
  <c r="F360" i="5"/>
  <c r="F444" i="5"/>
  <c r="F540" i="5"/>
  <c r="F588" i="5"/>
  <c r="F648" i="5"/>
  <c r="F696" i="5"/>
  <c r="F792" i="5"/>
  <c r="F16" i="5"/>
  <c r="F64" i="5"/>
  <c r="F112" i="5"/>
  <c r="F160" i="5"/>
  <c r="F208" i="5"/>
  <c r="F256" i="5"/>
  <c r="F340" i="5"/>
  <c r="F388" i="5"/>
  <c r="F616" i="5"/>
  <c r="F724" i="5"/>
  <c r="F12" i="5"/>
  <c r="F60" i="5"/>
  <c r="F108" i="5"/>
  <c r="F156" i="5"/>
  <c r="F204" i="5"/>
  <c r="F252" i="5"/>
  <c r="F336" i="5"/>
  <c r="F468" i="5"/>
  <c r="F564" i="5"/>
  <c r="F612" i="5"/>
  <c r="F672" i="5"/>
  <c r="F720" i="5"/>
  <c r="F808" i="5"/>
  <c r="F52" i="5"/>
  <c r="F100" i="5"/>
  <c r="F148" i="5"/>
  <c r="F196" i="5"/>
  <c r="F244" i="5"/>
  <c r="F328" i="5"/>
  <c r="F376" i="5"/>
  <c r="F460" i="5"/>
  <c r="F508" i="5"/>
  <c r="F556" i="5"/>
  <c r="F604" i="5"/>
  <c r="F664" i="5"/>
  <c r="F48" i="5"/>
  <c r="F96" i="5"/>
  <c r="F144" i="5"/>
  <c r="F192" i="5"/>
  <c r="F240" i="5"/>
  <c r="F372" i="5"/>
  <c r="F456" i="5"/>
  <c r="F504" i="5"/>
  <c r="F552" i="5"/>
  <c r="F600" i="5"/>
  <c r="H68" i="2" l="1"/>
  <c r="H11" i="2"/>
  <c r="H12" i="2"/>
  <c r="H13" i="2"/>
  <c r="H748" i="2"/>
  <c r="H16" i="2"/>
  <c r="G15" i="2"/>
  <c r="H56" i="2" l="1"/>
  <c r="H8" i="2"/>
  <c r="G10" i="2"/>
  <c r="H32" i="2"/>
  <c r="H80" i="2"/>
  <c r="H343" i="2"/>
  <c r="H327" i="2"/>
  <c r="H82" i="2"/>
  <c r="H44" i="2"/>
  <c r="H20" i="2"/>
  <c r="H201" i="2"/>
  <c r="H537" i="2"/>
  <c r="H441" i="2"/>
  <c r="H189" i="2"/>
  <c r="H165" i="2"/>
  <c r="H141" i="2"/>
  <c r="H561" i="2"/>
  <c r="H465" i="2"/>
  <c r="H369" i="2"/>
  <c r="H81" i="2"/>
  <c r="H69" i="2"/>
  <c r="H57" i="2"/>
  <c r="H45" i="2"/>
  <c r="H33" i="2"/>
  <c r="H21" i="2"/>
  <c r="H9" i="2"/>
  <c r="H585" i="2"/>
  <c r="H489" i="2"/>
  <c r="H393" i="2"/>
  <c r="H177" i="2"/>
  <c r="H153" i="2"/>
  <c r="H129" i="2"/>
  <c r="H609" i="2"/>
  <c r="H513" i="2"/>
  <c r="H417" i="2"/>
  <c r="H117" i="2"/>
  <c r="H105" i="2"/>
  <c r="H93" i="2"/>
  <c r="H845" i="2"/>
  <c r="H569" i="2"/>
  <c r="H473" i="2"/>
  <c r="H377" i="2"/>
  <c r="H173" i="2"/>
  <c r="H149" i="2"/>
  <c r="H125" i="2"/>
  <c r="H593" i="2"/>
  <c r="H497" i="2"/>
  <c r="H401" i="2"/>
  <c r="H77" i="2"/>
  <c r="H65" i="2"/>
  <c r="H53" i="2"/>
  <c r="H41" i="2"/>
  <c r="H29" i="2"/>
  <c r="H617" i="2"/>
  <c r="H521" i="2"/>
  <c r="H425" i="2"/>
  <c r="H185" i="2"/>
  <c r="H161" i="2"/>
  <c r="H137" i="2"/>
  <c r="H545" i="2"/>
  <c r="H449" i="2"/>
  <c r="H113" i="2"/>
  <c r="H101" i="2"/>
  <c r="H89" i="2"/>
  <c r="H906" i="2"/>
  <c r="H894" i="2"/>
  <c r="H882" i="2"/>
  <c r="H870" i="2"/>
  <c r="H858" i="2"/>
  <c r="H846" i="2"/>
  <c r="H834" i="2"/>
  <c r="H822" i="2"/>
  <c r="H810" i="2"/>
  <c r="H798" i="2"/>
  <c r="H786" i="2"/>
  <c r="H774" i="2"/>
  <c r="H762" i="2"/>
  <c r="H750" i="2"/>
  <c r="H738" i="2"/>
  <c r="H618" i="2"/>
  <c r="H606" i="2"/>
  <c r="H594" i="2"/>
  <c r="H582" i="2"/>
  <c r="H570" i="2"/>
  <c r="H558" i="2"/>
  <c r="H546" i="2"/>
  <c r="H534" i="2"/>
  <c r="H522" i="2"/>
  <c r="H510" i="2"/>
  <c r="H498" i="2"/>
  <c r="H486" i="2"/>
  <c r="H474" i="2"/>
  <c r="H462" i="2"/>
  <c r="H450" i="2"/>
  <c r="H438" i="2"/>
  <c r="H426" i="2"/>
  <c r="H414" i="2"/>
  <c r="H402" i="2"/>
  <c r="H390" i="2"/>
  <c r="H378" i="2"/>
  <c r="H366" i="2"/>
  <c r="H714" i="2"/>
  <c r="H690" i="2"/>
  <c r="H666" i="2"/>
  <c r="H642" i="2"/>
  <c r="H354" i="2"/>
  <c r="H342" i="2"/>
  <c r="H330" i="2"/>
  <c r="H318" i="2"/>
  <c r="H306" i="2"/>
  <c r="H294" i="2"/>
  <c r="H282" i="2"/>
  <c r="H270" i="2"/>
  <c r="H258" i="2"/>
  <c r="H246" i="2"/>
  <c r="H234" i="2"/>
  <c r="H222" i="2"/>
  <c r="H210" i="2"/>
  <c r="H198" i="2"/>
  <c r="H702" i="2"/>
  <c r="H654" i="2"/>
  <c r="H186" i="2"/>
  <c r="H174" i="2"/>
  <c r="H162" i="2"/>
  <c r="H150" i="2"/>
  <c r="H138" i="2"/>
  <c r="H126" i="2"/>
  <c r="H114" i="2"/>
  <c r="H102" i="2"/>
  <c r="H90" i="2"/>
  <c r="H18" i="2"/>
  <c r="O6" i="2"/>
  <c r="P49" i="2" s="1"/>
  <c r="H605" i="2"/>
  <c r="G11" i="2"/>
  <c r="H902" i="2"/>
  <c r="H890" i="2"/>
  <c r="H878" i="2"/>
  <c r="H866" i="2"/>
  <c r="H854" i="2"/>
  <c r="H842" i="2"/>
  <c r="H830" i="2"/>
  <c r="H818" i="2"/>
  <c r="H806" i="2"/>
  <c r="H794" i="2"/>
  <c r="H782" i="2"/>
  <c r="H770" i="2"/>
  <c r="H758" i="2"/>
  <c r="H746" i="2"/>
  <c r="H614" i="2"/>
  <c r="H602" i="2"/>
  <c r="H590" i="2"/>
  <c r="H578" i="2"/>
  <c r="H566" i="2"/>
  <c r="H554" i="2"/>
  <c r="H542" i="2"/>
  <c r="H530" i="2"/>
  <c r="H518" i="2"/>
  <c r="H506" i="2"/>
  <c r="H494" i="2"/>
  <c r="H482" i="2"/>
  <c r="H470" i="2"/>
  <c r="H458" i="2"/>
  <c r="H446" i="2"/>
  <c r="H434" i="2"/>
  <c r="H422" i="2"/>
  <c r="H410" i="2"/>
  <c r="H398" i="2"/>
  <c r="H386" i="2"/>
  <c r="H374" i="2"/>
  <c r="H722" i="2"/>
  <c r="H698" i="2"/>
  <c r="H674" i="2"/>
  <c r="H650" i="2"/>
  <c r="H626" i="2"/>
  <c r="H362" i="2"/>
  <c r="H350" i="2"/>
  <c r="H338" i="2"/>
  <c r="H326" i="2"/>
  <c r="H314" i="2"/>
  <c r="H302" i="2"/>
  <c r="H290" i="2"/>
  <c r="H278" i="2"/>
  <c r="H266" i="2"/>
  <c r="H254" i="2"/>
  <c r="H242" i="2"/>
  <c r="H230" i="2"/>
  <c r="H218" i="2"/>
  <c r="H206" i="2"/>
  <c r="H734" i="2"/>
  <c r="H686" i="2"/>
  <c r="H638" i="2"/>
  <c r="H194" i="2"/>
  <c r="H182" i="2"/>
  <c r="H170" i="2"/>
  <c r="H158" i="2"/>
  <c r="H146" i="2"/>
  <c r="H134" i="2"/>
  <c r="H122" i="2"/>
  <c r="H110" i="2"/>
  <c r="H98" i="2"/>
  <c r="H86" i="2"/>
  <c r="H14" i="2"/>
  <c r="G14" i="2"/>
  <c r="H899" i="2"/>
  <c r="H875" i="2"/>
  <c r="H851" i="2"/>
  <c r="H827" i="2"/>
  <c r="H803" i="2"/>
  <c r="H779" i="2"/>
  <c r="H731" i="2"/>
  <c r="H719" i="2"/>
  <c r="H707" i="2"/>
  <c r="H695" i="2"/>
  <c r="H683" i="2"/>
  <c r="H671" i="2"/>
  <c r="H659" i="2"/>
  <c r="H647" i="2"/>
  <c r="H635" i="2"/>
  <c r="H623" i="2"/>
  <c r="H887" i="2"/>
  <c r="H839" i="2"/>
  <c r="H791" i="2"/>
  <c r="H767" i="2"/>
  <c r="H743" i="2"/>
  <c r="H863" i="2"/>
  <c r="H755" i="2"/>
  <c r="H611" i="2"/>
  <c r="H599" i="2"/>
  <c r="H587" i="2"/>
  <c r="H575" i="2"/>
  <c r="H563" i="2"/>
  <c r="H551" i="2"/>
  <c r="H539" i="2"/>
  <c r="H527" i="2"/>
  <c r="H515" i="2"/>
  <c r="H503" i="2"/>
  <c r="H491" i="2"/>
  <c r="H479" i="2"/>
  <c r="H467" i="2"/>
  <c r="H455" i="2"/>
  <c r="H443" i="2"/>
  <c r="H431" i="2"/>
  <c r="H419" i="2"/>
  <c r="H407" i="2"/>
  <c r="H395" i="2"/>
  <c r="H383" i="2"/>
  <c r="H371" i="2"/>
  <c r="H815" i="2"/>
  <c r="H22" i="2"/>
  <c r="H24" i="2"/>
  <c r="H26" i="2"/>
  <c r="H28" i="2"/>
  <c r="H30" i="2"/>
  <c r="H34" i="2"/>
  <c r="H36" i="2"/>
  <c r="H38" i="2"/>
  <c r="H40" i="2"/>
  <c r="H42" i="2"/>
  <c r="H46" i="2"/>
  <c r="H48" i="2"/>
  <c r="H50" i="2"/>
  <c r="H52" i="2"/>
  <c r="H54" i="2"/>
  <c r="H58" i="2"/>
  <c r="H60" i="2"/>
  <c r="H62" i="2"/>
  <c r="H64" i="2"/>
  <c r="H66" i="2"/>
  <c r="H70" i="2"/>
  <c r="H72" i="2"/>
  <c r="H74" i="2"/>
  <c r="H76" i="2"/>
  <c r="H78" i="2"/>
  <c r="H85" i="2"/>
  <c r="H97" i="2"/>
  <c r="H109" i="2"/>
  <c r="H121" i="2"/>
  <c r="H127" i="2"/>
  <c r="H135" i="2"/>
  <c r="H143" i="2"/>
  <c r="H151" i="2"/>
  <c r="H159" i="2"/>
  <c r="H167" i="2"/>
  <c r="H175" i="2"/>
  <c r="H183" i="2"/>
  <c r="H191" i="2"/>
  <c r="G201" i="2"/>
  <c r="H215" i="2"/>
  <c r="H231" i="2"/>
  <c r="H247" i="2"/>
  <c r="H263" i="2"/>
  <c r="H279" i="2"/>
  <c r="H295" i="2"/>
  <c r="H311" i="2"/>
  <c r="H359" i="2"/>
  <c r="H385" i="2"/>
  <c r="H481" i="2"/>
  <c r="H577" i="2"/>
  <c r="H662" i="2"/>
  <c r="H726" i="2"/>
  <c r="H907" i="2"/>
  <c r="H883" i="2"/>
  <c r="H859" i="2"/>
  <c r="H835" i="2"/>
  <c r="H811" i="2"/>
  <c r="H787" i="2"/>
  <c r="H727" i="2"/>
  <c r="H715" i="2"/>
  <c r="H703" i="2"/>
  <c r="H691" i="2"/>
  <c r="H679" i="2"/>
  <c r="H667" i="2"/>
  <c r="H655" i="2"/>
  <c r="H643" i="2"/>
  <c r="H631" i="2"/>
  <c r="H871" i="2"/>
  <c r="H823" i="2"/>
  <c r="H775" i="2"/>
  <c r="H751" i="2"/>
  <c r="H895" i="2"/>
  <c r="H799" i="2"/>
  <c r="H739" i="2"/>
  <c r="H619" i="2"/>
  <c r="H607" i="2"/>
  <c r="H595" i="2"/>
  <c r="H583" i="2"/>
  <c r="H571" i="2"/>
  <c r="H559" i="2"/>
  <c r="H547" i="2"/>
  <c r="H535" i="2"/>
  <c r="H523" i="2"/>
  <c r="H511" i="2"/>
  <c r="H499" i="2"/>
  <c r="H487" i="2"/>
  <c r="H475" i="2"/>
  <c r="H463" i="2"/>
  <c r="H451" i="2"/>
  <c r="H439" i="2"/>
  <c r="H427" i="2"/>
  <c r="H415" i="2"/>
  <c r="H403" i="2"/>
  <c r="H391" i="2"/>
  <c r="H379" i="2"/>
  <c r="H367" i="2"/>
  <c r="H763" i="2"/>
  <c r="H199" i="2"/>
  <c r="H847" i="2"/>
  <c r="H877" i="2"/>
  <c r="H891" i="2"/>
  <c r="H867" i="2"/>
  <c r="H843" i="2"/>
  <c r="H819" i="2"/>
  <c r="H795" i="2"/>
  <c r="H735" i="2"/>
  <c r="H723" i="2"/>
  <c r="H711" i="2"/>
  <c r="H699" i="2"/>
  <c r="H687" i="2"/>
  <c r="H675" i="2"/>
  <c r="H663" i="2"/>
  <c r="H651" i="2"/>
  <c r="H639" i="2"/>
  <c r="H627" i="2"/>
  <c r="H903" i="2"/>
  <c r="H855" i="2"/>
  <c r="H807" i="2"/>
  <c r="H759" i="2"/>
  <c r="H831" i="2"/>
  <c r="H771" i="2"/>
  <c r="H615" i="2"/>
  <c r="H603" i="2"/>
  <c r="H591" i="2"/>
  <c r="H579" i="2"/>
  <c r="H567" i="2"/>
  <c r="H555" i="2"/>
  <c r="H543" i="2"/>
  <c r="H531" i="2"/>
  <c r="H519" i="2"/>
  <c r="H507" i="2"/>
  <c r="H495" i="2"/>
  <c r="H483" i="2"/>
  <c r="H471" i="2"/>
  <c r="H459" i="2"/>
  <c r="H447" i="2"/>
  <c r="H435" i="2"/>
  <c r="H423" i="2"/>
  <c r="H411" i="2"/>
  <c r="H399" i="2"/>
  <c r="H387" i="2"/>
  <c r="H375" i="2"/>
  <c r="H879" i="2"/>
  <c r="H783" i="2"/>
  <c r="G907" i="2"/>
  <c r="G905" i="2"/>
  <c r="G903" i="2"/>
  <c r="G901" i="2"/>
  <c r="G899" i="2"/>
  <c r="G897" i="2"/>
  <c r="G895" i="2"/>
  <c r="G893" i="2"/>
  <c r="G891" i="2"/>
  <c r="G889" i="2"/>
  <c r="G887" i="2"/>
  <c r="G885" i="2"/>
  <c r="G883" i="2"/>
  <c r="G881" i="2"/>
  <c r="G879" i="2"/>
  <c r="G877" i="2"/>
  <c r="G875" i="2"/>
  <c r="G873" i="2"/>
  <c r="G871" i="2"/>
  <c r="G867" i="2"/>
  <c r="G865" i="2"/>
  <c r="G863" i="2"/>
  <c r="G861" i="2"/>
  <c r="G859" i="2"/>
  <c r="G855" i="2"/>
  <c r="G853" i="2"/>
  <c r="G851" i="2"/>
  <c r="G849" i="2"/>
  <c r="G847" i="2"/>
  <c r="G845" i="2"/>
  <c r="G843" i="2"/>
  <c r="G841" i="2"/>
  <c r="G839" i="2"/>
  <c r="G837" i="2"/>
  <c r="G835" i="2"/>
  <c r="G833" i="2"/>
  <c r="G831" i="2"/>
  <c r="G829" i="2"/>
  <c r="G827" i="2"/>
  <c r="G825" i="2"/>
  <c r="G823" i="2"/>
  <c r="G819" i="2"/>
  <c r="G817" i="2"/>
  <c r="G815" i="2"/>
  <c r="G813" i="2"/>
  <c r="G811" i="2"/>
  <c r="G809" i="2"/>
  <c r="G807" i="2"/>
  <c r="G805" i="2"/>
  <c r="G803" i="2"/>
  <c r="G801" i="2"/>
  <c r="G799" i="2"/>
  <c r="G797" i="2"/>
  <c r="G795" i="2"/>
  <c r="G793" i="2"/>
  <c r="G791" i="2"/>
  <c r="G789" i="2"/>
  <c r="G787" i="2"/>
  <c r="G785" i="2"/>
  <c r="G783" i="2"/>
  <c r="G781" i="2"/>
  <c r="G779" i="2"/>
  <c r="G777" i="2"/>
  <c r="G775" i="2"/>
  <c r="G773" i="2"/>
  <c r="G771" i="2"/>
  <c r="G769" i="2"/>
  <c r="G767" i="2"/>
  <c r="G765" i="2"/>
  <c r="G763" i="2"/>
  <c r="G761" i="2"/>
  <c r="G759" i="2"/>
  <c r="G757" i="2"/>
  <c r="G755" i="2"/>
  <c r="G753" i="2"/>
  <c r="G751" i="2"/>
  <c r="G749" i="2"/>
  <c r="G747" i="2"/>
  <c r="G745" i="2"/>
  <c r="G743" i="2"/>
  <c r="G741" i="2"/>
  <c r="G739" i="2"/>
  <c r="G906" i="2"/>
  <c r="G904" i="2"/>
  <c r="G902" i="2"/>
  <c r="G900" i="2"/>
  <c r="G898" i="2"/>
  <c r="G896" i="2"/>
  <c r="G894" i="2"/>
  <c r="G892" i="2"/>
  <c r="G890" i="2"/>
  <c r="G888" i="2"/>
  <c r="G886" i="2"/>
  <c r="G884" i="2"/>
  <c r="G882" i="2"/>
  <c r="G880" i="2"/>
  <c r="G878" i="2"/>
  <c r="G876" i="2"/>
  <c r="G874" i="2"/>
  <c r="G872" i="2"/>
  <c r="G868" i="2"/>
  <c r="G866" i="2"/>
  <c r="G864" i="2"/>
  <c r="G862" i="2"/>
  <c r="G860" i="2"/>
  <c r="G854" i="2"/>
  <c r="G852" i="2"/>
  <c r="G850" i="2"/>
  <c r="G848" i="2"/>
  <c r="G846" i="2"/>
  <c r="G844" i="2"/>
  <c r="G842" i="2"/>
  <c r="G840" i="2"/>
  <c r="G838" i="2"/>
  <c r="G836" i="2"/>
  <c r="G834" i="2"/>
  <c r="G832" i="2"/>
  <c r="G830" i="2"/>
  <c r="G828" i="2"/>
  <c r="G826" i="2"/>
  <c r="G824" i="2"/>
  <c r="G822" i="2"/>
  <c r="G820" i="2"/>
  <c r="G818" i="2"/>
  <c r="G816" i="2"/>
  <c r="G814" i="2"/>
  <c r="G812" i="2"/>
  <c r="G810" i="2"/>
  <c r="G808" i="2"/>
  <c r="G806" i="2"/>
  <c r="G804" i="2"/>
  <c r="G802" i="2"/>
  <c r="G800" i="2"/>
  <c r="G798" i="2"/>
  <c r="G796" i="2"/>
  <c r="G794" i="2"/>
  <c r="G792" i="2"/>
  <c r="G790" i="2"/>
  <c r="G788" i="2"/>
  <c r="G786" i="2"/>
  <c r="G784" i="2"/>
  <c r="G782" i="2"/>
  <c r="G780" i="2"/>
  <c r="G778" i="2"/>
  <c r="G776" i="2"/>
  <c r="G774" i="2"/>
  <c r="G772" i="2"/>
  <c r="G770" i="2"/>
  <c r="G768" i="2"/>
  <c r="G766" i="2"/>
  <c r="G764" i="2"/>
  <c r="G762" i="2"/>
  <c r="G760" i="2"/>
  <c r="G758" i="2"/>
  <c r="G756" i="2"/>
  <c r="G754" i="2"/>
  <c r="G752" i="2"/>
  <c r="G750" i="2"/>
  <c r="G748" i="2"/>
  <c r="G746" i="2"/>
  <c r="G744" i="2"/>
  <c r="G742" i="2"/>
  <c r="G740" i="2"/>
  <c r="G738" i="2"/>
  <c r="G736" i="2"/>
  <c r="G734" i="2"/>
  <c r="G732" i="2"/>
  <c r="G730" i="2"/>
  <c r="G726" i="2"/>
  <c r="G724" i="2"/>
  <c r="G722" i="2"/>
  <c r="G720" i="2"/>
  <c r="G718" i="2"/>
  <c r="G714" i="2"/>
  <c r="G712" i="2"/>
  <c r="G710" i="2"/>
  <c r="G708" i="2"/>
  <c r="G706" i="2"/>
  <c r="G704" i="2"/>
  <c r="G702" i="2"/>
  <c r="G700" i="2"/>
  <c r="G698" i="2"/>
  <c r="G696" i="2"/>
  <c r="G694" i="2"/>
  <c r="G692" i="2"/>
  <c r="G690" i="2"/>
  <c r="G688" i="2"/>
  <c r="G686" i="2"/>
  <c r="G684" i="2"/>
  <c r="G682" i="2"/>
  <c r="G680" i="2"/>
  <c r="G678" i="2"/>
  <c r="G676" i="2"/>
  <c r="G674" i="2"/>
  <c r="G672" i="2"/>
  <c r="G670" i="2"/>
  <c r="G668" i="2"/>
  <c r="G666" i="2"/>
  <c r="G664" i="2"/>
  <c r="G662" i="2"/>
  <c r="G660" i="2"/>
  <c r="G658" i="2"/>
  <c r="G656" i="2"/>
  <c r="G654" i="2"/>
  <c r="G652" i="2"/>
  <c r="G650" i="2"/>
  <c r="G648" i="2"/>
  <c r="G646" i="2"/>
  <c r="G644" i="2"/>
  <c r="G642" i="2"/>
  <c r="G640" i="2"/>
  <c r="G638" i="2"/>
  <c r="G636" i="2"/>
  <c r="G634" i="2"/>
  <c r="G632" i="2"/>
  <c r="G630" i="2"/>
  <c r="G628" i="2"/>
  <c r="G626" i="2"/>
  <c r="G624" i="2"/>
  <c r="G622" i="2"/>
  <c r="G737" i="2"/>
  <c r="G733" i="2"/>
  <c r="G725" i="2"/>
  <c r="G721" i="2"/>
  <c r="G713" i="2"/>
  <c r="G709" i="2"/>
  <c r="G705" i="2"/>
  <c r="G701" i="2"/>
  <c r="G697" i="2"/>
  <c r="G693" i="2"/>
  <c r="G689" i="2"/>
  <c r="G685" i="2"/>
  <c r="G681" i="2"/>
  <c r="G677" i="2"/>
  <c r="G673" i="2"/>
  <c r="G669" i="2"/>
  <c r="G665" i="2"/>
  <c r="G661" i="2"/>
  <c r="G657" i="2"/>
  <c r="G653" i="2"/>
  <c r="G649" i="2"/>
  <c r="G645" i="2"/>
  <c r="G641" i="2"/>
  <c r="G637" i="2"/>
  <c r="G633" i="2"/>
  <c r="G629" i="2"/>
  <c r="G625" i="2"/>
  <c r="G621" i="2"/>
  <c r="G619" i="2"/>
  <c r="G617" i="2"/>
  <c r="G615" i="2"/>
  <c r="G613" i="2"/>
  <c r="G611" i="2"/>
  <c r="G609" i="2"/>
  <c r="G607" i="2"/>
  <c r="G605" i="2"/>
  <c r="G603" i="2"/>
  <c r="G601" i="2"/>
  <c r="G599" i="2"/>
  <c r="G597" i="2"/>
  <c r="G595" i="2"/>
  <c r="G593" i="2"/>
  <c r="G591" i="2"/>
  <c r="G589" i="2"/>
  <c r="G587" i="2"/>
  <c r="G585" i="2"/>
  <c r="G583" i="2"/>
  <c r="G581" i="2"/>
  <c r="G579" i="2"/>
  <c r="G577" i="2"/>
  <c r="G575" i="2"/>
  <c r="G573" i="2"/>
  <c r="G571" i="2"/>
  <c r="G569" i="2"/>
  <c r="G567" i="2"/>
  <c r="G565" i="2"/>
  <c r="G563" i="2"/>
  <c r="G561" i="2"/>
  <c r="G559" i="2"/>
  <c r="G557" i="2"/>
  <c r="G555" i="2"/>
  <c r="G553" i="2"/>
  <c r="G551" i="2"/>
  <c r="G549" i="2"/>
  <c r="G547" i="2"/>
  <c r="G545" i="2"/>
  <c r="G543" i="2"/>
  <c r="G541" i="2"/>
  <c r="G539" i="2"/>
  <c r="G537" i="2"/>
  <c r="G535" i="2"/>
  <c r="G533" i="2"/>
  <c r="G531" i="2"/>
  <c r="G529" i="2"/>
  <c r="G527" i="2"/>
  <c r="G525" i="2"/>
  <c r="G523" i="2"/>
  <c r="G521" i="2"/>
  <c r="G519" i="2"/>
  <c r="G517" i="2"/>
  <c r="G515" i="2"/>
  <c r="G513" i="2"/>
  <c r="G511" i="2"/>
  <c r="G509" i="2"/>
  <c r="G507" i="2"/>
  <c r="G505" i="2"/>
  <c r="G503" i="2"/>
  <c r="G501" i="2"/>
  <c r="G499" i="2"/>
  <c r="G497" i="2"/>
  <c r="G495" i="2"/>
  <c r="G493" i="2"/>
  <c r="G491" i="2"/>
  <c r="G489" i="2"/>
  <c r="G487" i="2"/>
  <c r="G485" i="2"/>
  <c r="G483" i="2"/>
  <c r="G481" i="2"/>
  <c r="G479" i="2"/>
  <c r="G477" i="2"/>
  <c r="G475" i="2"/>
  <c r="G473" i="2"/>
  <c r="G471" i="2"/>
  <c r="G469" i="2"/>
  <c r="G467" i="2"/>
  <c r="G465" i="2"/>
  <c r="G463" i="2"/>
  <c r="G461" i="2"/>
  <c r="G459" i="2"/>
  <c r="G457" i="2"/>
  <c r="G455" i="2"/>
  <c r="G453" i="2"/>
  <c r="G451" i="2"/>
  <c r="G449" i="2"/>
  <c r="G447" i="2"/>
  <c r="G445" i="2"/>
  <c r="G443" i="2"/>
  <c r="G441" i="2"/>
  <c r="G439" i="2"/>
  <c r="G437" i="2"/>
  <c r="G435" i="2"/>
  <c r="G433" i="2"/>
  <c r="G431" i="2"/>
  <c r="G429" i="2"/>
  <c r="G427" i="2"/>
  <c r="G425" i="2"/>
  <c r="G423" i="2"/>
  <c r="G421" i="2"/>
  <c r="G419" i="2"/>
  <c r="G417" i="2"/>
  <c r="G415" i="2"/>
  <c r="G413" i="2"/>
  <c r="G411" i="2"/>
  <c r="G409" i="2"/>
  <c r="G407" i="2"/>
  <c r="G405" i="2"/>
  <c r="G403" i="2"/>
  <c r="G401" i="2"/>
  <c r="G399" i="2"/>
  <c r="G397" i="2"/>
  <c r="G395" i="2"/>
  <c r="G393" i="2"/>
  <c r="G391" i="2"/>
  <c r="G389" i="2"/>
  <c r="G387" i="2"/>
  <c r="G385" i="2"/>
  <c r="G383" i="2"/>
  <c r="G381" i="2"/>
  <c r="G379" i="2"/>
  <c r="G377" i="2"/>
  <c r="G375" i="2"/>
  <c r="G373" i="2"/>
  <c r="G371" i="2"/>
  <c r="G369" i="2"/>
  <c r="G367" i="2"/>
  <c r="G731" i="2"/>
  <c r="G723" i="2"/>
  <c r="G715" i="2"/>
  <c r="G707" i="2"/>
  <c r="G699" i="2"/>
  <c r="G691" i="2"/>
  <c r="G683" i="2"/>
  <c r="G675" i="2"/>
  <c r="G667" i="2"/>
  <c r="G659" i="2"/>
  <c r="G651" i="2"/>
  <c r="G643" i="2"/>
  <c r="G635" i="2"/>
  <c r="G627" i="2"/>
  <c r="G620" i="2"/>
  <c r="G616" i="2"/>
  <c r="G612" i="2"/>
  <c r="G608" i="2"/>
  <c r="G604" i="2"/>
  <c r="G600" i="2"/>
  <c r="G596" i="2"/>
  <c r="G592" i="2"/>
  <c r="G588" i="2"/>
  <c r="G584" i="2"/>
  <c r="G580" i="2"/>
  <c r="G576" i="2"/>
  <c r="G572" i="2"/>
  <c r="G568" i="2"/>
  <c r="G564" i="2"/>
  <c r="G560" i="2"/>
  <c r="G556" i="2"/>
  <c r="G552" i="2"/>
  <c r="G548" i="2"/>
  <c r="G544" i="2"/>
  <c r="G540" i="2"/>
  <c r="G536" i="2"/>
  <c r="G532" i="2"/>
  <c r="G528" i="2"/>
  <c r="G524" i="2"/>
  <c r="G520" i="2"/>
  <c r="G516" i="2"/>
  <c r="G512" i="2"/>
  <c r="G508" i="2"/>
  <c r="G504" i="2"/>
  <c r="G500" i="2"/>
  <c r="G496" i="2"/>
  <c r="G492" i="2"/>
  <c r="G488" i="2"/>
  <c r="G484" i="2"/>
  <c r="G480" i="2"/>
  <c r="G476" i="2"/>
  <c r="G472" i="2"/>
  <c r="G468" i="2"/>
  <c r="G464" i="2"/>
  <c r="G460" i="2"/>
  <c r="G456" i="2"/>
  <c r="G452" i="2"/>
  <c r="G448" i="2"/>
  <c r="G444" i="2"/>
  <c r="G440" i="2"/>
  <c r="G436" i="2"/>
  <c r="G432" i="2"/>
  <c r="G428" i="2"/>
  <c r="G424" i="2"/>
  <c r="G420" i="2"/>
  <c r="G416" i="2"/>
  <c r="G412" i="2"/>
  <c r="G408" i="2"/>
  <c r="G404" i="2"/>
  <c r="G400" i="2"/>
  <c r="G396" i="2"/>
  <c r="G392" i="2"/>
  <c r="G388" i="2"/>
  <c r="G384" i="2"/>
  <c r="G380" i="2"/>
  <c r="G376" i="2"/>
  <c r="G372" i="2"/>
  <c r="G368" i="2"/>
  <c r="G365" i="2"/>
  <c r="G363" i="2"/>
  <c r="G361" i="2"/>
  <c r="G359" i="2"/>
  <c r="G357" i="2"/>
  <c r="G355" i="2"/>
  <c r="G353" i="2"/>
  <c r="G351" i="2"/>
  <c r="G349" i="2"/>
  <c r="G347" i="2"/>
  <c r="G345" i="2"/>
  <c r="G343" i="2"/>
  <c r="G341" i="2"/>
  <c r="G339" i="2"/>
  <c r="G337" i="2"/>
  <c r="G335" i="2"/>
  <c r="G333" i="2"/>
  <c r="G331" i="2"/>
  <c r="G329" i="2"/>
  <c r="G327" i="2"/>
  <c r="G325" i="2"/>
  <c r="G323" i="2"/>
  <c r="G321" i="2"/>
  <c r="G319" i="2"/>
  <c r="G317" i="2"/>
  <c r="G315" i="2"/>
  <c r="G313" i="2"/>
  <c r="G311" i="2"/>
  <c r="G309" i="2"/>
  <c r="G307" i="2"/>
  <c r="G305" i="2"/>
  <c r="G303" i="2"/>
  <c r="G301" i="2"/>
  <c r="G299" i="2"/>
  <c r="G297" i="2"/>
  <c r="G295" i="2"/>
  <c r="G293" i="2"/>
  <c r="G291" i="2"/>
  <c r="G289" i="2"/>
  <c r="G287" i="2"/>
  <c r="G285" i="2"/>
  <c r="G283" i="2"/>
  <c r="G281" i="2"/>
  <c r="G279" i="2"/>
  <c r="G277" i="2"/>
  <c r="G275" i="2"/>
  <c r="G273" i="2"/>
  <c r="G271" i="2"/>
  <c r="G269" i="2"/>
  <c r="G267" i="2"/>
  <c r="G265" i="2"/>
  <c r="G263" i="2"/>
  <c r="G261" i="2"/>
  <c r="G259" i="2"/>
  <c r="G257" i="2"/>
  <c r="G255" i="2"/>
  <c r="G253" i="2"/>
  <c r="G251" i="2"/>
  <c r="G249" i="2"/>
  <c r="G247" i="2"/>
  <c r="G245" i="2"/>
  <c r="G243" i="2"/>
  <c r="G241" i="2"/>
  <c r="G239" i="2"/>
  <c r="G237" i="2"/>
  <c r="G235" i="2"/>
  <c r="G233" i="2"/>
  <c r="G231" i="2"/>
  <c r="G229" i="2"/>
  <c r="G227" i="2"/>
  <c r="G225" i="2"/>
  <c r="G223" i="2"/>
  <c r="G221" i="2"/>
  <c r="G219" i="2"/>
  <c r="G217" i="2"/>
  <c r="G215" i="2"/>
  <c r="G213" i="2"/>
  <c r="G211" i="2"/>
  <c r="G209" i="2"/>
  <c r="G207" i="2"/>
  <c r="G205" i="2"/>
  <c r="G735" i="2"/>
  <c r="G719" i="2"/>
  <c r="G703" i="2"/>
  <c r="G687" i="2"/>
  <c r="G671" i="2"/>
  <c r="G655" i="2"/>
  <c r="G639" i="2"/>
  <c r="G623" i="2"/>
  <c r="G614" i="2"/>
  <c r="G606" i="2"/>
  <c r="G598" i="2"/>
  <c r="G590" i="2"/>
  <c r="G582" i="2"/>
  <c r="G574" i="2"/>
  <c r="G566" i="2"/>
  <c r="G558" i="2"/>
  <c r="G550" i="2"/>
  <c r="G542" i="2"/>
  <c r="G534" i="2"/>
  <c r="G526" i="2"/>
  <c r="G518" i="2"/>
  <c r="G510" i="2"/>
  <c r="G502" i="2"/>
  <c r="G494" i="2"/>
  <c r="G486" i="2"/>
  <c r="G478" i="2"/>
  <c r="G470" i="2"/>
  <c r="G462" i="2"/>
  <c r="G454" i="2"/>
  <c r="G446" i="2"/>
  <c r="G438" i="2"/>
  <c r="G430" i="2"/>
  <c r="G422" i="2"/>
  <c r="G414" i="2"/>
  <c r="G406" i="2"/>
  <c r="G398" i="2"/>
  <c r="G390" i="2"/>
  <c r="G382" i="2"/>
  <c r="G374" i="2"/>
  <c r="G366" i="2"/>
  <c r="G362" i="2"/>
  <c r="G358" i="2"/>
  <c r="G354" i="2"/>
  <c r="G350" i="2"/>
  <c r="G346" i="2"/>
  <c r="G342" i="2"/>
  <c r="G338" i="2"/>
  <c r="G334" i="2"/>
  <c r="G330" i="2"/>
  <c r="G326" i="2"/>
  <c r="G322" i="2"/>
  <c r="G318" i="2"/>
  <c r="G314" i="2"/>
  <c r="G310" i="2"/>
  <c r="G306" i="2"/>
  <c r="G302" i="2"/>
  <c r="G298" i="2"/>
  <c r="G294" i="2"/>
  <c r="G290" i="2"/>
  <c r="G286" i="2"/>
  <c r="G282" i="2"/>
  <c r="G278" i="2"/>
  <c r="G274" i="2"/>
  <c r="G270" i="2"/>
  <c r="G266" i="2"/>
  <c r="G262" i="2"/>
  <c r="G258" i="2"/>
  <c r="G254" i="2"/>
  <c r="G250" i="2"/>
  <c r="G246" i="2"/>
  <c r="G242" i="2"/>
  <c r="G238" i="2"/>
  <c r="G234" i="2"/>
  <c r="G230" i="2"/>
  <c r="G226" i="2"/>
  <c r="G222" i="2"/>
  <c r="G218" i="2"/>
  <c r="G214" i="2"/>
  <c r="G210" i="2"/>
  <c r="G206" i="2"/>
  <c r="G203" i="2"/>
  <c r="G200" i="2"/>
  <c r="G195" i="2"/>
  <c r="G193" i="2"/>
  <c r="G191" i="2"/>
  <c r="G189" i="2"/>
  <c r="G187" i="2"/>
  <c r="G185" i="2"/>
  <c r="G183" i="2"/>
  <c r="G181" i="2"/>
  <c r="G179" i="2"/>
  <c r="G177" i="2"/>
  <c r="G175" i="2"/>
  <c r="G173" i="2"/>
  <c r="G171" i="2"/>
  <c r="G169" i="2"/>
  <c r="G167" i="2"/>
  <c r="G165" i="2"/>
  <c r="G163" i="2"/>
  <c r="G161" i="2"/>
  <c r="G159" i="2"/>
  <c r="G157" i="2"/>
  <c r="G155" i="2"/>
  <c r="G153" i="2"/>
  <c r="G151" i="2"/>
  <c r="G149" i="2"/>
  <c r="G147" i="2"/>
  <c r="G145" i="2"/>
  <c r="G143" i="2"/>
  <c r="G141" i="2"/>
  <c r="G139" i="2"/>
  <c r="G137" i="2"/>
  <c r="G135" i="2"/>
  <c r="G133" i="2"/>
  <c r="G131" i="2"/>
  <c r="G129" i="2"/>
  <c r="G127" i="2"/>
  <c r="G125" i="2"/>
  <c r="G123" i="2"/>
  <c r="G121" i="2"/>
  <c r="G119" i="2"/>
  <c r="G117" i="2"/>
  <c r="G115" i="2"/>
  <c r="G113" i="2"/>
  <c r="G111" i="2"/>
  <c r="G109" i="2"/>
  <c r="G107" i="2"/>
  <c r="G105" i="2"/>
  <c r="G103" i="2"/>
  <c r="G101" i="2"/>
  <c r="G99" i="2"/>
  <c r="G97" i="2"/>
  <c r="G95" i="2"/>
  <c r="G93" i="2"/>
  <c r="G91" i="2"/>
  <c r="G89" i="2"/>
  <c r="G87" i="2"/>
  <c r="G85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6" i="2"/>
  <c r="G12" i="2"/>
  <c r="G202" i="2"/>
  <c r="G197" i="2"/>
  <c r="G17" i="2"/>
  <c r="G13" i="2"/>
  <c r="G9" i="2"/>
  <c r="G727" i="2"/>
  <c r="G711" i="2"/>
  <c r="G695" i="2"/>
  <c r="G679" i="2"/>
  <c r="G663" i="2"/>
  <c r="G647" i="2"/>
  <c r="G631" i="2"/>
  <c r="G618" i="2"/>
  <c r="G610" i="2"/>
  <c r="G602" i="2"/>
  <c r="G594" i="2"/>
  <c r="G586" i="2"/>
  <c r="G578" i="2"/>
  <c r="G570" i="2"/>
  <c r="G562" i="2"/>
  <c r="G554" i="2"/>
  <c r="G546" i="2"/>
  <c r="G538" i="2"/>
  <c r="G530" i="2"/>
  <c r="G522" i="2"/>
  <c r="G514" i="2"/>
  <c r="G506" i="2"/>
  <c r="G498" i="2"/>
  <c r="G490" i="2"/>
  <c r="G482" i="2"/>
  <c r="G474" i="2"/>
  <c r="G466" i="2"/>
  <c r="G458" i="2"/>
  <c r="G450" i="2"/>
  <c r="G442" i="2"/>
  <c r="G434" i="2"/>
  <c r="G426" i="2"/>
  <c r="G418" i="2"/>
  <c r="G410" i="2"/>
  <c r="G402" i="2"/>
  <c r="G394" i="2"/>
  <c r="G386" i="2"/>
  <c r="G378" i="2"/>
  <c r="G370" i="2"/>
  <c r="G364" i="2"/>
  <c r="G360" i="2"/>
  <c r="G356" i="2"/>
  <c r="G352" i="2"/>
  <c r="G348" i="2"/>
  <c r="G344" i="2"/>
  <c r="G340" i="2"/>
  <c r="G336" i="2"/>
  <c r="G332" i="2"/>
  <c r="G328" i="2"/>
  <c r="G324" i="2"/>
  <c r="G320" i="2"/>
  <c r="G316" i="2"/>
  <c r="G312" i="2"/>
  <c r="G308" i="2"/>
  <c r="G304" i="2"/>
  <c r="G300" i="2"/>
  <c r="G296" i="2"/>
  <c r="G292" i="2"/>
  <c r="G288" i="2"/>
  <c r="G284" i="2"/>
  <c r="G280" i="2"/>
  <c r="G276" i="2"/>
  <c r="G272" i="2"/>
  <c r="G268" i="2"/>
  <c r="G264" i="2"/>
  <c r="G260" i="2"/>
  <c r="G256" i="2"/>
  <c r="G252" i="2"/>
  <c r="G248" i="2"/>
  <c r="G244" i="2"/>
  <c r="G240" i="2"/>
  <c r="G236" i="2"/>
  <c r="G232" i="2"/>
  <c r="G228" i="2"/>
  <c r="G224" i="2"/>
  <c r="G220" i="2"/>
  <c r="G216" i="2"/>
  <c r="G212" i="2"/>
  <c r="G208" i="2"/>
  <c r="G204" i="2"/>
  <c r="G199" i="2"/>
  <c r="G196" i="2"/>
  <c r="G194" i="2"/>
  <c r="G192" i="2"/>
  <c r="G190" i="2"/>
  <c r="G188" i="2"/>
  <c r="G186" i="2"/>
  <c r="G184" i="2"/>
  <c r="G182" i="2"/>
  <c r="G180" i="2"/>
  <c r="G178" i="2"/>
  <c r="G176" i="2"/>
  <c r="G174" i="2"/>
  <c r="G172" i="2"/>
  <c r="G170" i="2"/>
  <c r="G168" i="2"/>
  <c r="G166" i="2"/>
  <c r="G164" i="2"/>
  <c r="G162" i="2"/>
  <c r="G160" i="2"/>
  <c r="G158" i="2"/>
  <c r="G156" i="2"/>
  <c r="G154" i="2"/>
  <c r="G152" i="2"/>
  <c r="G150" i="2"/>
  <c r="G148" i="2"/>
  <c r="G146" i="2"/>
  <c r="G144" i="2"/>
  <c r="G142" i="2"/>
  <c r="G140" i="2"/>
  <c r="G138" i="2"/>
  <c r="G136" i="2"/>
  <c r="G134" i="2"/>
  <c r="G132" i="2"/>
  <c r="G130" i="2"/>
  <c r="G128" i="2"/>
  <c r="G126" i="2"/>
  <c r="G124" i="2"/>
  <c r="H898" i="2"/>
  <c r="H886" i="2"/>
  <c r="H874" i="2"/>
  <c r="H862" i="2"/>
  <c r="H850" i="2"/>
  <c r="H838" i="2"/>
  <c r="H826" i="2"/>
  <c r="H814" i="2"/>
  <c r="H802" i="2"/>
  <c r="H790" i="2"/>
  <c r="H778" i="2"/>
  <c r="H766" i="2"/>
  <c r="H754" i="2"/>
  <c r="H742" i="2"/>
  <c r="H610" i="2"/>
  <c r="H598" i="2"/>
  <c r="H586" i="2"/>
  <c r="H574" i="2"/>
  <c r="H562" i="2"/>
  <c r="H550" i="2"/>
  <c r="H538" i="2"/>
  <c r="H526" i="2"/>
  <c r="H514" i="2"/>
  <c r="H502" i="2"/>
  <c r="H490" i="2"/>
  <c r="H478" i="2"/>
  <c r="H466" i="2"/>
  <c r="H454" i="2"/>
  <c r="H442" i="2"/>
  <c r="H430" i="2"/>
  <c r="H418" i="2"/>
  <c r="H406" i="2"/>
  <c r="H394" i="2"/>
  <c r="H382" i="2"/>
  <c r="H370" i="2"/>
  <c r="H730" i="2"/>
  <c r="H706" i="2"/>
  <c r="H682" i="2"/>
  <c r="H658" i="2"/>
  <c r="H634" i="2"/>
  <c r="H358" i="2"/>
  <c r="H346" i="2"/>
  <c r="H334" i="2"/>
  <c r="H322" i="2"/>
  <c r="H310" i="2"/>
  <c r="H298" i="2"/>
  <c r="H286" i="2"/>
  <c r="H274" i="2"/>
  <c r="H262" i="2"/>
  <c r="H250" i="2"/>
  <c r="H238" i="2"/>
  <c r="H226" i="2"/>
  <c r="H214" i="2"/>
  <c r="H202" i="2"/>
  <c r="H718" i="2"/>
  <c r="H670" i="2"/>
  <c r="H622" i="2"/>
  <c r="H190" i="2"/>
  <c r="H178" i="2"/>
  <c r="H166" i="2"/>
  <c r="H154" i="2"/>
  <c r="H142" i="2"/>
  <c r="H130" i="2"/>
  <c r="H118" i="2"/>
  <c r="H106" i="2"/>
  <c r="H94" i="2"/>
  <c r="H10" i="2"/>
  <c r="G18" i="2"/>
  <c r="G86" i="2"/>
  <c r="G90" i="2"/>
  <c r="G94" i="2"/>
  <c r="G98" i="2"/>
  <c r="G102" i="2"/>
  <c r="G106" i="2"/>
  <c r="G110" i="2"/>
  <c r="G114" i="2"/>
  <c r="G118" i="2"/>
  <c r="G122" i="2"/>
  <c r="H145" i="2"/>
  <c r="H169" i="2"/>
  <c r="H193" i="2"/>
  <c r="H203" i="2"/>
  <c r="H219" i="2"/>
  <c r="H235" i="2"/>
  <c r="H251" i="2"/>
  <c r="H267" i="2"/>
  <c r="H283" i="2"/>
  <c r="H299" i="2"/>
  <c r="H315" i="2"/>
  <c r="H331" i="2"/>
  <c r="H347" i="2"/>
  <c r="H363" i="2"/>
  <c r="H457" i="2"/>
  <c r="H553" i="2"/>
  <c r="H678" i="2"/>
  <c r="H747" i="2"/>
  <c r="H15" i="2"/>
  <c r="H813" i="2"/>
  <c r="G19" i="2"/>
  <c r="H23" i="2"/>
  <c r="H25" i="2"/>
  <c r="H27" i="2"/>
  <c r="H31" i="2"/>
  <c r="H35" i="2"/>
  <c r="H37" i="2"/>
  <c r="H39" i="2"/>
  <c r="H43" i="2"/>
  <c r="H47" i="2"/>
  <c r="H49" i="2"/>
  <c r="H51" i="2"/>
  <c r="H55" i="2"/>
  <c r="H59" i="2"/>
  <c r="H61" i="2"/>
  <c r="H63" i="2"/>
  <c r="H67" i="2"/>
  <c r="H71" i="2"/>
  <c r="H73" i="2"/>
  <c r="H75" i="2"/>
  <c r="H79" i="2"/>
  <c r="H83" i="2"/>
  <c r="H87" i="2"/>
  <c r="H91" i="2"/>
  <c r="H95" i="2"/>
  <c r="H99" i="2"/>
  <c r="H103" i="2"/>
  <c r="H107" i="2"/>
  <c r="H111" i="2"/>
  <c r="H115" i="2"/>
  <c r="H119" i="2"/>
  <c r="H123" i="2"/>
  <c r="H131" i="2"/>
  <c r="H139" i="2"/>
  <c r="H147" i="2"/>
  <c r="H155" i="2"/>
  <c r="H163" i="2"/>
  <c r="H171" i="2"/>
  <c r="H179" i="2"/>
  <c r="H187" i="2"/>
  <c r="H195" i="2"/>
  <c r="H207" i="2"/>
  <c r="H223" i="2"/>
  <c r="H239" i="2"/>
  <c r="H255" i="2"/>
  <c r="H271" i="2"/>
  <c r="H287" i="2"/>
  <c r="H303" i="2"/>
  <c r="H319" i="2"/>
  <c r="H335" i="2"/>
  <c r="H351" i="2"/>
  <c r="H433" i="2"/>
  <c r="H529" i="2"/>
  <c r="H630" i="2"/>
  <c r="H694" i="2"/>
  <c r="H781" i="2"/>
  <c r="H19" i="2"/>
  <c r="G84" i="2"/>
  <c r="G88" i="2"/>
  <c r="G92" i="2"/>
  <c r="G96" i="2"/>
  <c r="G100" i="2"/>
  <c r="G104" i="2"/>
  <c r="G108" i="2"/>
  <c r="G112" i="2"/>
  <c r="G116" i="2"/>
  <c r="G120" i="2"/>
  <c r="H133" i="2"/>
  <c r="H157" i="2"/>
  <c r="H181" i="2"/>
  <c r="G198" i="2"/>
  <c r="H211" i="2"/>
  <c r="H227" i="2"/>
  <c r="H243" i="2"/>
  <c r="H259" i="2"/>
  <c r="H275" i="2"/>
  <c r="H291" i="2"/>
  <c r="H307" i="2"/>
  <c r="H323" i="2"/>
  <c r="H339" i="2"/>
  <c r="H355" i="2"/>
  <c r="H409" i="2"/>
  <c r="H505" i="2"/>
  <c r="H601" i="2"/>
  <c r="H646" i="2"/>
  <c r="H710" i="2"/>
  <c r="H904" i="2"/>
  <c r="H892" i="2"/>
  <c r="H880" i="2"/>
  <c r="H868" i="2"/>
  <c r="H856" i="2"/>
  <c r="H844" i="2"/>
  <c r="H832" i="2"/>
  <c r="H820" i="2"/>
  <c r="H808" i="2"/>
  <c r="H796" i="2"/>
  <c r="H784" i="2"/>
  <c r="H760" i="2"/>
  <c r="H736" i="2"/>
  <c r="H724" i="2"/>
  <c r="H712" i="2"/>
  <c r="H700" i="2"/>
  <c r="H688" i="2"/>
  <c r="H676" i="2"/>
  <c r="H664" i="2"/>
  <c r="H652" i="2"/>
  <c r="H640" i="2"/>
  <c r="H628" i="2"/>
  <c r="H616" i="2"/>
  <c r="H604" i="2"/>
  <c r="H592" i="2"/>
  <c r="H580" i="2"/>
  <c r="H568" i="2"/>
  <c r="H556" i="2"/>
  <c r="H544" i="2"/>
  <c r="H532" i="2"/>
  <c r="H520" i="2"/>
  <c r="H508" i="2"/>
  <c r="H496" i="2"/>
  <c r="H484" i="2"/>
  <c r="H472" i="2"/>
  <c r="H460" i="2"/>
  <c r="H448" i="2"/>
  <c r="H436" i="2"/>
  <c r="H424" i="2"/>
  <c r="H412" i="2"/>
  <c r="H400" i="2"/>
  <c r="H388" i="2"/>
  <c r="H376" i="2"/>
  <c r="H772" i="2"/>
  <c r="H364" i="2"/>
  <c r="H352" i="2"/>
  <c r="H340" i="2"/>
  <c r="H328" i="2"/>
  <c r="H316" i="2"/>
  <c r="H304" i="2"/>
  <c r="H292" i="2"/>
  <c r="H280" i="2"/>
  <c r="H268" i="2"/>
  <c r="H256" i="2"/>
  <c r="H244" i="2"/>
  <c r="H232" i="2"/>
  <c r="H220" i="2"/>
  <c r="H208" i="2"/>
  <c r="H196" i="2"/>
  <c r="H900" i="2"/>
  <c r="H888" i="2"/>
  <c r="H876" i="2"/>
  <c r="H864" i="2"/>
  <c r="H852" i="2"/>
  <c r="H840" i="2"/>
  <c r="H828" i="2"/>
  <c r="H816" i="2"/>
  <c r="H804" i="2"/>
  <c r="H792" i="2"/>
  <c r="H780" i="2"/>
  <c r="H768" i="2"/>
  <c r="H744" i="2"/>
  <c r="H732" i="2"/>
  <c r="H720" i="2"/>
  <c r="H708" i="2"/>
  <c r="H696" i="2"/>
  <c r="H684" i="2"/>
  <c r="H672" i="2"/>
  <c r="H660" i="2"/>
  <c r="H648" i="2"/>
  <c r="H636" i="2"/>
  <c r="H624" i="2"/>
  <c r="H612" i="2"/>
  <c r="H600" i="2"/>
  <c r="H588" i="2"/>
  <c r="H576" i="2"/>
  <c r="H564" i="2"/>
  <c r="H552" i="2"/>
  <c r="H540" i="2"/>
  <c r="H528" i="2"/>
  <c r="H516" i="2"/>
  <c r="H504" i="2"/>
  <c r="H492" i="2"/>
  <c r="H480" i="2"/>
  <c r="H468" i="2"/>
  <c r="H456" i="2"/>
  <c r="H444" i="2"/>
  <c r="H432" i="2"/>
  <c r="H420" i="2"/>
  <c r="H408" i="2"/>
  <c r="H396" i="2"/>
  <c r="H384" i="2"/>
  <c r="H372" i="2"/>
  <c r="H756" i="2"/>
  <c r="H360" i="2"/>
  <c r="H348" i="2"/>
  <c r="H336" i="2"/>
  <c r="H324" i="2"/>
  <c r="H312" i="2"/>
  <c r="H300" i="2"/>
  <c r="H288" i="2"/>
  <c r="H276" i="2"/>
  <c r="H264" i="2"/>
  <c r="H252" i="2"/>
  <c r="H240" i="2"/>
  <c r="H228" i="2"/>
  <c r="H216" i="2"/>
  <c r="H204" i="2"/>
  <c r="H896" i="2"/>
  <c r="H884" i="2"/>
  <c r="H872" i="2"/>
  <c r="H860" i="2"/>
  <c r="H848" i="2"/>
  <c r="H836" i="2"/>
  <c r="H824" i="2"/>
  <c r="H812" i="2"/>
  <c r="H800" i="2"/>
  <c r="H788" i="2"/>
  <c r="H776" i="2"/>
  <c r="H752" i="2"/>
  <c r="H728" i="2"/>
  <c r="H716" i="2"/>
  <c r="H704" i="2"/>
  <c r="H692" i="2"/>
  <c r="H680" i="2"/>
  <c r="H668" i="2"/>
  <c r="H656" i="2"/>
  <c r="H644" i="2"/>
  <c r="H632" i="2"/>
  <c r="H620" i="2"/>
  <c r="H608" i="2"/>
  <c r="H596" i="2"/>
  <c r="H584" i="2"/>
  <c r="H572" i="2"/>
  <c r="H560" i="2"/>
  <c r="H548" i="2"/>
  <c r="H536" i="2"/>
  <c r="H524" i="2"/>
  <c r="H512" i="2"/>
  <c r="H500" i="2"/>
  <c r="H488" i="2"/>
  <c r="H476" i="2"/>
  <c r="H464" i="2"/>
  <c r="H452" i="2"/>
  <c r="H440" i="2"/>
  <c r="H428" i="2"/>
  <c r="H416" i="2"/>
  <c r="H404" i="2"/>
  <c r="H392" i="2"/>
  <c r="H380" i="2"/>
  <c r="H368" i="2"/>
  <c r="H740" i="2"/>
  <c r="H356" i="2"/>
  <c r="H344" i="2"/>
  <c r="H332" i="2"/>
  <c r="H320" i="2"/>
  <c r="H308" i="2"/>
  <c r="H296" i="2"/>
  <c r="H284" i="2"/>
  <c r="H272" i="2"/>
  <c r="H260" i="2"/>
  <c r="H248" i="2"/>
  <c r="H236" i="2"/>
  <c r="H224" i="2"/>
  <c r="H212" i="2"/>
  <c r="H200" i="2"/>
  <c r="H84" i="2"/>
  <c r="H88" i="2"/>
  <c r="H92" i="2"/>
  <c r="H96" i="2"/>
  <c r="H100" i="2"/>
  <c r="H104" i="2"/>
  <c r="H108" i="2"/>
  <c r="H112" i="2"/>
  <c r="H116" i="2"/>
  <c r="H120" i="2"/>
  <c r="H124" i="2"/>
  <c r="H128" i="2"/>
  <c r="H132" i="2"/>
  <c r="H136" i="2"/>
  <c r="H140" i="2"/>
  <c r="H144" i="2"/>
  <c r="H148" i="2"/>
  <c r="H152" i="2"/>
  <c r="H156" i="2"/>
  <c r="H160" i="2"/>
  <c r="H164" i="2"/>
  <c r="H168" i="2"/>
  <c r="H172" i="2"/>
  <c r="H176" i="2"/>
  <c r="H180" i="2"/>
  <c r="H184" i="2"/>
  <c r="H188" i="2"/>
  <c r="H192" i="2"/>
  <c r="H205" i="2"/>
  <c r="H209" i="2"/>
  <c r="H213" i="2"/>
  <c r="H217" i="2"/>
  <c r="H221" i="2"/>
  <c r="H225" i="2"/>
  <c r="H229" i="2"/>
  <c r="H233" i="2"/>
  <c r="H237" i="2"/>
  <c r="H241" i="2"/>
  <c r="H245" i="2"/>
  <c r="H249" i="2"/>
  <c r="H253" i="2"/>
  <c r="H257" i="2"/>
  <c r="H261" i="2"/>
  <c r="H265" i="2"/>
  <c r="H269" i="2"/>
  <c r="H273" i="2"/>
  <c r="H277" i="2"/>
  <c r="H281" i="2"/>
  <c r="H285" i="2"/>
  <c r="H289" i="2"/>
  <c r="H293" i="2"/>
  <c r="H297" i="2"/>
  <c r="H301" i="2"/>
  <c r="H305" i="2"/>
  <c r="H309" i="2"/>
  <c r="H313" i="2"/>
  <c r="H317" i="2"/>
  <c r="H321" i="2"/>
  <c r="H325" i="2"/>
  <c r="H329" i="2"/>
  <c r="H333" i="2"/>
  <c r="H337" i="2"/>
  <c r="H341" i="2"/>
  <c r="H345" i="2"/>
  <c r="H349" i="2"/>
  <c r="H353" i="2"/>
  <c r="H357" i="2"/>
  <c r="H361" i="2"/>
  <c r="H365" i="2"/>
  <c r="H373" i="2"/>
  <c r="H381" i="2"/>
  <c r="H389" i="2"/>
  <c r="H397" i="2"/>
  <c r="H405" i="2"/>
  <c r="H413" i="2"/>
  <c r="H421" i="2"/>
  <c r="H429" i="2"/>
  <c r="H437" i="2"/>
  <c r="H445" i="2"/>
  <c r="H453" i="2"/>
  <c r="H461" i="2"/>
  <c r="H469" i="2"/>
  <c r="H477" i="2"/>
  <c r="H485" i="2"/>
  <c r="H493" i="2"/>
  <c r="H501" i="2"/>
  <c r="H509" i="2"/>
  <c r="H517" i="2"/>
  <c r="H525" i="2"/>
  <c r="H533" i="2"/>
  <c r="H541" i="2"/>
  <c r="H549" i="2"/>
  <c r="H557" i="2"/>
  <c r="H565" i="2"/>
  <c r="H573" i="2"/>
  <c r="H581" i="2"/>
  <c r="H589" i="2"/>
  <c r="H597" i="2"/>
  <c r="H613" i="2"/>
  <c r="H905" i="2"/>
  <c r="H881" i="2"/>
  <c r="H857" i="2"/>
  <c r="H833" i="2"/>
  <c r="H809" i="2"/>
  <c r="H785" i="2"/>
  <c r="H773" i="2"/>
  <c r="H761" i="2"/>
  <c r="H749" i="2"/>
  <c r="H737" i="2"/>
  <c r="H725" i="2"/>
  <c r="H713" i="2"/>
  <c r="H701" i="2"/>
  <c r="H689" i="2"/>
  <c r="H677" i="2"/>
  <c r="H665" i="2"/>
  <c r="H653" i="2"/>
  <c r="H641" i="2"/>
  <c r="H629" i="2"/>
  <c r="H869" i="2"/>
  <c r="H821" i="2"/>
  <c r="H893" i="2"/>
  <c r="H797" i="2"/>
  <c r="H889" i="2"/>
  <c r="H865" i="2"/>
  <c r="H841" i="2"/>
  <c r="H817" i="2"/>
  <c r="H793" i="2"/>
  <c r="H769" i="2"/>
  <c r="H757" i="2"/>
  <c r="H745" i="2"/>
  <c r="H733" i="2"/>
  <c r="H721" i="2"/>
  <c r="H709" i="2"/>
  <c r="H697" i="2"/>
  <c r="H685" i="2"/>
  <c r="H673" i="2"/>
  <c r="H661" i="2"/>
  <c r="H649" i="2"/>
  <c r="H637" i="2"/>
  <c r="H625" i="2"/>
  <c r="H901" i="2"/>
  <c r="H853" i="2"/>
  <c r="H805" i="2"/>
  <c r="H829" i="2"/>
  <c r="H17" i="2"/>
  <c r="H897" i="2"/>
  <c r="H873" i="2"/>
  <c r="H849" i="2"/>
  <c r="H825" i="2"/>
  <c r="H801" i="2"/>
  <c r="H777" i="2"/>
  <c r="H765" i="2"/>
  <c r="H753" i="2"/>
  <c r="H741" i="2"/>
  <c r="H729" i="2"/>
  <c r="H717" i="2"/>
  <c r="H705" i="2"/>
  <c r="H693" i="2"/>
  <c r="H681" i="2"/>
  <c r="H669" i="2"/>
  <c r="H657" i="2"/>
  <c r="H645" i="2"/>
  <c r="H633" i="2"/>
  <c r="H621" i="2"/>
  <c r="H885" i="2"/>
  <c r="H837" i="2"/>
  <c r="H789" i="2"/>
  <c r="H861" i="2"/>
  <c r="H197" i="2"/>
  <c r="H764" i="2"/>
  <c r="P73" i="2" l="1"/>
  <c r="P41" i="2"/>
  <c r="P65" i="2"/>
  <c r="P57" i="2"/>
  <c r="P25" i="2"/>
  <c r="P28" i="2"/>
  <c r="P33" i="2"/>
  <c r="P64" i="2"/>
  <c r="P63" i="2"/>
  <c r="P47" i="2"/>
  <c r="P31" i="2"/>
  <c r="P69" i="2"/>
  <c r="P61" i="2"/>
  <c r="P53" i="2"/>
  <c r="P45" i="2"/>
  <c r="P37" i="2"/>
  <c r="P29" i="2"/>
  <c r="P21" i="2"/>
  <c r="P15" i="2"/>
  <c r="P50" i="2"/>
  <c r="P71" i="2"/>
  <c r="P55" i="2"/>
  <c r="P39" i="2"/>
  <c r="P23" i="2"/>
  <c r="P67" i="2"/>
  <c r="P59" i="2"/>
  <c r="P51" i="2"/>
  <c r="P43" i="2"/>
  <c r="P35" i="2"/>
  <c r="P27" i="2"/>
  <c r="P19" i="2"/>
  <c r="P34" i="2"/>
  <c r="P22" i="2"/>
  <c r="P66" i="2"/>
  <c r="P48" i="2"/>
  <c r="P32" i="2"/>
  <c r="P8" i="2"/>
  <c r="P60" i="2"/>
  <c r="P46" i="2"/>
  <c r="P30" i="2"/>
  <c r="P11" i="2"/>
  <c r="P62" i="2"/>
  <c r="P44" i="2"/>
  <c r="P18" i="2"/>
  <c r="P14" i="2"/>
  <c r="P10" i="2"/>
  <c r="P13" i="2"/>
  <c r="P12" i="2"/>
  <c r="P17" i="2"/>
  <c r="P72" i="2"/>
  <c r="P56" i="2"/>
  <c r="P42" i="2"/>
  <c r="P26" i="2"/>
  <c r="P58" i="2"/>
  <c r="P40" i="2"/>
  <c r="P20" i="2"/>
  <c r="P16" i="2"/>
  <c r="P68" i="2"/>
  <c r="P52" i="2"/>
  <c r="P38" i="2"/>
  <c r="P24" i="2"/>
  <c r="P70" i="2"/>
  <c r="P54" i="2"/>
  <c r="P36" i="2"/>
  <c r="P9" i="2"/>
  <c r="C49" i="4"/>
  <c r="C4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D. Lizcano</author>
  </authors>
  <commentList>
    <comment ref="L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Luis D. Lizcano:</t>
        </r>
        <r>
          <rPr>
            <sz val="9"/>
            <color indexed="81"/>
            <rFont val="Tahoma"/>
            <family val="2"/>
          </rPr>
          <t xml:space="preserve">
Después de ingresar fórmula aplicamos el comando:
CTRL+SHIFT+ENTER
</t>
        </r>
      </text>
    </comment>
  </commentList>
</comments>
</file>

<file path=xl/sharedStrings.xml><?xml version="1.0" encoding="utf-8"?>
<sst xmlns="http://schemas.openxmlformats.org/spreadsheetml/2006/main" count="2858" uniqueCount="208">
  <si>
    <t>_x000C_</t>
  </si>
  <si>
    <t>I D E</t>
  </si>
  <si>
    <t>A</t>
  </si>
  <si>
    <t>M  -</t>
  </si>
  <si>
    <t>INS</t>
  </si>
  <si>
    <t>TITUTO</t>
  </si>
  <si>
    <t>DE</t>
  </si>
  <si>
    <t>HIDRO</t>
  </si>
  <si>
    <t>LOG</t>
  </si>
  <si>
    <t>IA, ME</t>
  </si>
  <si>
    <t>TEO</t>
  </si>
  <si>
    <t>ROLOGI</t>
  </si>
  <si>
    <t>A Y</t>
  </si>
  <si>
    <t>ESTUD</t>
  </si>
  <si>
    <t>IOS</t>
  </si>
  <si>
    <t>AMBIE</t>
  </si>
  <si>
    <t>NTA</t>
  </si>
  <si>
    <t>LES</t>
  </si>
  <si>
    <t>SIS</t>
  </si>
  <si>
    <t>TEMA D</t>
  </si>
  <si>
    <t>E I</t>
  </si>
  <si>
    <t>NFORMACIO</t>
  </si>
  <si>
    <t>N</t>
  </si>
  <si>
    <t>VA</t>
  </si>
  <si>
    <t>LOR</t>
  </si>
  <si>
    <t>ES MED</t>
  </si>
  <si>
    <t>MENS</t>
  </si>
  <si>
    <t>UAL</t>
  </si>
  <si>
    <t>ES DE</t>
  </si>
  <si>
    <t>CAU</t>
  </si>
  <si>
    <t>DALES</t>
  </si>
  <si>
    <t>(m3</t>
  </si>
  <si>
    <t>/seg)</t>
  </si>
  <si>
    <t>ACIONA</t>
  </si>
  <si>
    <t>L A</t>
  </si>
  <si>
    <t>MBIENTAL</t>
  </si>
  <si>
    <t>F</t>
  </si>
  <si>
    <t>ECHA</t>
  </si>
  <si>
    <t>DE P</t>
  </si>
  <si>
    <t>ROCESO</t>
  </si>
  <si>
    <t>:</t>
  </si>
  <si>
    <t>2017/</t>
  </si>
  <si>
    <t>08/</t>
  </si>
  <si>
    <t>ES</t>
  </si>
  <si>
    <t>TACION</t>
  </si>
  <si>
    <t>CALAM</t>
  </si>
  <si>
    <t>AR</t>
  </si>
  <si>
    <t>L</t>
  </si>
  <si>
    <t>ATITU</t>
  </si>
  <si>
    <t>D</t>
  </si>
  <si>
    <t>TI</t>
  </si>
  <si>
    <t>PO</t>
  </si>
  <si>
    <t>EST</t>
  </si>
  <si>
    <t>LM</t>
  </si>
  <si>
    <t>DEPTO</t>
  </si>
  <si>
    <t>BOL</t>
  </si>
  <si>
    <t>IVA</t>
  </si>
  <si>
    <t>R</t>
  </si>
  <si>
    <t>FECHA-</t>
  </si>
  <si>
    <t>TALACI</t>
  </si>
  <si>
    <t>ON</t>
  </si>
  <si>
    <t>1940-JU</t>
  </si>
  <si>
    <t>ONGIT</t>
  </si>
  <si>
    <t>UD</t>
  </si>
  <si>
    <t>W</t>
  </si>
  <si>
    <t>EN</t>
  </si>
  <si>
    <t>TID</t>
  </si>
  <si>
    <t>AD</t>
  </si>
  <si>
    <t>IDEA</t>
  </si>
  <si>
    <t>M</t>
  </si>
  <si>
    <t>MUNIC</t>
  </si>
  <si>
    <t>IPI</t>
  </si>
  <si>
    <t>O  CAL</t>
  </si>
  <si>
    <t>AMA</t>
  </si>
  <si>
    <t>SUS</t>
  </si>
  <si>
    <t>PENSIO</t>
  </si>
  <si>
    <t>E</t>
  </si>
  <si>
    <t>LEVAC</t>
  </si>
  <si>
    <t>ION</t>
  </si>
  <si>
    <t>m.s</t>
  </si>
  <si>
    <t>.n.m</t>
  </si>
  <si>
    <t>RE</t>
  </si>
  <si>
    <t>GIO</t>
  </si>
  <si>
    <t>NAL</t>
  </si>
  <si>
    <t>ATLA</t>
  </si>
  <si>
    <t>NTI</t>
  </si>
  <si>
    <t>CO</t>
  </si>
  <si>
    <t>CORRI</t>
  </si>
  <si>
    <t>ENT</t>
  </si>
  <si>
    <t>E  MAG</t>
  </si>
  <si>
    <t>DAL</t>
  </si>
  <si>
    <t>ENA</t>
  </si>
  <si>
    <t>*****</t>
  </si>
  <si>
    <t>******</t>
  </si>
  <si>
    <t>*********</t>
  </si>
  <si>
    <t>*</t>
  </si>
  <si>
    <t>A#O</t>
  </si>
  <si>
    <t>ENERO</t>
  </si>
  <si>
    <t>FEBRE</t>
  </si>
  <si>
    <t>MARZO</t>
  </si>
  <si>
    <t>ABRIL</t>
  </si>
  <si>
    <t>MAYO</t>
  </si>
  <si>
    <t>JUNIO</t>
  </si>
  <si>
    <t>JULIO</t>
  </si>
  <si>
    <t>AGOST</t>
  </si>
  <si>
    <t>SEPTI</t>
  </si>
  <si>
    <t>OCTUB</t>
  </si>
  <si>
    <t>NOVIE</t>
  </si>
  <si>
    <t>DICIE</t>
  </si>
  <si>
    <t>VR ANUAL</t>
  </si>
  <si>
    <t>MEDIO</t>
  </si>
  <si>
    <t>MAXIM</t>
  </si>
  <si>
    <t>MINIM</t>
  </si>
  <si>
    <t>ES MAX</t>
  </si>
  <si>
    <t>IMO</t>
  </si>
  <si>
    <t>S MENS</t>
  </si>
  <si>
    <t>ES MIN</t>
  </si>
  <si>
    <t>NIV</t>
  </si>
  <si>
    <t>ELES (</t>
  </si>
  <si>
    <t>Cms</t>
  </si>
  <si>
    <t>)</t>
  </si>
  <si>
    <t>ES TOT</t>
  </si>
  <si>
    <t>ALE</t>
  </si>
  <si>
    <t>TRA</t>
  </si>
  <si>
    <t>NSPORT</t>
  </si>
  <si>
    <t>E (</t>
  </si>
  <si>
    <t>KTon/D</t>
  </si>
  <si>
    <t>ia)</t>
  </si>
  <si>
    <t>VALORES MEDIOS MENSUALES DE CAUDALES (m3/s)</t>
  </si>
  <si>
    <t>CALAMAR</t>
  </si>
  <si>
    <t>VALORES MAXIMOS MENSUALES DE CAUDALES (m3/s)</t>
  </si>
  <si>
    <t>VALORES MINIMOS MENSUALES DE CAUDALES (m3/s)</t>
  </si>
  <si>
    <t>VALORES MEDIOS MENSUALES DE NIVEL (cm)</t>
  </si>
  <si>
    <t>VALORES MAXIMOS MENSUALES DE NIVEL (cm)</t>
  </si>
  <si>
    <t>VALORES MINIMOS MENSUALES DE NIVEL (cm)</t>
  </si>
  <si>
    <t>VALORES TOTALES MENSUALES DE TRANSPORTE (Kton/Dia)</t>
  </si>
  <si>
    <t>Media</t>
  </si>
  <si>
    <t>Año</t>
  </si>
  <si>
    <t>CAUDAL MEDIO (m3/s)</t>
  </si>
  <si>
    <t>NIVEL CANAL (cm)</t>
  </si>
  <si>
    <t>Anomalia</t>
  </si>
  <si>
    <t>Std anomaly</t>
  </si>
  <si>
    <t>Fecha</t>
  </si>
  <si>
    <t>Caudal</t>
  </si>
  <si>
    <t>Mes</t>
  </si>
  <si>
    <t>CANAL DEL DIQUE</t>
  </si>
  <si>
    <t>Promedios mensuales desde enero 1941 hasta diciembre 2015</t>
  </si>
  <si>
    <t>Estación en Calamar</t>
  </si>
  <si>
    <t>Mean</t>
  </si>
  <si>
    <t>SD</t>
  </si>
  <si>
    <t>año interp</t>
  </si>
  <si>
    <t>STDA</t>
  </si>
  <si>
    <t>Seasonal Cycle</t>
  </si>
  <si>
    <t>Directo</t>
  </si>
  <si>
    <t>mensual</t>
  </si>
  <si>
    <t>Month</t>
  </si>
  <si>
    <t>stda</t>
  </si>
  <si>
    <t>diciembre</t>
  </si>
  <si>
    <t>noviembre</t>
  </si>
  <si>
    <t>FEBRERO</t>
  </si>
  <si>
    <t>octubre</t>
  </si>
  <si>
    <t>septiembre</t>
  </si>
  <si>
    <t>agosto</t>
  </si>
  <si>
    <t>julio</t>
  </si>
  <si>
    <t>junio</t>
  </si>
  <si>
    <t>mayo</t>
  </si>
  <si>
    <t>AGOSTO</t>
  </si>
  <si>
    <t>abril</t>
  </si>
  <si>
    <t>SEPTIEMBRE</t>
  </si>
  <si>
    <t>marzo</t>
  </si>
  <si>
    <t>OCTUBRE</t>
  </si>
  <si>
    <t>febrero</t>
  </si>
  <si>
    <t>NOVIEMBRE</t>
  </si>
  <si>
    <t>enero</t>
  </si>
  <si>
    <t>DICIEMBRE</t>
  </si>
  <si>
    <t>IDEAM</t>
  </si>
  <si>
    <t>ESTACION: 14015030  ESCNAVAL CIOH</t>
  </si>
  <si>
    <t>Bahía de CARTAGENA</t>
  </si>
  <si>
    <t>ELEVACION: 1 msnm</t>
  </si>
  <si>
    <t>10°23 N</t>
  </si>
  <si>
    <t>75°32 W</t>
  </si>
  <si>
    <t>MES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</si>
  <si>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</si>
  <si>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</si>
  <si>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</si>
  <si>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</si>
  <si>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</si>
  <si>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</si>
  <si>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</si>
  <si>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</si>
  <si>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</si>
  <si>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</si>
  <si>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</si>
  <si>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</si>
  <si>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</si>
  <si>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ano interp</t>
  </si>
  <si>
    <t>STDA Directo</t>
  </si>
  <si>
    <t>stda mes</t>
  </si>
  <si>
    <t>mean</t>
  </si>
  <si>
    <t>Año.mes</t>
  </si>
  <si>
    <t>Nivel</t>
  </si>
  <si>
    <t>Seasonal cycle</t>
  </si>
  <si>
    <t>Precipitación (mm) x 10</t>
  </si>
  <si>
    <t>VALORES TOTALES MENSUALES DE PRECIPITACION (mm) x10</t>
  </si>
  <si>
    <t>Acumul (mm)</t>
  </si>
  <si>
    <t>Transporte</t>
  </si>
  <si>
    <t>Sumatoria</t>
  </si>
  <si>
    <t>Prom/mes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</si>
</sst>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m\-yyyy"/>
    <numFmt numFmtId="166" formatCode="0.000"/>
    <numFmt numFmtId="167" formatCode="m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16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16" fillId="0" borderId="0" xfId="0" applyFont="1"/>
    <xf numFmtId="166" fontId="0" fillId="0" borderId="0" xfId="0" applyNumberFormat="1"/>
    <xf numFmtId="167" fontId="0" fillId="0" borderId="0" xfId="0" applyNumberFormat="1"/>
    <xf numFmtId="0" fontId="16" fillId="33" borderId="0" xfId="0" applyFont="1" applyFill="1"/>
    <xf numFmtId="0" fontId="16" fillId="0" borderId="0" xfId="0" applyFont="1" applyAlignment="1">
      <alignment horizontal="center" wrapText="1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1" fontId="0" fillId="0" borderId="0" xfId="0" applyNumberFormat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Caudales!$N$8:$N$73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Caudales!$O$8:$O$73</c:f>
              <c:numCache>
                <c:formatCode>General</c:formatCode>
                <c:ptCount val="66"/>
                <c:pt idx="0">
                  <c:v>4608.416666666667</c:v>
                </c:pt>
                <c:pt idx="1">
                  <c:v>5799.083333333333</c:v>
                </c:pt>
                <c:pt idx="2">
                  <c:v>6146.416666666667</c:v>
                </c:pt>
                <c:pt idx="3">
                  <c:v>7361.5</c:v>
                </c:pt>
                <c:pt idx="4">
                  <c:v>10223.916666666666</c:v>
                </c:pt>
                <c:pt idx="5">
                  <c:v>9012.1666666666661</c:v>
                </c:pt>
                <c:pt idx="6">
                  <c:v>6946.25</c:v>
                </c:pt>
                <c:pt idx="7">
                  <c:v>9878.4166666666661</c:v>
                </c:pt>
                <c:pt idx="8">
                  <c:v>8904.25</c:v>
                </c:pt>
                <c:pt idx="9">
                  <c:v>8022.416666666667</c:v>
                </c:pt>
                <c:pt idx="10">
                  <c:v>7210.166666666667</c:v>
                </c:pt>
                <c:pt idx="11">
                  <c:v>6657.833333333333</c:v>
                </c:pt>
                <c:pt idx="12">
                  <c:v>6293.666666666667</c:v>
                </c:pt>
                <c:pt idx="13">
                  <c:v>5473.25</c:v>
                </c:pt>
                <c:pt idx="14">
                  <c:v>5162.333333333333</c:v>
                </c:pt>
                <c:pt idx="15">
                  <c:v>8423.1666666666661</c:v>
                </c:pt>
                <c:pt idx="16">
                  <c:v>10123.5</c:v>
                </c:pt>
                <c:pt idx="17">
                  <c:v>6857</c:v>
                </c:pt>
                <c:pt idx="18">
                  <c:v>4667.833333333333</c:v>
                </c:pt>
                <c:pt idx="19">
                  <c:v>8578.5</c:v>
                </c:pt>
                <c:pt idx="20">
                  <c:v>6814.5</c:v>
                </c:pt>
                <c:pt idx="21">
                  <c:v>7598.083333333333</c:v>
                </c:pt>
                <c:pt idx="22">
                  <c:v>6861.916666666667</c:v>
                </c:pt>
                <c:pt idx="23">
                  <c:v>5090.166666666667</c:v>
                </c:pt>
                <c:pt idx="24">
                  <c:v>6351.75</c:v>
                </c:pt>
                <c:pt idx="25">
                  <c:v>7076</c:v>
                </c:pt>
                <c:pt idx="26">
                  <c:v>8372.5833333333339</c:v>
                </c:pt>
                <c:pt idx="27">
                  <c:v>8442.25</c:v>
                </c:pt>
                <c:pt idx="28">
                  <c:v>6941.25</c:v>
                </c:pt>
                <c:pt idx="29">
                  <c:v>7595.166666666667</c:v>
                </c:pt>
                <c:pt idx="30">
                  <c:v>6495.833333333333</c:v>
                </c:pt>
                <c:pt idx="31">
                  <c:v>8824.1666666666661</c:v>
                </c:pt>
                <c:pt idx="32">
                  <c:v>5919.416666666667</c:v>
                </c:pt>
                <c:pt idx="33">
                  <c:v>7746.166666666667</c:v>
                </c:pt>
                <c:pt idx="34">
                  <c:v>9255.3333333333339</c:v>
                </c:pt>
                <c:pt idx="35">
                  <c:v>6208.416666666667</c:v>
                </c:pt>
                <c:pt idx="36">
                  <c:v>7326.75</c:v>
                </c:pt>
                <c:pt idx="37">
                  <c:v>6900.75</c:v>
                </c:pt>
                <c:pt idx="38">
                  <c:v>5718</c:v>
                </c:pt>
                <c:pt idx="39">
                  <c:v>7073.833333333333</c:v>
                </c:pt>
                <c:pt idx="40">
                  <c:v>8841</c:v>
                </c:pt>
                <c:pt idx="41">
                  <c:v>8906.5833333333339</c:v>
                </c:pt>
                <c:pt idx="42">
                  <c:v>6785.416666666667</c:v>
                </c:pt>
                <c:pt idx="43">
                  <c:v>7173.75</c:v>
                </c:pt>
                <c:pt idx="44">
                  <c:v>10321.083333333334</c:v>
                </c:pt>
                <c:pt idx="45">
                  <c:v>8388.8333333333339</c:v>
                </c:pt>
                <c:pt idx="46">
                  <c:v>7425.666666666667</c:v>
                </c:pt>
                <c:pt idx="47">
                  <c:v>7191.583333333333</c:v>
                </c:pt>
                <c:pt idx="48">
                  <c:v>7275.416666666667</c:v>
                </c:pt>
                <c:pt idx="49">
                  <c:v>7130.166666666667</c:v>
                </c:pt>
                <c:pt idx="50">
                  <c:v>5808.666666666667</c:v>
                </c:pt>
                <c:pt idx="51">
                  <c:v>7291</c:v>
                </c:pt>
                <c:pt idx="52">
                  <c:v>7493.166666666667</c:v>
                </c:pt>
                <c:pt idx="53">
                  <c:v>7847.75</c:v>
                </c:pt>
                <c:pt idx="54">
                  <c:v>6466</c:v>
                </c:pt>
                <c:pt idx="55">
                  <c:v>7080.833333333333</c:v>
                </c:pt>
                <c:pt idx="56">
                  <c:v>5683.416666666667</c:v>
                </c:pt>
                <c:pt idx="57">
                  <c:v>4849.333333333333</c:v>
                </c:pt>
                <c:pt idx="58">
                  <c:v>5915.166666666667</c:v>
                </c:pt>
                <c:pt idx="59">
                  <c:v>8566.4</c:v>
                </c:pt>
                <c:pt idx="60">
                  <c:v>8441.6</c:v>
                </c:pt>
                <c:pt idx="61">
                  <c:v>7888.25</c:v>
                </c:pt>
                <c:pt idx="62">
                  <c:v>6079.416666666667</c:v>
                </c:pt>
                <c:pt idx="63">
                  <c:v>6178.833333333333</c:v>
                </c:pt>
                <c:pt idx="64">
                  <c:v>7044.666666666667</c:v>
                </c:pt>
                <c:pt idx="65">
                  <c:v>8975.5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E-4FA6-8202-A4CC3DBDD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86128"/>
        <c:axId val="1506879888"/>
      </c:scatterChart>
      <c:valAx>
        <c:axId val="1506886128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79888"/>
        <c:crosses val="autoZero"/>
        <c:crossBetween val="midCat"/>
      </c:valAx>
      <c:valAx>
        <c:axId val="1506879888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8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Caudales!$C$8:$C$907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Caudales!$F$8:$F$907</c:f>
              <c:numCache>
                <c:formatCode>General</c:formatCode>
                <c:ptCount val="900"/>
                <c:pt idx="0">
                  <c:v>4444</c:v>
                </c:pt>
                <c:pt idx="1">
                  <c:v>5803</c:v>
                </c:pt>
                <c:pt idx="2">
                  <c:v>4343</c:v>
                </c:pt>
                <c:pt idx="3">
                  <c:v>4394</c:v>
                </c:pt>
                <c:pt idx="4">
                  <c:v>4127</c:v>
                </c:pt>
                <c:pt idx="5">
                  <c:v>4341</c:v>
                </c:pt>
                <c:pt idx="6">
                  <c:v>5904</c:v>
                </c:pt>
                <c:pt idx="7">
                  <c:v>5097</c:v>
                </c:pt>
                <c:pt idx="8">
                  <c:v>4877</c:v>
                </c:pt>
                <c:pt idx="9">
                  <c:v>3399</c:v>
                </c:pt>
                <c:pt idx="10">
                  <c:v>3990</c:v>
                </c:pt>
                <c:pt idx="11">
                  <c:v>4582</c:v>
                </c:pt>
                <c:pt idx="12">
                  <c:v>8477</c:v>
                </c:pt>
                <c:pt idx="13">
                  <c:v>8321</c:v>
                </c:pt>
                <c:pt idx="14">
                  <c:v>7039</c:v>
                </c:pt>
                <c:pt idx="15">
                  <c:v>5495</c:v>
                </c:pt>
                <c:pt idx="16">
                  <c:v>4197</c:v>
                </c:pt>
                <c:pt idx="17">
                  <c:v>4744</c:v>
                </c:pt>
                <c:pt idx="18">
                  <c:v>6647</c:v>
                </c:pt>
                <c:pt idx="19">
                  <c:v>6475</c:v>
                </c:pt>
                <c:pt idx="20">
                  <c:v>4075</c:v>
                </c:pt>
                <c:pt idx="21">
                  <c:v>4551</c:v>
                </c:pt>
                <c:pt idx="22">
                  <c:v>3771</c:v>
                </c:pt>
                <c:pt idx="23">
                  <c:v>5797</c:v>
                </c:pt>
                <c:pt idx="24">
                  <c:v>8407</c:v>
                </c:pt>
                <c:pt idx="25">
                  <c:v>8535</c:v>
                </c:pt>
                <c:pt idx="26">
                  <c:v>7850</c:v>
                </c:pt>
                <c:pt idx="27">
                  <c:v>7369</c:v>
                </c:pt>
                <c:pt idx="28">
                  <c:v>5564</c:v>
                </c:pt>
                <c:pt idx="29">
                  <c:v>6649</c:v>
                </c:pt>
                <c:pt idx="30">
                  <c:v>8229</c:v>
                </c:pt>
                <c:pt idx="31">
                  <c:v>6259</c:v>
                </c:pt>
                <c:pt idx="32">
                  <c:v>4229</c:v>
                </c:pt>
                <c:pt idx="33">
                  <c:v>3792</c:v>
                </c:pt>
                <c:pt idx="34">
                  <c:v>3205</c:v>
                </c:pt>
                <c:pt idx="35">
                  <c:v>3669</c:v>
                </c:pt>
                <c:pt idx="36">
                  <c:v>6855</c:v>
                </c:pt>
                <c:pt idx="37">
                  <c:v>7858</c:v>
                </c:pt>
                <c:pt idx="38">
                  <c:v>6414</c:v>
                </c:pt>
                <c:pt idx="39">
                  <c:v>6502</c:v>
                </c:pt>
                <c:pt idx="40">
                  <c:v>6193</c:v>
                </c:pt>
                <c:pt idx="41">
                  <c:v>6418</c:v>
                </c:pt>
                <c:pt idx="42">
                  <c:v>9001</c:v>
                </c:pt>
                <c:pt idx="43">
                  <c:v>9668</c:v>
                </c:pt>
                <c:pt idx="44">
                  <c:v>6585</c:v>
                </c:pt>
                <c:pt idx="45">
                  <c:v>4540</c:v>
                </c:pt>
                <c:pt idx="46">
                  <c:v>6968</c:v>
                </c:pt>
                <c:pt idx="47">
                  <c:v>11336</c:v>
                </c:pt>
                <c:pt idx="48">
                  <c:v>13395</c:v>
                </c:pt>
                <c:pt idx="49">
                  <c:v>11402</c:v>
                </c:pt>
                <c:pt idx="50">
                  <c:v>9565</c:v>
                </c:pt>
                <c:pt idx="51">
                  <c:v>9130</c:v>
                </c:pt>
                <c:pt idx="52">
                  <c:v>10126</c:v>
                </c:pt>
                <c:pt idx="53">
                  <c:v>11226</c:v>
                </c:pt>
                <c:pt idx="54">
                  <c:v>12827</c:v>
                </c:pt>
                <c:pt idx="55">
                  <c:v>11996</c:v>
                </c:pt>
                <c:pt idx="56">
                  <c:v>8274</c:v>
                </c:pt>
                <c:pt idx="57">
                  <c:v>6595</c:v>
                </c:pt>
                <c:pt idx="58">
                  <c:v>6721</c:v>
                </c:pt>
                <c:pt idx="59">
                  <c:v>11430</c:v>
                </c:pt>
                <c:pt idx="60">
                  <c:v>13942</c:v>
                </c:pt>
                <c:pt idx="61">
                  <c:v>13717</c:v>
                </c:pt>
                <c:pt idx="62">
                  <c:v>13685</c:v>
                </c:pt>
                <c:pt idx="63">
                  <c:v>12839</c:v>
                </c:pt>
                <c:pt idx="64">
                  <c:v>12741</c:v>
                </c:pt>
                <c:pt idx="65">
                  <c:v>10972</c:v>
                </c:pt>
                <c:pt idx="66">
                  <c:v>9275</c:v>
                </c:pt>
                <c:pt idx="67">
                  <c:v>7182</c:v>
                </c:pt>
                <c:pt idx="68">
                  <c:v>4545</c:v>
                </c:pt>
                <c:pt idx="69">
                  <c:v>3222</c:v>
                </c:pt>
                <c:pt idx="70">
                  <c:v>2579</c:v>
                </c:pt>
                <c:pt idx="71">
                  <c:v>3447</c:v>
                </c:pt>
                <c:pt idx="72">
                  <c:v>6163</c:v>
                </c:pt>
                <c:pt idx="73">
                  <c:v>7123</c:v>
                </c:pt>
                <c:pt idx="74">
                  <c:v>5289</c:v>
                </c:pt>
                <c:pt idx="75">
                  <c:v>6082</c:v>
                </c:pt>
                <c:pt idx="76">
                  <c:v>6035</c:v>
                </c:pt>
                <c:pt idx="77">
                  <c:v>7401</c:v>
                </c:pt>
                <c:pt idx="78">
                  <c:v>7787</c:v>
                </c:pt>
                <c:pt idx="79">
                  <c:v>7850</c:v>
                </c:pt>
                <c:pt idx="80">
                  <c:v>6948</c:v>
                </c:pt>
                <c:pt idx="81">
                  <c:v>5643</c:v>
                </c:pt>
                <c:pt idx="82">
                  <c:v>6777</c:v>
                </c:pt>
                <c:pt idx="83">
                  <c:v>10257</c:v>
                </c:pt>
                <c:pt idx="84">
                  <c:v>14438</c:v>
                </c:pt>
                <c:pt idx="85">
                  <c:v>13323</c:v>
                </c:pt>
                <c:pt idx="86">
                  <c:v>12038</c:v>
                </c:pt>
                <c:pt idx="87">
                  <c:v>12125</c:v>
                </c:pt>
                <c:pt idx="88">
                  <c:v>11936</c:v>
                </c:pt>
                <c:pt idx="89">
                  <c:v>11525</c:v>
                </c:pt>
                <c:pt idx="90">
                  <c:v>9974</c:v>
                </c:pt>
                <c:pt idx="91">
                  <c:v>7711</c:v>
                </c:pt>
                <c:pt idx="92">
                  <c:v>5673</c:v>
                </c:pt>
                <c:pt idx="93">
                  <c:v>5420</c:v>
                </c:pt>
                <c:pt idx="94">
                  <c:v>5442</c:v>
                </c:pt>
                <c:pt idx="95">
                  <c:v>8936</c:v>
                </c:pt>
                <c:pt idx="96">
                  <c:v>12511</c:v>
                </c:pt>
                <c:pt idx="97">
                  <c:v>13131</c:v>
                </c:pt>
                <c:pt idx="98">
                  <c:v>10444</c:v>
                </c:pt>
                <c:pt idx="99">
                  <c:v>10419</c:v>
                </c:pt>
                <c:pt idx="100">
                  <c:v>9304</c:v>
                </c:pt>
                <c:pt idx="101">
                  <c:v>11100</c:v>
                </c:pt>
                <c:pt idx="102">
                  <c:v>11263</c:v>
                </c:pt>
                <c:pt idx="103">
                  <c:v>8442</c:v>
                </c:pt>
                <c:pt idx="104">
                  <c:v>5658</c:v>
                </c:pt>
                <c:pt idx="105">
                  <c:v>2916</c:v>
                </c:pt>
                <c:pt idx="106">
                  <c:v>3754</c:v>
                </c:pt>
                <c:pt idx="107">
                  <c:v>7909</c:v>
                </c:pt>
                <c:pt idx="108">
                  <c:v>10575</c:v>
                </c:pt>
                <c:pt idx="109">
                  <c:v>9114</c:v>
                </c:pt>
                <c:pt idx="110">
                  <c:v>7218</c:v>
                </c:pt>
                <c:pt idx="111">
                  <c:v>7058</c:v>
                </c:pt>
                <c:pt idx="112">
                  <c:v>6984</c:v>
                </c:pt>
                <c:pt idx="113">
                  <c:v>10159</c:v>
                </c:pt>
                <c:pt idx="114">
                  <c:v>11047</c:v>
                </c:pt>
                <c:pt idx="115">
                  <c:v>8757</c:v>
                </c:pt>
                <c:pt idx="116">
                  <c:v>6292</c:v>
                </c:pt>
                <c:pt idx="117">
                  <c:v>4329</c:v>
                </c:pt>
                <c:pt idx="118">
                  <c:v>5532</c:v>
                </c:pt>
                <c:pt idx="119">
                  <c:v>9204</c:v>
                </c:pt>
                <c:pt idx="120">
                  <c:v>12700</c:v>
                </c:pt>
                <c:pt idx="121">
                  <c:v>10060</c:v>
                </c:pt>
                <c:pt idx="122">
                  <c:v>7510</c:v>
                </c:pt>
                <c:pt idx="123">
                  <c:v>6318</c:v>
                </c:pt>
                <c:pt idx="124">
                  <c:v>6664</c:v>
                </c:pt>
                <c:pt idx="125">
                  <c:v>8273</c:v>
                </c:pt>
                <c:pt idx="126">
                  <c:v>8434</c:v>
                </c:pt>
                <c:pt idx="127">
                  <c:v>6630</c:v>
                </c:pt>
                <c:pt idx="128">
                  <c:v>4448</c:v>
                </c:pt>
                <c:pt idx="129">
                  <c:v>3838</c:v>
                </c:pt>
                <c:pt idx="130">
                  <c:v>4568</c:v>
                </c:pt>
                <c:pt idx="131">
                  <c:v>7079</c:v>
                </c:pt>
                <c:pt idx="132">
                  <c:v>11106</c:v>
                </c:pt>
                <c:pt idx="133">
                  <c:v>10161</c:v>
                </c:pt>
                <c:pt idx="134">
                  <c:v>8047</c:v>
                </c:pt>
                <c:pt idx="135">
                  <c:v>6271</c:v>
                </c:pt>
                <c:pt idx="136">
                  <c:v>5941</c:v>
                </c:pt>
                <c:pt idx="137">
                  <c:v>6195</c:v>
                </c:pt>
                <c:pt idx="138">
                  <c:v>7558</c:v>
                </c:pt>
                <c:pt idx="139">
                  <c:v>6011</c:v>
                </c:pt>
                <c:pt idx="140">
                  <c:v>3609</c:v>
                </c:pt>
                <c:pt idx="141">
                  <c:v>2916</c:v>
                </c:pt>
                <c:pt idx="142">
                  <c:v>3724</c:v>
                </c:pt>
                <c:pt idx="143">
                  <c:v>8355</c:v>
                </c:pt>
                <c:pt idx="144">
                  <c:v>11146</c:v>
                </c:pt>
                <c:pt idx="145">
                  <c:v>10016</c:v>
                </c:pt>
                <c:pt idx="146">
                  <c:v>7897</c:v>
                </c:pt>
                <c:pt idx="147">
                  <c:v>6140</c:v>
                </c:pt>
                <c:pt idx="148">
                  <c:v>6910</c:v>
                </c:pt>
                <c:pt idx="149">
                  <c:v>7712</c:v>
                </c:pt>
                <c:pt idx="150">
                  <c:v>7152</c:v>
                </c:pt>
                <c:pt idx="151">
                  <c:v>5959</c:v>
                </c:pt>
                <c:pt idx="152">
                  <c:v>3815</c:v>
                </c:pt>
                <c:pt idx="153">
                  <c:v>2684</c:v>
                </c:pt>
                <c:pt idx="154">
                  <c:v>2566</c:v>
                </c:pt>
                <c:pt idx="155">
                  <c:v>3527</c:v>
                </c:pt>
                <c:pt idx="156">
                  <c:v>6225</c:v>
                </c:pt>
                <c:pt idx="157">
                  <c:v>7592</c:v>
                </c:pt>
                <c:pt idx="158">
                  <c:v>5094</c:v>
                </c:pt>
                <c:pt idx="159">
                  <c:v>4585</c:v>
                </c:pt>
                <c:pt idx="160">
                  <c:v>4440</c:v>
                </c:pt>
                <c:pt idx="161">
                  <c:v>6751</c:v>
                </c:pt>
                <c:pt idx="162">
                  <c:v>7583</c:v>
                </c:pt>
                <c:pt idx="163">
                  <c:v>5955</c:v>
                </c:pt>
                <c:pt idx="164">
                  <c:v>4518</c:v>
                </c:pt>
                <c:pt idx="165">
                  <c:v>2893</c:v>
                </c:pt>
                <c:pt idx="166">
                  <c:v>3326</c:v>
                </c:pt>
                <c:pt idx="167">
                  <c:v>6717</c:v>
                </c:pt>
                <c:pt idx="168">
                  <c:v>8537</c:v>
                </c:pt>
                <c:pt idx="169">
                  <c:v>7734</c:v>
                </c:pt>
                <c:pt idx="170">
                  <c:v>6229</c:v>
                </c:pt>
                <c:pt idx="171">
                  <c:v>4589</c:v>
                </c:pt>
                <c:pt idx="172">
                  <c:v>4293</c:v>
                </c:pt>
                <c:pt idx="173">
                  <c:v>4890</c:v>
                </c:pt>
                <c:pt idx="174">
                  <c:v>5872</c:v>
                </c:pt>
                <c:pt idx="175">
                  <c:v>4556</c:v>
                </c:pt>
                <c:pt idx="176">
                  <c:v>3761</c:v>
                </c:pt>
                <c:pt idx="177">
                  <c:v>3288</c:v>
                </c:pt>
                <c:pt idx="178">
                  <c:v>2960</c:v>
                </c:pt>
                <c:pt idx="179">
                  <c:v>5239</c:v>
                </c:pt>
                <c:pt idx="180">
                  <c:v>9162</c:v>
                </c:pt>
                <c:pt idx="181">
                  <c:v>10570</c:v>
                </c:pt>
                <c:pt idx="182">
                  <c:v>10234</c:v>
                </c:pt>
                <c:pt idx="183">
                  <c:v>8572</c:v>
                </c:pt>
                <c:pt idx="184">
                  <c:v>8562</c:v>
                </c:pt>
                <c:pt idx="185">
                  <c:v>9573</c:v>
                </c:pt>
                <c:pt idx="186">
                  <c:v>8971</c:v>
                </c:pt>
                <c:pt idx="187">
                  <c:v>6923</c:v>
                </c:pt>
                <c:pt idx="188">
                  <c:v>5630</c:v>
                </c:pt>
                <c:pt idx="189">
                  <c:v>5976</c:v>
                </c:pt>
                <c:pt idx="190">
                  <c:v>6093</c:v>
                </c:pt>
                <c:pt idx="191">
                  <c:v>10812</c:v>
                </c:pt>
                <c:pt idx="192">
                  <c:v>13023</c:v>
                </c:pt>
                <c:pt idx="193">
                  <c:v>13378</c:v>
                </c:pt>
                <c:pt idx="194">
                  <c:v>11434</c:v>
                </c:pt>
                <c:pt idx="195">
                  <c:v>9594</c:v>
                </c:pt>
                <c:pt idx="196">
                  <c:v>9733</c:v>
                </c:pt>
                <c:pt idx="197">
                  <c:v>10986</c:v>
                </c:pt>
                <c:pt idx="198">
                  <c:v>10328</c:v>
                </c:pt>
                <c:pt idx="199">
                  <c:v>9334</c:v>
                </c:pt>
                <c:pt idx="200">
                  <c:v>8431</c:v>
                </c:pt>
                <c:pt idx="201">
                  <c:v>8077</c:v>
                </c:pt>
                <c:pt idx="202">
                  <c:v>7315</c:v>
                </c:pt>
                <c:pt idx="203">
                  <c:v>9849</c:v>
                </c:pt>
                <c:pt idx="204">
                  <c:v>11020</c:v>
                </c:pt>
                <c:pt idx="205">
                  <c:v>9981</c:v>
                </c:pt>
                <c:pt idx="206">
                  <c:v>9307</c:v>
                </c:pt>
                <c:pt idx="207">
                  <c:v>8481</c:v>
                </c:pt>
                <c:pt idx="208">
                  <c:v>8307</c:v>
                </c:pt>
                <c:pt idx="209">
                  <c:v>8634</c:v>
                </c:pt>
                <c:pt idx="210">
                  <c:v>8008</c:v>
                </c:pt>
                <c:pt idx="211">
                  <c:v>6514</c:v>
                </c:pt>
                <c:pt idx="212">
                  <c:v>4127</c:v>
                </c:pt>
                <c:pt idx="213">
                  <c:v>2533</c:v>
                </c:pt>
                <c:pt idx="214">
                  <c:v>2746</c:v>
                </c:pt>
                <c:pt idx="215">
                  <c:v>2626</c:v>
                </c:pt>
                <c:pt idx="216">
                  <c:v>4819</c:v>
                </c:pt>
                <c:pt idx="217">
                  <c:v>5662</c:v>
                </c:pt>
                <c:pt idx="218">
                  <c:v>5039</c:v>
                </c:pt>
                <c:pt idx="219">
                  <c:v>3661</c:v>
                </c:pt>
                <c:pt idx="220">
                  <c:v>3728</c:v>
                </c:pt>
                <c:pt idx="221">
                  <c:v>5066</c:v>
                </c:pt>
                <c:pt idx="222">
                  <c:v>5438</c:v>
                </c:pt>
                <c:pt idx="223">
                  <c:v>4582</c:v>
                </c:pt>
                <c:pt idx="224">
                  <c:v>3704</c:v>
                </c:pt>
                <c:pt idx="225">
                  <c:v>3689</c:v>
                </c:pt>
                <c:pt idx="226">
                  <c:v>4934</c:v>
                </c:pt>
                <c:pt idx="227">
                  <c:v>5692</c:v>
                </c:pt>
                <c:pt idx="228">
                  <c:v>9402</c:v>
                </c:pt>
                <c:pt idx="229">
                  <c:v>10511</c:v>
                </c:pt>
                <c:pt idx="230">
                  <c:v>9896</c:v>
                </c:pt>
                <c:pt idx="231">
                  <c:v>10234</c:v>
                </c:pt>
                <c:pt idx="232">
                  <c:v>11122</c:v>
                </c:pt>
                <c:pt idx="233">
                  <c:v>11029</c:v>
                </c:pt>
                <c:pt idx="234">
                  <c:v>9225</c:v>
                </c:pt>
                <c:pt idx="235">
                  <c:v>7209</c:v>
                </c:pt>
                <c:pt idx="236">
                  <c:v>6627</c:v>
                </c:pt>
                <c:pt idx="237">
                  <c:v>5883</c:v>
                </c:pt>
                <c:pt idx="238">
                  <c:v>4982</c:v>
                </c:pt>
                <c:pt idx="239">
                  <c:v>6822</c:v>
                </c:pt>
                <c:pt idx="240">
                  <c:v>9349</c:v>
                </c:pt>
                <c:pt idx="241">
                  <c:v>10028</c:v>
                </c:pt>
                <c:pt idx="242">
                  <c:v>9163</c:v>
                </c:pt>
                <c:pt idx="243">
                  <c:v>9493</c:v>
                </c:pt>
                <c:pt idx="244">
                  <c:v>8850</c:v>
                </c:pt>
                <c:pt idx="245">
                  <c:v>7742</c:v>
                </c:pt>
                <c:pt idx="246">
                  <c:v>7234</c:v>
                </c:pt>
                <c:pt idx="247">
                  <c:v>5822</c:v>
                </c:pt>
                <c:pt idx="248">
                  <c:v>3689</c:v>
                </c:pt>
                <c:pt idx="249">
                  <c:v>2623</c:v>
                </c:pt>
                <c:pt idx="250">
                  <c:v>2534</c:v>
                </c:pt>
                <c:pt idx="251">
                  <c:v>5247</c:v>
                </c:pt>
                <c:pt idx="252">
                  <c:v>9946</c:v>
                </c:pt>
                <c:pt idx="253">
                  <c:v>9541</c:v>
                </c:pt>
                <c:pt idx="254">
                  <c:v>7921</c:v>
                </c:pt>
                <c:pt idx="255">
                  <c:v>6575</c:v>
                </c:pt>
                <c:pt idx="256">
                  <c:v>6866</c:v>
                </c:pt>
                <c:pt idx="257">
                  <c:v>8376</c:v>
                </c:pt>
                <c:pt idx="258">
                  <c:v>9082</c:v>
                </c:pt>
                <c:pt idx="259">
                  <c:v>8074</c:v>
                </c:pt>
                <c:pt idx="260">
                  <c:v>6451</c:v>
                </c:pt>
                <c:pt idx="261">
                  <c:v>5146</c:v>
                </c:pt>
                <c:pt idx="262">
                  <c:v>5154</c:v>
                </c:pt>
                <c:pt idx="263">
                  <c:v>8045</c:v>
                </c:pt>
                <c:pt idx="264">
                  <c:v>10012</c:v>
                </c:pt>
                <c:pt idx="265">
                  <c:v>8982</c:v>
                </c:pt>
                <c:pt idx="266">
                  <c:v>8268</c:v>
                </c:pt>
                <c:pt idx="267">
                  <c:v>7237</c:v>
                </c:pt>
                <c:pt idx="268">
                  <c:v>6275</c:v>
                </c:pt>
                <c:pt idx="269">
                  <c:v>7770</c:v>
                </c:pt>
                <c:pt idx="270">
                  <c:v>8567</c:v>
                </c:pt>
                <c:pt idx="271">
                  <c:v>7418</c:v>
                </c:pt>
                <c:pt idx="272">
                  <c:v>5266</c:v>
                </c:pt>
                <c:pt idx="273">
                  <c:v>3587</c:v>
                </c:pt>
                <c:pt idx="274">
                  <c:v>3850</c:v>
                </c:pt>
                <c:pt idx="275">
                  <c:v>5111</c:v>
                </c:pt>
                <c:pt idx="276">
                  <c:v>7096</c:v>
                </c:pt>
                <c:pt idx="277">
                  <c:v>6914</c:v>
                </c:pt>
                <c:pt idx="278">
                  <c:v>6908</c:v>
                </c:pt>
                <c:pt idx="279">
                  <c:v>6075</c:v>
                </c:pt>
                <c:pt idx="280">
                  <c:v>5718</c:v>
                </c:pt>
                <c:pt idx="281">
                  <c:v>4899</c:v>
                </c:pt>
                <c:pt idx="282">
                  <c:v>5507</c:v>
                </c:pt>
                <c:pt idx="283">
                  <c:v>4617</c:v>
                </c:pt>
                <c:pt idx="284">
                  <c:v>2844</c:v>
                </c:pt>
                <c:pt idx="285">
                  <c:v>2884</c:v>
                </c:pt>
                <c:pt idx="286">
                  <c:v>3068</c:v>
                </c:pt>
                <c:pt idx="287">
                  <c:v>4552</c:v>
                </c:pt>
                <c:pt idx="288">
                  <c:v>8438</c:v>
                </c:pt>
                <c:pt idx="289">
                  <c:v>8240</c:v>
                </c:pt>
                <c:pt idx="290">
                  <c:v>7768</c:v>
                </c:pt>
                <c:pt idx="291">
                  <c:v>5396</c:v>
                </c:pt>
                <c:pt idx="292">
                  <c:v>6347</c:v>
                </c:pt>
                <c:pt idx="293">
                  <c:v>6740</c:v>
                </c:pt>
                <c:pt idx="294">
                  <c:v>7130</c:v>
                </c:pt>
                <c:pt idx="295">
                  <c:v>6418</c:v>
                </c:pt>
                <c:pt idx="296">
                  <c:v>4843</c:v>
                </c:pt>
                <c:pt idx="297">
                  <c:v>4155</c:v>
                </c:pt>
                <c:pt idx="298">
                  <c:v>3696</c:v>
                </c:pt>
                <c:pt idx="299">
                  <c:v>7050</c:v>
                </c:pt>
                <c:pt idx="300">
                  <c:v>10194</c:v>
                </c:pt>
                <c:pt idx="301">
                  <c:v>9891</c:v>
                </c:pt>
                <c:pt idx="302">
                  <c:v>7998</c:v>
                </c:pt>
                <c:pt idx="303">
                  <c:v>6606</c:v>
                </c:pt>
                <c:pt idx="304">
                  <c:v>6335</c:v>
                </c:pt>
                <c:pt idx="305">
                  <c:v>7090</c:v>
                </c:pt>
                <c:pt idx="306">
                  <c:v>7707</c:v>
                </c:pt>
                <c:pt idx="307">
                  <c:v>7401</c:v>
                </c:pt>
                <c:pt idx="308">
                  <c:v>5276</c:v>
                </c:pt>
                <c:pt idx="309">
                  <c:v>4684</c:v>
                </c:pt>
                <c:pt idx="310">
                  <c:v>5057</c:v>
                </c:pt>
                <c:pt idx="311">
                  <c:v>6673</c:v>
                </c:pt>
                <c:pt idx="312">
                  <c:v>10709</c:v>
                </c:pt>
                <c:pt idx="313">
                  <c:v>12046</c:v>
                </c:pt>
                <c:pt idx="314">
                  <c:v>10531</c:v>
                </c:pt>
                <c:pt idx="315">
                  <c:v>8298</c:v>
                </c:pt>
                <c:pt idx="316">
                  <c:v>6889</c:v>
                </c:pt>
                <c:pt idx="317">
                  <c:v>7218</c:v>
                </c:pt>
                <c:pt idx="318">
                  <c:v>7546</c:v>
                </c:pt>
                <c:pt idx="319">
                  <c:v>6464</c:v>
                </c:pt>
                <c:pt idx="320">
                  <c:v>5862</c:v>
                </c:pt>
                <c:pt idx="321">
                  <c:v>6120</c:v>
                </c:pt>
                <c:pt idx="322">
                  <c:v>7224</c:v>
                </c:pt>
                <c:pt idx="323">
                  <c:v>11564</c:v>
                </c:pt>
                <c:pt idx="324">
                  <c:v>13531</c:v>
                </c:pt>
                <c:pt idx="325">
                  <c:v>13160</c:v>
                </c:pt>
                <c:pt idx="326">
                  <c:v>12893</c:v>
                </c:pt>
                <c:pt idx="327">
                  <c:v>11519</c:v>
                </c:pt>
                <c:pt idx="328">
                  <c:v>9669</c:v>
                </c:pt>
                <c:pt idx="329">
                  <c:v>8636</c:v>
                </c:pt>
                <c:pt idx="330">
                  <c:v>6416</c:v>
                </c:pt>
                <c:pt idx="331">
                  <c:v>5725</c:v>
                </c:pt>
                <c:pt idx="332">
                  <c:v>4695</c:v>
                </c:pt>
                <c:pt idx="333">
                  <c:v>4152</c:v>
                </c:pt>
                <c:pt idx="334">
                  <c:v>4394</c:v>
                </c:pt>
                <c:pt idx="335">
                  <c:v>6517</c:v>
                </c:pt>
                <c:pt idx="336">
                  <c:v>11132</c:v>
                </c:pt>
                <c:pt idx="337">
                  <c:v>11086</c:v>
                </c:pt>
                <c:pt idx="338">
                  <c:v>8922</c:v>
                </c:pt>
                <c:pt idx="339">
                  <c:v>7653</c:v>
                </c:pt>
                <c:pt idx="340">
                  <c:v>7564</c:v>
                </c:pt>
                <c:pt idx="341">
                  <c:v>5945</c:v>
                </c:pt>
                <c:pt idx="342">
                  <c:v>6982</c:v>
                </c:pt>
                <c:pt idx="343">
                  <c:v>6149</c:v>
                </c:pt>
                <c:pt idx="344">
                  <c:v>4451</c:v>
                </c:pt>
                <c:pt idx="345">
                  <c:v>4114</c:v>
                </c:pt>
                <c:pt idx="346">
                  <c:v>4222</c:v>
                </c:pt>
                <c:pt idx="347">
                  <c:v>5075</c:v>
                </c:pt>
                <c:pt idx="348">
                  <c:v>9594</c:v>
                </c:pt>
                <c:pt idx="349">
                  <c:v>10628</c:v>
                </c:pt>
                <c:pt idx="350">
                  <c:v>8391</c:v>
                </c:pt>
                <c:pt idx="351">
                  <c:v>6190</c:v>
                </c:pt>
                <c:pt idx="352">
                  <c:v>6205</c:v>
                </c:pt>
                <c:pt idx="353">
                  <c:v>8717</c:v>
                </c:pt>
                <c:pt idx="354">
                  <c:v>9229</c:v>
                </c:pt>
                <c:pt idx="355">
                  <c:v>8347</c:v>
                </c:pt>
                <c:pt idx="356">
                  <c:v>6552</c:v>
                </c:pt>
                <c:pt idx="357">
                  <c:v>5667</c:v>
                </c:pt>
                <c:pt idx="358">
                  <c:v>5097</c:v>
                </c:pt>
                <c:pt idx="359">
                  <c:v>6525</c:v>
                </c:pt>
                <c:pt idx="360">
                  <c:v>9753</c:v>
                </c:pt>
                <c:pt idx="361">
                  <c:v>9907</c:v>
                </c:pt>
                <c:pt idx="362">
                  <c:v>9087</c:v>
                </c:pt>
                <c:pt idx="363">
                  <c:v>7842</c:v>
                </c:pt>
                <c:pt idx="364">
                  <c:v>6058</c:v>
                </c:pt>
                <c:pt idx="365">
                  <c:v>4730</c:v>
                </c:pt>
                <c:pt idx="366">
                  <c:v>6206</c:v>
                </c:pt>
                <c:pt idx="367">
                  <c:v>5521</c:v>
                </c:pt>
                <c:pt idx="368">
                  <c:v>3974</c:v>
                </c:pt>
                <c:pt idx="369">
                  <c:v>3001</c:v>
                </c:pt>
                <c:pt idx="370">
                  <c:v>3917</c:v>
                </c:pt>
                <c:pt idx="371">
                  <c:v>7954</c:v>
                </c:pt>
                <c:pt idx="372">
                  <c:v>12508</c:v>
                </c:pt>
                <c:pt idx="373">
                  <c:v>12762</c:v>
                </c:pt>
                <c:pt idx="374">
                  <c:v>11298</c:v>
                </c:pt>
                <c:pt idx="375">
                  <c:v>10112</c:v>
                </c:pt>
                <c:pt idx="376">
                  <c:v>10415</c:v>
                </c:pt>
                <c:pt idx="377">
                  <c:v>10403</c:v>
                </c:pt>
                <c:pt idx="378">
                  <c:v>9164</c:v>
                </c:pt>
                <c:pt idx="379">
                  <c:v>6784</c:v>
                </c:pt>
                <c:pt idx="380">
                  <c:v>4613</c:v>
                </c:pt>
                <c:pt idx="381">
                  <c:v>5016</c:v>
                </c:pt>
                <c:pt idx="382">
                  <c:v>5769</c:v>
                </c:pt>
                <c:pt idx="383">
                  <c:v>7046</c:v>
                </c:pt>
                <c:pt idx="384">
                  <c:v>7490</c:v>
                </c:pt>
                <c:pt idx="385">
                  <c:v>8007</c:v>
                </c:pt>
                <c:pt idx="386">
                  <c:v>7230</c:v>
                </c:pt>
                <c:pt idx="387">
                  <c:v>6475</c:v>
                </c:pt>
                <c:pt idx="388">
                  <c:v>5830</c:v>
                </c:pt>
                <c:pt idx="389">
                  <c:v>6361</c:v>
                </c:pt>
                <c:pt idx="390">
                  <c:v>8204</c:v>
                </c:pt>
                <c:pt idx="391">
                  <c:v>7320</c:v>
                </c:pt>
                <c:pt idx="392">
                  <c:v>4473</c:v>
                </c:pt>
                <c:pt idx="393">
                  <c:v>2714</c:v>
                </c:pt>
                <c:pt idx="394">
                  <c:v>2490</c:v>
                </c:pt>
                <c:pt idx="395">
                  <c:v>4439</c:v>
                </c:pt>
                <c:pt idx="396">
                  <c:v>7576</c:v>
                </c:pt>
                <c:pt idx="397">
                  <c:v>9399</c:v>
                </c:pt>
                <c:pt idx="398">
                  <c:v>7715</c:v>
                </c:pt>
                <c:pt idx="399">
                  <c:v>6023</c:v>
                </c:pt>
                <c:pt idx="400">
                  <c:v>6893</c:v>
                </c:pt>
                <c:pt idx="401">
                  <c:v>9569</c:v>
                </c:pt>
                <c:pt idx="402">
                  <c:v>11092</c:v>
                </c:pt>
                <c:pt idx="403">
                  <c:v>9027</c:v>
                </c:pt>
                <c:pt idx="404">
                  <c:v>6370</c:v>
                </c:pt>
                <c:pt idx="405">
                  <c:v>5140</c:v>
                </c:pt>
                <c:pt idx="406">
                  <c:v>5825</c:v>
                </c:pt>
                <c:pt idx="407">
                  <c:v>8325</c:v>
                </c:pt>
                <c:pt idx="408">
                  <c:v>11579</c:v>
                </c:pt>
                <c:pt idx="409">
                  <c:v>11148</c:v>
                </c:pt>
                <c:pt idx="410">
                  <c:v>9926</c:v>
                </c:pt>
                <c:pt idx="411">
                  <c:v>10343</c:v>
                </c:pt>
                <c:pt idx="412">
                  <c:v>10851</c:v>
                </c:pt>
                <c:pt idx="413">
                  <c:v>13567</c:v>
                </c:pt>
                <c:pt idx="414">
                  <c:v>13531</c:v>
                </c:pt>
                <c:pt idx="415">
                  <c:v>9666</c:v>
                </c:pt>
                <c:pt idx="416">
                  <c:v>5002</c:v>
                </c:pt>
                <c:pt idx="417">
                  <c:v>4969</c:v>
                </c:pt>
                <c:pt idx="418">
                  <c:v>3794</c:v>
                </c:pt>
                <c:pt idx="419">
                  <c:v>6688</c:v>
                </c:pt>
                <c:pt idx="420">
                  <c:v>8713</c:v>
                </c:pt>
                <c:pt idx="421">
                  <c:v>9039</c:v>
                </c:pt>
                <c:pt idx="422">
                  <c:v>8012</c:v>
                </c:pt>
                <c:pt idx="423">
                  <c:v>6136</c:v>
                </c:pt>
                <c:pt idx="424">
                  <c:v>6260</c:v>
                </c:pt>
                <c:pt idx="425">
                  <c:v>5896</c:v>
                </c:pt>
                <c:pt idx="426">
                  <c:v>6636</c:v>
                </c:pt>
                <c:pt idx="427">
                  <c:v>5139</c:v>
                </c:pt>
                <c:pt idx="428">
                  <c:v>3352</c:v>
                </c:pt>
                <c:pt idx="429">
                  <c:v>3159</c:v>
                </c:pt>
                <c:pt idx="430">
                  <c:v>4656</c:v>
                </c:pt>
                <c:pt idx="431">
                  <c:v>7503</c:v>
                </c:pt>
                <c:pt idx="432">
                  <c:v>12341</c:v>
                </c:pt>
                <c:pt idx="433">
                  <c:v>10863</c:v>
                </c:pt>
                <c:pt idx="434">
                  <c:v>9138</c:v>
                </c:pt>
                <c:pt idx="435">
                  <c:v>8187</c:v>
                </c:pt>
                <c:pt idx="436">
                  <c:v>6925</c:v>
                </c:pt>
                <c:pt idx="437">
                  <c:v>8789</c:v>
                </c:pt>
                <c:pt idx="438">
                  <c:v>8825</c:v>
                </c:pt>
                <c:pt idx="439">
                  <c:v>6962</c:v>
                </c:pt>
                <c:pt idx="440">
                  <c:v>4257</c:v>
                </c:pt>
                <c:pt idx="441">
                  <c:v>3337</c:v>
                </c:pt>
                <c:pt idx="442">
                  <c:v>2826</c:v>
                </c:pt>
                <c:pt idx="443">
                  <c:v>5471</c:v>
                </c:pt>
                <c:pt idx="444">
                  <c:v>9153</c:v>
                </c:pt>
                <c:pt idx="445">
                  <c:v>9520</c:v>
                </c:pt>
                <c:pt idx="446">
                  <c:v>7930</c:v>
                </c:pt>
                <c:pt idx="447">
                  <c:v>6553</c:v>
                </c:pt>
                <c:pt idx="448">
                  <c:v>7005</c:v>
                </c:pt>
                <c:pt idx="449">
                  <c:v>8703</c:v>
                </c:pt>
                <c:pt idx="450">
                  <c:v>9034</c:v>
                </c:pt>
                <c:pt idx="451">
                  <c:v>8375</c:v>
                </c:pt>
                <c:pt idx="452">
                  <c:v>5916</c:v>
                </c:pt>
                <c:pt idx="453">
                  <c:v>2697</c:v>
                </c:pt>
                <c:pt idx="454">
                  <c:v>2776</c:v>
                </c:pt>
                <c:pt idx="455">
                  <c:v>5147</c:v>
                </c:pt>
                <c:pt idx="456">
                  <c:v>9909</c:v>
                </c:pt>
                <c:pt idx="457">
                  <c:v>10328</c:v>
                </c:pt>
                <c:pt idx="458">
                  <c:v>8275</c:v>
                </c:pt>
                <c:pt idx="459">
                  <c:v>5730</c:v>
                </c:pt>
                <c:pt idx="460">
                  <c:v>6383</c:v>
                </c:pt>
                <c:pt idx="461">
                  <c:v>6289</c:v>
                </c:pt>
                <c:pt idx="462">
                  <c:v>6776</c:v>
                </c:pt>
                <c:pt idx="463">
                  <c:v>4768</c:v>
                </c:pt>
                <c:pt idx="464">
                  <c:v>2953</c:v>
                </c:pt>
                <c:pt idx="465">
                  <c:v>1953</c:v>
                </c:pt>
                <c:pt idx="466">
                  <c:v>2120</c:v>
                </c:pt>
                <c:pt idx="467">
                  <c:v>3132</c:v>
                </c:pt>
                <c:pt idx="468">
                  <c:v>6946</c:v>
                </c:pt>
                <c:pt idx="469">
                  <c:v>9042</c:v>
                </c:pt>
                <c:pt idx="470">
                  <c:v>7210</c:v>
                </c:pt>
                <c:pt idx="471">
                  <c:v>4574</c:v>
                </c:pt>
                <c:pt idx="472">
                  <c:v>5593</c:v>
                </c:pt>
                <c:pt idx="473">
                  <c:v>7425</c:v>
                </c:pt>
                <c:pt idx="474">
                  <c:v>8307</c:v>
                </c:pt>
                <c:pt idx="475">
                  <c:v>7897</c:v>
                </c:pt>
                <c:pt idx="476">
                  <c:v>5986</c:v>
                </c:pt>
                <c:pt idx="477">
                  <c:v>5418</c:v>
                </c:pt>
                <c:pt idx="478">
                  <c:v>6053</c:v>
                </c:pt>
                <c:pt idx="479">
                  <c:v>10435</c:v>
                </c:pt>
                <c:pt idx="480">
                  <c:v>15373</c:v>
                </c:pt>
                <c:pt idx="481">
                  <c:v>15382</c:v>
                </c:pt>
                <c:pt idx="482">
                  <c:v>12699</c:v>
                </c:pt>
                <c:pt idx="483">
                  <c:v>10697</c:v>
                </c:pt>
                <c:pt idx="484">
                  <c:v>9192</c:v>
                </c:pt>
                <c:pt idx="485">
                  <c:v>8708</c:v>
                </c:pt>
                <c:pt idx="486">
                  <c:v>7786</c:v>
                </c:pt>
                <c:pt idx="487">
                  <c:v>6222</c:v>
                </c:pt>
                <c:pt idx="488">
                  <c:v>4242</c:v>
                </c:pt>
                <c:pt idx="489">
                  <c:v>4896</c:v>
                </c:pt>
                <c:pt idx="490">
                  <c:v>3880</c:v>
                </c:pt>
                <c:pt idx="491">
                  <c:v>7015</c:v>
                </c:pt>
                <c:pt idx="492">
                  <c:v>14159</c:v>
                </c:pt>
                <c:pt idx="493">
                  <c:v>14475</c:v>
                </c:pt>
                <c:pt idx="494">
                  <c:v>10593</c:v>
                </c:pt>
                <c:pt idx="495">
                  <c:v>7316</c:v>
                </c:pt>
                <c:pt idx="496">
                  <c:v>7024</c:v>
                </c:pt>
                <c:pt idx="497">
                  <c:v>7253</c:v>
                </c:pt>
                <c:pt idx="498">
                  <c:v>7957</c:v>
                </c:pt>
                <c:pt idx="499">
                  <c:v>7658</c:v>
                </c:pt>
                <c:pt idx="500">
                  <c:v>6208</c:v>
                </c:pt>
                <c:pt idx="501">
                  <c:v>6449</c:v>
                </c:pt>
                <c:pt idx="502">
                  <c:v>7292</c:v>
                </c:pt>
                <c:pt idx="503">
                  <c:v>10495</c:v>
                </c:pt>
                <c:pt idx="504">
                  <c:v>12731</c:v>
                </c:pt>
                <c:pt idx="505">
                  <c:v>12396</c:v>
                </c:pt>
                <c:pt idx="506">
                  <c:v>11374</c:v>
                </c:pt>
                <c:pt idx="507">
                  <c:v>9129</c:v>
                </c:pt>
                <c:pt idx="508">
                  <c:v>7417</c:v>
                </c:pt>
                <c:pt idx="509">
                  <c:v>6546</c:v>
                </c:pt>
                <c:pt idx="510">
                  <c:v>5443</c:v>
                </c:pt>
                <c:pt idx="511">
                  <c:v>4529</c:v>
                </c:pt>
                <c:pt idx="512">
                  <c:v>2960</c:v>
                </c:pt>
                <c:pt idx="513">
                  <c:v>2304</c:v>
                </c:pt>
                <c:pt idx="514">
                  <c:v>2436</c:v>
                </c:pt>
                <c:pt idx="515">
                  <c:v>4160</c:v>
                </c:pt>
                <c:pt idx="516">
                  <c:v>7553</c:v>
                </c:pt>
                <c:pt idx="517">
                  <c:v>8036</c:v>
                </c:pt>
                <c:pt idx="518">
                  <c:v>7051</c:v>
                </c:pt>
                <c:pt idx="519">
                  <c:v>6590</c:v>
                </c:pt>
                <c:pt idx="520">
                  <c:v>6556</c:v>
                </c:pt>
                <c:pt idx="521">
                  <c:v>9531</c:v>
                </c:pt>
                <c:pt idx="522">
                  <c:v>9887</c:v>
                </c:pt>
                <c:pt idx="523">
                  <c:v>7967</c:v>
                </c:pt>
                <c:pt idx="524">
                  <c:v>5426</c:v>
                </c:pt>
                <c:pt idx="525">
                  <c:v>4347</c:v>
                </c:pt>
                <c:pt idx="526">
                  <c:v>5918</c:v>
                </c:pt>
                <c:pt idx="527">
                  <c:v>7223</c:v>
                </c:pt>
                <c:pt idx="528">
                  <c:v>10721</c:v>
                </c:pt>
                <c:pt idx="529">
                  <c:v>12027</c:v>
                </c:pt>
                <c:pt idx="530">
                  <c:v>11315</c:v>
                </c:pt>
                <c:pt idx="531">
                  <c:v>10591</c:v>
                </c:pt>
                <c:pt idx="532">
                  <c:v>9767</c:v>
                </c:pt>
                <c:pt idx="533">
                  <c:v>10931</c:v>
                </c:pt>
                <c:pt idx="534">
                  <c:v>11467</c:v>
                </c:pt>
                <c:pt idx="535">
                  <c:v>9970</c:v>
                </c:pt>
                <c:pt idx="536">
                  <c:v>9037</c:v>
                </c:pt>
                <c:pt idx="537">
                  <c:v>8075</c:v>
                </c:pt>
                <c:pt idx="538">
                  <c:v>9078</c:v>
                </c:pt>
                <c:pt idx="539">
                  <c:v>10874</c:v>
                </c:pt>
                <c:pt idx="540">
                  <c:v>10483</c:v>
                </c:pt>
                <c:pt idx="541">
                  <c:v>10589</c:v>
                </c:pt>
                <c:pt idx="542">
                  <c:v>11062</c:v>
                </c:pt>
                <c:pt idx="543">
                  <c:v>10099</c:v>
                </c:pt>
                <c:pt idx="544">
                  <c:v>9101</c:v>
                </c:pt>
                <c:pt idx="545">
                  <c:v>8772</c:v>
                </c:pt>
                <c:pt idx="546">
                  <c:v>9005</c:v>
                </c:pt>
                <c:pt idx="547">
                  <c:v>7166</c:v>
                </c:pt>
                <c:pt idx="548">
                  <c:v>4971</c:v>
                </c:pt>
                <c:pt idx="549">
                  <c:v>4546</c:v>
                </c:pt>
                <c:pt idx="550">
                  <c:v>5731</c:v>
                </c:pt>
                <c:pt idx="551">
                  <c:v>9141</c:v>
                </c:pt>
                <c:pt idx="552">
                  <c:v>11668</c:v>
                </c:pt>
                <c:pt idx="553">
                  <c:v>11160</c:v>
                </c:pt>
                <c:pt idx="554">
                  <c:v>9205</c:v>
                </c:pt>
                <c:pt idx="555">
                  <c:v>7402</c:v>
                </c:pt>
                <c:pt idx="556">
                  <c:v>6634</c:v>
                </c:pt>
                <c:pt idx="557">
                  <c:v>7507</c:v>
                </c:pt>
                <c:pt idx="558">
                  <c:v>8598</c:v>
                </c:pt>
                <c:pt idx="559">
                  <c:v>7686</c:v>
                </c:pt>
                <c:pt idx="560">
                  <c:v>5190</c:v>
                </c:pt>
                <c:pt idx="561">
                  <c:v>3650</c:v>
                </c:pt>
                <c:pt idx="562">
                  <c:v>4114</c:v>
                </c:pt>
                <c:pt idx="563">
                  <c:v>6294</c:v>
                </c:pt>
                <c:pt idx="564">
                  <c:v>10426</c:v>
                </c:pt>
                <c:pt idx="565">
                  <c:v>10413</c:v>
                </c:pt>
                <c:pt idx="566">
                  <c:v>9339</c:v>
                </c:pt>
                <c:pt idx="567">
                  <c:v>8547</c:v>
                </c:pt>
                <c:pt idx="568">
                  <c:v>8243</c:v>
                </c:pt>
                <c:pt idx="569">
                  <c:v>8602</c:v>
                </c:pt>
                <c:pt idx="570">
                  <c:v>7805</c:v>
                </c:pt>
                <c:pt idx="571">
                  <c:v>6329</c:v>
                </c:pt>
                <c:pt idx="572">
                  <c:v>4679</c:v>
                </c:pt>
                <c:pt idx="573">
                  <c:v>3527</c:v>
                </c:pt>
                <c:pt idx="574">
                  <c:v>3659</c:v>
                </c:pt>
                <c:pt idx="575">
                  <c:v>4730</c:v>
                </c:pt>
                <c:pt idx="576">
                  <c:v>8232</c:v>
                </c:pt>
                <c:pt idx="577">
                  <c:v>8579</c:v>
                </c:pt>
                <c:pt idx="578">
                  <c:v>7131</c:v>
                </c:pt>
                <c:pt idx="579">
                  <c:v>7046</c:v>
                </c:pt>
                <c:pt idx="580">
                  <c:v>7482</c:v>
                </c:pt>
                <c:pt idx="581">
                  <c:v>8636</c:v>
                </c:pt>
                <c:pt idx="582">
                  <c:v>8195</c:v>
                </c:pt>
                <c:pt idx="583">
                  <c:v>6672</c:v>
                </c:pt>
                <c:pt idx="584">
                  <c:v>4686</c:v>
                </c:pt>
                <c:pt idx="585">
                  <c:v>4605</c:v>
                </c:pt>
                <c:pt idx="586">
                  <c:v>6099</c:v>
                </c:pt>
                <c:pt idx="587">
                  <c:v>9942</c:v>
                </c:pt>
                <c:pt idx="588">
                  <c:v>10688</c:v>
                </c:pt>
                <c:pt idx="589">
                  <c:v>9666</c:v>
                </c:pt>
                <c:pt idx="590">
                  <c:v>8608</c:v>
                </c:pt>
                <c:pt idx="591">
                  <c:v>8311</c:v>
                </c:pt>
                <c:pt idx="592">
                  <c:v>8274</c:v>
                </c:pt>
                <c:pt idx="593">
                  <c:v>8656</c:v>
                </c:pt>
                <c:pt idx="594">
                  <c:v>7452</c:v>
                </c:pt>
                <c:pt idx="595">
                  <c:v>5300</c:v>
                </c:pt>
                <c:pt idx="596">
                  <c:v>3569</c:v>
                </c:pt>
                <c:pt idx="597">
                  <c:v>3115</c:v>
                </c:pt>
                <c:pt idx="598">
                  <c:v>4129</c:v>
                </c:pt>
                <c:pt idx="599">
                  <c:v>7794</c:v>
                </c:pt>
                <c:pt idx="600">
                  <c:v>9908</c:v>
                </c:pt>
                <c:pt idx="601">
                  <c:v>8564</c:v>
                </c:pt>
                <c:pt idx="602">
                  <c:v>7215</c:v>
                </c:pt>
                <c:pt idx="603">
                  <c:v>5905</c:v>
                </c:pt>
                <c:pt idx="604">
                  <c:v>5239</c:v>
                </c:pt>
                <c:pt idx="605">
                  <c:v>4865</c:v>
                </c:pt>
                <c:pt idx="606">
                  <c:v>6375</c:v>
                </c:pt>
                <c:pt idx="607">
                  <c:v>5872</c:v>
                </c:pt>
                <c:pt idx="608">
                  <c:v>3984</c:v>
                </c:pt>
                <c:pt idx="609">
                  <c:v>2894</c:v>
                </c:pt>
                <c:pt idx="610">
                  <c:v>3269</c:v>
                </c:pt>
                <c:pt idx="611">
                  <c:v>5614</c:v>
                </c:pt>
                <c:pt idx="612">
                  <c:v>9146</c:v>
                </c:pt>
                <c:pt idx="613">
                  <c:v>10615</c:v>
                </c:pt>
                <c:pt idx="614">
                  <c:v>10006</c:v>
                </c:pt>
                <c:pt idx="615">
                  <c:v>10150</c:v>
                </c:pt>
                <c:pt idx="616">
                  <c:v>9936</c:v>
                </c:pt>
                <c:pt idx="617">
                  <c:v>9300</c:v>
                </c:pt>
                <c:pt idx="618">
                  <c:v>7704</c:v>
                </c:pt>
                <c:pt idx="619">
                  <c:v>5625</c:v>
                </c:pt>
                <c:pt idx="620">
                  <c:v>4125</c:v>
                </c:pt>
                <c:pt idx="621">
                  <c:v>2779</c:v>
                </c:pt>
                <c:pt idx="622">
                  <c:v>2799</c:v>
                </c:pt>
                <c:pt idx="623">
                  <c:v>5307</c:v>
                </c:pt>
                <c:pt idx="624">
                  <c:v>9221</c:v>
                </c:pt>
                <c:pt idx="625">
                  <c:v>9039</c:v>
                </c:pt>
                <c:pt idx="626">
                  <c:v>7791</c:v>
                </c:pt>
                <c:pt idx="627">
                  <c:v>7457</c:v>
                </c:pt>
                <c:pt idx="628">
                  <c:v>8263</c:v>
                </c:pt>
                <c:pt idx="629">
                  <c:v>8926</c:v>
                </c:pt>
                <c:pt idx="630">
                  <c:v>9394</c:v>
                </c:pt>
                <c:pt idx="631">
                  <c:v>8281</c:v>
                </c:pt>
                <c:pt idx="632">
                  <c:v>6373</c:v>
                </c:pt>
                <c:pt idx="633">
                  <c:v>4632</c:v>
                </c:pt>
                <c:pt idx="634">
                  <c:v>4493</c:v>
                </c:pt>
                <c:pt idx="635">
                  <c:v>6048</c:v>
                </c:pt>
                <c:pt idx="636">
                  <c:v>9448</c:v>
                </c:pt>
                <c:pt idx="637">
                  <c:v>9980</c:v>
                </c:pt>
                <c:pt idx="638">
                  <c:v>9180</c:v>
                </c:pt>
                <c:pt idx="639">
                  <c:v>9232</c:v>
                </c:pt>
                <c:pt idx="640">
                  <c:v>9716</c:v>
                </c:pt>
                <c:pt idx="641">
                  <c:v>10054</c:v>
                </c:pt>
                <c:pt idx="642">
                  <c:v>9211</c:v>
                </c:pt>
                <c:pt idx="643">
                  <c:v>7250</c:v>
                </c:pt>
                <c:pt idx="644">
                  <c:v>4828</c:v>
                </c:pt>
                <c:pt idx="645">
                  <c:v>4031</c:v>
                </c:pt>
                <c:pt idx="646">
                  <c:v>4102</c:v>
                </c:pt>
                <c:pt idx="647">
                  <c:v>7141</c:v>
                </c:pt>
                <c:pt idx="648">
                  <c:v>10821</c:v>
                </c:pt>
                <c:pt idx="649">
                  <c:v>9698</c:v>
                </c:pt>
                <c:pt idx="650">
                  <c:v>7490</c:v>
                </c:pt>
                <c:pt idx="651">
                  <c:v>6797</c:v>
                </c:pt>
                <c:pt idx="652">
                  <c:v>5872</c:v>
                </c:pt>
                <c:pt idx="653">
                  <c:v>6121</c:v>
                </c:pt>
                <c:pt idx="654">
                  <c:v>5772</c:v>
                </c:pt>
                <c:pt idx="655">
                  <c:v>5702</c:v>
                </c:pt>
                <c:pt idx="656">
                  <c:v>4407</c:v>
                </c:pt>
                <c:pt idx="657">
                  <c:v>3098</c:v>
                </c:pt>
                <c:pt idx="658">
                  <c:v>4318</c:v>
                </c:pt>
                <c:pt idx="659">
                  <c:v>7496</c:v>
                </c:pt>
                <c:pt idx="660">
                  <c:v>10340</c:v>
                </c:pt>
                <c:pt idx="661">
                  <c:v>9379</c:v>
                </c:pt>
                <c:pt idx="662">
                  <c:v>7585</c:v>
                </c:pt>
                <c:pt idx="663">
                  <c:v>7813</c:v>
                </c:pt>
                <c:pt idx="664">
                  <c:v>7157</c:v>
                </c:pt>
                <c:pt idx="665">
                  <c:v>7877</c:v>
                </c:pt>
                <c:pt idx="666">
                  <c:v>7877</c:v>
                </c:pt>
                <c:pt idx="667">
                  <c:v>6926</c:v>
                </c:pt>
                <c:pt idx="668">
                  <c:v>4725</c:v>
                </c:pt>
                <c:pt idx="669">
                  <c:v>3722</c:v>
                </c:pt>
                <c:pt idx="670">
                  <c:v>4808</c:v>
                </c:pt>
                <c:pt idx="671">
                  <c:v>6761</c:v>
                </c:pt>
                <c:pt idx="672">
                  <c:v>8926</c:v>
                </c:pt>
                <c:pt idx="673">
                  <c:v>9129</c:v>
                </c:pt>
                <c:pt idx="674">
                  <c:v>7289</c:v>
                </c:pt>
                <c:pt idx="675">
                  <c:v>6218</c:v>
                </c:pt>
                <c:pt idx="676">
                  <c:v>6096</c:v>
                </c:pt>
                <c:pt idx="677">
                  <c:v>6924</c:v>
                </c:pt>
                <c:pt idx="678">
                  <c:v>6802</c:v>
                </c:pt>
                <c:pt idx="679">
                  <c:v>5828</c:v>
                </c:pt>
                <c:pt idx="680">
                  <c:v>3098</c:v>
                </c:pt>
                <c:pt idx="681">
                  <c:v>2299</c:v>
                </c:pt>
                <c:pt idx="682">
                  <c:v>2138</c:v>
                </c:pt>
                <c:pt idx="683">
                  <c:v>3454</c:v>
                </c:pt>
                <c:pt idx="684">
                  <c:v>5562</c:v>
                </c:pt>
                <c:pt idx="685">
                  <c:v>7208</c:v>
                </c:pt>
                <c:pt idx="686">
                  <c:v>5663</c:v>
                </c:pt>
                <c:pt idx="687">
                  <c:v>5019</c:v>
                </c:pt>
                <c:pt idx="688">
                  <c:v>5607</c:v>
                </c:pt>
                <c:pt idx="689">
                  <c:v>4748</c:v>
                </c:pt>
                <c:pt idx="690">
                  <c:v>6442</c:v>
                </c:pt>
                <c:pt idx="691">
                  <c:v>5668</c:v>
                </c:pt>
                <c:pt idx="692">
                  <c:v>3441</c:v>
                </c:pt>
                <c:pt idx="693">
                  <c:v>2527</c:v>
                </c:pt>
                <c:pt idx="694">
                  <c:v>2651</c:v>
                </c:pt>
                <c:pt idx="695">
                  <c:v>3656</c:v>
                </c:pt>
                <c:pt idx="696">
                  <c:v>6407</c:v>
                </c:pt>
                <c:pt idx="697">
                  <c:v>7167</c:v>
                </c:pt>
                <c:pt idx="698">
                  <c:v>6284</c:v>
                </c:pt>
                <c:pt idx="699">
                  <c:v>5136</c:v>
                </c:pt>
                <c:pt idx="700">
                  <c:v>5317</c:v>
                </c:pt>
                <c:pt idx="701">
                  <c:v>6377</c:v>
                </c:pt>
                <c:pt idx="702">
                  <c:v>7896</c:v>
                </c:pt>
                <c:pt idx="703">
                  <c:v>5821</c:v>
                </c:pt>
                <c:pt idx="704">
                  <c:v>4337</c:v>
                </c:pt>
                <c:pt idx="705">
                  <c:v>3838</c:v>
                </c:pt>
                <c:pt idx="706">
                  <c:v>4213</c:v>
                </c:pt>
                <c:pt idx="707">
                  <c:v>8189</c:v>
                </c:pt>
                <c:pt idx="710">
                  <c:v>9777</c:v>
                </c:pt>
                <c:pt idx="711">
                  <c:v>8480</c:v>
                </c:pt>
                <c:pt idx="712">
                  <c:v>8293</c:v>
                </c:pt>
                <c:pt idx="713">
                  <c:v>9889</c:v>
                </c:pt>
                <c:pt idx="714">
                  <c:v>9496</c:v>
                </c:pt>
                <c:pt idx="715">
                  <c:v>7264</c:v>
                </c:pt>
                <c:pt idx="716">
                  <c:v>6521</c:v>
                </c:pt>
                <c:pt idx="717">
                  <c:v>7076</c:v>
                </c:pt>
                <c:pt idx="718">
                  <c:v>8184</c:v>
                </c:pt>
                <c:pt idx="719">
                  <c:v>10684</c:v>
                </c:pt>
                <c:pt idx="722">
                  <c:v>10622</c:v>
                </c:pt>
                <c:pt idx="723">
                  <c:v>10162</c:v>
                </c:pt>
                <c:pt idx="724">
                  <c:v>10252</c:v>
                </c:pt>
                <c:pt idx="725">
                  <c:v>10142</c:v>
                </c:pt>
                <c:pt idx="726">
                  <c:v>9442</c:v>
                </c:pt>
                <c:pt idx="727">
                  <c:v>8350</c:v>
                </c:pt>
                <c:pt idx="728">
                  <c:v>6480</c:v>
                </c:pt>
                <c:pt idx="729">
                  <c:v>4535</c:v>
                </c:pt>
                <c:pt idx="730">
                  <c:v>4973</c:v>
                </c:pt>
                <c:pt idx="731">
                  <c:v>9458</c:v>
                </c:pt>
                <c:pt idx="732">
                  <c:v>11458</c:v>
                </c:pt>
                <c:pt idx="733">
                  <c:v>10989</c:v>
                </c:pt>
                <c:pt idx="734">
                  <c:v>9536</c:v>
                </c:pt>
                <c:pt idx="735">
                  <c:v>9183</c:v>
                </c:pt>
                <c:pt idx="736">
                  <c:v>10413</c:v>
                </c:pt>
                <c:pt idx="737">
                  <c:v>9701</c:v>
                </c:pt>
                <c:pt idx="738">
                  <c:v>7892</c:v>
                </c:pt>
                <c:pt idx="739">
                  <c:v>6684</c:v>
                </c:pt>
                <c:pt idx="740">
                  <c:v>4445</c:v>
                </c:pt>
                <c:pt idx="741">
                  <c:v>3534</c:v>
                </c:pt>
                <c:pt idx="742">
                  <c:v>3853</c:v>
                </c:pt>
                <c:pt idx="743">
                  <c:v>6971</c:v>
                </c:pt>
                <c:pt idx="744">
                  <c:v>8587</c:v>
                </c:pt>
                <c:pt idx="745">
                  <c:v>8330</c:v>
                </c:pt>
                <c:pt idx="746">
                  <c:v>7031</c:v>
                </c:pt>
                <c:pt idx="747">
                  <c:v>5212</c:v>
                </c:pt>
                <c:pt idx="748">
                  <c:v>5152</c:v>
                </c:pt>
                <c:pt idx="749">
                  <c:v>6538</c:v>
                </c:pt>
                <c:pt idx="750">
                  <c:v>7406</c:v>
                </c:pt>
                <c:pt idx="751">
                  <c:v>5998</c:v>
                </c:pt>
                <c:pt idx="752">
                  <c:v>4524</c:v>
                </c:pt>
                <c:pt idx="753">
                  <c:v>3222</c:v>
                </c:pt>
                <c:pt idx="754">
                  <c:v>4516</c:v>
                </c:pt>
                <c:pt idx="755">
                  <c:v>6437</c:v>
                </c:pt>
                <c:pt idx="756">
                  <c:v>8351</c:v>
                </c:pt>
                <c:pt idx="757">
                  <c:v>7878</c:v>
                </c:pt>
                <c:pt idx="758">
                  <c:v>7105</c:v>
                </c:pt>
                <c:pt idx="759">
                  <c:v>6427</c:v>
                </c:pt>
                <c:pt idx="760">
                  <c:v>6938</c:v>
                </c:pt>
                <c:pt idx="761">
                  <c:v>7043</c:v>
                </c:pt>
                <c:pt idx="762">
                  <c:v>7027</c:v>
                </c:pt>
                <c:pt idx="763">
                  <c:v>6504</c:v>
                </c:pt>
                <c:pt idx="764">
                  <c:v>3841</c:v>
                </c:pt>
                <c:pt idx="765">
                  <c:v>3061</c:v>
                </c:pt>
                <c:pt idx="766">
                  <c:v>3573</c:v>
                </c:pt>
                <c:pt idx="767">
                  <c:v>6398</c:v>
                </c:pt>
                <c:pt idx="768">
                  <c:v>8980</c:v>
                </c:pt>
                <c:pt idx="769">
                  <c:v>8344</c:v>
                </c:pt>
                <c:pt idx="770">
                  <c:v>7360</c:v>
                </c:pt>
                <c:pt idx="771">
                  <c:v>7237</c:v>
                </c:pt>
                <c:pt idx="772">
                  <c:v>6825</c:v>
                </c:pt>
                <c:pt idx="773">
                  <c:v>7150</c:v>
                </c:pt>
                <c:pt idx="774">
                  <c:v>7035</c:v>
                </c:pt>
                <c:pt idx="775">
                  <c:v>6072</c:v>
                </c:pt>
                <c:pt idx="776">
                  <c:v>4544</c:v>
                </c:pt>
                <c:pt idx="777">
                  <c:v>5335</c:v>
                </c:pt>
                <c:pt idx="778">
                  <c:v>6822</c:v>
                </c:pt>
                <c:pt idx="779">
                  <c:v>8832</c:v>
                </c:pt>
                <c:pt idx="780">
                  <c:v>11606</c:v>
                </c:pt>
                <c:pt idx="781">
                  <c:v>10763</c:v>
                </c:pt>
                <c:pt idx="782">
                  <c:v>9762</c:v>
                </c:pt>
                <c:pt idx="783">
                  <c:v>10746</c:v>
                </c:pt>
                <c:pt idx="784">
                  <c:v>11015</c:v>
                </c:pt>
                <c:pt idx="785">
                  <c:v>11480</c:v>
                </c:pt>
                <c:pt idx="786">
                  <c:v>9653</c:v>
                </c:pt>
                <c:pt idx="787">
                  <c:v>7553</c:v>
                </c:pt>
                <c:pt idx="788">
                  <c:v>6032</c:v>
                </c:pt>
                <c:pt idx="789">
                  <c:v>6485</c:v>
                </c:pt>
                <c:pt idx="790">
                  <c:v>6180</c:v>
                </c:pt>
                <c:pt idx="791">
                  <c:v>6431</c:v>
                </c:pt>
                <c:pt idx="792">
                  <c:v>10975</c:v>
                </c:pt>
                <c:pt idx="793">
                  <c:v>10715</c:v>
                </c:pt>
                <c:pt idx="794">
                  <c:v>9084</c:v>
                </c:pt>
                <c:pt idx="795">
                  <c:v>8033</c:v>
                </c:pt>
                <c:pt idx="796">
                  <c:v>7080</c:v>
                </c:pt>
                <c:pt idx="797">
                  <c:v>7744</c:v>
                </c:pt>
                <c:pt idx="798">
                  <c:v>6284</c:v>
                </c:pt>
                <c:pt idx="799">
                  <c:v>5449</c:v>
                </c:pt>
                <c:pt idx="800">
                  <c:v>3504</c:v>
                </c:pt>
                <c:pt idx="801">
                  <c:v>3119</c:v>
                </c:pt>
                <c:pt idx="802">
                  <c:v>2847</c:v>
                </c:pt>
                <c:pt idx="803">
                  <c:v>4148</c:v>
                </c:pt>
                <c:pt idx="804">
                  <c:v>8291</c:v>
                </c:pt>
                <c:pt idx="805">
                  <c:v>8838</c:v>
                </c:pt>
                <c:pt idx="806">
                  <c:v>6882</c:v>
                </c:pt>
                <c:pt idx="807">
                  <c:v>4586</c:v>
                </c:pt>
                <c:pt idx="808">
                  <c:v>5131</c:v>
                </c:pt>
                <c:pt idx="809">
                  <c:v>5847</c:v>
                </c:pt>
                <c:pt idx="810">
                  <c:v>7166</c:v>
                </c:pt>
                <c:pt idx="811">
                  <c:v>5519</c:v>
                </c:pt>
                <c:pt idx="812">
                  <c:v>4174</c:v>
                </c:pt>
                <c:pt idx="814">
                  <c:v>2266</c:v>
                </c:pt>
                <c:pt idx="815">
                  <c:v>3641</c:v>
                </c:pt>
                <c:pt idx="816">
                  <c:v>7617</c:v>
                </c:pt>
                <c:pt idx="817">
                  <c:v>10102</c:v>
                </c:pt>
                <c:pt idx="818">
                  <c:v>8705</c:v>
                </c:pt>
                <c:pt idx="819">
                  <c:v>7436</c:v>
                </c:pt>
                <c:pt idx="820">
                  <c:v>8159</c:v>
                </c:pt>
                <c:pt idx="821">
                  <c:v>7789</c:v>
                </c:pt>
                <c:pt idx="822">
                  <c:v>7198</c:v>
                </c:pt>
                <c:pt idx="823">
                  <c:v>5089</c:v>
                </c:pt>
                <c:pt idx="824">
                  <c:v>3392</c:v>
                </c:pt>
                <c:pt idx="825">
                  <c:v>2640</c:v>
                </c:pt>
                <c:pt idx="826">
                  <c:v>3217</c:v>
                </c:pt>
                <c:pt idx="827">
                  <c:v>5320</c:v>
                </c:pt>
                <c:pt idx="828">
                  <c:v>7541</c:v>
                </c:pt>
                <c:pt idx="829">
                  <c:v>7000</c:v>
                </c:pt>
                <c:pt idx="830">
                  <c:v>5507</c:v>
                </c:pt>
                <c:pt idx="831">
                  <c:v>4883</c:v>
                </c:pt>
                <c:pt idx="832">
                  <c:v>4942</c:v>
                </c:pt>
                <c:pt idx="833">
                  <c:v>4665</c:v>
                </c:pt>
                <c:pt idx="834">
                  <c:v>6498</c:v>
                </c:pt>
                <c:pt idx="835">
                  <c:v>6217</c:v>
                </c:pt>
                <c:pt idx="836">
                  <c:v>4691</c:v>
                </c:pt>
                <c:pt idx="837">
                  <c:v>3487</c:v>
                </c:pt>
                <c:pt idx="838">
                  <c:v>3629</c:v>
                </c:pt>
                <c:pt idx="839">
                  <c:v>6392</c:v>
                </c:pt>
                <c:pt idx="840">
                  <c:v>9418</c:v>
                </c:pt>
                <c:pt idx="841">
                  <c:v>9493</c:v>
                </c:pt>
                <c:pt idx="842">
                  <c:v>8127</c:v>
                </c:pt>
                <c:pt idx="843">
                  <c:v>7468</c:v>
                </c:pt>
                <c:pt idx="844">
                  <c:v>7082</c:v>
                </c:pt>
                <c:pt idx="845">
                  <c:v>7487</c:v>
                </c:pt>
                <c:pt idx="846">
                  <c:v>8560</c:v>
                </c:pt>
                <c:pt idx="847">
                  <c:v>6974</c:v>
                </c:pt>
                <c:pt idx="851">
                  <c:v>6042</c:v>
                </c:pt>
                <c:pt idx="852">
                  <c:v>10852</c:v>
                </c:pt>
                <c:pt idx="853">
                  <c:v>11151</c:v>
                </c:pt>
                <c:pt idx="854">
                  <c:v>9207</c:v>
                </c:pt>
                <c:pt idx="855">
                  <c:v>8086</c:v>
                </c:pt>
                <c:pt idx="856">
                  <c:v>7487</c:v>
                </c:pt>
                <c:pt idx="857">
                  <c:v>9520</c:v>
                </c:pt>
                <c:pt idx="858">
                  <c:v>8982</c:v>
                </c:pt>
                <c:pt idx="859">
                  <c:v>6889</c:v>
                </c:pt>
                <c:pt idx="860">
                  <c:v>4846</c:v>
                </c:pt>
                <c:pt idx="863">
                  <c:v>5497</c:v>
                </c:pt>
                <c:pt idx="864">
                  <c:v>8518</c:v>
                </c:pt>
                <c:pt idx="865">
                  <c:v>9599</c:v>
                </c:pt>
                <c:pt idx="866">
                  <c:v>6989</c:v>
                </c:pt>
                <c:pt idx="867">
                  <c:v>6042</c:v>
                </c:pt>
                <c:pt idx="868">
                  <c:v>6155</c:v>
                </c:pt>
                <c:pt idx="869">
                  <c:v>7372</c:v>
                </c:pt>
                <c:pt idx="870">
                  <c:v>9086</c:v>
                </c:pt>
                <c:pt idx="871">
                  <c:v>8425</c:v>
                </c:pt>
                <c:pt idx="872">
                  <c:v>6418</c:v>
                </c:pt>
                <c:pt idx="873">
                  <c:v>5347</c:v>
                </c:pt>
                <c:pt idx="874">
                  <c:v>6596</c:v>
                </c:pt>
                <c:pt idx="875">
                  <c:v>9677</c:v>
                </c:pt>
                <c:pt idx="876">
                  <c:v>11422</c:v>
                </c:pt>
                <c:pt idx="877">
                  <c:v>10606</c:v>
                </c:pt>
                <c:pt idx="878">
                  <c:v>8154</c:v>
                </c:pt>
                <c:pt idx="879">
                  <c:v>7434</c:v>
                </c:pt>
                <c:pt idx="880">
                  <c:v>7356</c:v>
                </c:pt>
                <c:pt idx="881">
                  <c:v>7044</c:v>
                </c:pt>
                <c:pt idx="882">
                  <c:v>10101</c:v>
                </c:pt>
                <c:pt idx="883">
                  <c:v>8773</c:v>
                </c:pt>
                <c:pt idx="884">
                  <c:v>5011</c:v>
                </c:pt>
                <c:pt idx="885">
                  <c:v>3717</c:v>
                </c:pt>
                <c:pt idx="886">
                  <c:v>3111</c:v>
                </c:pt>
                <c:pt idx="887">
                  <c:v>3326</c:v>
                </c:pt>
                <c:pt idx="888">
                  <c:v>5299</c:v>
                </c:pt>
                <c:pt idx="889">
                  <c:v>5356</c:v>
                </c:pt>
                <c:pt idx="890">
                  <c:v>5232</c:v>
                </c:pt>
                <c:pt idx="891">
                  <c:v>4996</c:v>
                </c:pt>
                <c:pt idx="892">
                  <c:v>4872</c:v>
                </c:pt>
                <c:pt idx="893">
                  <c:v>4880</c:v>
                </c:pt>
                <c:pt idx="894">
                  <c:v>4879</c:v>
                </c:pt>
                <c:pt idx="895">
                  <c:v>4867</c:v>
                </c:pt>
                <c:pt idx="896">
                  <c:v>3985</c:v>
                </c:pt>
                <c:pt idx="897">
                  <c:v>3003</c:v>
                </c:pt>
                <c:pt idx="898">
                  <c:v>3707</c:v>
                </c:pt>
                <c:pt idx="899">
                  <c:v>4993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4260-BCA5-3B031673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610303"/>
        <c:axId val="1197605311"/>
      </c:scatterChart>
      <c:valAx>
        <c:axId val="119761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05311"/>
        <c:crosses val="autoZero"/>
        <c:crossBetween val="midCat"/>
      </c:valAx>
      <c:valAx>
        <c:axId val="11976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1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Nivel!$G$4:$G$543</c:f>
              <c:numCache>
                <c:formatCode>0.0</c:formatCode>
                <c:ptCount val="54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1972.9166666573401</c:v>
                </c:pt>
                <c:pt idx="517">
                  <c:v>1972.83333332398</c:v>
                </c:pt>
                <c:pt idx="518">
                  <c:v>1972.7499999906199</c:v>
                </c:pt>
                <c:pt idx="519">
                  <c:v>1972.6666666572601</c:v>
                </c:pt>
                <c:pt idx="520">
                  <c:v>1972.5833333239</c:v>
                </c:pt>
                <c:pt idx="521">
                  <c:v>1972.4999999905399</c:v>
                </c:pt>
                <c:pt idx="522">
                  <c:v>1972.41666665718</c:v>
                </c:pt>
                <c:pt idx="523">
                  <c:v>1972.3333333238199</c:v>
                </c:pt>
                <c:pt idx="524">
                  <c:v>1972.2499999904601</c:v>
                </c:pt>
                <c:pt idx="525">
                  <c:v>1972.1666666571</c:v>
                </c:pt>
                <c:pt idx="526">
                  <c:v>1972.0833333237399</c:v>
                </c:pt>
                <c:pt idx="527">
                  <c:v>1971.99999999038</c:v>
                </c:pt>
                <c:pt idx="528">
                  <c:v>1971.9166666578485</c:v>
                </c:pt>
                <c:pt idx="529">
                  <c:v>1971.8333333253167</c:v>
                </c:pt>
                <c:pt idx="530">
                  <c:v>1971.7499999927852</c:v>
                </c:pt>
                <c:pt idx="531">
                  <c:v>1971.6666666602534</c:v>
                </c:pt>
                <c:pt idx="532">
                  <c:v>1971.5833333277217</c:v>
                </c:pt>
                <c:pt idx="533">
                  <c:v>1971.4999999951901</c:v>
                </c:pt>
                <c:pt idx="534">
                  <c:v>1971.4166666626584</c:v>
                </c:pt>
                <c:pt idx="535">
                  <c:v>1971.3333333301268</c:v>
                </c:pt>
                <c:pt idx="536">
                  <c:v>1971.2499999975951</c:v>
                </c:pt>
                <c:pt idx="537">
                  <c:v>1971.1666666650635</c:v>
                </c:pt>
                <c:pt idx="538">
                  <c:v>1971.0833333325318</c:v>
                </c:pt>
                <c:pt idx="539">
                  <c:v>1971</c:v>
                </c:pt>
              </c:numCache>
            </c:numRef>
          </c:xVal>
          <c:yVal>
            <c:numRef>
              <c:f>Nivel!$L$4:$L$543</c:f>
              <c:numCache>
                <c:formatCode>0.00</c:formatCode>
                <c:ptCount val="540"/>
                <c:pt idx="0">
                  <c:v>-1.0554577949063408</c:v>
                </c:pt>
                <c:pt idx="1">
                  <c:v>-0.46255506900668036</c:v>
                </c:pt>
                <c:pt idx="2">
                  <c:v>-1.0734245441760275</c:v>
                </c:pt>
                <c:pt idx="3">
                  <c:v>-1.0315021292134252</c:v>
                </c:pt>
                <c:pt idx="4">
                  <c:v>-1.1572693741012319</c:v>
                </c:pt>
                <c:pt idx="5">
                  <c:v>-1.0614467113295696</c:v>
                </c:pt>
                <c:pt idx="6">
                  <c:v>-0.42662157046730703</c:v>
                </c:pt>
                <c:pt idx="7">
                  <c:v>-0.73205630805198052</c:v>
                </c:pt>
                <c:pt idx="8">
                  <c:v>-0.82787897082364281</c:v>
                </c:pt>
                <c:pt idx="9">
                  <c:v>-1.5764935237272546</c:v>
                </c:pt>
                <c:pt idx="10">
                  <c:v>-1.2291363711799788</c:v>
                </c:pt>
                <c:pt idx="11">
                  <c:v>-0.98957971425082303</c:v>
                </c:pt>
                <c:pt idx="12">
                  <c:v>0.47770480944025584</c:v>
                </c:pt>
                <c:pt idx="13">
                  <c:v>0.42380456163119579</c:v>
                </c:pt>
                <c:pt idx="14">
                  <c:v>-1.9375253687742292E-2</c:v>
                </c:pt>
                <c:pt idx="15">
                  <c:v>-0.58233339747125823</c:v>
                </c:pt>
                <c:pt idx="16">
                  <c:v>-1.1393026248315452</c:v>
                </c:pt>
                <c:pt idx="17">
                  <c:v>-0.88776813505593177</c:v>
                </c:pt>
                <c:pt idx="18">
                  <c:v>-0.15712033142200682</c:v>
                </c:pt>
                <c:pt idx="19">
                  <c:v>-0.22299841207752466</c:v>
                </c:pt>
                <c:pt idx="20">
                  <c:v>-1.1872139562173765</c:v>
                </c:pt>
                <c:pt idx="21">
                  <c:v>-0.95963513213467855</c:v>
                </c:pt>
                <c:pt idx="22">
                  <c:v>-1.3429257832213277</c:v>
                </c:pt>
                <c:pt idx="23">
                  <c:v>-0.48052181827636709</c:v>
                </c:pt>
                <c:pt idx="24">
                  <c:v>0.45374914374734027</c:v>
                </c:pt>
                <c:pt idx="25">
                  <c:v>0.49567155870994251</c:v>
                </c:pt>
                <c:pt idx="26">
                  <c:v>0.26809273462724459</c:v>
                </c:pt>
                <c:pt idx="27">
                  <c:v>0.10040307477683556</c:v>
                </c:pt>
                <c:pt idx="28">
                  <c:v>-0.55837773177834271</c:v>
                </c:pt>
                <c:pt idx="29">
                  <c:v>-0.15712033142200682</c:v>
                </c:pt>
                <c:pt idx="30">
                  <c:v>0.39385997951505131</c:v>
                </c:pt>
                <c:pt idx="31">
                  <c:v>-0.30085432557950026</c:v>
                </c:pt>
                <c:pt idx="32">
                  <c:v>-1.1093580427154008</c:v>
                </c:pt>
                <c:pt idx="33">
                  <c:v>-1.3309479503748698</c:v>
                </c:pt>
                <c:pt idx="34">
                  <c:v>-1.7022607686150613</c:v>
                </c:pt>
                <c:pt idx="35">
                  <c:v>-1.4567151952626767</c:v>
                </c:pt>
                <c:pt idx="36">
                  <c:v>-8.5253334343260115E-2</c:v>
                </c:pt>
                <c:pt idx="37">
                  <c:v>0.2740816510504735</c:v>
                </c:pt>
                <c:pt idx="38">
                  <c:v>-0.24096516134721133</c:v>
                </c:pt>
                <c:pt idx="39">
                  <c:v>-0.21102057923106687</c:v>
                </c:pt>
                <c:pt idx="40">
                  <c:v>-0.31882107484918693</c:v>
                </c:pt>
                <c:pt idx="41">
                  <c:v>-0.24096516134721133</c:v>
                </c:pt>
                <c:pt idx="42">
                  <c:v>0.65138338571389376</c:v>
                </c:pt>
                <c:pt idx="43">
                  <c:v>0.87297329337336282</c:v>
                </c:pt>
                <c:pt idx="44">
                  <c:v>-0.18107599711492239</c:v>
                </c:pt>
                <c:pt idx="45">
                  <c:v>-0.9656240485579074</c:v>
                </c:pt>
                <c:pt idx="46">
                  <c:v>-4.3330919380657862E-2</c:v>
                </c:pt>
                <c:pt idx="47">
                  <c:v>1.4239536043104208</c:v>
                </c:pt>
                <c:pt idx="48">
                  <c:v>2.0827344108655992</c:v>
                </c:pt>
                <c:pt idx="49">
                  <c:v>1.4538981864265654</c:v>
                </c:pt>
                <c:pt idx="50">
                  <c:v>0.84302871125721834</c:v>
                </c:pt>
                <c:pt idx="51">
                  <c:v>0.69330580067649594</c:v>
                </c:pt>
                <c:pt idx="52">
                  <c:v>1.028685120377314</c:v>
                </c:pt>
                <c:pt idx="53">
                  <c:v>1.3999979386175054</c:v>
                </c:pt>
                <c:pt idx="54">
                  <c:v>1.9090558345919613</c:v>
                </c:pt>
                <c:pt idx="55">
                  <c:v>1.6395545955466611</c:v>
                </c:pt>
                <c:pt idx="56">
                  <c:v>0.40583781236150912</c:v>
                </c:pt>
                <c:pt idx="57">
                  <c:v>-0.17508708069169351</c:v>
                </c:pt>
                <c:pt idx="58">
                  <c:v>-0.13316466572909127</c:v>
                </c:pt>
                <c:pt idx="59">
                  <c:v>1.4598871028497944</c:v>
                </c:pt>
                <c:pt idx="60">
                  <c:v>2.2564129871392371</c:v>
                </c:pt>
                <c:pt idx="61">
                  <c:v>2.1845459900604904</c:v>
                </c:pt>
                <c:pt idx="62">
                  <c:v>2.1785570736372613</c:v>
                </c:pt>
                <c:pt idx="63">
                  <c:v>1.9090558345919613</c:v>
                </c:pt>
                <c:pt idx="64">
                  <c:v>1.8791112524758169</c:v>
                </c:pt>
                <c:pt idx="65">
                  <c:v>1.3161531086923008</c:v>
                </c:pt>
                <c:pt idx="66">
                  <c:v>0.74121713206232709</c:v>
                </c:pt>
                <c:pt idx="67">
                  <c:v>2.8536077698088851E-2</c:v>
                </c:pt>
                <c:pt idx="68">
                  <c:v>-1.0075464635205096</c:v>
                </c:pt>
                <c:pt idx="69">
                  <c:v>-1.6842940193453746</c:v>
                </c:pt>
                <c:pt idx="70">
                  <c:v>-2.2352743302824329</c:v>
                </c:pt>
                <c:pt idx="71">
                  <c:v>-1.6184159386898567</c:v>
                </c:pt>
                <c:pt idx="72">
                  <c:v>-0.3427767405421025</c:v>
                </c:pt>
                <c:pt idx="73">
                  <c:v>0.29803731674338901</c:v>
                </c:pt>
                <c:pt idx="74">
                  <c:v>-0.36074348981178922</c:v>
                </c:pt>
                <c:pt idx="75">
                  <c:v>-4.9319835803886755E-2</c:v>
                </c:pt>
                <c:pt idx="76">
                  <c:v>-6.7286585073573435E-2</c:v>
                </c:pt>
                <c:pt idx="77">
                  <c:v>0.38787106309182245</c:v>
                </c:pt>
                <c:pt idx="78">
                  <c:v>0.50764939155640032</c:v>
                </c:pt>
                <c:pt idx="79">
                  <c:v>0.52561614082608699</c:v>
                </c:pt>
                <c:pt idx="80">
                  <c:v>0.24413706893432902</c:v>
                </c:pt>
                <c:pt idx="81">
                  <c:v>-0.21700949565429575</c:v>
                </c:pt>
                <c:pt idx="82">
                  <c:v>0.18424790470204008</c:v>
                </c:pt>
                <c:pt idx="83">
                  <c:v>1.1724191145348075</c:v>
                </c:pt>
                <c:pt idx="84">
                  <c:v>2.1306457422514304</c:v>
                </c:pt>
                <c:pt idx="85">
                  <c:v>1.8970780017455036</c:v>
                </c:pt>
                <c:pt idx="86">
                  <c:v>1.6155989298537454</c:v>
                </c:pt>
                <c:pt idx="87">
                  <c:v>1.6335656791234321</c:v>
                </c:pt>
                <c:pt idx="88">
                  <c:v>1.59164326416083</c:v>
                </c:pt>
                <c:pt idx="89">
                  <c:v>1.4958206013891677</c:v>
                </c:pt>
                <c:pt idx="90">
                  <c:v>1.1125299503025186</c:v>
                </c:pt>
                <c:pt idx="91">
                  <c:v>0.48369372586348475</c:v>
                </c:pt>
                <c:pt idx="92">
                  <c:v>-0.20503166280783797</c:v>
                </c:pt>
                <c:pt idx="93">
                  <c:v>-0.30085432557950026</c:v>
                </c:pt>
                <c:pt idx="94">
                  <c:v>-0.30085432557950026</c:v>
                </c:pt>
                <c:pt idx="95">
                  <c:v>0.82506196198753168</c:v>
                </c:pt>
                <c:pt idx="96">
                  <c:v>1.7114215926254077</c:v>
                </c:pt>
                <c:pt idx="97">
                  <c:v>1.8491666703596723</c:v>
                </c:pt>
                <c:pt idx="98">
                  <c:v>1.2323082787670963</c:v>
                </c:pt>
                <c:pt idx="99">
                  <c:v>1.2263193623438675</c:v>
                </c:pt>
                <c:pt idx="100">
                  <c:v>0.93885137402888064</c:v>
                </c:pt>
                <c:pt idx="101">
                  <c:v>1.3880201057710475</c:v>
                </c:pt>
                <c:pt idx="102">
                  <c:v>1.4299425207336498</c:v>
                </c:pt>
                <c:pt idx="103">
                  <c:v>0.69330580067649594</c:v>
                </c:pt>
                <c:pt idx="104">
                  <c:v>-0.22299841207752466</c:v>
                </c:pt>
                <c:pt idx="105">
                  <c:v>-1.6783051029221456</c:v>
                </c:pt>
                <c:pt idx="106">
                  <c:v>-1.1273247919850875</c:v>
                </c:pt>
                <c:pt idx="107">
                  <c:v>0.50764939155640032</c:v>
                </c:pt>
                <c:pt idx="108">
                  <c:v>1.2682417773064698</c:v>
                </c:pt>
                <c:pt idx="109">
                  <c:v>0.88495112621982053</c:v>
                </c:pt>
                <c:pt idx="110">
                  <c:v>0.3339708152827624</c:v>
                </c:pt>
                <c:pt idx="111">
                  <c:v>0.28007056747370235</c:v>
                </c:pt>
                <c:pt idx="112">
                  <c:v>0.25611490178078677</c:v>
                </c:pt>
                <c:pt idx="113">
                  <c:v>1.1544523652651209</c:v>
                </c:pt>
                <c:pt idx="114">
                  <c:v>1.3820311893478188</c:v>
                </c:pt>
                <c:pt idx="115">
                  <c:v>0.78313954702492938</c:v>
                </c:pt>
                <c:pt idx="116">
                  <c:v>1.6558244851631067E-2</c:v>
                </c:pt>
                <c:pt idx="117">
                  <c:v>-0.79194547228426948</c:v>
                </c:pt>
                <c:pt idx="118">
                  <c:v>-0.27689865988658469</c:v>
                </c:pt>
                <c:pt idx="119">
                  <c:v>0.89692895906627834</c:v>
                </c:pt>
                <c:pt idx="120">
                  <c:v>1.759332924011239</c:v>
                </c:pt>
                <c:pt idx="121">
                  <c:v>1.1304966995722052</c:v>
                </c:pt>
                <c:pt idx="122">
                  <c:v>0.42380456163119579</c:v>
                </c:pt>
                <c:pt idx="123">
                  <c:v>3.4524994121317744E-2</c:v>
                </c:pt>
                <c:pt idx="124">
                  <c:v>0.1543033225858956</c:v>
                </c:pt>
                <c:pt idx="125">
                  <c:v>0.65138338571389376</c:v>
                </c:pt>
                <c:pt idx="126">
                  <c:v>0.69929471709972491</c:v>
                </c:pt>
                <c:pt idx="127">
                  <c:v>0.13034765689298003</c:v>
                </c:pt>
                <c:pt idx="128">
                  <c:v>-0.73804522447520948</c:v>
                </c:pt>
                <c:pt idx="129">
                  <c:v>-1.0315021292134252</c:v>
                </c:pt>
                <c:pt idx="130">
                  <c:v>-0.66617822739646271</c:v>
                </c:pt>
                <c:pt idx="131">
                  <c:v>0.26210381820401568</c:v>
                </c:pt>
                <c:pt idx="132">
                  <c:v>1.3940090221942765</c:v>
                </c:pt>
                <c:pt idx="133">
                  <c:v>1.1604412816883496</c:v>
                </c:pt>
                <c:pt idx="134">
                  <c:v>0.58550530505837595</c:v>
                </c:pt>
                <c:pt idx="135">
                  <c:v>4.5804120051732792E-3</c:v>
                </c:pt>
                <c:pt idx="136">
                  <c:v>-0.10920900003617569</c:v>
                </c:pt>
                <c:pt idx="137">
                  <c:v>-7.3974208412845065E-3</c:v>
                </c:pt>
                <c:pt idx="138">
                  <c:v>0.44177131090088245</c:v>
                </c:pt>
                <c:pt idx="139">
                  <c:v>-8.5253334343260115E-2</c:v>
                </c:pt>
                <c:pt idx="140">
                  <c:v>-1.2111696219102921</c:v>
                </c:pt>
                <c:pt idx="141">
                  <c:v>-1.660338353652459</c:v>
                </c:pt>
                <c:pt idx="142">
                  <c:v>-1.1393026248315452</c:v>
                </c:pt>
                <c:pt idx="143">
                  <c:v>0.6453944692906648</c:v>
                </c:pt>
                <c:pt idx="144">
                  <c:v>1.4059868550407342</c:v>
                </c:pt>
                <c:pt idx="145">
                  <c:v>1.1245077831489763</c:v>
                </c:pt>
                <c:pt idx="146">
                  <c:v>0.5375939736725448</c:v>
                </c:pt>
                <c:pt idx="147">
                  <c:v>-3.1353086534200082E-2</c:v>
                </c:pt>
                <c:pt idx="148">
                  <c:v>0.23215923608787123</c:v>
                </c:pt>
                <c:pt idx="149">
                  <c:v>0.48369372586348475</c:v>
                </c:pt>
                <c:pt idx="150">
                  <c:v>0.31001514958984683</c:v>
                </c:pt>
                <c:pt idx="151">
                  <c:v>-9.7231167189717901E-2</c:v>
                </c:pt>
                <c:pt idx="152">
                  <c:v>-1.1213358755618585</c:v>
                </c:pt>
                <c:pt idx="153">
                  <c:v>-1.8699504284654702</c:v>
                </c:pt>
                <c:pt idx="154">
                  <c:v>-1.9777509240835904</c:v>
                </c:pt>
                <c:pt idx="155">
                  <c:v>-1.2830366189890388</c:v>
                </c:pt>
                <c:pt idx="156">
                  <c:v>-7.3974208412845065E-3</c:v>
                </c:pt>
                <c:pt idx="157">
                  <c:v>0.44776022732411136</c:v>
                </c:pt>
                <c:pt idx="158">
                  <c:v>-0.43859940331376479</c:v>
                </c:pt>
                <c:pt idx="159">
                  <c:v>-0.66018931097323386</c:v>
                </c:pt>
                <c:pt idx="160">
                  <c:v>-0.73205630805198052</c:v>
                </c:pt>
                <c:pt idx="161">
                  <c:v>0.16628115543235339</c:v>
                </c:pt>
                <c:pt idx="162">
                  <c:v>0.44177131090088245</c:v>
                </c:pt>
                <c:pt idx="163">
                  <c:v>-9.7231167189717901E-2</c:v>
                </c:pt>
                <c:pt idx="164">
                  <c:v>-0.70211172593583615</c:v>
                </c:pt>
                <c:pt idx="165">
                  <c:v>-1.7022607686150613</c:v>
                </c:pt>
                <c:pt idx="166">
                  <c:v>-1.3668814489142433</c:v>
                </c:pt>
                <c:pt idx="167">
                  <c:v>0.13034765689298003</c:v>
                </c:pt>
                <c:pt idx="168">
                  <c:v>0.72923929921586939</c:v>
                </c:pt>
                <c:pt idx="169">
                  <c:v>0.52561614082608699</c:v>
                </c:pt>
                <c:pt idx="170">
                  <c:v>-1.4085044180556134E-3</c:v>
                </c:pt>
                <c:pt idx="171">
                  <c:v>-0.67216714381969167</c:v>
                </c:pt>
                <c:pt idx="172">
                  <c:v>-0.80991222155395615</c:v>
                </c:pt>
                <c:pt idx="173">
                  <c:v>-0.52244423323896927</c:v>
                </c:pt>
                <c:pt idx="174">
                  <c:v>-0.12717574930586237</c:v>
                </c:pt>
                <c:pt idx="175">
                  <c:v>-0.69612280951260719</c:v>
                </c:pt>
                <c:pt idx="176">
                  <c:v>-1.0794134605992565</c:v>
                </c:pt>
                <c:pt idx="177">
                  <c:v>-1.3968260310303877</c:v>
                </c:pt>
                <c:pt idx="178">
                  <c:v>-1.6363826879595433</c:v>
                </c:pt>
                <c:pt idx="179">
                  <c:v>-0.40266590477439146</c:v>
                </c:pt>
                <c:pt idx="180">
                  <c:v>0.89094004264304949</c:v>
                </c:pt>
                <c:pt idx="181">
                  <c:v>1.2682417773064698</c:v>
                </c:pt>
                <c:pt idx="182">
                  <c:v>1.1843969473812652</c:v>
                </c:pt>
                <c:pt idx="183">
                  <c:v>0.73522821563909824</c:v>
                </c:pt>
                <c:pt idx="184">
                  <c:v>0.73522821563909824</c:v>
                </c:pt>
                <c:pt idx="185">
                  <c:v>1.0107183711076273</c:v>
                </c:pt>
                <c:pt idx="186">
                  <c:v>0.8490176276804472</c:v>
                </c:pt>
                <c:pt idx="187">
                  <c:v>0.23215923608787123</c:v>
                </c:pt>
                <c:pt idx="188">
                  <c:v>-0.22299841207752466</c:v>
                </c:pt>
                <c:pt idx="189">
                  <c:v>-9.1242250766489008E-2</c:v>
                </c:pt>
                <c:pt idx="190">
                  <c:v>-6.7286585073573435E-2</c:v>
                </c:pt>
                <c:pt idx="191">
                  <c:v>1.3101641922690719</c:v>
                </c:pt>
                <c:pt idx="192">
                  <c:v>1.8311999210899856</c:v>
                </c:pt>
                <c:pt idx="193">
                  <c:v>1.9090558345919613</c:v>
                </c:pt>
                <c:pt idx="194">
                  <c:v>1.4718649356962521</c:v>
                </c:pt>
                <c:pt idx="195">
                  <c:v>1.0167072875308563</c:v>
                </c:pt>
                <c:pt idx="196">
                  <c:v>1.0526407860702296</c:v>
                </c:pt>
                <c:pt idx="197">
                  <c:v>1.3700533565013608</c:v>
                </c:pt>
                <c:pt idx="198">
                  <c:v>1.2083526130741808</c:v>
                </c:pt>
                <c:pt idx="199">
                  <c:v>0.94484029045210949</c:v>
                </c:pt>
                <c:pt idx="200">
                  <c:v>0.69929471709972491</c:v>
                </c:pt>
                <c:pt idx="201">
                  <c:v>0.59748313790483365</c:v>
                </c:pt>
                <c:pt idx="202">
                  <c:v>0.36391539739890688</c:v>
                </c:pt>
                <c:pt idx="203">
                  <c:v>1.0765964517631452</c:v>
                </c:pt>
                <c:pt idx="204">
                  <c:v>1.3760422729245898</c:v>
                </c:pt>
                <c:pt idx="205">
                  <c:v>1.1185188667257473</c:v>
                </c:pt>
                <c:pt idx="206">
                  <c:v>0.93885137402888064</c:v>
                </c:pt>
                <c:pt idx="207">
                  <c:v>0.71127254994618272</c:v>
                </c:pt>
                <c:pt idx="208">
                  <c:v>0.66336121856035157</c:v>
                </c:pt>
                <c:pt idx="209">
                  <c:v>0.75918388133201375</c:v>
                </c:pt>
                <c:pt idx="210">
                  <c:v>0.57352747221191813</c:v>
                </c:pt>
                <c:pt idx="211">
                  <c:v>9.441415835360667E-2</c:v>
                </c:pt>
                <c:pt idx="212">
                  <c:v>-0.9117238007488474</c:v>
                </c:pt>
                <c:pt idx="213">
                  <c:v>-2.0136844226229638</c:v>
                </c:pt>
                <c:pt idx="214">
                  <c:v>-1.8280280135028679</c:v>
                </c:pt>
                <c:pt idx="215">
                  <c:v>-1.9178617598513015</c:v>
                </c:pt>
                <c:pt idx="216">
                  <c:v>-0.61826689601063156</c:v>
                </c:pt>
                <c:pt idx="217">
                  <c:v>-0.22299841207752466</c:v>
                </c:pt>
                <c:pt idx="218">
                  <c:v>-0.45656615258345151</c:v>
                </c:pt>
                <c:pt idx="219">
                  <c:v>-1.1452915412547742</c:v>
                </c:pt>
                <c:pt idx="220">
                  <c:v>-1.0973802098689431</c:v>
                </c:pt>
                <c:pt idx="221">
                  <c:v>-0.45656615258345151</c:v>
                </c:pt>
                <c:pt idx="222">
                  <c:v>-0.30085432557950026</c:v>
                </c:pt>
                <c:pt idx="223">
                  <c:v>-0.66018931097323386</c:v>
                </c:pt>
                <c:pt idx="224">
                  <c:v>-1.1273247919850875</c:v>
                </c:pt>
                <c:pt idx="225">
                  <c:v>-1.1273247919850875</c:v>
                </c:pt>
                <c:pt idx="226">
                  <c:v>-0.49848856754605375</c:v>
                </c:pt>
                <c:pt idx="227">
                  <c:v>-0.20503166280783797</c:v>
                </c:pt>
                <c:pt idx="228">
                  <c:v>0.96280703972179615</c:v>
                </c:pt>
                <c:pt idx="229">
                  <c:v>1.2502750280367831</c:v>
                </c:pt>
                <c:pt idx="230">
                  <c:v>1.0945632010328319</c:v>
                </c:pt>
                <c:pt idx="231">
                  <c:v>1.1843969473812652</c:v>
                </c:pt>
                <c:pt idx="232">
                  <c:v>1.3999979386175054</c:v>
                </c:pt>
                <c:pt idx="233">
                  <c:v>1.3760422729245898</c:v>
                </c:pt>
                <c:pt idx="234">
                  <c:v>0.91489570833596501</c:v>
                </c:pt>
                <c:pt idx="235">
                  <c:v>0.32798189885953349</c:v>
                </c:pt>
                <c:pt idx="236">
                  <c:v>0.14232548973943782</c:v>
                </c:pt>
                <c:pt idx="237">
                  <c:v>-0.13915358215232015</c:v>
                </c:pt>
                <c:pt idx="238">
                  <c:v>-0.48052181827636709</c:v>
                </c:pt>
                <c:pt idx="239">
                  <c:v>0.18424790470204008</c:v>
                </c:pt>
                <c:pt idx="240">
                  <c:v>1.1784080309580363</c:v>
                </c:pt>
                <c:pt idx="241">
                  <c:v>1.4299425207336498</c:v>
                </c:pt>
                <c:pt idx="242">
                  <c:v>1.1065410338792896</c:v>
                </c:pt>
                <c:pt idx="243">
                  <c:v>1.2323082787670963</c:v>
                </c:pt>
                <c:pt idx="244">
                  <c:v>0.99275162183794063</c:v>
                </c:pt>
                <c:pt idx="245">
                  <c:v>0.57951638863514698</c:v>
                </c:pt>
                <c:pt idx="246">
                  <c:v>0.38188214666859355</c:v>
                </c:pt>
                <c:pt idx="247">
                  <c:v>-0.17508708069169351</c:v>
                </c:pt>
                <c:pt idx="248">
                  <c:v>-1.1752361233709188</c:v>
                </c:pt>
                <c:pt idx="249">
                  <c:v>-1.7741277656938079</c:v>
                </c:pt>
                <c:pt idx="250">
                  <c:v>-1.8340169299260969</c:v>
                </c:pt>
                <c:pt idx="251">
                  <c:v>-0.45656615258345151</c:v>
                </c:pt>
                <c:pt idx="252">
                  <c:v>1.0346740368005429</c:v>
                </c:pt>
                <c:pt idx="253">
                  <c:v>0.88495112621982053</c:v>
                </c:pt>
                <c:pt idx="254">
                  <c:v>0.29803731674338901</c:v>
                </c:pt>
                <c:pt idx="255">
                  <c:v>-0.21102057923106687</c:v>
                </c:pt>
                <c:pt idx="256">
                  <c:v>-9.7231167189717901E-2</c:v>
                </c:pt>
                <c:pt idx="257">
                  <c:v>0.45973806017056917</c:v>
                </c:pt>
                <c:pt idx="258">
                  <c:v>0.71726146636941157</c:v>
                </c:pt>
                <c:pt idx="259">
                  <c:v>0.35193756455244907</c:v>
                </c:pt>
                <c:pt idx="260">
                  <c:v>-0.26492082704012693</c:v>
                </c:pt>
                <c:pt idx="261">
                  <c:v>-0.82189005440041396</c:v>
                </c:pt>
                <c:pt idx="262">
                  <c:v>-0.82189005440041396</c:v>
                </c:pt>
                <c:pt idx="263">
                  <c:v>0.33995973170599131</c:v>
                </c:pt>
                <c:pt idx="264">
                  <c:v>0.96280703972179615</c:v>
                </c:pt>
                <c:pt idx="265">
                  <c:v>0.60347205432806261</c:v>
                </c:pt>
                <c:pt idx="266">
                  <c:v>0.35792648097567797</c:v>
                </c:pt>
                <c:pt idx="267">
                  <c:v>-1.9375253687742292E-2</c:v>
                </c:pt>
                <c:pt idx="268">
                  <c:v>-0.38469915550470479</c:v>
                </c:pt>
                <c:pt idx="269">
                  <c:v>0.17825898827881118</c:v>
                </c:pt>
                <c:pt idx="270">
                  <c:v>0.45973806017056917</c:v>
                </c:pt>
                <c:pt idx="271">
                  <c:v>4.650282696777553E-2</c:v>
                </c:pt>
                <c:pt idx="272">
                  <c:v>-0.80991222155395615</c:v>
                </c:pt>
                <c:pt idx="273">
                  <c:v>-1.65434943722923</c:v>
                </c:pt>
                <c:pt idx="274">
                  <c:v>-1.5046265266485077</c:v>
                </c:pt>
                <c:pt idx="275">
                  <c:v>-0.87579030220947396</c:v>
                </c:pt>
                <c:pt idx="276">
                  <c:v>-6.7286585073573435E-2</c:v>
                </c:pt>
                <c:pt idx="277">
                  <c:v>-0.13316466572909127</c:v>
                </c:pt>
                <c:pt idx="278">
                  <c:v>-0.13316466572909127</c:v>
                </c:pt>
                <c:pt idx="279">
                  <c:v>-0.46255506900668036</c:v>
                </c:pt>
                <c:pt idx="280">
                  <c:v>-0.61227797958740271</c:v>
                </c:pt>
                <c:pt idx="281">
                  <c:v>-0.97161296498113625</c:v>
                </c:pt>
                <c:pt idx="282">
                  <c:v>-0.70211172593583615</c:v>
                </c:pt>
                <c:pt idx="283">
                  <c:v>-1.1153469591386298</c:v>
                </c:pt>
                <c:pt idx="284">
                  <c:v>-2.1035181689713971</c:v>
                </c:pt>
                <c:pt idx="285">
                  <c:v>-2.061595754008795</c:v>
                </c:pt>
                <c:pt idx="286">
                  <c:v>-1.9358285091209881</c:v>
                </c:pt>
                <c:pt idx="287">
                  <c:v>-1.1692472069476898</c:v>
                </c:pt>
                <c:pt idx="288">
                  <c:v>0.11836982404652224</c:v>
                </c:pt>
                <c:pt idx="289">
                  <c:v>4.650282696777553E-2</c:v>
                </c:pt>
                <c:pt idx="290">
                  <c:v>-0.11519791645940458</c:v>
                </c:pt>
                <c:pt idx="291">
                  <c:v>-1.0255132127901962</c:v>
                </c:pt>
                <c:pt idx="292">
                  <c:v>-0.64821147812677604</c:v>
                </c:pt>
                <c:pt idx="293">
                  <c:v>-0.49848856754605375</c:v>
                </c:pt>
                <c:pt idx="294">
                  <c:v>-0.35475457338856031</c:v>
                </c:pt>
                <c:pt idx="295">
                  <c:v>-0.63024472885708938</c:v>
                </c:pt>
                <c:pt idx="296">
                  <c:v>-1.2710587861425811</c:v>
                </c:pt>
                <c:pt idx="297">
                  <c:v>-1.5824824401504833</c:v>
                </c:pt>
                <c:pt idx="298">
                  <c:v>-1.8160501806564102</c:v>
                </c:pt>
                <c:pt idx="299">
                  <c:v>-0.40266590477439146</c:v>
                </c:pt>
                <c:pt idx="300">
                  <c:v>0.88495112621982053</c:v>
                </c:pt>
                <c:pt idx="301">
                  <c:v>0.8070952127178449</c:v>
                </c:pt>
                <c:pt idx="302">
                  <c:v>0.10639199120006446</c:v>
                </c:pt>
                <c:pt idx="303">
                  <c:v>-0.51645531681574042</c:v>
                </c:pt>
                <c:pt idx="304">
                  <c:v>-0.654200394550005</c:v>
                </c:pt>
                <c:pt idx="305">
                  <c:v>-0.26492082704012693</c:v>
                </c:pt>
                <c:pt idx="306">
                  <c:v>-1.3386337264513399E-2</c:v>
                </c:pt>
                <c:pt idx="307">
                  <c:v>-0.14514249857554906</c:v>
                </c:pt>
                <c:pt idx="308">
                  <c:v>-1.2111696219102921</c:v>
                </c:pt>
                <c:pt idx="309">
                  <c:v>-1.6663272700756879</c:v>
                </c:pt>
                <c:pt idx="310">
                  <c:v>-1.3549036160677854</c:v>
                </c:pt>
                <c:pt idx="311">
                  <c:v>-0.49848856754605375</c:v>
                </c:pt>
                <c:pt idx="312">
                  <c:v>0.89094004264304949</c:v>
                </c:pt>
                <c:pt idx="313">
                  <c:v>1.2083526130741808</c:v>
                </c:pt>
                <c:pt idx="314">
                  <c:v>0.85500654410367605</c:v>
                </c:pt>
                <c:pt idx="315">
                  <c:v>0.22617031966464232</c:v>
                </c:pt>
                <c:pt idx="316">
                  <c:v>-0.24695407777044023</c:v>
                </c:pt>
                <c:pt idx="317">
                  <c:v>-0.12717574930586237</c:v>
                </c:pt>
                <c:pt idx="318">
                  <c:v>-7.3974208412845065E-3</c:v>
                </c:pt>
                <c:pt idx="319">
                  <c:v>-0.42662157046730703</c:v>
                </c:pt>
                <c:pt idx="320">
                  <c:v>-0.68414497666614937</c:v>
                </c:pt>
                <c:pt idx="321">
                  <c:v>-0.55837773177834271</c:v>
                </c:pt>
                <c:pt idx="322">
                  <c:v>-0.13915358215232015</c:v>
                </c:pt>
                <c:pt idx="323">
                  <c:v>1.0885742846096029</c:v>
                </c:pt>
                <c:pt idx="324">
                  <c:v>1.7832885897041546</c:v>
                </c:pt>
                <c:pt idx="325">
                  <c:v>1.6874659269324923</c:v>
                </c:pt>
                <c:pt idx="326">
                  <c:v>1.6215878462769744</c:v>
                </c:pt>
                <c:pt idx="327">
                  <c:v>1.2742306937296985</c:v>
                </c:pt>
                <c:pt idx="328">
                  <c:v>0.74720604848555605</c:v>
                </c:pt>
                <c:pt idx="329">
                  <c:v>0.42979347805442469</c:v>
                </c:pt>
                <c:pt idx="330">
                  <c:v>-0.40865482119762037</c:v>
                </c:pt>
                <c:pt idx="331">
                  <c:v>-0.708100642359065</c:v>
                </c:pt>
                <c:pt idx="332">
                  <c:v>-1.4507262788394477</c:v>
                </c:pt>
                <c:pt idx="333">
                  <c:v>-2.0017065897765058</c:v>
                </c:pt>
                <c:pt idx="334">
                  <c:v>-1.6303937715363146</c:v>
                </c:pt>
                <c:pt idx="335">
                  <c:v>-0.41464373762084922</c:v>
                </c:pt>
                <c:pt idx="336">
                  <c:v>1.1544523652651209</c:v>
                </c:pt>
                <c:pt idx="337">
                  <c:v>1.1424745324186629</c:v>
                </c:pt>
                <c:pt idx="338">
                  <c:v>0.51363830797962917</c:v>
                </c:pt>
                <c:pt idx="339">
                  <c:v>8.8425241930377776E-2</c:v>
                </c:pt>
                <c:pt idx="340">
                  <c:v>5.2491743391004424E-2</c:v>
                </c:pt>
                <c:pt idx="341">
                  <c:v>-0.63024472885708938</c:v>
                </c:pt>
                <c:pt idx="342">
                  <c:v>-0.18107599711492239</c:v>
                </c:pt>
                <c:pt idx="343">
                  <c:v>-0.5463998989318849</c:v>
                </c:pt>
                <c:pt idx="344">
                  <c:v>-1.5824824401504833</c:v>
                </c:pt>
                <c:pt idx="345">
                  <c:v>-2.0556068375855658</c:v>
                </c:pt>
                <c:pt idx="346">
                  <c:v>-1.8220390970796392</c:v>
                </c:pt>
                <c:pt idx="347">
                  <c:v>-1.1393026248315452</c:v>
                </c:pt>
                <c:pt idx="348">
                  <c:v>0.47770480944025584</c:v>
                </c:pt>
                <c:pt idx="349">
                  <c:v>0.86099546052690501</c:v>
                </c:pt>
                <c:pt idx="350">
                  <c:v>3.4524994121317744E-2</c:v>
                </c:pt>
                <c:pt idx="351">
                  <c:v>-0.80991222155395615</c:v>
                </c:pt>
                <c:pt idx="352">
                  <c:v>-0.80392330513072729</c:v>
                </c:pt>
                <c:pt idx="353">
                  <c:v>0.1543033225858956</c:v>
                </c:pt>
                <c:pt idx="354">
                  <c:v>0.34594864812922016</c:v>
                </c:pt>
                <c:pt idx="355">
                  <c:v>2.2547161274859957E-2</c:v>
                </c:pt>
                <c:pt idx="356">
                  <c:v>-0.67216714381969167</c:v>
                </c:pt>
                <c:pt idx="357">
                  <c:v>-1.0195242963669675</c:v>
                </c:pt>
                <c:pt idx="358">
                  <c:v>-1.2590809532961231</c:v>
                </c:pt>
                <c:pt idx="359">
                  <c:v>-0.67815606024292052</c:v>
                </c:pt>
                <c:pt idx="360">
                  <c:v>0.71726146636941157</c:v>
                </c:pt>
                <c:pt idx="361">
                  <c:v>0.76517279775524272</c:v>
                </c:pt>
                <c:pt idx="362">
                  <c:v>0.51363830797962917</c:v>
                </c:pt>
                <c:pt idx="363">
                  <c:v>0.12435874046975114</c:v>
                </c:pt>
                <c:pt idx="364">
                  <c:v>-0.47453290185313818</c:v>
                </c:pt>
                <c:pt idx="365">
                  <c:v>-1.0315021292134252</c:v>
                </c:pt>
                <c:pt idx="366">
                  <c:v>-0.40865482119762037</c:v>
                </c:pt>
                <c:pt idx="367">
                  <c:v>-0.67815606024292052</c:v>
                </c:pt>
                <c:pt idx="368">
                  <c:v>-1.3728703653374721</c:v>
                </c:pt>
                <c:pt idx="369">
                  <c:v>-1.8400058463493258</c:v>
                </c:pt>
                <c:pt idx="370">
                  <c:v>-1.4028149474536167</c:v>
                </c:pt>
                <c:pt idx="371">
                  <c:v>0.14831440616266672</c:v>
                </c:pt>
                <c:pt idx="372">
                  <c:v>1.5676875984679144</c:v>
                </c:pt>
                <c:pt idx="373">
                  <c:v>1.64554351196989</c:v>
                </c:pt>
                <c:pt idx="374">
                  <c:v>1.2143415294974096</c:v>
                </c:pt>
                <c:pt idx="375">
                  <c:v>0.86099546052690501</c:v>
                </c:pt>
                <c:pt idx="376">
                  <c:v>0.95082920687533834</c:v>
                </c:pt>
                <c:pt idx="377">
                  <c:v>0.94484029045210949</c:v>
                </c:pt>
                <c:pt idx="378">
                  <c:v>0.5495718065190025</c:v>
                </c:pt>
                <c:pt idx="379">
                  <c:v>-0.31283215842595807</c:v>
                </c:pt>
                <c:pt idx="380">
                  <c:v>-1.2171585383335208</c:v>
                </c:pt>
                <c:pt idx="381">
                  <c:v>-1.0434799620598829</c:v>
                </c:pt>
                <c:pt idx="382">
                  <c:v>-0.708100642359065</c:v>
                </c:pt>
                <c:pt idx="383">
                  <c:v>-0.20503166280783797</c:v>
                </c:pt>
                <c:pt idx="384">
                  <c:v>0.17825898827881118</c:v>
                </c:pt>
                <c:pt idx="385">
                  <c:v>0.36391539739890688</c:v>
                </c:pt>
                <c:pt idx="386">
                  <c:v>8.2436325507148883E-2</c:v>
                </c:pt>
                <c:pt idx="387">
                  <c:v>-0.20503166280783797</c:v>
                </c:pt>
                <c:pt idx="388">
                  <c:v>-0.45656615258345151</c:v>
                </c:pt>
                <c:pt idx="389">
                  <c:v>-0.24695407777044023</c:v>
                </c:pt>
                <c:pt idx="390">
                  <c:v>0.42979347805442469</c:v>
                </c:pt>
                <c:pt idx="391">
                  <c:v>0.11836982404652224</c:v>
                </c:pt>
                <c:pt idx="392">
                  <c:v>-1.0434799620598829</c:v>
                </c:pt>
                <c:pt idx="393">
                  <c:v>-1.8639615120422415</c:v>
                </c:pt>
                <c:pt idx="394">
                  <c:v>-2.0076955061997346</c:v>
                </c:pt>
                <c:pt idx="395">
                  <c:v>-1.0494688784831119</c:v>
                </c:pt>
                <c:pt idx="396">
                  <c:v>0.20221465397172675</c:v>
                </c:pt>
                <c:pt idx="397">
                  <c:v>0.83703979483398938</c:v>
                </c:pt>
                <c:pt idx="398">
                  <c:v>0.25611490178078677</c:v>
                </c:pt>
                <c:pt idx="399">
                  <c:v>-0.37871023908147589</c:v>
                </c:pt>
                <c:pt idx="400">
                  <c:v>-4.9319835803886755E-2</c:v>
                </c:pt>
                <c:pt idx="401">
                  <c:v>0.88495112621982053</c:v>
                </c:pt>
                <c:pt idx="402">
                  <c:v>1.3700533565013608</c:v>
                </c:pt>
                <c:pt idx="403">
                  <c:v>0.71127254994618272</c:v>
                </c:pt>
                <c:pt idx="404">
                  <c:v>-0.24695407777044023</c:v>
                </c:pt>
                <c:pt idx="405">
                  <c:v>-0.73205630805198052</c:v>
                </c:pt>
                <c:pt idx="406">
                  <c:v>-0.45656615258345151</c:v>
                </c:pt>
                <c:pt idx="407">
                  <c:v>0.47171589301702693</c:v>
                </c:pt>
                <c:pt idx="408">
                  <c:v>1.0346740368005429</c:v>
                </c:pt>
                <c:pt idx="409">
                  <c:v>0.92088462475919397</c:v>
                </c:pt>
                <c:pt idx="410">
                  <c:v>0.56753855578868928</c:v>
                </c:pt>
                <c:pt idx="411">
                  <c:v>0.69330580067649594</c:v>
                </c:pt>
                <c:pt idx="412">
                  <c:v>0.83105087841076053</c:v>
                </c:pt>
                <c:pt idx="413">
                  <c:v>1.53774301635177</c:v>
                </c:pt>
                <c:pt idx="414">
                  <c:v>1.5257651835053121</c:v>
                </c:pt>
                <c:pt idx="415">
                  <c:v>0.48369372586348475</c:v>
                </c:pt>
                <c:pt idx="416">
                  <c:v>-1.1213358755618585</c:v>
                </c:pt>
                <c:pt idx="417">
                  <c:v>-1.1153469591386298</c:v>
                </c:pt>
                <c:pt idx="418">
                  <c:v>-1.5884713565737123</c:v>
                </c:pt>
                <c:pt idx="419">
                  <c:v>-0.49249965112282484</c:v>
                </c:pt>
                <c:pt idx="420">
                  <c:v>0.47171589301702693</c:v>
                </c:pt>
                <c:pt idx="421">
                  <c:v>0.59748313790483365</c:v>
                </c:pt>
                <c:pt idx="422">
                  <c:v>0.20820357039495566</c:v>
                </c:pt>
                <c:pt idx="423">
                  <c:v>-0.52244423323896927</c:v>
                </c:pt>
                <c:pt idx="424">
                  <c:v>-0.47453290185313818</c:v>
                </c:pt>
                <c:pt idx="425">
                  <c:v>-0.63024472885708938</c:v>
                </c:pt>
                <c:pt idx="426">
                  <c:v>-0.32480999127241583</c:v>
                </c:pt>
                <c:pt idx="427">
                  <c:v>-0.94765729928822073</c:v>
                </c:pt>
                <c:pt idx="428">
                  <c:v>-1.714238601461519</c:v>
                </c:pt>
                <c:pt idx="429">
                  <c:v>-1.8040723478099525</c:v>
                </c:pt>
                <c:pt idx="430">
                  <c:v>-1.1452915412547742</c:v>
                </c:pt>
                <c:pt idx="431">
                  <c:v>4.5804120051732792E-3</c:v>
                </c:pt>
                <c:pt idx="432">
                  <c:v>1.4359314371568788</c:v>
                </c:pt>
                <c:pt idx="433">
                  <c:v>1.1424745324186629</c:v>
                </c:pt>
                <c:pt idx="434">
                  <c:v>0.62742772002097813</c:v>
                </c:pt>
                <c:pt idx="435">
                  <c:v>0.2740816510504735</c:v>
                </c:pt>
                <c:pt idx="436">
                  <c:v>-0.20503166280783797</c:v>
                </c:pt>
                <c:pt idx="437">
                  <c:v>0.49567155870994251</c:v>
                </c:pt>
                <c:pt idx="438">
                  <c:v>0.51363830797962917</c:v>
                </c:pt>
                <c:pt idx="439">
                  <c:v>-0.19305382996138018</c:v>
                </c:pt>
                <c:pt idx="440">
                  <c:v>-1.3249590339516411</c:v>
                </c:pt>
                <c:pt idx="441">
                  <c:v>-1.7202275178847479</c:v>
                </c:pt>
                <c:pt idx="442">
                  <c:v>-1.9537952583906748</c:v>
                </c:pt>
                <c:pt idx="443">
                  <c:v>-0.81590113797718511</c:v>
                </c:pt>
                <c:pt idx="444">
                  <c:v>0.63341663644420709</c:v>
                </c:pt>
                <c:pt idx="445">
                  <c:v>0.7531949649087849</c:v>
                </c:pt>
                <c:pt idx="446">
                  <c:v>0.18424790470204008</c:v>
                </c:pt>
                <c:pt idx="447">
                  <c:v>-0.35475457338856031</c:v>
                </c:pt>
                <c:pt idx="448">
                  <c:v>-0.17508708069169351</c:v>
                </c:pt>
                <c:pt idx="449">
                  <c:v>0.46572697659379803</c:v>
                </c:pt>
                <c:pt idx="450">
                  <c:v>0.59748313790483365</c:v>
                </c:pt>
                <c:pt idx="451">
                  <c:v>0.34594864812922016</c:v>
                </c:pt>
                <c:pt idx="452">
                  <c:v>-0.62425581243386052</c:v>
                </c:pt>
                <c:pt idx="453">
                  <c:v>-2.0196733390461925</c:v>
                </c:pt>
                <c:pt idx="454">
                  <c:v>-1.9837398405068192</c:v>
                </c:pt>
                <c:pt idx="455">
                  <c:v>-0.94765729928822073</c:v>
                </c:pt>
                <c:pt idx="456">
                  <c:v>0.83105087841076053</c:v>
                </c:pt>
                <c:pt idx="457">
                  <c:v>0.99874053826116949</c:v>
                </c:pt>
                <c:pt idx="458">
                  <c:v>0.31001514958984683</c:v>
                </c:pt>
                <c:pt idx="459">
                  <c:v>-0.69612280951260719</c:v>
                </c:pt>
                <c:pt idx="460">
                  <c:v>-0.42662157046730703</c:v>
                </c:pt>
                <c:pt idx="461">
                  <c:v>-0.46854398542990927</c:v>
                </c:pt>
                <c:pt idx="462">
                  <c:v>-0.26492082704012693</c:v>
                </c:pt>
                <c:pt idx="463">
                  <c:v>-1.0854023770224852</c:v>
                </c:pt>
                <c:pt idx="464">
                  <c:v>-1.8819282613119281</c:v>
                </c:pt>
                <c:pt idx="465">
                  <c:v>-2.384997240863155</c:v>
                </c:pt>
                <c:pt idx="466">
                  <c:v>-2.3011524109379504</c:v>
                </c:pt>
                <c:pt idx="467">
                  <c:v>-1.8280280135028679</c:v>
                </c:pt>
                <c:pt idx="468">
                  <c:v>-0.21102057923106687</c:v>
                </c:pt>
                <c:pt idx="469">
                  <c:v>0.59748313790483365</c:v>
                </c:pt>
                <c:pt idx="470">
                  <c:v>-0.10322008361294679</c:v>
                </c:pt>
                <c:pt idx="471">
                  <c:v>-1.1872139562173765</c:v>
                </c:pt>
                <c:pt idx="472">
                  <c:v>-0.7500230573216673</c:v>
                </c:pt>
                <c:pt idx="473">
                  <c:v>-1.3386337264513399E-2</c:v>
                </c:pt>
                <c:pt idx="474">
                  <c:v>0.32199298243630459</c:v>
                </c:pt>
                <c:pt idx="475">
                  <c:v>0.16628115543235339</c:v>
                </c:pt>
                <c:pt idx="476">
                  <c:v>-0.59431123031771604</c:v>
                </c:pt>
                <c:pt idx="477">
                  <c:v>-0.82787897082364281</c:v>
                </c:pt>
                <c:pt idx="478">
                  <c:v>-0.56436664820157156</c:v>
                </c:pt>
                <c:pt idx="479">
                  <c:v>0.96879595614502512</c:v>
                </c:pt>
                <c:pt idx="480">
                  <c:v>1.8611445032061302</c:v>
                </c:pt>
                <c:pt idx="481">
                  <c:v>1.867133419629359</c:v>
                </c:pt>
                <c:pt idx="482">
                  <c:v>1.4658760192730231</c:v>
                </c:pt>
                <c:pt idx="483">
                  <c:v>1.0047294546843983</c:v>
                </c:pt>
                <c:pt idx="484">
                  <c:v>0.58550530505837595</c:v>
                </c:pt>
                <c:pt idx="485">
                  <c:v>0.39385997951505131</c:v>
                </c:pt>
                <c:pt idx="486">
                  <c:v>0.13633657331620894</c:v>
                </c:pt>
                <c:pt idx="487">
                  <c:v>-0.4445883197369937</c:v>
                </c:pt>
                <c:pt idx="488">
                  <c:v>-1.2890255354122677</c:v>
                </c:pt>
                <c:pt idx="489">
                  <c:v>-0.98359079782759407</c:v>
                </c:pt>
                <c:pt idx="490">
                  <c:v>-1.4567151952626767</c:v>
                </c:pt>
                <c:pt idx="491">
                  <c:v>-0.1870649135381513</c:v>
                </c:pt>
                <c:pt idx="492">
                  <c:v>1.6934548433557211</c:v>
                </c:pt>
                <c:pt idx="493">
                  <c:v>1.759332924011239</c:v>
                </c:pt>
                <c:pt idx="494">
                  <c:v>0.96879595614502512</c:v>
                </c:pt>
                <c:pt idx="495">
                  <c:v>-2.5364170110971185E-2</c:v>
                </c:pt>
                <c:pt idx="496">
                  <c:v>-0.12717574930586237</c:v>
                </c:pt>
                <c:pt idx="497">
                  <c:v>1.0569328428402172E-2</c:v>
                </c:pt>
                <c:pt idx="498">
                  <c:v>0.26809273462724459</c:v>
                </c:pt>
                <c:pt idx="499">
                  <c:v>0.16029223900912451</c:v>
                </c:pt>
                <c:pt idx="500">
                  <c:v>-0.40266590477439146</c:v>
                </c:pt>
                <c:pt idx="501">
                  <c:v>-0.30684324200272917</c:v>
                </c:pt>
                <c:pt idx="502">
                  <c:v>2.2547161274859957E-2</c:v>
                </c:pt>
                <c:pt idx="503">
                  <c:v>1.1245077831489763</c:v>
                </c:pt>
                <c:pt idx="504">
                  <c:v>1.75334400758801</c:v>
                </c:pt>
                <c:pt idx="505">
                  <c:v>1.6754880940860344</c:v>
                </c:pt>
                <c:pt idx="506">
                  <c:v>1.3999979386175054</c:v>
                </c:pt>
                <c:pt idx="507">
                  <c:v>0.68132796783003824</c:v>
                </c:pt>
                <c:pt idx="508">
                  <c:v>7.045849266069111E-2</c:v>
                </c:pt>
                <c:pt idx="509">
                  <c:v>-0.26492082704012693</c:v>
                </c:pt>
                <c:pt idx="510">
                  <c:v>-0.73804522447520948</c:v>
                </c:pt>
                <c:pt idx="511">
                  <c:v>-1.1512804576780031</c:v>
                </c:pt>
                <c:pt idx="512">
                  <c:v>-1.9058839270048435</c:v>
                </c:pt>
                <c:pt idx="513">
                  <c:v>-2.277196745245035</c:v>
                </c:pt>
                <c:pt idx="514">
                  <c:v>-2.2173075810127463</c:v>
                </c:pt>
                <c:pt idx="515">
                  <c:v>-1.3309479503748698</c:v>
                </c:pt>
                <c:pt idx="516">
                  <c:v>0.11836982404652224</c:v>
                </c:pt>
                <c:pt idx="517">
                  <c:v>0.29803731674338901</c:v>
                </c:pt>
                <c:pt idx="518">
                  <c:v>-6.7286585073573435E-2</c:v>
                </c:pt>
                <c:pt idx="519">
                  <c:v>-0.24695407777044023</c:v>
                </c:pt>
                <c:pt idx="520">
                  <c:v>-0.26492082704012693</c:v>
                </c:pt>
                <c:pt idx="521">
                  <c:v>0.81907304556430272</c:v>
                </c:pt>
                <c:pt idx="522">
                  <c:v>0.94484029045210949</c:v>
                </c:pt>
                <c:pt idx="523">
                  <c:v>0.26809273462724459</c:v>
                </c:pt>
                <c:pt idx="524">
                  <c:v>-0.74403414089843833</c:v>
                </c:pt>
                <c:pt idx="525">
                  <c:v>-1.2351252876032075</c:v>
                </c:pt>
                <c:pt idx="526">
                  <c:v>-0.52843314966219823</c:v>
                </c:pt>
                <c:pt idx="527">
                  <c:v>-1.4085044180556134E-3</c:v>
                </c:pt>
                <c:pt idx="528">
                  <c:v>1.1424745324186629</c:v>
                </c:pt>
                <c:pt idx="529">
                  <c:v>1.6215878462769744</c:v>
                </c:pt>
                <c:pt idx="530">
                  <c:v>1.3640644400781321</c:v>
                </c:pt>
                <c:pt idx="531">
                  <c:v>1.0885742846096029</c:v>
                </c:pt>
                <c:pt idx="532">
                  <c:v>0.78313954702492938</c:v>
                </c:pt>
                <c:pt idx="533">
                  <c:v>1.2203304459206386</c:v>
                </c:pt>
                <c:pt idx="534">
                  <c:v>1.4239536043104208</c:v>
                </c:pt>
                <c:pt idx="535">
                  <c:v>0.86099546052690501</c:v>
                </c:pt>
                <c:pt idx="536">
                  <c:v>0.53160505724931584</c:v>
                </c:pt>
                <c:pt idx="537">
                  <c:v>0.18424790470204008</c:v>
                </c:pt>
                <c:pt idx="538">
                  <c:v>0.54358289009577365</c:v>
                </c:pt>
                <c:pt idx="539">
                  <c:v>1.1963747802277229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E7-4F67-A913-05DBFF80A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016096"/>
        <c:axId val="1771017184"/>
      </c:scatterChart>
      <c:valAx>
        <c:axId val="1771016096"/>
        <c:scaling>
          <c:orientation val="minMax"/>
          <c:max val="2015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017184"/>
        <c:crosses val="autoZero"/>
        <c:crossBetween val="midCat"/>
      </c:valAx>
      <c:valAx>
        <c:axId val="1771017184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01609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Precipitacion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Transporte!$L$5:$L$520</c:f>
              <c:numCache>
                <c:formatCode>0.0</c:formatCode>
                <c:ptCount val="516"/>
                <c:pt idx="0">
                  <c:v>2014.9166666666665</c:v>
                </c:pt>
                <c:pt idx="1">
                  <c:v>2014.8333333333333</c:v>
                </c:pt>
                <c:pt idx="2">
                  <c:v>2014.75</c:v>
                </c:pt>
                <c:pt idx="3">
                  <c:v>2014.6666666666665</c:v>
                </c:pt>
                <c:pt idx="4">
                  <c:v>2014.5833333333333</c:v>
                </c:pt>
                <c:pt idx="5">
                  <c:v>2014.5</c:v>
                </c:pt>
                <c:pt idx="6">
                  <c:v>2014.4166666666665</c:v>
                </c:pt>
                <c:pt idx="7">
                  <c:v>2014.3333333333333</c:v>
                </c:pt>
                <c:pt idx="8">
                  <c:v>2014.25</c:v>
                </c:pt>
                <c:pt idx="9">
                  <c:v>2014.1666666666665</c:v>
                </c:pt>
                <c:pt idx="10">
                  <c:v>2014.0833333333333</c:v>
                </c:pt>
                <c:pt idx="11">
                  <c:v>2014</c:v>
                </c:pt>
                <c:pt idx="12">
                  <c:v>2013.9166666666599</c:v>
                </c:pt>
                <c:pt idx="13">
                  <c:v>2013.8333333333301</c:v>
                </c:pt>
                <c:pt idx="14">
                  <c:v>2013.75</c:v>
                </c:pt>
                <c:pt idx="15">
                  <c:v>2013.6666666666599</c:v>
                </c:pt>
                <c:pt idx="16">
                  <c:v>2013.5833333333301</c:v>
                </c:pt>
                <c:pt idx="17">
                  <c:v>2013.5</c:v>
                </c:pt>
                <c:pt idx="18">
                  <c:v>2013.4166666666599</c:v>
                </c:pt>
                <c:pt idx="19">
                  <c:v>2013.3333333333301</c:v>
                </c:pt>
                <c:pt idx="20">
                  <c:v>2013.25</c:v>
                </c:pt>
                <c:pt idx="21">
                  <c:v>2013.1666666666599</c:v>
                </c:pt>
                <c:pt idx="22">
                  <c:v>2013.0833333333301</c:v>
                </c:pt>
                <c:pt idx="23">
                  <c:v>2013</c:v>
                </c:pt>
                <c:pt idx="24">
                  <c:v>2012.9166666666599</c:v>
                </c:pt>
                <c:pt idx="25">
                  <c:v>2012.8333333333301</c:v>
                </c:pt>
                <c:pt idx="26">
                  <c:v>2012.75</c:v>
                </c:pt>
                <c:pt idx="27">
                  <c:v>2012.6666666666599</c:v>
                </c:pt>
                <c:pt idx="28">
                  <c:v>2012.5833333333301</c:v>
                </c:pt>
                <c:pt idx="29">
                  <c:v>2012.5</c:v>
                </c:pt>
                <c:pt idx="30">
                  <c:v>2012.4166666666599</c:v>
                </c:pt>
                <c:pt idx="31">
                  <c:v>2012.3333333333301</c:v>
                </c:pt>
                <c:pt idx="32">
                  <c:v>2012.24999999999</c:v>
                </c:pt>
                <c:pt idx="33">
                  <c:v>2012.1666666666599</c:v>
                </c:pt>
                <c:pt idx="34">
                  <c:v>2012.0833333333301</c:v>
                </c:pt>
                <c:pt idx="35">
                  <c:v>2012</c:v>
                </c:pt>
                <c:pt idx="36">
                  <c:v>2011.9166666666599</c:v>
                </c:pt>
                <c:pt idx="37">
                  <c:v>2011.8333333333301</c:v>
                </c:pt>
                <c:pt idx="38">
                  <c:v>2011.74999999999</c:v>
                </c:pt>
                <c:pt idx="39">
                  <c:v>2011.6666666666599</c:v>
                </c:pt>
                <c:pt idx="40">
                  <c:v>2011.5833333333301</c:v>
                </c:pt>
                <c:pt idx="41">
                  <c:v>2011.49999999999</c:v>
                </c:pt>
                <c:pt idx="42">
                  <c:v>2011.4166666666599</c:v>
                </c:pt>
                <c:pt idx="43">
                  <c:v>2011.3333333333301</c:v>
                </c:pt>
                <c:pt idx="44">
                  <c:v>2011.24999999999</c:v>
                </c:pt>
                <c:pt idx="45">
                  <c:v>2011.1666666666599</c:v>
                </c:pt>
                <c:pt idx="46">
                  <c:v>2011.0833333333301</c:v>
                </c:pt>
                <c:pt idx="47">
                  <c:v>2011</c:v>
                </c:pt>
                <c:pt idx="48">
                  <c:v>2010.9166666666599</c:v>
                </c:pt>
                <c:pt idx="49">
                  <c:v>2010.8333333333301</c:v>
                </c:pt>
                <c:pt idx="50">
                  <c:v>2010.74999999999</c:v>
                </c:pt>
                <c:pt idx="51">
                  <c:v>2010.6666666666599</c:v>
                </c:pt>
                <c:pt idx="52">
                  <c:v>2010.5833333333301</c:v>
                </c:pt>
                <c:pt idx="53">
                  <c:v>2010.49999999999</c:v>
                </c:pt>
                <c:pt idx="54">
                  <c:v>2010.4166666666599</c:v>
                </c:pt>
                <c:pt idx="55">
                  <c:v>2010.3333333333201</c:v>
                </c:pt>
                <c:pt idx="56">
                  <c:v>2010.24999999999</c:v>
                </c:pt>
                <c:pt idx="57">
                  <c:v>2010.1666666666599</c:v>
                </c:pt>
                <c:pt idx="58">
                  <c:v>2010.0833333333201</c:v>
                </c:pt>
                <c:pt idx="59">
                  <c:v>2010</c:v>
                </c:pt>
                <c:pt idx="60">
                  <c:v>2009.9166666666599</c:v>
                </c:pt>
                <c:pt idx="61">
                  <c:v>2009.8333333333201</c:v>
                </c:pt>
                <c:pt idx="62">
                  <c:v>2009.74999999999</c:v>
                </c:pt>
                <c:pt idx="63">
                  <c:v>2009.6666666666599</c:v>
                </c:pt>
                <c:pt idx="64">
                  <c:v>2009.5833333333201</c:v>
                </c:pt>
                <c:pt idx="65">
                  <c:v>2009.49999999999</c:v>
                </c:pt>
                <c:pt idx="66">
                  <c:v>2009.4166666666599</c:v>
                </c:pt>
                <c:pt idx="67">
                  <c:v>2009.3333333333201</c:v>
                </c:pt>
                <c:pt idx="68">
                  <c:v>2009.24999999999</c:v>
                </c:pt>
                <c:pt idx="69">
                  <c:v>2009.1666666666599</c:v>
                </c:pt>
                <c:pt idx="70">
                  <c:v>2009.0833333333201</c:v>
                </c:pt>
                <c:pt idx="71">
                  <c:v>2009</c:v>
                </c:pt>
                <c:pt idx="72">
                  <c:v>2008.9166666666599</c:v>
                </c:pt>
                <c:pt idx="73">
                  <c:v>2008.8333333333201</c:v>
                </c:pt>
                <c:pt idx="74">
                  <c:v>2008.74999999999</c:v>
                </c:pt>
                <c:pt idx="75">
                  <c:v>2008.6666666666599</c:v>
                </c:pt>
                <c:pt idx="76">
                  <c:v>2008.5833333333201</c:v>
                </c:pt>
                <c:pt idx="77">
                  <c:v>2008.49999999999</c:v>
                </c:pt>
                <c:pt idx="78">
                  <c:v>2008.4166666666499</c:v>
                </c:pt>
                <c:pt idx="79">
                  <c:v>2008.3333333333201</c:v>
                </c:pt>
                <c:pt idx="80">
                  <c:v>2008.24999999999</c:v>
                </c:pt>
                <c:pt idx="81">
                  <c:v>2008.1666666666499</c:v>
                </c:pt>
                <c:pt idx="82">
                  <c:v>2008.0833333333201</c:v>
                </c:pt>
                <c:pt idx="83">
                  <c:v>2008</c:v>
                </c:pt>
                <c:pt idx="84">
                  <c:v>2007.9166666666499</c:v>
                </c:pt>
                <c:pt idx="85">
                  <c:v>2007.8333333333201</c:v>
                </c:pt>
                <c:pt idx="86">
                  <c:v>2007.74999999999</c:v>
                </c:pt>
                <c:pt idx="87">
                  <c:v>2007.6666666666499</c:v>
                </c:pt>
                <c:pt idx="88">
                  <c:v>2007.5833333333201</c:v>
                </c:pt>
                <c:pt idx="89">
                  <c:v>2007.49999999999</c:v>
                </c:pt>
                <c:pt idx="90">
                  <c:v>2007.4166666666499</c:v>
                </c:pt>
                <c:pt idx="91">
                  <c:v>2007.3333333333201</c:v>
                </c:pt>
                <c:pt idx="92">
                  <c:v>2007.24999999999</c:v>
                </c:pt>
                <c:pt idx="93">
                  <c:v>2007.1666666666499</c:v>
                </c:pt>
                <c:pt idx="94">
                  <c:v>2007.0833333333201</c:v>
                </c:pt>
                <c:pt idx="95">
                  <c:v>2007</c:v>
                </c:pt>
                <c:pt idx="96">
                  <c:v>2006.9166666666499</c:v>
                </c:pt>
                <c:pt idx="97">
                  <c:v>2006.8333333333201</c:v>
                </c:pt>
                <c:pt idx="98">
                  <c:v>2006.74999999998</c:v>
                </c:pt>
                <c:pt idx="99">
                  <c:v>2006.6666666666499</c:v>
                </c:pt>
                <c:pt idx="100">
                  <c:v>2006.5833333333201</c:v>
                </c:pt>
                <c:pt idx="101">
                  <c:v>2006.49999999998</c:v>
                </c:pt>
                <c:pt idx="102">
                  <c:v>2006.4166666666499</c:v>
                </c:pt>
                <c:pt idx="103">
                  <c:v>2006.3333333333201</c:v>
                </c:pt>
                <c:pt idx="104">
                  <c:v>2006.24999999998</c:v>
                </c:pt>
                <c:pt idx="105">
                  <c:v>2006.1666666666499</c:v>
                </c:pt>
                <c:pt idx="106">
                  <c:v>2006.0833333333201</c:v>
                </c:pt>
                <c:pt idx="107">
                  <c:v>2006</c:v>
                </c:pt>
                <c:pt idx="108">
                  <c:v>2005.9166666666499</c:v>
                </c:pt>
                <c:pt idx="109">
                  <c:v>2005.8333333333201</c:v>
                </c:pt>
                <c:pt idx="110">
                  <c:v>2005.74999999998</c:v>
                </c:pt>
                <c:pt idx="111">
                  <c:v>2005.6666666666499</c:v>
                </c:pt>
                <c:pt idx="112">
                  <c:v>2005.5833333333201</c:v>
                </c:pt>
                <c:pt idx="113">
                  <c:v>2005.49999999998</c:v>
                </c:pt>
                <c:pt idx="114">
                  <c:v>2005.4166666666499</c:v>
                </c:pt>
                <c:pt idx="115">
                  <c:v>2005.3333333333201</c:v>
                </c:pt>
                <c:pt idx="116">
                  <c:v>2005.24999999998</c:v>
                </c:pt>
                <c:pt idx="117">
                  <c:v>2005.1666666666499</c:v>
                </c:pt>
                <c:pt idx="118">
                  <c:v>2005.0833333333201</c:v>
                </c:pt>
                <c:pt idx="119">
                  <c:v>2005</c:v>
                </c:pt>
                <c:pt idx="120">
                  <c:v>2004.9166666666499</c:v>
                </c:pt>
                <c:pt idx="121">
                  <c:v>2004.8333333333101</c:v>
                </c:pt>
                <c:pt idx="122">
                  <c:v>2004.74999999998</c:v>
                </c:pt>
                <c:pt idx="123">
                  <c:v>2004.6666666666499</c:v>
                </c:pt>
                <c:pt idx="124">
                  <c:v>2004.5833333333101</c:v>
                </c:pt>
                <c:pt idx="125">
                  <c:v>2004.49999999998</c:v>
                </c:pt>
                <c:pt idx="126">
                  <c:v>2004.4166666666499</c:v>
                </c:pt>
                <c:pt idx="127">
                  <c:v>2004.3333333333101</c:v>
                </c:pt>
                <c:pt idx="128">
                  <c:v>2004.24999999998</c:v>
                </c:pt>
                <c:pt idx="129">
                  <c:v>2004.1666666666499</c:v>
                </c:pt>
                <c:pt idx="130">
                  <c:v>2004.0833333333101</c:v>
                </c:pt>
                <c:pt idx="131">
                  <c:v>2004</c:v>
                </c:pt>
                <c:pt idx="132">
                  <c:v>2003.9166666666499</c:v>
                </c:pt>
                <c:pt idx="133">
                  <c:v>2003.8333333333101</c:v>
                </c:pt>
                <c:pt idx="134">
                  <c:v>2003.74999999998</c:v>
                </c:pt>
                <c:pt idx="135">
                  <c:v>2003.6666666666499</c:v>
                </c:pt>
                <c:pt idx="136">
                  <c:v>2003.5833333333101</c:v>
                </c:pt>
                <c:pt idx="137">
                  <c:v>2003.49999999998</c:v>
                </c:pt>
                <c:pt idx="138">
                  <c:v>2003.4166666666499</c:v>
                </c:pt>
                <c:pt idx="139">
                  <c:v>2003.3333333333101</c:v>
                </c:pt>
                <c:pt idx="140">
                  <c:v>2003.24999999998</c:v>
                </c:pt>
                <c:pt idx="141">
                  <c:v>2003.1666666666499</c:v>
                </c:pt>
                <c:pt idx="142">
                  <c:v>2003.0833333333101</c:v>
                </c:pt>
                <c:pt idx="143">
                  <c:v>2003</c:v>
                </c:pt>
                <c:pt idx="144">
                  <c:v>2002.9166666666399</c:v>
                </c:pt>
                <c:pt idx="145">
                  <c:v>2002.8333333333101</c:v>
                </c:pt>
                <c:pt idx="146">
                  <c:v>2002.74999999998</c:v>
                </c:pt>
                <c:pt idx="147">
                  <c:v>2002.6666666666399</c:v>
                </c:pt>
                <c:pt idx="148">
                  <c:v>2002.5833333333101</c:v>
                </c:pt>
                <c:pt idx="149">
                  <c:v>2002.49999999998</c:v>
                </c:pt>
                <c:pt idx="150">
                  <c:v>2002.4166666666399</c:v>
                </c:pt>
                <c:pt idx="151">
                  <c:v>2002.3333333333101</c:v>
                </c:pt>
                <c:pt idx="152">
                  <c:v>2002.24999999998</c:v>
                </c:pt>
                <c:pt idx="153">
                  <c:v>2002.1666666666399</c:v>
                </c:pt>
                <c:pt idx="154">
                  <c:v>2002.0833333333101</c:v>
                </c:pt>
                <c:pt idx="155">
                  <c:v>2002</c:v>
                </c:pt>
                <c:pt idx="156">
                  <c:v>2001.9166666666399</c:v>
                </c:pt>
                <c:pt idx="157">
                  <c:v>2001.8333333333101</c:v>
                </c:pt>
                <c:pt idx="158">
                  <c:v>2001.74999999998</c:v>
                </c:pt>
                <c:pt idx="159">
                  <c:v>2001.6666666666399</c:v>
                </c:pt>
                <c:pt idx="160">
                  <c:v>2001.5833333333101</c:v>
                </c:pt>
                <c:pt idx="161">
                  <c:v>2001.49999999998</c:v>
                </c:pt>
                <c:pt idx="162">
                  <c:v>2001.4166666666399</c:v>
                </c:pt>
                <c:pt idx="163">
                  <c:v>2001.3333333333101</c:v>
                </c:pt>
                <c:pt idx="164">
                  <c:v>2001.24999999997</c:v>
                </c:pt>
                <c:pt idx="165">
                  <c:v>2001.1666666666399</c:v>
                </c:pt>
                <c:pt idx="166">
                  <c:v>2001.0833333333101</c:v>
                </c:pt>
                <c:pt idx="167">
                  <c:v>2001</c:v>
                </c:pt>
                <c:pt idx="168">
                  <c:v>2000.9166666666399</c:v>
                </c:pt>
                <c:pt idx="169">
                  <c:v>2000.8333333333101</c:v>
                </c:pt>
                <c:pt idx="170">
                  <c:v>2000.74999999997</c:v>
                </c:pt>
                <c:pt idx="171">
                  <c:v>2000.6666666666399</c:v>
                </c:pt>
                <c:pt idx="172">
                  <c:v>2000.5833333333101</c:v>
                </c:pt>
                <c:pt idx="173">
                  <c:v>2000.49999999997</c:v>
                </c:pt>
                <c:pt idx="174">
                  <c:v>2000.4166666666399</c:v>
                </c:pt>
                <c:pt idx="175">
                  <c:v>2000.3333333333101</c:v>
                </c:pt>
                <c:pt idx="176">
                  <c:v>2000.24999999997</c:v>
                </c:pt>
                <c:pt idx="177">
                  <c:v>2000.1666666666399</c:v>
                </c:pt>
                <c:pt idx="178">
                  <c:v>2000.0833333333101</c:v>
                </c:pt>
                <c:pt idx="179">
                  <c:v>2000</c:v>
                </c:pt>
                <c:pt idx="180">
                  <c:v>1999.9166666660001</c:v>
                </c:pt>
                <c:pt idx="181">
                  <c:v>1999.83333333264</c:v>
                </c:pt>
                <c:pt idx="182">
                  <c:v>1999.7499999992799</c:v>
                </c:pt>
                <c:pt idx="183">
                  <c:v>1999.66666666592</c:v>
                </c:pt>
                <c:pt idx="184">
                  <c:v>1999.58333333256</c:v>
                </c:pt>
                <c:pt idx="185">
                  <c:v>1999.4999999992001</c:v>
                </c:pt>
                <c:pt idx="186">
                  <c:v>1999.41666666584</c:v>
                </c:pt>
                <c:pt idx="187">
                  <c:v>1999.3333333324799</c:v>
                </c:pt>
                <c:pt idx="188">
                  <c:v>1999.2499999991201</c:v>
                </c:pt>
                <c:pt idx="189">
                  <c:v>1999.16666666576</c:v>
                </c:pt>
                <c:pt idx="190">
                  <c:v>1999.0833333323999</c:v>
                </c:pt>
                <c:pt idx="191">
                  <c:v>1998.99999999904</c:v>
                </c:pt>
                <c:pt idx="192">
                  <c:v>1998.9166666656799</c:v>
                </c:pt>
                <c:pt idx="193">
                  <c:v>1998.8333333323201</c:v>
                </c:pt>
                <c:pt idx="194">
                  <c:v>1998.74999999896</c:v>
                </c:pt>
                <c:pt idx="195">
                  <c:v>1998.6666666655999</c:v>
                </c:pt>
                <c:pt idx="196">
                  <c:v>1998.58333333224</c:v>
                </c:pt>
                <c:pt idx="197">
                  <c:v>1998.49999999888</c:v>
                </c:pt>
                <c:pt idx="198">
                  <c:v>1998.4166666655201</c:v>
                </c:pt>
                <c:pt idx="199">
                  <c:v>1998.33333333216</c:v>
                </c:pt>
                <c:pt idx="200">
                  <c:v>1998.2499999987999</c:v>
                </c:pt>
                <c:pt idx="201">
                  <c:v>1998.1666666654401</c:v>
                </c:pt>
                <c:pt idx="202">
                  <c:v>1998.08333333208</c:v>
                </c:pt>
                <c:pt idx="203">
                  <c:v>1997.9999999987201</c:v>
                </c:pt>
                <c:pt idx="204">
                  <c:v>1997.91666666536</c:v>
                </c:pt>
                <c:pt idx="205">
                  <c:v>1997.8333333319999</c:v>
                </c:pt>
                <c:pt idx="206">
                  <c:v>1997.7499999986401</c:v>
                </c:pt>
                <c:pt idx="207">
                  <c:v>1997.66666666528</c:v>
                </c:pt>
                <c:pt idx="208">
                  <c:v>1997.5833333319199</c:v>
                </c:pt>
                <c:pt idx="209">
                  <c:v>1997.49999999856</c:v>
                </c:pt>
                <c:pt idx="210">
                  <c:v>1997.4166666652</c:v>
                </c:pt>
                <c:pt idx="211">
                  <c:v>1997.3333333318401</c:v>
                </c:pt>
                <c:pt idx="212">
                  <c:v>1997.24999999848</c:v>
                </c:pt>
                <c:pt idx="213">
                  <c:v>1997.1666666651099</c:v>
                </c:pt>
                <c:pt idx="214">
                  <c:v>1997.0833333317501</c:v>
                </c:pt>
                <c:pt idx="215">
                  <c:v>1996.99999999839</c:v>
                </c:pt>
                <c:pt idx="216">
                  <c:v>1996.9166666650301</c:v>
                </c:pt>
                <c:pt idx="217">
                  <c:v>1996.83333333167</c:v>
                </c:pt>
                <c:pt idx="218">
                  <c:v>1996.7499999983099</c:v>
                </c:pt>
                <c:pt idx="219">
                  <c:v>1996.6666666649501</c:v>
                </c:pt>
                <c:pt idx="220">
                  <c:v>1996.58333333159</c:v>
                </c:pt>
                <c:pt idx="221">
                  <c:v>1996.4999999982299</c:v>
                </c:pt>
                <c:pt idx="222">
                  <c:v>1996.41666666487</c:v>
                </c:pt>
                <c:pt idx="223">
                  <c:v>1996.3333333315099</c:v>
                </c:pt>
                <c:pt idx="224">
                  <c:v>1996.2499999981501</c:v>
                </c:pt>
                <c:pt idx="225">
                  <c:v>1996.16666666479</c:v>
                </c:pt>
                <c:pt idx="226">
                  <c:v>1996.0833333314299</c:v>
                </c:pt>
                <c:pt idx="227">
                  <c:v>1995.9999999980701</c:v>
                </c:pt>
                <c:pt idx="228">
                  <c:v>1995.91666666471</c:v>
                </c:pt>
                <c:pt idx="229">
                  <c:v>1995.8333333313501</c:v>
                </c:pt>
                <c:pt idx="230">
                  <c:v>1995.74999999799</c:v>
                </c:pt>
                <c:pt idx="231">
                  <c:v>1995.6666666646299</c:v>
                </c:pt>
                <c:pt idx="232">
                  <c:v>1995.5833333312701</c:v>
                </c:pt>
                <c:pt idx="233">
                  <c:v>1995.49999999791</c:v>
                </c:pt>
                <c:pt idx="234">
                  <c:v>1995.4166666645499</c:v>
                </c:pt>
                <c:pt idx="235">
                  <c:v>1995.33333333119</c:v>
                </c:pt>
                <c:pt idx="236">
                  <c:v>1995.2499999978299</c:v>
                </c:pt>
                <c:pt idx="237">
                  <c:v>1995.1666666644701</c:v>
                </c:pt>
                <c:pt idx="238">
                  <c:v>1995.08333333111</c:v>
                </c:pt>
                <c:pt idx="239">
                  <c:v>1994.9999999977499</c:v>
                </c:pt>
                <c:pt idx="240">
                  <c:v>1994.91666666439</c:v>
                </c:pt>
                <c:pt idx="241">
                  <c:v>1994.83333333103</c:v>
                </c:pt>
                <c:pt idx="242">
                  <c:v>1994.7499999976701</c:v>
                </c:pt>
                <c:pt idx="243">
                  <c:v>1994.66666666431</c:v>
                </c:pt>
                <c:pt idx="244">
                  <c:v>1994.5833333309499</c:v>
                </c:pt>
                <c:pt idx="245">
                  <c:v>1994.4999999975901</c:v>
                </c:pt>
                <c:pt idx="246">
                  <c:v>1994.41666666423</c:v>
                </c:pt>
                <c:pt idx="247">
                  <c:v>1994.3333333308699</c:v>
                </c:pt>
                <c:pt idx="248">
                  <c:v>1994.24999999751</c:v>
                </c:pt>
                <c:pt idx="249">
                  <c:v>1994.1666666641499</c:v>
                </c:pt>
                <c:pt idx="250">
                  <c:v>1994.0833333307901</c:v>
                </c:pt>
                <c:pt idx="251">
                  <c:v>1993.99999999743</c:v>
                </c:pt>
                <c:pt idx="252">
                  <c:v>1993.9166666640699</c:v>
                </c:pt>
                <c:pt idx="253">
                  <c:v>1993.83333333071</c:v>
                </c:pt>
                <c:pt idx="254">
                  <c:v>1993.74999999735</c:v>
                </c:pt>
                <c:pt idx="255">
                  <c:v>1993.6666666639901</c:v>
                </c:pt>
                <c:pt idx="256">
                  <c:v>1993.58333333063</c:v>
                </c:pt>
                <c:pt idx="257">
                  <c:v>1993.4999999972699</c:v>
                </c:pt>
                <c:pt idx="258">
                  <c:v>1993.4166666639101</c:v>
                </c:pt>
                <c:pt idx="259">
                  <c:v>1993.33333333055</c:v>
                </c:pt>
                <c:pt idx="260">
                  <c:v>1993.2499999971899</c:v>
                </c:pt>
                <c:pt idx="261">
                  <c:v>1993.16666666383</c:v>
                </c:pt>
                <c:pt idx="262">
                  <c:v>1993.0833333304699</c:v>
                </c:pt>
                <c:pt idx="263">
                  <c:v>1992.9999999971101</c:v>
                </c:pt>
                <c:pt idx="264">
                  <c:v>1992.91666666375</c:v>
                </c:pt>
                <c:pt idx="265">
                  <c:v>1992.8333333303899</c:v>
                </c:pt>
                <c:pt idx="266">
                  <c:v>1992.74999999703</c:v>
                </c:pt>
                <c:pt idx="267">
                  <c:v>1992.66666666367</c:v>
                </c:pt>
                <c:pt idx="268">
                  <c:v>1992.5833333303101</c:v>
                </c:pt>
                <c:pt idx="269">
                  <c:v>1992.49999999695</c:v>
                </c:pt>
                <c:pt idx="270">
                  <c:v>1992.4166666635899</c:v>
                </c:pt>
                <c:pt idx="271">
                  <c:v>1992.3333333302301</c:v>
                </c:pt>
                <c:pt idx="272">
                  <c:v>1992.24999999687</c:v>
                </c:pt>
                <c:pt idx="273">
                  <c:v>1992.1666666635101</c:v>
                </c:pt>
                <c:pt idx="274">
                  <c:v>1992.08333333015</c:v>
                </c:pt>
                <c:pt idx="275">
                  <c:v>1991.9999999967899</c:v>
                </c:pt>
                <c:pt idx="276">
                  <c:v>1991.9166666634301</c:v>
                </c:pt>
                <c:pt idx="277">
                  <c:v>1991.83333333007</c:v>
                </c:pt>
                <c:pt idx="278">
                  <c:v>1991.7499999967099</c:v>
                </c:pt>
                <c:pt idx="279">
                  <c:v>1991.66666666335</c:v>
                </c:pt>
                <c:pt idx="280">
                  <c:v>1991.58333332999</c:v>
                </c:pt>
                <c:pt idx="281">
                  <c:v>1991.4999999966301</c:v>
                </c:pt>
                <c:pt idx="282">
                  <c:v>1991.41666666327</c:v>
                </c:pt>
                <c:pt idx="283">
                  <c:v>1991.3333333299099</c:v>
                </c:pt>
                <c:pt idx="284">
                  <c:v>1991.2499999965501</c:v>
                </c:pt>
                <c:pt idx="285">
                  <c:v>1991.16666666319</c:v>
                </c:pt>
                <c:pt idx="286">
                  <c:v>1991.0833333298301</c:v>
                </c:pt>
                <c:pt idx="287">
                  <c:v>1990.99999999647</c:v>
                </c:pt>
                <c:pt idx="288">
                  <c:v>1990.9166666631099</c:v>
                </c:pt>
                <c:pt idx="289">
                  <c:v>1990.8333333297501</c:v>
                </c:pt>
                <c:pt idx="290">
                  <c:v>1990.74999999639</c:v>
                </c:pt>
                <c:pt idx="291">
                  <c:v>1990.6666666630299</c:v>
                </c:pt>
                <c:pt idx="292">
                  <c:v>1990.58333332967</c:v>
                </c:pt>
                <c:pt idx="293">
                  <c:v>1990.49999999631</c:v>
                </c:pt>
                <c:pt idx="294">
                  <c:v>1990.4166666629501</c:v>
                </c:pt>
                <c:pt idx="295">
                  <c:v>1990.33333332959</c:v>
                </c:pt>
                <c:pt idx="296">
                  <c:v>1990.2499999962299</c:v>
                </c:pt>
                <c:pt idx="297">
                  <c:v>1990.1666666628701</c:v>
                </c:pt>
                <c:pt idx="298">
                  <c:v>1990.08333332951</c:v>
                </c:pt>
                <c:pt idx="299">
                  <c:v>1989.9999999961501</c:v>
                </c:pt>
                <c:pt idx="300">
                  <c:v>1989.91666666279</c:v>
                </c:pt>
                <c:pt idx="301">
                  <c:v>1989.8333333294299</c:v>
                </c:pt>
                <c:pt idx="302">
                  <c:v>1989.7499999960701</c:v>
                </c:pt>
                <c:pt idx="303">
                  <c:v>1989.66666666271</c:v>
                </c:pt>
                <c:pt idx="304">
                  <c:v>1989.5833333293499</c:v>
                </c:pt>
                <c:pt idx="305">
                  <c:v>1989.49999999599</c:v>
                </c:pt>
                <c:pt idx="306">
                  <c:v>1989.41666666263</c:v>
                </c:pt>
                <c:pt idx="307">
                  <c:v>1989.3333333292701</c:v>
                </c:pt>
                <c:pt idx="308">
                  <c:v>1989.24999999591</c:v>
                </c:pt>
                <c:pt idx="309">
                  <c:v>1989.1666666625499</c:v>
                </c:pt>
                <c:pt idx="310">
                  <c:v>1989.0833333291901</c:v>
                </c:pt>
                <c:pt idx="311">
                  <c:v>1988.99999999583</c:v>
                </c:pt>
                <c:pt idx="312">
                  <c:v>1988.9166666624701</c:v>
                </c:pt>
                <c:pt idx="313">
                  <c:v>1988.83333332911</c:v>
                </c:pt>
                <c:pt idx="314">
                  <c:v>1988.7499999957499</c:v>
                </c:pt>
                <c:pt idx="315">
                  <c:v>1988.6666666623901</c:v>
                </c:pt>
                <c:pt idx="316">
                  <c:v>1988.58333332903</c:v>
                </c:pt>
                <c:pt idx="317">
                  <c:v>1988.4999999956699</c:v>
                </c:pt>
                <c:pt idx="318">
                  <c:v>1988.41666666231</c:v>
                </c:pt>
                <c:pt idx="319">
                  <c:v>1988.3333333289499</c:v>
                </c:pt>
                <c:pt idx="320">
                  <c:v>1988.2499999955901</c:v>
                </c:pt>
                <c:pt idx="321">
                  <c:v>1988.16666666223</c:v>
                </c:pt>
                <c:pt idx="322">
                  <c:v>1988.0833333288699</c:v>
                </c:pt>
                <c:pt idx="323">
                  <c:v>1987.9999999955101</c:v>
                </c:pt>
                <c:pt idx="324">
                  <c:v>1987.91666666215</c:v>
                </c:pt>
                <c:pt idx="325">
                  <c:v>1987.8333333287901</c:v>
                </c:pt>
                <c:pt idx="326">
                  <c:v>1987.74999999543</c:v>
                </c:pt>
                <c:pt idx="327">
                  <c:v>1987.6666666620599</c:v>
                </c:pt>
                <c:pt idx="328">
                  <c:v>1987.5833333287001</c:v>
                </c:pt>
                <c:pt idx="329">
                  <c:v>1987.49999999534</c:v>
                </c:pt>
                <c:pt idx="330">
                  <c:v>1987.4166666619799</c:v>
                </c:pt>
                <c:pt idx="331">
                  <c:v>1987.33333332862</c:v>
                </c:pt>
                <c:pt idx="332">
                  <c:v>1987.2499999952599</c:v>
                </c:pt>
                <c:pt idx="333">
                  <c:v>1987.1666666619001</c:v>
                </c:pt>
                <c:pt idx="334">
                  <c:v>1987.08333332854</c:v>
                </c:pt>
                <c:pt idx="335">
                  <c:v>1986.9999999951799</c:v>
                </c:pt>
                <c:pt idx="336">
                  <c:v>1986.91666666182</c:v>
                </c:pt>
                <c:pt idx="337">
                  <c:v>1986.83333332846</c:v>
                </c:pt>
                <c:pt idx="338">
                  <c:v>1986.7499999951001</c:v>
                </c:pt>
                <c:pt idx="339">
                  <c:v>1986.66666666174</c:v>
                </c:pt>
                <c:pt idx="340">
                  <c:v>1986.5833333283799</c:v>
                </c:pt>
                <c:pt idx="341">
                  <c:v>1986.4999999950201</c:v>
                </c:pt>
                <c:pt idx="342">
                  <c:v>1986.41666666166</c:v>
                </c:pt>
                <c:pt idx="343">
                  <c:v>1986.3333333282999</c:v>
                </c:pt>
                <c:pt idx="344">
                  <c:v>1986.24999999494</c:v>
                </c:pt>
                <c:pt idx="345">
                  <c:v>1986.1666666615799</c:v>
                </c:pt>
                <c:pt idx="346">
                  <c:v>1986.0833333282201</c:v>
                </c:pt>
                <c:pt idx="347">
                  <c:v>1985.99999999486</c:v>
                </c:pt>
                <c:pt idx="348">
                  <c:v>1985.9166666614999</c:v>
                </c:pt>
                <c:pt idx="349">
                  <c:v>1985.83333332814</c:v>
                </c:pt>
                <c:pt idx="350">
                  <c:v>1985.74999999478</c:v>
                </c:pt>
                <c:pt idx="351">
                  <c:v>1985.6666666614201</c:v>
                </c:pt>
                <c:pt idx="352">
                  <c:v>1985.58333332806</c:v>
                </c:pt>
                <c:pt idx="353">
                  <c:v>1985.4999999946999</c:v>
                </c:pt>
                <c:pt idx="354">
                  <c:v>1985.4166666613401</c:v>
                </c:pt>
                <c:pt idx="355">
                  <c:v>1985.33333332798</c:v>
                </c:pt>
                <c:pt idx="356">
                  <c:v>1985.2499999946201</c:v>
                </c:pt>
                <c:pt idx="357">
                  <c:v>1985.16666666126</c:v>
                </c:pt>
                <c:pt idx="358">
                  <c:v>1985.0833333278999</c:v>
                </c:pt>
                <c:pt idx="359">
                  <c:v>1984.9999999945401</c:v>
                </c:pt>
                <c:pt idx="360">
                  <c:v>1984.91666666118</c:v>
                </c:pt>
                <c:pt idx="361">
                  <c:v>1984.8333333278199</c:v>
                </c:pt>
                <c:pt idx="362">
                  <c:v>1984.74999999446</c:v>
                </c:pt>
                <c:pt idx="363">
                  <c:v>1984.6666666611</c:v>
                </c:pt>
                <c:pt idx="364">
                  <c:v>1984.5833333277401</c:v>
                </c:pt>
                <c:pt idx="365">
                  <c:v>1984.49999999438</c:v>
                </c:pt>
                <c:pt idx="366">
                  <c:v>1984.4166666610199</c:v>
                </c:pt>
                <c:pt idx="367">
                  <c:v>1984.3333333276601</c:v>
                </c:pt>
                <c:pt idx="368">
                  <c:v>1984.2499999943</c:v>
                </c:pt>
                <c:pt idx="369">
                  <c:v>1984.1666666609401</c:v>
                </c:pt>
                <c:pt idx="370">
                  <c:v>1984.08333332758</c:v>
                </c:pt>
                <c:pt idx="371">
                  <c:v>1983.9999999942199</c:v>
                </c:pt>
                <c:pt idx="372">
                  <c:v>1983.9166666608601</c:v>
                </c:pt>
                <c:pt idx="373">
                  <c:v>1983.8333333275</c:v>
                </c:pt>
                <c:pt idx="374">
                  <c:v>1983.7499999941399</c:v>
                </c:pt>
                <c:pt idx="375">
                  <c:v>1983.66666666078</c:v>
                </c:pt>
                <c:pt idx="376">
                  <c:v>1983.58333332742</c:v>
                </c:pt>
                <c:pt idx="377">
                  <c:v>1983.4999999940601</c:v>
                </c:pt>
                <c:pt idx="378">
                  <c:v>1983.4166666607</c:v>
                </c:pt>
                <c:pt idx="379">
                  <c:v>1983.3333333273399</c:v>
                </c:pt>
                <c:pt idx="380">
                  <c:v>1983.2499999939801</c:v>
                </c:pt>
                <c:pt idx="381">
                  <c:v>1983.16666666062</c:v>
                </c:pt>
                <c:pt idx="382">
                  <c:v>1983.0833333272601</c:v>
                </c:pt>
                <c:pt idx="383">
                  <c:v>1982.9999999939</c:v>
                </c:pt>
                <c:pt idx="384">
                  <c:v>1982.9166666605399</c:v>
                </c:pt>
                <c:pt idx="385">
                  <c:v>1982.8333333271801</c:v>
                </c:pt>
                <c:pt idx="386">
                  <c:v>1982.74999999382</c:v>
                </c:pt>
                <c:pt idx="387">
                  <c:v>1982.6666666604599</c:v>
                </c:pt>
                <c:pt idx="388">
                  <c:v>1982.5833333271</c:v>
                </c:pt>
                <c:pt idx="389">
                  <c:v>1982.4999999937399</c:v>
                </c:pt>
                <c:pt idx="390">
                  <c:v>1982.4166666603801</c:v>
                </c:pt>
                <c:pt idx="391">
                  <c:v>1982.33333332702</c:v>
                </c:pt>
                <c:pt idx="392">
                  <c:v>1982.2499999936599</c:v>
                </c:pt>
                <c:pt idx="393">
                  <c:v>1982.1666666603001</c:v>
                </c:pt>
                <c:pt idx="394">
                  <c:v>1982.08333332694</c:v>
                </c:pt>
                <c:pt idx="395">
                  <c:v>1981.9999999935801</c:v>
                </c:pt>
                <c:pt idx="396">
                  <c:v>1981.91666666022</c:v>
                </c:pt>
                <c:pt idx="397">
                  <c:v>1981.8333333268599</c:v>
                </c:pt>
                <c:pt idx="398">
                  <c:v>1981.7499999935001</c:v>
                </c:pt>
                <c:pt idx="399">
                  <c:v>1981.66666666014</c:v>
                </c:pt>
                <c:pt idx="400">
                  <c:v>1981.5833333267799</c:v>
                </c:pt>
                <c:pt idx="401">
                  <c:v>1981.49999999342</c:v>
                </c:pt>
                <c:pt idx="402">
                  <c:v>1981.4166666600599</c:v>
                </c:pt>
                <c:pt idx="403">
                  <c:v>1981.3333333267001</c:v>
                </c:pt>
                <c:pt idx="404">
                  <c:v>1981.24999999334</c:v>
                </c:pt>
                <c:pt idx="405">
                  <c:v>1981.1666666599799</c:v>
                </c:pt>
                <c:pt idx="406">
                  <c:v>1981.08333332662</c:v>
                </c:pt>
                <c:pt idx="407">
                  <c:v>1980.99999999326</c:v>
                </c:pt>
                <c:pt idx="408">
                  <c:v>1980.9166666599001</c:v>
                </c:pt>
                <c:pt idx="409">
                  <c:v>1980.83333332654</c:v>
                </c:pt>
                <c:pt idx="410">
                  <c:v>1980.7499999931799</c:v>
                </c:pt>
                <c:pt idx="411">
                  <c:v>1980.6666666598201</c:v>
                </c:pt>
                <c:pt idx="412">
                  <c:v>1980.58333332646</c:v>
                </c:pt>
                <c:pt idx="413">
                  <c:v>1980.4999999930999</c:v>
                </c:pt>
                <c:pt idx="414">
                  <c:v>1980.41666665974</c:v>
                </c:pt>
                <c:pt idx="415">
                  <c:v>1980.3333333263799</c:v>
                </c:pt>
                <c:pt idx="416">
                  <c:v>1980.2499999930201</c:v>
                </c:pt>
                <c:pt idx="417">
                  <c:v>1980.16666665966</c:v>
                </c:pt>
                <c:pt idx="418">
                  <c:v>1980.0833333262999</c:v>
                </c:pt>
                <c:pt idx="419">
                  <c:v>1979.99999999294</c:v>
                </c:pt>
                <c:pt idx="420">
                  <c:v>1979.91666665958</c:v>
                </c:pt>
                <c:pt idx="421">
                  <c:v>1979.8333333262201</c:v>
                </c:pt>
                <c:pt idx="422">
                  <c:v>1979.74999999286</c:v>
                </c:pt>
                <c:pt idx="423">
                  <c:v>1979.6666666594999</c:v>
                </c:pt>
                <c:pt idx="424">
                  <c:v>1979.5833333261401</c:v>
                </c:pt>
                <c:pt idx="425">
                  <c:v>1979.49999999278</c:v>
                </c:pt>
                <c:pt idx="426">
                  <c:v>1979.4166666594199</c:v>
                </c:pt>
                <c:pt idx="427">
                  <c:v>1979.33333332606</c:v>
                </c:pt>
                <c:pt idx="428">
                  <c:v>1979.2499999926999</c:v>
                </c:pt>
                <c:pt idx="429">
                  <c:v>1979.1666666593401</c:v>
                </c:pt>
                <c:pt idx="430">
                  <c:v>1979.08333332598</c:v>
                </c:pt>
                <c:pt idx="431">
                  <c:v>1978.9999999926199</c:v>
                </c:pt>
                <c:pt idx="432">
                  <c:v>1978.91666665926</c:v>
                </c:pt>
                <c:pt idx="433">
                  <c:v>1978.8333333259</c:v>
                </c:pt>
                <c:pt idx="434">
                  <c:v>1978.7499999925401</c:v>
                </c:pt>
                <c:pt idx="435">
                  <c:v>1978.66666665918</c:v>
                </c:pt>
                <c:pt idx="436">
                  <c:v>1978.5833333258199</c:v>
                </c:pt>
                <c:pt idx="437">
                  <c:v>1978.4999999924601</c:v>
                </c:pt>
                <c:pt idx="438">
                  <c:v>1978.4166666591</c:v>
                </c:pt>
                <c:pt idx="439">
                  <c:v>1978.3333333257401</c:v>
                </c:pt>
                <c:pt idx="440">
                  <c:v>1978.24999999238</c:v>
                </c:pt>
                <c:pt idx="441">
                  <c:v>1978.1666666590099</c:v>
                </c:pt>
                <c:pt idx="442">
                  <c:v>1978.0833333256501</c:v>
                </c:pt>
                <c:pt idx="443">
                  <c:v>1977.99999999229</c:v>
                </c:pt>
                <c:pt idx="444">
                  <c:v>1977.9166666589299</c:v>
                </c:pt>
                <c:pt idx="445">
                  <c:v>1977.83333332557</c:v>
                </c:pt>
                <c:pt idx="446">
                  <c:v>1977.74999999221</c:v>
                </c:pt>
                <c:pt idx="447">
                  <c:v>1977.6666666588501</c:v>
                </c:pt>
                <c:pt idx="448">
                  <c:v>1977.58333332549</c:v>
                </c:pt>
                <c:pt idx="449">
                  <c:v>1977.4999999921299</c:v>
                </c:pt>
                <c:pt idx="450">
                  <c:v>1977.4166666587701</c:v>
                </c:pt>
                <c:pt idx="451">
                  <c:v>1977.33333332541</c:v>
                </c:pt>
                <c:pt idx="452">
                  <c:v>1977.2499999920501</c:v>
                </c:pt>
                <c:pt idx="453">
                  <c:v>1977.16666665869</c:v>
                </c:pt>
                <c:pt idx="454">
                  <c:v>1977.0833333253299</c:v>
                </c:pt>
                <c:pt idx="455">
                  <c:v>1976.9999999919701</c:v>
                </c:pt>
                <c:pt idx="456">
                  <c:v>1976.91666665861</c:v>
                </c:pt>
                <c:pt idx="457">
                  <c:v>1976.8333333252499</c:v>
                </c:pt>
                <c:pt idx="458">
                  <c:v>1976.74999999189</c:v>
                </c:pt>
                <c:pt idx="459">
                  <c:v>1976.6666666585299</c:v>
                </c:pt>
                <c:pt idx="460">
                  <c:v>1976.5833333251701</c:v>
                </c:pt>
                <c:pt idx="461">
                  <c:v>1976.49999999181</c:v>
                </c:pt>
                <c:pt idx="462">
                  <c:v>1976.4166666584499</c:v>
                </c:pt>
                <c:pt idx="463">
                  <c:v>1976.3333333250901</c:v>
                </c:pt>
                <c:pt idx="464">
                  <c:v>1976.24999999173</c:v>
                </c:pt>
                <c:pt idx="465">
                  <c:v>1976.1666666583701</c:v>
                </c:pt>
                <c:pt idx="466">
                  <c:v>1976.08333332501</c:v>
                </c:pt>
                <c:pt idx="467">
                  <c:v>1975.9999999916499</c:v>
                </c:pt>
                <c:pt idx="468">
                  <c:v>1975.9166666582901</c:v>
                </c:pt>
                <c:pt idx="469">
                  <c:v>1975.83333332493</c:v>
                </c:pt>
                <c:pt idx="470">
                  <c:v>1975.7499999915699</c:v>
                </c:pt>
                <c:pt idx="471">
                  <c:v>1975.66666665821</c:v>
                </c:pt>
                <c:pt idx="472">
                  <c:v>1975.5833333248499</c:v>
                </c:pt>
                <c:pt idx="473">
                  <c:v>1975.4999999914901</c:v>
                </c:pt>
                <c:pt idx="474">
                  <c:v>1975.41666665813</c:v>
                </c:pt>
                <c:pt idx="475">
                  <c:v>1975.3333333247699</c:v>
                </c:pt>
                <c:pt idx="476">
                  <c:v>1975.24999999141</c:v>
                </c:pt>
                <c:pt idx="477">
                  <c:v>1975.16666665805</c:v>
                </c:pt>
                <c:pt idx="478">
                  <c:v>1975.0833333246901</c:v>
                </c:pt>
                <c:pt idx="479">
                  <c:v>1974.99999999133</c:v>
                </c:pt>
                <c:pt idx="480">
                  <c:v>1974.9166666579699</c:v>
                </c:pt>
                <c:pt idx="481">
                  <c:v>1974.8333333246101</c:v>
                </c:pt>
                <c:pt idx="482">
                  <c:v>1974.74999999125</c:v>
                </c:pt>
                <c:pt idx="483">
                  <c:v>1974.6666666578899</c:v>
                </c:pt>
                <c:pt idx="484">
                  <c:v>1974.58333332453</c:v>
                </c:pt>
                <c:pt idx="485">
                  <c:v>1974.4999999911699</c:v>
                </c:pt>
                <c:pt idx="486">
                  <c:v>1974.4166666578101</c:v>
                </c:pt>
                <c:pt idx="487">
                  <c:v>1974.33333332445</c:v>
                </c:pt>
                <c:pt idx="488">
                  <c:v>1974.2499999910899</c:v>
                </c:pt>
                <c:pt idx="489">
                  <c:v>1974.16666665773</c:v>
                </c:pt>
                <c:pt idx="490">
                  <c:v>1974.08333332437</c:v>
                </c:pt>
                <c:pt idx="491">
                  <c:v>1973.9999999910101</c:v>
                </c:pt>
                <c:pt idx="492">
                  <c:v>1973.91666665765</c:v>
                </c:pt>
                <c:pt idx="493">
                  <c:v>1973.8333333242899</c:v>
                </c:pt>
                <c:pt idx="494">
                  <c:v>1973.7499999909301</c:v>
                </c:pt>
                <c:pt idx="495">
                  <c:v>1973.66666665757</c:v>
                </c:pt>
                <c:pt idx="496">
                  <c:v>1973.5833333242099</c:v>
                </c:pt>
                <c:pt idx="497">
                  <c:v>1973.49999999085</c:v>
                </c:pt>
                <c:pt idx="498">
                  <c:v>1973.4166666574899</c:v>
                </c:pt>
                <c:pt idx="499">
                  <c:v>1973.3333333241301</c:v>
                </c:pt>
                <c:pt idx="500">
                  <c:v>1973.24999999077</c:v>
                </c:pt>
                <c:pt idx="501">
                  <c:v>1973.1666666574099</c:v>
                </c:pt>
                <c:pt idx="502">
                  <c:v>1973.08333332405</c:v>
                </c:pt>
                <c:pt idx="503">
                  <c:v>1972.99999999069</c:v>
                </c:pt>
                <c:pt idx="504">
                  <c:v>1972.9166666573401</c:v>
                </c:pt>
                <c:pt idx="505">
                  <c:v>1972.83333332398</c:v>
                </c:pt>
                <c:pt idx="506">
                  <c:v>1972.7499999906199</c:v>
                </c:pt>
                <c:pt idx="507">
                  <c:v>1972.6666666572601</c:v>
                </c:pt>
                <c:pt idx="508">
                  <c:v>1972.5833333239</c:v>
                </c:pt>
                <c:pt idx="509">
                  <c:v>1972.4999999905399</c:v>
                </c:pt>
                <c:pt idx="510">
                  <c:v>1972.41666665718</c:v>
                </c:pt>
                <c:pt idx="511">
                  <c:v>1972.3333333238199</c:v>
                </c:pt>
                <c:pt idx="512">
                  <c:v>1972.2499999904601</c:v>
                </c:pt>
                <c:pt idx="513">
                  <c:v>1972.1666666571</c:v>
                </c:pt>
                <c:pt idx="514">
                  <c:v>1972.0833333237399</c:v>
                </c:pt>
                <c:pt idx="515">
                  <c:v>1971.99999999038</c:v>
                </c:pt>
              </c:numCache>
            </c:numRef>
          </c:xVal>
          <c:yVal>
            <c:numRef>
              <c:f>Transporte!$O$5:$O$520</c:f>
              <c:numCache>
                <c:formatCode>General</c:formatCode>
                <c:ptCount val="516"/>
                <c:pt idx="0">
                  <c:v>13733</c:v>
                </c:pt>
                <c:pt idx="1">
                  <c:v>12934</c:v>
                </c:pt>
                <c:pt idx="2">
                  <c:v>10429</c:v>
                </c:pt>
                <c:pt idx="3">
                  <c:v>6985</c:v>
                </c:pt>
                <c:pt idx="4">
                  <c:v>4832</c:v>
                </c:pt>
                <c:pt idx="5">
                  <c:v>5803</c:v>
                </c:pt>
                <c:pt idx="6">
                  <c:v>9247</c:v>
                </c:pt>
                <c:pt idx="7">
                  <c:v>9219</c:v>
                </c:pt>
                <c:pt idx="8">
                  <c:v>4464</c:v>
                </c:pt>
                <c:pt idx="9">
                  <c:v>5428</c:v>
                </c:pt>
                <c:pt idx="10">
                  <c:v>3702</c:v>
                </c:pt>
                <c:pt idx="11">
                  <c:v>7869</c:v>
                </c:pt>
                <c:pt idx="24">
                  <c:v>10054</c:v>
                </c:pt>
                <c:pt idx="25">
                  <c:v>11863</c:v>
                </c:pt>
                <c:pt idx="26">
                  <c:v>9083</c:v>
                </c:pt>
                <c:pt idx="27">
                  <c:v>8957</c:v>
                </c:pt>
                <c:pt idx="28">
                  <c:v>8613</c:v>
                </c:pt>
                <c:pt idx="29">
                  <c:v>9084</c:v>
                </c:pt>
                <c:pt idx="30">
                  <c:v>14584</c:v>
                </c:pt>
                <c:pt idx="31">
                  <c:v>16730</c:v>
                </c:pt>
                <c:pt idx="32">
                  <c:v>9180</c:v>
                </c:pt>
                <c:pt idx="33">
                  <c:v>5412</c:v>
                </c:pt>
                <c:pt idx="34">
                  <c:v>9640</c:v>
                </c:pt>
                <c:pt idx="35">
                  <c:v>21327</c:v>
                </c:pt>
                <c:pt idx="36">
                  <c:v>32570</c:v>
                </c:pt>
                <c:pt idx="37">
                  <c:v>23485</c:v>
                </c:pt>
                <c:pt idx="38">
                  <c:v>17415</c:v>
                </c:pt>
                <c:pt idx="39">
                  <c:v>15310</c:v>
                </c:pt>
                <c:pt idx="40">
                  <c:v>19387</c:v>
                </c:pt>
                <c:pt idx="41">
                  <c:v>23579</c:v>
                </c:pt>
                <c:pt idx="42">
                  <c:v>29180</c:v>
                </c:pt>
                <c:pt idx="43">
                  <c:v>26750</c:v>
                </c:pt>
                <c:pt idx="44">
                  <c:v>13049</c:v>
                </c:pt>
                <c:pt idx="45">
                  <c:v>9190</c:v>
                </c:pt>
                <c:pt idx="46">
                  <c:v>8644</c:v>
                </c:pt>
                <c:pt idx="47">
                  <c:v>24530</c:v>
                </c:pt>
                <c:pt idx="48">
                  <c:v>34857</c:v>
                </c:pt>
                <c:pt idx="49">
                  <c:v>32856</c:v>
                </c:pt>
                <c:pt idx="50">
                  <c:v>33804</c:v>
                </c:pt>
                <c:pt idx="51">
                  <c:v>29191</c:v>
                </c:pt>
                <c:pt idx="52">
                  <c:v>29793</c:v>
                </c:pt>
                <c:pt idx="53">
                  <c:v>22569</c:v>
                </c:pt>
                <c:pt idx="54">
                  <c:v>15899</c:v>
                </c:pt>
                <c:pt idx="55">
                  <c:v>10630</c:v>
                </c:pt>
                <c:pt idx="56">
                  <c:v>5225</c:v>
                </c:pt>
                <c:pt idx="57">
                  <c:v>3231</c:v>
                </c:pt>
                <c:pt idx="58">
                  <c:v>2047</c:v>
                </c:pt>
                <c:pt idx="59">
                  <c:v>3620</c:v>
                </c:pt>
                <c:pt idx="60">
                  <c:v>7124</c:v>
                </c:pt>
                <c:pt idx="61">
                  <c:v>10275</c:v>
                </c:pt>
                <c:pt idx="62">
                  <c:v>6802</c:v>
                </c:pt>
                <c:pt idx="63">
                  <c:v>8097</c:v>
                </c:pt>
                <c:pt idx="64">
                  <c:v>8274</c:v>
                </c:pt>
                <c:pt idx="65">
                  <c:v>11240</c:v>
                </c:pt>
                <c:pt idx="66">
                  <c:v>11709</c:v>
                </c:pt>
                <c:pt idx="67">
                  <c:v>12244</c:v>
                </c:pt>
                <c:pt idx="68">
                  <c:v>9875</c:v>
                </c:pt>
                <c:pt idx="69">
                  <c:v>7483</c:v>
                </c:pt>
                <c:pt idx="70">
                  <c:v>8904</c:v>
                </c:pt>
                <c:pt idx="71">
                  <c:v>18391</c:v>
                </c:pt>
                <c:pt idx="72">
                  <c:v>30406</c:v>
                </c:pt>
                <c:pt idx="73">
                  <c:v>26105</c:v>
                </c:pt>
                <c:pt idx="74">
                  <c:v>23173</c:v>
                </c:pt>
                <c:pt idx="75">
                  <c:v>22667</c:v>
                </c:pt>
                <c:pt idx="76">
                  <c:v>22880</c:v>
                </c:pt>
                <c:pt idx="77">
                  <c:v>21718</c:v>
                </c:pt>
                <c:pt idx="78">
                  <c:v>16964</c:v>
                </c:pt>
                <c:pt idx="79">
                  <c:v>11940</c:v>
                </c:pt>
                <c:pt idx="80">
                  <c:v>7302</c:v>
                </c:pt>
                <c:pt idx="81">
                  <c:v>7041</c:v>
                </c:pt>
                <c:pt idx="82">
                  <c:v>6649</c:v>
                </c:pt>
                <c:pt idx="83">
                  <c:v>14942</c:v>
                </c:pt>
                <c:pt idx="84">
                  <c:v>24612</c:v>
                </c:pt>
                <c:pt idx="85">
                  <c:v>25594</c:v>
                </c:pt>
                <c:pt idx="86">
                  <c:v>18750</c:v>
                </c:pt>
                <c:pt idx="87">
                  <c:v>18077</c:v>
                </c:pt>
                <c:pt idx="88">
                  <c:v>15776</c:v>
                </c:pt>
                <c:pt idx="89">
                  <c:v>20584</c:v>
                </c:pt>
                <c:pt idx="90">
                  <c:v>20340</c:v>
                </c:pt>
                <c:pt idx="91">
                  <c:v>13691</c:v>
                </c:pt>
                <c:pt idx="92">
                  <c:v>7312</c:v>
                </c:pt>
                <c:pt idx="93">
                  <c:v>2809</c:v>
                </c:pt>
                <c:pt idx="94">
                  <c:v>3732</c:v>
                </c:pt>
                <c:pt idx="95">
                  <c:v>12575</c:v>
                </c:pt>
                <c:pt idx="96">
                  <c:v>19098</c:v>
                </c:pt>
                <c:pt idx="97">
                  <c:v>14827</c:v>
                </c:pt>
                <c:pt idx="98">
                  <c:v>10805</c:v>
                </c:pt>
                <c:pt idx="99">
                  <c:v>10109</c:v>
                </c:pt>
                <c:pt idx="100">
                  <c:v>10301</c:v>
                </c:pt>
                <c:pt idx="101">
                  <c:v>18071</c:v>
                </c:pt>
                <c:pt idx="102">
                  <c:v>19737</c:v>
                </c:pt>
                <c:pt idx="103">
                  <c:v>14451</c:v>
                </c:pt>
                <c:pt idx="104">
                  <c:v>8536</c:v>
                </c:pt>
                <c:pt idx="105">
                  <c:v>5064</c:v>
                </c:pt>
                <c:pt idx="106">
                  <c:v>6610</c:v>
                </c:pt>
                <c:pt idx="107">
                  <c:v>15637</c:v>
                </c:pt>
                <c:pt idx="110">
                  <c:v>11363</c:v>
                </c:pt>
                <c:pt idx="111">
                  <c:v>8571</c:v>
                </c:pt>
                <c:pt idx="112">
                  <c:v>9587</c:v>
                </c:pt>
                <c:pt idx="115">
                  <c:v>9492</c:v>
                </c:pt>
                <c:pt idx="116">
                  <c:v>5103</c:v>
                </c:pt>
                <c:pt idx="117">
                  <c:v>4210</c:v>
                </c:pt>
                <c:pt idx="118">
                  <c:v>4937</c:v>
                </c:pt>
                <c:pt idx="119">
                  <c:v>10582</c:v>
                </c:pt>
                <c:pt idx="120">
                  <c:v>20571</c:v>
                </c:pt>
                <c:pt idx="121">
                  <c:v>17435</c:v>
                </c:pt>
                <c:pt idx="122">
                  <c:v>12564</c:v>
                </c:pt>
                <c:pt idx="123">
                  <c:v>8509</c:v>
                </c:pt>
                <c:pt idx="124">
                  <c:v>8098</c:v>
                </c:pt>
                <c:pt idx="125">
                  <c:v>8598</c:v>
                </c:pt>
                <c:pt idx="126">
                  <c:v>10993</c:v>
                </c:pt>
                <c:pt idx="127">
                  <c:v>8244</c:v>
                </c:pt>
                <c:pt idx="128">
                  <c:v>3768</c:v>
                </c:pt>
                <c:pt idx="129">
                  <c:v>2799</c:v>
                </c:pt>
                <c:pt idx="130">
                  <c:v>3812</c:v>
                </c:pt>
                <c:pt idx="131">
                  <c:v>13563</c:v>
                </c:pt>
                <c:pt idx="132">
                  <c:v>20657</c:v>
                </c:pt>
                <c:pt idx="133">
                  <c:v>17053</c:v>
                </c:pt>
                <c:pt idx="134">
                  <c:v>12280</c:v>
                </c:pt>
                <c:pt idx="135">
                  <c:v>8210</c:v>
                </c:pt>
                <c:pt idx="136">
                  <c:v>10123</c:v>
                </c:pt>
                <c:pt idx="137">
                  <c:v>11497</c:v>
                </c:pt>
                <c:pt idx="138">
                  <c:v>10185</c:v>
                </c:pt>
                <c:pt idx="139">
                  <c:v>8114</c:v>
                </c:pt>
                <c:pt idx="140">
                  <c:v>4128</c:v>
                </c:pt>
                <c:pt idx="141">
                  <c:v>2472</c:v>
                </c:pt>
                <c:pt idx="142">
                  <c:v>1859</c:v>
                </c:pt>
                <c:pt idx="143">
                  <c:v>3783</c:v>
                </c:pt>
                <c:pt idx="144">
                  <c:v>8688</c:v>
                </c:pt>
                <c:pt idx="145">
                  <c:v>10968</c:v>
                </c:pt>
                <c:pt idx="146">
                  <c:v>6424</c:v>
                </c:pt>
                <c:pt idx="147">
                  <c:v>5310</c:v>
                </c:pt>
                <c:pt idx="148">
                  <c:v>5245</c:v>
                </c:pt>
                <c:pt idx="149">
                  <c:v>9728</c:v>
                </c:pt>
                <c:pt idx="150">
                  <c:v>11108</c:v>
                </c:pt>
                <c:pt idx="151">
                  <c:v>8108</c:v>
                </c:pt>
                <c:pt idx="152">
                  <c:v>5226</c:v>
                </c:pt>
                <c:pt idx="153">
                  <c:v>2779</c:v>
                </c:pt>
                <c:pt idx="154">
                  <c:v>3086</c:v>
                </c:pt>
                <c:pt idx="155">
                  <c:v>9792</c:v>
                </c:pt>
                <c:pt idx="156">
                  <c:v>13872</c:v>
                </c:pt>
                <c:pt idx="157">
                  <c:v>11591</c:v>
                </c:pt>
                <c:pt idx="158">
                  <c:v>8679</c:v>
                </c:pt>
                <c:pt idx="159">
                  <c:v>5349</c:v>
                </c:pt>
                <c:pt idx="160">
                  <c:v>5003</c:v>
                </c:pt>
                <c:pt idx="161">
                  <c:v>6038</c:v>
                </c:pt>
                <c:pt idx="162">
                  <c:v>7683</c:v>
                </c:pt>
                <c:pt idx="163">
                  <c:v>5479</c:v>
                </c:pt>
                <c:pt idx="164">
                  <c:v>3952</c:v>
                </c:pt>
                <c:pt idx="165">
                  <c:v>3362</c:v>
                </c:pt>
                <c:pt idx="166">
                  <c:v>2594</c:v>
                </c:pt>
                <c:pt idx="167">
                  <c:v>6781</c:v>
                </c:pt>
                <c:pt idx="168">
                  <c:v>15503</c:v>
                </c:pt>
                <c:pt idx="169">
                  <c:v>18466</c:v>
                </c:pt>
                <c:pt idx="170">
                  <c:v>18190</c:v>
                </c:pt>
                <c:pt idx="171">
                  <c:v>13526</c:v>
                </c:pt>
                <c:pt idx="172">
                  <c:v>13949</c:v>
                </c:pt>
                <c:pt idx="173">
                  <c:v>16465</c:v>
                </c:pt>
                <c:pt idx="174">
                  <c:v>14474</c:v>
                </c:pt>
                <c:pt idx="175">
                  <c:v>10167</c:v>
                </c:pt>
                <c:pt idx="176">
                  <c:v>7215</c:v>
                </c:pt>
                <c:pt idx="177">
                  <c:v>8152</c:v>
                </c:pt>
                <c:pt idx="178">
                  <c:v>7908</c:v>
                </c:pt>
                <c:pt idx="179">
                  <c:v>19861</c:v>
                </c:pt>
                <c:pt idx="192">
                  <c:v>31579</c:v>
                </c:pt>
                <c:pt idx="193">
                  <c:v>25031</c:v>
                </c:pt>
                <c:pt idx="194">
                  <c:v>22450</c:v>
                </c:pt>
                <c:pt idx="195">
                  <c:v>17885</c:v>
                </c:pt>
                <c:pt idx="196">
                  <c:v>17338</c:v>
                </c:pt>
                <c:pt idx="197">
                  <c:v>19257</c:v>
                </c:pt>
                <c:pt idx="198">
                  <c:v>15554</c:v>
                </c:pt>
                <c:pt idx="199">
                  <c:v>11028</c:v>
                </c:pt>
                <c:pt idx="200">
                  <c:v>4329</c:v>
                </c:pt>
                <c:pt idx="201">
                  <c:v>1626</c:v>
                </c:pt>
                <c:pt idx="202">
                  <c:v>1747</c:v>
                </c:pt>
                <c:pt idx="203">
                  <c:v>1750</c:v>
                </c:pt>
                <c:pt idx="204">
                  <c:v>6312</c:v>
                </c:pt>
                <c:pt idx="205">
                  <c:v>8111</c:v>
                </c:pt>
                <c:pt idx="206">
                  <c:v>6523</c:v>
                </c:pt>
                <c:pt idx="207">
                  <c:v>3348</c:v>
                </c:pt>
                <c:pt idx="208">
                  <c:v>3550</c:v>
                </c:pt>
                <c:pt idx="209">
                  <c:v>6650</c:v>
                </c:pt>
                <c:pt idx="210">
                  <c:v>7390</c:v>
                </c:pt>
                <c:pt idx="211">
                  <c:v>5373</c:v>
                </c:pt>
                <c:pt idx="212">
                  <c:v>3443</c:v>
                </c:pt>
                <c:pt idx="213">
                  <c:v>3501</c:v>
                </c:pt>
                <c:pt idx="214">
                  <c:v>5632</c:v>
                </c:pt>
                <c:pt idx="215">
                  <c:v>8426</c:v>
                </c:pt>
                <c:pt idx="216">
                  <c:v>22990</c:v>
                </c:pt>
                <c:pt idx="217">
                  <c:v>27769</c:v>
                </c:pt>
                <c:pt idx="218">
                  <c:v>25414</c:v>
                </c:pt>
                <c:pt idx="219">
                  <c:v>26320</c:v>
                </c:pt>
                <c:pt idx="220">
                  <c:v>32200</c:v>
                </c:pt>
                <c:pt idx="221">
                  <c:v>31709</c:v>
                </c:pt>
                <c:pt idx="222">
                  <c:v>21393</c:v>
                </c:pt>
                <c:pt idx="223">
                  <c:v>13290</c:v>
                </c:pt>
                <c:pt idx="224">
                  <c:v>10949</c:v>
                </c:pt>
                <c:pt idx="225">
                  <c:v>9054</c:v>
                </c:pt>
                <c:pt idx="226">
                  <c:v>5953</c:v>
                </c:pt>
                <c:pt idx="227">
                  <c:v>12245</c:v>
                </c:pt>
                <c:pt idx="228">
                  <c:v>22700</c:v>
                </c:pt>
                <c:pt idx="229">
                  <c:v>12625</c:v>
                </c:pt>
                <c:pt idx="230">
                  <c:v>21754</c:v>
                </c:pt>
                <c:pt idx="231">
                  <c:v>22612</c:v>
                </c:pt>
                <c:pt idx="232">
                  <c:v>20332</c:v>
                </c:pt>
                <c:pt idx="233">
                  <c:v>15478</c:v>
                </c:pt>
                <c:pt idx="234">
                  <c:v>13104</c:v>
                </c:pt>
                <c:pt idx="235">
                  <c:v>8745</c:v>
                </c:pt>
                <c:pt idx="236">
                  <c:v>3423</c:v>
                </c:pt>
                <c:pt idx="237">
                  <c:v>1767</c:v>
                </c:pt>
                <c:pt idx="238">
                  <c:v>1497</c:v>
                </c:pt>
                <c:pt idx="239">
                  <c:v>7567</c:v>
                </c:pt>
                <c:pt idx="240">
                  <c:v>25821</c:v>
                </c:pt>
                <c:pt idx="241">
                  <c:v>22969</c:v>
                </c:pt>
                <c:pt idx="242">
                  <c:v>16391</c:v>
                </c:pt>
                <c:pt idx="243">
                  <c:v>10837</c:v>
                </c:pt>
                <c:pt idx="244">
                  <c:v>12208</c:v>
                </c:pt>
                <c:pt idx="245">
                  <c:v>18320</c:v>
                </c:pt>
                <c:pt idx="246">
                  <c:v>20773</c:v>
                </c:pt>
                <c:pt idx="247">
                  <c:v>16971</c:v>
                </c:pt>
                <c:pt idx="248">
                  <c:v>10474</c:v>
                </c:pt>
                <c:pt idx="249">
                  <c:v>6830</c:v>
                </c:pt>
                <c:pt idx="250">
                  <c:v>6237</c:v>
                </c:pt>
                <c:pt idx="251">
                  <c:v>17094</c:v>
                </c:pt>
                <c:pt idx="252">
                  <c:v>26148</c:v>
                </c:pt>
                <c:pt idx="253">
                  <c:v>20331</c:v>
                </c:pt>
                <c:pt idx="254">
                  <c:v>17756</c:v>
                </c:pt>
                <c:pt idx="255">
                  <c:v>13251</c:v>
                </c:pt>
                <c:pt idx="256">
                  <c:v>10202</c:v>
                </c:pt>
                <c:pt idx="257">
                  <c:v>15703</c:v>
                </c:pt>
                <c:pt idx="258">
                  <c:v>18468</c:v>
                </c:pt>
                <c:pt idx="259">
                  <c:v>14387</c:v>
                </c:pt>
                <c:pt idx="260">
                  <c:v>6970</c:v>
                </c:pt>
                <c:pt idx="261">
                  <c:v>3348</c:v>
                </c:pt>
                <c:pt idx="262">
                  <c:v>3469</c:v>
                </c:pt>
                <c:pt idx="263">
                  <c:v>6770</c:v>
                </c:pt>
                <c:pt idx="264">
                  <c:v>13090</c:v>
                </c:pt>
                <c:pt idx="265">
                  <c:v>11977</c:v>
                </c:pt>
                <c:pt idx="266">
                  <c:v>12356</c:v>
                </c:pt>
                <c:pt idx="267">
                  <c:v>9242</c:v>
                </c:pt>
                <c:pt idx="268">
                  <c:v>8444</c:v>
                </c:pt>
                <c:pt idx="269">
                  <c:v>6194</c:v>
                </c:pt>
                <c:pt idx="270">
                  <c:v>7588</c:v>
                </c:pt>
                <c:pt idx="271">
                  <c:v>5545</c:v>
                </c:pt>
                <c:pt idx="272">
                  <c:v>2027</c:v>
                </c:pt>
                <c:pt idx="273">
                  <c:v>2122</c:v>
                </c:pt>
                <c:pt idx="274">
                  <c:v>2247</c:v>
                </c:pt>
                <c:pt idx="275">
                  <c:v>5564</c:v>
                </c:pt>
                <c:pt idx="276">
                  <c:v>18596</c:v>
                </c:pt>
                <c:pt idx="277">
                  <c:v>17123</c:v>
                </c:pt>
                <c:pt idx="278">
                  <c:v>15690</c:v>
                </c:pt>
                <c:pt idx="279">
                  <c:v>7373</c:v>
                </c:pt>
                <c:pt idx="280">
                  <c:v>10448</c:v>
                </c:pt>
                <c:pt idx="281">
                  <c:v>11781</c:v>
                </c:pt>
                <c:pt idx="282">
                  <c:v>12770</c:v>
                </c:pt>
                <c:pt idx="283">
                  <c:v>10803</c:v>
                </c:pt>
                <c:pt idx="284">
                  <c:v>5907</c:v>
                </c:pt>
                <c:pt idx="285">
                  <c:v>4498</c:v>
                </c:pt>
                <c:pt idx="286">
                  <c:v>3168</c:v>
                </c:pt>
                <c:pt idx="287">
                  <c:v>13451</c:v>
                </c:pt>
                <c:pt idx="288">
                  <c:v>27156</c:v>
                </c:pt>
                <c:pt idx="289">
                  <c:v>24705</c:v>
                </c:pt>
                <c:pt idx="290">
                  <c:v>16755</c:v>
                </c:pt>
                <c:pt idx="291">
                  <c:v>10931</c:v>
                </c:pt>
                <c:pt idx="292">
                  <c:v>10393</c:v>
                </c:pt>
                <c:pt idx="293">
                  <c:v>13023</c:v>
                </c:pt>
                <c:pt idx="294">
                  <c:v>14917</c:v>
                </c:pt>
                <c:pt idx="295">
                  <c:v>14255</c:v>
                </c:pt>
                <c:pt idx="296">
                  <c:v>6965</c:v>
                </c:pt>
                <c:pt idx="297">
                  <c:v>5647</c:v>
                </c:pt>
                <c:pt idx="298">
                  <c:v>5953</c:v>
                </c:pt>
                <c:pt idx="299">
                  <c:v>11692</c:v>
                </c:pt>
                <c:pt idx="300">
                  <c:v>30546</c:v>
                </c:pt>
                <c:pt idx="301">
                  <c:v>37097</c:v>
                </c:pt>
                <c:pt idx="302">
                  <c:v>29276</c:v>
                </c:pt>
                <c:pt idx="303">
                  <c:v>17615</c:v>
                </c:pt>
                <c:pt idx="304">
                  <c:v>12404</c:v>
                </c:pt>
                <c:pt idx="305">
                  <c:v>13639</c:v>
                </c:pt>
                <c:pt idx="306">
                  <c:v>14416</c:v>
                </c:pt>
                <c:pt idx="307">
                  <c:v>10998</c:v>
                </c:pt>
                <c:pt idx="308">
                  <c:v>8708</c:v>
                </c:pt>
                <c:pt idx="309">
                  <c:v>9785</c:v>
                </c:pt>
                <c:pt idx="310">
                  <c:v>12516</c:v>
                </c:pt>
                <c:pt idx="311">
                  <c:v>35773</c:v>
                </c:pt>
                <c:pt idx="312">
                  <c:v>48474</c:v>
                </c:pt>
                <c:pt idx="313">
                  <c:v>44340</c:v>
                </c:pt>
                <c:pt idx="314">
                  <c:v>43958</c:v>
                </c:pt>
                <c:pt idx="315">
                  <c:v>33975</c:v>
                </c:pt>
                <c:pt idx="316">
                  <c:v>24646</c:v>
                </c:pt>
                <c:pt idx="317">
                  <c:v>19620</c:v>
                </c:pt>
                <c:pt idx="318">
                  <c:v>10445</c:v>
                </c:pt>
                <c:pt idx="319">
                  <c:v>8554</c:v>
                </c:pt>
                <c:pt idx="320">
                  <c:v>5584</c:v>
                </c:pt>
                <c:pt idx="321">
                  <c:v>4462</c:v>
                </c:pt>
                <c:pt idx="322">
                  <c:v>4680</c:v>
                </c:pt>
                <c:pt idx="323">
                  <c:v>11614</c:v>
                </c:pt>
                <c:pt idx="324">
                  <c:v>32778</c:v>
                </c:pt>
                <c:pt idx="325">
                  <c:v>31425</c:v>
                </c:pt>
                <c:pt idx="326">
                  <c:v>21013</c:v>
                </c:pt>
                <c:pt idx="327">
                  <c:v>14837</c:v>
                </c:pt>
                <c:pt idx="328">
                  <c:v>15014</c:v>
                </c:pt>
                <c:pt idx="329">
                  <c:v>9210</c:v>
                </c:pt>
                <c:pt idx="330">
                  <c:v>12357</c:v>
                </c:pt>
                <c:pt idx="331">
                  <c:v>9941</c:v>
                </c:pt>
                <c:pt idx="332">
                  <c:v>4980</c:v>
                </c:pt>
                <c:pt idx="333">
                  <c:v>4374</c:v>
                </c:pt>
                <c:pt idx="334">
                  <c:v>4163</c:v>
                </c:pt>
                <c:pt idx="335">
                  <c:v>6813</c:v>
                </c:pt>
                <c:pt idx="336">
                  <c:v>22384</c:v>
                </c:pt>
                <c:pt idx="337">
                  <c:v>26260</c:v>
                </c:pt>
                <c:pt idx="338">
                  <c:v>17170</c:v>
                </c:pt>
                <c:pt idx="339">
                  <c:v>8871</c:v>
                </c:pt>
                <c:pt idx="340">
                  <c:v>9243</c:v>
                </c:pt>
                <c:pt idx="341">
                  <c:v>18280</c:v>
                </c:pt>
                <c:pt idx="342">
                  <c:v>19769</c:v>
                </c:pt>
                <c:pt idx="343">
                  <c:v>16694</c:v>
                </c:pt>
                <c:pt idx="344">
                  <c:v>10111</c:v>
                </c:pt>
                <c:pt idx="345">
                  <c:v>7676</c:v>
                </c:pt>
                <c:pt idx="346">
                  <c:v>5635</c:v>
                </c:pt>
                <c:pt idx="347">
                  <c:v>10411</c:v>
                </c:pt>
                <c:pt idx="348">
                  <c:v>14668</c:v>
                </c:pt>
                <c:pt idx="349">
                  <c:v>14495</c:v>
                </c:pt>
                <c:pt idx="350">
                  <c:v>13231</c:v>
                </c:pt>
                <c:pt idx="351">
                  <c:v>10361</c:v>
                </c:pt>
                <c:pt idx="352">
                  <c:v>7406</c:v>
                </c:pt>
                <c:pt idx="353">
                  <c:v>5177</c:v>
                </c:pt>
                <c:pt idx="354">
                  <c:v>7408</c:v>
                </c:pt>
                <c:pt idx="355">
                  <c:v>6468</c:v>
                </c:pt>
                <c:pt idx="356">
                  <c:v>3908</c:v>
                </c:pt>
                <c:pt idx="357">
                  <c:v>2685</c:v>
                </c:pt>
                <c:pt idx="358">
                  <c:v>3595</c:v>
                </c:pt>
                <c:pt idx="359">
                  <c:v>11085</c:v>
                </c:pt>
                <c:pt idx="360">
                  <c:v>20986</c:v>
                </c:pt>
                <c:pt idx="361">
                  <c:v>20887</c:v>
                </c:pt>
                <c:pt idx="362">
                  <c:v>18103</c:v>
                </c:pt>
                <c:pt idx="363">
                  <c:v>14932</c:v>
                </c:pt>
                <c:pt idx="364">
                  <c:v>16099</c:v>
                </c:pt>
                <c:pt idx="365">
                  <c:v>16075</c:v>
                </c:pt>
                <c:pt idx="366">
                  <c:v>12971</c:v>
                </c:pt>
                <c:pt idx="367">
                  <c:v>8713</c:v>
                </c:pt>
                <c:pt idx="368">
                  <c:v>4827</c:v>
                </c:pt>
                <c:pt idx="369">
                  <c:v>5673</c:v>
                </c:pt>
                <c:pt idx="370">
                  <c:v>6436</c:v>
                </c:pt>
                <c:pt idx="371">
                  <c:v>9188</c:v>
                </c:pt>
                <c:pt idx="372">
                  <c:v>10014</c:v>
                </c:pt>
                <c:pt idx="373">
                  <c:v>10670</c:v>
                </c:pt>
                <c:pt idx="374">
                  <c:v>9521</c:v>
                </c:pt>
                <c:pt idx="375">
                  <c:v>7864</c:v>
                </c:pt>
                <c:pt idx="376">
                  <c:v>6987</c:v>
                </c:pt>
                <c:pt idx="377">
                  <c:v>7930</c:v>
                </c:pt>
                <c:pt idx="378">
                  <c:v>11051</c:v>
                </c:pt>
                <c:pt idx="379">
                  <c:v>9694</c:v>
                </c:pt>
                <c:pt idx="380">
                  <c:v>4736</c:v>
                </c:pt>
                <c:pt idx="381">
                  <c:v>2325</c:v>
                </c:pt>
                <c:pt idx="382">
                  <c:v>1854</c:v>
                </c:pt>
                <c:pt idx="383">
                  <c:v>4809</c:v>
                </c:pt>
                <c:pt idx="384">
                  <c:v>10222</c:v>
                </c:pt>
                <c:pt idx="385">
                  <c:v>13438</c:v>
                </c:pt>
                <c:pt idx="386">
                  <c:v>10474</c:v>
                </c:pt>
                <c:pt idx="387">
                  <c:v>7095</c:v>
                </c:pt>
                <c:pt idx="388">
                  <c:v>8919</c:v>
                </c:pt>
                <c:pt idx="389">
                  <c:v>14304</c:v>
                </c:pt>
                <c:pt idx="390">
                  <c:v>17063</c:v>
                </c:pt>
                <c:pt idx="391">
                  <c:v>13127</c:v>
                </c:pt>
                <c:pt idx="392">
                  <c:v>7727</c:v>
                </c:pt>
                <c:pt idx="393">
                  <c:v>5829</c:v>
                </c:pt>
                <c:pt idx="394">
                  <c:v>6299</c:v>
                </c:pt>
                <c:pt idx="395">
                  <c:v>11683</c:v>
                </c:pt>
                <c:pt idx="396">
                  <c:v>18756</c:v>
                </c:pt>
                <c:pt idx="397">
                  <c:v>17187</c:v>
                </c:pt>
                <c:pt idx="398">
                  <c:v>15022</c:v>
                </c:pt>
                <c:pt idx="399">
                  <c:v>15424</c:v>
                </c:pt>
                <c:pt idx="400">
                  <c:v>17108</c:v>
                </c:pt>
                <c:pt idx="401">
                  <c:v>23566</c:v>
                </c:pt>
                <c:pt idx="402">
                  <c:v>22747</c:v>
                </c:pt>
                <c:pt idx="403">
                  <c:v>14518</c:v>
                </c:pt>
                <c:pt idx="404">
                  <c:v>5555</c:v>
                </c:pt>
                <c:pt idx="405">
                  <c:v>5562</c:v>
                </c:pt>
                <c:pt idx="406">
                  <c:v>3408</c:v>
                </c:pt>
                <c:pt idx="407">
                  <c:v>8646</c:v>
                </c:pt>
                <c:pt idx="408">
                  <c:v>12460</c:v>
                </c:pt>
                <c:pt idx="409">
                  <c:v>12703</c:v>
                </c:pt>
                <c:pt idx="410">
                  <c:v>11058</c:v>
                </c:pt>
                <c:pt idx="411">
                  <c:v>7279</c:v>
                </c:pt>
                <c:pt idx="412">
                  <c:v>7734</c:v>
                </c:pt>
                <c:pt idx="413">
                  <c:v>7106</c:v>
                </c:pt>
                <c:pt idx="414">
                  <c:v>8147</c:v>
                </c:pt>
                <c:pt idx="415">
                  <c:v>5833</c:v>
                </c:pt>
                <c:pt idx="416">
                  <c:v>3056</c:v>
                </c:pt>
                <c:pt idx="417">
                  <c:v>2900</c:v>
                </c:pt>
                <c:pt idx="418">
                  <c:v>4741</c:v>
                </c:pt>
                <c:pt idx="419">
                  <c:v>10166</c:v>
                </c:pt>
                <c:pt idx="420">
                  <c:v>20599</c:v>
                </c:pt>
                <c:pt idx="421">
                  <c:v>16581</c:v>
                </c:pt>
                <c:pt idx="422">
                  <c:v>13337</c:v>
                </c:pt>
                <c:pt idx="423">
                  <c:v>11027</c:v>
                </c:pt>
                <c:pt idx="424">
                  <c:v>8957</c:v>
                </c:pt>
                <c:pt idx="425">
                  <c:v>12617</c:v>
                </c:pt>
                <c:pt idx="426">
                  <c:v>12284</c:v>
                </c:pt>
                <c:pt idx="427">
                  <c:v>9025</c:v>
                </c:pt>
                <c:pt idx="428">
                  <c:v>4315</c:v>
                </c:pt>
                <c:pt idx="429">
                  <c:v>3143</c:v>
                </c:pt>
                <c:pt idx="430">
                  <c:v>2232</c:v>
                </c:pt>
                <c:pt idx="431">
                  <c:v>6510</c:v>
                </c:pt>
                <c:pt idx="432">
                  <c:v>13372</c:v>
                </c:pt>
                <c:pt idx="433">
                  <c:v>13692</c:v>
                </c:pt>
                <c:pt idx="434">
                  <c:v>10883</c:v>
                </c:pt>
                <c:pt idx="435">
                  <c:v>7999</c:v>
                </c:pt>
                <c:pt idx="436">
                  <c:v>9114</c:v>
                </c:pt>
                <c:pt idx="437">
                  <c:v>12430</c:v>
                </c:pt>
                <c:pt idx="438">
                  <c:v>12694</c:v>
                </c:pt>
                <c:pt idx="439">
                  <c:v>11764</c:v>
                </c:pt>
                <c:pt idx="440">
                  <c:v>6983</c:v>
                </c:pt>
                <c:pt idx="441">
                  <c:v>2316</c:v>
                </c:pt>
                <c:pt idx="442">
                  <c:v>2178</c:v>
                </c:pt>
                <c:pt idx="443">
                  <c:v>5931</c:v>
                </c:pt>
                <c:pt idx="444">
                  <c:v>15051</c:v>
                </c:pt>
                <c:pt idx="445">
                  <c:v>15399</c:v>
                </c:pt>
                <c:pt idx="446">
                  <c:v>11594</c:v>
                </c:pt>
                <c:pt idx="447">
                  <c:v>6601</c:v>
                </c:pt>
                <c:pt idx="448">
                  <c:v>7969</c:v>
                </c:pt>
                <c:pt idx="449">
                  <c:v>7805</c:v>
                </c:pt>
                <c:pt idx="450">
                  <c:v>8395</c:v>
                </c:pt>
                <c:pt idx="451">
                  <c:v>5257</c:v>
                </c:pt>
                <c:pt idx="452">
                  <c:v>2541</c:v>
                </c:pt>
                <c:pt idx="453">
                  <c:v>1452</c:v>
                </c:pt>
                <c:pt idx="454">
                  <c:v>1471</c:v>
                </c:pt>
                <c:pt idx="455">
                  <c:v>2908</c:v>
                </c:pt>
                <c:pt idx="456">
                  <c:v>9052</c:v>
                </c:pt>
                <c:pt idx="457">
                  <c:v>12712</c:v>
                </c:pt>
                <c:pt idx="458">
                  <c:v>9534</c:v>
                </c:pt>
                <c:pt idx="459">
                  <c:v>4779</c:v>
                </c:pt>
                <c:pt idx="460">
                  <c:v>6593</c:v>
                </c:pt>
                <c:pt idx="461">
                  <c:v>9901</c:v>
                </c:pt>
                <c:pt idx="462">
                  <c:v>11249</c:v>
                </c:pt>
                <c:pt idx="463">
                  <c:v>10810</c:v>
                </c:pt>
                <c:pt idx="464">
                  <c:v>7028</c:v>
                </c:pt>
                <c:pt idx="465">
                  <c:v>6282</c:v>
                </c:pt>
                <c:pt idx="466">
                  <c:v>6925</c:v>
                </c:pt>
                <c:pt idx="467">
                  <c:v>16268</c:v>
                </c:pt>
                <c:pt idx="468">
                  <c:v>28250</c:v>
                </c:pt>
                <c:pt idx="469">
                  <c:v>27350</c:v>
                </c:pt>
                <c:pt idx="470">
                  <c:v>21437</c:v>
                </c:pt>
                <c:pt idx="471">
                  <c:v>16201</c:v>
                </c:pt>
                <c:pt idx="472">
                  <c:v>13448</c:v>
                </c:pt>
                <c:pt idx="473">
                  <c:v>12456</c:v>
                </c:pt>
                <c:pt idx="474">
                  <c:v>10248</c:v>
                </c:pt>
                <c:pt idx="475">
                  <c:v>7720</c:v>
                </c:pt>
                <c:pt idx="476">
                  <c:v>4285</c:v>
                </c:pt>
                <c:pt idx="477">
                  <c:v>5439</c:v>
                </c:pt>
                <c:pt idx="478">
                  <c:v>3510</c:v>
                </c:pt>
                <c:pt idx="479">
                  <c:v>9313</c:v>
                </c:pt>
                <c:pt idx="480">
                  <c:v>25114</c:v>
                </c:pt>
                <c:pt idx="481">
                  <c:v>25046</c:v>
                </c:pt>
                <c:pt idx="482">
                  <c:v>16554</c:v>
                </c:pt>
                <c:pt idx="483">
                  <c:v>9388</c:v>
                </c:pt>
                <c:pt idx="484">
                  <c:v>9134</c:v>
                </c:pt>
                <c:pt idx="485">
                  <c:v>9567</c:v>
                </c:pt>
                <c:pt idx="486">
                  <c:v>10574</c:v>
                </c:pt>
                <c:pt idx="487">
                  <c:v>10353</c:v>
                </c:pt>
                <c:pt idx="488">
                  <c:v>7395</c:v>
                </c:pt>
                <c:pt idx="489">
                  <c:v>8075</c:v>
                </c:pt>
                <c:pt idx="490">
                  <c:v>8708</c:v>
                </c:pt>
                <c:pt idx="491">
                  <c:v>16332</c:v>
                </c:pt>
                <c:pt idx="492">
                  <c:v>21496</c:v>
                </c:pt>
                <c:pt idx="493">
                  <c:v>20016</c:v>
                </c:pt>
                <c:pt idx="494">
                  <c:v>18298</c:v>
                </c:pt>
                <c:pt idx="495">
                  <c:v>12900</c:v>
                </c:pt>
                <c:pt idx="496">
                  <c:v>9879</c:v>
                </c:pt>
                <c:pt idx="497">
                  <c:v>8250</c:v>
                </c:pt>
                <c:pt idx="498">
                  <c:v>6141</c:v>
                </c:pt>
                <c:pt idx="499">
                  <c:v>4871</c:v>
                </c:pt>
                <c:pt idx="500">
                  <c:v>2567</c:v>
                </c:pt>
                <c:pt idx="501">
                  <c:v>1846</c:v>
                </c:pt>
                <c:pt idx="502">
                  <c:v>1802</c:v>
                </c:pt>
                <c:pt idx="503">
                  <c:v>4356</c:v>
                </c:pt>
                <c:pt idx="504">
                  <c:v>10156</c:v>
                </c:pt>
                <c:pt idx="505">
                  <c:v>10729</c:v>
                </c:pt>
                <c:pt idx="506">
                  <c:v>9184</c:v>
                </c:pt>
                <c:pt idx="507">
                  <c:v>8061</c:v>
                </c:pt>
                <c:pt idx="508">
                  <c:v>8281</c:v>
                </c:pt>
                <c:pt idx="509">
                  <c:v>14206</c:v>
                </c:pt>
                <c:pt idx="510">
                  <c:v>14463</c:v>
                </c:pt>
                <c:pt idx="511">
                  <c:v>10971</c:v>
                </c:pt>
                <c:pt idx="512">
                  <c:v>6112</c:v>
                </c:pt>
                <c:pt idx="513">
                  <c:v>4586</c:v>
                </c:pt>
                <c:pt idx="514">
                  <c:v>6683</c:v>
                </c:pt>
                <c:pt idx="515">
                  <c:v>9515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BC-41B7-B3A0-35F3C489E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008400"/>
        <c:axId val="1528762736"/>
      </c:scatterChart>
      <c:scatterChart>
        <c:scatterStyle val="smoothMarker"/>
        <c:varyColors val="0"/>
        <c:ser>
          <c:idx val="0"/>
          <c:order val="1"/>
          <c:tx>
            <c:v>Caudal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[1]Caudales!$C$8:$C$715</c:f>
              <c:numCache>
                <c:formatCode>General</c:formatCode>
                <c:ptCount val="708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</c:numCache>
            </c:numRef>
          </c:xVal>
          <c:yVal>
            <c:numRef>
              <c:f>[1]Caudales!$F$8:$F$715</c:f>
              <c:numCache>
                <c:formatCode>General</c:formatCode>
                <c:ptCount val="708"/>
                <c:pt idx="0">
                  <c:v>4444</c:v>
                </c:pt>
                <c:pt idx="1">
                  <c:v>5803</c:v>
                </c:pt>
                <c:pt idx="2">
                  <c:v>4343</c:v>
                </c:pt>
                <c:pt idx="3">
                  <c:v>4394</c:v>
                </c:pt>
                <c:pt idx="4">
                  <c:v>4127</c:v>
                </c:pt>
                <c:pt idx="5">
                  <c:v>4341</c:v>
                </c:pt>
                <c:pt idx="6">
                  <c:v>5904</c:v>
                </c:pt>
                <c:pt idx="7">
                  <c:v>5097</c:v>
                </c:pt>
                <c:pt idx="8">
                  <c:v>4877</c:v>
                </c:pt>
                <c:pt idx="9">
                  <c:v>3399</c:v>
                </c:pt>
                <c:pt idx="10">
                  <c:v>3990</c:v>
                </c:pt>
                <c:pt idx="11">
                  <c:v>4582</c:v>
                </c:pt>
                <c:pt idx="12">
                  <c:v>8477</c:v>
                </c:pt>
                <c:pt idx="13">
                  <c:v>8321</c:v>
                </c:pt>
                <c:pt idx="14">
                  <c:v>7039</c:v>
                </c:pt>
                <c:pt idx="15">
                  <c:v>5495</c:v>
                </c:pt>
                <c:pt idx="16">
                  <c:v>4197</c:v>
                </c:pt>
                <c:pt idx="17">
                  <c:v>4744</c:v>
                </c:pt>
                <c:pt idx="18">
                  <c:v>6647</c:v>
                </c:pt>
                <c:pt idx="19">
                  <c:v>6475</c:v>
                </c:pt>
                <c:pt idx="20">
                  <c:v>4075</c:v>
                </c:pt>
                <c:pt idx="21">
                  <c:v>4551</c:v>
                </c:pt>
                <c:pt idx="22">
                  <c:v>3771</c:v>
                </c:pt>
                <c:pt idx="23">
                  <c:v>5797</c:v>
                </c:pt>
                <c:pt idx="24">
                  <c:v>8407</c:v>
                </c:pt>
                <c:pt idx="25">
                  <c:v>8535</c:v>
                </c:pt>
                <c:pt idx="26">
                  <c:v>7850</c:v>
                </c:pt>
                <c:pt idx="27">
                  <c:v>7369</c:v>
                </c:pt>
                <c:pt idx="28">
                  <c:v>5564</c:v>
                </c:pt>
                <c:pt idx="29">
                  <c:v>6649</c:v>
                </c:pt>
                <c:pt idx="30">
                  <c:v>8229</c:v>
                </c:pt>
                <c:pt idx="31">
                  <c:v>6259</c:v>
                </c:pt>
                <c:pt idx="32">
                  <c:v>4229</c:v>
                </c:pt>
                <c:pt idx="33">
                  <c:v>3792</c:v>
                </c:pt>
                <c:pt idx="34">
                  <c:v>3205</c:v>
                </c:pt>
                <c:pt idx="35">
                  <c:v>3669</c:v>
                </c:pt>
                <c:pt idx="36">
                  <c:v>6855</c:v>
                </c:pt>
                <c:pt idx="37">
                  <c:v>7858</c:v>
                </c:pt>
                <c:pt idx="38">
                  <c:v>6414</c:v>
                </c:pt>
                <c:pt idx="39">
                  <c:v>6502</c:v>
                </c:pt>
                <c:pt idx="40">
                  <c:v>6193</c:v>
                </c:pt>
                <c:pt idx="41">
                  <c:v>6418</c:v>
                </c:pt>
                <c:pt idx="42">
                  <c:v>9001</c:v>
                </c:pt>
                <c:pt idx="43">
                  <c:v>9668</c:v>
                </c:pt>
                <c:pt idx="44">
                  <c:v>6585</c:v>
                </c:pt>
                <c:pt idx="45">
                  <c:v>4540</c:v>
                </c:pt>
                <c:pt idx="46">
                  <c:v>6968</c:v>
                </c:pt>
                <c:pt idx="47">
                  <c:v>11336</c:v>
                </c:pt>
                <c:pt idx="48">
                  <c:v>13395</c:v>
                </c:pt>
                <c:pt idx="49">
                  <c:v>11402</c:v>
                </c:pt>
                <c:pt idx="50">
                  <c:v>9565</c:v>
                </c:pt>
                <c:pt idx="51">
                  <c:v>9130</c:v>
                </c:pt>
                <c:pt idx="52">
                  <c:v>10126</c:v>
                </c:pt>
                <c:pt idx="53">
                  <c:v>11226</c:v>
                </c:pt>
                <c:pt idx="54">
                  <c:v>12827</c:v>
                </c:pt>
                <c:pt idx="55">
                  <c:v>11996</c:v>
                </c:pt>
                <c:pt idx="56">
                  <c:v>8274</c:v>
                </c:pt>
                <c:pt idx="57">
                  <c:v>6595</c:v>
                </c:pt>
                <c:pt idx="58">
                  <c:v>6721</c:v>
                </c:pt>
                <c:pt idx="59">
                  <c:v>11430</c:v>
                </c:pt>
                <c:pt idx="60">
                  <c:v>13942</c:v>
                </c:pt>
                <c:pt idx="61">
                  <c:v>13717</c:v>
                </c:pt>
                <c:pt idx="62">
                  <c:v>13685</c:v>
                </c:pt>
                <c:pt idx="63">
                  <c:v>12839</c:v>
                </c:pt>
                <c:pt idx="64">
                  <c:v>12741</c:v>
                </c:pt>
                <c:pt idx="65">
                  <c:v>10972</c:v>
                </c:pt>
                <c:pt idx="66">
                  <c:v>9275</c:v>
                </c:pt>
                <c:pt idx="67">
                  <c:v>7182</c:v>
                </c:pt>
                <c:pt idx="68">
                  <c:v>4545</c:v>
                </c:pt>
                <c:pt idx="69">
                  <c:v>3222</c:v>
                </c:pt>
                <c:pt idx="70">
                  <c:v>2579</c:v>
                </c:pt>
                <c:pt idx="71">
                  <c:v>3447</c:v>
                </c:pt>
                <c:pt idx="72">
                  <c:v>6163</c:v>
                </c:pt>
                <c:pt idx="73">
                  <c:v>7123</c:v>
                </c:pt>
                <c:pt idx="74">
                  <c:v>5289</c:v>
                </c:pt>
                <c:pt idx="75">
                  <c:v>6082</c:v>
                </c:pt>
                <c:pt idx="76">
                  <c:v>6035</c:v>
                </c:pt>
                <c:pt idx="77">
                  <c:v>7401</c:v>
                </c:pt>
                <c:pt idx="78">
                  <c:v>7787</c:v>
                </c:pt>
                <c:pt idx="79">
                  <c:v>7850</c:v>
                </c:pt>
                <c:pt idx="80">
                  <c:v>6948</c:v>
                </c:pt>
                <c:pt idx="81">
                  <c:v>5643</c:v>
                </c:pt>
                <c:pt idx="82">
                  <c:v>6777</c:v>
                </c:pt>
                <c:pt idx="83">
                  <c:v>10257</c:v>
                </c:pt>
                <c:pt idx="84">
                  <c:v>14438</c:v>
                </c:pt>
                <c:pt idx="85">
                  <c:v>13323</c:v>
                </c:pt>
                <c:pt idx="86">
                  <c:v>12038</c:v>
                </c:pt>
                <c:pt idx="87">
                  <c:v>12125</c:v>
                </c:pt>
                <c:pt idx="88">
                  <c:v>11936</c:v>
                </c:pt>
                <c:pt idx="89">
                  <c:v>11525</c:v>
                </c:pt>
                <c:pt idx="90">
                  <c:v>9974</c:v>
                </c:pt>
                <c:pt idx="91">
                  <c:v>7711</c:v>
                </c:pt>
                <c:pt idx="92">
                  <c:v>5673</c:v>
                </c:pt>
                <c:pt idx="93">
                  <c:v>5420</c:v>
                </c:pt>
                <c:pt idx="94">
                  <c:v>5442</c:v>
                </c:pt>
                <c:pt idx="95">
                  <c:v>8936</c:v>
                </c:pt>
                <c:pt idx="96">
                  <c:v>12511</c:v>
                </c:pt>
                <c:pt idx="97">
                  <c:v>13131</c:v>
                </c:pt>
                <c:pt idx="98">
                  <c:v>10444</c:v>
                </c:pt>
                <c:pt idx="99">
                  <c:v>10419</c:v>
                </c:pt>
                <c:pt idx="100">
                  <c:v>9304</c:v>
                </c:pt>
                <c:pt idx="101">
                  <c:v>11100</c:v>
                </c:pt>
                <c:pt idx="102">
                  <c:v>11263</c:v>
                </c:pt>
                <c:pt idx="103">
                  <c:v>8442</c:v>
                </c:pt>
                <c:pt idx="104">
                  <c:v>5658</c:v>
                </c:pt>
                <c:pt idx="105">
                  <c:v>2916</c:v>
                </c:pt>
                <c:pt idx="106">
                  <c:v>3754</c:v>
                </c:pt>
                <c:pt idx="107">
                  <c:v>7909</c:v>
                </c:pt>
                <c:pt idx="108">
                  <c:v>10575</c:v>
                </c:pt>
                <c:pt idx="109">
                  <c:v>9114</c:v>
                </c:pt>
                <c:pt idx="110">
                  <c:v>7218</c:v>
                </c:pt>
                <c:pt idx="111">
                  <c:v>7058</c:v>
                </c:pt>
                <c:pt idx="112">
                  <c:v>6984</c:v>
                </c:pt>
                <c:pt idx="113">
                  <c:v>10159</c:v>
                </c:pt>
                <c:pt idx="114">
                  <c:v>11047</c:v>
                </c:pt>
                <c:pt idx="115">
                  <c:v>8757</c:v>
                </c:pt>
                <c:pt idx="116">
                  <c:v>6292</c:v>
                </c:pt>
                <c:pt idx="117">
                  <c:v>4329</c:v>
                </c:pt>
                <c:pt idx="118">
                  <c:v>5532</c:v>
                </c:pt>
                <c:pt idx="119">
                  <c:v>9204</c:v>
                </c:pt>
                <c:pt idx="120">
                  <c:v>12700</c:v>
                </c:pt>
                <c:pt idx="121">
                  <c:v>10060</c:v>
                </c:pt>
                <c:pt idx="122">
                  <c:v>7510</c:v>
                </c:pt>
                <c:pt idx="123">
                  <c:v>6318</c:v>
                </c:pt>
                <c:pt idx="124">
                  <c:v>6664</c:v>
                </c:pt>
                <c:pt idx="125">
                  <c:v>8273</c:v>
                </c:pt>
                <c:pt idx="126">
                  <c:v>8434</c:v>
                </c:pt>
                <c:pt idx="127">
                  <c:v>6630</c:v>
                </c:pt>
                <c:pt idx="128">
                  <c:v>4448</c:v>
                </c:pt>
                <c:pt idx="129">
                  <c:v>3838</c:v>
                </c:pt>
                <c:pt idx="130">
                  <c:v>4568</c:v>
                </c:pt>
                <c:pt idx="131">
                  <c:v>7079</c:v>
                </c:pt>
                <c:pt idx="132">
                  <c:v>11106</c:v>
                </c:pt>
                <c:pt idx="133">
                  <c:v>10161</c:v>
                </c:pt>
                <c:pt idx="134">
                  <c:v>8047</c:v>
                </c:pt>
                <c:pt idx="135">
                  <c:v>6271</c:v>
                </c:pt>
                <c:pt idx="136">
                  <c:v>5941</c:v>
                </c:pt>
                <c:pt idx="137">
                  <c:v>6195</c:v>
                </c:pt>
                <c:pt idx="138">
                  <c:v>7558</c:v>
                </c:pt>
                <c:pt idx="139">
                  <c:v>6011</c:v>
                </c:pt>
                <c:pt idx="140">
                  <c:v>3609</c:v>
                </c:pt>
                <c:pt idx="141">
                  <c:v>2916</c:v>
                </c:pt>
                <c:pt idx="142">
                  <c:v>3724</c:v>
                </c:pt>
                <c:pt idx="143">
                  <c:v>8355</c:v>
                </c:pt>
                <c:pt idx="144">
                  <c:v>11146</c:v>
                </c:pt>
                <c:pt idx="145">
                  <c:v>10016</c:v>
                </c:pt>
                <c:pt idx="146">
                  <c:v>7897</c:v>
                </c:pt>
                <c:pt idx="147">
                  <c:v>6140</c:v>
                </c:pt>
                <c:pt idx="148">
                  <c:v>6910</c:v>
                </c:pt>
                <c:pt idx="149">
                  <c:v>7712</c:v>
                </c:pt>
                <c:pt idx="150">
                  <c:v>7152</c:v>
                </c:pt>
                <c:pt idx="151">
                  <c:v>5959</c:v>
                </c:pt>
                <c:pt idx="152">
                  <c:v>3815</c:v>
                </c:pt>
                <c:pt idx="153">
                  <c:v>2684</c:v>
                </c:pt>
                <c:pt idx="154">
                  <c:v>2566</c:v>
                </c:pt>
                <c:pt idx="155">
                  <c:v>3527</c:v>
                </c:pt>
                <c:pt idx="156">
                  <c:v>6225</c:v>
                </c:pt>
                <c:pt idx="157">
                  <c:v>7592</c:v>
                </c:pt>
                <c:pt idx="158">
                  <c:v>5094</c:v>
                </c:pt>
                <c:pt idx="159">
                  <c:v>4585</c:v>
                </c:pt>
                <c:pt idx="160">
                  <c:v>4440</c:v>
                </c:pt>
                <c:pt idx="161">
                  <c:v>6751</c:v>
                </c:pt>
                <c:pt idx="162">
                  <c:v>7583</c:v>
                </c:pt>
                <c:pt idx="163">
                  <c:v>5955</c:v>
                </c:pt>
                <c:pt idx="164">
                  <c:v>4518</c:v>
                </c:pt>
                <c:pt idx="165">
                  <c:v>2893</c:v>
                </c:pt>
                <c:pt idx="166">
                  <c:v>3326</c:v>
                </c:pt>
                <c:pt idx="167">
                  <c:v>6717</c:v>
                </c:pt>
                <c:pt idx="168">
                  <c:v>8537</c:v>
                </c:pt>
                <c:pt idx="169">
                  <c:v>7734</c:v>
                </c:pt>
                <c:pt idx="170">
                  <c:v>6229</c:v>
                </c:pt>
                <c:pt idx="171">
                  <c:v>4589</c:v>
                </c:pt>
                <c:pt idx="172">
                  <c:v>4293</c:v>
                </c:pt>
                <c:pt idx="173">
                  <c:v>4890</c:v>
                </c:pt>
                <c:pt idx="174">
                  <c:v>5872</c:v>
                </c:pt>
                <c:pt idx="175">
                  <c:v>4556</c:v>
                </c:pt>
                <c:pt idx="176">
                  <c:v>3761</c:v>
                </c:pt>
                <c:pt idx="177">
                  <c:v>3288</c:v>
                </c:pt>
                <c:pt idx="178">
                  <c:v>2960</c:v>
                </c:pt>
                <c:pt idx="179">
                  <c:v>5239</c:v>
                </c:pt>
                <c:pt idx="180">
                  <c:v>9162</c:v>
                </c:pt>
                <c:pt idx="181">
                  <c:v>10570</c:v>
                </c:pt>
                <c:pt idx="182">
                  <c:v>10234</c:v>
                </c:pt>
                <c:pt idx="183">
                  <c:v>8572</c:v>
                </c:pt>
                <c:pt idx="184">
                  <c:v>8562</c:v>
                </c:pt>
                <c:pt idx="185">
                  <c:v>9573</c:v>
                </c:pt>
                <c:pt idx="186">
                  <c:v>8971</c:v>
                </c:pt>
                <c:pt idx="187">
                  <c:v>6923</c:v>
                </c:pt>
                <c:pt idx="188">
                  <c:v>5630</c:v>
                </c:pt>
                <c:pt idx="189">
                  <c:v>5976</c:v>
                </c:pt>
                <c:pt idx="190">
                  <c:v>6093</c:v>
                </c:pt>
                <c:pt idx="191">
                  <c:v>10812</c:v>
                </c:pt>
                <c:pt idx="192">
                  <c:v>13023</c:v>
                </c:pt>
                <c:pt idx="193">
                  <c:v>13378</c:v>
                </c:pt>
                <c:pt idx="194">
                  <c:v>11434</c:v>
                </c:pt>
                <c:pt idx="195">
                  <c:v>9594</c:v>
                </c:pt>
                <c:pt idx="196">
                  <c:v>9733</c:v>
                </c:pt>
                <c:pt idx="197">
                  <c:v>10986</c:v>
                </c:pt>
                <c:pt idx="198">
                  <c:v>10328</c:v>
                </c:pt>
                <c:pt idx="199">
                  <c:v>9334</c:v>
                </c:pt>
                <c:pt idx="200">
                  <c:v>8431</c:v>
                </c:pt>
                <c:pt idx="201">
                  <c:v>8077</c:v>
                </c:pt>
                <c:pt idx="202">
                  <c:v>7315</c:v>
                </c:pt>
                <c:pt idx="203">
                  <c:v>9849</c:v>
                </c:pt>
                <c:pt idx="204">
                  <c:v>11020</c:v>
                </c:pt>
                <c:pt idx="205">
                  <c:v>9981</c:v>
                </c:pt>
                <c:pt idx="206">
                  <c:v>9307</c:v>
                </c:pt>
                <c:pt idx="207">
                  <c:v>8481</c:v>
                </c:pt>
                <c:pt idx="208">
                  <c:v>8307</c:v>
                </c:pt>
                <c:pt idx="209">
                  <c:v>8634</c:v>
                </c:pt>
                <c:pt idx="210">
                  <c:v>8008</c:v>
                </c:pt>
                <c:pt idx="211">
                  <c:v>6514</c:v>
                </c:pt>
                <c:pt idx="212">
                  <c:v>4127</c:v>
                </c:pt>
                <c:pt idx="213">
                  <c:v>2533</c:v>
                </c:pt>
                <c:pt idx="214">
                  <c:v>2746</c:v>
                </c:pt>
                <c:pt idx="215">
                  <c:v>2626</c:v>
                </c:pt>
                <c:pt idx="216">
                  <c:v>4819</c:v>
                </c:pt>
                <c:pt idx="217">
                  <c:v>5662</c:v>
                </c:pt>
                <c:pt idx="218">
                  <c:v>5039</c:v>
                </c:pt>
                <c:pt idx="219">
                  <c:v>3661</c:v>
                </c:pt>
                <c:pt idx="220">
                  <c:v>3728</c:v>
                </c:pt>
                <c:pt idx="221">
                  <c:v>5066</c:v>
                </c:pt>
                <c:pt idx="222">
                  <c:v>5438</c:v>
                </c:pt>
                <c:pt idx="223">
                  <c:v>4582</c:v>
                </c:pt>
                <c:pt idx="224">
                  <c:v>3704</c:v>
                </c:pt>
                <c:pt idx="225">
                  <c:v>3689</c:v>
                </c:pt>
                <c:pt idx="226">
                  <c:v>4934</c:v>
                </c:pt>
                <c:pt idx="227">
                  <c:v>5692</c:v>
                </c:pt>
                <c:pt idx="228">
                  <c:v>9402</c:v>
                </c:pt>
                <c:pt idx="229">
                  <c:v>10511</c:v>
                </c:pt>
                <c:pt idx="230">
                  <c:v>9896</c:v>
                </c:pt>
                <c:pt idx="231">
                  <c:v>10234</c:v>
                </c:pt>
                <c:pt idx="232">
                  <c:v>11122</c:v>
                </c:pt>
                <c:pt idx="233">
                  <c:v>11029</c:v>
                </c:pt>
                <c:pt idx="234">
                  <c:v>9225</c:v>
                </c:pt>
                <c:pt idx="235">
                  <c:v>7209</c:v>
                </c:pt>
                <c:pt idx="236">
                  <c:v>6627</c:v>
                </c:pt>
                <c:pt idx="237">
                  <c:v>5883</c:v>
                </c:pt>
                <c:pt idx="238">
                  <c:v>4982</c:v>
                </c:pt>
                <c:pt idx="239">
                  <c:v>6822</c:v>
                </c:pt>
                <c:pt idx="240">
                  <c:v>9349</c:v>
                </c:pt>
                <c:pt idx="241">
                  <c:v>10028</c:v>
                </c:pt>
                <c:pt idx="242">
                  <c:v>9163</c:v>
                </c:pt>
                <c:pt idx="243">
                  <c:v>9493</c:v>
                </c:pt>
                <c:pt idx="244">
                  <c:v>8850</c:v>
                </c:pt>
                <c:pt idx="245">
                  <c:v>7742</c:v>
                </c:pt>
                <c:pt idx="246">
                  <c:v>7234</c:v>
                </c:pt>
                <c:pt idx="247">
                  <c:v>5822</c:v>
                </c:pt>
                <c:pt idx="248">
                  <c:v>3689</c:v>
                </c:pt>
                <c:pt idx="249">
                  <c:v>2623</c:v>
                </c:pt>
                <c:pt idx="250">
                  <c:v>2534</c:v>
                </c:pt>
                <c:pt idx="251">
                  <c:v>5247</c:v>
                </c:pt>
                <c:pt idx="252">
                  <c:v>9946</c:v>
                </c:pt>
                <c:pt idx="253">
                  <c:v>9541</c:v>
                </c:pt>
                <c:pt idx="254">
                  <c:v>7921</c:v>
                </c:pt>
                <c:pt idx="255">
                  <c:v>6575</c:v>
                </c:pt>
                <c:pt idx="256">
                  <c:v>6866</c:v>
                </c:pt>
                <c:pt idx="257">
                  <c:v>8376</c:v>
                </c:pt>
                <c:pt idx="258">
                  <c:v>9082</c:v>
                </c:pt>
                <c:pt idx="259">
                  <c:v>8074</c:v>
                </c:pt>
                <c:pt idx="260">
                  <c:v>6451</c:v>
                </c:pt>
                <c:pt idx="261">
                  <c:v>5146</c:v>
                </c:pt>
                <c:pt idx="262">
                  <c:v>5154</c:v>
                </c:pt>
                <c:pt idx="263">
                  <c:v>8045</c:v>
                </c:pt>
                <c:pt idx="264">
                  <c:v>10012</c:v>
                </c:pt>
                <c:pt idx="265">
                  <c:v>8982</c:v>
                </c:pt>
                <c:pt idx="266">
                  <c:v>8268</c:v>
                </c:pt>
                <c:pt idx="267">
                  <c:v>7237</c:v>
                </c:pt>
                <c:pt idx="268">
                  <c:v>6275</c:v>
                </c:pt>
                <c:pt idx="269">
                  <c:v>7770</c:v>
                </c:pt>
                <c:pt idx="270">
                  <c:v>8567</c:v>
                </c:pt>
                <c:pt idx="271">
                  <c:v>7418</c:v>
                </c:pt>
                <c:pt idx="272">
                  <c:v>5266</c:v>
                </c:pt>
                <c:pt idx="273">
                  <c:v>3587</c:v>
                </c:pt>
                <c:pt idx="274">
                  <c:v>3850</c:v>
                </c:pt>
                <c:pt idx="275">
                  <c:v>5111</c:v>
                </c:pt>
                <c:pt idx="276">
                  <c:v>7096</c:v>
                </c:pt>
                <c:pt idx="277">
                  <c:v>6914</c:v>
                </c:pt>
                <c:pt idx="278">
                  <c:v>6908</c:v>
                </c:pt>
                <c:pt idx="279">
                  <c:v>6075</c:v>
                </c:pt>
                <c:pt idx="280">
                  <c:v>5718</c:v>
                </c:pt>
                <c:pt idx="281">
                  <c:v>4899</c:v>
                </c:pt>
                <c:pt idx="282">
                  <c:v>5507</c:v>
                </c:pt>
                <c:pt idx="283">
                  <c:v>4617</c:v>
                </c:pt>
                <c:pt idx="284">
                  <c:v>2844</c:v>
                </c:pt>
                <c:pt idx="285">
                  <c:v>2884</c:v>
                </c:pt>
                <c:pt idx="286">
                  <c:v>3068</c:v>
                </c:pt>
                <c:pt idx="287">
                  <c:v>4552</c:v>
                </c:pt>
                <c:pt idx="288">
                  <c:v>8438</c:v>
                </c:pt>
                <c:pt idx="289">
                  <c:v>8240</c:v>
                </c:pt>
                <c:pt idx="290">
                  <c:v>7768</c:v>
                </c:pt>
                <c:pt idx="291">
                  <c:v>5396</c:v>
                </c:pt>
                <c:pt idx="292">
                  <c:v>6347</c:v>
                </c:pt>
                <c:pt idx="293">
                  <c:v>6740</c:v>
                </c:pt>
                <c:pt idx="294">
                  <c:v>7130</c:v>
                </c:pt>
                <c:pt idx="295">
                  <c:v>6418</c:v>
                </c:pt>
                <c:pt idx="296">
                  <c:v>4843</c:v>
                </c:pt>
                <c:pt idx="297">
                  <c:v>4155</c:v>
                </c:pt>
                <c:pt idx="298">
                  <c:v>3696</c:v>
                </c:pt>
                <c:pt idx="299">
                  <c:v>7050</c:v>
                </c:pt>
                <c:pt idx="300">
                  <c:v>10194</c:v>
                </c:pt>
                <c:pt idx="301">
                  <c:v>9891</c:v>
                </c:pt>
                <c:pt idx="302">
                  <c:v>7998</c:v>
                </c:pt>
                <c:pt idx="303">
                  <c:v>6606</c:v>
                </c:pt>
                <c:pt idx="304">
                  <c:v>6335</c:v>
                </c:pt>
                <c:pt idx="305">
                  <c:v>7090</c:v>
                </c:pt>
                <c:pt idx="306">
                  <c:v>7707</c:v>
                </c:pt>
                <c:pt idx="307">
                  <c:v>7401</c:v>
                </c:pt>
                <c:pt idx="308">
                  <c:v>5276</c:v>
                </c:pt>
                <c:pt idx="309">
                  <c:v>4684</c:v>
                </c:pt>
                <c:pt idx="310">
                  <c:v>5057</c:v>
                </c:pt>
                <c:pt idx="311">
                  <c:v>6673</c:v>
                </c:pt>
                <c:pt idx="312">
                  <c:v>10709</c:v>
                </c:pt>
                <c:pt idx="313">
                  <c:v>12046</c:v>
                </c:pt>
                <c:pt idx="314">
                  <c:v>10531</c:v>
                </c:pt>
                <c:pt idx="315">
                  <c:v>8298</c:v>
                </c:pt>
                <c:pt idx="316">
                  <c:v>6889</c:v>
                </c:pt>
                <c:pt idx="317">
                  <c:v>7218</c:v>
                </c:pt>
                <c:pt idx="318">
                  <c:v>7546</c:v>
                </c:pt>
                <c:pt idx="319">
                  <c:v>6464</c:v>
                </c:pt>
                <c:pt idx="320">
                  <c:v>5862</c:v>
                </c:pt>
                <c:pt idx="321">
                  <c:v>6120</c:v>
                </c:pt>
                <c:pt idx="322">
                  <c:v>7224</c:v>
                </c:pt>
                <c:pt idx="323">
                  <c:v>11564</c:v>
                </c:pt>
                <c:pt idx="324">
                  <c:v>13531</c:v>
                </c:pt>
                <c:pt idx="325">
                  <c:v>13160</c:v>
                </c:pt>
                <c:pt idx="326">
                  <c:v>12893</c:v>
                </c:pt>
                <c:pt idx="327">
                  <c:v>11519</c:v>
                </c:pt>
                <c:pt idx="328">
                  <c:v>9669</c:v>
                </c:pt>
                <c:pt idx="329">
                  <c:v>8636</c:v>
                </c:pt>
                <c:pt idx="330">
                  <c:v>6416</c:v>
                </c:pt>
                <c:pt idx="331">
                  <c:v>5725</c:v>
                </c:pt>
                <c:pt idx="332">
                  <c:v>4695</c:v>
                </c:pt>
                <c:pt idx="333">
                  <c:v>4152</c:v>
                </c:pt>
                <c:pt idx="334">
                  <c:v>4394</c:v>
                </c:pt>
                <c:pt idx="335">
                  <c:v>6517</c:v>
                </c:pt>
                <c:pt idx="336">
                  <c:v>11132</c:v>
                </c:pt>
                <c:pt idx="337">
                  <c:v>11086</c:v>
                </c:pt>
                <c:pt idx="338">
                  <c:v>8922</c:v>
                </c:pt>
                <c:pt idx="339">
                  <c:v>7653</c:v>
                </c:pt>
                <c:pt idx="340">
                  <c:v>7564</c:v>
                </c:pt>
                <c:pt idx="341">
                  <c:v>5945</c:v>
                </c:pt>
                <c:pt idx="342">
                  <c:v>6982</c:v>
                </c:pt>
                <c:pt idx="343">
                  <c:v>6149</c:v>
                </c:pt>
                <c:pt idx="344">
                  <c:v>4451</c:v>
                </c:pt>
                <c:pt idx="345">
                  <c:v>4114</c:v>
                </c:pt>
                <c:pt idx="346">
                  <c:v>4222</c:v>
                </c:pt>
                <c:pt idx="347">
                  <c:v>5075</c:v>
                </c:pt>
                <c:pt idx="348">
                  <c:v>9594</c:v>
                </c:pt>
                <c:pt idx="349">
                  <c:v>10628</c:v>
                </c:pt>
                <c:pt idx="350">
                  <c:v>8391</c:v>
                </c:pt>
                <c:pt idx="351">
                  <c:v>6190</c:v>
                </c:pt>
                <c:pt idx="352">
                  <c:v>6205</c:v>
                </c:pt>
                <c:pt idx="353">
                  <c:v>8717</c:v>
                </c:pt>
                <c:pt idx="354">
                  <c:v>9229</c:v>
                </c:pt>
                <c:pt idx="355">
                  <c:v>8347</c:v>
                </c:pt>
                <c:pt idx="356">
                  <c:v>6552</c:v>
                </c:pt>
                <c:pt idx="357">
                  <c:v>5667</c:v>
                </c:pt>
                <c:pt idx="358">
                  <c:v>5097</c:v>
                </c:pt>
                <c:pt idx="359">
                  <c:v>6525</c:v>
                </c:pt>
                <c:pt idx="360">
                  <c:v>9753</c:v>
                </c:pt>
                <c:pt idx="361">
                  <c:v>9907</c:v>
                </c:pt>
                <c:pt idx="362">
                  <c:v>9087</c:v>
                </c:pt>
                <c:pt idx="363">
                  <c:v>7842</c:v>
                </c:pt>
                <c:pt idx="364">
                  <c:v>6058</c:v>
                </c:pt>
                <c:pt idx="365">
                  <c:v>4730</c:v>
                </c:pt>
                <c:pt idx="366">
                  <c:v>6206</c:v>
                </c:pt>
                <c:pt idx="367">
                  <c:v>5521</c:v>
                </c:pt>
                <c:pt idx="368">
                  <c:v>3974</c:v>
                </c:pt>
                <c:pt idx="369">
                  <c:v>3001</c:v>
                </c:pt>
                <c:pt idx="370">
                  <c:v>3917</c:v>
                </c:pt>
                <c:pt idx="371">
                  <c:v>7954</c:v>
                </c:pt>
                <c:pt idx="372">
                  <c:v>12508</c:v>
                </c:pt>
                <c:pt idx="373">
                  <c:v>12762</c:v>
                </c:pt>
                <c:pt idx="374">
                  <c:v>11298</c:v>
                </c:pt>
                <c:pt idx="375">
                  <c:v>10112</c:v>
                </c:pt>
                <c:pt idx="376">
                  <c:v>10415</c:v>
                </c:pt>
                <c:pt idx="377">
                  <c:v>10403</c:v>
                </c:pt>
                <c:pt idx="378">
                  <c:v>9164</c:v>
                </c:pt>
                <c:pt idx="379">
                  <c:v>6784</c:v>
                </c:pt>
                <c:pt idx="380">
                  <c:v>4613</c:v>
                </c:pt>
                <c:pt idx="381">
                  <c:v>5016</c:v>
                </c:pt>
                <c:pt idx="382">
                  <c:v>5769</c:v>
                </c:pt>
                <c:pt idx="383">
                  <c:v>7046</c:v>
                </c:pt>
                <c:pt idx="384">
                  <c:v>7490</c:v>
                </c:pt>
                <c:pt idx="385">
                  <c:v>8007</c:v>
                </c:pt>
                <c:pt idx="386">
                  <c:v>7230</c:v>
                </c:pt>
                <c:pt idx="387">
                  <c:v>6475</c:v>
                </c:pt>
                <c:pt idx="388">
                  <c:v>5830</c:v>
                </c:pt>
                <c:pt idx="389">
                  <c:v>6361</c:v>
                </c:pt>
                <c:pt idx="390">
                  <c:v>8204</c:v>
                </c:pt>
                <c:pt idx="391">
                  <c:v>7320</c:v>
                </c:pt>
                <c:pt idx="392">
                  <c:v>4473</c:v>
                </c:pt>
                <c:pt idx="393">
                  <c:v>2714</c:v>
                </c:pt>
                <c:pt idx="394">
                  <c:v>2490</c:v>
                </c:pt>
                <c:pt idx="395">
                  <c:v>4439</c:v>
                </c:pt>
                <c:pt idx="396">
                  <c:v>7576</c:v>
                </c:pt>
                <c:pt idx="397">
                  <c:v>9399</c:v>
                </c:pt>
                <c:pt idx="398">
                  <c:v>7715</c:v>
                </c:pt>
                <c:pt idx="399">
                  <c:v>6023</c:v>
                </c:pt>
                <c:pt idx="400">
                  <c:v>6893</c:v>
                </c:pt>
                <c:pt idx="401">
                  <c:v>9569</c:v>
                </c:pt>
                <c:pt idx="402">
                  <c:v>11092</c:v>
                </c:pt>
                <c:pt idx="403">
                  <c:v>9027</c:v>
                </c:pt>
                <c:pt idx="404">
                  <c:v>6370</c:v>
                </c:pt>
                <c:pt idx="405">
                  <c:v>5140</c:v>
                </c:pt>
                <c:pt idx="406">
                  <c:v>5825</c:v>
                </c:pt>
                <c:pt idx="407">
                  <c:v>8325</c:v>
                </c:pt>
                <c:pt idx="408">
                  <c:v>11579</c:v>
                </c:pt>
                <c:pt idx="409">
                  <c:v>11148</c:v>
                </c:pt>
                <c:pt idx="410">
                  <c:v>9926</c:v>
                </c:pt>
                <c:pt idx="411">
                  <c:v>10343</c:v>
                </c:pt>
                <c:pt idx="412">
                  <c:v>10851</c:v>
                </c:pt>
                <c:pt idx="413">
                  <c:v>13567</c:v>
                </c:pt>
                <c:pt idx="414">
                  <c:v>13531</c:v>
                </c:pt>
                <c:pt idx="415">
                  <c:v>9666</c:v>
                </c:pt>
                <c:pt idx="416">
                  <c:v>5002</c:v>
                </c:pt>
                <c:pt idx="417">
                  <c:v>4969</c:v>
                </c:pt>
                <c:pt idx="418">
                  <c:v>3794</c:v>
                </c:pt>
                <c:pt idx="419">
                  <c:v>6688</c:v>
                </c:pt>
                <c:pt idx="420">
                  <c:v>8713</c:v>
                </c:pt>
                <c:pt idx="421">
                  <c:v>9039</c:v>
                </c:pt>
                <c:pt idx="422">
                  <c:v>8012</c:v>
                </c:pt>
                <c:pt idx="423">
                  <c:v>6136</c:v>
                </c:pt>
                <c:pt idx="424">
                  <c:v>6260</c:v>
                </c:pt>
                <c:pt idx="425">
                  <c:v>5896</c:v>
                </c:pt>
                <c:pt idx="426">
                  <c:v>6636</c:v>
                </c:pt>
                <c:pt idx="427">
                  <c:v>5139</c:v>
                </c:pt>
                <c:pt idx="428">
                  <c:v>3352</c:v>
                </c:pt>
                <c:pt idx="429">
                  <c:v>3159</c:v>
                </c:pt>
                <c:pt idx="430">
                  <c:v>4656</c:v>
                </c:pt>
                <c:pt idx="431">
                  <c:v>7503</c:v>
                </c:pt>
                <c:pt idx="432">
                  <c:v>12341</c:v>
                </c:pt>
                <c:pt idx="433">
                  <c:v>10863</c:v>
                </c:pt>
                <c:pt idx="434">
                  <c:v>9138</c:v>
                </c:pt>
                <c:pt idx="435">
                  <c:v>8187</c:v>
                </c:pt>
                <c:pt idx="436">
                  <c:v>6925</c:v>
                </c:pt>
                <c:pt idx="437">
                  <c:v>8789</c:v>
                </c:pt>
                <c:pt idx="438">
                  <c:v>8825</c:v>
                </c:pt>
                <c:pt idx="439">
                  <c:v>6962</c:v>
                </c:pt>
                <c:pt idx="440">
                  <c:v>4257</c:v>
                </c:pt>
                <c:pt idx="441">
                  <c:v>3337</c:v>
                </c:pt>
                <c:pt idx="442">
                  <c:v>2826</c:v>
                </c:pt>
                <c:pt idx="443">
                  <c:v>5471</c:v>
                </c:pt>
                <c:pt idx="444">
                  <c:v>9153</c:v>
                </c:pt>
                <c:pt idx="445">
                  <c:v>9520</c:v>
                </c:pt>
                <c:pt idx="446">
                  <c:v>7930</c:v>
                </c:pt>
                <c:pt idx="447">
                  <c:v>6553</c:v>
                </c:pt>
                <c:pt idx="448">
                  <c:v>7005</c:v>
                </c:pt>
                <c:pt idx="449">
                  <c:v>8703</c:v>
                </c:pt>
                <c:pt idx="450">
                  <c:v>9034</c:v>
                </c:pt>
                <c:pt idx="451">
                  <c:v>8375</c:v>
                </c:pt>
                <c:pt idx="452">
                  <c:v>5916</c:v>
                </c:pt>
                <c:pt idx="453">
                  <c:v>2697</c:v>
                </c:pt>
                <c:pt idx="454">
                  <c:v>2776</c:v>
                </c:pt>
                <c:pt idx="455">
                  <c:v>5147</c:v>
                </c:pt>
                <c:pt idx="456">
                  <c:v>9909</c:v>
                </c:pt>
                <c:pt idx="457">
                  <c:v>10328</c:v>
                </c:pt>
                <c:pt idx="458">
                  <c:v>8275</c:v>
                </c:pt>
                <c:pt idx="459">
                  <c:v>5730</c:v>
                </c:pt>
                <c:pt idx="460">
                  <c:v>6383</c:v>
                </c:pt>
                <c:pt idx="461">
                  <c:v>6289</c:v>
                </c:pt>
                <c:pt idx="462">
                  <c:v>6776</c:v>
                </c:pt>
                <c:pt idx="463">
                  <c:v>4768</c:v>
                </c:pt>
                <c:pt idx="464">
                  <c:v>2953</c:v>
                </c:pt>
                <c:pt idx="465">
                  <c:v>1953</c:v>
                </c:pt>
                <c:pt idx="466">
                  <c:v>2120</c:v>
                </c:pt>
                <c:pt idx="467">
                  <c:v>3132</c:v>
                </c:pt>
                <c:pt idx="468">
                  <c:v>6946</c:v>
                </c:pt>
                <c:pt idx="469">
                  <c:v>9042</c:v>
                </c:pt>
                <c:pt idx="470">
                  <c:v>7210</c:v>
                </c:pt>
                <c:pt idx="471">
                  <c:v>4574</c:v>
                </c:pt>
                <c:pt idx="472">
                  <c:v>5593</c:v>
                </c:pt>
                <c:pt idx="473">
                  <c:v>7425</c:v>
                </c:pt>
                <c:pt idx="474">
                  <c:v>8307</c:v>
                </c:pt>
                <c:pt idx="475">
                  <c:v>7897</c:v>
                </c:pt>
                <c:pt idx="476">
                  <c:v>5986</c:v>
                </c:pt>
                <c:pt idx="477">
                  <c:v>5418</c:v>
                </c:pt>
                <c:pt idx="478">
                  <c:v>6053</c:v>
                </c:pt>
                <c:pt idx="479">
                  <c:v>10435</c:v>
                </c:pt>
                <c:pt idx="480">
                  <c:v>15373</c:v>
                </c:pt>
                <c:pt idx="481">
                  <c:v>15382</c:v>
                </c:pt>
                <c:pt idx="482">
                  <c:v>12699</c:v>
                </c:pt>
                <c:pt idx="483">
                  <c:v>10697</c:v>
                </c:pt>
                <c:pt idx="484">
                  <c:v>9192</c:v>
                </c:pt>
                <c:pt idx="485">
                  <c:v>8708</c:v>
                </c:pt>
                <c:pt idx="486">
                  <c:v>7786</c:v>
                </c:pt>
                <c:pt idx="487">
                  <c:v>6222</c:v>
                </c:pt>
                <c:pt idx="488">
                  <c:v>4242</c:v>
                </c:pt>
                <c:pt idx="489">
                  <c:v>4896</c:v>
                </c:pt>
                <c:pt idx="490">
                  <c:v>3880</c:v>
                </c:pt>
                <c:pt idx="491">
                  <c:v>7015</c:v>
                </c:pt>
                <c:pt idx="492">
                  <c:v>14159</c:v>
                </c:pt>
                <c:pt idx="493">
                  <c:v>14475</c:v>
                </c:pt>
                <c:pt idx="494">
                  <c:v>10593</c:v>
                </c:pt>
                <c:pt idx="495">
                  <c:v>7316</c:v>
                </c:pt>
                <c:pt idx="496">
                  <c:v>7024</c:v>
                </c:pt>
                <c:pt idx="497">
                  <c:v>7253</c:v>
                </c:pt>
                <c:pt idx="498">
                  <c:v>7957</c:v>
                </c:pt>
                <c:pt idx="499">
                  <c:v>7658</c:v>
                </c:pt>
                <c:pt idx="500">
                  <c:v>6208</c:v>
                </c:pt>
                <c:pt idx="501">
                  <c:v>6449</c:v>
                </c:pt>
                <c:pt idx="502">
                  <c:v>7292</c:v>
                </c:pt>
                <c:pt idx="503">
                  <c:v>10495</c:v>
                </c:pt>
                <c:pt idx="504">
                  <c:v>12731</c:v>
                </c:pt>
                <c:pt idx="505">
                  <c:v>12396</c:v>
                </c:pt>
                <c:pt idx="506">
                  <c:v>11374</c:v>
                </c:pt>
                <c:pt idx="507">
                  <c:v>9129</c:v>
                </c:pt>
                <c:pt idx="508">
                  <c:v>7417</c:v>
                </c:pt>
                <c:pt idx="509">
                  <c:v>6546</c:v>
                </c:pt>
                <c:pt idx="510">
                  <c:v>5443</c:v>
                </c:pt>
                <c:pt idx="511">
                  <c:v>4529</c:v>
                </c:pt>
                <c:pt idx="512">
                  <c:v>2960</c:v>
                </c:pt>
                <c:pt idx="513">
                  <c:v>2304</c:v>
                </c:pt>
                <c:pt idx="514">
                  <c:v>2436</c:v>
                </c:pt>
                <c:pt idx="515">
                  <c:v>4160</c:v>
                </c:pt>
                <c:pt idx="516">
                  <c:v>7553</c:v>
                </c:pt>
                <c:pt idx="517">
                  <c:v>8036</c:v>
                </c:pt>
                <c:pt idx="518">
                  <c:v>7051</c:v>
                </c:pt>
                <c:pt idx="519">
                  <c:v>6590</c:v>
                </c:pt>
                <c:pt idx="520">
                  <c:v>6556</c:v>
                </c:pt>
                <c:pt idx="521">
                  <c:v>9531</c:v>
                </c:pt>
                <c:pt idx="522">
                  <c:v>9887</c:v>
                </c:pt>
                <c:pt idx="523">
                  <c:v>7967</c:v>
                </c:pt>
                <c:pt idx="524">
                  <c:v>5426</c:v>
                </c:pt>
                <c:pt idx="525">
                  <c:v>4347</c:v>
                </c:pt>
                <c:pt idx="526">
                  <c:v>5918</c:v>
                </c:pt>
                <c:pt idx="527">
                  <c:v>7223</c:v>
                </c:pt>
                <c:pt idx="528">
                  <c:v>10721</c:v>
                </c:pt>
                <c:pt idx="529">
                  <c:v>12027</c:v>
                </c:pt>
                <c:pt idx="530">
                  <c:v>11315</c:v>
                </c:pt>
                <c:pt idx="531">
                  <c:v>10591</c:v>
                </c:pt>
                <c:pt idx="532">
                  <c:v>9767</c:v>
                </c:pt>
                <c:pt idx="533">
                  <c:v>10931</c:v>
                </c:pt>
                <c:pt idx="534">
                  <c:v>11467</c:v>
                </c:pt>
                <c:pt idx="535">
                  <c:v>9970</c:v>
                </c:pt>
                <c:pt idx="536">
                  <c:v>9037</c:v>
                </c:pt>
                <c:pt idx="537">
                  <c:v>8075</c:v>
                </c:pt>
                <c:pt idx="538">
                  <c:v>9078</c:v>
                </c:pt>
                <c:pt idx="539">
                  <c:v>10874</c:v>
                </c:pt>
                <c:pt idx="540">
                  <c:v>10483</c:v>
                </c:pt>
                <c:pt idx="541">
                  <c:v>10589</c:v>
                </c:pt>
                <c:pt idx="542">
                  <c:v>11062</c:v>
                </c:pt>
                <c:pt idx="543">
                  <c:v>10099</c:v>
                </c:pt>
                <c:pt idx="544">
                  <c:v>9101</c:v>
                </c:pt>
                <c:pt idx="545">
                  <c:v>8772</c:v>
                </c:pt>
                <c:pt idx="546">
                  <c:v>9005</c:v>
                </c:pt>
                <c:pt idx="547">
                  <c:v>7166</c:v>
                </c:pt>
                <c:pt idx="548">
                  <c:v>4971</c:v>
                </c:pt>
                <c:pt idx="549">
                  <c:v>4546</c:v>
                </c:pt>
                <c:pt idx="550">
                  <c:v>5731</c:v>
                </c:pt>
                <c:pt idx="551">
                  <c:v>9141</c:v>
                </c:pt>
                <c:pt idx="552">
                  <c:v>11668</c:v>
                </c:pt>
                <c:pt idx="553">
                  <c:v>11160</c:v>
                </c:pt>
                <c:pt idx="554">
                  <c:v>9205</c:v>
                </c:pt>
                <c:pt idx="555">
                  <c:v>7402</c:v>
                </c:pt>
                <c:pt idx="556">
                  <c:v>6634</c:v>
                </c:pt>
                <c:pt idx="557">
                  <c:v>7507</c:v>
                </c:pt>
                <c:pt idx="558">
                  <c:v>8598</c:v>
                </c:pt>
                <c:pt idx="559">
                  <c:v>7686</c:v>
                </c:pt>
                <c:pt idx="560">
                  <c:v>5190</c:v>
                </c:pt>
                <c:pt idx="561">
                  <c:v>3650</c:v>
                </c:pt>
                <c:pt idx="562">
                  <c:v>4114</c:v>
                </c:pt>
                <c:pt idx="563">
                  <c:v>6294</c:v>
                </c:pt>
                <c:pt idx="564">
                  <c:v>10426</c:v>
                </c:pt>
                <c:pt idx="565">
                  <c:v>10413</c:v>
                </c:pt>
                <c:pt idx="566">
                  <c:v>9339</c:v>
                </c:pt>
                <c:pt idx="567">
                  <c:v>8547</c:v>
                </c:pt>
                <c:pt idx="568">
                  <c:v>8243</c:v>
                </c:pt>
                <c:pt idx="569">
                  <c:v>8602</c:v>
                </c:pt>
                <c:pt idx="570">
                  <c:v>7805</c:v>
                </c:pt>
                <c:pt idx="571">
                  <c:v>6329</c:v>
                </c:pt>
                <c:pt idx="572">
                  <c:v>4679</c:v>
                </c:pt>
                <c:pt idx="573">
                  <c:v>3527</c:v>
                </c:pt>
                <c:pt idx="574">
                  <c:v>3659</c:v>
                </c:pt>
                <c:pt idx="575">
                  <c:v>4730</c:v>
                </c:pt>
                <c:pt idx="576">
                  <c:v>8232</c:v>
                </c:pt>
                <c:pt idx="577">
                  <c:v>8579</c:v>
                </c:pt>
                <c:pt idx="578">
                  <c:v>7131</c:v>
                </c:pt>
                <c:pt idx="579">
                  <c:v>7046</c:v>
                </c:pt>
                <c:pt idx="580">
                  <c:v>7482</c:v>
                </c:pt>
                <c:pt idx="581">
                  <c:v>8636</c:v>
                </c:pt>
                <c:pt idx="582">
                  <c:v>8195</c:v>
                </c:pt>
                <c:pt idx="583">
                  <c:v>6672</c:v>
                </c:pt>
                <c:pt idx="584">
                  <c:v>4686</c:v>
                </c:pt>
                <c:pt idx="585">
                  <c:v>4605</c:v>
                </c:pt>
                <c:pt idx="586">
                  <c:v>6099</c:v>
                </c:pt>
                <c:pt idx="587">
                  <c:v>9942</c:v>
                </c:pt>
                <c:pt idx="588">
                  <c:v>10688</c:v>
                </c:pt>
                <c:pt idx="589">
                  <c:v>9666</c:v>
                </c:pt>
                <c:pt idx="590">
                  <c:v>8608</c:v>
                </c:pt>
                <c:pt idx="591">
                  <c:v>8311</c:v>
                </c:pt>
                <c:pt idx="592">
                  <c:v>8274</c:v>
                </c:pt>
                <c:pt idx="593">
                  <c:v>8656</c:v>
                </c:pt>
                <c:pt idx="594">
                  <c:v>7452</c:v>
                </c:pt>
                <c:pt idx="595">
                  <c:v>5300</c:v>
                </c:pt>
                <c:pt idx="596">
                  <c:v>3569</c:v>
                </c:pt>
                <c:pt idx="597">
                  <c:v>3115</c:v>
                </c:pt>
                <c:pt idx="598">
                  <c:v>4129</c:v>
                </c:pt>
                <c:pt idx="599">
                  <c:v>7794</c:v>
                </c:pt>
                <c:pt idx="600">
                  <c:v>9908</c:v>
                </c:pt>
                <c:pt idx="601">
                  <c:v>8564</c:v>
                </c:pt>
                <c:pt idx="602">
                  <c:v>7215</c:v>
                </c:pt>
                <c:pt idx="603">
                  <c:v>5905</c:v>
                </c:pt>
                <c:pt idx="604">
                  <c:v>5239</c:v>
                </c:pt>
                <c:pt idx="605">
                  <c:v>4865</c:v>
                </c:pt>
                <c:pt idx="606">
                  <c:v>6375</c:v>
                </c:pt>
                <c:pt idx="607">
                  <c:v>5872</c:v>
                </c:pt>
                <c:pt idx="608">
                  <c:v>3984</c:v>
                </c:pt>
                <c:pt idx="609">
                  <c:v>2894</c:v>
                </c:pt>
                <c:pt idx="610">
                  <c:v>3269</c:v>
                </c:pt>
                <c:pt idx="611">
                  <c:v>5614</c:v>
                </c:pt>
                <c:pt idx="612">
                  <c:v>9146</c:v>
                </c:pt>
                <c:pt idx="613">
                  <c:v>10615</c:v>
                </c:pt>
                <c:pt idx="614">
                  <c:v>10006</c:v>
                </c:pt>
                <c:pt idx="615">
                  <c:v>10150</c:v>
                </c:pt>
                <c:pt idx="616">
                  <c:v>9936</c:v>
                </c:pt>
                <c:pt idx="617">
                  <c:v>9300</c:v>
                </c:pt>
                <c:pt idx="618">
                  <c:v>7704</c:v>
                </c:pt>
                <c:pt idx="619">
                  <c:v>5625</c:v>
                </c:pt>
                <c:pt idx="620">
                  <c:v>4125</c:v>
                </c:pt>
                <c:pt idx="621">
                  <c:v>2779</c:v>
                </c:pt>
                <c:pt idx="622">
                  <c:v>2799</c:v>
                </c:pt>
                <c:pt idx="623">
                  <c:v>5307</c:v>
                </c:pt>
                <c:pt idx="624">
                  <c:v>9221</c:v>
                </c:pt>
                <c:pt idx="625">
                  <c:v>9039</c:v>
                </c:pt>
                <c:pt idx="626">
                  <c:v>7791</c:v>
                </c:pt>
                <c:pt idx="627">
                  <c:v>7457</c:v>
                </c:pt>
                <c:pt idx="628">
                  <c:v>8263</c:v>
                </c:pt>
                <c:pt idx="629">
                  <c:v>8926</c:v>
                </c:pt>
                <c:pt idx="630">
                  <c:v>9394</c:v>
                </c:pt>
                <c:pt idx="631">
                  <c:v>8281</c:v>
                </c:pt>
                <c:pt idx="632">
                  <c:v>6373</c:v>
                </c:pt>
                <c:pt idx="633">
                  <c:v>4632</c:v>
                </c:pt>
                <c:pt idx="634">
                  <c:v>4493</c:v>
                </c:pt>
                <c:pt idx="635">
                  <c:v>6048</c:v>
                </c:pt>
                <c:pt idx="636">
                  <c:v>9448</c:v>
                </c:pt>
                <c:pt idx="637">
                  <c:v>9980</c:v>
                </c:pt>
                <c:pt idx="638">
                  <c:v>9180</c:v>
                </c:pt>
                <c:pt idx="639">
                  <c:v>9232</c:v>
                </c:pt>
                <c:pt idx="640">
                  <c:v>9716</c:v>
                </c:pt>
                <c:pt idx="641">
                  <c:v>10054</c:v>
                </c:pt>
                <c:pt idx="642">
                  <c:v>9211</c:v>
                </c:pt>
                <c:pt idx="643">
                  <c:v>7250</c:v>
                </c:pt>
                <c:pt idx="644">
                  <c:v>4828</c:v>
                </c:pt>
                <c:pt idx="645">
                  <c:v>4031</c:v>
                </c:pt>
                <c:pt idx="646">
                  <c:v>4102</c:v>
                </c:pt>
                <c:pt idx="647">
                  <c:v>7141</c:v>
                </c:pt>
                <c:pt idx="648">
                  <c:v>10821</c:v>
                </c:pt>
                <c:pt idx="649">
                  <c:v>9698</c:v>
                </c:pt>
                <c:pt idx="650">
                  <c:v>7490</c:v>
                </c:pt>
                <c:pt idx="651">
                  <c:v>6797</c:v>
                </c:pt>
                <c:pt idx="652">
                  <c:v>5872</c:v>
                </c:pt>
                <c:pt idx="653">
                  <c:v>6121</c:v>
                </c:pt>
                <c:pt idx="654">
                  <c:v>5772</c:v>
                </c:pt>
                <c:pt idx="655">
                  <c:v>5702</c:v>
                </c:pt>
                <c:pt idx="656">
                  <c:v>4407</c:v>
                </c:pt>
                <c:pt idx="657">
                  <c:v>3098</c:v>
                </c:pt>
                <c:pt idx="658">
                  <c:v>4318</c:v>
                </c:pt>
                <c:pt idx="659">
                  <c:v>7496</c:v>
                </c:pt>
                <c:pt idx="660">
                  <c:v>10340</c:v>
                </c:pt>
                <c:pt idx="661">
                  <c:v>9379</c:v>
                </c:pt>
                <c:pt idx="662">
                  <c:v>7585</c:v>
                </c:pt>
                <c:pt idx="663">
                  <c:v>7813</c:v>
                </c:pt>
                <c:pt idx="664">
                  <c:v>7157</c:v>
                </c:pt>
                <c:pt idx="665">
                  <c:v>7877</c:v>
                </c:pt>
                <c:pt idx="666">
                  <c:v>7877</c:v>
                </c:pt>
                <c:pt idx="667">
                  <c:v>6926</c:v>
                </c:pt>
                <c:pt idx="668">
                  <c:v>4725</c:v>
                </c:pt>
                <c:pt idx="669">
                  <c:v>3722</c:v>
                </c:pt>
                <c:pt idx="670">
                  <c:v>4808</c:v>
                </c:pt>
                <c:pt idx="671">
                  <c:v>6761</c:v>
                </c:pt>
                <c:pt idx="672">
                  <c:v>8926</c:v>
                </c:pt>
                <c:pt idx="673">
                  <c:v>9129</c:v>
                </c:pt>
                <c:pt idx="674">
                  <c:v>7289</c:v>
                </c:pt>
                <c:pt idx="675">
                  <c:v>6218</c:v>
                </c:pt>
                <c:pt idx="676">
                  <c:v>6096</c:v>
                </c:pt>
                <c:pt idx="677">
                  <c:v>6924</c:v>
                </c:pt>
                <c:pt idx="678">
                  <c:v>6802</c:v>
                </c:pt>
                <c:pt idx="679">
                  <c:v>5828</c:v>
                </c:pt>
                <c:pt idx="680">
                  <c:v>3098</c:v>
                </c:pt>
                <c:pt idx="681">
                  <c:v>2299</c:v>
                </c:pt>
                <c:pt idx="682">
                  <c:v>2138</c:v>
                </c:pt>
                <c:pt idx="683">
                  <c:v>3454</c:v>
                </c:pt>
                <c:pt idx="684">
                  <c:v>5562</c:v>
                </c:pt>
                <c:pt idx="685">
                  <c:v>7208</c:v>
                </c:pt>
                <c:pt idx="686">
                  <c:v>5663</c:v>
                </c:pt>
                <c:pt idx="687">
                  <c:v>5019</c:v>
                </c:pt>
                <c:pt idx="688">
                  <c:v>5607</c:v>
                </c:pt>
                <c:pt idx="689">
                  <c:v>4748</c:v>
                </c:pt>
                <c:pt idx="690">
                  <c:v>6442</c:v>
                </c:pt>
                <c:pt idx="691">
                  <c:v>5668</c:v>
                </c:pt>
                <c:pt idx="692">
                  <c:v>3441</c:v>
                </c:pt>
                <c:pt idx="693">
                  <c:v>2527</c:v>
                </c:pt>
                <c:pt idx="694">
                  <c:v>2651</c:v>
                </c:pt>
                <c:pt idx="695">
                  <c:v>3656</c:v>
                </c:pt>
                <c:pt idx="696">
                  <c:v>6407</c:v>
                </c:pt>
                <c:pt idx="697">
                  <c:v>7167</c:v>
                </c:pt>
                <c:pt idx="698">
                  <c:v>6284</c:v>
                </c:pt>
                <c:pt idx="699">
                  <c:v>5136</c:v>
                </c:pt>
                <c:pt idx="700">
                  <c:v>5317</c:v>
                </c:pt>
                <c:pt idx="701">
                  <c:v>6377</c:v>
                </c:pt>
                <c:pt idx="702">
                  <c:v>7896</c:v>
                </c:pt>
                <c:pt idx="703">
                  <c:v>5821</c:v>
                </c:pt>
                <c:pt idx="704">
                  <c:v>4337</c:v>
                </c:pt>
                <c:pt idx="705">
                  <c:v>3838</c:v>
                </c:pt>
                <c:pt idx="706">
                  <c:v>4213</c:v>
                </c:pt>
                <c:pt idx="707">
                  <c:v>8189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BC-41B7-B3A0-35F3C489E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377536"/>
        <c:axId val="1388379168"/>
      </c:scatterChart>
      <c:valAx>
        <c:axId val="1520008400"/>
        <c:scaling>
          <c:orientation val="minMax"/>
          <c:max val="2015"/>
          <c:min val="19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62736"/>
        <c:crosses val="autoZero"/>
        <c:crossBetween val="midCat"/>
      </c:valAx>
      <c:valAx>
        <c:axId val="1528762736"/>
        <c:scaling>
          <c:orientation val="minMax"/>
          <c:max val="500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08400"/>
        <c:crosses val="autoZero"/>
        <c:crossBetween val="midCat"/>
      </c:valAx>
      <c:valAx>
        <c:axId val="1388379168"/>
        <c:scaling>
          <c:orientation val="minMax"/>
          <c:max val="16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77536"/>
        <c:crosses val="max"/>
        <c:crossBetween val="midCat"/>
      </c:valAx>
      <c:valAx>
        <c:axId val="1388377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8379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Caudal vs Sedimentos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94225721784778"/>
          <c:y val="0.17171296296296296"/>
          <c:w val="0.79783552055993001"/>
          <c:h val="0.663433581219014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Caudales!$F$20:$F$535</c:f>
              <c:numCache>
                <c:formatCode>General</c:formatCode>
                <c:ptCount val="516"/>
                <c:pt idx="0">
                  <c:v>8477</c:v>
                </c:pt>
                <c:pt idx="1">
                  <c:v>8321</c:v>
                </c:pt>
                <c:pt idx="2">
                  <c:v>7039</c:v>
                </c:pt>
                <c:pt idx="3">
                  <c:v>5495</c:v>
                </c:pt>
                <c:pt idx="4">
                  <c:v>4197</c:v>
                </c:pt>
                <c:pt idx="5">
                  <c:v>4744</c:v>
                </c:pt>
                <c:pt idx="6">
                  <c:v>6647</c:v>
                </c:pt>
                <c:pt idx="7">
                  <c:v>6475</c:v>
                </c:pt>
                <c:pt idx="8">
                  <c:v>4075</c:v>
                </c:pt>
                <c:pt idx="9">
                  <c:v>4551</c:v>
                </c:pt>
                <c:pt idx="10">
                  <c:v>3771</c:v>
                </c:pt>
                <c:pt idx="11">
                  <c:v>5797</c:v>
                </c:pt>
                <c:pt idx="12">
                  <c:v>8407</c:v>
                </c:pt>
                <c:pt idx="13">
                  <c:v>8535</c:v>
                </c:pt>
                <c:pt idx="14">
                  <c:v>7850</c:v>
                </c:pt>
                <c:pt idx="15">
                  <c:v>7369</c:v>
                </c:pt>
                <c:pt idx="16">
                  <c:v>5564</c:v>
                </c:pt>
                <c:pt idx="17">
                  <c:v>6649</c:v>
                </c:pt>
                <c:pt idx="18">
                  <c:v>8229</c:v>
                </c:pt>
                <c:pt idx="19">
                  <c:v>6259</c:v>
                </c:pt>
                <c:pt idx="20">
                  <c:v>4229</c:v>
                </c:pt>
                <c:pt idx="21">
                  <c:v>3792</c:v>
                </c:pt>
                <c:pt idx="22">
                  <c:v>3205</c:v>
                </c:pt>
                <c:pt idx="23">
                  <c:v>3669</c:v>
                </c:pt>
                <c:pt idx="24">
                  <c:v>6855</c:v>
                </c:pt>
                <c:pt idx="25">
                  <c:v>7858</c:v>
                </c:pt>
                <c:pt idx="26">
                  <c:v>6414</c:v>
                </c:pt>
                <c:pt idx="27">
                  <c:v>6502</c:v>
                </c:pt>
                <c:pt idx="28">
                  <c:v>6193</c:v>
                </c:pt>
                <c:pt idx="29">
                  <c:v>6418</c:v>
                </c:pt>
                <c:pt idx="30">
                  <c:v>9001</c:v>
                </c:pt>
                <c:pt idx="31">
                  <c:v>9668</c:v>
                </c:pt>
                <c:pt idx="32">
                  <c:v>6585</c:v>
                </c:pt>
                <c:pt idx="33">
                  <c:v>4540</c:v>
                </c:pt>
                <c:pt idx="34">
                  <c:v>6968</c:v>
                </c:pt>
                <c:pt idx="35">
                  <c:v>11336</c:v>
                </c:pt>
                <c:pt idx="36">
                  <c:v>13395</c:v>
                </c:pt>
                <c:pt idx="37">
                  <c:v>11402</c:v>
                </c:pt>
                <c:pt idx="38">
                  <c:v>9565</c:v>
                </c:pt>
                <c:pt idx="39">
                  <c:v>9130</c:v>
                </c:pt>
                <c:pt idx="40">
                  <c:v>10126</c:v>
                </c:pt>
                <c:pt idx="41">
                  <c:v>11226</c:v>
                </c:pt>
                <c:pt idx="42">
                  <c:v>12827</c:v>
                </c:pt>
                <c:pt idx="43">
                  <c:v>11996</c:v>
                </c:pt>
                <c:pt idx="44">
                  <c:v>8274</c:v>
                </c:pt>
                <c:pt idx="45">
                  <c:v>6595</c:v>
                </c:pt>
                <c:pt idx="46">
                  <c:v>6721</c:v>
                </c:pt>
                <c:pt idx="47">
                  <c:v>11430</c:v>
                </c:pt>
                <c:pt idx="48">
                  <c:v>13942</c:v>
                </c:pt>
                <c:pt idx="49">
                  <c:v>13717</c:v>
                </c:pt>
                <c:pt idx="50">
                  <c:v>13685</c:v>
                </c:pt>
                <c:pt idx="51">
                  <c:v>12839</c:v>
                </c:pt>
                <c:pt idx="52">
                  <c:v>12741</c:v>
                </c:pt>
                <c:pt idx="53">
                  <c:v>10972</c:v>
                </c:pt>
                <c:pt idx="54">
                  <c:v>9275</c:v>
                </c:pt>
                <c:pt idx="55">
                  <c:v>7182</c:v>
                </c:pt>
                <c:pt idx="56">
                  <c:v>4545</c:v>
                </c:pt>
                <c:pt idx="57">
                  <c:v>3222</c:v>
                </c:pt>
                <c:pt idx="58">
                  <c:v>2579</c:v>
                </c:pt>
                <c:pt idx="59">
                  <c:v>3447</c:v>
                </c:pt>
                <c:pt idx="60">
                  <c:v>6163</c:v>
                </c:pt>
                <c:pt idx="61">
                  <c:v>7123</c:v>
                </c:pt>
                <c:pt idx="62">
                  <c:v>5289</c:v>
                </c:pt>
                <c:pt idx="63">
                  <c:v>6082</c:v>
                </c:pt>
                <c:pt idx="64">
                  <c:v>6035</c:v>
                </c:pt>
                <c:pt idx="65">
                  <c:v>7401</c:v>
                </c:pt>
                <c:pt idx="66">
                  <c:v>7787</c:v>
                </c:pt>
                <c:pt idx="67">
                  <c:v>7850</c:v>
                </c:pt>
                <c:pt idx="68">
                  <c:v>6948</c:v>
                </c:pt>
                <c:pt idx="69">
                  <c:v>5643</c:v>
                </c:pt>
                <c:pt idx="70">
                  <c:v>6777</c:v>
                </c:pt>
                <c:pt idx="71">
                  <c:v>10257</c:v>
                </c:pt>
                <c:pt idx="72">
                  <c:v>14438</c:v>
                </c:pt>
                <c:pt idx="73">
                  <c:v>13323</c:v>
                </c:pt>
                <c:pt idx="74">
                  <c:v>12038</c:v>
                </c:pt>
                <c:pt idx="75">
                  <c:v>12125</c:v>
                </c:pt>
                <c:pt idx="76">
                  <c:v>11936</c:v>
                </c:pt>
                <c:pt idx="77">
                  <c:v>11525</c:v>
                </c:pt>
                <c:pt idx="78">
                  <c:v>9974</c:v>
                </c:pt>
                <c:pt idx="79">
                  <c:v>7711</c:v>
                </c:pt>
                <c:pt idx="80">
                  <c:v>5673</c:v>
                </c:pt>
                <c:pt idx="81">
                  <c:v>5420</c:v>
                </c:pt>
                <c:pt idx="82">
                  <c:v>5442</c:v>
                </c:pt>
                <c:pt idx="83">
                  <c:v>8936</c:v>
                </c:pt>
                <c:pt idx="84">
                  <c:v>12511</c:v>
                </c:pt>
                <c:pt idx="85">
                  <c:v>13131</c:v>
                </c:pt>
                <c:pt idx="86">
                  <c:v>10444</c:v>
                </c:pt>
                <c:pt idx="87">
                  <c:v>10419</c:v>
                </c:pt>
                <c:pt idx="88">
                  <c:v>9304</c:v>
                </c:pt>
                <c:pt idx="89">
                  <c:v>11100</c:v>
                </c:pt>
                <c:pt idx="90">
                  <c:v>11263</c:v>
                </c:pt>
                <c:pt idx="91">
                  <c:v>8442</c:v>
                </c:pt>
                <c:pt idx="92">
                  <c:v>5658</c:v>
                </c:pt>
                <c:pt idx="93">
                  <c:v>2916</c:v>
                </c:pt>
                <c:pt idx="94">
                  <c:v>3754</c:v>
                </c:pt>
                <c:pt idx="95">
                  <c:v>7909</c:v>
                </c:pt>
                <c:pt idx="96">
                  <c:v>10575</c:v>
                </c:pt>
                <c:pt idx="97">
                  <c:v>9114</c:v>
                </c:pt>
                <c:pt idx="98">
                  <c:v>7218</c:v>
                </c:pt>
                <c:pt idx="99">
                  <c:v>7058</c:v>
                </c:pt>
                <c:pt idx="100">
                  <c:v>6984</c:v>
                </c:pt>
                <c:pt idx="101">
                  <c:v>10159</c:v>
                </c:pt>
                <c:pt idx="102">
                  <c:v>11047</c:v>
                </c:pt>
                <c:pt idx="103">
                  <c:v>8757</c:v>
                </c:pt>
                <c:pt idx="104">
                  <c:v>6292</c:v>
                </c:pt>
                <c:pt idx="105">
                  <c:v>4329</c:v>
                </c:pt>
                <c:pt idx="106">
                  <c:v>5532</c:v>
                </c:pt>
                <c:pt idx="107">
                  <c:v>9204</c:v>
                </c:pt>
                <c:pt idx="108">
                  <c:v>12700</c:v>
                </c:pt>
                <c:pt idx="109">
                  <c:v>10060</c:v>
                </c:pt>
                <c:pt idx="110">
                  <c:v>7510</c:v>
                </c:pt>
                <c:pt idx="111">
                  <c:v>6318</c:v>
                </c:pt>
                <c:pt idx="112">
                  <c:v>6664</c:v>
                </c:pt>
                <c:pt idx="113">
                  <c:v>8273</c:v>
                </c:pt>
                <c:pt idx="114">
                  <c:v>8434</c:v>
                </c:pt>
                <c:pt idx="115">
                  <c:v>6630</c:v>
                </c:pt>
                <c:pt idx="116">
                  <c:v>4448</c:v>
                </c:pt>
                <c:pt idx="117">
                  <c:v>3838</c:v>
                </c:pt>
                <c:pt idx="118">
                  <c:v>4568</c:v>
                </c:pt>
                <c:pt idx="119">
                  <c:v>7079</c:v>
                </c:pt>
                <c:pt idx="120">
                  <c:v>11106</c:v>
                </c:pt>
                <c:pt idx="121">
                  <c:v>10161</c:v>
                </c:pt>
                <c:pt idx="122">
                  <c:v>8047</c:v>
                </c:pt>
                <c:pt idx="123">
                  <c:v>6271</c:v>
                </c:pt>
                <c:pt idx="124">
                  <c:v>5941</c:v>
                </c:pt>
                <c:pt idx="125">
                  <c:v>6195</c:v>
                </c:pt>
                <c:pt idx="126">
                  <c:v>7558</c:v>
                </c:pt>
                <c:pt idx="127">
                  <c:v>6011</c:v>
                </c:pt>
                <c:pt idx="128">
                  <c:v>3609</c:v>
                </c:pt>
                <c:pt idx="129">
                  <c:v>2916</c:v>
                </c:pt>
                <c:pt idx="130">
                  <c:v>3724</c:v>
                </c:pt>
                <c:pt idx="131">
                  <c:v>8355</c:v>
                </c:pt>
                <c:pt idx="132">
                  <c:v>11146</c:v>
                </c:pt>
                <c:pt idx="133">
                  <c:v>10016</c:v>
                </c:pt>
                <c:pt idx="134">
                  <c:v>7897</c:v>
                </c:pt>
                <c:pt idx="135">
                  <c:v>6140</c:v>
                </c:pt>
                <c:pt idx="136">
                  <c:v>6910</c:v>
                </c:pt>
                <c:pt idx="137">
                  <c:v>7712</c:v>
                </c:pt>
                <c:pt idx="138">
                  <c:v>7152</c:v>
                </c:pt>
                <c:pt idx="139">
                  <c:v>5959</c:v>
                </c:pt>
                <c:pt idx="140">
                  <c:v>3815</c:v>
                </c:pt>
                <c:pt idx="141">
                  <c:v>2684</c:v>
                </c:pt>
                <c:pt idx="142">
                  <c:v>2566</c:v>
                </c:pt>
                <c:pt idx="143">
                  <c:v>3527</c:v>
                </c:pt>
                <c:pt idx="144">
                  <c:v>6225</c:v>
                </c:pt>
                <c:pt idx="145">
                  <c:v>7592</c:v>
                </c:pt>
                <c:pt idx="146">
                  <c:v>5094</c:v>
                </c:pt>
                <c:pt idx="147">
                  <c:v>4585</c:v>
                </c:pt>
                <c:pt idx="148">
                  <c:v>4440</c:v>
                </c:pt>
                <c:pt idx="149">
                  <c:v>6751</c:v>
                </c:pt>
                <c:pt idx="150">
                  <c:v>7583</c:v>
                </c:pt>
                <c:pt idx="151">
                  <c:v>5955</c:v>
                </c:pt>
                <c:pt idx="152">
                  <c:v>4518</c:v>
                </c:pt>
                <c:pt idx="153">
                  <c:v>2893</c:v>
                </c:pt>
                <c:pt idx="154">
                  <c:v>3326</c:v>
                </c:pt>
                <c:pt idx="155">
                  <c:v>6717</c:v>
                </c:pt>
                <c:pt idx="156">
                  <c:v>8537</c:v>
                </c:pt>
                <c:pt idx="157">
                  <c:v>7734</c:v>
                </c:pt>
                <c:pt idx="158">
                  <c:v>6229</c:v>
                </c:pt>
                <c:pt idx="159">
                  <c:v>4589</c:v>
                </c:pt>
                <c:pt idx="160">
                  <c:v>4293</c:v>
                </c:pt>
                <c:pt idx="161">
                  <c:v>4890</c:v>
                </c:pt>
                <c:pt idx="162">
                  <c:v>5872</c:v>
                </c:pt>
                <c:pt idx="163">
                  <c:v>4556</c:v>
                </c:pt>
                <c:pt idx="164">
                  <c:v>3761</c:v>
                </c:pt>
                <c:pt idx="165">
                  <c:v>3288</c:v>
                </c:pt>
                <c:pt idx="166">
                  <c:v>2960</c:v>
                </c:pt>
                <c:pt idx="167">
                  <c:v>5239</c:v>
                </c:pt>
                <c:pt idx="168">
                  <c:v>9162</c:v>
                </c:pt>
                <c:pt idx="169">
                  <c:v>10570</c:v>
                </c:pt>
                <c:pt idx="170">
                  <c:v>10234</c:v>
                </c:pt>
                <c:pt idx="171">
                  <c:v>8572</c:v>
                </c:pt>
                <c:pt idx="172">
                  <c:v>8562</c:v>
                </c:pt>
                <c:pt idx="173">
                  <c:v>9573</c:v>
                </c:pt>
                <c:pt idx="174">
                  <c:v>8971</c:v>
                </c:pt>
                <c:pt idx="175">
                  <c:v>6923</c:v>
                </c:pt>
                <c:pt idx="176">
                  <c:v>5630</c:v>
                </c:pt>
                <c:pt idx="177">
                  <c:v>5976</c:v>
                </c:pt>
                <c:pt idx="178">
                  <c:v>6093</c:v>
                </c:pt>
                <c:pt idx="179">
                  <c:v>10812</c:v>
                </c:pt>
                <c:pt idx="180">
                  <c:v>13023</c:v>
                </c:pt>
                <c:pt idx="181">
                  <c:v>13378</c:v>
                </c:pt>
                <c:pt idx="182">
                  <c:v>11434</c:v>
                </c:pt>
                <c:pt idx="183">
                  <c:v>9594</c:v>
                </c:pt>
                <c:pt idx="184">
                  <c:v>9733</c:v>
                </c:pt>
                <c:pt idx="185">
                  <c:v>10986</c:v>
                </c:pt>
                <c:pt idx="186">
                  <c:v>10328</c:v>
                </c:pt>
                <c:pt idx="187">
                  <c:v>9334</c:v>
                </c:pt>
                <c:pt idx="188">
                  <c:v>8431</c:v>
                </c:pt>
                <c:pt idx="189">
                  <c:v>8077</c:v>
                </c:pt>
                <c:pt idx="190">
                  <c:v>7315</c:v>
                </c:pt>
                <c:pt idx="191">
                  <c:v>9849</c:v>
                </c:pt>
                <c:pt idx="192">
                  <c:v>11020</c:v>
                </c:pt>
                <c:pt idx="193">
                  <c:v>9981</c:v>
                </c:pt>
                <c:pt idx="194">
                  <c:v>9307</c:v>
                </c:pt>
                <c:pt idx="195">
                  <c:v>8481</c:v>
                </c:pt>
                <c:pt idx="196">
                  <c:v>8307</c:v>
                </c:pt>
                <c:pt idx="197">
                  <c:v>8634</c:v>
                </c:pt>
                <c:pt idx="198">
                  <c:v>8008</c:v>
                </c:pt>
                <c:pt idx="199">
                  <c:v>6514</c:v>
                </c:pt>
                <c:pt idx="200">
                  <c:v>4127</c:v>
                </c:pt>
                <c:pt idx="201">
                  <c:v>2533</c:v>
                </c:pt>
                <c:pt idx="202">
                  <c:v>2746</c:v>
                </c:pt>
                <c:pt idx="203">
                  <c:v>2626</c:v>
                </c:pt>
                <c:pt idx="204">
                  <c:v>4819</c:v>
                </c:pt>
                <c:pt idx="205">
                  <c:v>5662</c:v>
                </c:pt>
                <c:pt idx="206">
                  <c:v>5039</c:v>
                </c:pt>
                <c:pt idx="207">
                  <c:v>3661</c:v>
                </c:pt>
                <c:pt idx="208">
                  <c:v>3728</c:v>
                </c:pt>
                <c:pt idx="209">
                  <c:v>5066</c:v>
                </c:pt>
                <c:pt idx="210">
                  <c:v>5438</c:v>
                </c:pt>
                <c:pt idx="211">
                  <c:v>4582</c:v>
                </c:pt>
                <c:pt idx="212">
                  <c:v>3704</c:v>
                </c:pt>
                <c:pt idx="213">
                  <c:v>3689</c:v>
                </c:pt>
                <c:pt idx="214">
                  <c:v>4934</c:v>
                </c:pt>
                <c:pt idx="215">
                  <c:v>5692</c:v>
                </c:pt>
                <c:pt idx="216">
                  <c:v>9402</c:v>
                </c:pt>
                <c:pt idx="217">
                  <c:v>10511</c:v>
                </c:pt>
                <c:pt idx="218">
                  <c:v>9896</c:v>
                </c:pt>
                <c:pt idx="219">
                  <c:v>10234</c:v>
                </c:pt>
                <c:pt idx="220">
                  <c:v>11122</c:v>
                </c:pt>
                <c:pt idx="221">
                  <c:v>11029</c:v>
                </c:pt>
                <c:pt idx="222">
                  <c:v>9225</c:v>
                </c:pt>
                <c:pt idx="223">
                  <c:v>7209</c:v>
                </c:pt>
                <c:pt idx="224">
                  <c:v>6627</c:v>
                </c:pt>
                <c:pt idx="225">
                  <c:v>5883</c:v>
                </c:pt>
                <c:pt idx="226">
                  <c:v>4982</c:v>
                </c:pt>
                <c:pt idx="227">
                  <c:v>6822</c:v>
                </c:pt>
                <c:pt idx="228">
                  <c:v>9349</c:v>
                </c:pt>
                <c:pt idx="229">
                  <c:v>10028</c:v>
                </c:pt>
                <c:pt idx="230">
                  <c:v>9163</c:v>
                </c:pt>
                <c:pt idx="231">
                  <c:v>9493</c:v>
                </c:pt>
                <c:pt idx="232">
                  <c:v>8850</c:v>
                </c:pt>
                <c:pt idx="233">
                  <c:v>7742</c:v>
                </c:pt>
                <c:pt idx="234">
                  <c:v>7234</c:v>
                </c:pt>
                <c:pt idx="235">
                  <c:v>5822</c:v>
                </c:pt>
                <c:pt idx="236">
                  <c:v>3689</c:v>
                </c:pt>
                <c:pt idx="237">
                  <c:v>2623</c:v>
                </c:pt>
                <c:pt idx="238">
                  <c:v>2534</c:v>
                </c:pt>
                <c:pt idx="239">
                  <c:v>5247</c:v>
                </c:pt>
                <c:pt idx="240">
                  <c:v>9946</c:v>
                </c:pt>
                <c:pt idx="241">
                  <c:v>9541</c:v>
                </c:pt>
                <c:pt idx="242">
                  <c:v>7921</c:v>
                </c:pt>
                <c:pt idx="243">
                  <c:v>6575</c:v>
                </c:pt>
                <c:pt idx="244">
                  <c:v>6866</c:v>
                </c:pt>
                <c:pt idx="245">
                  <c:v>8376</c:v>
                </c:pt>
                <c:pt idx="246">
                  <c:v>9082</c:v>
                </c:pt>
                <c:pt idx="247">
                  <c:v>8074</c:v>
                </c:pt>
                <c:pt idx="248">
                  <c:v>6451</c:v>
                </c:pt>
                <c:pt idx="249">
                  <c:v>5146</c:v>
                </c:pt>
                <c:pt idx="250">
                  <c:v>5154</c:v>
                </c:pt>
                <c:pt idx="251">
                  <c:v>8045</c:v>
                </c:pt>
                <c:pt idx="252">
                  <c:v>10012</c:v>
                </c:pt>
                <c:pt idx="253">
                  <c:v>8982</c:v>
                </c:pt>
                <c:pt idx="254">
                  <c:v>8268</c:v>
                </c:pt>
                <c:pt idx="255">
                  <c:v>7237</c:v>
                </c:pt>
                <c:pt idx="256">
                  <c:v>6275</c:v>
                </c:pt>
                <c:pt idx="257">
                  <c:v>7770</c:v>
                </c:pt>
                <c:pt idx="258">
                  <c:v>8567</c:v>
                </c:pt>
                <c:pt idx="259">
                  <c:v>7418</c:v>
                </c:pt>
                <c:pt idx="260">
                  <c:v>5266</c:v>
                </c:pt>
                <c:pt idx="261">
                  <c:v>3587</c:v>
                </c:pt>
                <c:pt idx="262">
                  <c:v>3850</c:v>
                </c:pt>
                <c:pt idx="263">
                  <c:v>5111</c:v>
                </c:pt>
                <c:pt idx="264">
                  <c:v>7096</c:v>
                </c:pt>
                <c:pt idx="265">
                  <c:v>6914</c:v>
                </c:pt>
                <c:pt idx="266">
                  <c:v>6908</c:v>
                </c:pt>
                <c:pt idx="267">
                  <c:v>6075</c:v>
                </c:pt>
                <c:pt idx="268">
                  <c:v>5718</c:v>
                </c:pt>
                <c:pt idx="269">
                  <c:v>4899</c:v>
                </c:pt>
                <c:pt idx="270">
                  <c:v>5507</c:v>
                </c:pt>
                <c:pt idx="271">
                  <c:v>4617</c:v>
                </c:pt>
                <c:pt idx="272">
                  <c:v>2844</c:v>
                </c:pt>
                <c:pt idx="273">
                  <c:v>2884</c:v>
                </c:pt>
                <c:pt idx="274">
                  <c:v>3068</c:v>
                </c:pt>
                <c:pt idx="275">
                  <c:v>4552</c:v>
                </c:pt>
                <c:pt idx="276">
                  <c:v>8438</c:v>
                </c:pt>
                <c:pt idx="277">
                  <c:v>8240</c:v>
                </c:pt>
                <c:pt idx="278">
                  <c:v>7768</c:v>
                </c:pt>
                <c:pt idx="279">
                  <c:v>5396</c:v>
                </c:pt>
                <c:pt idx="280">
                  <c:v>6347</c:v>
                </c:pt>
                <c:pt idx="281">
                  <c:v>6740</c:v>
                </c:pt>
                <c:pt idx="282">
                  <c:v>7130</c:v>
                </c:pt>
                <c:pt idx="283">
                  <c:v>6418</c:v>
                </c:pt>
                <c:pt idx="284">
                  <c:v>4843</c:v>
                </c:pt>
                <c:pt idx="285">
                  <c:v>4155</c:v>
                </c:pt>
                <c:pt idx="286">
                  <c:v>3696</c:v>
                </c:pt>
                <c:pt idx="287">
                  <c:v>7050</c:v>
                </c:pt>
                <c:pt idx="288">
                  <c:v>10194</c:v>
                </c:pt>
                <c:pt idx="289">
                  <c:v>9891</c:v>
                </c:pt>
                <c:pt idx="290">
                  <c:v>7998</c:v>
                </c:pt>
                <c:pt idx="291">
                  <c:v>6606</c:v>
                </c:pt>
                <c:pt idx="292">
                  <c:v>6335</c:v>
                </c:pt>
                <c:pt idx="293">
                  <c:v>7090</c:v>
                </c:pt>
                <c:pt idx="294">
                  <c:v>7707</c:v>
                </c:pt>
                <c:pt idx="295">
                  <c:v>7401</c:v>
                </c:pt>
                <c:pt idx="296">
                  <c:v>5276</c:v>
                </c:pt>
                <c:pt idx="297">
                  <c:v>4684</c:v>
                </c:pt>
                <c:pt idx="298">
                  <c:v>5057</c:v>
                </c:pt>
                <c:pt idx="299">
                  <c:v>6673</c:v>
                </c:pt>
                <c:pt idx="300">
                  <c:v>10709</c:v>
                </c:pt>
                <c:pt idx="301">
                  <c:v>12046</c:v>
                </c:pt>
                <c:pt idx="302">
                  <c:v>10531</c:v>
                </c:pt>
                <c:pt idx="303">
                  <c:v>8298</c:v>
                </c:pt>
                <c:pt idx="304">
                  <c:v>6889</c:v>
                </c:pt>
                <c:pt idx="305">
                  <c:v>7218</c:v>
                </c:pt>
                <c:pt idx="306">
                  <c:v>7546</c:v>
                </c:pt>
                <c:pt idx="307">
                  <c:v>6464</c:v>
                </c:pt>
                <c:pt idx="308">
                  <c:v>5862</c:v>
                </c:pt>
                <c:pt idx="309">
                  <c:v>6120</c:v>
                </c:pt>
                <c:pt idx="310">
                  <c:v>7224</c:v>
                </c:pt>
                <c:pt idx="311">
                  <c:v>11564</c:v>
                </c:pt>
                <c:pt idx="312">
                  <c:v>13531</c:v>
                </c:pt>
                <c:pt idx="313">
                  <c:v>13160</c:v>
                </c:pt>
                <c:pt idx="314">
                  <c:v>12893</c:v>
                </c:pt>
                <c:pt idx="315">
                  <c:v>11519</c:v>
                </c:pt>
                <c:pt idx="316">
                  <c:v>9669</c:v>
                </c:pt>
                <c:pt idx="317">
                  <c:v>8636</c:v>
                </c:pt>
                <c:pt idx="318">
                  <c:v>6416</c:v>
                </c:pt>
                <c:pt idx="319">
                  <c:v>5725</c:v>
                </c:pt>
                <c:pt idx="320">
                  <c:v>4695</c:v>
                </c:pt>
                <c:pt idx="321">
                  <c:v>4152</c:v>
                </c:pt>
                <c:pt idx="322">
                  <c:v>4394</c:v>
                </c:pt>
                <c:pt idx="323">
                  <c:v>6517</c:v>
                </c:pt>
                <c:pt idx="324">
                  <c:v>11132</c:v>
                </c:pt>
                <c:pt idx="325">
                  <c:v>11086</c:v>
                </c:pt>
                <c:pt idx="326">
                  <c:v>8922</c:v>
                </c:pt>
                <c:pt idx="327">
                  <c:v>7653</c:v>
                </c:pt>
                <c:pt idx="328">
                  <c:v>7564</c:v>
                </c:pt>
                <c:pt idx="329">
                  <c:v>5945</c:v>
                </c:pt>
                <c:pt idx="330">
                  <c:v>6982</c:v>
                </c:pt>
                <c:pt idx="331">
                  <c:v>6149</c:v>
                </c:pt>
                <c:pt idx="332">
                  <c:v>4451</c:v>
                </c:pt>
                <c:pt idx="333">
                  <c:v>4114</c:v>
                </c:pt>
                <c:pt idx="334">
                  <c:v>4222</c:v>
                </c:pt>
                <c:pt idx="335">
                  <c:v>5075</c:v>
                </c:pt>
                <c:pt idx="336">
                  <c:v>9594</c:v>
                </c:pt>
                <c:pt idx="337">
                  <c:v>10628</c:v>
                </c:pt>
                <c:pt idx="338">
                  <c:v>8391</c:v>
                </c:pt>
                <c:pt idx="339">
                  <c:v>6190</c:v>
                </c:pt>
                <c:pt idx="340">
                  <c:v>6205</c:v>
                </c:pt>
                <c:pt idx="341">
                  <c:v>8717</c:v>
                </c:pt>
                <c:pt idx="342">
                  <c:v>9229</c:v>
                </c:pt>
                <c:pt idx="343">
                  <c:v>8347</c:v>
                </c:pt>
                <c:pt idx="344">
                  <c:v>6552</c:v>
                </c:pt>
                <c:pt idx="345">
                  <c:v>5667</c:v>
                </c:pt>
                <c:pt idx="346">
                  <c:v>5097</c:v>
                </c:pt>
                <c:pt idx="347">
                  <c:v>6525</c:v>
                </c:pt>
                <c:pt idx="348">
                  <c:v>9753</c:v>
                </c:pt>
                <c:pt idx="349">
                  <c:v>9907</c:v>
                </c:pt>
                <c:pt idx="350">
                  <c:v>9087</c:v>
                </c:pt>
                <c:pt idx="351">
                  <c:v>7842</c:v>
                </c:pt>
                <c:pt idx="352">
                  <c:v>6058</c:v>
                </c:pt>
                <c:pt idx="353">
                  <c:v>4730</c:v>
                </c:pt>
                <c:pt idx="354">
                  <c:v>6206</c:v>
                </c:pt>
                <c:pt idx="355">
                  <c:v>5521</c:v>
                </c:pt>
                <c:pt idx="356">
                  <c:v>3974</c:v>
                </c:pt>
                <c:pt idx="357">
                  <c:v>3001</c:v>
                </c:pt>
                <c:pt idx="358">
                  <c:v>3917</c:v>
                </c:pt>
                <c:pt idx="359">
                  <c:v>7954</c:v>
                </c:pt>
                <c:pt idx="360">
                  <c:v>12508</c:v>
                </c:pt>
                <c:pt idx="361">
                  <c:v>12762</c:v>
                </c:pt>
                <c:pt idx="362">
                  <c:v>11298</c:v>
                </c:pt>
                <c:pt idx="363">
                  <c:v>10112</c:v>
                </c:pt>
                <c:pt idx="364">
                  <c:v>10415</c:v>
                </c:pt>
                <c:pt idx="365">
                  <c:v>10403</c:v>
                </c:pt>
                <c:pt idx="366">
                  <c:v>9164</c:v>
                </c:pt>
                <c:pt idx="367">
                  <c:v>6784</c:v>
                </c:pt>
                <c:pt idx="368">
                  <c:v>4613</c:v>
                </c:pt>
                <c:pt idx="369">
                  <c:v>5016</c:v>
                </c:pt>
                <c:pt idx="370">
                  <c:v>5769</c:v>
                </c:pt>
                <c:pt idx="371">
                  <c:v>7046</c:v>
                </c:pt>
                <c:pt idx="372">
                  <c:v>7490</c:v>
                </c:pt>
                <c:pt idx="373">
                  <c:v>8007</c:v>
                </c:pt>
                <c:pt idx="374">
                  <c:v>7230</c:v>
                </c:pt>
                <c:pt idx="375">
                  <c:v>6475</c:v>
                </c:pt>
                <c:pt idx="376">
                  <c:v>5830</c:v>
                </c:pt>
                <c:pt idx="377">
                  <c:v>6361</c:v>
                </c:pt>
                <c:pt idx="378">
                  <c:v>8204</c:v>
                </c:pt>
                <c:pt idx="379">
                  <c:v>7320</c:v>
                </c:pt>
                <c:pt idx="380">
                  <c:v>4473</c:v>
                </c:pt>
                <c:pt idx="381">
                  <c:v>2714</c:v>
                </c:pt>
                <c:pt idx="382">
                  <c:v>2490</c:v>
                </c:pt>
                <c:pt idx="383">
                  <c:v>4439</c:v>
                </c:pt>
                <c:pt idx="384">
                  <c:v>7576</c:v>
                </c:pt>
                <c:pt idx="385">
                  <c:v>9399</c:v>
                </c:pt>
                <c:pt idx="386">
                  <c:v>7715</c:v>
                </c:pt>
                <c:pt idx="387">
                  <c:v>6023</c:v>
                </c:pt>
                <c:pt idx="388">
                  <c:v>6893</c:v>
                </c:pt>
                <c:pt idx="389">
                  <c:v>9569</c:v>
                </c:pt>
                <c:pt idx="390">
                  <c:v>11092</c:v>
                </c:pt>
                <c:pt idx="391">
                  <c:v>9027</c:v>
                </c:pt>
                <c:pt idx="392">
                  <c:v>6370</c:v>
                </c:pt>
                <c:pt idx="393">
                  <c:v>5140</c:v>
                </c:pt>
                <c:pt idx="394">
                  <c:v>5825</c:v>
                </c:pt>
                <c:pt idx="395">
                  <c:v>8325</c:v>
                </c:pt>
                <c:pt idx="396">
                  <c:v>11579</c:v>
                </c:pt>
                <c:pt idx="397">
                  <c:v>11148</c:v>
                </c:pt>
                <c:pt idx="398">
                  <c:v>9926</c:v>
                </c:pt>
                <c:pt idx="399">
                  <c:v>10343</c:v>
                </c:pt>
                <c:pt idx="400">
                  <c:v>10851</c:v>
                </c:pt>
                <c:pt idx="401">
                  <c:v>13567</c:v>
                </c:pt>
                <c:pt idx="402">
                  <c:v>13531</c:v>
                </c:pt>
                <c:pt idx="403">
                  <c:v>9666</c:v>
                </c:pt>
                <c:pt idx="404">
                  <c:v>5002</c:v>
                </c:pt>
                <c:pt idx="405">
                  <c:v>4969</c:v>
                </c:pt>
                <c:pt idx="406">
                  <c:v>3794</c:v>
                </c:pt>
                <c:pt idx="407">
                  <c:v>6688</c:v>
                </c:pt>
                <c:pt idx="408">
                  <c:v>8713</c:v>
                </c:pt>
                <c:pt idx="409">
                  <c:v>9039</c:v>
                </c:pt>
                <c:pt idx="410">
                  <c:v>8012</c:v>
                </c:pt>
                <c:pt idx="411">
                  <c:v>6136</c:v>
                </c:pt>
                <c:pt idx="412">
                  <c:v>6260</c:v>
                </c:pt>
                <c:pt idx="413">
                  <c:v>5896</c:v>
                </c:pt>
                <c:pt idx="414">
                  <c:v>6636</c:v>
                </c:pt>
                <c:pt idx="415">
                  <c:v>5139</c:v>
                </c:pt>
                <c:pt idx="416">
                  <c:v>3352</c:v>
                </c:pt>
                <c:pt idx="417">
                  <c:v>3159</c:v>
                </c:pt>
                <c:pt idx="418">
                  <c:v>4656</c:v>
                </c:pt>
                <c:pt idx="419">
                  <c:v>7503</c:v>
                </c:pt>
                <c:pt idx="420">
                  <c:v>12341</c:v>
                </c:pt>
                <c:pt idx="421">
                  <c:v>10863</c:v>
                </c:pt>
                <c:pt idx="422">
                  <c:v>9138</c:v>
                </c:pt>
                <c:pt idx="423">
                  <c:v>8187</c:v>
                </c:pt>
                <c:pt idx="424">
                  <c:v>6925</c:v>
                </c:pt>
                <c:pt idx="425">
                  <c:v>8789</c:v>
                </c:pt>
                <c:pt idx="426">
                  <c:v>8825</c:v>
                </c:pt>
                <c:pt idx="427">
                  <c:v>6962</c:v>
                </c:pt>
                <c:pt idx="428">
                  <c:v>4257</c:v>
                </c:pt>
                <c:pt idx="429">
                  <c:v>3337</c:v>
                </c:pt>
                <c:pt idx="430">
                  <c:v>2826</c:v>
                </c:pt>
                <c:pt idx="431">
                  <c:v>5471</c:v>
                </c:pt>
                <c:pt idx="432">
                  <c:v>9153</c:v>
                </c:pt>
                <c:pt idx="433">
                  <c:v>9520</c:v>
                </c:pt>
                <c:pt idx="434">
                  <c:v>7930</c:v>
                </c:pt>
                <c:pt idx="435">
                  <c:v>6553</c:v>
                </c:pt>
                <c:pt idx="436">
                  <c:v>7005</c:v>
                </c:pt>
                <c:pt idx="437">
                  <c:v>8703</c:v>
                </c:pt>
                <c:pt idx="438">
                  <c:v>9034</c:v>
                </c:pt>
                <c:pt idx="439">
                  <c:v>8375</c:v>
                </c:pt>
                <c:pt idx="440">
                  <c:v>5916</c:v>
                </c:pt>
                <c:pt idx="441">
                  <c:v>2697</c:v>
                </c:pt>
                <c:pt idx="442">
                  <c:v>2776</c:v>
                </c:pt>
                <c:pt idx="443">
                  <c:v>5147</c:v>
                </c:pt>
                <c:pt idx="444">
                  <c:v>9909</c:v>
                </c:pt>
                <c:pt idx="445">
                  <c:v>10328</c:v>
                </c:pt>
                <c:pt idx="446">
                  <c:v>8275</c:v>
                </c:pt>
                <c:pt idx="447">
                  <c:v>5730</c:v>
                </c:pt>
                <c:pt idx="448">
                  <c:v>6383</c:v>
                </c:pt>
                <c:pt idx="449">
                  <c:v>6289</c:v>
                </c:pt>
                <c:pt idx="450">
                  <c:v>6776</c:v>
                </c:pt>
                <c:pt idx="451">
                  <c:v>4768</c:v>
                </c:pt>
                <c:pt idx="452">
                  <c:v>2953</c:v>
                </c:pt>
                <c:pt idx="453">
                  <c:v>1953</c:v>
                </c:pt>
                <c:pt idx="454">
                  <c:v>2120</c:v>
                </c:pt>
                <c:pt idx="455">
                  <c:v>3132</c:v>
                </c:pt>
                <c:pt idx="456">
                  <c:v>6946</c:v>
                </c:pt>
                <c:pt idx="457">
                  <c:v>9042</c:v>
                </c:pt>
                <c:pt idx="458">
                  <c:v>7210</c:v>
                </c:pt>
                <c:pt idx="459">
                  <c:v>4574</c:v>
                </c:pt>
                <c:pt idx="460">
                  <c:v>5593</c:v>
                </c:pt>
                <c:pt idx="461">
                  <c:v>7425</c:v>
                </c:pt>
                <c:pt idx="462">
                  <c:v>8307</c:v>
                </c:pt>
                <c:pt idx="463">
                  <c:v>7897</c:v>
                </c:pt>
                <c:pt idx="464">
                  <c:v>5986</c:v>
                </c:pt>
                <c:pt idx="465">
                  <c:v>5418</c:v>
                </c:pt>
                <c:pt idx="466">
                  <c:v>6053</c:v>
                </c:pt>
                <c:pt idx="467">
                  <c:v>10435</c:v>
                </c:pt>
                <c:pt idx="468">
                  <c:v>15373</c:v>
                </c:pt>
                <c:pt idx="469">
                  <c:v>15382</c:v>
                </c:pt>
                <c:pt idx="470">
                  <c:v>12699</c:v>
                </c:pt>
                <c:pt idx="471">
                  <c:v>10697</c:v>
                </c:pt>
                <c:pt idx="472">
                  <c:v>9192</c:v>
                </c:pt>
                <c:pt idx="473">
                  <c:v>8708</c:v>
                </c:pt>
                <c:pt idx="474">
                  <c:v>7786</c:v>
                </c:pt>
                <c:pt idx="475">
                  <c:v>6222</c:v>
                </c:pt>
                <c:pt idx="476">
                  <c:v>4242</c:v>
                </c:pt>
                <c:pt idx="477">
                  <c:v>4896</c:v>
                </c:pt>
                <c:pt idx="478">
                  <c:v>3880</c:v>
                </c:pt>
                <c:pt idx="479">
                  <c:v>7015</c:v>
                </c:pt>
                <c:pt idx="480">
                  <c:v>14159</c:v>
                </c:pt>
                <c:pt idx="481">
                  <c:v>14475</c:v>
                </c:pt>
                <c:pt idx="482">
                  <c:v>10593</c:v>
                </c:pt>
                <c:pt idx="483">
                  <c:v>7316</c:v>
                </c:pt>
                <c:pt idx="484">
                  <c:v>7024</c:v>
                </c:pt>
                <c:pt idx="485">
                  <c:v>7253</c:v>
                </c:pt>
                <c:pt idx="486">
                  <c:v>7957</c:v>
                </c:pt>
                <c:pt idx="487">
                  <c:v>7658</c:v>
                </c:pt>
                <c:pt idx="488">
                  <c:v>6208</c:v>
                </c:pt>
                <c:pt idx="489">
                  <c:v>6449</c:v>
                </c:pt>
                <c:pt idx="490">
                  <c:v>7292</c:v>
                </c:pt>
                <c:pt idx="491">
                  <c:v>10495</c:v>
                </c:pt>
                <c:pt idx="492">
                  <c:v>12731</c:v>
                </c:pt>
                <c:pt idx="493">
                  <c:v>12396</c:v>
                </c:pt>
                <c:pt idx="494">
                  <c:v>11374</c:v>
                </c:pt>
                <c:pt idx="495">
                  <c:v>9129</c:v>
                </c:pt>
                <c:pt idx="496">
                  <c:v>7417</c:v>
                </c:pt>
                <c:pt idx="497">
                  <c:v>6546</c:v>
                </c:pt>
                <c:pt idx="498">
                  <c:v>5443</c:v>
                </c:pt>
                <c:pt idx="499">
                  <c:v>4529</c:v>
                </c:pt>
                <c:pt idx="500">
                  <c:v>2960</c:v>
                </c:pt>
                <c:pt idx="501">
                  <c:v>2304</c:v>
                </c:pt>
                <c:pt idx="502">
                  <c:v>2436</c:v>
                </c:pt>
                <c:pt idx="503">
                  <c:v>4160</c:v>
                </c:pt>
                <c:pt idx="504">
                  <c:v>7553</c:v>
                </c:pt>
                <c:pt idx="505">
                  <c:v>8036</c:v>
                </c:pt>
                <c:pt idx="506">
                  <c:v>7051</c:v>
                </c:pt>
                <c:pt idx="507">
                  <c:v>6590</c:v>
                </c:pt>
                <c:pt idx="508">
                  <c:v>6556</c:v>
                </c:pt>
                <c:pt idx="509">
                  <c:v>9531</c:v>
                </c:pt>
                <c:pt idx="510">
                  <c:v>9887</c:v>
                </c:pt>
                <c:pt idx="511">
                  <c:v>7967</c:v>
                </c:pt>
                <c:pt idx="512">
                  <c:v>5426</c:v>
                </c:pt>
                <c:pt idx="513">
                  <c:v>4347</c:v>
                </c:pt>
                <c:pt idx="514">
                  <c:v>5918</c:v>
                </c:pt>
                <c:pt idx="515">
                  <c:v>7223</c:v>
                </c:pt>
              </c:numCache>
            </c:numRef>
          </c:xVal>
          <c:yVal>
            <c:numRef>
              <c:f>Transporte!$O$5:$O$520</c:f>
              <c:numCache>
                <c:formatCode>General</c:formatCode>
                <c:ptCount val="516"/>
                <c:pt idx="0">
                  <c:v>13733</c:v>
                </c:pt>
                <c:pt idx="1">
                  <c:v>12934</c:v>
                </c:pt>
                <c:pt idx="2">
                  <c:v>10429</c:v>
                </c:pt>
                <c:pt idx="3">
                  <c:v>6985</c:v>
                </c:pt>
                <c:pt idx="4">
                  <c:v>4832</c:v>
                </c:pt>
                <c:pt idx="5">
                  <c:v>5803</c:v>
                </c:pt>
                <c:pt idx="6">
                  <c:v>9247</c:v>
                </c:pt>
                <c:pt idx="7">
                  <c:v>9219</c:v>
                </c:pt>
                <c:pt idx="8">
                  <c:v>4464</c:v>
                </c:pt>
                <c:pt idx="9">
                  <c:v>5428</c:v>
                </c:pt>
                <c:pt idx="10">
                  <c:v>3702</c:v>
                </c:pt>
                <c:pt idx="11">
                  <c:v>7869</c:v>
                </c:pt>
                <c:pt idx="24">
                  <c:v>10054</c:v>
                </c:pt>
                <c:pt idx="25">
                  <c:v>11863</c:v>
                </c:pt>
                <c:pt idx="26">
                  <c:v>9083</c:v>
                </c:pt>
                <c:pt idx="27">
                  <c:v>8957</c:v>
                </c:pt>
                <c:pt idx="28">
                  <c:v>8613</c:v>
                </c:pt>
                <c:pt idx="29">
                  <c:v>9084</c:v>
                </c:pt>
                <c:pt idx="30">
                  <c:v>14584</c:v>
                </c:pt>
                <c:pt idx="31">
                  <c:v>16730</c:v>
                </c:pt>
                <c:pt idx="32">
                  <c:v>9180</c:v>
                </c:pt>
                <c:pt idx="33">
                  <c:v>5412</c:v>
                </c:pt>
                <c:pt idx="34">
                  <c:v>9640</c:v>
                </c:pt>
                <c:pt idx="35">
                  <c:v>21327</c:v>
                </c:pt>
                <c:pt idx="36">
                  <c:v>32570</c:v>
                </c:pt>
                <c:pt idx="37">
                  <c:v>23485</c:v>
                </c:pt>
                <c:pt idx="38">
                  <c:v>17415</c:v>
                </c:pt>
                <c:pt idx="39">
                  <c:v>15310</c:v>
                </c:pt>
                <c:pt idx="40">
                  <c:v>19387</c:v>
                </c:pt>
                <c:pt idx="41">
                  <c:v>23579</c:v>
                </c:pt>
                <c:pt idx="42">
                  <c:v>29180</c:v>
                </c:pt>
                <c:pt idx="43">
                  <c:v>26750</c:v>
                </c:pt>
                <c:pt idx="44">
                  <c:v>13049</c:v>
                </c:pt>
                <c:pt idx="45">
                  <c:v>9190</c:v>
                </c:pt>
                <c:pt idx="46">
                  <c:v>8644</c:v>
                </c:pt>
                <c:pt idx="47">
                  <c:v>24530</c:v>
                </c:pt>
                <c:pt idx="48">
                  <c:v>34857</c:v>
                </c:pt>
                <c:pt idx="49">
                  <c:v>32856</c:v>
                </c:pt>
                <c:pt idx="50">
                  <c:v>33804</c:v>
                </c:pt>
                <c:pt idx="51">
                  <c:v>29191</c:v>
                </c:pt>
                <c:pt idx="52">
                  <c:v>29793</c:v>
                </c:pt>
                <c:pt idx="53">
                  <c:v>22569</c:v>
                </c:pt>
                <c:pt idx="54">
                  <c:v>15899</c:v>
                </c:pt>
                <c:pt idx="55">
                  <c:v>10630</c:v>
                </c:pt>
                <c:pt idx="56">
                  <c:v>5225</c:v>
                </c:pt>
                <c:pt idx="57">
                  <c:v>3231</c:v>
                </c:pt>
                <c:pt idx="58">
                  <c:v>2047</c:v>
                </c:pt>
                <c:pt idx="59">
                  <c:v>3620</c:v>
                </c:pt>
                <c:pt idx="60">
                  <c:v>7124</c:v>
                </c:pt>
                <c:pt idx="61">
                  <c:v>10275</c:v>
                </c:pt>
                <c:pt idx="62">
                  <c:v>6802</c:v>
                </c:pt>
                <c:pt idx="63">
                  <c:v>8097</c:v>
                </c:pt>
                <c:pt idx="64">
                  <c:v>8274</c:v>
                </c:pt>
                <c:pt idx="65">
                  <c:v>11240</c:v>
                </c:pt>
                <c:pt idx="66">
                  <c:v>11709</c:v>
                </c:pt>
                <c:pt idx="67">
                  <c:v>12244</c:v>
                </c:pt>
                <c:pt idx="68">
                  <c:v>9875</c:v>
                </c:pt>
                <c:pt idx="69">
                  <c:v>7483</c:v>
                </c:pt>
                <c:pt idx="70">
                  <c:v>8904</c:v>
                </c:pt>
                <c:pt idx="71">
                  <c:v>18391</c:v>
                </c:pt>
                <c:pt idx="72">
                  <c:v>30406</c:v>
                </c:pt>
                <c:pt idx="73">
                  <c:v>26105</c:v>
                </c:pt>
                <c:pt idx="74">
                  <c:v>23173</c:v>
                </c:pt>
                <c:pt idx="75">
                  <c:v>22667</c:v>
                </c:pt>
                <c:pt idx="76">
                  <c:v>22880</c:v>
                </c:pt>
                <c:pt idx="77">
                  <c:v>21718</c:v>
                </c:pt>
                <c:pt idx="78">
                  <c:v>16964</c:v>
                </c:pt>
                <c:pt idx="79">
                  <c:v>11940</c:v>
                </c:pt>
                <c:pt idx="80">
                  <c:v>7302</c:v>
                </c:pt>
                <c:pt idx="81">
                  <c:v>7041</c:v>
                </c:pt>
                <c:pt idx="82">
                  <c:v>6649</c:v>
                </c:pt>
                <c:pt idx="83">
                  <c:v>14942</c:v>
                </c:pt>
                <c:pt idx="84">
                  <c:v>24612</c:v>
                </c:pt>
                <c:pt idx="85">
                  <c:v>25594</c:v>
                </c:pt>
                <c:pt idx="86">
                  <c:v>18750</c:v>
                </c:pt>
                <c:pt idx="87">
                  <c:v>18077</c:v>
                </c:pt>
                <c:pt idx="88">
                  <c:v>15776</c:v>
                </c:pt>
                <c:pt idx="89">
                  <c:v>20584</c:v>
                </c:pt>
                <c:pt idx="90">
                  <c:v>20340</c:v>
                </c:pt>
                <c:pt idx="91">
                  <c:v>13691</c:v>
                </c:pt>
                <c:pt idx="92">
                  <c:v>7312</c:v>
                </c:pt>
                <c:pt idx="93">
                  <c:v>2809</c:v>
                </c:pt>
                <c:pt idx="94">
                  <c:v>3732</c:v>
                </c:pt>
                <c:pt idx="95">
                  <c:v>12575</c:v>
                </c:pt>
                <c:pt idx="96">
                  <c:v>19098</c:v>
                </c:pt>
                <c:pt idx="97">
                  <c:v>14827</c:v>
                </c:pt>
                <c:pt idx="98">
                  <c:v>10805</c:v>
                </c:pt>
                <c:pt idx="99">
                  <c:v>10109</c:v>
                </c:pt>
                <c:pt idx="100">
                  <c:v>10301</c:v>
                </c:pt>
                <c:pt idx="101">
                  <c:v>18071</c:v>
                </c:pt>
                <c:pt idx="102">
                  <c:v>19737</c:v>
                </c:pt>
                <c:pt idx="103">
                  <c:v>14451</c:v>
                </c:pt>
                <c:pt idx="104">
                  <c:v>8536</c:v>
                </c:pt>
                <c:pt idx="105">
                  <c:v>5064</c:v>
                </c:pt>
                <c:pt idx="106">
                  <c:v>6610</c:v>
                </c:pt>
                <c:pt idx="107">
                  <c:v>15637</c:v>
                </c:pt>
                <c:pt idx="110">
                  <c:v>11363</c:v>
                </c:pt>
                <c:pt idx="111">
                  <c:v>8571</c:v>
                </c:pt>
                <c:pt idx="112">
                  <c:v>9587</c:v>
                </c:pt>
                <c:pt idx="115">
                  <c:v>9492</c:v>
                </c:pt>
                <c:pt idx="116">
                  <c:v>5103</c:v>
                </c:pt>
                <c:pt idx="117">
                  <c:v>4210</c:v>
                </c:pt>
                <c:pt idx="118">
                  <c:v>4937</c:v>
                </c:pt>
                <c:pt idx="119">
                  <c:v>10582</c:v>
                </c:pt>
                <c:pt idx="120">
                  <c:v>20571</c:v>
                </c:pt>
                <c:pt idx="121">
                  <c:v>17435</c:v>
                </c:pt>
                <c:pt idx="122">
                  <c:v>12564</c:v>
                </c:pt>
                <c:pt idx="123">
                  <c:v>8509</c:v>
                </c:pt>
                <c:pt idx="124">
                  <c:v>8098</c:v>
                </c:pt>
                <c:pt idx="125">
                  <c:v>8598</c:v>
                </c:pt>
                <c:pt idx="126">
                  <c:v>10993</c:v>
                </c:pt>
                <c:pt idx="127">
                  <c:v>8244</c:v>
                </c:pt>
                <c:pt idx="128">
                  <c:v>3768</c:v>
                </c:pt>
                <c:pt idx="129">
                  <c:v>2799</c:v>
                </c:pt>
                <c:pt idx="130">
                  <c:v>3812</c:v>
                </c:pt>
                <c:pt idx="131">
                  <c:v>13563</c:v>
                </c:pt>
                <c:pt idx="132">
                  <c:v>20657</c:v>
                </c:pt>
                <c:pt idx="133">
                  <c:v>17053</c:v>
                </c:pt>
                <c:pt idx="134">
                  <c:v>12280</c:v>
                </c:pt>
                <c:pt idx="135">
                  <c:v>8210</c:v>
                </c:pt>
                <c:pt idx="136">
                  <c:v>10123</c:v>
                </c:pt>
                <c:pt idx="137">
                  <c:v>11497</c:v>
                </c:pt>
                <c:pt idx="138">
                  <c:v>10185</c:v>
                </c:pt>
                <c:pt idx="139">
                  <c:v>8114</c:v>
                </c:pt>
                <c:pt idx="140">
                  <c:v>4128</c:v>
                </c:pt>
                <c:pt idx="141">
                  <c:v>2472</c:v>
                </c:pt>
                <c:pt idx="142">
                  <c:v>1859</c:v>
                </c:pt>
                <c:pt idx="143">
                  <c:v>3783</c:v>
                </c:pt>
                <c:pt idx="144">
                  <c:v>8688</c:v>
                </c:pt>
                <c:pt idx="145">
                  <c:v>10968</c:v>
                </c:pt>
                <c:pt idx="146">
                  <c:v>6424</c:v>
                </c:pt>
                <c:pt idx="147">
                  <c:v>5310</c:v>
                </c:pt>
                <c:pt idx="148">
                  <c:v>5245</c:v>
                </c:pt>
                <c:pt idx="149">
                  <c:v>9728</c:v>
                </c:pt>
                <c:pt idx="150">
                  <c:v>11108</c:v>
                </c:pt>
                <c:pt idx="151">
                  <c:v>8108</c:v>
                </c:pt>
                <c:pt idx="152">
                  <c:v>5226</c:v>
                </c:pt>
                <c:pt idx="153">
                  <c:v>2779</c:v>
                </c:pt>
                <c:pt idx="154">
                  <c:v>3086</c:v>
                </c:pt>
                <c:pt idx="155">
                  <c:v>9792</c:v>
                </c:pt>
                <c:pt idx="156">
                  <c:v>13872</c:v>
                </c:pt>
                <c:pt idx="157">
                  <c:v>11591</c:v>
                </c:pt>
                <c:pt idx="158">
                  <c:v>8679</c:v>
                </c:pt>
                <c:pt idx="159">
                  <c:v>5349</c:v>
                </c:pt>
                <c:pt idx="160">
                  <c:v>5003</c:v>
                </c:pt>
                <c:pt idx="161">
                  <c:v>6038</c:v>
                </c:pt>
                <c:pt idx="162">
                  <c:v>7683</c:v>
                </c:pt>
                <c:pt idx="163">
                  <c:v>5479</c:v>
                </c:pt>
                <c:pt idx="164">
                  <c:v>3952</c:v>
                </c:pt>
                <c:pt idx="165">
                  <c:v>3362</c:v>
                </c:pt>
                <c:pt idx="166">
                  <c:v>2594</c:v>
                </c:pt>
                <c:pt idx="167">
                  <c:v>6781</c:v>
                </c:pt>
                <c:pt idx="168">
                  <c:v>15503</c:v>
                </c:pt>
                <c:pt idx="169">
                  <c:v>18466</c:v>
                </c:pt>
                <c:pt idx="170">
                  <c:v>18190</c:v>
                </c:pt>
                <c:pt idx="171">
                  <c:v>13526</c:v>
                </c:pt>
                <c:pt idx="172">
                  <c:v>13949</c:v>
                </c:pt>
                <c:pt idx="173">
                  <c:v>16465</c:v>
                </c:pt>
                <c:pt idx="174">
                  <c:v>14474</c:v>
                </c:pt>
                <c:pt idx="175">
                  <c:v>10167</c:v>
                </c:pt>
                <c:pt idx="176">
                  <c:v>7215</c:v>
                </c:pt>
                <c:pt idx="177">
                  <c:v>8152</c:v>
                </c:pt>
                <c:pt idx="178">
                  <c:v>7908</c:v>
                </c:pt>
                <c:pt idx="179">
                  <c:v>19861</c:v>
                </c:pt>
                <c:pt idx="192">
                  <c:v>31579</c:v>
                </c:pt>
                <c:pt idx="193">
                  <c:v>25031</c:v>
                </c:pt>
                <c:pt idx="194">
                  <c:v>22450</c:v>
                </c:pt>
                <c:pt idx="195">
                  <c:v>17885</c:v>
                </c:pt>
                <c:pt idx="196">
                  <c:v>17338</c:v>
                </c:pt>
                <c:pt idx="197">
                  <c:v>19257</c:v>
                </c:pt>
                <c:pt idx="198">
                  <c:v>15554</c:v>
                </c:pt>
                <c:pt idx="199">
                  <c:v>11028</c:v>
                </c:pt>
                <c:pt idx="200">
                  <c:v>4329</c:v>
                </c:pt>
                <c:pt idx="201">
                  <c:v>1626</c:v>
                </c:pt>
                <c:pt idx="202">
                  <c:v>1747</c:v>
                </c:pt>
                <c:pt idx="203">
                  <c:v>1750</c:v>
                </c:pt>
                <c:pt idx="204">
                  <c:v>6312</c:v>
                </c:pt>
                <c:pt idx="205">
                  <c:v>8111</c:v>
                </c:pt>
                <c:pt idx="206">
                  <c:v>6523</c:v>
                </c:pt>
                <c:pt idx="207">
                  <c:v>3348</c:v>
                </c:pt>
                <c:pt idx="208">
                  <c:v>3550</c:v>
                </c:pt>
                <c:pt idx="209">
                  <c:v>6650</c:v>
                </c:pt>
                <c:pt idx="210">
                  <c:v>7390</c:v>
                </c:pt>
                <c:pt idx="211">
                  <c:v>5373</c:v>
                </c:pt>
                <c:pt idx="212">
                  <c:v>3443</c:v>
                </c:pt>
                <c:pt idx="213">
                  <c:v>3501</c:v>
                </c:pt>
                <c:pt idx="214">
                  <c:v>5632</c:v>
                </c:pt>
                <c:pt idx="215">
                  <c:v>8426</c:v>
                </c:pt>
                <c:pt idx="216">
                  <c:v>22990</c:v>
                </c:pt>
                <c:pt idx="217">
                  <c:v>27769</c:v>
                </c:pt>
                <c:pt idx="218">
                  <c:v>25414</c:v>
                </c:pt>
                <c:pt idx="219">
                  <c:v>26320</c:v>
                </c:pt>
                <c:pt idx="220">
                  <c:v>32200</c:v>
                </c:pt>
                <c:pt idx="221">
                  <c:v>31709</c:v>
                </c:pt>
                <c:pt idx="222">
                  <c:v>21393</c:v>
                </c:pt>
                <c:pt idx="223">
                  <c:v>13290</c:v>
                </c:pt>
                <c:pt idx="224">
                  <c:v>10949</c:v>
                </c:pt>
                <c:pt idx="225">
                  <c:v>9054</c:v>
                </c:pt>
                <c:pt idx="226">
                  <c:v>5953</c:v>
                </c:pt>
                <c:pt idx="227">
                  <c:v>12245</c:v>
                </c:pt>
                <c:pt idx="228">
                  <c:v>22700</c:v>
                </c:pt>
                <c:pt idx="229">
                  <c:v>12625</c:v>
                </c:pt>
                <c:pt idx="230">
                  <c:v>21754</c:v>
                </c:pt>
                <c:pt idx="231">
                  <c:v>22612</c:v>
                </c:pt>
                <c:pt idx="232">
                  <c:v>20332</c:v>
                </c:pt>
                <c:pt idx="233">
                  <c:v>15478</c:v>
                </c:pt>
                <c:pt idx="234">
                  <c:v>13104</c:v>
                </c:pt>
                <c:pt idx="235">
                  <c:v>8745</c:v>
                </c:pt>
                <c:pt idx="236">
                  <c:v>3423</c:v>
                </c:pt>
                <c:pt idx="237">
                  <c:v>1767</c:v>
                </c:pt>
                <c:pt idx="238">
                  <c:v>1497</c:v>
                </c:pt>
                <c:pt idx="239">
                  <c:v>7567</c:v>
                </c:pt>
                <c:pt idx="240">
                  <c:v>25821</c:v>
                </c:pt>
                <c:pt idx="241">
                  <c:v>22969</c:v>
                </c:pt>
                <c:pt idx="242">
                  <c:v>16391</c:v>
                </c:pt>
                <c:pt idx="243">
                  <c:v>10837</c:v>
                </c:pt>
                <c:pt idx="244">
                  <c:v>12208</c:v>
                </c:pt>
                <c:pt idx="245">
                  <c:v>18320</c:v>
                </c:pt>
                <c:pt idx="246">
                  <c:v>20773</c:v>
                </c:pt>
                <c:pt idx="247">
                  <c:v>16971</c:v>
                </c:pt>
                <c:pt idx="248">
                  <c:v>10474</c:v>
                </c:pt>
                <c:pt idx="249">
                  <c:v>6830</c:v>
                </c:pt>
                <c:pt idx="250">
                  <c:v>6237</c:v>
                </c:pt>
                <c:pt idx="251">
                  <c:v>17094</c:v>
                </c:pt>
                <c:pt idx="252">
                  <c:v>26148</c:v>
                </c:pt>
                <c:pt idx="253">
                  <c:v>20331</c:v>
                </c:pt>
                <c:pt idx="254">
                  <c:v>17756</c:v>
                </c:pt>
                <c:pt idx="255">
                  <c:v>13251</c:v>
                </c:pt>
                <c:pt idx="256">
                  <c:v>10202</c:v>
                </c:pt>
                <c:pt idx="257">
                  <c:v>15703</c:v>
                </c:pt>
                <c:pt idx="258">
                  <c:v>18468</c:v>
                </c:pt>
                <c:pt idx="259">
                  <c:v>14387</c:v>
                </c:pt>
                <c:pt idx="260">
                  <c:v>6970</c:v>
                </c:pt>
                <c:pt idx="261">
                  <c:v>3348</c:v>
                </c:pt>
                <c:pt idx="262">
                  <c:v>3469</c:v>
                </c:pt>
                <c:pt idx="263">
                  <c:v>6770</c:v>
                </c:pt>
                <c:pt idx="264">
                  <c:v>13090</c:v>
                </c:pt>
                <c:pt idx="265">
                  <c:v>11977</c:v>
                </c:pt>
                <c:pt idx="266">
                  <c:v>12356</c:v>
                </c:pt>
                <c:pt idx="267">
                  <c:v>9242</c:v>
                </c:pt>
                <c:pt idx="268">
                  <c:v>8444</c:v>
                </c:pt>
                <c:pt idx="269">
                  <c:v>6194</c:v>
                </c:pt>
                <c:pt idx="270">
                  <c:v>7588</c:v>
                </c:pt>
                <c:pt idx="271">
                  <c:v>5545</c:v>
                </c:pt>
                <c:pt idx="272">
                  <c:v>2027</c:v>
                </c:pt>
                <c:pt idx="273">
                  <c:v>2122</c:v>
                </c:pt>
                <c:pt idx="274">
                  <c:v>2247</c:v>
                </c:pt>
                <c:pt idx="275">
                  <c:v>5564</c:v>
                </c:pt>
                <c:pt idx="276">
                  <c:v>18596</c:v>
                </c:pt>
                <c:pt idx="277">
                  <c:v>17123</c:v>
                </c:pt>
                <c:pt idx="278">
                  <c:v>15690</c:v>
                </c:pt>
                <c:pt idx="279">
                  <c:v>7373</c:v>
                </c:pt>
                <c:pt idx="280">
                  <c:v>10448</c:v>
                </c:pt>
                <c:pt idx="281">
                  <c:v>11781</c:v>
                </c:pt>
                <c:pt idx="282">
                  <c:v>12770</c:v>
                </c:pt>
                <c:pt idx="283">
                  <c:v>10803</c:v>
                </c:pt>
                <c:pt idx="284">
                  <c:v>5907</c:v>
                </c:pt>
                <c:pt idx="285">
                  <c:v>4498</c:v>
                </c:pt>
                <c:pt idx="286">
                  <c:v>3168</c:v>
                </c:pt>
                <c:pt idx="287">
                  <c:v>13451</c:v>
                </c:pt>
                <c:pt idx="288">
                  <c:v>27156</c:v>
                </c:pt>
                <c:pt idx="289">
                  <c:v>24705</c:v>
                </c:pt>
                <c:pt idx="290">
                  <c:v>16755</c:v>
                </c:pt>
                <c:pt idx="291">
                  <c:v>10931</c:v>
                </c:pt>
                <c:pt idx="292">
                  <c:v>10393</c:v>
                </c:pt>
                <c:pt idx="293">
                  <c:v>13023</c:v>
                </c:pt>
                <c:pt idx="294">
                  <c:v>14917</c:v>
                </c:pt>
                <c:pt idx="295">
                  <c:v>14255</c:v>
                </c:pt>
                <c:pt idx="296">
                  <c:v>6965</c:v>
                </c:pt>
                <c:pt idx="297">
                  <c:v>5647</c:v>
                </c:pt>
                <c:pt idx="298">
                  <c:v>5953</c:v>
                </c:pt>
                <c:pt idx="299">
                  <c:v>11692</c:v>
                </c:pt>
                <c:pt idx="300">
                  <c:v>30546</c:v>
                </c:pt>
                <c:pt idx="301">
                  <c:v>37097</c:v>
                </c:pt>
                <c:pt idx="302">
                  <c:v>29276</c:v>
                </c:pt>
                <c:pt idx="303">
                  <c:v>17615</c:v>
                </c:pt>
                <c:pt idx="304">
                  <c:v>12404</c:v>
                </c:pt>
                <c:pt idx="305">
                  <c:v>13639</c:v>
                </c:pt>
                <c:pt idx="306">
                  <c:v>14416</c:v>
                </c:pt>
                <c:pt idx="307">
                  <c:v>10998</c:v>
                </c:pt>
                <c:pt idx="308">
                  <c:v>8708</c:v>
                </c:pt>
                <c:pt idx="309">
                  <c:v>9785</c:v>
                </c:pt>
                <c:pt idx="310">
                  <c:v>12516</c:v>
                </c:pt>
                <c:pt idx="311">
                  <c:v>35773</c:v>
                </c:pt>
                <c:pt idx="312">
                  <c:v>48474</c:v>
                </c:pt>
                <c:pt idx="313">
                  <c:v>44340</c:v>
                </c:pt>
                <c:pt idx="314">
                  <c:v>43958</c:v>
                </c:pt>
                <c:pt idx="315">
                  <c:v>33975</c:v>
                </c:pt>
                <c:pt idx="316">
                  <c:v>24646</c:v>
                </c:pt>
                <c:pt idx="317">
                  <c:v>19620</c:v>
                </c:pt>
                <c:pt idx="318">
                  <c:v>10445</c:v>
                </c:pt>
                <c:pt idx="319">
                  <c:v>8554</c:v>
                </c:pt>
                <c:pt idx="320">
                  <c:v>5584</c:v>
                </c:pt>
                <c:pt idx="321">
                  <c:v>4462</c:v>
                </c:pt>
                <c:pt idx="322">
                  <c:v>4680</c:v>
                </c:pt>
                <c:pt idx="323">
                  <c:v>11614</c:v>
                </c:pt>
                <c:pt idx="324">
                  <c:v>32778</c:v>
                </c:pt>
                <c:pt idx="325">
                  <c:v>31425</c:v>
                </c:pt>
                <c:pt idx="326">
                  <c:v>21013</c:v>
                </c:pt>
                <c:pt idx="327">
                  <c:v>14837</c:v>
                </c:pt>
                <c:pt idx="328">
                  <c:v>15014</c:v>
                </c:pt>
                <c:pt idx="329">
                  <c:v>9210</c:v>
                </c:pt>
                <c:pt idx="330">
                  <c:v>12357</c:v>
                </c:pt>
                <c:pt idx="331">
                  <c:v>9941</c:v>
                </c:pt>
                <c:pt idx="332">
                  <c:v>4980</c:v>
                </c:pt>
                <c:pt idx="333">
                  <c:v>4374</c:v>
                </c:pt>
                <c:pt idx="334">
                  <c:v>4163</c:v>
                </c:pt>
                <c:pt idx="335">
                  <c:v>6813</c:v>
                </c:pt>
                <c:pt idx="336">
                  <c:v>22384</c:v>
                </c:pt>
                <c:pt idx="337">
                  <c:v>26260</c:v>
                </c:pt>
                <c:pt idx="338">
                  <c:v>17170</c:v>
                </c:pt>
                <c:pt idx="339">
                  <c:v>8871</c:v>
                </c:pt>
                <c:pt idx="340">
                  <c:v>9243</c:v>
                </c:pt>
                <c:pt idx="341">
                  <c:v>18280</c:v>
                </c:pt>
                <c:pt idx="342">
                  <c:v>19769</c:v>
                </c:pt>
                <c:pt idx="343">
                  <c:v>16694</c:v>
                </c:pt>
                <c:pt idx="344">
                  <c:v>10111</c:v>
                </c:pt>
                <c:pt idx="345">
                  <c:v>7676</c:v>
                </c:pt>
                <c:pt idx="346">
                  <c:v>5635</c:v>
                </c:pt>
                <c:pt idx="347">
                  <c:v>10411</c:v>
                </c:pt>
                <c:pt idx="348">
                  <c:v>14668</c:v>
                </c:pt>
                <c:pt idx="349">
                  <c:v>14495</c:v>
                </c:pt>
                <c:pt idx="350">
                  <c:v>13231</c:v>
                </c:pt>
                <c:pt idx="351">
                  <c:v>10361</c:v>
                </c:pt>
                <c:pt idx="352">
                  <c:v>7406</c:v>
                </c:pt>
                <c:pt idx="353">
                  <c:v>5177</c:v>
                </c:pt>
                <c:pt idx="354">
                  <c:v>7408</c:v>
                </c:pt>
                <c:pt idx="355">
                  <c:v>6468</c:v>
                </c:pt>
                <c:pt idx="356">
                  <c:v>3908</c:v>
                </c:pt>
                <c:pt idx="357">
                  <c:v>2685</c:v>
                </c:pt>
                <c:pt idx="358">
                  <c:v>3595</c:v>
                </c:pt>
                <c:pt idx="359">
                  <c:v>11085</c:v>
                </c:pt>
                <c:pt idx="360">
                  <c:v>20986</c:v>
                </c:pt>
                <c:pt idx="361">
                  <c:v>20887</c:v>
                </c:pt>
                <c:pt idx="362">
                  <c:v>18103</c:v>
                </c:pt>
                <c:pt idx="363">
                  <c:v>14932</c:v>
                </c:pt>
                <c:pt idx="364">
                  <c:v>16099</c:v>
                </c:pt>
                <c:pt idx="365">
                  <c:v>16075</c:v>
                </c:pt>
                <c:pt idx="366">
                  <c:v>12971</c:v>
                </c:pt>
                <c:pt idx="367">
                  <c:v>8713</c:v>
                </c:pt>
                <c:pt idx="368">
                  <c:v>4827</c:v>
                </c:pt>
                <c:pt idx="369">
                  <c:v>5673</c:v>
                </c:pt>
                <c:pt idx="370">
                  <c:v>6436</c:v>
                </c:pt>
                <c:pt idx="371">
                  <c:v>9188</c:v>
                </c:pt>
                <c:pt idx="372">
                  <c:v>10014</c:v>
                </c:pt>
                <c:pt idx="373">
                  <c:v>10670</c:v>
                </c:pt>
                <c:pt idx="374">
                  <c:v>9521</c:v>
                </c:pt>
                <c:pt idx="375">
                  <c:v>7864</c:v>
                </c:pt>
                <c:pt idx="376">
                  <c:v>6987</c:v>
                </c:pt>
                <c:pt idx="377">
                  <c:v>7930</c:v>
                </c:pt>
                <c:pt idx="378">
                  <c:v>11051</c:v>
                </c:pt>
                <c:pt idx="379">
                  <c:v>9694</c:v>
                </c:pt>
                <c:pt idx="380">
                  <c:v>4736</c:v>
                </c:pt>
                <c:pt idx="381">
                  <c:v>2325</c:v>
                </c:pt>
                <c:pt idx="382">
                  <c:v>1854</c:v>
                </c:pt>
                <c:pt idx="383">
                  <c:v>4809</c:v>
                </c:pt>
                <c:pt idx="384">
                  <c:v>10222</c:v>
                </c:pt>
                <c:pt idx="385">
                  <c:v>13438</c:v>
                </c:pt>
                <c:pt idx="386">
                  <c:v>10474</c:v>
                </c:pt>
                <c:pt idx="387">
                  <c:v>7095</c:v>
                </c:pt>
                <c:pt idx="388">
                  <c:v>8919</c:v>
                </c:pt>
                <c:pt idx="389">
                  <c:v>14304</c:v>
                </c:pt>
                <c:pt idx="390">
                  <c:v>17063</c:v>
                </c:pt>
                <c:pt idx="391">
                  <c:v>13127</c:v>
                </c:pt>
                <c:pt idx="392">
                  <c:v>7727</c:v>
                </c:pt>
                <c:pt idx="393">
                  <c:v>5829</c:v>
                </c:pt>
                <c:pt idx="394">
                  <c:v>6299</c:v>
                </c:pt>
                <c:pt idx="395">
                  <c:v>11683</c:v>
                </c:pt>
                <c:pt idx="396">
                  <c:v>18756</c:v>
                </c:pt>
                <c:pt idx="397">
                  <c:v>17187</c:v>
                </c:pt>
                <c:pt idx="398">
                  <c:v>15022</c:v>
                </c:pt>
                <c:pt idx="399">
                  <c:v>15424</c:v>
                </c:pt>
                <c:pt idx="400">
                  <c:v>17108</c:v>
                </c:pt>
                <c:pt idx="401">
                  <c:v>23566</c:v>
                </c:pt>
                <c:pt idx="402">
                  <c:v>22747</c:v>
                </c:pt>
                <c:pt idx="403">
                  <c:v>14518</c:v>
                </c:pt>
                <c:pt idx="404">
                  <c:v>5555</c:v>
                </c:pt>
                <c:pt idx="405">
                  <c:v>5562</c:v>
                </c:pt>
                <c:pt idx="406">
                  <c:v>3408</c:v>
                </c:pt>
                <c:pt idx="407">
                  <c:v>8646</c:v>
                </c:pt>
                <c:pt idx="408">
                  <c:v>12460</c:v>
                </c:pt>
                <c:pt idx="409">
                  <c:v>12703</c:v>
                </c:pt>
                <c:pt idx="410">
                  <c:v>11058</c:v>
                </c:pt>
                <c:pt idx="411">
                  <c:v>7279</c:v>
                </c:pt>
                <c:pt idx="412">
                  <c:v>7734</c:v>
                </c:pt>
                <c:pt idx="413">
                  <c:v>7106</c:v>
                </c:pt>
                <c:pt idx="414">
                  <c:v>8147</c:v>
                </c:pt>
                <c:pt idx="415">
                  <c:v>5833</c:v>
                </c:pt>
                <c:pt idx="416">
                  <c:v>3056</c:v>
                </c:pt>
                <c:pt idx="417">
                  <c:v>2900</c:v>
                </c:pt>
                <c:pt idx="418">
                  <c:v>4741</c:v>
                </c:pt>
                <c:pt idx="419">
                  <c:v>10166</c:v>
                </c:pt>
                <c:pt idx="420">
                  <c:v>20599</c:v>
                </c:pt>
                <c:pt idx="421">
                  <c:v>16581</c:v>
                </c:pt>
                <c:pt idx="422">
                  <c:v>13337</c:v>
                </c:pt>
                <c:pt idx="423">
                  <c:v>11027</c:v>
                </c:pt>
                <c:pt idx="424">
                  <c:v>8957</c:v>
                </c:pt>
                <c:pt idx="425">
                  <c:v>12617</c:v>
                </c:pt>
                <c:pt idx="426">
                  <c:v>12284</c:v>
                </c:pt>
                <c:pt idx="427">
                  <c:v>9025</c:v>
                </c:pt>
                <c:pt idx="428">
                  <c:v>4315</c:v>
                </c:pt>
                <c:pt idx="429">
                  <c:v>3143</c:v>
                </c:pt>
                <c:pt idx="430">
                  <c:v>2232</c:v>
                </c:pt>
                <c:pt idx="431">
                  <c:v>6510</c:v>
                </c:pt>
                <c:pt idx="432">
                  <c:v>13372</c:v>
                </c:pt>
                <c:pt idx="433">
                  <c:v>13692</c:v>
                </c:pt>
                <c:pt idx="434">
                  <c:v>10883</c:v>
                </c:pt>
                <c:pt idx="435">
                  <c:v>7999</c:v>
                </c:pt>
                <c:pt idx="436">
                  <c:v>9114</c:v>
                </c:pt>
                <c:pt idx="437">
                  <c:v>12430</c:v>
                </c:pt>
                <c:pt idx="438">
                  <c:v>12694</c:v>
                </c:pt>
                <c:pt idx="439">
                  <c:v>11764</c:v>
                </c:pt>
                <c:pt idx="440">
                  <c:v>6983</c:v>
                </c:pt>
                <c:pt idx="441">
                  <c:v>2316</c:v>
                </c:pt>
                <c:pt idx="442">
                  <c:v>2178</c:v>
                </c:pt>
                <c:pt idx="443">
                  <c:v>5931</c:v>
                </c:pt>
                <c:pt idx="444">
                  <c:v>15051</c:v>
                </c:pt>
                <c:pt idx="445">
                  <c:v>15399</c:v>
                </c:pt>
                <c:pt idx="446">
                  <c:v>11594</c:v>
                </c:pt>
                <c:pt idx="447">
                  <c:v>6601</c:v>
                </c:pt>
                <c:pt idx="448">
                  <c:v>7969</c:v>
                </c:pt>
                <c:pt idx="449">
                  <c:v>7805</c:v>
                </c:pt>
                <c:pt idx="450">
                  <c:v>8395</c:v>
                </c:pt>
                <c:pt idx="451">
                  <c:v>5257</c:v>
                </c:pt>
                <c:pt idx="452">
                  <c:v>2541</c:v>
                </c:pt>
                <c:pt idx="453">
                  <c:v>1452</c:v>
                </c:pt>
                <c:pt idx="454">
                  <c:v>1471</c:v>
                </c:pt>
                <c:pt idx="455">
                  <c:v>2908</c:v>
                </c:pt>
                <c:pt idx="456">
                  <c:v>9052</c:v>
                </c:pt>
                <c:pt idx="457">
                  <c:v>12712</c:v>
                </c:pt>
                <c:pt idx="458">
                  <c:v>9534</c:v>
                </c:pt>
                <c:pt idx="459">
                  <c:v>4779</c:v>
                </c:pt>
                <c:pt idx="460">
                  <c:v>6593</c:v>
                </c:pt>
                <c:pt idx="461">
                  <c:v>9901</c:v>
                </c:pt>
                <c:pt idx="462">
                  <c:v>11249</c:v>
                </c:pt>
                <c:pt idx="463">
                  <c:v>10810</c:v>
                </c:pt>
                <c:pt idx="464">
                  <c:v>7028</c:v>
                </c:pt>
                <c:pt idx="465">
                  <c:v>6282</c:v>
                </c:pt>
                <c:pt idx="466">
                  <c:v>6925</c:v>
                </c:pt>
                <c:pt idx="467">
                  <c:v>16268</c:v>
                </c:pt>
                <c:pt idx="468">
                  <c:v>28250</c:v>
                </c:pt>
                <c:pt idx="469">
                  <c:v>27350</c:v>
                </c:pt>
                <c:pt idx="470">
                  <c:v>21437</c:v>
                </c:pt>
                <c:pt idx="471">
                  <c:v>16201</c:v>
                </c:pt>
                <c:pt idx="472">
                  <c:v>13448</c:v>
                </c:pt>
                <c:pt idx="473">
                  <c:v>12456</c:v>
                </c:pt>
                <c:pt idx="474">
                  <c:v>10248</c:v>
                </c:pt>
                <c:pt idx="475">
                  <c:v>7720</c:v>
                </c:pt>
                <c:pt idx="476">
                  <c:v>4285</c:v>
                </c:pt>
                <c:pt idx="477">
                  <c:v>5439</c:v>
                </c:pt>
                <c:pt idx="478">
                  <c:v>3510</c:v>
                </c:pt>
                <c:pt idx="479">
                  <c:v>9313</c:v>
                </c:pt>
                <c:pt idx="480">
                  <c:v>25114</c:v>
                </c:pt>
                <c:pt idx="481">
                  <c:v>25046</c:v>
                </c:pt>
                <c:pt idx="482">
                  <c:v>16554</c:v>
                </c:pt>
                <c:pt idx="483">
                  <c:v>9388</c:v>
                </c:pt>
                <c:pt idx="484">
                  <c:v>9134</c:v>
                </c:pt>
                <c:pt idx="485">
                  <c:v>9567</c:v>
                </c:pt>
                <c:pt idx="486">
                  <c:v>10574</c:v>
                </c:pt>
                <c:pt idx="487">
                  <c:v>10353</c:v>
                </c:pt>
                <c:pt idx="488">
                  <c:v>7395</c:v>
                </c:pt>
                <c:pt idx="489">
                  <c:v>8075</c:v>
                </c:pt>
                <c:pt idx="490">
                  <c:v>8708</c:v>
                </c:pt>
                <c:pt idx="491">
                  <c:v>16332</c:v>
                </c:pt>
                <c:pt idx="492">
                  <c:v>21496</c:v>
                </c:pt>
                <c:pt idx="493">
                  <c:v>20016</c:v>
                </c:pt>
                <c:pt idx="494">
                  <c:v>18298</c:v>
                </c:pt>
                <c:pt idx="495">
                  <c:v>12900</c:v>
                </c:pt>
                <c:pt idx="496">
                  <c:v>9879</c:v>
                </c:pt>
                <c:pt idx="497">
                  <c:v>8250</c:v>
                </c:pt>
                <c:pt idx="498">
                  <c:v>6141</c:v>
                </c:pt>
                <c:pt idx="499">
                  <c:v>4871</c:v>
                </c:pt>
                <c:pt idx="500">
                  <c:v>2567</c:v>
                </c:pt>
                <c:pt idx="501">
                  <c:v>1846</c:v>
                </c:pt>
                <c:pt idx="502">
                  <c:v>1802</c:v>
                </c:pt>
                <c:pt idx="503">
                  <c:v>4356</c:v>
                </c:pt>
                <c:pt idx="504">
                  <c:v>10156</c:v>
                </c:pt>
                <c:pt idx="505">
                  <c:v>10729</c:v>
                </c:pt>
                <c:pt idx="506">
                  <c:v>9184</c:v>
                </c:pt>
                <c:pt idx="507">
                  <c:v>8061</c:v>
                </c:pt>
                <c:pt idx="508">
                  <c:v>8281</c:v>
                </c:pt>
                <c:pt idx="509">
                  <c:v>14206</c:v>
                </c:pt>
                <c:pt idx="510">
                  <c:v>14463</c:v>
                </c:pt>
                <c:pt idx="511">
                  <c:v>10971</c:v>
                </c:pt>
                <c:pt idx="512">
                  <c:v>6112</c:v>
                </c:pt>
                <c:pt idx="513">
                  <c:v>4586</c:v>
                </c:pt>
                <c:pt idx="514">
                  <c:v>6683</c:v>
                </c:pt>
                <c:pt idx="515">
                  <c:v>9515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C-4636-B5A2-291D9A8B2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30416"/>
        <c:axId val="1444034224"/>
      </c:scatterChart>
      <c:valAx>
        <c:axId val="1444030416"/>
        <c:scaling>
          <c:orientation val="minMax"/>
          <c:max val="1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Caudal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34224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0.95001399825021871"/>
                <c:y val="0.7889122193059202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44034224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Sedimentos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30416"/>
        <c:crosses val="autoZero"/>
        <c:crossBetween val="midCat"/>
        <c:majorUnit val="10000"/>
        <c:dispUnits>
          <c:builtInUnit val="thousands"/>
          <c:dispUnitsLbl>
            <c:layout>
              <c:manualLayout>
                <c:xMode val="edge"/>
                <c:yMode val="edge"/>
                <c:x val="4.501399825021872E-2"/>
                <c:y val="6.0601851851851872E-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Transporte!$L$5:$L$520</c:f>
              <c:numCache>
                <c:formatCode>0.0</c:formatCode>
                <c:ptCount val="516"/>
                <c:pt idx="0">
                  <c:v>2014.9166666666665</c:v>
                </c:pt>
                <c:pt idx="1">
                  <c:v>2014.8333333333333</c:v>
                </c:pt>
                <c:pt idx="2">
                  <c:v>2014.75</c:v>
                </c:pt>
                <c:pt idx="3">
                  <c:v>2014.6666666666665</c:v>
                </c:pt>
                <c:pt idx="4">
                  <c:v>2014.5833333333333</c:v>
                </c:pt>
                <c:pt idx="5">
                  <c:v>2014.5</c:v>
                </c:pt>
                <c:pt idx="6">
                  <c:v>2014.4166666666665</c:v>
                </c:pt>
                <c:pt idx="7">
                  <c:v>2014.3333333333333</c:v>
                </c:pt>
                <c:pt idx="8">
                  <c:v>2014.25</c:v>
                </c:pt>
                <c:pt idx="9">
                  <c:v>2014.1666666666665</c:v>
                </c:pt>
                <c:pt idx="10">
                  <c:v>2014.0833333333333</c:v>
                </c:pt>
                <c:pt idx="11">
                  <c:v>2014</c:v>
                </c:pt>
                <c:pt idx="12">
                  <c:v>2013.9166666666599</c:v>
                </c:pt>
                <c:pt idx="13">
                  <c:v>2013.8333333333301</c:v>
                </c:pt>
                <c:pt idx="14">
                  <c:v>2013.75</c:v>
                </c:pt>
                <c:pt idx="15">
                  <c:v>2013.6666666666599</c:v>
                </c:pt>
                <c:pt idx="16">
                  <c:v>2013.5833333333301</c:v>
                </c:pt>
                <c:pt idx="17">
                  <c:v>2013.5</c:v>
                </c:pt>
                <c:pt idx="18">
                  <c:v>2013.4166666666599</c:v>
                </c:pt>
                <c:pt idx="19">
                  <c:v>2013.3333333333301</c:v>
                </c:pt>
                <c:pt idx="20">
                  <c:v>2013.25</c:v>
                </c:pt>
                <c:pt idx="21">
                  <c:v>2013.1666666666599</c:v>
                </c:pt>
                <c:pt idx="22">
                  <c:v>2013.0833333333301</c:v>
                </c:pt>
                <c:pt idx="23">
                  <c:v>2013</c:v>
                </c:pt>
                <c:pt idx="24">
                  <c:v>2012.9166666666599</c:v>
                </c:pt>
                <c:pt idx="25">
                  <c:v>2012.8333333333301</c:v>
                </c:pt>
                <c:pt idx="26">
                  <c:v>2012.75</c:v>
                </c:pt>
                <c:pt idx="27">
                  <c:v>2012.6666666666599</c:v>
                </c:pt>
                <c:pt idx="28">
                  <c:v>2012.5833333333301</c:v>
                </c:pt>
                <c:pt idx="29">
                  <c:v>2012.5</c:v>
                </c:pt>
                <c:pt idx="30">
                  <c:v>2012.4166666666599</c:v>
                </c:pt>
                <c:pt idx="31">
                  <c:v>2012.3333333333301</c:v>
                </c:pt>
                <c:pt idx="32">
                  <c:v>2012.24999999999</c:v>
                </c:pt>
                <c:pt idx="33">
                  <c:v>2012.1666666666599</c:v>
                </c:pt>
                <c:pt idx="34">
                  <c:v>2012.0833333333301</c:v>
                </c:pt>
                <c:pt idx="35">
                  <c:v>2012</c:v>
                </c:pt>
                <c:pt idx="36">
                  <c:v>2011.9166666666599</c:v>
                </c:pt>
                <c:pt idx="37">
                  <c:v>2011.8333333333301</c:v>
                </c:pt>
                <c:pt idx="38">
                  <c:v>2011.74999999999</c:v>
                </c:pt>
                <c:pt idx="39">
                  <c:v>2011.6666666666599</c:v>
                </c:pt>
                <c:pt idx="40">
                  <c:v>2011.5833333333301</c:v>
                </c:pt>
                <c:pt idx="41">
                  <c:v>2011.49999999999</c:v>
                </c:pt>
                <c:pt idx="42">
                  <c:v>2011.4166666666599</c:v>
                </c:pt>
                <c:pt idx="43">
                  <c:v>2011.3333333333301</c:v>
                </c:pt>
                <c:pt idx="44">
                  <c:v>2011.24999999999</c:v>
                </c:pt>
                <c:pt idx="45">
                  <c:v>2011.1666666666599</c:v>
                </c:pt>
                <c:pt idx="46">
                  <c:v>2011.0833333333301</c:v>
                </c:pt>
                <c:pt idx="47">
                  <c:v>2011</c:v>
                </c:pt>
                <c:pt idx="48">
                  <c:v>2010.9166666666599</c:v>
                </c:pt>
                <c:pt idx="49">
                  <c:v>2010.8333333333301</c:v>
                </c:pt>
                <c:pt idx="50">
                  <c:v>2010.74999999999</c:v>
                </c:pt>
                <c:pt idx="51">
                  <c:v>2010.6666666666599</c:v>
                </c:pt>
                <c:pt idx="52">
                  <c:v>2010.5833333333301</c:v>
                </c:pt>
                <c:pt idx="53">
                  <c:v>2010.49999999999</c:v>
                </c:pt>
                <c:pt idx="54">
                  <c:v>2010.4166666666599</c:v>
                </c:pt>
                <c:pt idx="55">
                  <c:v>2010.3333333333201</c:v>
                </c:pt>
                <c:pt idx="56">
                  <c:v>2010.24999999999</c:v>
                </c:pt>
                <c:pt idx="57">
                  <c:v>2010.1666666666599</c:v>
                </c:pt>
                <c:pt idx="58">
                  <c:v>2010.0833333333201</c:v>
                </c:pt>
                <c:pt idx="59">
                  <c:v>2010</c:v>
                </c:pt>
                <c:pt idx="60">
                  <c:v>2009.9166666666599</c:v>
                </c:pt>
                <c:pt idx="61">
                  <c:v>2009.8333333333201</c:v>
                </c:pt>
                <c:pt idx="62">
                  <c:v>2009.74999999999</c:v>
                </c:pt>
                <c:pt idx="63">
                  <c:v>2009.6666666666599</c:v>
                </c:pt>
                <c:pt idx="64">
                  <c:v>2009.5833333333201</c:v>
                </c:pt>
                <c:pt idx="65">
                  <c:v>2009.49999999999</c:v>
                </c:pt>
                <c:pt idx="66">
                  <c:v>2009.4166666666599</c:v>
                </c:pt>
                <c:pt idx="67">
                  <c:v>2009.3333333333201</c:v>
                </c:pt>
                <c:pt idx="68">
                  <c:v>2009.24999999999</c:v>
                </c:pt>
                <c:pt idx="69">
                  <c:v>2009.1666666666599</c:v>
                </c:pt>
                <c:pt idx="70">
                  <c:v>2009.0833333333201</c:v>
                </c:pt>
                <c:pt idx="71">
                  <c:v>2009</c:v>
                </c:pt>
                <c:pt idx="72">
                  <c:v>2008.9166666666599</c:v>
                </c:pt>
                <c:pt idx="73">
                  <c:v>2008.8333333333201</c:v>
                </c:pt>
                <c:pt idx="74">
                  <c:v>2008.74999999999</c:v>
                </c:pt>
                <c:pt idx="75">
                  <c:v>2008.6666666666599</c:v>
                </c:pt>
                <c:pt idx="76">
                  <c:v>2008.5833333333201</c:v>
                </c:pt>
                <c:pt idx="77">
                  <c:v>2008.49999999999</c:v>
                </c:pt>
                <c:pt idx="78">
                  <c:v>2008.4166666666499</c:v>
                </c:pt>
                <c:pt idx="79">
                  <c:v>2008.3333333333201</c:v>
                </c:pt>
                <c:pt idx="80">
                  <c:v>2008.24999999999</c:v>
                </c:pt>
                <c:pt idx="81">
                  <c:v>2008.1666666666499</c:v>
                </c:pt>
                <c:pt idx="82">
                  <c:v>2008.0833333333201</c:v>
                </c:pt>
                <c:pt idx="83">
                  <c:v>2008</c:v>
                </c:pt>
                <c:pt idx="84">
                  <c:v>2007.9166666666499</c:v>
                </c:pt>
                <c:pt idx="85">
                  <c:v>2007.8333333333201</c:v>
                </c:pt>
                <c:pt idx="86">
                  <c:v>2007.74999999999</c:v>
                </c:pt>
                <c:pt idx="87">
                  <c:v>2007.6666666666499</c:v>
                </c:pt>
                <c:pt idx="88">
                  <c:v>2007.5833333333201</c:v>
                </c:pt>
                <c:pt idx="89">
                  <c:v>2007.49999999999</c:v>
                </c:pt>
                <c:pt idx="90">
                  <c:v>2007.4166666666499</c:v>
                </c:pt>
                <c:pt idx="91">
                  <c:v>2007.3333333333201</c:v>
                </c:pt>
                <c:pt idx="92">
                  <c:v>2007.24999999999</c:v>
                </c:pt>
                <c:pt idx="93">
                  <c:v>2007.1666666666499</c:v>
                </c:pt>
                <c:pt idx="94">
                  <c:v>2007.0833333333201</c:v>
                </c:pt>
                <c:pt idx="95">
                  <c:v>2007</c:v>
                </c:pt>
                <c:pt idx="96">
                  <c:v>2006.9166666666499</c:v>
                </c:pt>
                <c:pt idx="97">
                  <c:v>2006.8333333333201</c:v>
                </c:pt>
                <c:pt idx="98">
                  <c:v>2006.74999999998</c:v>
                </c:pt>
                <c:pt idx="99">
                  <c:v>2006.6666666666499</c:v>
                </c:pt>
                <c:pt idx="100">
                  <c:v>2006.5833333333201</c:v>
                </c:pt>
                <c:pt idx="101">
                  <c:v>2006.49999999998</c:v>
                </c:pt>
                <c:pt idx="102">
                  <c:v>2006.4166666666499</c:v>
                </c:pt>
                <c:pt idx="103">
                  <c:v>2006.3333333333201</c:v>
                </c:pt>
                <c:pt idx="104">
                  <c:v>2006.24999999998</c:v>
                </c:pt>
                <c:pt idx="105">
                  <c:v>2006.1666666666499</c:v>
                </c:pt>
                <c:pt idx="106">
                  <c:v>2006.0833333333201</c:v>
                </c:pt>
                <c:pt idx="107">
                  <c:v>2006</c:v>
                </c:pt>
                <c:pt idx="108">
                  <c:v>2005.9166666666499</c:v>
                </c:pt>
                <c:pt idx="109">
                  <c:v>2005.8333333333201</c:v>
                </c:pt>
                <c:pt idx="110">
                  <c:v>2005.74999999998</c:v>
                </c:pt>
                <c:pt idx="111">
                  <c:v>2005.6666666666499</c:v>
                </c:pt>
                <c:pt idx="112">
                  <c:v>2005.5833333333201</c:v>
                </c:pt>
                <c:pt idx="113">
                  <c:v>2005.49999999998</c:v>
                </c:pt>
                <c:pt idx="114">
                  <c:v>2005.4166666666499</c:v>
                </c:pt>
                <c:pt idx="115">
                  <c:v>2005.3333333333201</c:v>
                </c:pt>
                <c:pt idx="116">
                  <c:v>2005.24999999998</c:v>
                </c:pt>
                <c:pt idx="117">
                  <c:v>2005.1666666666499</c:v>
                </c:pt>
                <c:pt idx="118">
                  <c:v>2005.0833333333201</c:v>
                </c:pt>
                <c:pt idx="119">
                  <c:v>2005</c:v>
                </c:pt>
                <c:pt idx="120">
                  <c:v>2004.9166666666499</c:v>
                </c:pt>
                <c:pt idx="121">
                  <c:v>2004.8333333333101</c:v>
                </c:pt>
                <c:pt idx="122">
                  <c:v>2004.74999999998</c:v>
                </c:pt>
                <c:pt idx="123">
                  <c:v>2004.6666666666499</c:v>
                </c:pt>
                <c:pt idx="124">
                  <c:v>2004.5833333333101</c:v>
                </c:pt>
                <c:pt idx="125">
                  <c:v>2004.49999999998</c:v>
                </c:pt>
                <c:pt idx="126">
                  <c:v>2004.4166666666499</c:v>
                </c:pt>
                <c:pt idx="127">
                  <c:v>2004.3333333333101</c:v>
                </c:pt>
                <c:pt idx="128">
                  <c:v>2004.24999999998</c:v>
                </c:pt>
                <c:pt idx="129">
                  <c:v>2004.1666666666499</c:v>
                </c:pt>
                <c:pt idx="130">
                  <c:v>2004.0833333333101</c:v>
                </c:pt>
                <c:pt idx="131">
                  <c:v>2004</c:v>
                </c:pt>
                <c:pt idx="132">
                  <c:v>2003.9166666666499</c:v>
                </c:pt>
                <c:pt idx="133">
                  <c:v>2003.8333333333101</c:v>
                </c:pt>
                <c:pt idx="134">
                  <c:v>2003.74999999998</c:v>
                </c:pt>
                <c:pt idx="135">
                  <c:v>2003.6666666666499</c:v>
                </c:pt>
                <c:pt idx="136">
                  <c:v>2003.5833333333101</c:v>
                </c:pt>
                <c:pt idx="137">
                  <c:v>2003.49999999998</c:v>
                </c:pt>
                <c:pt idx="138">
                  <c:v>2003.4166666666499</c:v>
                </c:pt>
                <c:pt idx="139">
                  <c:v>2003.3333333333101</c:v>
                </c:pt>
                <c:pt idx="140">
                  <c:v>2003.24999999998</c:v>
                </c:pt>
                <c:pt idx="141">
                  <c:v>2003.1666666666499</c:v>
                </c:pt>
                <c:pt idx="142">
                  <c:v>2003.0833333333101</c:v>
                </c:pt>
                <c:pt idx="143">
                  <c:v>2003</c:v>
                </c:pt>
                <c:pt idx="144">
                  <c:v>2002.9166666666399</c:v>
                </c:pt>
                <c:pt idx="145">
                  <c:v>2002.8333333333101</c:v>
                </c:pt>
                <c:pt idx="146">
                  <c:v>2002.74999999998</c:v>
                </c:pt>
                <c:pt idx="147">
                  <c:v>2002.6666666666399</c:v>
                </c:pt>
                <c:pt idx="148">
                  <c:v>2002.5833333333101</c:v>
                </c:pt>
                <c:pt idx="149">
                  <c:v>2002.49999999998</c:v>
                </c:pt>
                <c:pt idx="150">
                  <c:v>2002.4166666666399</c:v>
                </c:pt>
                <c:pt idx="151">
                  <c:v>2002.3333333333101</c:v>
                </c:pt>
                <c:pt idx="152">
                  <c:v>2002.24999999998</c:v>
                </c:pt>
                <c:pt idx="153">
                  <c:v>2002.1666666666399</c:v>
                </c:pt>
                <c:pt idx="154">
                  <c:v>2002.0833333333101</c:v>
                </c:pt>
                <c:pt idx="155">
                  <c:v>2002</c:v>
                </c:pt>
                <c:pt idx="156">
                  <c:v>2001.9166666666399</c:v>
                </c:pt>
                <c:pt idx="157">
                  <c:v>2001.8333333333101</c:v>
                </c:pt>
                <c:pt idx="158">
                  <c:v>2001.74999999998</c:v>
                </c:pt>
                <c:pt idx="159">
                  <c:v>2001.6666666666399</c:v>
                </c:pt>
                <c:pt idx="160">
                  <c:v>2001.5833333333101</c:v>
                </c:pt>
                <c:pt idx="161">
                  <c:v>2001.49999999998</c:v>
                </c:pt>
                <c:pt idx="162">
                  <c:v>2001.4166666666399</c:v>
                </c:pt>
                <c:pt idx="163">
                  <c:v>2001.3333333333101</c:v>
                </c:pt>
                <c:pt idx="164">
                  <c:v>2001.24999999997</c:v>
                </c:pt>
                <c:pt idx="165">
                  <c:v>2001.1666666666399</c:v>
                </c:pt>
                <c:pt idx="166">
                  <c:v>2001.0833333333101</c:v>
                </c:pt>
                <c:pt idx="167">
                  <c:v>2001</c:v>
                </c:pt>
                <c:pt idx="168">
                  <c:v>2000.9166666666399</c:v>
                </c:pt>
                <c:pt idx="169">
                  <c:v>2000.8333333333101</c:v>
                </c:pt>
                <c:pt idx="170">
                  <c:v>2000.74999999997</c:v>
                </c:pt>
                <c:pt idx="171">
                  <c:v>2000.6666666666399</c:v>
                </c:pt>
                <c:pt idx="172">
                  <c:v>2000.5833333333101</c:v>
                </c:pt>
                <c:pt idx="173">
                  <c:v>2000.49999999997</c:v>
                </c:pt>
                <c:pt idx="174">
                  <c:v>2000.4166666666399</c:v>
                </c:pt>
                <c:pt idx="175">
                  <c:v>2000.3333333333101</c:v>
                </c:pt>
                <c:pt idx="176">
                  <c:v>2000.24999999997</c:v>
                </c:pt>
                <c:pt idx="177">
                  <c:v>2000.1666666666399</c:v>
                </c:pt>
                <c:pt idx="178">
                  <c:v>2000.0833333333101</c:v>
                </c:pt>
                <c:pt idx="179">
                  <c:v>2000</c:v>
                </c:pt>
                <c:pt idx="180">
                  <c:v>1999.9166666660001</c:v>
                </c:pt>
                <c:pt idx="181">
                  <c:v>1999.83333333264</c:v>
                </c:pt>
                <c:pt idx="182">
                  <c:v>1999.7499999992799</c:v>
                </c:pt>
                <c:pt idx="183">
                  <c:v>1999.66666666592</c:v>
                </c:pt>
                <c:pt idx="184">
                  <c:v>1999.58333333256</c:v>
                </c:pt>
                <c:pt idx="185">
                  <c:v>1999.4999999992001</c:v>
                </c:pt>
                <c:pt idx="186">
                  <c:v>1999.41666666584</c:v>
                </c:pt>
                <c:pt idx="187">
                  <c:v>1999.3333333324799</c:v>
                </c:pt>
                <c:pt idx="188">
                  <c:v>1999.2499999991201</c:v>
                </c:pt>
                <c:pt idx="189">
                  <c:v>1999.16666666576</c:v>
                </c:pt>
                <c:pt idx="190">
                  <c:v>1999.0833333323999</c:v>
                </c:pt>
                <c:pt idx="191">
                  <c:v>1998.99999999904</c:v>
                </c:pt>
                <c:pt idx="192">
                  <c:v>1998.9166666656799</c:v>
                </c:pt>
                <c:pt idx="193">
                  <c:v>1998.8333333323201</c:v>
                </c:pt>
                <c:pt idx="194">
                  <c:v>1998.74999999896</c:v>
                </c:pt>
                <c:pt idx="195">
                  <c:v>1998.6666666655999</c:v>
                </c:pt>
                <c:pt idx="196">
                  <c:v>1998.58333333224</c:v>
                </c:pt>
                <c:pt idx="197">
                  <c:v>1998.49999999888</c:v>
                </c:pt>
                <c:pt idx="198">
                  <c:v>1998.4166666655201</c:v>
                </c:pt>
                <c:pt idx="199">
                  <c:v>1998.33333333216</c:v>
                </c:pt>
                <c:pt idx="200">
                  <c:v>1998.2499999987999</c:v>
                </c:pt>
                <c:pt idx="201">
                  <c:v>1998.1666666654401</c:v>
                </c:pt>
                <c:pt idx="202">
                  <c:v>1998.08333333208</c:v>
                </c:pt>
                <c:pt idx="203">
                  <c:v>1997.9999999987201</c:v>
                </c:pt>
                <c:pt idx="204">
                  <c:v>1997.91666666536</c:v>
                </c:pt>
                <c:pt idx="205">
                  <c:v>1997.8333333319999</c:v>
                </c:pt>
                <c:pt idx="206">
                  <c:v>1997.7499999986401</c:v>
                </c:pt>
                <c:pt idx="207">
                  <c:v>1997.66666666528</c:v>
                </c:pt>
                <c:pt idx="208">
                  <c:v>1997.5833333319199</c:v>
                </c:pt>
                <c:pt idx="209">
                  <c:v>1997.49999999856</c:v>
                </c:pt>
                <c:pt idx="210">
                  <c:v>1997.4166666652</c:v>
                </c:pt>
                <c:pt idx="211">
                  <c:v>1997.3333333318401</c:v>
                </c:pt>
                <c:pt idx="212">
                  <c:v>1997.24999999848</c:v>
                </c:pt>
                <c:pt idx="213">
                  <c:v>1997.1666666651099</c:v>
                </c:pt>
                <c:pt idx="214">
                  <c:v>1997.0833333317501</c:v>
                </c:pt>
                <c:pt idx="215">
                  <c:v>1996.99999999839</c:v>
                </c:pt>
                <c:pt idx="216">
                  <c:v>1996.9166666650301</c:v>
                </c:pt>
                <c:pt idx="217">
                  <c:v>1996.83333333167</c:v>
                </c:pt>
                <c:pt idx="218">
                  <c:v>1996.7499999983099</c:v>
                </c:pt>
                <c:pt idx="219">
                  <c:v>1996.6666666649501</c:v>
                </c:pt>
                <c:pt idx="220">
                  <c:v>1996.58333333159</c:v>
                </c:pt>
                <c:pt idx="221">
                  <c:v>1996.4999999982299</c:v>
                </c:pt>
                <c:pt idx="222">
                  <c:v>1996.41666666487</c:v>
                </c:pt>
                <c:pt idx="223">
                  <c:v>1996.3333333315099</c:v>
                </c:pt>
                <c:pt idx="224">
                  <c:v>1996.2499999981501</c:v>
                </c:pt>
                <c:pt idx="225">
                  <c:v>1996.16666666479</c:v>
                </c:pt>
                <c:pt idx="226">
                  <c:v>1996.0833333314299</c:v>
                </c:pt>
                <c:pt idx="227">
                  <c:v>1995.9999999980701</c:v>
                </c:pt>
                <c:pt idx="228">
                  <c:v>1995.91666666471</c:v>
                </c:pt>
                <c:pt idx="229">
                  <c:v>1995.8333333313501</c:v>
                </c:pt>
                <c:pt idx="230">
                  <c:v>1995.74999999799</c:v>
                </c:pt>
                <c:pt idx="231">
                  <c:v>1995.6666666646299</c:v>
                </c:pt>
                <c:pt idx="232">
                  <c:v>1995.5833333312701</c:v>
                </c:pt>
                <c:pt idx="233">
                  <c:v>1995.49999999791</c:v>
                </c:pt>
                <c:pt idx="234">
                  <c:v>1995.4166666645499</c:v>
                </c:pt>
                <c:pt idx="235">
                  <c:v>1995.33333333119</c:v>
                </c:pt>
                <c:pt idx="236">
                  <c:v>1995.2499999978299</c:v>
                </c:pt>
                <c:pt idx="237">
                  <c:v>1995.1666666644701</c:v>
                </c:pt>
                <c:pt idx="238">
                  <c:v>1995.08333333111</c:v>
                </c:pt>
                <c:pt idx="239">
                  <c:v>1994.9999999977499</c:v>
                </c:pt>
                <c:pt idx="240">
                  <c:v>1994.91666666439</c:v>
                </c:pt>
                <c:pt idx="241">
                  <c:v>1994.83333333103</c:v>
                </c:pt>
                <c:pt idx="242">
                  <c:v>1994.7499999976701</c:v>
                </c:pt>
                <c:pt idx="243">
                  <c:v>1994.66666666431</c:v>
                </c:pt>
                <c:pt idx="244">
                  <c:v>1994.5833333309499</c:v>
                </c:pt>
                <c:pt idx="245">
                  <c:v>1994.4999999975901</c:v>
                </c:pt>
                <c:pt idx="246">
                  <c:v>1994.41666666423</c:v>
                </c:pt>
                <c:pt idx="247">
                  <c:v>1994.3333333308699</c:v>
                </c:pt>
                <c:pt idx="248">
                  <c:v>1994.24999999751</c:v>
                </c:pt>
                <c:pt idx="249">
                  <c:v>1994.1666666641499</c:v>
                </c:pt>
                <c:pt idx="250">
                  <c:v>1994.0833333307901</c:v>
                </c:pt>
                <c:pt idx="251">
                  <c:v>1993.99999999743</c:v>
                </c:pt>
                <c:pt idx="252">
                  <c:v>1993.9166666640699</c:v>
                </c:pt>
                <c:pt idx="253">
                  <c:v>1993.83333333071</c:v>
                </c:pt>
                <c:pt idx="254">
                  <c:v>1993.74999999735</c:v>
                </c:pt>
                <c:pt idx="255">
                  <c:v>1993.6666666639901</c:v>
                </c:pt>
                <c:pt idx="256">
                  <c:v>1993.58333333063</c:v>
                </c:pt>
                <c:pt idx="257">
                  <c:v>1993.4999999972699</c:v>
                </c:pt>
                <c:pt idx="258">
                  <c:v>1993.4166666639101</c:v>
                </c:pt>
                <c:pt idx="259">
                  <c:v>1993.33333333055</c:v>
                </c:pt>
                <c:pt idx="260">
                  <c:v>1993.2499999971899</c:v>
                </c:pt>
                <c:pt idx="261">
                  <c:v>1993.16666666383</c:v>
                </c:pt>
                <c:pt idx="262">
                  <c:v>1993.0833333304699</c:v>
                </c:pt>
                <c:pt idx="263">
                  <c:v>1992.9999999971101</c:v>
                </c:pt>
                <c:pt idx="264">
                  <c:v>1992.91666666375</c:v>
                </c:pt>
                <c:pt idx="265">
                  <c:v>1992.8333333303899</c:v>
                </c:pt>
                <c:pt idx="266">
                  <c:v>1992.74999999703</c:v>
                </c:pt>
                <c:pt idx="267">
                  <c:v>1992.66666666367</c:v>
                </c:pt>
                <c:pt idx="268">
                  <c:v>1992.5833333303101</c:v>
                </c:pt>
                <c:pt idx="269">
                  <c:v>1992.49999999695</c:v>
                </c:pt>
                <c:pt idx="270">
                  <c:v>1992.4166666635899</c:v>
                </c:pt>
                <c:pt idx="271">
                  <c:v>1992.3333333302301</c:v>
                </c:pt>
                <c:pt idx="272">
                  <c:v>1992.24999999687</c:v>
                </c:pt>
                <c:pt idx="273">
                  <c:v>1992.1666666635101</c:v>
                </c:pt>
                <c:pt idx="274">
                  <c:v>1992.08333333015</c:v>
                </c:pt>
                <c:pt idx="275">
                  <c:v>1991.9999999967899</c:v>
                </c:pt>
                <c:pt idx="276">
                  <c:v>1991.9166666634301</c:v>
                </c:pt>
                <c:pt idx="277">
                  <c:v>1991.83333333007</c:v>
                </c:pt>
                <c:pt idx="278">
                  <c:v>1991.7499999967099</c:v>
                </c:pt>
                <c:pt idx="279">
                  <c:v>1991.66666666335</c:v>
                </c:pt>
                <c:pt idx="280">
                  <c:v>1991.58333332999</c:v>
                </c:pt>
                <c:pt idx="281">
                  <c:v>1991.4999999966301</c:v>
                </c:pt>
                <c:pt idx="282">
                  <c:v>1991.41666666327</c:v>
                </c:pt>
                <c:pt idx="283">
                  <c:v>1991.3333333299099</c:v>
                </c:pt>
                <c:pt idx="284">
                  <c:v>1991.2499999965501</c:v>
                </c:pt>
                <c:pt idx="285">
                  <c:v>1991.16666666319</c:v>
                </c:pt>
                <c:pt idx="286">
                  <c:v>1991.0833333298301</c:v>
                </c:pt>
                <c:pt idx="287">
                  <c:v>1990.99999999647</c:v>
                </c:pt>
                <c:pt idx="288">
                  <c:v>1990.9166666631099</c:v>
                </c:pt>
                <c:pt idx="289">
                  <c:v>1990.8333333297501</c:v>
                </c:pt>
                <c:pt idx="290">
                  <c:v>1990.74999999639</c:v>
                </c:pt>
                <c:pt idx="291">
                  <c:v>1990.6666666630299</c:v>
                </c:pt>
                <c:pt idx="292">
                  <c:v>1990.58333332967</c:v>
                </c:pt>
                <c:pt idx="293">
                  <c:v>1990.49999999631</c:v>
                </c:pt>
                <c:pt idx="294">
                  <c:v>1990.4166666629501</c:v>
                </c:pt>
                <c:pt idx="295">
                  <c:v>1990.33333332959</c:v>
                </c:pt>
                <c:pt idx="296">
                  <c:v>1990.2499999962299</c:v>
                </c:pt>
                <c:pt idx="297">
                  <c:v>1990.1666666628701</c:v>
                </c:pt>
                <c:pt idx="298">
                  <c:v>1990.08333332951</c:v>
                </c:pt>
                <c:pt idx="299">
                  <c:v>1989.9999999961501</c:v>
                </c:pt>
                <c:pt idx="300">
                  <c:v>1989.91666666279</c:v>
                </c:pt>
                <c:pt idx="301">
                  <c:v>1989.8333333294299</c:v>
                </c:pt>
                <c:pt idx="302">
                  <c:v>1989.7499999960701</c:v>
                </c:pt>
                <c:pt idx="303">
                  <c:v>1989.66666666271</c:v>
                </c:pt>
                <c:pt idx="304">
                  <c:v>1989.5833333293499</c:v>
                </c:pt>
                <c:pt idx="305">
                  <c:v>1989.49999999599</c:v>
                </c:pt>
                <c:pt idx="306">
                  <c:v>1989.41666666263</c:v>
                </c:pt>
                <c:pt idx="307">
                  <c:v>1989.3333333292701</c:v>
                </c:pt>
                <c:pt idx="308">
                  <c:v>1989.24999999591</c:v>
                </c:pt>
                <c:pt idx="309">
                  <c:v>1989.1666666625499</c:v>
                </c:pt>
                <c:pt idx="310">
                  <c:v>1989.0833333291901</c:v>
                </c:pt>
                <c:pt idx="311">
                  <c:v>1988.99999999583</c:v>
                </c:pt>
                <c:pt idx="312">
                  <c:v>1988.9166666624701</c:v>
                </c:pt>
                <c:pt idx="313">
                  <c:v>1988.83333332911</c:v>
                </c:pt>
                <c:pt idx="314">
                  <c:v>1988.7499999957499</c:v>
                </c:pt>
                <c:pt idx="315">
                  <c:v>1988.6666666623901</c:v>
                </c:pt>
                <c:pt idx="316">
                  <c:v>1988.58333332903</c:v>
                </c:pt>
                <c:pt idx="317">
                  <c:v>1988.4999999956699</c:v>
                </c:pt>
                <c:pt idx="318">
                  <c:v>1988.41666666231</c:v>
                </c:pt>
                <c:pt idx="319">
                  <c:v>1988.3333333289499</c:v>
                </c:pt>
                <c:pt idx="320">
                  <c:v>1988.2499999955901</c:v>
                </c:pt>
                <c:pt idx="321">
                  <c:v>1988.16666666223</c:v>
                </c:pt>
                <c:pt idx="322">
                  <c:v>1988.0833333288699</c:v>
                </c:pt>
                <c:pt idx="323">
                  <c:v>1987.9999999955101</c:v>
                </c:pt>
                <c:pt idx="324">
                  <c:v>1987.91666666215</c:v>
                </c:pt>
                <c:pt idx="325">
                  <c:v>1987.8333333287901</c:v>
                </c:pt>
                <c:pt idx="326">
                  <c:v>1987.74999999543</c:v>
                </c:pt>
                <c:pt idx="327">
                  <c:v>1987.6666666620599</c:v>
                </c:pt>
                <c:pt idx="328">
                  <c:v>1987.5833333287001</c:v>
                </c:pt>
                <c:pt idx="329">
                  <c:v>1987.49999999534</c:v>
                </c:pt>
                <c:pt idx="330">
                  <c:v>1987.4166666619799</c:v>
                </c:pt>
                <c:pt idx="331">
                  <c:v>1987.33333332862</c:v>
                </c:pt>
                <c:pt idx="332">
                  <c:v>1987.2499999952599</c:v>
                </c:pt>
                <c:pt idx="333">
                  <c:v>1987.1666666619001</c:v>
                </c:pt>
                <c:pt idx="334">
                  <c:v>1987.08333332854</c:v>
                </c:pt>
                <c:pt idx="335">
                  <c:v>1986.9999999951799</c:v>
                </c:pt>
                <c:pt idx="336">
                  <c:v>1986.91666666182</c:v>
                </c:pt>
                <c:pt idx="337">
                  <c:v>1986.83333332846</c:v>
                </c:pt>
                <c:pt idx="338">
                  <c:v>1986.7499999951001</c:v>
                </c:pt>
                <c:pt idx="339">
                  <c:v>1986.66666666174</c:v>
                </c:pt>
                <c:pt idx="340">
                  <c:v>1986.5833333283799</c:v>
                </c:pt>
                <c:pt idx="341">
                  <c:v>1986.4999999950201</c:v>
                </c:pt>
                <c:pt idx="342">
                  <c:v>1986.41666666166</c:v>
                </c:pt>
                <c:pt idx="343">
                  <c:v>1986.3333333282999</c:v>
                </c:pt>
                <c:pt idx="344">
                  <c:v>1986.24999999494</c:v>
                </c:pt>
                <c:pt idx="345">
                  <c:v>1986.1666666615799</c:v>
                </c:pt>
                <c:pt idx="346">
                  <c:v>1986.0833333282201</c:v>
                </c:pt>
                <c:pt idx="347">
                  <c:v>1985.99999999486</c:v>
                </c:pt>
                <c:pt idx="348">
                  <c:v>1985.9166666614999</c:v>
                </c:pt>
                <c:pt idx="349">
                  <c:v>1985.83333332814</c:v>
                </c:pt>
                <c:pt idx="350">
                  <c:v>1985.74999999478</c:v>
                </c:pt>
                <c:pt idx="351">
                  <c:v>1985.6666666614201</c:v>
                </c:pt>
                <c:pt idx="352">
                  <c:v>1985.58333332806</c:v>
                </c:pt>
                <c:pt idx="353">
                  <c:v>1985.4999999946999</c:v>
                </c:pt>
                <c:pt idx="354">
                  <c:v>1985.4166666613401</c:v>
                </c:pt>
                <c:pt idx="355">
                  <c:v>1985.33333332798</c:v>
                </c:pt>
                <c:pt idx="356">
                  <c:v>1985.2499999946201</c:v>
                </c:pt>
                <c:pt idx="357">
                  <c:v>1985.16666666126</c:v>
                </c:pt>
                <c:pt idx="358">
                  <c:v>1985.0833333278999</c:v>
                </c:pt>
                <c:pt idx="359">
                  <c:v>1984.9999999945401</c:v>
                </c:pt>
                <c:pt idx="360">
                  <c:v>1984.91666666118</c:v>
                </c:pt>
                <c:pt idx="361">
                  <c:v>1984.8333333278199</c:v>
                </c:pt>
                <c:pt idx="362">
                  <c:v>1984.74999999446</c:v>
                </c:pt>
                <c:pt idx="363">
                  <c:v>1984.6666666611</c:v>
                </c:pt>
                <c:pt idx="364">
                  <c:v>1984.5833333277401</c:v>
                </c:pt>
                <c:pt idx="365">
                  <c:v>1984.49999999438</c:v>
                </c:pt>
                <c:pt idx="366">
                  <c:v>1984.4166666610199</c:v>
                </c:pt>
                <c:pt idx="367">
                  <c:v>1984.3333333276601</c:v>
                </c:pt>
                <c:pt idx="368">
                  <c:v>1984.2499999943</c:v>
                </c:pt>
                <c:pt idx="369">
                  <c:v>1984.1666666609401</c:v>
                </c:pt>
                <c:pt idx="370">
                  <c:v>1984.08333332758</c:v>
                </c:pt>
                <c:pt idx="371">
                  <c:v>1983.9999999942199</c:v>
                </c:pt>
                <c:pt idx="372">
                  <c:v>1983.9166666608601</c:v>
                </c:pt>
                <c:pt idx="373">
                  <c:v>1983.8333333275</c:v>
                </c:pt>
                <c:pt idx="374">
                  <c:v>1983.7499999941399</c:v>
                </c:pt>
                <c:pt idx="375">
                  <c:v>1983.66666666078</c:v>
                </c:pt>
                <c:pt idx="376">
                  <c:v>1983.58333332742</c:v>
                </c:pt>
                <c:pt idx="377">
                  <c:v>1983.4999999940601</c:v>
                </c:pt>
                <c:pt idx="378">
                  <c:v>1983.4166666607</c:v>
                </c:pt>
                <c:pt idx="379">
                  <c:v>1983.3333333273399</c:v>
                </c:pt>
                <c:pt idx="380">
                  <c:v>1983.2499999939801</c:v>
                </c:pt>
                <c:pt idx="381">
                  <c:v>1983.16666666062</c:v>
                </c:pt>
                <c:pt idx="382">
                  <c:v>1983.0833333272601</c:v>
                </c:pt>
                <c:pt idx="383">
                  <c:v>1982.9999999939</c:v>
                </c:pt>
                <c:pt idx="384">
                  <c:v>1982.9166666605399</c:v>
                </c:pt>
                <c:pt idx="385">
                  <c:v>1982.8333333271801</c:v>
                </c:pt>
                <c:pt idx="386">
                  <c:v>1982.74999999382</c:v>
                </c:pt>
                <c:pt idx="387">
                  <c:v>1982.6666666604599</c:v>
                </c:pt>
                <c:pt idx="388">
                  <c:v>1982.5833333271</c:v>
                </c:pt>
                <c:pt idx="389">
                  <c:v>1982.4999999937399</c:v>
                </c:pt>
                <c:pt idx="390">
                  <c:v>1982.4166666603801</c:v>
                </c:pt>
                <c:pt idx="391">
                  <c:v>1982.33333332702</c:v>
                </c:pt>
                <c:pt idx="392">
                  <c:v>1982.2499999936599</c:v>
                </c:pt>
                <c:pt idx="393">
                  <c:v>1982.1666666603001</c:v>
                </c:pt>
                <c:pt idx="394">
                  <c:v>1982.08333332694</c:v>
                </c:pt>
                <c:pt idx="395">
                  <c:v>1981.9999999935801</c:v>
                </c:pt>
                <c:pt idx="396">
                  <c:v>1981.91666666022</c:v>
                </c:pt>
                <c:pt idx="397">
                  <c:v>1981.8333333268599</c:v>
                </c:pt>
                <c:pt idx="398">
                  <c:v>1981.7499999935001</c:v>
                </c:pt>
                <c:pt idx="399">
                  <c:v>1981.66666666014</c:v>
                </c:pt>
                <c:pt idx="400">
                  <c:v>1981.5833333267799</c:v>
                </c:pt>
                <c:pt idx="401">
                  <c:v>1981.49999999342</c:v>
                </c:pt>
                <c:pt idx="402">
                  <c:v>1981.4166666600599</c:v>
                </c:pt>
                <c:pt idx="403">
                  <c:v>1981.3333333267001</c:v>
                </c:pt>
                <c:pt idx="404">
                  <c:v>1981.24999999334</c:v>
                </c:pt>
                <c:pt idx="405">
                  <c:v>1981.1666666599799</c:v>
                </c:pt>
                <c:pt idx="406">
                  <c:v>1981.08333332662</c:v>
                </c:pt>
                <c:pt idx="407">
                  <c:v>1980.99999999326</c:v>
                </c:pt>
                <c:pt idx="408">
                  <c:v>1980.9166666599001</c:v>
                </c:pt>
                <c:pt idx="409">
                  <c:v>1980.83333332654</c:v>
                </c:pt>
                <c:pt idx="410">
                  <c:v>1980.7499999931799</c:v>
                </c:pt>
                <c:pt idx="411">
                  <c:v>1980.6666666598201</c:v>
                </c:pt>
                <c:pt idx="412">
                  <c:v>1980.58333332646</c:v>
                </c:pt>
                <c:pt idx="413">
                  <c:v>1980.4999999930999</c:v>
                </c:pt>
                <c:pt idx="414">
                  <c:v>1980.41666665974</c:v>
                </c:pt>
                <c:pt idx="415">
                  <c:v>1980.3333333263799</c:v>
                </c:pt>
                <c:pt idx="416">
                  <c:v>1980.2499999930201</c:v>
                </c:pt>
                <c:pt idx="417">
                  <c:v>1980.16666665966</c:v>
                </c:pt>
                <c:pt idx="418">
                  <c:v>1980.0833333262999</c:v>
                </c:pt>
                <c:pt idx="419">
                  <c:v>1979.99999999294</c:v>
                </c:pt>
                <c:pt idx="420">
                  <c:v>1979.91666665958</c:v>
                </c:pt>
                <c:pt idx="421">
                  <c:v>1979.8333333262201</c:v>
                </c:pt>
                <c:pt idx="422">
                  <c:v>1979.74999999286</c:v>
                </c:pt>
                <c:pt idx="423">
                  <c:v>1979.6666666594999</c:v>
                </c:pt>
                <c:pt idx="424">
                  <c:v>1979.5833333261401</c:v>
                </c:pt>
                <c:pt idx="425">
                  <c:v>1979.49999999278</c:v>
                </c:pt>
                <c:pt idx="426">
                  <c:v>1979.4166666594199</c:v>
                </c:pt>
                <c:pt idx="427">
                  <c:v>1979.33333332606</c:v>
                </c:pt>
                <c:pt idx="428">
                  <c:v>1979.2499999926999</c:v>
                </c:pt>
                <c:pt idx="429">
                  <c:v>1979.1666666593401</c:v>
                </c:pt>
                <c:pt idx="430">
                  <c:v>1979.08333332598</c:v>
                </c:pt>
                <c:pt idx="431">
                  <c:v>1978.9999999926199</c:v>
                </c:pt>
                <c:pt idx="432">
                  <c:v>1978.91666665926</c:v>
                </c:pt>
                <c:pt idx="433">
                  <c:v>1978.8333333259</c:v>
                </c:pt>
                <c:pt idx="434">
                  <c:v>1978.7499999925401</c:v>
                </c:pt>
                <c:pt idx="435">
                  <c:v>1978.66666665918</c:v>
                </c:pt>
                <c:pt idx="436">
                  <c:v>1978.5833333258199</c:v>
                </c:pt>
                <c:pt idx="437">
                  <c:v>1978.4999999924601</c:v>
                </c:pt>
                <c:pt idx="438">
                  <c:v>1978.4166666591</c:v>
                </c:pt>
                <c:pt idx="439">
                  <c:v>1978.3333333257401</c:v>
                </c:pt>
                <c:pt idx="440">
                  <c:v>1978.24999999238</c:v>
                </c:pt>
                <c:pt idx="441">
                  <c:v>1978.1666666590099</c:v>
                </c:pt>
                <c:pt idx="442">
                  <c:v>1978.0833333256501</c:v>
                </c:pt>
                <c:pt idx="443">
                  <c:v>1977.99999999229</c:v>
                </c:pt>
                <c:pt idx="444">
                  <c:v>1977.9166666589299</c:v>
                </c:pt>
                <c:pt idx="445">
                  <c:v>1977.83333332557</c:v>
                </c:pt>
                <c:pt idx="446">
                  <c:v>1977.74999999221</c:v>
                </c:pt>
                <c:pt idx="447">
                  <c:v>1977.6666666588501</c:v>
                </c:pt>
                <c:pt idx="448">
                  <c:v>1977.58333332549</c:v>
                </c:pt>
                <c:pt idx="449">
                  <c:v>1977.4999999921299</c:v>
                </c:pt>
                <c:pt idx="450">
                  <c:v>1977.4166666587701</c:v>
                </c:pt>
                <c:pt idx="451">
                  <c:v>1977.33333332541</c:v>
                </c:pt>
                <c:pt idx="452">
                  <c:v>1977.2499999920501</c:v>
                </c:pt>
                <c:pt idx="453">
                  <c:v>1977.16666665869</c:v>
                </c:pt>
                <c:pt idx="454">
                  <c:v>1977.0833333253299</c:v>
                </c:pt>
                <c:pt idx="455">
                  <c:v>1976.9999999919701</c:v>
                </c:pt>
                <c:pt idx="456">
                  <c:v>1976.91666665861</c:v>
                </c:pt>
                <c:pt idx="457">
                  <c:v>1976.8333333252499</c:v>
                </c:pt>
                <c:pt idx="458">
                  <c:v>1976.74999999189</c:v>
                </c:pt>
                <c:pt idx="459">
                  <c:v>1976.6666666585299</c:v>
                </c:pt>
                <c:pt idx="460">
                  <c:v>1976.5833333251701</c:v>
                </c:pt>
                <c:pt idx="461">
                  <c:v>1976.49999999181</c:v>
                </c:pt>
                <c:pt idx="462">
                  <c:v>1976.4166666584499</c:v>
                </c:pt>
                <c:pt idx="463">
                  <c:v>1976.3333333250901</c:v>
                </c:pt>
                <c:pt idx="464">
                  <c:v>1976.24999999173</c:v>
                </c:pt>
                <c:pt idx="465">
                  <c:v>1976.1666666583701</c:v>
                </c:pt>
                <c:pt idx="466">
                  <c:v>1976.08333332501</c:v>
                </c:pt>
                <c:pt idx="467">
                  <c:v>1975.9999999916499</c:v>
                </c:pt>
                <c:pt idx="468">
                  <c:v>1975.9166666582901</c:v>
                </c:pt>
                <c:pt idx="469">
                  <c:v>1975.83333332493</c:v>
                </c:pt>
                <c:pt idx="470">
                  <c:v>1975.7499999915699</c:v>
                </c:pt>
                <c:pt idx="471">
                  <c:v>1975.66666665821</c:v>
                </c:pt>
                <c:pt idx="472">
                  <c:v>1975.5833333248499</c:v>
                </c:pt>
                <c:pt idx="473">
                  <c:v>1975.4999999914901</c:v>
                </c:pt>
                <c:pt idx="474">
                  <c:v>1975.41666665813</c:v>
                </c:pt>
                <c:pt idx="475">
                  <c:v>1975.3333333247699</c:v>
                </c:pt>
                <c:pt idx="476">
                  <c:v>1975.24999999141</c:v>
                </c:pt>
                <c:pt idx="477">
                  <c:v>1975.16666665805</c:v>
                </c:pt>
                <c:pt idx="478">
                  <c:v>1975.0833333246901</c:v>
                </c:pt>
                <c:pt idx="479">
                  <c:v>1974.99999999133</c:v>
                </c:pt>
                <c:pt idx="480">
                  <c:v>1974.9166666579699</c:v>
                </c:pt>
                <c:pt idx="481">
                  <c:v>1974.8333333246101</c:v>
                </c:pt>
                <c:pt idx="482">
                  <c:v>1974.74999999125</c:v>
                </c:pt>
                <c:pt idx="483">
                  <c:v>1974.6666666578899</c:v>
                </c:pt>
                <c:pt idx="484">
                  <c:v>1974.58333332453</c:v>
                </c:pt>
                <c:pt idx="485">
                  <c:v>1974.4999999911699</c:v>
                </c:pt>
                <c:pt idx="486">
                  <c:v>1974.4166666578101</c:v>
                </c:pt>
                <c:pt idx="487">
                  <c:v>1974.33333332445</c:v>
                </c:pt>
                <c:pt idx="488">
                  <c:v>1974.2499999910899</c:v>
                </c:pt>
                <c:pt idx="489">
                  <c:v>1974.16666665773</c:v>
                </c:pt>
                <c:pt idx="490">
                  <c:v>1974.08333332437</c:v>
                </c:pt>
                <c:pt idx="491">
                  <c:v>1973.9999999910101</c:v>
                </c:pt>
                <c:pt idx="492">
                  <c:v>1973.91666665765</c:v>
                </c:pt>
                <c:pt idx="493">
                  <c:v>1973.8333333242899</c:v>
                </c:pt>
                <c:pt idx="494">
                  <c:v>1973.7499999909301</c:v>
                </c:pt>
                <c:pt idx="495">
                  <c:v>1973.66666665757</c:v>
                </c:pt>
                <c:pt idx="496">
                  <c:v>1973.5833333242099</c:v>
                </c:pt>
                <c:pt idx="497">
                  <c:v>1973.49999999085</c:v>
                </c:pt>
                <c:pt idx="498">
                  <c:v>1973.4166666574899</c:v>
                </c:pt>
                <c:pt idx="499">
                  <c:v>1973.3333333241301</c:v>
                </c:pt>
                <c:pt idx="500">
                  <c:v>1973.24999999077</c:v>
                </c:pt>
                <c:pt idx="501">
                  <c:v>1973.1666666574099</c:v>
                </c:pt>
                <c:pt idx="502">
                  <c:v>1973.08333332405</c:v>
                </c:pt>
                <c:pt idx="503">
                  <c:v>1972.99999999069</c:v>
                </c:pt>
                <c:pt idx="504">
                  <c:v>1972.9166666573401</c:v>
                </c:pt>
                <c:pt idx="505">
                  <c:v>1972.83333332398</c:v>
                </c:pt>
                <c:pt idx="506">
                  <c:v>1972.7499999906199</c:v>
                </c:pt>
                <c:pt idx="507">
                  <c:v>1972.6666666572601</c:v>
                </c:pt>
                <c:pt idx="508">
                  <c:v>1972.5833333239</c:v>
                </c:pt>
                <c:pt idx="509">
                  <c:v>1972.4999999905399</c:v>
                </c:pt>
                <c:pt idx="510">
                  <c:v>1972.41666665718</c:v>
                </c:pt>
                <c:pt idx="511">
                  <c:v>1972.3333333238199</c:v>
                </c:pt>
                <c:pt idx="512">
                  <c:v>1972.2499999904601</c:v>
                </c:pt>
                <c:pt idx="513">
                  <c:v>1972.1666666571</c:v>
                </c:pt>
                <c:pt idx="514">
                  <c:v>1972.0833333237399</c:v>
                </c:pt>
                <c:pt idx="515">
                  <c:v>1971.99999999038</c:v>
                </c:pt>
              </c:numCache>
            </c:numRef>
          </c:xVal>
          <c:yVal>
            <c:numRef>
              <c:f>Transporte!$O$5:$O$520</c:f>
              <c:numCache>
                <c:formatCode>General</c:formatCode>
                <c:ptCount val="516"/>
                <c:pt idx="0">
                  <c:v>13733</c:v>
                </c:pt>
                <c:pt idx="1">
                  <c:v>12934</c:v>
                </c:pt>
                <c:pt idx="2">
                  <c:v>10429</c:v>
                </c:pt>
                <c:pt idx="3">
                  <c:v>6985</c:v>
                </c:pt>
                <c:pt idx="4">
                  <c:v>4832</c:v>
                </c:pt>
                <c:pt idx="5">
                  <c:v>5803</c:v>
                </c:pt>
                <c:pt idx="6">
                  <c:v>9247</c:v>
                </c:pt>
                <c:pt idx="7">
                  <c:v>9219</c:v>
                </c:pt>
                <c:pt idx="8">
                  <c:v>4464</c:v>
                </c:pt>
                <c:pt idx="9">
                  <c:v>5428</c:v>
                </c:pt>
                <c:pt idx="10">
                  <c:v>3702</c:v>
                </c:pt>
                <c:pt idx="11">
                  <c:v>7869</c:v>
                </c:pt>
                <c:pt idx="24">
                  <c:v>10054</c:v>
                </c:pt>
                <c:pt idx="25">
                  <c:v>11863</c:v>
                </c:pt>
                <c:pt idx="26">
                  <c:v>9083</c:v>
                </c:pt>
                <c:pt idx="27">
                  <c:v>8957</c:v>
                </c:pt>
                <c:pt idx="28">
                  <c:v>8613</c:v>
                </c:pt>
                <c:pt idx="29">
                  <c:v>9084</c:v>
                </c:pt>
                <c:pt idx="30">
                  <c:v>14584</c:v>
                </c:pt>
                <c:pt idx="31">
                  <c:v>16730</c:v>
                </c:pt>
                <c:pt idx="32">
                  <c:v>9180</c:v>
                </c:pt>
                <c:pt idx="33">
                  <c:v>5412</c:v>
                </c:pt>
                <c:pt idx="34">
                  <c:v>9640</c:v>
                </c:pt>
                <c:pt idx="35">
                  <c:v>21327</c:v>
                </c:pt>
                <c:pt idx="36">
                  <c:v>32570</c:v>
                </c:pt>
                <c:pt idx="37">
                  <c:v>23485</c:v>
                </c:pt>
                <c:pt idx="38">
                  <c:v>17415</c:v>
                </c:pt>
                <c:pt idx="39">
                  <c:v>15310</c:v>
                </c:pt>
                <c:pt idx="40">
                  <c:v>19387</c:v>
                </c:pt>
                <c:pt idx="41">
                  <c:v>23579</c:v>
                </c:pt>
                <c:pt idx="42">
                  <c:v>29180</c:v>
                </c:pt>
                <c:pt idx="43">
                  <c:v>26750</c:v>
                </c:pt>
                <c:pt idx="44">
                  <c:v>13049</c:v>
                </c:pt>
                <c:pt idx="45">
                  <c:v>9190</c:v>
                </c:pt>
                <c:pt idx="46">
                  <c:v>8644</c:v>
                </c:pt>
                <c:pt idx="47">
                  <c:v>24530</c:v>
                </c:pt>
                <c:pt idx="48">
                  <c:v>34857</c:v>
                </c:pt>
                <c:pt idx="49">
                  <c:v>32856</c:v>
                </c:pt>
                <c:pt idx="50">
                  <c:v>33804</c:v>
                </c:pt>
                <c:pt idx="51">
                  <c:v>29191</c:v>
                </c:pt>
                <c:pt idx="52">
                  <c:v>29793</c:v>
                </c:pt>
                <c:pt idx="53">
                  <c:v>22569</c:v>
                </c:pt>
                <c:pt idx="54">
                  <c:v>15899</c:v>
                </c:pt>
                <c:pt idx="55">
                  <c:v>10630</c:v>
                </c:pt>
                <c:pt idx="56">
                  <c:v>5225</c:v>
                </c:pt>
                <c:pt idx="57">
                  <c:v>3231</c:v>
                </c:pt>
                <c:pt idx="58">
                  <c:v>2047</c:v>
                </c:pt>
                <c:pt idx="59">
                  <c:v>3620</c:v>
                </c:pt>
                <c:pt idx="60">
                  <c:v>7124</c:v>
                </c:pt>
                <c:pt idx="61">
                  <c:v>10275</c:v>
                </c:pt>
                <c:pt idx="62">
                  <c:v>6802</c:v>
                </c:pt>
                <c:pt idx="63">
                  <c:v>8097</c:v>
                </c:pt>
                <c:pt idx="64">
                  <c:v>8274</c:v>
                </c:pt>
                <c:pt idx="65">
                  <c:v>11240</c:v>
                </c:pt>
                <c:pt idx="66">
                  <c:v>11709</c:v>
                </c:pt>
                <c:pt idx="67">
                  <c:v>12244</c:v>
                </c:pt>
                <c:pt idx="68">
                  <c:v>9875</c:v>
                </c:pt>
                <c:pt idx="69">
                  <c:v>7483</c:v>
                </c:pt>
                <c:pt idx="70">
                  <c:v>8904</c:v>
                </c:pt>
                <c:pt idx="71">
                  <c:v>18391</c:v>
                </c:pt>
                <c:pt idx="72">
                  <c:v>30406</c:v>
                </c:pt>
                <c:pt idx="73">
                  <c:v>26105</c:v>
                </c:pt>
                <c:pt idx="74">
                  <c:v>23173</c:v>
                </c:pt>
                <c:pt idx="75">
                  <c:v>22667</c:v>
                </c:pt>
                <c:pt idx="76">
                  <c:v>22880</c:v>
                </c:pt>
                <c:pt idx="77">
                  <c:v>21718</c:v>
                </c:pt>
                <c:pt idx="78">
                  <c:v>16964</c:v>
                </c:pt>
                <c:pt idx="79">
                  <c:v>11940</c:v>
                </c:pt>
                <c:pt idx="80">
                  <c:v>7302</c:v>
                </c:pt>
                <c:pt idx="81">
                  <c:v>7041</c:v>
                </c:pt>
                <c:pt idx="82">
                  <c:v>6649</c:v>
                </c:pt>
                <c:pt idx="83">
                  <c:v>14942</c:v>
                </c:pt>
                <c:pt idx="84">
                  <c:v>24612</c:v>
                </c:pt>
                <c:pt idx="85">
                  <c:v>25594</c:v>
                </c:pt>
                <c:pt idx="86">
                  <c:v>18750</c:v>
                </c:pt>
                <c:pt idx="87">
                  <c:v>18077</c:v>
                </c:pt>
                <c:pt idx="88">
                  <c:v>15776</c:v>
                </c:pt>
                <c:pt idx="89">
                  <c:v>20584</c:v>
                </c:pt>
                <c:pt idx="90">
                  <c:v>20340</c:v>
                </c:pt>
                <c:pt idx="91">
                  <c:v>13691</c:v>
                </c:pt>
                <c:pt idx="92">
                  <c:v>7312</c:v>
                </c:pt>
                <c:pt idx="93">
                  <c:v>2809</c:v>
                </c:pt>
                <c:pt idx="94">
                  <c:v>3732</c:v>
                </c:pt>
                <c:pt idx="95">
                  <c:v>12575</c:v>
                </c:pt>
                <c:pt idx="96">
                  <c:v>19098</c:v>
                </c:pt>
                <c:pt idx="97">
                  <c:v>14827</c:v>
                </c:pt>
                <c:pt idx="98">
                  <c:v>10805</c:v>
                </c:pt>
                <c:pt idx="99">
                  <c:v>10109</c:v>
                </c:pt>
                <c:pt idx="100">
                  <c:v>10301</c:v>
                </c:pt>
                <c:pt idx="101">
                  <c:v>18071</c:v>
                </c:pt>
                <c:pt idx="102">
                  <c:v>19737</c:v>
                </c:pt>
                <c:pt idx="103">
                  <c:v>14451</c:v>
                </c:pt>
                <c:pt idx="104">
                  <c:v>8536</c:v>
                </c:pt>
                <c:pt idx="105">
                  <c:v>5064</c:v>
                </c:pt>
                <c:pt idx="106">
                  <c:v>6610</c:v>
                </c:pt>
                <c:pt idx="107">
                  <c:v>15637</c:v>
                </c:pt>
                <c:pt idx="110">
                  <c:v>11363</c:v>
                </c:pt>
                <c:pt idx="111">
                  <c:v>8571</c:v>
                </c:pt>
                <c:pt idx="112">
                  <c:v>9587</c:v>
                </c:pt>
                <c:pt idx="115">
                  <c:v>9492</c:v>
                </c:pt>
                <c:pt idx="116">
                  <c:v>5103</c:v>
                </c:pt>
                <c:pt idx="117">
                  <c:v>4210</c:v>
                </c:pt>
                <c:pt idx="118">
                  <c:v>4937</c:v>
                </c:pt>
                <c:pt idx="119">
                  <c:v>10582</c:v>
                </c:pt>
                <c:pt idx="120">
                  <c:v>20571</c:v>
                </c:pt>
                <c:pt idx="121">
                  <c:v>17435</c:v>
                </c:pt>
                <c:pt idx="122">
                  <c:v>12564</c:v>
                </c:pt>
                <c:pt idx="123">
                  <c:v>8509</c:v>
                </c:pt>
                <c:pt idx="124">
                  <c:v>8098</c:v>
                </c:pt>
                <c:pt idx="125">
                  <c:v>8598</c:v>
                </c:pt>
                <c:pt idx="126">
                  <c:v>10993</c:v>
                </c:pt>
                <c:pt idx="127">
                  <c:v>8244</c:v>
                </c:pt>
                <c:pt idx="128">
                  <c:v>3768</c:v>
                </c:pt>
                <c:pt idx="129">
                  <c:v>2799</c:v>
                </c:pt>
                <c:pt idx="130">
                  <c:v>3812</c:v>
                </c:pt>
                <c:pt idx="131">
                  <c:v>13563</c:v>
                </c:pt>
                <c:pt idx="132">
                  <c:v>20657</c:v>
                </c:pt>
                <c:pt idx="133">
                  <c:v>17053</c:v>
                </c:pt>
                <c:pt idx="134">
                  <c:v>12280</c:v>
                </c:pt>
                <c:pt idx="135">
                  <c:v>8210</c:v>
                </c:pt>
                <c:pt idx="136">
                  <c:v>10123</c:v>
                </c:pt>
                <c:pt idx="137">
                  <c:v>11497</c:v>
                </c:pt>
                <c:pt idx="138">
                  <c:v>10185</c:v>
                </c:pt>
                <c:pt idx="139">
                  <c:v>8114</c:v>
                </c:pt>
                <c:pt idx="140">
                  <c:v>4128</c:v>
                </c:pt>
                <c:pt idx="141">
                  <c:v>2472</c:v>
                </c:pt>
                <c:pt idx="142">
                  <c:v>1859</c:v>
                </c:pt>
                <c:pt idx="143">
                  <c:v>3783</c:v>
                </c:pt>
                <c:pt idx="144">
                  <c:v>8688</c:v>
                </c:pt>
                <c:pt idx="145">
                  <c:v>10968</c:v>
                </c:pt>
                <c:pt idx="146">
                  <c:v>6424</c:v>
                </c:pt>
                <c:pt idx="147">
                  <c:v>5310</c:v>
                </c:pt>
                <c:pt idx="148">
                  <c:v>5245</c:v>
                </c:pt>
                <c:pt idx="149">
                  <c:v>9728</c:v>
                </c:pt>
                <c:pt idx="150">
                  <c:v>11108</c:v>
                </c:pt>
                <c:pt idx="151">
                  <c:v>8108</c:v>
                </c:pt>
                <c:pt idx="152">
                  <c:v>5226</c:v>
                </c:pt>
                <c:pt idx="153">
                  <c:v>2779</c:v>
                </c:pt>
                <c:pt idx="154">
                  <c:v>3086</c:v>
                </c:pt>
                <c:pt idx="155">
                  <c:v>9792</c:v>
                </c:pt>
                <c:pt idx="156">
                  <c:v>13872</c:v>
                </c:pt>
                <c:pt idx="157">
                  <c:v>11591</c:v>
                </c:pt>
                <c:pt idx="158">
                  <c:v>8679</c:v>
                </c:pt>
                <c:pt idx="159">
                  <c:v>5349</c:v>
                </c:pt>
                <c:pt idx="160">
                  <c:v>5003</c:v>
                </c:pt>
                <c:pt idx="161">
                  <c:v>6038</c:v>
                </c:pt>
                <c:pt idx="162">
                  <c:v>7683</c:v>
                </c:pt>
                <c:pt idx="163">
                  <c:v>5479</c:v>
                </c:pt>
                <c:pt idx="164">
                  <c:v>3952</c:v>
                </c:pt>
                <c:pt idx="165">
                  <c:v>3362</c:v>
                </c:pt>
                <c:pt idx="166">
                  <c:v>2594</c:v>
                </c:pt>
                <c:pt idx="167">
                  <c:v>6781</c:v>
                </c:pt>
                <c:pt idx="168">
                  <c:v>15503</c:v>
                </c:pt>
                <c:pt idx="169">
                  <c:v>18466</c:v>
                </c:pt>
                <c:pt idx="170">
                  <c:v>18190</c:v>
                </c:pt>
                <c:pt idx="171">
                  <c:v>13526</c:v>
                </c:pt>
                <c:pt idx="172">
                  <c:v>13949</c:v>
                </c:pt>
                <c:pt idx="173">
                  <c:v>16465</c:v>
                </c:pt>
                <c:pt idx="174">
                  <c:v>14474</c:v>
                </c:pt>
                <c:pt idx="175">
                  <c:v>10167</c:v>
                </c:pt>
                <c:pt idx="176">
                  <c:v>7215</c:v>
                </c:pt>
                <c:pt idx="177">
                  <c:v>8152</c:v>
                </c:pt>
                <c:pt idx="178">
                  <c:v>7908</c:v>
                </c:pt>
                <c:pt idx="179">
                  <c:v>19861</c:v>
                </c:pt>
                <c:pt idx="192">
                  <c:v>31579</c:v>
                </c:pt>
                <c:pt idx="193">
                  <c:v>25031</c:v>
                </c:pt>
                <c:pt idx="194">
                  <c:v>22450</c:v>
                </c:pt>
                <c:pt idx="195">
                  <c:v>17885</c:v>
                </c:pt>
                <c:pt idx="196">
                  <c:v>17338</c:v>
                </c:pt>
                <c:pt idx="197">
                  <c:v>19257</c:v>
                </c:pt>
                <c:pt idx="198">
                  <c:v>15554</c:v>
                </c:pt>
                <c:pt idx="199">
                  <c:v>11028</c:v>
                </c:pt>
                <c:pt idx="200">
                  <c:v>4329</c:v>
                </c:pt>
                <c:pt idx="201">
                  <c:v>1626</c:v>
                </c:pt>
                <c:pt idx="202">
                  <c:v>1747</c:v>
                </c:pt>
                <c:pt idx="203">
                  <c:v>1750</c:v>
                </c:pt>
                <c:pt idx="204">
                  <c:v>6312</c:v>
                </c:pt>
                <c:pt idx="205">
                  <c:v>8111</c:v>
                </c:pt>
                <c:pt idx="206">
                  <c:v>6523</c:v>
                </c:pt>
                <c:pt idx="207">
                  <c:v>3348</c:v>
                </c:pt>
                <c:pt idx="208">
                  <c:v>3550</c:v>
                </c:pt>
                <c:pt idx="209">
                  <c:v>6650</c:v>
                </c:pt>
                <c:pt idx="210">
                  <c:v>7390</c:v>
                </c:pt>
                <c:pt idx="211">
                  <c:v>5373</c:v>
                </c:pt>
                <c:pt idx="212">
                  <c:v>3443</c:v>
                </c:pt>
                <c:pt idx="213">
                  <c:v>3501</c:v>
                </c:pt>
                <c:pt idx="214">
                  <c:v>5632</c:v>
                </c:pt>
                <c:pt idx="215">
                  <c:v>8426</c:v>
                </c:pt>
                <c:pt idx="216">
                  <c:v>22990</c:v>
                </c:pt>
                <c:pt idx="217">
                  <c:v>27769</c:v>
                </c:pt>
                <c:pt idx="218">
                  <c:v>25414</c:v>
                </c:pt>
                <c:pt idx="219">
                  <c:v>26320</c:v>
                </c:pt>
                <c:pt idx="220">
                  <c:v>32200</c:v>
                </c:pt>
                <c:pt idx="221">
                  <c:v>31709</c:v>
                </c:pt>
                <c:pt idx="222">
                  <c:v>21393</c:v>
                </c:pt>
                <c:pt idx="223">
                  <c:v>13290</c:v>
                </c:pt>
                <c:pt idx="224">
                  <c:v>10949</c:v>
                </c:pt>
                <c:pt idx="225">
                  <c:v>9054</c:v>
                </c:pt>
                <c:pt idx="226">
                  <c:v>5953</c:v>
                </c:pt>
                <c:pt idx="227">
                  <c:v>12245</c:v>
                </c:pt>
                <c:pt idx="228">
                  <c:v>22700</c:v>
                </c:pt>
                <c:pt idx="229">
                  <c:v>12625</c:v>
                </c:pt>
                <c:pt idx="230">
                  <c:v>21754</c:v>
                </c:pt>
                <c:pt idx="231">
                  <c:v>22612</c:v>
                </c:pt>
                <c:pt idx="232">
                  <c:v>20332</c:v>
                </c:pt>
                <c:pt idx="233">
                  <c:v>15478</c:v>
                </c:pt>
                <c:pt idx="234">
                  <c:v>13104</c:v>
                </c:pt>
                <c:pt idx="235">
                  <c:v>8745</c:v>
                </c:pt>
                <c:pt idx="236">
                  <c:v>3423</c:v>
                </c:pt>
                <c:pt idx="237">
                  <c:v>1767</c:v>
                </c:pt>
                <c:pt idx="238">
                  <c:v>1497</c:v>
                </c:pt>
                <c:pt idx="239">
                  <c:v>7567</c:v>
                </c:pt>
                <c:pt idx="240">
                  <c:v>25821</c:v>
                </c:pt>
                <c:pt idx="241">
                  <c:v>22969</c:v>
                </c:pt>
                <c:pt idx="242">
                  <c:v>16391</c:v>
                </c:pt>
                <c:pt idx="243">
                  <c:v>10837</c:v>
                </c:pt>
                <c:pt idx="244">
                  <c:v>12208</c:v>
                </c:pt>
                <c:pt idx="245">
                  <c:v>18320</c:v>
                </c:pt>
                <c:pt idx="246">
                  <c:v>20773</c:v>
                </c:pt>
                <c:pt idx="247">
                  <c:v>16971</c:v>
                </c:pt>
                <c:pt idx="248">
                  <c:v>10474</c:v>
                </c:pt>
                <c:pt idx="249">
                  <c:v>6830</c:v>
                </c:pt>
                <c:pt idx="250">
                  <c:v>6237</c:v>
                </c:pt>
                <c:pt idx="251">
                  <c:v>17094</c:v>
                </c:pt>
                <c:pt idx="252">
                  <c:v>26148</c:v>
                </c:pt>
                <c:pt idx="253">
                  <c:v>20331</c:v>
                </c:pt>
                <c:pt idx="254">
                  <c:v>17756</c:v>
                </c:pt>
                <c:pt idx="255">
                  <c:v>13251</c:v>
                </c:pt>
                <c:pt idx="256">
                  <c:v>10202</c:v>
                </c:pt>
                <c:pt idx="257">
                  <c:v>15703</c:v>
                </c:pt>
                <c:pt idx="258">
                  <c:v>18468</c:v>
                </c:pt>
                <c:pt idx="259">
                  <c:v>14387</c:v>
                </c:pt>
                <c:pt idx="260">
                  <c:v>6970</c:v>
                </c:pt>
                <c:pt idx="261">
                  <c:v>3348</c:v>
                </c:pt>
                <c:pt idx="262">
                  <c:v>3469</c:v>
                </c:pt>
                <c:pt idx="263">
                  <c:v>6770</c:v>
                </c:pt>
                <c:pt idx="264">
                  <c:v>13090</c:v>
                </c:pt>
                <c:pt idx="265">
                  <c:v>11977</c:v>
                </c:pt>
                <c:pt idx="266">
                  <c:v>12356</c:v>
                </c:pt>
                <c:pt idx="267">
                  <c:v>9242</c:v>
                </c:pt>
                <c:pt idx="268">
                  <c:v>8444</c:v>
                </c:pt>
                <c:pt idx="269">
                  <c:v>6194</c:v>
                </c:pt>
                <c:pt idx="270">
                  <c:v>7588</c:v>
                </c:pt>
                <c:pt idx="271">
                  <c:v>5545</c:v>
                </c:pt>
                <c:pt idx="272">
                  <c:v>2027</c:v>
                </c:pt>
                <c:pt idx="273">
                  <c:v>2122</c:v>
                </c:pt>
                <c:pt idx="274">
                  <c:v>2247</c:v>
                </c:pt>
                <c:pt idx="275">
                  <c:v>5564</c:v>
                </c:pt>
                <c:pt idx="276">
                  <c:v>18596</c:v>
                </c:pt>
                <c:pt idx="277">
                  <c:v>17123</c:v>
                </c:pt>
                <c:pt idx="278">
                  <c:v>15690</c:v>
                </c:pt>
                <c:pt idx="279">
                  <c:v>7373</c:v>
                </c:pt>
                <c:pt idx="280">
                  <c:v>10448</c:v>
                </c:pt>
                <c:pt idx="281">
                  <c:v>11781</c:v>
                </c:pt>
                <c:pt idx="282">
                  <c:v>12770</c:v>
                </c:pt>
                <c:pt idx="283">
                  <c:v>10803</c:v>
                </c:pt>
                <c:pt idx="284">
                  <c:v>5907</c:v>
                </c:pt>
                <c:pt idx="285">
                  <c:v>4498</c:v>
                </c:pt>
                <c:pt idx="286">
                  <c:v>3168</c:v>
                </c:pt>
                <c:pt idx="287">
                  <c:v>13451</c:v>
                </c:pt>
                <c:pt idx="288">
                  <c:v>27156</c:v>
                </c:pt>
                <c:pt idx="289">
                  <c:v>24705</c:v>
                </c:pt>
                <c:pt idx="290">
                  <c:v>16755</c:v>
                </c:pt>
                <c:pt idx="291">
                  <c:v>10931</c:v>
                </c:pt>
                <c:pt idx="292">
                  <c:v>10393</c:v>
                </c:pt>
                <c:pt idx="293">
                  <c:v>13023</c:v>
                </c:pt>
                <c:pt idx="294">
                  <c:v>14917</c:v>
                </c:pt>
                <c:pt idx="295">
                  <c:v>14255</c:v>
                </c:pt>
                <c:pt idx="296">
                  <c:v>6965</c:v>
                </c:pt>
                <c:pt idx="297">
                  <c:v>5647</c:v>
                </c:pt>
                <c:pt idx="298">
                  <c:v>5953</c:v>
                </c:pt>
                <c:pt idx="299">
                  <c:v>11692</c:v>
                </c:pt>
                <c:pt idx="300">
                  <c:v>30546</c:v>
                </c:pt>
                <c:pt idx="301">
                  <c:v>37097</c:v>
                </c:pt>
                <c:pt idx="302">
                  <c:v>29276</c:v>
                </c:pt>
                <c:pt idx="303">
                  <c:v>17615</c:v>
                </c:pt>
                <c:pt idx="304">
                  <c:v>12404</c:v>
                </c:pt>
                <c:pt idx="305">
                  <c:v>13639</c:v>
                </c:pt>
                <c:pt idx="306">
                  <c:v>14416</c:v>
                </c:pt>
                <c:pt idx="307">
                  <c:v>10998</c:v>
                </c:pt>
                <c:pt idx="308">
                  <c:v>8708</c:v>
                </c:pt>
                <c:pt idx="309">
                  <c:v>9785</c:v>
                </c:pt>
                <c:pt idx="310">
                  <c:v>12516</c:v>
                </c:pt>
                <c:pt idx="311">
                  <c:v>35773</c:v>
                </c:pt>
                <c:pt idx="312">
                  <c:v>48474</c:v>
                </c:pt>
                <c:pt idx="313">
                  <c:v>44340</c:v>
                </c:pt>
                <c:pt idx="314">
                  <c:v>43958</c:v>
                </c:pt>
                <c:pt idx="315">
                  <c:v>33975</c:v>
                </c:pt>
                <c:pt idx="316">
                  <c:v>24646</c:v>
                </c:pt>
                <c:pt idx="317">
                  <c:v>19620</c:v>
                </c:pt>
                <c:pt idx="318">
                  <c:v>10445</c:v>
                </c:pt>
                <c:pt idx="319">
                  <c:v>8554</c:v>
                </c:pt>
                <c:pt idx="320">
                  <c:v>5584</c:v>
                </c:pt>
                <c:pt idx="321">
                  <c:v>4462</c:v>
                </c:pt>
                <c:pt idx="322">
                  <c:v>4680</c:v>
                </c:pt>
                <c:pt idx="323">
                  <c:v>11614</c:v>
                </c:pt>
                <c:pt idx="324">
                  <c:v>32778</c:v>
                </c:pt>
                <c:pt idx="325">
                  <c:v>31425</c:v>
                </c:pt>
                <c:pt idx="326">
                  <c:v>21013</c:v>
                </c:pt>
                <c:pt idx="327">
                  <c:v>14837</c:v>
                </c:pt>
                <c:pt idx="328">
                  <c:v>15014</c:v>
                </c:pt>
                <c:pt idx="329">
                  <c:v>9210</c:v>
                </c:pt>
                <c:pt idx="330">
                  <c:v>12357</c:v>
                </c:pt>
                <c:pt idx="331">
                  <c:v>9941</c:v>
                </c:pt>
                <c:pt idx="332">
                  <c:v>4980</c:v>
                </c:pt>
                <c:pt idx="333">
                  <c:v>4374</c:v>
                </c:pt>
                <c:pt idx="334">
                  <c:v>4163</c:v>
                </c:pt>
                <c:pt idx="335">
                  <c:v>6813</c:v>
                </c:pt>
                <c:pt idx="336">
                  <c:v>22384</c:v>
                </c:pt>
                <c:pt idx="337">
                  <c:v>26260</c:v>
                </c:pt>
                <c:pt idx="338">
                  <c:v>17170</c:v>
                </c:pt>
                <c:pt idx="339">
                  <c:v>8871</c:v>
                </c:pt>
                <c:pt idx="340">
                  <c:v>9243</c:v>
                </c:pt>
                <c:pt idx="341">
                  <c:v>18280</c:v>
                </c:pt>
                <c:pt idx="342">
                  <c:v>19769</c:v>
                </c:pt>
                <c:pt idx="343">
                  <c:v>16694</c:v>
                </c:pt>
                <c:pt idx="344">
                  <c:v>10111</c:v>
                </c:pt>
                <c:pt idx="345">
                  <c:v>7676</c:v>
                </c:pt>
                <c:pt idx="346">
                  <c:v>5635</c:v>
                </c:pt>
                <c:pt idx="347">
                  <c:v>10411</c:v>
                </c:pt>
                <c:pt idx="348">
                  <c:v>14668</c:v>
                </c:pt>
                <c:pt idx="349">
                  <c:v>14495</c:v>
                </c:pt>
                <c:pt idx="350">
                  <c:v>13231</c:v>
                </c:pt>
                <c:pt idx="351">
                  <c:v>10361</c:v>
                </c:pt>
                <c:pt idx="352">
                  <c:v>7406</c:v>
                </c:pt>
                <c:pt idx="353">
                  <c:v>5177</c:v>
                </c:pt>
                <c:pt idx="354">
                  <c:v>7408</c:v>
                </c:pt>
                <c:pt idx="355">
                  <c:v>6468</c:v>
                </c:pt>
                <c:pt idx="356">
                  <c:v>3908</c:v>
                </c:pt>
                <c:pt idx="357">
                  <c:v>2685</c:v>
                </c:pt>
                <c:pt idx="358">
                  <c:v>3595</c:v>
                </c:pt>
                <c:pt idx="359">
                  <c:v>11085</c:v>
                </c:pt>
                <c:pt idx="360">
                  <c:v>20986</c:v>
                </c:pt>
                <c:pt idx="361">
                  <c:v>20887</c:v>
                </c:pt>
                <c:pt idx="362">
                  <c:v>18103</c:v>
                </c:pt>
                <c:pt idx="363">
                  <c:v>14932</c:v>
                </c:pt>
                <c:pt idx="364">
                  <c:v>16099</c:v>
                </c:pt>
                <c:pt idx="365">
                  <c:v>16075</c:v>
                </c:pt>
                <c:pt idx="366">
                  <c:v>12971</c:v>
                </c:pt>
                <c:pt idx="367">
                  <c:v>8713</c:v>
                </c:pt>
                <c:pt idx="368">
                  <c:v>4827</c:v>
                </c:pt>
                <c:pt idx="369">
                  <c:v>5673</c:v>
                </c:pt>
                <c:pt idx="370">
                  <c:v>6436</c:v>
                </c:pt>
                <c:pt idx="371">
                  <c:v>9188</c:v>
                </c:pt>
                <c:pt idx="372">
                  <c:v>10014</c:v>
                </c:pt>
                <c:pt idx="373">
                  <c:v>10670</c:v>
                </c:pt>
                <c:pt idx="374">
                  <c:v>9521</c:v>
                </c:pt>
                <c:pt idx="375">
                  <c:v>7864</c:v>
                </c:pt>
                <c:pt idx="376">
                  <c:v>6987</c:v>
                </c:pt>
                <c:pt idx="377">
                  <c:v>7930</c:v>
                </c:pt>
                <c:pt idx="378">
                  <c:v>11051</c:v>
                </c:pt>
                <c:pt idx="379">
                  <c:v>9694</c:v>
                </c:pt>
                <c:pt idx="380">
                  <c:v>4736</c:v>
                </c:pt>
                <c:pt idx="381">
                  <c:v>2325</c:v>
                </c:pt>
                <c:pt idx="382">
                  <c:v>1854</c:v>
                </c:pt>
                <c:pt idx="383">
                  <c:v>4809</c:v>
                </c:pt>
                <c:pt idx="384">
                  <c:v>10222</c:v>
                </c:pt>
                <c:pt idx="385">
                  <c:v>13438</c:v>
                </c:pt>
                <c:pt idx="386">
                  <c:v>10474</c:v>
                </c:pt>
                <c:pt idx="387">
                  <c:v>7095</c:v>
                </c:pt>
                <c:pt idx="388">
                  <c:v>8919</c:v>
                </c:pt>
                <c:pt idx="389">
                  <c:v>14304</c:v>
                </c:pt>
                <c:pt idx="390">
                  <c:v>17063</c:v>
                </c:pt>
                <c:pt idx="391">
                  <c:v>13127</c:v>
                </c:pt>
                <c:pt idx="392">
                  <c:v>7727</c:v>
                </c:pt>
                <c:pt idx="393">
                  <c:v>5829</c:v>
                </c:pt>
                <c:pt idx="394">
                  <c:v>6299</c:v>
                </c:pt>
                <c:pt idx="395">
                  <c:v>11683</c:v>
                </c:pt>
                <c:pt idx="396">
                  <c:v>18756</c:v>
                </c:pt>
                <c:pt idx="397">
                  <c:v>17187</c:v>
                </c:pt>
                <c:pt idx="398">
                  <c:v>15022</c:v>
                </c:pt>
                <c:pt idx="399">
                  <c:v>15424</c:v>
                </c:pt>
                <c:pt idx="400">
                  <c:v>17108</c:v>
                </c:pt>
                <c:pt idx="401">
                  <c:v>23566</c:v>
                </c:pt>
                <c:pt idx="402">
                  <c:v>22747</c:v>
                </c:pt>
                <c:pt idx="403">
                  <c:v>14518</c:v>
                </c:pt>
                <c:pt idx="404">
                  <c:v>5555</c:v>
                </c:pt>
                <c:pt idx="405">
                  <c:v>5562</c:v>
                </c:pt>
                <c:pt idx="406">
                  <c:v>3408</c:v>
                </c:pt>
                <c:pt idx="407">
                  <c:v>8646</c:v>
                </c:pt>
                <c:pt idx="408">
                  <c:v>12460</c:v>
                </c:pt>
                <c:pt idx="409">
                  <c:v>12703</c:v>
                </c:pt>
                <c:pt idx="410">
                  <c:v>11058</c:v>
                </c:pt>
                <c:pt idx="411">
                  <c:v>7279</c:v>
                </c:pt>
                <c:pt idx="412">
                  <c:v>7734</c:v>
                </c:pt>
                <c:pt idx="413">
                  <c:v>7106</c:v>
                </c:pt>
                <c:pt idx="414">
                  <c:v>8147</c:v>
                </c:pt>
                <c:pt idx="415">
                  <c:v>5833</c:v>
                </c:pt>
                <c:pt idx="416">
                  <c:v>3056</c:v>
                </c:pt>
                <c:pt idx="417">
                  <c:v>2900</c:v>
                </c:pt>
                <c:pt idx="418">
                  <c:v>4741</c:v>
                </c:pt>
                <c:pt idx="419">
                  <c:v>10166</c:v>
                </c:pt>
                <c:pt idx="420">
                  <c:v>20599</c:v>
                </c:pt>
                <c:pt idx="421">
                  <c:v>16581</c:v>
                </c:pt>
                <c:pt idx="422">
                  <c:v>13337</c:v>
                </c:pt>
                <c:pt idx="423">
                  <c:v>11027</c:v>
                </c:pt>
                <c:pt idx="424">
                  <c:v>8957</c:v>
                </c:pt>
                <c:pt idx="425">
                  <c:v>12617</c:v>
                </c:pt>
                <c:pt idx="426">
                  <c:v>12284</c:v>
                </c:pt>
                <c:pt idx="427">
                  <c:v>9025</c:v>
                </c:pt>
                <c:pt idx="428">
                  <c:v>4315</c:v>
                </c:pt>
                <c:pt idx="429">
                  <c:v>3143</c:v>
                </c:pt>
                <c:pt idx="430">
                  <c:v>2232</c:v>
                </c:pt>
                <c:pt idx="431">
                  <c:v>6510</c:v>
                </c:pt>
                <c:pt idx="432">
                  <c:v>13372</c:v>
                </c:pt>
                <c:pt idx="433">
                  <c:v>13692</c:v>
                </c:pt>
                <c:pt idx="434">
                  <c:v>10883</c:v>
                </c:pt>
                <c:pt idx="435">
                  <c:v>7999</c:v>
                </c:pt>
                <c:pt idx="436">
                  <c:v>9114</c:v>
                </c:pt>
                <c:pt idx="437">
                  <c:v>12430</c:v>
                </c:pt>
                <c:pt idx="438">
                  <c:v>12694</c:v>
                </c:pt>
                <c:pt idx="439">
                  <c:v>11764</c:v>
                </c:pt>
                <c:pt idx="440">
                  <c:v>6983</c:v>
                </c:pt>
                <c:pt idx="441">
                  <c:v>2316</c:v>
                </c:pt>
                <c:pt idx="442">
                  <c:v>2178</c:v>
                </c:pt>
                <c:pt idx="443">
                  <c:v>5931</c:v>
                </c:pt>
                <c:pt idx="444">
                  <c:v>15051</c:v>
                </c:pt>
                <c:pt idx="445">
                  <c:v>15399</c:v>
                </c:pt>
                <c:pt idx="446">
                  <c:v>11594</c:v>
                </c:pt>
                <c:pt idx="447">
                  <c:v>6601</c:v>
                </c:pt>
                <c:pt idx="448">
                  <c:v>7969</c:v>
                </c:pt>
                <c:pt idx="449">
                  <c:v>7805</c:v>
                </c:pt>
                <c:pt idx="450">
                  <c:v>8395</c:v>
                </c:pt>
                <c:pt idx="451">
                  <c:v>5257</c:v>
                </c:pt>
                <c:pt idx="452">
                  <c:v>2541</c:v>
                </c:pt>
                <c:pt idx="453">
                  <c:v>1452</c:v>
                </c:pt>
                <c:pt idx="454">
                  <c:v>1471</c:v>
                </c:pt>
                <c:pt idx="455">
                  <c:v>2908</c:v>
                </c:pt>
                <c:pt idx="456">
                  <c:v>9052</c:v>
                </c:pt>
                <c:pt idx="457">
                  <c:v>12712</c:v>
                </c:pt>
                <c:pt idx="458">
                  <c:v>9534</c:v>
                </c:pt>
                <c:pt idx="459">
                  <c:v>4779</c:v>
                </c:pt>
                <c:pt idx="460">
                  <c:v>6593</c:v>
                </c:pt>
                <c:pt idx="461">
                  <c:v>9901</c:v>
                </c:pt>
                <c:pt idx="462">
                  <c:v>11249</c:v>
                </c:pt>
                <c:pt idx="463">
                  <c:v>10810</c:v>
                </c:pt>
                <c:pt idx="464">
                  <c:v>7028</c:v>
                </c:pt>
                <c:pt idx="465">
                  <c:v>6282</c:v>
                </c:pt>
                <c:pt idx="466">
                  <c:v>6925</c:v>
                </c:pt>
                <c:pt idx="467">
                  <c:v>16268</c:v>
                </c:pt>
                <c:pt idx="468">
                  <c:v>28250</c:v>
                </c:pt>
                <c:pt idx="469">
                  <c:v>27350</c:v>
                </c:pt>
                <c:pt idx="470">
                  <c:v>21437</c:v>
                </c:pt>
                <c:pt idx="471">
                  <c:v>16201</c:v>
                </c:pt>
                <c:pt idx="472">
                  <c:v>13448</c:v>
                </c:pt>
                <c:pt idx="473">
                  <c:v>12456</c:v>
                </c:pt>
                <c:pt idx="474">
                  <c:v>10248</c:v>
                </c:pt>
                <c:pt idx="475">
                  <c:v>7720</c:v>
                </c:pt>
                <c:pt idx="476">
                  <c:v>4285</c:v>
                </c:pt>
                <c:pt idx="477">
                  <c:v>5439</c:v>
                </c:pt>
                <c:pt idx="478">
                  <c:v>3510</c:v>
                </c:pt>
                <c:pt idx="479">
                  <c:v>9313</c:v>
                </c:pt>
                <c:pt idx="480">
                  <c:v>25114</c:v>
                </c:pt>
                <c:pt idx="481">
                  <c:v>25046</c:v>
                </c:pt>
                <c:pt idx="482">
                  <c:v>16554</c:v>
                </c:pt>
                <c:pt idx="483">
                  <c:v>9388</c:v>
                </c:pt>
                <c:pt idx="484">
                  <c:v>9134</c:v>
                </c:pt>
                <c:pt idx="485">
                  <c:v>9567</c:v>
                </c:pt>
                <c:pt idx="486">
                  <c:v>10574</c:v>
                </c:pt>
                <c:pt idx="487">
                  <c:v>10353</c:v>
                </c:pt>
                <c:pt idx="488">
                  <c:v>7395</c:v>
                </c:pt>
                <c:pt idx="489">
                  <c:v>8075</c:v>
                </c:pt>
                <c:pt idx="490">
                  <c:v>8708</c:v>
                </c:pt>
                <c:pt idx="491">
                  <c:v>16332</c:v>
                </c:pt>
                <c:pt idx="492">
                  <c:v>21496</c:v>
                </c:pt>
                <c:pt idx="493">
                  <c:v>20016</c:v>
                </c:pt>
                <c:pt idx="494">
                  <c:v>18298</c:v>
                </c:pt>
                <c:pt idx="495">
                  <c:v>12900</c:v>
                </c:pt>
                <c:pt idx="496">
                  <c:v>9879</c:v>
                </c:pt>
                <c:pt idx="497">
                  <c:v>8250</c:v>
                </c:pt>
                <c:pt idx="498">
                  <c:v>6141</c:v>
                </c:pt>
                <c:pt idx="499">
                  <c:v>4871</c:v>
                </c:pt>
                <c:pt idx="500">
                  <c:v>2567</c:v>
                </c:pt>
                <c:pt idx="501">
                  <c:v>1846</c:v>
                </c:pt>
                <c:pt idx="502">
                  <c:v>1802</c:v>
                </c:pt>
                <c:pt idx="503">
                  <c:v>4356</c:v>
                </c:pt>
                <c:pt idx="504">
                  <c:v>10156</c:v>
                </c:pt>
                <c:pt idx="505">
                  <c:v>10729</c:v>
                </c:pt>
                <c:pt idx="506">
                  <c:v>9184</c:v>
                </c:pt>
                <c:pt idx="507">
                  <c:v>8061</c:v>
                </c:pt>
                <c:pt idx="508">
                  <c:v>8281</c:v>
                </c:pt>
                <c:pt idx="509">
                  <c:v>14206</c:v>
                </c:pt>
                <c:pt idx="510">
                  <c:v>14463</c:v>
                </c:pt>
                <c:pt idx="511">
                  <c:v>10971</c:v>
                </c:pt>
                <c:pt idx="512">
                  <c:v>6112</c:v>
                </c:pt>
                <c:pt idx="513">
                  <c:v>4586</c:v>
                </c:pt>
                <c:pt idx="514">
                  <c:v>6683</c:v>
                </c:pt>
                <c:pt idx="515">
                  <c:v>9515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4F-463D-AAE7-8935D914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373184"/>
        <c:axId val="1388378624"/>
      </c:scatterChart>
      <c:valAx>
        <c:axId val="1388373184"/>
        <c:scaling>
          <c:orientation val="minMax"/>
          <c:max val="2015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78624"/>
        <c:crosses val="autoZero"/>
        <c:crossBetween val="midCat"/>
      </c:valAx>
      <c:valAx>
        <c:axId val="13883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STDA Sedimentos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7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Transporte!$B$5:$B$47</c:f>
              <c:numCache>
                <c:formatCode>General</c:formatCode>
                <c:ptCount val="43"/>
                <c:pt idx="0">
                  <c:v>2014</c:v>
                </c:pt>
                <c:pt idx="1">
                  <c:v>2013</c:v>
                </c:pt>
                <c:pt idx="2">
                  <c:v>2012</c:v>
                </c:pt>
                <c:pt idx="3">
                  <c:v>2011</c:v>
                </c:pt>
                <c:pt idx="4">
                  <c:v>2010</c:v>
                </c:pt>
                <c:pt idx="5">
                  <c:v>2009</c:v>
                </c:pt>
                <c:pt idx="6">
                  <c:v>2008</c:v>
                </c:pt>
                <c:pt idx="7">
                  <c:v>2007</c:v>
                </c:pt>
                <c:pt idx="8">
                  <c:v>2006</c:v>
                </c:pt>
                <c:pt idx="9">
                  <c:v>2005</c:v>
                </c:pt>
                <c:pt idx="10">
                  <c:v>2004</c:v>
                </c:pt>
                <c:pt idx="11">
                  <c:v>2003</c:v>
                </c:pt>
                <c:pt idx="12">
                  <c:v>2002</c:v>
                </c:pt>
                <c:pt idx="13">
                  <c:v>2001</c:v>
                </c:pt>
                <c:pt idx="14">
                  <c:v>2000</c:v>
                </c:pt>
                <c:pt idx="15">
                  <c:v>1999</c:v>
                </c:pt>
                <c:pt idx="16">
                  <c:v>1998</c:v>
                </c:pt>
                <c:pt idx="17">
                  <c:v>1997</c:v>
                </c:pt>
                <c:pt idx="18">
                  <c:v>1996</c:v>
                </c:pt>
                <c:pt idx="19">
                  <c:v>1995</c:v>
                </c:pt>
                <c:pt idx="20">
                  <c:v>1994</c:v>
                </c:pt>
                <c:pt idx="21">
                  <c:v>1993</c:v>
                </c:pt>
                <c:pt idx="22">
                  <c:v>1992</c:v>
                </c:pt>
                <c:pt idx="23">
                  <c:v>1991</c:v>
                </c:pt>
                <c:pt idx="24">
                  <c:v>1990</c:v>
                </c:pt>
                <c:pt idx="25">
                  <c:v>1989</c:v>
                </c:pt>
                <c:pt idx="26">
                  <c:v>1988</c:v>
                </c:pt>
                <c:pt idx="27">
                  <c:v>1987</c:v>
                </c:pt>
                <c:pt idx="28">
                  <c:v>1986</c:v>
                </c:pt>
                <c:pt idx="29">
                  <c:v>1985</c:v>
                </c:pt>
                <c:pt idx="30">
                  <c:v>1984</c:v>
                </c:pt>
                <c:pt idx="31">
                  <c:v>1983</c:v>
                </c:pt>
                <c:pt idx="32">
                  <c:v>1982</c:v>
                </c:pt>
                <c:pt idx="33">
                  <c:v>1981</c:v>
                </c:pt>
                <c:pt idx="34">
                  <c:v>1980</c:v>
                </c:pt>
                <c:pt idx="35">
                  <c:v>1979</c:v>
                </c:pt>
                <c:pt idx="36">
                  <c:v>1978</c:v>
                </c:pt>
                <c:pt idx="37">
                  <c:v>1977</c:v>
                </c:pt>
                <c:pt idx="38">
                  <c:v>1976</c:v>
                </c:pt>
                <c:pt idx="39">
                  <c:v>1975</c:v>
                </c:pt>
                <c:pt idx="40">
                  <c:v>1974</c:v>
                </c:pt>
                <c:pt idx="41">
                  <c:v>1973</c:v>
                </c:pt>
                <c:pt idx="42">
                  <c:v>1972</c:v>
                </c:pt>
              </c:numCache>
            </c:numRef>
          </c:xVal>
          <c:yVal>
            <c:numRef>
              <c:f>Transporte!$C$5:$C$47</c:f>
              <c:numCache>
                <c:formatCode>General</c:formatCode>
                <c:ptCount val="43"/>
                <c:pt idx="0">
                  <c:v>94645</c:v>
                </c:pt>
                <c:pt idx="2">
                  <c:v>134527</c:v>
                </c:pt>
                <c:pt idx="3">
                  <c:v>243089</c:v>
                </c:pt>
                <c:pt idx="4">
                  <c:v>223722</c:v>
                </c:pt>
                <c:pt idx="5">
                  <c:v>120418</c:v>
                </c:pt>
                <c:pt idx="6">
                  <c:v>211787</c:v>
                </c:pt>
                <c:pt idx="7">
                  <c:v>183852</c:v>
                </c:pt>
                <c:pt idx="8">
                  <c:v>153246</c:v>
                </c:pt>
                <c:pt idx="9">
                  <c:v>63845</c:v>
                </c:pt>
                <c:pt idx="10">
                  <c:v>118954</c:v>
                </c:pt>
                <c:pt idx="11">
                  <c:v>110361</c:v>
                </c:pt>
                <c:pt idx="12">
                  <c:v>86462</c:v>
                </c:pt>
                <c:pt idx="13">
                  <c:v>80383</c:v>
                </c:pt>
                <c:pt idx="14">
                  <c:v>163876</c:v>
                </c:pt>
                <c:pt idx="16">
                  <c:v>169574</c:v>
                </c:pt>
                <c:pt idx="17">
                  <c:v>68259</c:v>
                </c:pt>
                <c:pt idx="18">
                  <c:v>239286</c:v>
                </c:pt>
                <c:pt idx="19">
                  <c:v>151604</c:v>
                </c:pt>
                <c:pt idx="20">
                  <c:v>184925</c:v>
                </c:pt>
                <c:pt idx="21">
                  <c:v>156803</c:v>
                </c:pt>
                <c:pt idx="22">
                  <c:v>86396</c:v>
                </c:pt>
                <c:pt idx="23">
                  <c:v>131608</c:v>
                </c:pt>
                <c:pt idx="24">
                  <c:v>162392</c:v>
                </c:pt>
                <c:pt idx="25">
                  <c:v>232773</c:v>
                </c:pt>
                <c:pt idx="26">
                  <c:v>260352</c:v>
                </c:pt>
                <c:pt idx="27">
                  <c:v>166905</c:v>
                </c:pt>
                <c:pt idx="28">
                  <c:v>172504</c:v>
                </c:pt>
                <c:pt idx="29">
                  <c:v>100487</c:v>
                </c:pt>
                <c:pt idx="30">
                  <c:v>154890</c:v>
                </c:pt>
                <c:pt idx="31">
                  <c:v>87455</c:v>
                </c:pt>
                <c:pt idx="32">
                  <c:v>126180</c:v>
                </c:pt>
                <c:pt idx="33">
                  <c:v>167499</c:v>
                </c:pt>
                <c:pt idx="34">
                  <c:v>93183</c:v>
                </c:pt>
                <c:pt idx="35">
                  <c:v>120627</c:v>
                </c:pt>
                <c:pt idx="36">
                  <c:v>109356</c:v>
                </c:pt>
                <c:pt idx="37">
                  <c:v>86443</c:v>
                </c:pt>
                <c:pt idx="38">
                  <c:v>111133</c:v>
                </c:pt>
                <c:pt idx="39">
                  <c:v>159657</c:v>
                </c:pt>
                <c:pt idx="40">
                  <c:v>156240</c:v>
                </c:pt>
                <c:pt idx="41">
                  <c:v>112422</c:v>
                </c:pt>
                <c:pt idx="42">
                  <c:v>112947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EB-411A-B170-B8BC21BD9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86128"/>
        <c:axId val="1506879888"/>
      </c:scatterChart>
      <c:valAx>
        <c:axId val="15068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79888"/>
        <c:crosses val="autoZero"/>
        <c:crossBetween val="midCat"/>
      </c:valAx>
      <c:valAx>
        <c:axId val="150687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861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Precipitacion!$C$8:$C$811</c:f>
              <c:numCache>
                <c:formatCode>0.0</c:formatCode>
                <c:ptCount val="804"/>
                <c:pt idx="0">
                  <c:v>2013.9166666666599</c:v>
                </c:pt>
                <c:pt idx="1">
                  <c:v>2013.8333333333301</c:v>
                </c:pt>
                <c:pt idx="2">
                  <c:v>2013.75</c:v>
                </c:pt>
                <c:pt idx="3">
                  <c:v>2013.6666666666599</c:v>
                </c:pt>
                <c:pt idx="4">
                  <c:v>2013.5833333333301</c:v>
                </c:pt>
                <c:pt idx="5">
                  <c:v>2013.5</c:v>
                </c:pt>
                <c:pt idx="6">
                  <c:v>2013.4166666666599</c:v>
                </c:pt>
                <c:pt idx="7">
                  <c:v>2013.3333333333301</c:v>
                </c:pt>
                <c:pt idx="8">
                  <c:v>2013.25</c:v>
                </c:pt>
                <c:pt idx="9">
                  <c:v>2013.1666666666599</c:v>
                </c:pt>
                <c:pt idx="10">
                  <c:v>2013.0833333333301</c:v>
                </c:pt>
                <c:pt idx="11">
                  <c:v>2013</c:v>
                </c:pt>
                <c:pt idx="12">
                  <c:v>2012.9166666666599</c:v>
                </c:pt>
                <c:pt idx="13">
                  <c:v>2012.8333333333301</c:v>
                </c:pt>
                <c:pt idx="14">
                  <c:v>2012.75</c:v>
                </c:pt>
                <c:pt idx="15">
                  <c:v>2012.6666666666599</c:v>
                </c:pt>
                <c:pt idx="16">
                  <c:v>2012.5833333333301</c:v>
                </c:pt>
                <c:pt idx="17">
                  <c:v>2012.5</c:v>
                </c:pt>
                <c:pt idx="18">
                  <c:v>2012.4166666666599</c:v>
                </c:pt>
                <c:pt idx="19">
                  <c:v>2012.3333333333301</c:v>
                </c:pt>
                <c:pt idx="20">
                  <c:v>2012.24999999999</c:v>
                </c:pt>
                <c:pt idx="21">
                  <c:v>2012.1666666666599</c:v>
                </c:pt>
                <c:pt idx="22">
                  <c:v>2012.0833333333301</c:v>
                </c:pt>
                <c:pt idx="23">
                  <c:v>2012</c:v>
                </c:pt>
                <c:pt idx="24">
                  <c:v>2011.9166666666599</c:v>
                </c:pt>
                <c:pt idx="25">
                  <c:v>2011.8333333333301</c:v>
                </c:pt>
                <c:pt idx="26">
                  <c:v>2011.74999999999</c:v>
                </c:pt>
                <c:pt idx="27">
                  <c:v>2011.6666666666599</c:v>
                </c:pt>
                <c:pt idx="28">
                  <c:v>2011.5833333333301</c:v>
                </c:pt>
                <c:pt idx="29">
                  <c:v>2011.49999999999</c:v>
                </c:pt>
                <c:pt idx="30">
                  <c:v>2011.4166666666599</c:v>
                </c:pt>
                <c:pt idx="31">
                  <c:v>2011.3333333333301</c:v>
                </c:pt>
                <c:pt idx="32">
                  <c:v>2011.24999999999</c:v>
                </c:pt>
                <c:pt idx="33">
                  <c:v>2011.1666666666599</c:v>
                </c:pt>
                <c:pt idx="34">
                  <c:v>2011.0833333333301</c:v>
                </c:pt>
                <c:pt idx="35">
                  <c:v>2011</c:v>
                </c:pt>
                <c:pt idx="36">
                  <c:v>2010.9166666666599</c:v>
                </c:pt>
                <c:pt idx="37">
                  <c:v>2010.8333333333301</c:v>
                </c:pt>
                <c:pt idx="38">
                  <c:v>2010.74999999999</c:v>
                </c:pt>
                <c:pt idx="39">
                  <c:v>2010.6666666666599</c:v>
                </c:pt>
                <c:pt idx="40">
                  <c:v>2010.5833333333301</c:v>
                </c:pt>
                <c:pt idx="41">
                  <c:v>2010.49999999999</c:v>
                </c:pt>
                <c:pt idx="42">
                  <c:v>2010.4166666666599</c:v>
                </c:pt>
                <c:pt idx="43">
                  <c:v>2010.3333333333201</c:v>
                </c:pt>
                <c:pt idx="44">
                  <c:v>2010.24999999999</c:v>
                </c:pt>
                <c:pt idx="45">
                  <c:v>2010.1666666666599</c:v>
                </c:pt>
                <c:pt idx="46">
                  <c:v>2010.0833333333201</c:v>
                </c:pt>
                <c:pt idx="47">
                  <c:v>2010</c:v>
                </c:pt>
                <c:pt idx="48">
                  <c:v>2009.9166666666599</c:v>
                </c:pt>
                <c:pt idx="49">
                  <c:v>2009.8333333333201</c:v>
                </c:pt>
                <c:pt idx="50">
                  <c:v>2009.74999999999</c:v>
                </c:pt>
                <c:pt idx="51">
                  <c:v>2009.6666666666599</c:v>
                </c:pt>
                <c:pt idx="52">
                  <c:v>2009.5833333333201</c:v>
                </c:pt>
                <c:pt idx="53">
                  <c:v>2009.49999999999</c:v>
                </c:pt>
                <c:pt idx="54">
                  <c:v>2009.4166666666599</c:v>
                </c:pt>
                <c:pt idx="55">
                  <c:v>2009.3333333333201</c:v>
                </c:pt>
                <c:pt idx="56">
                  <c:v>2009.24999999999</c:v>
                </c:pt>
                <c:pt idx="57">
                  <c:v>2009.1666666666599</c:v>
                </c:pt>
                <c:pt idx="58">
                  <c:v>2009.0833333333201</c:v>
                </c:pt>
                <c:pt idx="59">
                  <c:v>2009</c:v>
                </c:pt>
                <c:pt idx="60">
                  <c:v>2008.9166666666599</c:v>
                </c:pt>
                <c:pt idx="61">
                  <c:v>2008.8333333333201</c:v>
                </c:pt>
                <c:pt idx="62">
                  <c:v>2008.74999999999</c:v>
                </c:pt>
                <c:pt idx="63">
                  <c:v>2008.6666666666599</c:v>
                </c:pt>
                <c:pt idx="64">
                  <c:v>2008.5833333333201</c:v>
                </c:pt>
                <c:pt idx="65">
                  <c:v>2008.49999999999</c:v>
                </c:pt>
                <c:pt idx="66">
                  <c:v>2008.4166666666499</c:v>
                </c:pt>
                <c:pt idx="67">
                  <c:v>2008.3333333333201</c:v>
                </c:pt>
                <c:pt idx="68">
                  <c:v>2008.24999999999</c:v>
                </c:pt>
                <c:pt idx="69">
                  <c:v>2008.1666666666499</c:v>
                </c:pt>
                <c:pt idx="70">
                  <c:v>2008.0833333333201</c:v>
                </c:pt>
                <c:pt idx="71">
                  <c:v>2008</c:v>
                </c:pt>
                <c:pt idx="72">
                  <c:v>2007.9166666666499</c:v>
                </c:pt>
                <c:pt idx="73">
                  <c:v>2007.8333333333201</c:v>
                </c:pt>
                <c:pt idx="74">
                  <c:v>2007.74999999999</c:v>
                </c:pt>
                <c:pt idx="75">
                  <c:v>2007.6666666666499</c:v>
                </c:pt>
                <c:pt idx="76">
                  <c:v>2007.5833333333201</c:v>
                </c:pt>
                <c:pt idx="77">
                  <c:v>2007.49999999999</c:v>
                </c:pt>
                <c:pt idx="78">
                  <c:v>2007.4166666666499</c:v>
                </c:pt>
                <c:pt idx="79">
                  <c:v>2007.3333333333201</c:v>
                </c:pt>
                <c:pt idx="80">
                  <c:v>2007.24999999999</c:v>
                </c:pt>
                <c:pt idx="81">
                  <c:v>2007.1666666666499</c:v>
                </c:pt>
                <c:pt idx="82">
                  <c:v>2007.0833333333201</c:v>
                </c:pt>
                <c:pt idx="83">
                  <c:v>2007</c:v>
                </c:pt>
                <c:pt idx="84">
                  <c:v>2006.9166666666499</c:v>
                </c:pt>
                <c:pt idx="85">
                  <c:v>2006.8333333333201</c:v>
                </c:pt>
                <c:pt idx="86">
                  <c:v>2006.74999999998</c:v>
                </c:pt>
                <c:pt idx="87">
                  <c:v>2006.6666666666499</c:v>
                </c:pt>
                <c:pt idx="88">
                  <c:v>2006.5833333333201</c:v>
                </c:pt>
                <c:pt idx="89">
                  <c:v>2006.49999999998</c:v>
                </c:pt>
                <c:pt idx="90">
                  <c:v>2006.4166666666499</c:v>
                </c:pt>
                <c:pt idx="91">
                  <c:v>2006.3333333333201</c:v>
                </c:pt>
                <c:pt idx="92">
                  <c:v>2006.24999999998</c:v>
                </c:pt>
                <c:pt idx="93">
                  <c:v>2006.1666666666499</c:v>
                </c:pt>
                <c:pt idx="94">
                  <c:v>2006.0833333333201</c:v>
                </c:pt>
                <c:pt idx="95">
                  <c:v>2006</c:v>
                </c:pt>
                <c:pt idx="96">
                  <c:v>2005.9166666666499</c:v>
                </c:pt>
                <c:pt idx="97">
                  <c:v>2005.8333333333201</c:v>
                </c:pt>
                <c:pt idx="98">
                  <c:v>2005.74999999998</c:v>
                </c:pt>
                <c:pt idx="99">
                  <c:v>2005.6666666666499</c:v>
                </c:pt>
                <c:pt idx="100">
                  <c:v>2005.5833333333201</c:v>
                </c:pt>
                <c:pt idx="101">
                  <c:v>2005.49999999998</c:v>
                </c:pt>
                <c:pt idx="102">
                  <c:v>2005.4166666666499</c:v>
                </c:pt>
                <c:pt idx="103">
                  <c:v>2005.3333333333201</c:v>
                </c:pt>
                <c:pt idx="104">
                  <c:v>2005.24999999998</c:v>
                </c:pt>
                <c:pt idx="105">
                  <c:v>2005.1666666666499</c:v>
                </c:pt>
                <c:pt idx="106">
                  <c:v>2005.0833333333201</c:v>
                </c:pt>
                <c:pt idx="107">
                  <c:v>2005</c:v>
                </c:pt>
                <c:pt idx="108">
                  <c:v>2004.9166666666499</c:v>
                </c:pt>
                <c:pt idx="109">
                  <c:v>2004.8333333333101</c:v>
                </c:pt>
                <c:pt idx="110">
                  <c:v>2004.74999999998</c:v>
                </c:pt>
                <c:pt idx="111">
                  <c:v>2004.6666666666499</c:v>
                </c:pt>
                <c:pt idx="112">
                  <c:v>2004.5833333333101</c:v>
                </c:pt>
                <c:pt idx="113">
                  <c:v>2004.49999999998</c:v>
                </c:pt>
                <c:pt idx="114">
                  <c:v>2004.4166666666499</c:v>
                </c:pt>
                <c:pt idx="115">
                  <c:v>2004.3333333333101</c:v>
                </c:pt>
                <c:pt idx="116">
                  <c:v>2004.24999999998</c:v>
                </c:pt>
                <c:pt idx="117">
                  <c:v>2004.1666666666499</c:v>
                </c:pt>
                <c:pt idx="118">
                  <c:v>2004.0833333333101</c:v>
                </c:pt>
                <c:pt idx="119">
                  <c:v>2004</c:v>
                </c:pt>
                <c:pt idx="120">
                  <c:v>2003.9166666666499</c:v>
                </c:pt>
                <c:pt idx="121">
                  <c:v>2003.8333333333101</c:v>
                </c:pt>
                <c:pt idx="122">
                  <c:v>2003.74999999998</c:v>
                </c:pt>
                <c:pt idx="123">
                  <c:v>2003.6666666666499</c:v>
                </c:pt>
                <c:pt idx="124">
                  <c:v>2003.5833333333101</c:v>
                </c:pt>
                <c:pt idx="125">
                  <c:v>2003.49999999998</c:v>
                </c:pt>
                <c:pt idx="126">
                  <c:v>2003.4166666666499</c:v>
                </c:pt>
                <c:pt idx="127">
                  <c:v>2003.3333333333101</c:v>
                </c:pt>
                <c:pt idx="128">
                  <c:v>2003.24999999998</c:v>
                </c:pt>
                <c:pt idx="129">
                  <c:v>2003.1666666666499</c:v>
                </c:pt>
                <c:pt idx="130">
                  <c:v>2003.0833333333101</c:v>
                </c:pt>
                <c:pt idx="131">
                  <c:v>2003</c:v>
                </c:pt>
                <c:pt idx="132">
                  <c:v>2002.9166666666399</c:v>
                </c:pt>
                <c:pt idx="133">
                  <c:v>2002.8333333333101</c:v>
                </c:pt>
                <c:pt idx="134">
                  <c:v>2002.74999999998</c:v>
                </c:pt>
                <c:pt idx="135">
                  <c:v>2002.6666666666399</c:v>
                </c:pt>
                <c:pt idx="136">
                  <c:v>2002.5833333333101</c:v>
                </c:pt>
                <c:pt idx="137">
                  <c:v>2002.49999999998</c:v>
                </c:pt>
                <c:pt idx="138">
                  <c:v>2002.4166666666399</c:v>
                </c:pt>
                <c:pt idx="139">
                  <c:v>2002.3333333333101</c:v>
                </c:pt>
                <c:pt idx="140">
                  <c:v>2002.24999999998</c:v>
                </c:pt>
                <c:pt idx="141">
                  <c:v>2002.1666666666399</c:v>
                </c:pt>
                <c:pt idx="142">
                  <c:v>2002.0833333333101</c:v>
                </c:pt>
                <c:pt idx="143">
                  <c:v>2002</c:v>
                </c:pt>
                <c:pt idx="144">
                  <c:v>2001.9166666666399</c:v>
                </c:pt>
                <c:pt idx="145">
                  <c:v>2001.8333333333101</c:v>
                </c:pt>
                <c:pt idx="146">
                  <c:v>2001.74999999998</c:v>
                </c:pt>
                <c:pt idx="147">
                  <c:v>2001.6666666666399</c:v>
                </c:pt>
                <c:pt idx="148">
                  <c:v>2001.5833333333101</c:v>
                </c:pt>
                <c:pt idx="149">
                  <c:v>2001.49999999998</c:v>
                </c:pt>
                <c:pt idx="150">
                  <c:v>2001.4166666666399</c:v>
                </c:pt>
                <c:pt idx="151">
                  <c:v>2001.3333333333101</c:v>
                </c:pt>
                <c:pt idx="152">
                  <c:v>2001.24999999997</c:v>
                </c:pt>
                <c:pt idx="153">
                  <c:v>2001.1666666666399</c:v>
                </c:pt>
                <c:pt idx="154">
                  <c:v>2001.0833333333101</c:v>
                </c:pt>
                <c:pt idx="155">
                  <c:v>2001</c:v>
                </c:pt>
                <c:pt idx="156">
                  <c:v>2000.9166666666399</c:v>
                </c:pt>
                <c:pt idx="157">
                  <c:v>2000.8333333333101</c:v>
                </c:pt>
                <c:pt idx="158">
                  <c:v>2000.74999999997</c:v>
                </c:pt>
                <c:pt idx="159">
                  <c:v>2000.6666666666399</c:v>
                </c:pt>
                <c:pt idx="160">
                  <c:v>2000.5833333333101</c:v>
                </c:pt>
                <c:pt idx="161">
                  <c:v>2000.49999999997</c:v>
                </c:pt>
                <c:pt idx="162">
                  <c:v>2000.4166666666399</c:v>
                </c:pt>
                <c:pt idx="163">
                  <c:v>2000.3333333333101</c:v>
                </c:pt>
                <c:pt idx="164">
                  <c:v>2000.24999999997</c:v>
                </c:pt>
                <c:pt idx="165">
                  <c:v>2000.1666666666399</c:v>
                </c:pt>
                <c:pt idx="166">
                  <c:v>2000.0833333333101</c:v>
                </c:pt>
                <c:pt idx="167">
                  <c:v>2000</c:v>
                </c:pt>
                <c:pt idx="168">
                  <c:v>1999.9166666660001</c:v>
                </c:pt>
                <c:pt idx="169">
                  <c:v>1999.83333333264</c:v>
                </c:pt>
                <c:pt idx="170">
                  <c:v>1999.7499999992799</c:v>
                </c:pt>
                <c:pt idx="171">
                  <c:v>1999.66666666592</c:v>
                </c:pt>
                <c:pt idx="172">
                  <c:v>1999.58333333256</c:v>
                </c:pt>
                <c:pt idx="173">
                  <c:v>1999.4999999992001</c:v>
                </c:pt>
                <c:pt idx="174">
                  <c:v>1999.41666666584</c:v>
                </c:pt>
                <c:pt idx="175">
                  <c:v>1999.3333333324799</c:v>
                </c:pt>
                <c:pt idx="176">
                  <c:v>1999.2499999991201</c:v>
                </c:pt>
                <c:pt idx="177">
                  <c:v>1999.16666666576</c:v>
                </c:pt>
                <c:pt idx="178">
                  <c:v>1999.0833333323999</c:v>
                </c:pt>
                <c:pt idx="179">
                  <c:v>1998.99999999904</c:v>
                </c:pt>
                <c:pt idx="180">
                  <c:v>1998.9166666656799</c:v>
                </c:pt>
                <c:pt idx="181">
                  <c:v>1998.8333333323201</c:v>
                </c:pt>
                <c:pt idx="182">
                  <c:v>1998.74999999896</c:v>
                </c:pt>
                <c:pt idx="183">
                  <c:v>1998.6666666655999</c:v>
                </c:pt>
                <c:pt idx="184">
                  <c:v>1998.58333333224</c:v>
                </c:pt>
                <c:pt idx="185">
                  <c:v>1998.49999999888</c:v>
                </c:pt>
                <c:pt idx="186">
                  <c:v>1998.4166666655201</c:v>
                </c:pt>
                <c:pt idx="187">
                  <c:v>1998.33333333216</c:v>
                </c:pt>
                <c:pt idx="188">
                  <c:v>1998.2499999987999</c:v>
                </c:pt>
                <c:pt idx="189">
                  <c:v>1998.1666666654401</c:v>
                </c:pt>
                <c:pt idx="190">
                  <c:v>1998.08333333208</c:v>
                </c:pt>
                <c:pt idx="191">
                  <c:v>1997.9999999987201</c:v>
                </c:pt>
                <c:pt idx="192">
                  <c:v>1997.91666666536</c:v>
                </c:pt>
                <c:pt idx="193">
                  <c:v>1997.8333333319999</c:v>
                </c:pt>
                <c:pt idx="194">
                  <c:v>1997.7499999986401</c:v>
                </c:pt>
                <c:pt idx="195">
                  <c:v>1997.66666666528</c:v>
                </c:pt>
                <c:pt idx="196">
                  <c:v>1997.5833333319199</c:v>
                </c:pt>
                <c:pt idx="197">
                  <c:v>1997.49999999856</c:v>
                </c:pt>
                <c:pt idx="198">
                  <c:v>1997.4166666652</c:v>
                </c:pt>
                <c:pt idx="199">
                  <c:v>1997.3333333318401</c:v>
                </c:pt>
                <c:pt idx="200">
                  <c:v>1997.24999999848</c:v>
                </c:pt>
                <c:pt idx="201">
                  <c:v>1997.1666666651099</c:v>
                </c:pt>
                <c:pt idx="202">
                  <c:v>1997.0833333317501</c:v>
                </c:pt>
                <c:pt idx="203">
                  <c:v>1996.99999999839</c:v>
                </c:pt>
                <c:pt idx="204">
                  <c:v>1996.9166666650301</c:v>
                </c:pt>
                <c:pt idx="205">
                  <c:v>1996.83333333167</c:v>
                </c:pt>
                <c:pt idx="206">
                  <c:v>1996.7499999983099</c:v>
                </c:pt>
                <c:pt idx="207">
                  <c:v>1996.6666666649501</c:v>
                </c:pt>
                <c:pt idx="208">
                  <c:v>1996.58333333159</c:v>
                </c:pt>
                <c:pt idx="209">
                  <c:v>1996.4999999982299</c:v>
                </c:pt>
                <c:pt idx="210">
                  <c:v>1996.41666666487</c:v>
                </c:pt>
                <c:pt idx="211">
                  <c:v>1996.3333333315099</c:v>
                </c:pt>
                <c:pt idx="212">
                  <c:v>1996.2499999981501</c:v>
                </c:pt>
                <c:pt idx="213">
                  <c:v>1996.16666666479</c:v>
                </c:pt>
                <c:pt idx="214">
                  <c:v>1996.0833333314299</c:v>
                </c:pt>
                <c:pt idx="215">
                  <c:v>1995.9999999980701</c:v>
                </c:pt>
                <c:pt idx="216">
                  <c:v>1995.91666666471</c:v>
                </c:pt>
                <c:pt idx="217">
                  <c:v>1995.8333333313501</c:v>
                </c:pt>
                <c:pt idx="218">
                  <c:v>1995.74999999799</c:v>
                </c:pt>
                <c:pt idx="219">
                  <c:v>1995.6666666646299</c:v>
                </c:pt>
                <c:pt idx="220">
                  <c:v>1995.5833333312701</c:v>
                </c:pt>
                <c:pt idx="221">
                  <c:v>1995.49999999791</c:v>
                </c:pt>
                <c:pt idx="222">
                  <c:v>1995.4166666645499</c:v>
                </c:pt>
                <c:pt idx="223">
                  <c:v>1995.33333333119</c:v>
                </c:pt>
                <c:pt idx="224">
                  <c:v>1995.2499999978299</c:v>
                </c:pt>
                <c:pt idx="225">
                  <c:v>1995.1666666644701</c:v>
                </c:pt>
                <c:pt idx="226">
                  <c:v>1995.08333333111</c:v>
                </c:pt>
                <c:pt idx="227">
                  <c:v>1994.9999999977499</c:v>
                </c:pt>
                <c:pt idx="228">
                  <c:v>1994.91666666439</c:v>
                </c:pt>
                <c:pt idx="229">
                  <c:v>1994.83333333103</c:v>
                </c:pt>
                <c:pt idx="230">
                  <c:v>1994.7499999976701</c:v>
                </c:pt>
                <c:pt idx="231">
                  <c:v>1994.66666666431</c:v>
                </c:pt>
                <c:pt idx="232">
                  <c:v>1994.5833333309499</c:v>
                </c:pt>
                <c:pt idx="233">
                  <c:v>1994.4999999975901</c:v>
                </c:pt>
                <c:pt idx="234">
                  <c:v>1994.41666666423</c:v>
                </c:pt>
                <c:pt idx="235">
                  <c:v>1994.3333333308699</c:v>
                </c:pt>
                <c:pt idx="236">
                  <c:v>1994.24999999751</c:v>
                </c:pt>
                <c:pt idx="237">
                  <c:v>1994.1666666641499</c:v>
                </c:pt>
                <c:pt idx="238">
                  <c:v>1994.0833333307901</c:v>
                </c:pt>
                <c:pt idx="239">
                  <c:v>1993.99999999743</c:v>
                </c:pt>
                <c:pt idx="240">
                  <c:v>1993.9166666640699</c:v>
                </c:pt>
                <c:pt idx="241">
                  <c:v>1993.83333333071</c:v>
                </c:pt>
                <c:pt idx="242">
                  <c:v>1993.74999999735</c:v>
                </c:pt>
                <c:pt idx="243">
                  <c:v>1993.6666666639901</c:v>
                </c:pt>
                <c:pt idx="244">
                  <c:v>1993.58333333063</c:v>
                </c:pt>
                <c:pt idx="245">
                  <c:v>1993.4999999972699</c:v>
                </c:pt>
                <c:pt idx="246">
                  <c:v>1993.4166666639101</c:v>
                </c:pt>
                <c:pt idx="247">
                  <c:v>1993.33333333055</c:v>
                </c:pt>
                <c:pt idx="248">
                  <c:v>1993.2499999971899</c:v>
                </c:pt>
                <c:pt idx="249">
                  <c:v>1993.16666666383</c:v>
                </c:pt>
                <c:pt idx="250">
                  <c:v>1993.0833333304699</c:v>
                </c:pt>
                <c:pt idx="251">
                  <c:v>1992.9999999971101</c:v>
                </c:pt>
                <c:pt idx="252">
                  <c:v>1992.91666666375</c:v>
                </c:pt>
                <c:pt idx="253">
                  <c:v>1992.8333333303899</c:v>
                </c:pt>
                <c:pt idx="254">
                  <c:v>1992.74999999703</c:v>
                </c:pt>
                <c:pt idx="255">
                  <c:v>1992.66666666367</c:v>
                </c:pt>
                <c:pt idx="256">
                  <c:v>1992.5833333303101</c:v>
                </c:pt>
                <c:pt idx="257">
                  <c:v>1992.49999999695</c:v>
                </c:pt>
                <c:pt idx="258">
                  <c:v>1992.4166666635899</c:v>
                </c:pt>
                <c:pt idx="259">
                  <c:v>1992.3333333302301</c:v>
                </c:pt>
                <c:pt idx="260">
                  <c:v>1992.24999999687</c:v>
                </c:pt>
                <c:pt idx="261">
                  <c:v>1992.1666666635101</c:v>
                </c:pt>
                <c:pt idx="262">
                  <c:v>1992.08333333015</c:v>
                </c:pt>
                <c:pt idx="263">
                  <c:v>1991.9999999967899</c:v>
                </c:pt>
                <c:pt idx="264">
                  <c:v>1991.9166666634301</c:v>
                </c:pt>
                <c:pt idx="265">
                  <c:v>1991.83333333007</c:v>
                </c:pt>
                <c:pt idx="266">
                  <c:v>1991.7499999967099</c:v>
                </c:pt>
                <c:pt idx="267">
                  <c:v>1991.66666666335</c:v>
                </c:pt>
                <c:pt idx="268">
                  <c:v>1991.58333332999</c:v>
                </c:pt>
                <c:pt idx="269">
                  <c:v>1991.4999999966301</c:v>
                </c:pt>
                <c:pt idx="270">
                  <c:v>1991.41666666327</c:v>
                </c:pt>
                <c:pt idx="271">
                  <c:v>1991.3333333299099</c:v>
                </c:pt>
                <c:pt idx="272">
                  <c:v>1991.2499999965501</c:v>
                </c:pt>
                <c:pt idx="273">
                  <c:v>1991.16666666319</c:v>
                </c:pt>
                <c:pt idx="274">
                  <c:v>1991.0833333298301</c:v>
                </c:pt>
                <c:pt idx="275">
                  <c:v>1990.9999999964698</c:v>
                </c:pt>
                <c:pt idx="276">
                  <c:v>1990.9166666631099</c:v>
                </c:pt>
                <c:pt idx="277">
                  <c:v>1990.8333333297498</c:v>
                </c:pt>
                <c:pt idx="278">
                  <c:v>1990.74999999639</c:v>
                </c:pt>
                <c:pt idx="279">
                  <c:v>1990.6666666630299</c:v>
                </c:pt>
                <c:pt idx="280">
                  <c:v>1990.5833333296698</c:v>
                </c:pt>
                <c:pt idx="281">
                  <c:v>1990.49999999631</c:v>
                </c:pt>
                <c:pt idx="282">
                  <c:v>1990.4166666629499</c:v>
                </c:pt>
                <c:pt idx="283">
                  <c:v>1990.3333333295898</c:v>
                </c:pt>
                <c:pt idx="284">
                  <c:v>1990.2499999962299</c:v>
                </c:pt>
                <c:pt idx="285">
                  <c:v>1990.1666666628698</c:v>
                </c:pt>
                <c:pt idx="286">
                  <c:v>1990.08333332951</c:v>
                </c:pt>
                <c:pt idx="287">
                  <c:v>1989.9999999961499</c:v>
                </c:pt>
                <c:pt idx="288">
                  <c:v>1989.9166666627898</c:v>
                </c:pt>
                <c:pt idx="289">
                  <c:v>1989.8333333294299</c:v>
                </c:pt>
                <c:pt idx="290">
                  <c:v>1989.7499999960698</c:v>
                </c:pt>
                <c:pt idx="291">
                  <c:v>1989.6666666627098</c:v>
                </c:pt>
                <c:pt idx="292">
                  <c:v>1989.5833333293499</c:v>
                </c:pt>
                <c:pt idx="293">
                  <c:v>1989.4999999959898</c:v>
                </c:pt>
                <c:pt idx="294">
                  <c:v>1989.41666666263</c:v>
                </c:pt>
                <c:pt idx="295">
                  <c:v>1989.3333333292699</c:v>
                </c:pt>
                <c:pt idx="296">
                  <c:v>1989.2499999959098</c:v>
                </c:pt>
                <c:pt idx="297">
                  <c:v>1989.1666666625499</c:v>
                </c:pt>
                <c:pt idx="298">
                  <c:v>1989.0833333291898</c:v>
                </c:pt>
                <c:pt idx="299">
                  <c:v>1988.9999999958297</c:v>
                </c:pt>
                <c:pt idx="300">
                  <c:v>1988.9166666624699</c:v>
                </c:pt>
                <c:pt idx="301">
                  <c:v>1988.8333333291098</c:v>
                </c:pt>
                <c:pt idx="302">
                  <c:v>1988.7499999957499</c:v>
                </c:pt>
                <c:pt idx="303">
                  <c:v>1988.6666666623898</c:v>
                </c:pt>
                <c:pt idx="304">
                  <c:v>1988.5833333290298</c:v>
                </c:pt>
                <c:pt idx="305">
                  <c:v>1988.4999999956699</c:v>
                </c:pt>
                <c:pt idx="306">
                  <c:v>1988.4166666623098</c:v>
                </c:pt>
                <c:pt idx="307">
                  <c:v>1988.3333333289497</c:v>
                </c:pt>
                <c:pt idx="308">
                  <c:v>1988.2499999955899</c:v>
                </c:pt>
                <c:pt idx="309">
                  <c:v>1988.1666666622298</c:v>
                </c:pt>
                <c:pt idx="310">
                  <c:v>1988.0833333288699</c:v>
                </c:pt>
                <c:pt idx="311">
                  <c:v>1987.9999999955098</c:v>
                </c:pt>
                <c:pt idx="312">
                  <c:v>1987.9166666621497</c:v>
                </c:pt>
                <c:pt idx="313">
                  <c:v>1987.8333333287901</c:v>
                </c:pt>
                <c:pt idx="314">
                  <c:v>1987.74999999543</c:v>
                </c:pt>
                <c:pt idx="315">
                  <c:v>1987.6666666620599</c:v>
                </c:pt>
                <c:pt idx="316">
                  <c:v>1987.5833333287001</c:v>
                </c:pt>
                <c:pt idx="317">
                  <c:v>1987.49999999534</c:v>
                </c:pt>
                <c:pt idx="318">
                  <c:v>1987.4166666619799</c:v>
                </c:pt>
                <c:pt idx="319">
                  <c:v>1987.33333332862</c:v>
                </c:pt>
                <c:pt idx="320">
                  <c:v>1987.2499999952599</c:v>
                </c:pt>
                <c:pt idx="321">
                  <c:v>1987.1666666619001</c:v>
                </c:pt>
                <c:pt idx="322">
                  <c:v>1987.08333332854</c:v>
                </c:pt>
                <c:pt idx="323">
                  <c:v>1986.9999999951799</c:v>
                </c:pt>
                <c:pt idx="324">
                  <c:v>1986.91666666182</c:v>
                </c:pt>
                <c:pt idx="325">
                  <c:v>1986.83333332846</c:v>
                </c:pt>
                <c:pt idx="326">
                  <c:v>1986.7499999951001</c:v>
                </c:pt>
                <c:pt idx="327">
                  <c:v>1986.66666666174</c:v>
                </c:pt>
                <c:pt idx="328">
                  <c:v>1986.5833333283799</c:v>
                </c:pt>
                <c:pt idx="329">
                  <c:v>1986.4999999950201</c:v>
                </c:pt>
                <c:pt idx="330">
                  <c:v>1986.41666666166</c:v>
                </c:pt>
                <c:pt idx="331">
                  <c:v>1986.3333333282999</c:v>
                </c:pt>
                <c:pt idx="332">
                  <c:v>1986.24999999494</c:v>
                </c:pt>
                <c:pt idx="333">
                  <c:v>1986.1666666615799</c:v>
                </c:pt>
                <c:pt idx="334">
                  <c:v>1986.0833333282201</c:v>
                </c:pt>
                <c:pt idx="335">
                  <c:v>1985.99999999486</c:v>
                </c:pt>
                <c:pt idx="336">
                  <c:v>1985.9166666614999</c:v>
                </c:pt>
                <c:pt idx="337">
                  <c:v>1985.83333332814</c:v>
                </c:pt>
                <c:pt idx="338">
                  <c:v>1985.74999999478</c:v>
                </c:pt>
                <c:pt idx="339">
                  <c:v>1985.6666666614201</c:v>
                </c:pt>
                <c:pt idx="340">
                  <c:v>1985.58333332806</c:v>
                </c:pt>
                <c:pt idx="341">
                  <c:v>1985.4999999946999</c:v>
                </c:pt>
                <c:pt idx="342">
                  <c:v>1985.4166666613401</c:v>
                </c:pt>
                <c:pt idx="343">
                  <c:v>1985.33333332798</c:v>
                </c:pt>
                <c:pt idx="344">
                  <c:v>1985.2499999946201</c:v>
                </c:pt>
                <c:pt idx="345">
                  <c:v>1985.16666666126</c:v>
                </c:pt>
                <c:pt idx="346">
                  <c:v>1985.0833333278999</c:v>
                </c:pt>
                <c:pt idx="347">
                  <c:v>1984.9999999945401</c:v>
                </c:pt>
                <c:pt idx="348">
                  <c:v>1984.91666666118</c:v>
                </c:pt>
                <c:pt idx="349">
                  <c:v>1984.8333333278199</c:v>
                </c:pt>
                <c:pt idx="350">
                  <c:v>1984.74999999446</c:v>
                </c:pt>
                <c:pt idx="351">
                  <c:v>1984.6666666611</c:v>
                </c:pt>
                <c:pt idx="352">
                  <c:v>1984.5833333277401</c:v>
                </c:pt>
                <c:pt idx="353">
                  <c:v>1984.49999999438</c:v>
                </c:pt>
                <c:pt idx="354">
                  <c:v>1984.4166666610199</c:v>
                </c:pt>
                <c:pt idx="355">
                  <c:v>1984.3333333276601</c:v>
                </c:pt>
                <c:pt idx="356">
                  <c:v>1984.2499999943</c:v>
                </c:pt>
                <c:pt idx="357">
                  <c:v>1984.1666666609401</c:v>
                </c:pt>
                <c:pt idx="358">
                  <c:v>1984.08333332758</c:v>
                </c:pt>
                <c:pt idx="359">
                  <c:v>1983.9999999942199</c:v>
                </c:pt>
                <c:pt idx="360">
                  <c:v>1983.9166666608601</c:v>
                </c:pt>
                <c:pt idx="361">
                  <c:v>1983.8333333275</c:v>
                </c:pt>
                <c:pt idx="362">
                  <c:v>1983.7499999941399</c:v>
                </c:pt>
                <c:pt idx="363">
                  <c:v>1983.66666666078</c:v>
                </c:pt>
                <c:pt idx="364">
                  <c:v>1983.58333332742</c:v>
                </c:pt>
                <c:pt idx="365">
                  <c:v>1983.4999999940601</c:v>
                </c:pt>
                <c:pt idx="366">
                  <c:v>1983.4166666607</c:v>
                </c:pt>
                <c:pt idx="367">
                  <c:v>1983.3333333273399</c:v>
                </c:pt>
                <c:pt idx="368">
                  <c:v>1983.2499999939801</c:v>
                </c:pt>
                <c:pt idx="369">
                  <c:v>1983.16666666062</c:v>
                </c:pt>
                <c:pt idx="370">
                  <c:v>1983.0833333272601</c:v>
                </c:pt>
                <c:pt idx="371">
                  <c:v>1982.9999999939</c:v>
                </c:pt>
                <c:pt idx="372">
                  <c:v>1982.9166666605399</c:v>
                </c:pt>
                <c:pt idx="373">
                  <c:v>1982.8333333271801</c:v>
                </c:pt>
                <c:pt idx="374">
                  <c:v>1982.74999999382</c:v>
                </c:pt>
                <c:pt idx="375">
                  <c:v>1982.6666666604599</c:v>
                </c:pt>
                <c:pt idx="376">
                  <c:v>1982.5833333271</c:v>
                </c:pt>
                <c:pt idx="377">
                  <c:v>1982.4999999937399</c:v>
                </c:pt>
                <c:pt idx="378">
                  <c:v>1982.4166666603801</c:v>
                </c:pt>
                <c:pt idx="379">
                  <c:v>1982.33333332702</c:v>
                </c:pt>
                <c:pt idx="380">
                  <c:v>1982.2499999936599</c:v>
                </c:pt>
                <c:pt idx="381">
                  <c:v>1982.1666666603001</c:v>
                </c:pt>
                <c:pt idx="382">
                  <c:v>1982.08333332694</c:v>
                </c:pt>
                <c:pt idx="383">
                  <c:v>1981.9999999935801</c:v>
                </c:pt>
                <c:pt idx="384">
                  <c:v>1981.91666666022</c:v>
                </c:pt>
                <c:pt idx="385">
                  <c:v>1981.8333333268599</c:v>
                </c:pt>
                <c:pt idx="386">
                  <c:v>1981.7499999935001</c:v>
                </c:pt>
                <c:pt idx="387">
                  <c:v>1981.66666666014</c:v>
                </c:pt>
                <c:pt idx="388">
                  <c:v>1981.5833333267799</c:v>
                </c:pt>
                <c:pt idx="389">
                  <c:v>1981.49999999342</c:v>
                </c:pt>
                <c:pt idx="390">
                  <c:v>1981.4166666600599</c:v>
                </c:pt>
                <c:pt idx="391">
                  <c:v>1981.3333333267001</c:v>
                </c:pt>
                <c:pt idx="392">
                  <c:v>1981.24999999334</c:v>
                </c:pt>
                <c:pt idx="393">
                  <c:v>1981.1666666599799</c:v>
                </c:pt>
                <c:pt idx="394">
                  <c:v>1981.08333332662</c:v>
                </c:pt>
                <c:pt idx="395">
                  <c:v>1980.9999999932597</c:v>
                </c:pt>
                <c:pt idx="396">
                  <c:v>1980.9166666598994</c:v>
                </c:pt>
                <c:pt idx="397">
                  <c:v>1980.8333333265393</c:v>
                </c:pt>
                <c:pt idx="398">
                  <c:v>1980.749999993179</c:v>
                </c:pt>
                <c:pt idx="399">
                  <c:v>1980.6666666598187</c:v>
                </c:pt>
                <c:pt idx="400">
                  <c:v>1980.5833333264584</c:v>
                </c:pt>
                <c:pt idx="401">
                  <c:v>1980.4999999930981</c:v>
                </c:pt>
                <c:pt idx="402">
                  <c:v>1980.416666659738</c:v>
                </c:pt>
                <c:pt idx="403">
                  <c:v>1980.3333333263777</c:v>
                </c:pt>
                <c:pt idx="404">
                  <c:v>1980.2499999930174</c:v>
                </c:pt>
                <c:pt idx="405">
                  <c:v>1980.166666659657</c:v>
                </c:pt>
                <c:pt idx="406">
                  <c:v>1980.0833333262967</c:v>
                </c:pt>
                <c:pt idx="407">
                  <c:v>1979.9999999929364</c:v>
                </c:pt>
                <c:pt idx="408">
                  <c:v>1979.9166666595763</c:v>
                </c:pt>
                <c:pt idx="409">
                  <c:v>1979.833333326216</c:v>
                </c:pt>
                <c:pt idx="410">
                  <c:v>1979.7499999928557</c:v>
                </c:pt>
                <c:pt idx="411">
                  <c:v>1979.6666666594954</c:v>
                </c:pt>
                <c:pt idx="412">
                  <c:v>1979.5833333261351</c:v>
                </c:pt>
                <c:pt idx="413">
                  <c:v>1979.499999992775</c:v>
                </c:pt>
                <c:pt idx="414">
                  <c:v>1979.4166666594147</c:v>
                </c:pt>
                <c:pt idx="415">
                  <c:v>1979.3333333260543</c:v>
                </c:pt>
                <c:pt idx="416">
                  <c:v>1979.249999992694</c:v>
                </c:pt>
                <c:pt idx="417">
                  <c:v>1979.1666666593337</c:v>
                </c:pt>
                <c:pt idx="418">
                  <c:v>1979.0833333259736</c:v>
                </c:pt>
                <c:pt idx="419">
                  <c:v>1978.9999999926133</c:v>
                </c:pt>
                <c:pt idx="420">
                  <c:v>1978.916666659253</c:v>
                </c:pt>
                <c:pt idx="421">
                  <c:v>1978.8333333258927</c:v>
                </c:pt>
                <c:pt idx="422">
                  <c:v>1978.7499999925324</c:v>
                </c:pt>
                <c:pt idx="423">
                  <c:v>1978.6666666591721</c:v>
                </c:pt>
                <c:pt idx="424">
                  <c:v>1978.583333325812</c:v>
                </c:pt>
                <c:pt idx="425">
                  <c:v>1978.4999999924516</c:v>
                </c:pt>
                <c:pt idx="426">
                  <c:v>1978.4166666590913</c:v>
                </c:pt>
                <c:pt idx="427">
                  <c:v>1978.333333325731</c:v>
                </c:pt>
                <c:pt idx="428">
                  <c:v>1978.2499999923707</c:v>
                </c:pt>
                <c:pt idx="429">
                  <c:v>1978.1666666590106</c:v>
                </c:pt>
                <c:pt idx="430">
                  <c:v>1978.0833333256503</c:v>
                </c:pt>
                <c:pt idx="431">
                  <c:v>1977.99999999229</c:v>
                </c:pt>
                <c:pt idx="432">
                  <c:v>1977.9166666589297</c:v>
                </c:pt>
                <c:pt idx="433">
                  <c:v>1977.83333332557</c:v>
                </c:pt>
                <c:pt idx="434">
                  <c:v>1977.74999999221</c:v>
                </c:pt>
                <c:pt idx="435">
                  <c:v>1977.6666666588501</c:v>
                </c:pt>
                <c:pt idx="436">
                  <c:v>1977.58333332549</c:v>
                </c:pt>
                <c:pt idx="437">
                  <c:v>1977.4999999921299</c:v>
                </c:pt>
                <c:pt idx="438">
                  <c:v>1977.4166666587701</c:v>
                </c:pt>
                <c:pt idx="439">
                  <c:v>1977.33333332541</c:v>
                </c:pt>
                <c:pt idx="440">
                  <c:v>1977.2499999920501</c:v>
                </c:pt>
                <c:pt idx="441">
                  <c:v>1977.16666665869</c:v>
                </c:pt>
                <c:pt idx="442">
                  <c:v>1977.0833333253299</c:v>
                </c:pt>
                <c:pt idx="443">
                  <c:v>1976.9999999919701</c:v>
                </c:pt>
                <c:pt idx="444">
                  <c:v>1976.91666665861</c:v>
                </c:pt>
                <c:pt idx="445">
                  <c:v>1976.8333333252499</c:v>
                </c:pt>
                <c:pt idx="446">
                  <c:v>1976.74999999189</c:v>
                </c:pt>
                <c:pt idx="447">
                  <c:v>1976.6666666585299</c:v>
                </c:pt>
                <c:pt idx="448">
                  <c:v>1976.5833333251701</c:v>
                </c:pt>
                <c:pt idx="449">
                  <c:v>1976.49999999181</c:v>
                </c:pt>
                <c:pt idx="450">
                  <c:v>1976.4166666584499</c:v>
                </c:pt>
                <c:pt idx="451">
                  <c:v>1976.3333333250901</c:v>
                </c:pt>
                <c:pt idx="452">
                  <c:v>1976.24999999173</c:v>
                </c:pt>
                <c:pt idx="453">
                  <c:v>1976.1666666583701</c:v>
                </c:pt>
                <c:pt idx="454">
                  <c:v>1976.08333332501</c:v>
                </c:pt>
                <c:pt idx="455">
                  <c:v>1975.9999999916499</c:v>
                </c:pt>
                <c:pt idx="456">
                  <c:v>1975.9166666582901</c:v>
                </c:pt>
                <c:pt idx="457">
                  <c:v>1975.83333332493</c:v>
                </c:pt>
                <c:pt idx="458">
                  <c:v>1975.7499999915699</c:v>
                </c:pt>
                <c:pt idx="459">
                  <c:v>1975.66666665821</c:v>
                </c:pt>
                <c:pt idx="460">
                  <c:v>1975.5833333248499</c:v>
                </c:pt>
                <c:pt idx="461">
                  <c:v>1975.4999999914901</c:v>
                </c:pt>
                <c:pt idx="462">
                  <c:v>1975.41666665813</c:v>
                </c:pt>
                <c:pt idx="463">
                  <c:v>1975.3333333247699</c:v>
                </c:pt>
                <c:pt idx="464">
                  <c:v>1975.24999999141</c:v>
                </c:pt>
                <c:pt idx="465">
                  <c:v>1975.16666665805</c:v>
                </c:pt>
                <c:pt idx="466">
                  <c:v>1975.0833333246901</c:v>
                </c:pt>
                <c:pt idx="467">
                  <c:v>1974.99999999133</c:v>
                </c:pt>
                <c:pt idx="468">
                  <c:v>1974.9166666579699</c:v>
                </c:pt>
                <c:pt idx="469">
                  <c:v>1974.8333333246101</c:v>
                </c:pt>
                <c:pt idx="470">
                  <c:v>1974.74999999125</c:v>
                </c:pt>
                <c:pt idx="471">
                  <c:v>1974.6666666578899</c:v>
                </c:pt>
                <c:pt idx="472">
                  <c:v>1974.58333332453</c:v>
                </c:pt>
                <c:pt idx="473">
                  <c:v>1974.4999999911699</c:v>
                </c:pt>
                <c:pt idx="474">
                  <c:v>1974.4166666578101</c:v>
                </c:pt>
                <c:pt idx="475">
                  <c:v>1974.33333332445</c:v>
                </c:pt>
                <c:pt idx="476">
                  <c:v>1974.2499999910899</c:v>
                </c:pt>
                <c:pt idx="477">
                  <c:v>1974.16666665773</c:v>
                </c:pt>
                <c:pt idx="478">
                  <c:v>1974.08333332437</c:v>
                </c:pt>
                <c:pt idx="479">
                  <c:v>1973.9999999910101</c:v>
                </c:pt>
                <c:pt idx="480">
                  <c:v>1973.91666665765</c:v>
                </c:pt>
                <c:pt idx="481">
                  <c:v>1973.8333333242899</c:v>
                </c:pt>
                <c:pt idx="482">
                  <c:v>1973.7499999909301</c:v>
                </c:pt>
                <c:pt idx="483">
                  <c:v>1973.66666665757</c:v>
                </c:pt>
                <c:pt idx="484">
                  <c:v>1973.5833333242099</c:v>
                </c:pt>
                <c:pt idx="485">
                  <c:v>1973.49999999085</c:v>
                </c:pt>
                <c:pt idx="486">
                  <c:v>1973.4166666574899</c:v>
                </c:pt>
                <c:pt idx="487">
                  <c:v>1973.3333333241301</c:v>
                </c:pt>
                <c:pt idx="488">
                  <c:v>1973.24999999077</c:v>
                </c:pt>
                <c:pt idx="489">
                  <c:v>1973.1666666574099</c:v>
                </c:pt>
                <c:pt idx="490">
                  <c:v>1973.08333332405</c:v>
                </c:pt>
                <c:pt idx="491">
                  <c:v>1972.99999999069</c:v>
                </c:pt>
                <c:pt idx="492">
                  <c:v>1972.9166666573301</c:v>
                </c:pt>
                <c:pt idx="493">
                  <c:v>1972.83333332397</c:v>
                </c:pt>
                <c:pt idx="494">
                  <c:v>1972.7499999906099</c:v>
                </c:pt>
                <c:pt idx="495">
                  <c:v>1972.6666666572501</c:v>
                </c:pt>
                <c:pt idx="496">
                  <c:v>1972.58333332389</c:v>
                </c:pt>
                <c:pt idx="497">
                  <c:v>1972.4999999905299</c:v>
                </c:pt>
                <c:pt idx="498">
                  <c:v>1972.41666665717</c:v>
                </c:pt>
                <c:pt idx="499">
                  <c:v>1972.3333333238099</c:v>
                </c:pt>
                <c:pt idx="500">
                  <c:v>1972.2499999904501</c:v>
                </c:pt>
                <c:pt idx="501">
                  <c:v>1972.16666665709</c:v>
                </c:pt>
                <c:pt idx="502">
                  <c:v>1972.0833333237299</c:v>
                </c:pt>
                <c:pt idx="503">
                  <c:v>1971.99999999037</c:v>
                </c:pt>
                <c:pt idx="504">
                  <c:v>1971.91666665701</c:v>
                </c:pt>
                <c:pt idx="505">
                  <c:v>1971.8333333236501</c:v>
                </c:pt>
                <c:pt idx="506">
                  <c:v>1971.74999999029</c:v>
                </c:pt>
                <c:pt idx="507">
                  <c:v>1971.6666666569299</c:v>
                </c:pt>
                <c:pt idx="508">
                  <c:v>1971.5833333235701</c:v>
                </c:pt>
                <c:pt idx="509">
                  <c:v>1971.49999999021</c:v>
                </c:pt>
                <c:pt idx="510">
                  <c:v>1971.4166666568501</c:v>
                </c:pt>
                <c:pt idx="511">
                  <c:v>1971.33333332349</c:v>
                </c:pt>
                <c:pt idx="512">
                  <c:v>1971.2499999901299</c:v>
                </c:pt>
                <c:pt idx="513">
                  <c:v>1971.1666666567701</c:v>
                </c:pt>
                <c:pt idx="514">
                  <c:v>1971.08333332341</c:v>
                </c:pt>
                <c:pt idx="515">
                  <c:v>1970.9999999900499</c:v>
                </c:pt>
                <c:pt idx="516">
                  <c:v>1970.91666665669</c:v>
                </c:pt>
                <c:pt idx="517">
                  <c:v>1970.83333332333</c:v>
                </c:pt>
                <c:pt idx="518">
                  <c:v>1970.7499999899701</c:v>
                </c:pt>
                <c:pt idx="519">
                  <c:v>1970.66666665661</c:v>
                </c:pt>
                <c:pt idx="520">
                  <c:v>1970.5833333232499</c:v>
                </c:pt>
                <c:pt idx="521">
                  <c:v>1970.4999999898901</c:v>
                </c:pt>
                <c:pt idx="522">
                  <c:v>1970.41666665653</c:v>
                </c:pt>
                <c:pt idx="523">
                  <c:v>1970.3333333231701</c:v>
                </c:pt>
                <c:pt idx="524">
                  <c:v>1970.24999998981</c:v>
                </c:pt>
                <c:pt idx="525">
                  <c:v>1970.1666666564499</c:v>
                </c:pt>
                <c:pt idx="526">
                  <c:v>1970.0833333230901</c:v>
                </c:pt>
                <c:pt idx="527">
                  <c:v>1969.99999998973</c:v>
                </c:pt>
                <c:pt idx="528">
                  <c:v>1969.9166666563699</c:v>
                </c:pt>
                <c:pt idx="529">
                  <c:v>1969.83333332301</c:v>
                </c:pt>
                <c:pt idx="530">
                  <c:v>1969.74999998965</c:v>
                </c:pt>
                <c:pt idx="531">
                  <c:v>1969.6666666562901</c:v>
                </c:pt>
                <c:pt idx="532">
                  <c:v>1969.58333332293</c:v>
                </c:pt>
                <c:pt idx="533">
                  <c:v>1969.4999999895699</c:v>
                </c:pt>
                <c:pt idx="534">
                  <c:v>1969.4166666562101</c:v>
                </c:pt>
                <c:pt idx="535">
                  <c:v>1969.33333332285</c:v>
                </c:pt>
                <c:pt idx="536">
                  <c:v>1969.2499999894901</c:v>
                </c:pt>
                <c:pt idx="537">
                  <c:v>1969.16666665613</c:v>
                </c:pt>
                <c:pt idx="538">
                  <c:v>1969.0833333227699</c:v>
                </c:pt>
                <c:pt idx="539">
                  <c:v>1968.9999999894101</c:v>
                </c:pt>
                <c:pt idx="540">
                  <c:v>1968.91666665605</c:v>
                </c:pt>
                <c:pt idx="541">
                  <c:v>1968.8333333226899</c:v>
                </c:pt>
                <c:pt idx="542">
                  <c:v>1968.74999998933</c:v>
                </c:pt>
                <c:pt idx="543">
                  <c:v>1968.6666666559599</c:v>
                </c:pt>
                <c:pt idx="544">
                  <c:v>1968.5833333226001</c:v>
                </c:pt>
                <c:pt idx="545">
                  <c:v>1968.49999998924</c:v>
                </c:pt>
                <c:pt idx="546">
                  <c:v>1968.4166666558799</c:v>
                </c:pt>
                <c:pt idx="547">
                  <c:v>1968.33333332252</c:v>
                </c:pt>
                <c:pt idx="548">
                  <c:v>1968.24999998916</c:v>
                </c:pt>
                <c:pt idx="549">
                  <c:v>1968.1666666558001</c:v>
                </c:pt>
                <c:pt idx="550">
                  <c:v>1968.08333332244</c:v>
                </c:pt>
                <c:pt idx="551">
                  <c:v>1967.9999999890799</c:v>
                </c:pt>
                <c:pt idx="552">
                  <c:v>1967.9166666557201</c:v>
                </c:pt>
                <c:pt idx="553">
                  <c:v>1967.83333332236</c:v>
                </c:pt>
                <c:pt idx="554">
                  <c:v>1967.7499999889999</c:v>
                </c:pt>
                <c:pt idx="555">
                  <c:v>1967.66666665564</c:v>
                </c:pt>
                <c:pt idx="556">
                  <c:v>1967.5833333222799</c:v>
                </c:pt>
                <c:pt idx="557">
                  <c:v>1967.4999999889201</c:v>
                </c:pt>
                <c:pt idx="558">
                  <c:v>1967.41666665556</c:v>
                </c:pt>
                <c:pt idx="559">
                  <c:v>1967.3333333221999</c:v>
                </c:pt>
                <c:pt idx="560">
                  <c:v>1967.24999998884</c:v>
                </c:pt>
                <c:pt idx="561">
                  <c:v>1967.16666665548</c:v>
                </c:pt>
                <c:pt idx="562">
                  <c:v>1967.0833333221201</c:v>
                </c:pt>
                <c:pt idx="563">
                  <c:v>1966.99999998876</c:v>
                </c:pt>
                <c:pt idx="564">
                  <c:v>1966.9166666553999</c:v>
                </c:pt>
                <c:pt idx="565">
                  <c:v>1966.8333333220401</c:v>
                </c:pt>
                <c:pt idx="566">
                  <c:v>1966.74999998868</c:v>
                </c:pt>
                <c:pt idx="567">
                  <c:v>1966.6666666553199</c:v>
                </c:pt>
                <c:pt idx="568">
                  <c:v>1966.58333332196</c:v>
                </c:pt>
                <c:pt idx="569">
                  <c:v>1966.4999999885999</c:v>
                </c:pt>
                <c:pt idx="570">
                  <c:v>1966.4166666552401</c:v>
                </c:pt>
                <c:pt idx="571">
                  <c:v>1966.33333332188</c:v>
                </c:pt>
                <c:pt idx="572">
                  <c:v>1966.2499999885199</c:v>
                </c:pt>
                <c:pt idx="573">
                  <c:v>1966.16666665516</c:v>
                </c:pt>
                <c:pt idx="574">
                  <c:v>1966.0833333218</c:v>
                </c:pt>
                <c:pt idx="575">
                  <c:v>1965.9999999884401</c:v>
                </c:pt>
                <c:pt idx="576">
                  <c:v>1965.91666665508</c:v>
                </c:pt>
                <c:pt idx="577">
                  <c:v>1965.8333333217199</c:v>
                </c:pt>
                <c:pt idx="578">
                  <c:v>1965.7499999883601</c:v>
                </c:pt>
                <c:pt idx="579">
                  <c:v>1965.666666655</c:v>
                </c:pt>
                <c:pt idx="580">
                  <c:v>1965.5833333216401</c:v>
                </c:pt>
                <c:pt idx="581">
                  <c:v>1965.49999998828</c:v>
                </c:pt>
                <c:pt idx="582">
                  <c:v>1965.4166666549199</c:v>
                </c:pt>
                <c:pt idx="583">
                  <c:v>1965.3333333215601</c:v>
                </c:pt>
                <c:pt idx="584">
                  <c:v>1965.2499999882</c:v>
                </c:pt>
                <c:pt idx="585">
                  <c:v>1965.1666666548399</c:v>
                </c:pt>
                <c:pt idx="586">
                  <c:v>1965.08333332148</c:v>
                </c:pt>
                <c:pt idx="587">
                  <c:v>1964.99999998812</c:v>
                </c:pt>
                <c:pt idx="588">
                  <c:v>1964.9166666547601</c:v>
                </c:pt>
                <c:pt idx="589">
                  <c:v>1964.8333333214</c:v>
                </c:pt>
                <c:pt idx="590">
                  <c:v>1964.7499999880399</c:v>
                </c:pt>
                <c:pt idx="591">
                  <c:v>1964.6666666546801</c:v>
                </c:pt>
                <c:pt idx="592">
                  <c:v>1964.58333332132</c:v>
                </c:pt>
                <c:pt idx="593">
                  <c:v>1964.4999999879601</c:v>
                </c:pt>
                <c:pt idx="594">
                  <c:v>1964.4166666546</c:v>
                </c:pt>
                <c:pt idx="595">
                  <c:v>1964.3333333212399</c:v>
                </c:pt>
                <c:pt idx="596">
                  <c:v>1964.2499999878801</c:v>
                </c:pt>
                <c:pt idx="597">
                  <c:v>1964.16666665452</c:v>
                </c:pt>
                <c:pt idx="598">
                  <c:v>1964.0833333211599</c:v>
                </c:pt>
                <c:pt idx="599">
                  <c:v>1963.9999999878</c:v>
                </c:pt>
                <c:pt idx="600">
                  <c:v>1963.91666665444</c:v>
                </c:pt>
                <c:pt idx="601">
                  <c:v>1963.8333333210801</c:v>
                </c:pt>
                <c:pt idx="602">
                  <c:v>1963.74999998772</c:v>
                </c:pt>
                <c:pt idx="603">
                  <c:v>1963.6666666543599</c:v>
                </c:pt>
                <c:pt idx="604">
                  <c:v>1963.5833333210001</c:v>
                </c:pt>
                <c:pt idx="605">
                  <c:v>1963.49999998764</c:v>
                </c:pt>
                <c:pt idx="606">
                  <c:v>1963.4166666542801</c:v>
                </c:pt>
                <c:pt idx="607">
                  <c:v>1963.33333332092</c:v>
                </c:pt>
                <c:pt idx="608">
                  <c:v>1963.2499999875599</c:v>
                </c:pt>
                <c:pt idx="609">
                  <c:v>1963.1666666542001</c:v>
                </c:pt>
                <c:pt idx="610">
                  <c:v>1963.08333332084</c:v>
                </c:pt>
                <c:pt idx="611">
                  <c:v>1962.9999999874799</c:v>
                </c:pt>
                <c:pt idx="612">
                  <c:v>1962.91666665412</c:v>
                </c:pt>
                <c:pt idx="613">
                  <c:v>1962.8333333207599</c:v>
                </c:pt>
                <c:pt idx="614">
                  <c:v>1962.7499999874001</c:v>
                </c:pt>
                <c:pt idx="615">
                  <c:v>1962.66666665404</c:v>
                </c:pt>
                <c:pt idx="616">
                  <c:v>1962.5833333206799</c:v>
                </c:pt>
                <c:pt idx="617">
                  <c:v>1962.4999999873201</c:v>
                </c:pt>
                <c:pt idx="618">
                  <c:v>1962.41666665396</c:v>
                </c:pt>
                <c:pt idx="619">
                  <c:v>1962.3333333205999</c:v>
                </c:pt>
                <c:pt idx="620">
                  <c:v>1962.24999998724</c:v>
                </c:pt>
                <c:pt idx="621">
                  <c:v>1962.1666666538799</c:v>
                </c:pt>
                <c:pt idx="622">
                  <c:v>1962.0833333205201</c:v>
                </c:pt>
                <c:pt idx="623">
                  <c:v>1961.99999998716</c:v>
                </c:pt>
                <c:pt idx="624">
                  <c:v>1961.9166666537999</c:v>
                </c:pt>
                <c:pt idx="625">
                  <c:v>1961.83333332044</c:v>
                </c:pt>
                <c:pt idx="626">
                  <c:v>1961.7499999870799</c:v>
                </c:pt>
                <c:pt idx="627">
                  <c:v>1961.6666666537201</c:v>
                </c:pt>
                <c:pt idx="628">
                  <c:v>1961.58333332036</c:v>
                </c:pt>
                <c:pt idx="629">
                  <c:v>1961.4999999869999</c:v>
                </c:pt>
                <c:pt idx="630">
                  <c:v>1961.41666665364</c:v>
                </c:pt>
                <c:pt idx="631">
                  <c:v>1961.33333332028</c:v>
                </c:pt>
                <c:pt idx="632">
                  <c:v>1961.2499999869201</c:v>
                </c:pt>
                <c:pt idx="633">
                  <c:v>1961.16666665356</c:v>
                </c:pt>
                <c:pt idx="634">
                  <c:v>1961.0833333201999</c:v>
                </c:pt>
                <c:pt idx="635">
                  <c:v>1960.9999999868401</c:v>
                </c:pt>
                <c:pt idx="636">
                  <c:v>1960.91666665348</c:v>
                </c:pt>
                <c:pt idx="637">
                  <c:v>1960.8333333201199</c:v>
                </c:pt>
                <c:pt idx="638">
                  <c:v>1960.74999998676</c:v>
                </c:pt>
                <c:pt idx="639">
                  <c:v>1960.6666666533999</c:v>
                </c:pt>
                <c:pt idx="640">
                  <c:v>1960.5833333200401</c:v>
                </c:pt>
                <c:pt idx="641">
                  <c:v>1960.49999998668</c:v>
                </c:pt>
                <c:pt idx="642">
                  <c:v>1960.4166666533199</c:v>
                </c:pt>
                <c:pt idx="643">
                  <c:v>1960.33333331996</c:v>
                </c:pt>
                <c:pt idx="644">
                  <c:v>1960.2499999866</c:v>
                </c:pt>
                <c:pt idx="645">
                  <c:v>1960.1666666532401</c:v>
                </c:pt>
                <c:pt idx="646">
                  <c:v>1960.08333331988</c:v>
                </c:pt>
                <c:pt idx="647">
                  <c:v>1959.9999999865199</c:v>
                </c:pt>
                <c:pt idx="648">
                  <c:v>1959.9166666531601</c:v>
                </c:pt>
                <c:pt idx="649">
                  <c:v>1959.8333333198</c:v>
                </c:pt>
                <c:pt idx="650">
                  <c:v>1959.7499999864399</c:v>
                </c:pt>
                <c:pt idx="651">
                  <c:v>1959.66666665308</c:v>
                </c:pt>
                <c:pt idx="652">
                  <c:v>1959.5833333197199</c:v>
                </c:pt>
                <c:pt idx="653">
                  <c:v>1959.4999999863601</c:v>
                </c:pt>
                <c:pt idx="654">
                  <c:v>1959.416666653</c:v>
                </c:pt>
                <c:pt idx="655">
                  <c:v>1959.3333333196399</c:v>
                </c:pt>
                <c:pt idx="656">
                  <c:v>1959.24999998628</c:v>
                </c:pt>
                <c:pt idx="657">
                  <c:v>1959.16666665291</c:v>
                </c:pt>
                <c:pt idx="658">
                  <c:v>1959.0833333195501</c:v>
                </c:pt>
                <c:pt idx="659">
                  <c:v>1958.99999998619</c:v>
                </c:pt>
                <c:pt idx="660">
                  <c:v>1958.9166666528299</c:v>
                </c:pt>
                <c:pt idx="661">
                  <c:v>1958.8333333194701</c:v>
                </c:pt>
                <c:pt idx="662">
                  <c:v>1958.74999998611</c:v>
                </c:pt>
                <c:pt idx="663">
                  <c:v>1958.6666666527501</c:v>
                </c:pt>
                <c:pt idx="664">
                  <c:v>1958.58333331939</c:v>
                </c:pt>
                <c:pt idx="665">
                  <c:v>1958.4999999860299</c:v>
                </c:pt>
                <c:pt idx="666">
                  <c:v>1958.4166666526701</c:v>
                </c:pt>
                <c:pt idx="667">
                  <c:v>1958.33333331931</c:v>
                </c:pt>
                <c:pt idx="668">
                  <c:v>1958.2499999859499</c:v>
                </c:pt>
                <c:pt idx="669">
                  <c:v>1958.16666665259</c:v>
                </c:pt>
                <c:pt idx="670">
                  <c:v>1958.08333331923</c:v>
                </c:pt>
                <c:pt idx="671">
                  <c:v>1957.9999999858701</c:v>
                </c:pt>
                <c:pt idx="672">
                  <c:v>1957.91666665251</c:v>
                </c:pt>
                <c:pt idx="673">
                  <c:v>1957.8333333191499</c:v>
                </c:pt>
                <c:pt idx="674">
                  <c:v>1957.7499999857901</c:v>
                </c:pt>
                <c:pt idx="675">
                  <c:v>1957.66666665243</c:v>
                </c:pt>
                <c:pt idx="676">
                  <c:v>1957.5833333190701</c:v>
                </c:pt>
                <c:pt idx="677">
                  <c:v>1957.49999998571</c:v>
                </c:pt>
                <c:pt idx="678">
                  <c:v>1957.4166666523499</c:v>
                </c:pt>
                <c:pt idx="679">
                  <c:v>1957.3333333189901</c:v>
                </c:pt>
                <c:pt idx="680">
                  <c:v>1957.24999998563</c:v>
                </c:pt>
                <c:pt idx="681">
                  <c:v>1957.1666666522699</c:v>
                </c:pt>
                <c:pt idx="682">
                  <c:v>1957.08333331891</c:v>
                </c:pt>
                <c:pt idx="683">
                  <c:v>1956.9999999855499</c:v>
                </c:pt>
                <c:pt idx="684">
                  <c:v>1956.9166666521901</c:v>
                </c:pt>
                <c:pt idx="685">
                  <c:v>1956.83333331883</c:v>
                </c:pt>
                <c:pt idx="686">
                  <c:v>1956.7499999854699</c:v>
                </c:pt>
                <c:pt idx="687">
                  <c:v>1956.6666666521101</c:v>
                </c:pt>
                <c:pt idx="688">
                  <c:v>1956.58333331875</c:v>
                </c:pt>
                <c:pt idx="689">
                  <c:v>1956.4999999853901</c:v>
                </c:pt>
                <c:pt idx="690">
                  <c:v>1956.41666665203</c:v>
                </c:pt>
                <c:pt idx="691">
                  <c:v>1956.3333333186699</c:v>
                </c:pt>
                <c:pt idx="692">
                  <c:v>1956.2499999853101</c:v>
                </c:pt>
                <c:pt idx="693">
                  <c:v>1956.16666665195</c:v>
                </c:pt>
                <c:pt idx="694">
                  <c:v>1956.0833333185899</c:v>
                </c:pt>
                <c:pt idx="695">
                  <c:v>1955.99999998523</c:v>
                </c:pt>
                <c:pt idx="696">
                  <c:v>1955.9166666518699</c:v>
                </c:pt>
                <c:pt idx="697">
                  <c:v>1955.8333333185101</c:v>
                </c:pt>
                <c:pt idx="698">
                  <c:v>1955.74999998515</c:v>
                </c:pt>
                <c:pt idx="699">
                  <c:v>1955.6666666517899</c:v>
                </c:pt>
                <c:pt idx="700">
                  <c:v>1955.58333331843</c:v>
                </c:pt>
                <c:pt idx="701">
                  <c:v>1955.49999998507</c:v>
                </c:pt>
                <c:pt idx="702">
                  <c:v>1955.4166666517101</c:v>
                </c:pt>
                <c:pt idx="703">
                  <c:v>1955.33333331835</c:v>
                </c:pt>
                <c:pt idx="704">
                  <c:v>1955.2499999849899</c:v>
                </c:pt>
                <c:pt idx="705">
                  <c:v>1955.1666666516301</c:v>
                </c:pt>
                <c:pt idx="706">
                  <c:v>1955.08333331827</c:v>
                </c:pt>
                <c:pt idx="707">
                  <c:v>1954.9999999849099</c:v>
                </c:pt>
                <c:pt idx="708">
                  <c:v>1954.91666665155</c:v>
                </c:pt>
                <c:pt idx="709">
                  <c:v>1954.8333333181899</c:v>
                </c:pt>
                <c:pt idx="710">
                  <c:v>1954.7499999848301</c:v>
                </c:pt>
                <c:pt idx="711">
                  <c:v>1954.66666665147</c:v>
                </c:pt>
                <c:pt idx="712">
                  <c:v>1954.5833333181099</c:v>
                </c:pt>
                <c:pt idx="713">
                  <c:v>1954.49999998475</c:v>
                </c:pt>
                <c:pt idx="714">
                  <c:v>1954.41666665139</c:v>
                </c:pt>
                <c:pt idx="715">
                  <c:v>1954.3333333180301</c:v>
                </c:pt>
                <c:pt idx="716">
                  <c:v>1954.24999998467</c:v>
                </c:pt>
                <c:pt idx="717">
                  <c:v>1954.1666666513099</c:v>
                </c:pt>
                <c:pt idx="718">
                  <c:v>1954.0833333179501</c:v>
                </c:pt>
                <c:pt idx="719">
                  <c:v>1953.99999998459</c:v>
                </c:pt>
                <c:pt idx="720">
                  <c:v>1953.9166666512299</c:v>
                </c:pt>
                <c:pt idx="721">
                  <c:v>1953.83333331787</c:v>
                </c:pt>
                <c:pt idx="722">
                  <c:v>1953.7499999845099</c:v>
                </c:pt>
                <c:pt idx="723">
                  <c:v>1953.6666666511501</c:v>
                </c:pt>
                <c:pt idx="724">
                  <c:v>1953.58333331779</c:v>
                </c:pt>
                <c:pt idx="725">
                  <c:v>1953.4999999844299</c:v>
                </c:pt>
                <c:pt idx="726">
                  <c:v>1953.41666665107</c:v>
                </c:pt>
                <c:pt idx="727">
                  <c:v>1953.33333331771</c:v>
                </c:pt>
                <c:pt idx="728">
                  <c:v>1953.2499999843501</c:v>
                </c:pt>
                <c:pt idx="729">
                  <c:v>1953.16666665099</c:v>
                </c:pt>
                <c:pt idx="730">
                  <c:v>1953.0833333176299</c:v>
                </c:pt>
                <c:pt idx="731">
                  <c:v>1952.9999999842701</c:v>
                </c:pt>
                <c:pt idx="732">
                  <c:v>1952.91666665091</c:v>
                </c:pt>
                <c:pt idx="733">
                  <c:v>1952.8333333175497</c:v>
                </c:pt>
                <c:pt idx="734">
                  <c:v>1952.7499999841896</c:v>
                </c:pt>
                <c:pt idx="735">
                  <c:v>1952.6666666508293</c:v>
                </c:pt>
                <c:pt idx="736">
                  <c:v>1952.5833333174692</c:v>
                </c:pt>
                <c:pt idx="737">
                  <c:v>1952.4999999841089</c:v>
                </c:pt>
                <c:pt idx="738">
                  <c:v>1952.4166666507488</c:v>
                </c:pt>
                <c:pt idx="739">
                  <c:v>1952.3333333173885</c:v>
                </c:pt>
                <c:pt idx="740">
                  <c:v>1952.2499999840284</c:v>
                </c:pt>
                <c:pt idx="741">
                  <c:v>1952.166666650668</c:v>
                </c:pt>
                <c:pt idx="742">
                  <c:v>1952.083333317308</c:v>
                </c:pt>
                <c:pt idx="743">
                  <c:v>1951.9999999839476</c:v>
                </c:pt>
                <c:pt idx="744">
                  <c:v>1951.9166666505876</c:v>
                </c:pt>
                <c:pt idx="745">
                  <c:v>1951.8333333172272</c:v>
                </c:pt>
                <c:pt idx="746">
                  <c:v>1951.7499999838672</c:v>
                </c:pt>
                <c:pt idx="747">
                  <c:v>1951.6666666505068</c:v>
                </c:pt>
                <c:pt idx="748">
                  <c:v>1951.5833333171468</c:v>
                </c:pt>
                <c:pt idx="749">
                  <c:v>1951.4999999837864</c:v>
                </c:pt>
                <c:pt idx="750">
                  <c:v>1951.4166666504264</c:v>
                </c:pt>
                <c:pt idx="751">
                  <c:v>1951.333333317066</c:v>
                </c:pt>
                <c:pt idx="752">
                  <c:v>1951.2499999837059</c:v>
                </c:pt>
                <c:pt idx="753">
                  <c:v>1951.1666666503456</c:v>
                </c:pt>
                <c:pt idx="754">
                  <c:v>1951.0833333169855</c:v>
                </c:pt>
                <c:pt idx="755">
                  <c:v>1950.9999999836252</c:v>
                </c:pt>
                <c:pt idx="756">
                  <c:v>1950.9166666502651</c:v>
                </c:pt>
                <c:pt idx="757">
                  <c:v>1950.8333333169048</c:v>
                </c:pt>
                <c:pt idx="758">
                  <c:v>1950.7499999835447</c:v>
                </c:pt>
                <c:pt idx="759">
                  <c:v>1950.6666666501844</c:v>
                </c:pt>
                <c:pt idx="760">
                  <c:v>1950.5833333168243</c:v>
                </c:pt>
                <c:pt idx="761">
                  <c:v>1950.499999983464</c:v>
                </c:pt>
                <c:pt idx="762">
                  <c:v>1950.4166666501039</c:v>
                </c:pt>
                <c:pt idx="763">
                  <c:v>1950.3333333167436</c:v>
                </c:pt>
                <c:pt idx="764">
                  <c:v>1950.2499999833835</c:v>
                </c:pt>
                <c:pt idx="765">
                  <c:v>1950.1666666500232</c:v>
                </c:pt>
                <c:pt idx="766">
                  <c:v>1950.0833333166631</c:v>
                </c:pt>
                <c:pt idx="767">
                  <c:v>1949.9999999833028</c:v>
                </c:pt>
                <c:pt idx="768">
                  <c:v>1949.9166666499427</c:v>
                </c:pt>
                <c:pt idx="769">
                  <c:v>1949.8333333165824</c:v>
                </c:pt>
                <c:pt idx="770">
                  <c:v>1949.7499999832223</c:v>
                </c:pt>
                <c:pt idx="771">
                  <c:v>1949.666666649862</c:v>
                </c:pt>
                <c:pt idx="772">
                  <c:v>1949.5833333165019</c:v>
                </c:pt>
                <c:pt idx="773">
                  <c:v>1949.4999999831416</c:v>
                </c:pt>
                <c:pt idx="774">
                  <c:v>1949.4166666497815</c:v>
                </c:pt>
                <c:pt idx="775">
                  <c:v>1949.3333333164212</c:v>
                </c:pt>
                <c:pt idx="776">
                  <c:v>1949.2499999830611</c:v>
                </c:pt>
                <c:pt idx="777">
                  <c:v>1949.1666666497008</c:v>
                </c:pt>
                <c:pt idx="778">
                  <c:v>1949.0833333163407</c:v>
                </c:pt>
                <c:pt idx="779">
                  <c:v>1948.9999999829804</c:v>
                </c:pt>
                <c:pt idx="780">
                  <c:v>1948.9166666496201</c:v>
                </c:pt>
                <c:pt idx="781">
                  <c:v>1948.83333331626</c:v>
                </c:pt>
                <c:pt idx="782">
                  <c:v>1948.7499999828999</c:v>
                </c:pt>
                <c:pt idx="783">
                  <c:v>1948.66666664954</c:v>
                </c:pt>
                <c:pt idx="784">
                  <c:v>1948.58333331618</c:v>
                </c:pt>
                <c:pt idx="785">
                  <c:v>1948.4999999828201</c:v>
                </c:pt>
                <c:pt idx="786">
                  <c:v>1948.41666664946</c:v>
                </c:pt>
                <c:pt idx="787">
                  <c:v>1948.3333333160999</c:v>
                </c:pt>
                <c:pt idx="788">
                  <c:v>1948.2499999827401</c:v>
                </c:pt>
                <c:pt idx="789">
                  <c:v>1948.16666664938</c:v>
                </c:pt>
                <c:pt idx="790">
                  <c:v>1948.0833333160199</c:v>
                </c:pt>
                <c:pt idx="791">
                  <c:v>1947.99999998266</c:v>
                </c:pt>
                <c:pt idx="792">
                  <c:v>1947.9166666492999</c:v>
                </c:pt>
                <c:pt idx="793">
                  <c:v>1947.8333333159401</c:v>
                </c:pt>
                <c:pt idx="794">
                  <c:v>1947.74999998258</c:v>
                </c:pt>
                <c:pt idx="795">
                  <c:v>1947.6666666492199</c:v>
                </c:pt>
                <c:pt idx="796">
                  <c:v>1947.58333331586</c:v>
                </c:pt>
                <c:pt idx="797">
                  <c:v>1947.4999999825</c:v>
                </c:pt>
                <c:pt idx="798">
                  <c:v>1947.4166666491401</c:v>
                </c:pt>
                <c:pt idx="799">
                  <c:v>1947.33333331578</c:v>
                </c:pt>
                <c:pt idx="800">
                  <c:v>1947.2499999824199</c:v>
                </c:pt>
                <c:pt idx="801">
                  <c:v>1947.1666666490601</c:v>
                </c:pt>
                <c:pt idx="802">
                  <c:v>1947.0833333157</c:v>
                </c:pt>
                <c:pt idx="803">
                  <c:v>1946.9999999823399</c:v>
                </c:pt>
              </c:numCache>
            </c:numRef>
          </c:xVal>
          <c:yVal>
            <c:numRef>
              <c:f>Precipitacion!$E$8:$E$811</c:f>
              <c:numCache>
                <c:formatCode>0.000</c:formatCode>
                <c:ptCount val="804"/>
                <c:pt idx="0">
                  <c:v>-0.40488913960842771</c:v>
                </c:pt>
                <c:pt idx="1">
                  <c:v>-5.3203420479034355E-2</c:v>
                </c:pt>
                <c:pt idx="2">
                  <c:v>0.60677822126378833</c:v>
                </c:pt>
                <c:pt idx="3">
                  <c:v>0.26422719613775575</c:v>
                </c:pt>
                <c:pt idx="4">
                  <c:v>0.64331699727723179</c:v>
                </c:pt>
                <c:pt idx="5">
                  <c:v>3.8884170419710646E-3</c:v>
                </c:pt>
                <c:pt idx="6">
                  <c:v>0.46747413771253504</c:v>
                </c:pt>
                <c:pt idx="7">
                  <c:v>0.20941903211759058</c:v>
                </c:pt>
                <c:pt idx="8">
                  <c:v>-0.8524891457731103</c:v>
                </c:pt>
                <c:pt idx="9">
                  <c:v>-0.8524891457731103</c:v>
                </c:pt>
                <c:pt idx="10">
                  <c:v>-0.8524891457731103</c:v>
                </c:pt>
                <c:pt idx="11">
                  <c:v>-0.8524891457731103</c:v>
                </c:pt>
                <c:pt idx="12">
                  <c:v>-0.82394322701260758</c:v>
                </c:pt>
                <c:pt idx="13">
                  <c:v>0.14433433734364437</c:v>
                </c:pt>
                <c:pt idx="14">
                  <c:v>1.9998190567763208</c:v>
                </c:pt>
                <c:pt idx="15">
                  <c:v>1.2930221082662736</c:v>
                </c:pt>
                <c:pt idx="16">
                  <c:v>1.3318445577805573</c:v>
                </c:pt>
                <c:pt idx="17">
                  <c:v>-0.22219525954121039</c:v>
                </c:pt>
                <c:pt idx="18">
                  <c:v>0.12834862283776294</c:v>
                </c:pt>
                <c:pt idx="19">
                  <c:v>0.58965067000748672</c:v>
                </c:pt>
                <c:pt idx="20">
                  <c:v>-0.66636975545463262</c:v>
                </c:pt>
                <c:pt idx="21">
                  <c:v>-0.8524891457731103</c:v>
                </c:pt>
                <c:pt idx="22">
                  <c:v>-0.8524891457731103</c:v>
                </c:pt>
                <c:pt idx="23">
                  <c:v>-0.8524891457731103</c:v>
                </c:pt>
                <c:pt idx="24">
                  <c:v>1.1776965964738426</c:v>
                </c:pt>
                <c:pt idx="25">
                  <c:v>2.0900241600595093</c:v>
                </c:pt>
                <c:pt idx="26">
                  <c:v>5.3168548167467353</c:v>
                </c:pt>
                <c:pt idx="27">
                  <c:v>2.2875619178821878</c:v>
                </c:pt>
                <c:pt idx="28">
                  <c:v>0.25737617563523518</c:v>
                </c:pt>
                <c:pt idx="29">
                  <c:v>2.1037262010645503</c:v>
                </c:pt>
                <c:pt idx="30">
                  <c:v>0.92420883788057839</c:v>
                </c:pt>
                <c:pt idx="31">
                  <c:v>-0.2199115860403702</c:v>
                </c:pt>
                <c:pt idx="32">
                  <c:v>-0.5110799573974979</c:v>
                </c:pt>
                <c:pt idx="33">
                  <c:v>-0.8524891457731103</c:v>
                </c:pt>
                <c:pt idx="34">
                  <c:v>-0.8524891457731103</c:v>
                </c:pt>
                <c:pt idx="35">
                  <c:v>-0.8524891457731103</c:v>
                </c:pt>
                <c:pt idx="36">
                  <c:v>2.1117190583174916</c:v>
                </c:pt>
                <c:pt idx="37">
                  <c:v>5.4196201242845445</c:v>
                </c:pt>
                <c:pt idx="38">
                  <c:v>2.9167139673636679</c:v>
                </c:pt>
                <c:pt idx="39">
                  <c:v>0.81230883633940798</c:v>
                </c:pt>
                <c:pt idx="40">
                  <c:v>2.5878649832426768</c:v>
                </c:pt>
                <c:pt idx="41">
                  <c:v>2.9646711108813126</c:v>
                </c:pt>
                <c:pt idx="42">
                  <c:v>2.3983200826729383</c:v>
                </c:pt>
                <c:pt idx="43">
                  <c:v>1.2108098622360255</c:v>
                </c:pt>
                <c:pt idx="44">
                  <c:v>-0.40488913960842771</c:v>
                </c:pt>
                <c:pt idx="45">
                  <c:v>-0.63554016319328965</c:v>
                </c:pt>
                <c:pt idx="46">
                  <c:v>-0.8524891457731103</c:v>
                </c:pt>
                <c:pt idx="47">
                  <c:v>-0.8524891457731103</c:v>
                </c:pt>
                <c:pt idx="48">
                  <c:v>-0.8524891457731103</c:v>
                </c:pt>
                <c:pt idx="49">
                  <c:v>8.838433657305915E-2</c:v>
                </c:pt>
                <c:pt idx="50">
                  <c:v>1.6264384393889451</c:v>
                </c:pt>
                <c:pt idx="51">
                  <c:v>-0.50651261039581741</c:v>
                </c:pt>
                <c:pt idx="52">
                  <c:v>-0.10686974774877948</c:v>
                </c:pt>
                <c:pt idx="53">
                  <c:v>0.2939149516486787</c:v>
                </c:pt>
                <c:pt idx="54">
                  <c:v>0.25623433888481495</c:v>
                </c:pt>
                <c:pt idx="55">
                  <c:v>-0.66751159220505263</c:v>
                </c:pt>
                <c:pt idx="56">
                  <c:v>-0.8524891457731103</c:v>
                </c:pt>
                <c:pt idx="57">
                  <c:v>-0.8422126150193292</c:v>
                </c:pt>
                <c:pt idx="58">
                  <c:v>-0.8524891457731103</c:v>
                </c:pt>
                <c:pt idx="59">
                  <c:v>-0.8524891457731103</c:v>
                </c:pt>
                <c:pt idx="60">
                  <c:v>-0.84906363552184994</c:v>
                </c:pt>
                <c:pt idx="61">
                  <c:v>1.3215680270267762</c:v>
                </c:pt>
                <c:pt idx="62">
                  <c:v>0.2996241354007792</c:v>
                </c:pt>
                <c:pt idx="63">
                  <c:v>1.3866527218007223</c:v>
                </c:pt>
                <c:pt idx="64">
                  <c:v>1.9244578312485934</c:v>
                </c:pt>
                <c:pt idx="65">
                  <c:v>0.13862515359154384</c:v>
                </c:pt>
                <c:pt idx="66">
                  <c:v>0.1980006646133895</c:v>
                </c:pt>
                <c:pt idx="67">
                  <c:v>-0.12057178875382082</c:v>
                </c:pt>
                <c:pt idx="68">
                  <c:v>-0.6378238366941299</c:v>
                </c:pt>
                <c:pt idx="69">
                  <c:v>-0.8524891457731103</c:v>
                </c:pt>
                <c:pt idx="70">
                  <c:v>-0.8524891457731103</c:v>
                </c:pt>
                <c:pt idx="71">
                  <c:v>-0.8524891457731103</c:v>
                </c:pt>
                <c:pt idx="72">
                  <c:v>-0.8524891457731103</c:v>
                </c:pt>
                <c:pt idx="73">
                  <c:v>-0.23703913729667184</c:v>
                </c:pt>
                <c:pt idx="74">
                  <c:v>2.2510231418687447</c:v>
                </c:pt>
                <c:pt idx="75">
                  <c:v>1.3444047620351784</c:v>
                </c:pt>
                <c:pt idx="76">
                  <c:v>1.2119516989864458</c:v>
                </c:pt>
                <c:pt idx="77">
                  <c:v>0.60335271101252796</c:v>
                </c:pt>
                <c:pt idx="78">
                  <c:v>-0.55332791716304186</c:v>
                </c:pt>
                <c:pt idx="79">
                  <c:v>1.2599088425040903</c:v>
                </c:pt>
                <c:pt idx="80">
                  <c:v>0.24139046112935358</c:v>
                </c:pt>
                <c:pt idx="81">
                  <c:v>-0.8524891457731103</c:v>
                </c:pt>
                <c:pt idx="82">
                  <c:v>-0.8524891457731103</c:v>
                </c:pt>
                <c:pt idx="83">
                  <c:v>-0.8524891457731103</c:v>
                </c:pt>
                <c:pt idx="84">
                  <c:v>-0.7040503682184962</c:v>
                </c:pt>
                <c:pt idx="85">
                  <c:v>0.37841087117976663</c:v>
                </c:pt>
                <c:pt idx="86">
                  <c:v>1.6161619086351642</c:v>
                </c:pt>
                <c:pt idx="87">
                  <c:v>-0.47910852838573476</c:v>
                </c:pt>
                <c:pt idx="88">
                  <c:v>1.2028170049830849</c:v>
                </c:pt>
                <c:pt idx="89">
                  <c:v>0.76663536632260365</c:v>
                </c:pt>
                <c:pt idx="90">
                  <c:v>0.30875882940414007</c:v>
                </c:pt>
                <c:pt idx="92">
                  <c:v>-0.53049118215463964</c:v>
                </c:pt>
                <c:pt idx="93">
                  <c:v>-0.62412179568908854</c:v>
                </c:pt>
                <c:pt idx="94">
                  <c:v>-0.8524891457731103</c:v>
                </c:pt>
                <c:pt idx="95">
                  <c:v>-0.8524891457731103</c:v>
                </c:pt>
                <c:pt idx="98">
                  <c:v>0.86940067386041342</c:v>
                </c:pt>
                <c:pt idx="99">
                  <c:v>0.66272822203437354</c:v>
                </c:pt>
                <c:pt idx="100">
                  <c:v>-8.2891175989957114E-2</c:v>
                </c:pt>
                <c:pt idx="101">
                  <c:v>-0.50194526339413692</c:v>
                </c:pt>
                <c:pt idx="102">
                  <c:v>0.65359352803101289</c:v>
                </c:pt>
                <c:pt idx="103">
                  <c:v>1.771451706692299</c:v>
                </c:pt>
                <c:pt idx="104">
                  <c:v>-0.8524891457731103</c:v>
                </c:pt>
                <c:pt idx="105">
                  <c:v>-0.8524891457731103</c:v>
                </c:pt>
                <c:pt idx="106">
                  <c:v>-0.8524891457731103</c:v>
                </c:pt>
                <c:pt idx="107">
                  <c:v>-0.8524891457731103</c:v>
                </c:pt>
                <c:pt idx="108">
                  <c:v>-0.8524891457731103</c:v>
                </c:pt>
                <c:pt idx="109">
                  <c:v>3.8541619394585767</c:v>
                </c:pt>
                <c:pt idx="110">
                  <c:v>1.7908629314494409</c:v>
                </c:pt>
                <c:pt idx="111">
                  <c:v>1.3729506807956813</c:v>
                </c:pt>
                <c:pt idx="112">
                  <c:v>0.40809862669068953</c:v>
                </c:pt>
                <c:pt idx="113">
                  <c:v>0.5885088332570666</c:v>
                </c:pt>
                <c:pt idx="114">
                  <c:v>1.9874131547852648E-2</c:v>
                </c:pt>
                <c:pt idx="115">
                  <c:v>0.92306700113015838</c:v>
                </c:pt>
                <c:pt idx="120">
                  <c:v>0.35785780967220471</c:v>
                </c:pt>
                <c:pt idx="121">
                  <c:v>0.66158638528395342</c:v>
                </c:pt>
                <c:pt idx="122">
                  <c:v>0.53484250598732153</c:v>
                </c:pt>
                <c:pt idx="123">
                  <c:v>0.89223740886881553</c:v>
                </c:pt>
                <c:pt idx="124">
                  <c:v>-0.49851975314287666</c:v>
                </c:pt>
                <c:pt idx="125">
                  <c:v>0.18772413385960846</c:v>
                </c:pt>
                <c:pt idx="126">
                  <c:v>2.1174282420695922</c:v>
                </c:pt>
                <c:pt idx="127">
                  <c:v>-3.4934032472312686E-2</c:v>
                </c:pt>
                <c:pt idx="128">
                  <c:v>-0.41630750711262882</c:v>
                </c:pt>
                <c:pt idx="129">
                  <c:v>-0.8524891457731103</c:v>
                </c:pt>
                <c:pt idx="130">
                  <c:v>-0.8524891457731103</c:v>
                </c:pt>
                <c:pt idx="131">
                  <c:v>-0.8524891457731103</c:v>
                </c:pt>
                <c:pt idx="132">
                  <c:v>-0.8524891457731103</c:v>
                </c:pt>
                <c:pt idx="133">
                  <c:v>-0.25873403555465391</c:v>
                </c:pt>
                <c:pt idx="134">
                  <c:v>0.36356699342430521</c:v>
                </c:pt>
                <c:pt idx="135">
                  <c:v>-0.26444321930675441</c:v>
                </c:pt>
                <c:pt idx="136">
                  <c:v>-0.102302400747099</c:v>
                </c:pt>
                <c:pt idx="137">
                  <c:v>1.1856894537267832</c:v>
                </c:pt>
                <c:pt idx="138">
                  <c:v>0.20827719536717054</c:v>
                </c:pt>
                <c:pt idx="139">
                  <c:v>0.22654658337389222</c:v>
                </c:pt>
                <c:pt idx="140">
                  <c:v>-0.60128506068068643</c:v>
                </c:pt>
                <c:pt idx="141">
                  <c:v>-0.8524891457731103</c:v>
                </c:pt>
                <c:pt idx="142">
                  <c:v>-0.8524891457731103</c:v>
                </c:pt>
                <c:pt idx="143">
                  <c:v>-0.8524891457731103</c:v>
                </c:pt>
                <c:pt idx="144">
                  <c:v>-0.30440750557145824</c:v>
                </c:pt>
                <c:pt idx="145">
                  <c:v>0.66158638528395342</c:v>
                </c:pt>
                <c:pt idx="146">
                  <c:v>1.6161619086351642</c:v>
                </c:pt>
                <c:pt idx="147">
                  <c:v>-5.5487093979874606E-2</c:v>
                </c:pt>
                <c:pt idx="148">
                  <c:v>-0.15825240151768438</c:v>
                </c:pt>
                <c:pt idx="149">
                  <c:v>2.6725152050373232E-2</c:v>
                </c:pt>
                <c:pt idx="150">
                  <c:v>-0.41973301736388918</c:v>
                </c:pt>
                <c:pt idx="151">
                  <c:v>-0.49623607964203642</c:v>
                </c:pt>
                <c:pt idx="152">
                  <c:v>-0.78169526724706351</c:v>
                </c:pt>
                <c:pt idx="153">
                  <c:v>-0.8524891457731103</c:v>
                </c:pt>
                <c:pt idx="154">
                  <c:v>-0.8524891457731103</c:v>
                </c:pt>
                <c:pt idx="155">
                  <c:v>-0.82280139026218757</c:v>
                </c:pt>
                <c:pt idx="156">
                  <c:v>-0.62640546918992879</c:v>
                </c:pt>
                <c:pt idx="157">
                  <c:v>-0.45284628312607234</c:v>
                </c:pt>
                <c:pt idx="158">
                  <c:v>0.33730474816464279</c:v>
                </c:pt>
                <c:pt idx="159">
                  <c:v>0.2779292371427971</c:v>
                </c:pt>
                <c:pt idx="160">
                  <c:v>-9.8876890495838698E-2</c:v>
                </c:pt>
                <c:pt idx="161">
                  <c:v>1.9118976269939723</c:v>
                </c:pt>
                <c:pt idx="162">
                  <c:v>0.94476189938814048</c:v>
                </c:pt>
                <c:pt idx="163">
                  <c:v>-0.19479117753112779</c:v>
                </c:pt>
                <c:pt idx="164">
                  <c:v>-0.78740445099916412</c:v>
                </c:pt>
                <c:pt idx="165">
                  <c:v>-0.8524891457731103</c:v>
                </c:pt>
                <c:pt idx="166">
                  <c:v>-0.8524891457731103</c:v>
                </c:pt>
                <c:pt idx="167">
                  <c:v>-0.84107077826890919</c:v>
                </c:pt>
                <c:pt idx="168">
                  <c:v>1.3364119047822376</c:v>
                </c:pt>
                <c:pt idx="169">
                  <c:v>1.3660996602931605</c:v>
                </c:pt>
                <c:pt idx="170">
                  <c:v>2.5673119217351146</c:v>
                </c:pt>
                <c:pt idx="171">
                  <c:v>0.93105985838309901</c:v>
                </c:pt>
                <c:pt idx="172">
                  <c:v>2.1973568145989995</c:v>
                </c:pt>
                <c:pt idx="173">
                  <c:v>0.1249231125865025</c:v>
                </c:pt>
                <c:pt idx="174">
                  <c:v>0.26765270638901606</c:v>
                </c:pt>
                <c:pt idx="175">
                  <c:v>0.97559149164948333</c:v>
                </c:pt>
                <c:pt idx="176">
                  <c:v>-0.51450546764875815</c:v>
                </c:pt>
                <c:pt idx="177">
                  <c:v>-0.8365034312672287</c:v>
                </c:pt>
                <c:pt idx="178">
                  <c:v>-0.83307792101596845</c:v>
                </c:pt>
                <c:pt idx="179">
                  <c:v>-0.8524891457731103</c:v>
                </c:pt>
                <c:pt idx="182">
                  <c:v>0.66957924253689438</c:v>
                </c:pt>
                <c:pt idx="183">
                  <c:v>1.3809435380486217</c:v>
                </c:pt>
                <c:pt idx="184">
                  <c:v>1.9427272192553153</c:v>
                </c:pt>
                <c:pt idx="185">
                  <c:v>0.10665372457978083</c:v>
                </c:pt>
                <c:pt idx="186">
                  <c:v>-0.15711056476726423</c:v>
                </c:pt>
                <c:pt idx="187">
                  <c:v>0.51200577097891931</c:v>
                </c:pt>
                <c:pt idx="188">
                  <c:v>-0.56702995816808321</c:v>
                </c:pt>
                <c:pt idx="189">
                  <c:v>-0.84335445176974944</c:v>
                </c:pt>
                <c:pt idx="190">
                  <c:v>-0.8524891457731103</c:v>
                </c:pt>
                <c:pt idx="191">
                  <c:v>-0.8524891457731103</c:v>
                </c:pt>
                <c:pt idx="192">
                  <c:v>-0.8524891457731103</c:v>
                </c:pt>
                <c:pt idx="193">
                  <c:v>3.2204425429754164</c:v>
                </c:pt>
                <c:pt idx="194">
                  <c:v>1.0612292479309915</c:v>
                </c:pt>
                <c:pt idx="195">
                  <c:v>0.5885088332570666</c:v>
                </c:pt>
                <c:pt idx="196">
                  <c:v>-0.25188301505213323</c:v>
                </c:pt>
                <c:pt idx="197">
                  <c:v>-0.62526363243950867</c:v>
                </c:pt>
                <c:pt idx="198">
                  <c:v>1.4540210900755088</c:v>
                </c:pt>
                <c:pt idx="199">
                  <c:v>-0.60471057093194669</c:v>
                </c:pt>
                <c:pt idx="200">
                  <c:v>-0.69605751096555535</c:v>
                </c:pt>
                <c:pt idx="201">
                  <c:v>-0.8524891457731103</c:v>
                </c:pt>
                <c:pt idx="202">
                  <c:v>-0.74629832798404028</c:v>
                </c:pt>
                <c:pt idx="203">
                  <c:v>-0.8524891457731103</c:v>
                </c:pt>
                <c:pt idx="204">
                  <c:v>-0.8524891457731103</c:v>
                </c:pt>
                <c:pt idx="205">
                  <c:v>0.50858026072765905</c:v>
                </c:pt>
                <c:pt idx="206">
                  <c:v>1.1034772076965356</c:v>
                </c:pt>
                <c:pt idx="207">
                  <c:v>0.39097107543438792</c:v>
                </c:pt>
                <c:pt idx="208">
                  <c:v>0.44463740270413288</c:v>
                </c:pt>
                <c:pt idx="209">
                  <c:v>0.46747413771253504</c:v>
                </c:pt>
                <c:pt idx="210">
                  <c:v>4.7278213557935156E-2</c:v>
                </c:pt>
                <c:pt idx="211">
                  <c:v>1.2656180262561909</c:v>
                </c:pt>
                <c:pt idx="212">
                  <c:v>-0.7805534304966435</c:v>
                </c:pt>
                <c:pt idx="213">
                  <c:v>-0.79768098175294511</c:v>
                </c:pt>
                <c:pt idx="214">
                  <c:v>-0.8524891457731103</c:v>
                </c:pt>
                <c:pt idx="215">
                  <c:v>-0.8524891457731103</c:v>
                </c:pt>
                <c:pt idx="216">
                  <c:v>-0.8365034312672287</c:v>
                </c:pt>
                <c:pt idx="217">
                  <c:v>6.2122091313396528E-2</c:v>
                </c:pt>
                <c:pt idx="218">
                  <c:v>2.1219955890712723</c:v>
                </c:pt>
                <c:pt idx="219">
                  <c:v>-0.34665546533700226</c:v>
                </c:pt>
                <c:pt idx="220">
                  <c:v>2.0078119140292614</c:v>
                </c:pt>
                <c:pt idx="221">
                  <c:v>3.520745608335905</c:v>
                </c:pt>
                <c:pt idx="222">
                  <c:v>-2.9626034605495215E-3</c:v>
                </c:pt>
                <c:pt idx="223">
                  <c:v>0.561104751246984</c:v>
                </c:pt>
                <c:pt idx="224">
                  <c:v>-0.20050036128322835</c:v>
                </c:pt>
                <c:pt idx="225">
                  <c:v>-0.8524891457731103</c:v>
                </c:pt>
                <c:pt idx="226">
                  <c:v>-0.8524891457731103</c:v>
                </c:pt>
                <c:pt idx="227">
                  <c:v>-0.8524891457731103</c:v>
                </c:pt>
                <c:pt idx="228">
                  <c:v>-0.82622690051344783</c:v>
                </c:pt>
                <c:pt idx="229">
                  <c:v>1.7212108896738143</c:v>
                </c:pt>
                <c:pt idx="230">
                  <c:v>1.6036017043805431</c:v>
                </c:pt>
                <c:pt idx="231">
                  <c:v>0.81116699958898764</c:v>
                </c:pt>
                <c:pt idx="232">
                  <c:v>-0.29413097481767725</c:v>
                </c:pt>
                <c:pt idx="233">
                  <c:v>-0.23247179029499143</c:v>
                </c:pt>
                <c:pt idx="234">
                  <c:v>-0.76114220573950164</c:v>
                </c:pt>
                <c:pt idx="235">
                  <c:v>0.31560984990666063</c:v>
                </c:pt>
                <c:pt idx="236">
                  <c:v>-0.75200751173614078</c:v>
                </c:pt>
                <c:pt idx="237">
                  <c:v>-0.81366669625882648</c:v>
                </c:pt>
                <c:pt idx="238">
                  <c:v>-0.8524891457731103</c:v>
                </c:pt>
                <c:pt idx="239">
                  <c:v>-0.8524891457731103</c:v>
                </c:pt>
                <c:pt idx="240">
                  <c:v>-0.70062485796723584</c:v>
                </c:pt>
                <c:pt idx="241">
                  <c:v>0.82030169359234861</c:v>
                </c:pt>
                <c:pt idx="242">
                  <c:v>-8.6717872126500645E-3</c:v>
                </c:pt>
                <c:pt idx="243">
                  <c:v>1.3067241492713146</c:v>
                </c:pt>
                <c:pt idx="244">
                  <c:v>-0.55104424366220162</c:v>
                </c:pt>
                <c:pt idx="245">
                  <c:v>-0.42886771136725005</c:v>
                </c:pt>
                <c:pt idx="246">
                  <c:v>-6.2338114482395193E-2</c:v>
                </c:pt>
                <c:pt idx="247">
                  <c:v>1.079498635937713</c:v>
                </c:pt>
                <c:pt idx="248">
                  <c:v>-0.75200751173614078</c:v>
                </c:pt>
                <c:pt idx="249">
                  <c:v>-0.8524891457731103</c:v>
                </c:pt>
                <c:pt idx="250">
                  <c:v>-0.8524891457731103</c:v>
                </c:pt>
                <c:pt idx="251">
                  <c:v>-0.65495138795043151</c:v>
                </c:pt>
                <c:pt idx="252">
                  <c:v>-0.78854628774958424</c:v>
                </c:pt>
                <c:pt idx="253">
                  <c:v>-0.53163301890505976</c:v>
                </c:pt>
                <c:pt idx="254">
                  <c:v>-0.73944730748151943</c:v>
                </c:pt>
                <c:pt idx="255">
                  <c:v>-0.73716363398067941</c:v>
                </c:pt>
                <c:pt idx="256">
                  <c:v>-0.70633404171933645</c:v>
                </c:pt>
                <c:pt idx="257">
                  <c:v>-0.72688710322689831</c:v>
                </c:pt>
                <c:pt idx="258">
                  <c:v>0.32702821741086174</c:v>
                </c:pt>
                <c:pt idx="259">
                  <c:v>-0.14569219726306315</c:v>
                </c:pt>
                <c:pt idx="260">
                  <c:v>-0.82051771676134733</c:v>
                </c:pt>
                <c:pt idx="261">
                  <c:v>-0.8524891457731103</c:v>
                </c:pt>
                <c:pt idx="262">
                  <c:v>-0.8524891457731103</c:v>
                </c:pt>
                <c:pt idx="265">
                  <c:v>0.48460168896883665</c:v>
                </c:pt>
                <c:pt idx="266">
                  <c:v>-0.35122281233868269</c:v>
                </c:pt>
                <c:pt idx="267">
                  <c:v>1.0109884309125066</c:v>
                </c:pt>
                <c:pt idx="268">
                  <c:v>-0.6378238366941299</c:v>
                </c:pt>
                <c:pt idx="269">
                  <c:v>-0.6652279187042125</c:v>
                </c:pt>
                <c:pt idx="317">
                  <c:v>-0.37291771059666473</c:v>
                </c:pt>
                <c:pt idx="318">
                  <c:v>7.3540458817597618E-2</c:v>
                </c:pt>
                <c:pt idx="319">
                  <c:v>1.074931288936033</c:v>
                </c:pt>
                <c:pt idx="320">
                  <c:v>-0.37976873109918541</c:v>
                </c:pt>
                <c:pt idx="321">
                  <c:v>-0.8524891457731103</c:v>
                </c:pt>
                <c:pt idx="322">
                  <c:v>-0.8524891457731103</c:v>
                </c:pt>
                <c:pt idx="323">
                  <c:v>-0.82051771676134733</c:v>
                </c:pt>
                <c:pt idx="324">
                  <c:v>-0.29527281156809737</c:v>
                </c:pt>
                <c:pt idx="325">
                  <c:v>-0.58529934617480495</c:v>
                </c:pt>
                <c:pt idx="326">
                  <c:v>0.90936496012511725</c:v>
                </c:pt>
                <c:pt idx="327">
                  <c:v>-0.64810036744791089</c:v>
                </c:pt>
                <c:pt idx="328">
                  <c:v>-0.32952791408070065</c:v>
                </c:pt>
                <c:pt idx="329">
                  <c:v>-0.48710138563867555</c:v>
                </c:pt>
                <c:pt idx="330">
                  <c:v>-0.17652178952440603</c:v>
                </c:pt>
                <c:pt idx="331">
                  <c:v>-0.58986669317648532</c:v>
                </c:pt>
                <c:pt idx="332">
                  <c:v>-0.77141873649328263</c:v>
                </c:pt>
                <c:pt idx="333">
                  <c:v>-0.8524891457731103</c:v>
                </c:pt>
                <c:pt idx="334">
                  <c:v>-0.8524891457731103</c:v>
                </c:pt>
                <c:pt idx="335">
                  <c:v>-0.8524891457731103</c:v>
                </c:pt>
                <c:pt idx="336">
                  <c:v>1.1011935341956953</c:v>
                </c:pt>
                <c:pt idx="337">
                  <c:v>-0.66408608195379237</c:v>
                </c:pt>
                <c:pt idx="338">
                  <c:v>1.0406761864234297</c:v>
                </c:pt>
                <c:pt idx="339">
                  <c:v>0.44920474970581337</c:v>
                </c:pt>
                <c:pt idx="340">
                  <c:v>1.0498108804267903</c:v>
                </c:pt>
                <c:pt idx="341">
                  <c:v>0.6867067937931961</c:v>
                </c:pt>
                <c:pt idx="342">
                  <c:v>-0.16167791176894467</c:v>
                </c:pt>
                <c:pt idx="343">
                  <c:v>-0.3683503635949843</c:v>
                </c:pt>
                <c:pt idx="344">
                  <c:v>-0.8524891457731103</c:v>
                </c:pt>
                <c:pt idx="345">
                  <c:v>-0.8524891457731103</c:v>
                </c:pt>
                <c:pt idx="346">
                  <c:v>-0.8524891457731103</c:v>
                </c:pt>
                <c:pt idx="347">
                  <c:v>-0.8524891457731103</c:v>
                </c:pt>
                <c:pt idx="348">
                  <c:v>-0.8524891457731103</c:v>
                </c:pt>
                <c:pt idx="349">
                  <c:v>9.4093520325159691E-2</c:v>
                </c:pt>
                <c:pt idx="350">
                  <c:v>0.84884761235285133</c:v>
                </c:pt>
                <c:pt idx="351">
                  <c:v>0.52342413848312042</c:v>
                </c:pt>
                <c:pt idx="352">
                  <c:v>0.30419148240245958</c:v>
                </c:pt>
                <c:pt idx="353">
                  <c:v>0.7597843458200827</c:v>
                </c:pt>
                <c:pt idx="354">
                  <c:v>0.13291596983944329</c:v>
                </c:pt>
                <c:pt idx="355">
                  <c:v>0.11236290833188137</c:v>
                </c:pt>
                <c:pt idx="356">
                  <c:v>-0.77941159374622326</c:v>
                </c:pt>
                <c:pt idx="357">
                  <c:v>-0.8524891457731103</c:v>
                </c:pt>
                <c:pt idx="358">
                  <c:v>-0.8524891457731103</c:v>
                </c:pt>
                <c:pt idx="359">
                  <c:v>-0.8524891457731103</c:v>
                </c:pt>
                <c:pt idx="360">
                  <c:v>-0.80567383900588585</c:v>
                </c:pt>
                <c:pt idx="361">
                  <c:v>-0.57273914192018371</c:v>
                </c:pt>
                <c:pt idx="362">
                  <c:v>-0.83421975776638857</c:v>
                </c:pt>
                <c:pt idx="363">
                  <c:v>0.76092618257050315</c:v>
                </c:pt>
                <c:pt idx="364">
                  <c:v>-0.56702995816808321</c:v>
                </c:pt>
                <c:pt idx="365">
                  <c:v>-0.37177587384624461</c:v>
                </c:pt>
                <c:pt idx="366">
                  <c:v>-0.23018811679415116</c:v>
                </c:pt>
                <c:pt idx="367">
                  <c:v>-0.58644118292522507</c:v>
                </c:pt>
                <c:pt idx="368">
                  <c:v>-0.65495138795043151</c:v>
                </c:pt>
                <c:pt idx="369">
                  <c:v>-0.8524891457731103</c:v>
                </c:pt>
                <c:pt idx="370">
                  <c:v>-0.8524891457731103</c:v>
                </c:pt>
                <c:pt idx="371">
                  <c:v>-0.8524891457731103</c:v>
                </c:pt>
                <c:pt idx="380">
                  <c:v>-0.56360444791682285</c:v>
                </c:pt>
                <c:pt idx="381">
                  <c:v>-0.8524891457731103</c:v>
                </c:pt>
                <c:pt idx="382">
                  <c:v>-0.8524891457731103</c:v>
                </c:pt>
                <c:pt idx="383">
                  <c:v>0.15917821509910576</c:v>
                </c:pt>
                <c:pt idx="384">
                  <c:v>-1.6664644465590857E-2</c:v>
                </c:pt>
                <c:pt idx="385">
                  <c:v>-0.36378301659330387</c:v>
                </c:pt>
                <c:pt idx="386">
                  <c:v>2.8230833538292184</c:v>
                </c:pt>
                <c:pt idx="387">
                  <c:v>1.0840659829393935</c:v>
                </c:pt>
                <c:pt idx="388">
                  <c:v>0.82601087734444911</c:v>
                </c:pt>
                <c:pt idx="389">
                  <c:v>0.85227312260411181</c:v>
                </c:pt>
                <c:pt idx="390">
                  <c:v>0.35671597292178464</c:v>
                </c:pt>
                <c:pt idx="391">
                  <c:v>0.25851801238565519</c:v>
                </c:pt>
                <c:pt idx="392">
                  <c:v>-0.32267689357817997</c:v>
                </c:pt>
                <c:pt idx="393">
                  <c:v>-0.77256057324370264</c:v>
                </c:pt>
                <c:pt idx="394">
                  <c:v>-0.8524891457731103</c:v>
                </c:pt>
                <c:pt idx="395">
                  <c:v>-0.6378238366941299</c:v>
                </c:pt>
                <c:pt idx="433">
                  <c:v>0.2916312781478384</c:v>
                </c:pt>
                <c:pt idx="435">
                  <c:v>-0.42430036436556962</c:v>
                </c:pt>
                <c:pt idx="436">
                  <c:v>0.24824148163187434</c:v>
                </c:pt>
                <c:pt idx="437">
                  <c:v>-0.60699424443278693</c:v>
                </c:pt>
                <c:pt idx="438">
                  <c:v>-2.4657501718531646E-2</c:v>
                </c:pt>
                <c:pt idx="439">
                  <c:v>-1.5522807715170811E-2</c:v>
                </c:pt>
                <c:pt idx="440">
                  <c:v>-0.7040503682184962</c:v>
                </c:pt>
                <c:pt idx="441">
                  <c:v>-0.66979526570589287</c:v>
                </c:pt>
                <c:pt idx="442">
                  <c:v>-0.8524891457731103</c:v>
                </c:pt>
                <c:pt idx="443">
                  <c:v>-0.8524891457731103</c:v>
                </c:pt>
                <c:pt idx="444">
                  <c:v>-0.8524891457731103</c:v>
                </c:pt>
                <c:pt idx="445">
                  <c:v>-0.41630750711262882</c:v>
                </c:pt>
                <c:pt idx="446">
                  <c:v>1.5202476215998753</c:v>
                </c:pt>
                <c:pt idx="447">
                  <c:v>1.0258323086679682</c:v>
                </c:pt>
                <c:pt idx="448">
                  <c:v>-8.4033012740377319E-2</c:v>
                </c:pt>
                <c:pt idx="449">
                  <c:v>-0.81480853300924672</c:v>
                </c:pt>
                <c:pt idx="450">
                  <c:v>-8.974219649247786E-2</c:v>
                </c:pt>
                <c:pt idx="451">
                  <c:v>-0.16967076902188546</c:v>
                </c:pt>
                <c:pt idx="452">
                  <c:v>-0.67093710245631299</c:v>
                </c:pt>
                <c:pt idx="453">
                  <c:v>-0.8524891457731103</c:v>
                </c:pt>
                <c:pt idx="454">
                  <c:v>-0.8524891457731103</c:v>
                </c:pt>
                <c:pt idx="455">
                  <c:v>-0.8524891457731103</c:v>
                </c:pt>
                <c:pt idx="456">
                  <c:v>-0.34322995508574189</c:v>
                </c:pt>
                <c:pt idx="457">
                  <c:v>1.1982496579814044</c:v>
                </c:pt>
                <c:pt idx="458">
                  <c:v>2.350362939155294</c:v>
                </c:pt>
                <c:pt idx="459">
                  <c:v>0.79518128508310637</c:v>
                </c:pt>
                <c:pt idx="460">
                  <c:v>0.9950027164066253</c:v>
                </c:pt>
                <c:pt idx="462">
                  <c:v>-0.49166873264035599</c:v>
                </c:pt>
                <c:pt idx="465">
                  <c:v>-0.84677996202100969</c:v>
                </c:pt>
                <c:pt idx="466">
                  <c:v>-0.8524891457731103</c:v>
                </c:pt>
                <c:pt idx="469">
                  <c:v>-0.37634322084792504</c:v>
                </c:pt>
                <c:pt idx="470">
                  <c:v>3.0857058064258434</c:v>
                </c:pt>
                <c:pt idx="471">
                  <c:v>9.2951683574739485E-2</c:v>
                </c:pt>
                <c:pt idx="472">
                  <c:v>-0.40717281310926801</c:v>
                </c:pt>
                <c:pt idx="473">
                  <c:v>8.2675152820958608E-2</c:v>
                </c:pt>
                <c:pt idx="474">
                  <c:v>-0.49166873264035599</c:v>
                </c:pt>
                <c:pt idx="487">
                  <c:v>0.2779292371427971</c:v>
                </c:pt>
                <c:pt idx="488">
                  <c:v>-0.27700342356137564</c:v>
                </c:pt>
                <c:pt idx="489">
                  <c:v>-0.84563812527058968</c:v>
                </c:pt>
                <c:pt idx="490">
                  <c:v>-0.84792179877142981</c:v>
                </c:pt>
                <c:pt idx="491">
                  <c:v>-0.84906363552184994</c:v>
                </c:pt>
                <c:pt idx="492">
                  <c:v>-0.84906363552184994</c:v>
                </c:pt>
                <c:pt idx="493">
                  <c:v>7.4682295568017823E-2</c:v>
                </c:pt>
                <c:pt idx="494">
                  <c:v>0.98586802240326432</c:v>
                </c:pt>
                <c:pt idx="495">
                  <c:v>0.92420883788057839</c:v>
                </c:pt>
                <c:pt idx="496">
                  <c:v>-0.56246261116640273</c:v>
                </c:pt>
                <c:pt idx="497">
                  <c:v>-0.72460342972605807</c:v>
                </c:pt>
                <c:pt idx="498">
                  <c:v>-6.3479951232815399E-2</c:v>
                </c:pt>
                <c:pt idx="499">
                  <c:v>0.79974863208478653</c:v>
                </c:pt>
                <c:pt idx="500">
                  <c:v>-0.18565648352776695</c:v>
                </c:pt>
                <c:pt idx="501">
                  <c:v>-0.77141873649328263</c:v>
                </c:pt>
                <c:pt idx="502">
                  <c:v>-0.8524891457731103</c:v>
                </c:pt>
                <c:pt idx="503">
                  <c:v>-0.8524891457731103</c:v>
                </c:pt>
                <c:pt idx="510">
                  <c:v>4.3852703306674859E-2</c:v>
                </c:pt>
                <c:pt idx="513">
                  <c:v>-0.8524891457731103</c:v>
                </c:pt>
                <c:pt idx="515">
                  <c:v>-0.83764526801764894</c:v>
                </c:pt>
                <c:pt idx="516">
                  <c:v>1.0543782274284708</c:v>
                </c:pt>
                <c:pt idx="517">
                  <c:v>-8.0607502489117022E-2</c:v>
                </c:pt>
                <c:pt idx="518">
                  <c:v>2.7511476385527525</c:v>
                </c:pt>
                <c:pt idx="519">
                  <c:v>1.8902027287359902</c:v>
                </c:pt>
                <c:pt idx="520">
                  <c:v>0.59878536401084748</c:v>
                </c:pt>
                <c:pt idx="521">
                  <c:v>0.59992720076126771</c:v>
                </c:pt>
                <c:pt idx="522">
                  <c:v>0.82258536709318875</c:v>
                </c:pt>
                <c:pt idx="523">
                  <c:v>0.13519964334028353</c:v>
                </c:pt>
                <c:pt idx="524">
                  <c:v>-0.7314544502285788</c:v>
                </c:pt>
                <c:pt idx="525">
                  <c:v>-0.79082996125042437</c:v>
                </c:pt>
                <c:pt idx="526">
                  <c:v>-0.8524891457731103</c:v>
                </c:pt>
                <c:pt idx="527">
                  <c:v>-0.76342587924034189</c:v>
                </c:pt>
                <c:pt idx="529">
                  <c:v>2.3446537554031934</c:v>
                </c:pt>
                <c:pt idx="532">
                  <c:v>0.12834862283776294</c:v>
                </c:pt>
                <c:pt idx="533">
                  <c:v>0.42865168819825145</c:v>
                </c:pt>
                <c:pt idx="534">
                  <c:v>0.52570781198396066</c:v>
                </c:pt>
                <c:pt idx="535">
                  <c:v>-0.34208811833532177</c:v>
                </c:pt>
                <c:pt idx="536">
                  <c:v>-0.20050036128322835</c:v>
                </c:pt>
                <c:pt idx="538">
                  <c:v>-0.8524891457731103</c:v>
                </c:pt>
                <c:pt idx="539">
                  <c:v>-0.8524891457731103</c:v>
                </c:pt>
                <c:pt idx="540">
                  <c:v>-0.72003608272437769</c:v>
                </c:pt>
                <c:pt idx="541">
                  <c:v>-0.27357791331011527</c:v>
                </c:pt>
                <c:pt idx="542">
                  <c:v>1.2610506792545104</c:v>
                </c:pt>
                <c:pt idx="543">
                  <c:v>0.38412005493186713</c:v>
                </c:pt>
                <c:pt idx="544">
                  <c:v>0.676430263039415</c:v>
                </c:pt>
                <c:pt idx="545">
                  <c:v>-0.79082996125042437</c:v>
                </c:pt>
                <c:pt idx="546">
                  <c:v>-5.7770767480714857E-2</c:v>
                </c:pt>
                <c:pt idx="547">
                  <c:v>-0.2998401585697778</c:v>
                </c:pt>
                <c:pt idx="548">
                  <c:v>-0.8524891457731103</c:v>
                </c:pt>
                <c:pt idx="550">
                  <c:v>-0.8524891457731103</c:v>
                </c:pt>
                <c:pt idx="551">
                  <c:v>-0.8524891457731103</c:v>
                </c:pt>
                <c:pt idx="552">
                  <c:v>-0.78397894074790375</c:v>
                </c:pt>
                <c:pt idx="553">
                  <c:v>-0.28271260731347619</c:v>
                </c:pt>
                <c:pt idx="554">
                  <c:v>1.5682047651175197</c:v>
                </c:pt>
                <c:pt idx="555">
                  <c:v>1.4882761925881121</c:v>
                </c:pt>
                <c:pt idx="556">
                  <c:v>1.2256537399914871</c:v>
                </c:pt>
                <c:pt idx="562">
                  <c:v>-0.8524891457731103</c:v>
                </c:pt>
                <c:pt idx="563">
                  <c:v>-0.8524891457731103</c:v>
                </c:pt>
                <c:pt idx="564">
                  <c:v>-0.74515649123362004</c:v>
                </c:pt>
                <c:pt idx="565">
                  <c:v>0.12035576558482217</c:v>
                </c:pt>
                <c:pt idx="566">
                  <c:v>0.45719760695875417</c:v>
                </c:pt>
                <c:pt idx="567">
                  <c:v>0.52342413848312042</c:v>
                </c:pt>
                <c:pt idx="568">
                  <c:v>1.15143435121418</c:v>
                </c:pt>
                <c:pt idx="569">
                  <c:v>-7.2614645236176237E-2</c:v>
                </c:pt>
                <c:pt idx="570">
                  <c:v>9.1809846824319447E-2</c:v>
                </c:pt>
                <c:pt idx="571">
                  <c:v>-0.45627179337733259</c:v>
                </c:pt>
                <c:pt idx="572">
                  <c:v>-0.69719934771597547</c:v>
                </c:pt>
                <c:pt idx="573">
                  <c:v>-0.8524891457731103</c:v>
                </c:pt>
                <c:pt idx="574">
                  <c:v>-0.8524891457731103</c:v>
                </c:pt>
                <c:pt idx="575">
                  <c:v>-0.8524891457731103</c:v>
                </c:pt>
                <c:pt idx="576">
                  <c:v>-0.8524891457731103</c:v>
                </c:pt>
                <c:pt idx="577">
                  <c:v>1.7189272161729738</c:v>
                </c:pt>
                <c:pt idx="578">
                  <c:v>2.3971782459225186</c:v>
                </c:pt>
                <c:pt idx="579">
                  <c:v>0.44577923945455306</c:v>
                </c:pt>
                <c:pt idx="580">
                  <c:v>-4.521056322609357E-2</c:v>
                </c:pt>
                <c:pt idx="581">
                  <c:v>-0.79653914500252487</c:v>
                </c:pt>
                <c:pt idx="582">
                  <c:v>-0.21762791253952996</c:v>
                </c:pt>
                <c:pt idx="583">
                  <c:v>0.10665372457978083</c:v>
                </c:pt>
                <c:pt idx="584">
                  <c:v>-0.8524891457731103</c:v>
                </c:pt>
                <c:pt idx="585">
                  <c:v>-0.84906363552184994</c:v>
                </c:pt>
                <c:pt idx="586">
                  <c:v>-0.8524891457731103</c:v>
                </c:pt>
                <c:pt idx="587">
                  <c:v>-0.84906363552184994</c:v>
                </c:pt>
                <c:pt idx="588">
                  <c:v>-0.8524891457731103</c:v>
                </c:pt>
                <c:pt idx="589">
                  <c:v>-0.56588812141766309</c:v>
                </c:pt>
                <c:pt idx="590">
                  <c:v>2.1071517113158107</c:v>
                </c:pt>
                <c:pt idx="591">
                  <c:v>-0.26444321930675441</c:v>
                </c:pt>
                <c:pt idx="592">
                  <c:v>0.49602005647303776</c:v>
                </c:pt>
                <c:pt idx="593">
                  <c:v>1.6892394606620511</c:v>
                </c:pt>
                <c:pt idx="594">
                  <c:v>1.0520945539276307</c:v>
                </c:pt>
                <c:pt idx="595">
                  <c:v>0.36470883017472527</c:v>
                </c:pt>
                <c:pt idx="596">
                  <c:v>-0.35122281233868269</c:v>
                </c:pt>
                <c:pt idx="597">
                  <c:v>-0.8524891457731103</c:v>
                </c:pt>
                <c:pt idx="598">
                  <c:v>-0.8524891457731103</c:v>
                </c:pt>
                <c:pt idx="599">
                  <c:v>-0.8524891457731103</c:v>
                </c:pt>
                <c:pt idx="601">
                  <c:v>3.0868476431762639</c:v>
                </c:pt>
                <c:pt idx="602">
                  <c:v>-0.29298913806725713</c:v>
                </c:pt>
                <c:pt idx="603">
                  <c:v>0.94019455238645999</c:v>
                </c:pt>
                <c:pt idx="604">
                  <c:v>-0.63554016319328965</c:v>
                </c:pt>
                <c:pt idx="605">
                  <c:v>0.9516129198906611</c:v>
                </c:pt>
                <c:pt idx="606">
                  <c:v>-0.27586158681095552</c:v>
                </c:pt>
                <c:pt idx="607">
                  <c:v>-0.56360444791682285</c:v>
                </c:pt>
                <c:pt idx="608">
                  <c:v>-0.33866260808406146</c:v>
                </c:pt>
                <c:pt idx="609">
                  <c:v>-0.8524891457731103</c:v>
                </c:pt>
                <c:pt idx="610">
                  <c:v>-0.8524891457731103</c:v>
                </c:pt>
                <c:pt idx="611">
                  <c:v>-0.8524891457731103</c:v>
                </c:pt>
                <c:pt idx="625">
                  <c:v>0.38069454468060687</c:v>
                </c:pt>
                <c:pt idx="626">
                  <c:v>0.75179148856714206</c:v>
                </c:pt>
                <c:pt idx="627">
                  <c:v>0.96303128739486221</c:v>
                </c:pt>
                <c:pt idx="628">
                  <c:v>0.23682311412767326</c:v>
                </c:pt>
                <c:pt idx="629">
                  <c:v>-0.38890342510254622</c:v>
                </c:pt>
                <c:pt idx="630">
                  <c:v>-0.21077689203700931</c:v>
                </c:pt>
                <c:pt idx="631">
                  <c:v>-0.8524891457731103</c:v>
                </c:pt>
                <c:pt idx="633">
                  <c:v>-0.8524891457731103</c:v>
                </c:pt>
                <c:pt idx="634">
                  <c:v>-0.8524891457731103</c:v>
                </c:pt>
                <c:pt idx="635">
                  <c:v>-0.8524891457731103</c:v>
                </c:pt>
                <c:pt idx="636">
                  <c:v>-0.23589730054625171</c:v>
                </c:pt>
                <c:pt idx="637">
                  <c:v>1.3809435380486217</c:v>
                </c:pt>
                <c:pt idx="638">
                  <c:v>0.33958842166548303</c:v>
                </c:pt>
                <c:pt idx="639">
                  <c:v>0.63646597677471117</c:v>
                </c:pt>
                <c:pt idx="640">
                  <c:v>0.5337006692369014</c:v>
                </c:pt>
                <c:pt idx="641">
                  <c:v>0.44920474970581337</c:v>
                </c:pt>
                <c:pt idx="642">
                  <c:v>0.29277311489825847</c:v>
                </c:pt>
                <c:pt idx="643">
                  <c:v>0.27107821664027648</c:v>
                </c:pt>
                <c:pt idx="644">
                  <c:v>-0.20278403478406859</c:v>
                </c:pt>
                <c:pt idx="645">
                  <c:v>-0.8524891457731103</c:v>
                </c:pt>
                <c:pt idx="646">
                  <c:v>-0.8524891457731103</c:v>
                </c:pt>
                <c:pt idx="647">
                  <c:v>-0.84107077826890919</c:v>
                </c:pt>
                <c:pt idx="655">
                  <c:v>-0.19593301428154791</c:v>
                </c:pt>
                <c:pt idx="656">
                  <c:v>-0.33866260808406146</c:v>
                </c:pt>
                <c:pt idx="657">
                  <c:v>-0.8524891457731103</c:v>
                </c:pt>
                <c:pt idx="658">
                  <c:v>-0.8524891457731103</c:v>
                </c:pt>
                <c:pt idx="659">
                  <c:v>-0.8524891457731103</c:v>
                </c:pt>
                <c:pt idx="660">
                  <c:v>-0.8524891457731103</c:v>
                </c:pt>
                <c:pt idx="661">
                  <c:v>-0.68007179645967386</c:v>
                </c:pt>
                <c:pt idx="662">
                  <c:v>1.0418180231738496</c:v>
                </c:pt>
                <c:pt idx="663">
                  <c:v>0.20941903211759058</c:v>
                </c:pt>
                <c:pt idx="664">
                  <c:v>0.60335271101252796</c:v>
                </c:pt>
                <c:pt idx="665">
                  <c:v>0.21512821586969114</c:v>
                </c:pt>
                <c:pt idx="672">
                  <c:v>-0.8524891457731103</c:v>
                </c:pt>
                <c:pt idx="673">
                  <c:v>-0.47225750788321419</c:v>
                </c:pt>
                <c:pt idx="674">
                  <c:v>-0.30554934232187836</c:v>
                </c:pt>
                <c:pt idx="675">
                  <c:v>-0.65038404094875102</c:v>
                </c:pt>
                <c:pt idx="676">
                  <c:v>-0.3272442405798604</c:v>
                </c:pt>
                <c:pt idx="677">
                  <c:v>-0.30554934232187836</c:v>
                </c:pt>
                <c:pt idx="678">
                  <c:v>-0.66979526570589287</c:v>
                </c:pt>
                <c:pt idx="679">
                  <c:v>-0.659518734952112</c:v>
                </c:pt>
                <c:pt idx="680">
                  <c:v>-0.8422126150193292</c:v>
                </c:pt>
                <c:pt idx="681">
                  <c:v>-0.8524891457731103</c:v>
                </c:pt>
                <c:pt idx="682">
                  <c:v>-0.8524891457731103</c:v>
                </c:pt>
                <c:pt idx="683">
                  <c:v>-0.8524891457731103</c:v>
                </c:pt>
                <c:pt idx="684">
                  <c:v>-0.8524891457731103</c:v>
                </c:pt>
                <c:pt idx="685">
                  <c:v>-0.18108913652608655</c:v>
                </c:pt>
                <c:pt idx="686">
                  <c:v>-0.55218608041262174</c:v>
                </c:pt>
                <c:pt idx="687">
                  <c:v>0.17059658260330685</c:v>
                </c:pt>
                <c:pt idx="688">
                  <c:v>-0.53277485565547988</c:v>
                </c:pt>
                <c:pt idx="689">
                  <c:v>-0.16396158526978491</c:v>
                </c:pt>
                <c:pt idx="690">
                  <c:v>0.86483332685873293</c:v>
                </c:pt>
                <c:pt idx="691">
                  <c:v>-0.54990240691178149</c:v>
                </c:pt>
                <c:pt idx="692">
                  <c:v>-0.76342587924034189</c:v>
                </c:pt>
                <c:pt idx="693">
                  <c:v>-0.83764526801764894</c:v>
                </c:pt>
                <c:pt idx="694">
                  <c:v>-0.8524891457731103</c:v>
                </c:pt>
                <c:pt idx="695">
                  <c:v>-0.8524891457731103</c:v>
                </c:pt>
                <c:pt idx="696">
                  <c:v>-0.8524891457731103</c:v>
                </c:pt>
                <c:pt idx="697">
                  <c:v>-0.39461260885464677</c:v>
                </c:pt>
                <c:pt idx="698">
                  <c:v>2.2487394683679045</c:v>
                </c:pt>
                <c:pt idx="699">
                  <c:v>0.79175577483184589</c:v>
                </c:pt>
                <c:pt idx="700">
                  <c:v>-0.61955444868740817</c:v>
                </c:pt>
                <c:pt idx="701">
                  <c:v>-0.22676260654289088</c:v>
                </c:pt>
                <c:pt idx="702">
                  <c:v>-3.1508522221052236E-2</c:v>
                </c:pt>
                <c:pt idx="703">
                  <c:v>-0.46997383438237395</c:v>
                </c:pt>
                <c:pt idx="704">
                  <c:v>-0.8524891457731103</c:v>
                </c:pt>
                <c:pt idx="705">
                  <c:v>-0.84563812527058968</c:v>
                </c:pt>
                <c:pt idx="706">
                  <c:v>-0.8524891457731103</c:v>
                </c:pt>
                <c:pt idx="707">
                  <c:v>-0.8524891457731103</c:v>
                </c:pt>
                <c:pt idx="709">
                  <c:v>1.065796594932672</c:v>
                </c:pt>
                <c:pt idx="710">
                  <c:v>3.2741088702451613</c:v>
                </c:pt>
                <c:pt idx="711">
                  <c:v>8.838433657305915E-2</c:v>
                </c:pt>
                <c:pt idx="712">
                  <c:v>-0.14569219726306315</c:v>
                </c:pt>
                <c:pt idx="714">
                  <c:v>1.0886333299410742</c:v>
                </c:pt>
                <c:pt idx="715">
                  <c:v>2.1414068138284139</c:v>
                </c:pt>
                <c:pt idx="716">
                  <c:v>-0.83536159451680869</c:v>
                </c:pt>
                <c:pt idx="717">
                  <c:v>-0.8524891457731103</c:v>
                </c:pt>
                <c:pt idx="718">
                  <c:v>-0.8524891457731103</c:v>
                </c:pt>
                <c:pt idx="719">
                  <c:v>-0.8524891457731103</c:v>
                </c:pt>
                <c:pt idx="720">
                  <c:v>-0.84906363552184994</c:v>
                </c:pt>
                <c:pt idx="721">
                  <c:v>-0.15939423826810442</c:v>
                </c:pt>
                <c:pt idx="722">
                  <c:v>0.33958842166548303</c:v>
                </c:pt>
                <c:pt idx="723">
                  <c:v>-0.24845750480087292</c:v>
                </c:pt>
                <c:pt idx="724">
                  <c:v>-0.75771669548824128</c:v>
                </c:pt>
                <c:pt idx="783">
                  <c:v>-0.18794015702860711</c:v>
                </c:pt>
                <c:pt idx="784">
                  <c:v>-0.84449628852016945</c:v>
                </c:pt>
                <c:pt idx="785">
                  <c:v>-0.7040503682184962</c:v>
                </c:pt>
                <c:pt idx="786">
                  <c:v>-0.63668199994370978</c:v>
                </c:pt>
                <c:pt idx="787">
                  <c:v>-0.74629832798404028</c:v>
                </c:pt>
                <c:pt idx="789">
                  <c:v>-0.8524891457731103</c:v>
                </c:pt>
                <c:pt idx="790">
                  <c:v>-0.8524891457731103</c:v>
                </c:pt>
                <c:pt idx="794">
                  <c:v>0.19571699111254925</c:v>
                </c:pt>
                <c:pt idx="795">
                  <c:v>-0.38205240460002554</c:v>
                </c:pt>
                <c:pt idx="797">
                  <c:v>-0.50422893689497716</c:v>
                </c:pt>
                <c:pt idx="798">
                  <c:v>0.26536903288817598</c:v>
                </c:pt>
                <c:pt idx="799">
                  <c:v>-0.84906363552184994</c:v>
                </c:pt>
                <c:pt idx="800">
                  <c:v>-0.84107077826890919</c:v>
                </c:pt>
                <c:pt idx="801">
                  <c:v>-0.78968812450000436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CE-49FE-BC60-7F1F393E4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468352"/>
        <c:axId val="1501470528"/>
      </c:scatterChart>
      <c:valAx>
        <c:axId val="150146835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70528"/>
        <c:crosses val="autoZero"/>
        <c:crossBetween val="midCat"/>
      </c:valAx>
      <c:valAx>
        <c:axId val="1501470528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6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Precipitacion!$L$8:$L$76</c:f>
              <c:numCache>
                <c:formatCode>General</c:formatCode>
                <c:ptCount val="69"/>
                <c:pt idx="0">
                  <c:v>2013</c:v>
                </c:pt>
                <c:pt idx="1">
                  <c:v>2012</c:v>
                </c:pt>
                <c:pt idx="2">
                  <c:v>2011</c:v>
                </c:pt>
                <c:pt idx="3">
                  <c:v>2010</c:v>
                </c:pt>
                <c:pt idx="4">
                  <c:v>2009</c:v>
                </c:pt>
                <c:pt idx="5">
                  <c:v>2008</c:v>
                </c:pt>
                <c:pt idx="6">
                  <c:v>2007</c:v>
                </c:pt>
                <c:pt idx="7">
                  <c:v>2006</c:v>
                </c:pt>
                <c:pt idx="8">
                  <c:v>2005</c:v>
                </c:pt>
                <c:pt idx="9">
                  <c:v>2004</c:v>
                </c:pt>
                <c:pt idx="10">
                  <c:v>2003</c:v>
                </c:pt>
                <c:pt idx="11">
                  <c:v>2002</c:v>
                </c:pt>
                <c:pt idx="12">
                  <c:v>2001</c:v>
                </c:pt>
                <c:pt idx="13">
                  <c:v>2000</c:v>
                </c:pt>
                <c:pt idx="14">
                  <c:v>1999</c:v>
                </c:pt>
                <c:pt idx="15">
                  <c:v>1998</c:v>
                </c:pt>
                <c:pt idx="16">
                  <c:v>1997</c:v>
                </c:pt>
                <c:pt idx="17">
                  <c:v>1996</c:v>
                </c:pt>
                <c:pt idx="18">
                  <c:v>1995</c:v>
                </c:pt>
                <c:pt idx="19">
                  <c:v>1994</c:v>
                </c:pt>
                <c:pt idx="20">
                  <c:v>1993</c:v>
                </c:pt>
                <c:pt idx="21">
                  <c:v>1992</c:v>
                </c:pt>
                <c:pt idx="22">
                  <c:v>1991</c:v>
                </c:pt>
                <c:pt idx="23">
                  <c:v>1990</c:v>
                </c:pt>
                <c:pt idx="24">
                  <c:v>1989</c:v>
                </c:pt>
                <c:pt idx="25">
                  <c:v>1988</c:v>
                </c:pt>
                <c:pt idx="26">
                  <c:v>1987</c:v>
                </c:pt>
                <c:pt idx="27">
                  <c:v>1986</c:v>
                </c:pt>
                <c:pt idx="28">
                  <c:v>1985</c:v>
                </c:pt>
                <c:pt idx="29">
                  <c:v>1984</c:v>
                </c:pt>
                <c:pt idx="30">
                  <c:v>1983</c:v>
                </c:pt>
                <c:pt idx="31">
                  <c:v>1982</c:v>
                </c:pt>
                <c:pt idx="32">
                  <c:v>1981</c:v>
                </c:pt>
                <c:pt idx="33">
                  <c:v>1980</c:v>
                </c:pt>
                <c:pt idx="34">
                  <c:v>1979</c:v>
                </c:pt>
                <c:pt idx="35">
                  <c:v>1978</c:v>
                </c:pt>
                <c:pt idx="36">
                  <c:v>1977</c:v>
                </c:pt>
                <c:pt idx="37">
                  <c:v>1976</c:v>
                </c:pt>
                <c:pt idx="38">
                  <c:v>1975</c:v>
                </c:pt>
                <c:pt idx="39">
                  <c:v>1974</c:v>
                </c:pt>
                <c:pt idx="40">
                  <c:v>1973</c:v>
                </c:pt>
                <c:pt idx="41">
                  <c:v>1972</c:v>
                </c:pt>
                <c:pt idx="42">
                  <c:v>1971</c:v>
                </c:pt>
                <c:pt idx="43">
                  <c:v>1970</c:v>
                </c:pt>
                <c:pt idx="44">
                  <c:v>1969</c:v>
                </c:pt>
                <c:pt idx="45">
                  <c:v>1968</c:v>
                </c:pt>
                <c:pt idx="46">
                  <c:v>1967</c:v>
                </c:pt>
                <c:pt idx="47">
                  <c:v>1966</c:v>
                </c:pt>
                <c:pt idx="48">
                  <c:v>1965</c:v>
                </c:pt>
                <c:pt idx="49">
                  <c:v>1964</c:v>
                </c:pt>
                <c:pt idx="50">
                  <c:v>1963</c:v>
                </c:pt>
                <c:pt idx="51">
                  <c:v>1962</c:v>
                </c:pt>
                <c:pt idx="52">
                  <c:v>1961</c:v>
                </c:pt>
                <c:pt idx="53">
                  <c:v>1960</c:v>
                </c:pt>
                <c:pt idx="54">
                  <c:v>1959</c:v>
                </c:pt>
                <c:pt idx="55">
                  <c:v>1958</c:v>
                </c:pt>
                <c:pt idx="56">
                  <c:v>1957</c:v>
                </c:pt>
                <c:pt idx="57">
                  <c:v>1956</c:v>
                </c:pt>
                <c:pt idx="58">
                  <c:v>1955</c:v>
                </c:pt>
                <c:pt idx="59">
                  <c:v>1954</c:v>
                </c:pt>
                <c:pt idx="60">
                  <c:v>1953</c:v>
                </c:pt>
                <c:pt idx="61">
                  <c:v>1952</c:v>
                </c:pt>
                <c:pt idx="62">
                  <c:v>1951</c:v>
                </c:pt>
                <c:pt idx="63">
                  <c:v>1950</c:v>
                </c:pt>
                <c:pt idx="64">
                  <c:v>1949</c:v>
                </c:pt>
                <c:pt idx="65">
                  <c:v>1948</c:v>
                </c:pt>
                <c:pt idx="66">
                  <c:v>1947</c:v>
                </c:pt>
                <c:pt idx="67">
                  <c:v>1946</c:v>
                </c:pt>
                <c:pt idx="68">
                  <c:v>1945</c:v>
                </c:pt>
              </c:numCache>
            </c:numRef>
          </c:xVal>
          <c:yVal>
            <c:numRef>
              <c:f>Precipitacion!$N$8:$N$76</c:f>
              <c:numCache>
                <c:formatCode>0.00</c:formatCode>
                <c:ptCount val="69"/>
                <c:pt idx="0">
                  <c:v>6.6265711959074616E-3</c:v>
                </c:pt>
                <c:pt idx="1">
                  <c:v>0.58603662364696152</c:v>
                </c:pt>
                <c:pt idx="2">
                  <c:v>2.5211425791462756</c:v>
                </c:pt>
                <c:pt idx="3">
                  <c:v>3.885995496061796</c:v>
                </c:pt>
                <c:pt idx="4">
                  <c:v>-0.31318213811824602</c:v>
                </c:pt>
                <c:pt idx="5">
                  <c:v>0.56337301432548637</c:v>
                </c:pt>
                <c:pt idx="6">
                  <c:v>0.88569990245313746</c:v>
                </c:pt>
                <c:pt idx="7">
                  <c:v>0.21723789014295233</c:v>
                </c:pt>
                <c:pt idx="8">
                  <c:v>-7.3378749516683746E-3</c:v>
                </c:pt>
                <c:pt idx="9">
                  <c:v>1.283343229639025</c:v>
                </c:pt>
                <c:pt idx="10">
                  <c:v>0.59153083196731993</c:v>
                </c:pt>
                <c:pt idx="11">
                  <c:v>-0.1897913762568797</c:v>
                </c:pt>
                <c:pt idx="12">
                  <c:v>-0.14698233642742597</c:v>
                </c:pt>
                <c:pt idx="13">
                  <c:v>9.4533904321630641E-2</c:v>
                </c:pt>
                <c:pt idx="14">
                  <c:v>1.6912881974255829</c:v>
                </c:pt>
                <c:pt idx="15">
                  <c:v>0.26874609314630538</c:v>
                </c:pt>
                <c:pt idx="16">
                  <c:v>0.51094910993540688</c:v>
                </c:pt>
                <c:pt idx="17">
                  <c:v>0.36054515716561486</c:v>
                </c:pt>
                <c:pt idx="18">
                  <c:v>1.2100871187009221</c:v>
                </c:pt>
                <c:pt idx="19">
                  <c:v>0.15497019584556462</c:v>
                </c:pt>
                <c:pt idx="20">
                  <c:v>9.8315260494493927E-3</c:v>
                </c:pt>
                <c:pt idx="21">
                  <c:v>-1.1469282507325249</c:v>
                </c:pt>
                <c:pt idx="22">
                  <c:v>-0.88618228086221651</c:v>
                </c:pt>
                <c:pt idx="26">
                  <c:v>-0.93952188663902236</c:v>
                </c:pt>
                <c:pt idx="27">
                  <c:v>-0.76691217524111832</c:v>
                </c:pt>
                <c:pt idx="28">
                  <c:v>0.28660227018746776</c:v>
                </c:pt>
                <c:pt idx="29">
                  <c:v>5.8592624892623749E-2</c:v>
                </c:pt>
                <c:pt idx="30">
                  <c:v>-0.94501609495937988</c:v>
                </c:pt>
                <c:pt idx="31">
                  <c:v>-1.4481940069654715</c:v>
                </c:pt>
                <c:pt idx="32">
                  <c:v>0.99054771123329655</c:v>
                </c:pt>
                <c:pt idx="36">
                  <c:v>-0.72364528471830147</c:v>
                </c:pt>
                <c:pt idx="37">
                  <c:v>-0.28136151492950806</c:v>
                </c:pt>
                <c:pt idx="38">
                  <c:v>0.22067177034317564</c:v>
                </c:pt>
                <c:pt idx="39">
                  <c:v>-0.28525324582309458</c:v>
                </c:pt>
                <c:pt idx="40">
                  <c:v>-1.3639494793866533</c:v>
                </c:pt>
                <c:pt idx="41">
                  <c:v>-7.4413001529368347E-2</c:v>
                </c:pt>
                <c:pt idx="42">
                  <c:v>-1.5262575501838869</c:v>
                </c:pt>
                <c:pt idx="43">
                  <c:v>1.2709812609182201</c:v>
                </c:pt>
                <c:pt idx="44">
                  <c:v>-0.10508899798469871</c:v>
                </c:pt>
                <c:pt idx="45">
                  <c:v>-0.30562760167775427</c:v>
                </c:pt>
                <c:pt idx="46">
                  <c:v>-0.20970788141817642</c:v>
                </c:pt>
                <c:pt idx="47">
                  <c:v>-9.5931984117435642E-2</c:v>
                </c:pt>
                <c:pt idx="48">
                  <c:v>0.21243045786263906</c:v>
                </c:pt>
                <c:pt idx="49">
                  <c:v>0.56612011848566512</c:v>
                </c:pt>
                <c:pt idx="50">
                  <c:v>0.23417836579738824</c:v>
                </c:pt>
                <c:pt idx="52">
                  <c:v>-0.33607467278640302</c:v>
                </c:pt>
                <c:pt idx="53">
                  <c:v>0.52628710816307167</c:v>
                </c:pt>
                <c:pt idx="54">
                  <c:v>-1.4742914964871703</c:v>
                </c:pt>
                <c:pt idx="55">
                  <c:v>-0.57575951076200715</c:v>
                </c:pt>
                <c:pt idx="56">
                  <c:v>-1.1901951412553418</c:v>
                </c:pt>
                <c:pt idx="57">
                  <c:v>-0.68106517023552948</c:v>
                </c:pt>
                <c:pt idx="58">
                  <c:v>-0.25091444382085903</c:v>
                </c:pt>
                <c:pt idx="59">
                  <c:v>0.82617931231592867</c:v>
                </c:pt>
                <c:pt idx="60">
                  <c:v>-1.1901951412553418</c:v>
                </c:pt>
                <c:pt idx="65">
                  <c:v>-1.479785704807528</c:v>
                </c:pt>
                <c:pt idx="66">
                  <c:v>-1.0949621970358085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D-413D-8424-3C2E5BFD7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791455"/>
        <c:axId val="1167786463"/>
      </c:scatterChart>
      <c:valAx>
        <c:axId val="1167791455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86463"/>
        <c:crosses val="autoZero"/>
        <c:crossBetween val="midCat"/>
      </c:valAx>
      <c:valAx>
        <c:axId val="116778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9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165846</xdr:colOff>
      <xdr:row>19</xdr:row>
      <xdr:rowOff>15689</xdr:rowOff>
    </xdr:from>
    <xdr:to>
      <xdr:col>22</xdr:col>
      <xdr:colOff>136711</xdr:colOff>
      <xdr:row>33</xdr:row>
      <xdr:rowOff>80683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358588</xdr:colOff>
      <xdr:row>3</xdr:row>
      <xdr:rowOff>129988</xdr:rowOff>
    </xdr:from>
    <xdr:to>
      <xdr:col>22</xdr:col>
      <xdr:colOff>358588</xdr:colOff>
      <xdr:row>18</xdr:row>
      <xdr:rowOff>15688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100852</xdr:colOff>
      <xdr:row>15</xdr:row>
      <xdr:rowOff>113179</xdr:rowOff>
    </xdr:from>
    <xdr:to>
      <xdr:col>20</xdr:col>
      <xdr:colOff>22411</xdr:colOff>
      <xdr:row>29</xdr:row>
      <xdr:rowOff>189379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201706</xdr:colOff>
      <xdr:row>0</xdr:row>
      <xdr:rowOff>113180</xdr:rowOff>
    </xdr:from>
    <xdr:to>
      <xdr:col>25</xdr:col>
      <xdr:colOff>201706</xdr:colOff>
      <xdr:row>14</xdr:row>
      <xdr:rowOff>189380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44823</xdr:colOff>
      <xdr:row>16</xdr:row>
      <xdr:rowOff>1120</xdr:rowOff>
    </xdr:from>
    <xdr:to>
      <xdr:col>24</xdr:col>
      <xdr:colOff>44823</xdr:colOff>
      <xdr:row>30</xdr:row>
      <xdr:rowOff>77320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156883</xdr:colOff>
      <xdr:row>9</xdr:row>
      <xdr:rowOff>90769</xdr:rowOff>
    </xdr:from>
    <xdr:to>
      <xdr:col>16</xdr:col>
      <xdr:colOff>212912</xdr:colOff>
      <xdr:row>23</xdr:row>
      <xdr:rowOff>166969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257735</xdr:colOff>
      <xdr:row>27</xdr:row>
      <xdr:rowOff>17929</xdr:rowOff>
    </xdr:from>
    <xdr:to>
      <xdr:col>19</xdr:col>
      <xdr:colOff>459441</xdr:colOff>
      <xdr:row>41</xdr:row>
      <xdr:rowOff>94129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560295</xdr:colOff>
      <xdr:row>3</xdr:row>
      <xdr:rowOff>158005</xdr:rowOff>
    </xdr:from>
    <xdr:to>
      <xdr:col>23</xdr:col>
      <xdr:colOff>593913</xdr:colOff>
      <xdr:row>17</xdr:row>
      <xdr:rowOff>32499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145677</xdr:colOff>
      <xdr:row>19</xdr:row>
      <xdr:rowOff>51549</xdr:rowOff>
    </xdr:from>
    <xdr:to>
      <xdr:col>23</xdr:col>
      <xdr:colOff>168088</xdr:colOff>
      <xdr:row>33</xdr:row>
      <xdr:rowOff>127749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UV\Nuevas%20fotos%20despues%20de%20Bleaching\Varadero\VAR1\G-B_data_Varad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1-tr"/>
      <sheetName val="VAR1 G-B"/>
      <sheetName val="VAR1 G-B (2)"/>
      <sheetName val="Caudales"/>
      <sheetName val="Hoja3"/>
    </sheetNames>
    <sheetDataSet>
      <sheetData sheetId="0" refreshError="1"/>
      <sheetData sheetId="1" refreshError="1"/>
      <sheetData sheetId="2" refreshError="1"/>
      <sheetData sheetId="3">
        <row r="8">
          <cell r="B8">
            <v>42339</v>
          </cell>
          <cell r="C8">
            <v>2015.9166666666665</v>
          </cell>
          <cell r="F8">
            <v>4444</v>
          </cell>
        </row>
        <row r="9">
          <cell r="C9">
            <v>2015.8333333333333</v>
          </cell>
          <cell r="F9">
            <v>5803</v>
          </cell>
        </row>
        <row r="10">
          <cell r="C10">
            <v>2015.75</v>
          </cell>
          <cell r="F10">
            <v>4343</v>
          </cell>
        </row>
        <row r="11">
          <cell r="C11">
            <v>2015.6666666666665</v>
          </cell>
          <cell r="F11">
            <v>4394</v>
          </cell>
        </row>
        <row r="12">
          <cell r="C12">
            <v>2015.5833333333333</v>
          </cell>
          <cell r="F12">
            <v>4127</v>
          </cell>
        </row>
        <row r="13">
          <cell r="C13">
            <v>2015.5</v>
          </cell>
          <cell r="F13">
            <v>4341</v>
          </cell>
        </row>
        <row r="14">
          <cell r="C14">
            <v>2015.4166666666665</v>
          </cell>
          <cell r="F14">
            <v>5904</v>
          </cell>
        </row>
        <row r="15">
          <cell r="C15">
            <v>2015.3333333333333</v>
          </cell>
          <cell r="F15">
            <v>5097</v>
          </cell>
        </row>
        <row r="16">
          <cell r="C16">
            <v>2015.25</v>
          </cell>
          <cell r="F16">
            <v>4877</v>
          </cell>
        </row>
        <row r="17">
          <cell r="C17">
            <v>2015.1666666666665</v>
          </cell>
          <cell r="F17">
            <v>3399</v>
          </cell>
        </row>
        <row r="18">
          <cell r="C18">
            <v>2015.0833333333333</v>
          </cell>
          <cell r="F18">
            <v>3990</v>
          </cell>
        </row>
        <row r="19">
          <cell r="C19">
            <v>2015</v>
          </cell>
          <cell r="F19">
            <v>4582</v>
          </cell>
        </row>
        <row r="20">
          <cell r="C20">
            <v>2014.9166666666665</v>
          </cell>
          <cell r="F20">
            <v>8477</v>
          </cell>
        </row>
        <row r="21">
          <cell r="C21">
            <v>2014.8333333333333</v>
          </cell>
          <cell r="F21">
            <v>8321</v>
          </cell>
        </row>
        <row r="22">
          <cell r="C22">
            <v>2014.75</v>
          </cell>
          <cell r="F22">
            <v>7039</v>
          </cell>
        </row>
        <row r="23">
          <cell r="C23">
            <v>2014.6666666666665</v>
          </cell>
          <cell r="F23">
            <v>5495</v>
          </cell>
        </row>
        <row r="24">
          <cell r="C24">
            <v>2014.5833333333333</v>
          </cell>
          <cell r="F24">
            <v>4197</v>
          </cell>
        </row>
        <row r="25">
          <cell r="C25">
            <v>2014.5</v>
          </cell>
          <cell r="F25">
            <v>4744</v>
          </cell>
        </row>
        <row r="26">
          <cell r="C26">
            <v>2014.4166666666665</v>
          </cell>
          <cell r="F26">
            <v>6647</v>
          </cell>
        </row>
        <row r="27">
          <cell r="C27">
            <v>2014.3333333333333</v>
          </cell>
          <cell r="F27">
            <v>6475</v>
          </cell>
        </row>
        <row r="28">
          <cell r="C28">
            <v>2014.25</v>
          </cell>
          <cell r="F28">
            <v>4075</v>
          </cell>
        </row>
        <row r="29">
          <cell r="C29">
            <v>2014.1666666666665</v>
          </cell>
          <cell r="F29">
            <v>4551</v>
          </cell>
        </row>
        <row r="30">
          <cell r="C30">
            <v>2014.0833333333333</v>
          </cell>
          <cell r="F30">
            <v>3771</v>
          </cell>
        </row>
        <row r="31">
          <cell r="C31">
            <v>2014</v>
          </cell>
          <cell r="F31">
            <v>5797</v>
          </cell>
        </row>
        <row r="32">
          <cell r="C32">
            <v>2013.9166666666599</v>
          </cell>
          <cell r="F32">
            <v>8407</v>
          </cell>
        </row>
        <row r="33">
          <cell r="C33">
            <v>2013.8333333333301</v>
          </cell>
          <cell r="F33">
            <v>8535</v>
          </cell>
        </row>
        <row r="34">
          <cell r="C34">
            <v>2013.75</v>
          </cell>
          <cell r="F34">
            <v>7850</v>
          </cell>
        </row>
        <row r="35">
          <cell r="C35">
            <v>2013.6666666666599</v>
          </cell>
          <cell r="F35">
            <v>7369</v>
          </cell>
        </row>
        <row r="36">
          <cell r="C36">
            <v>2013.5833333333301</v>
          </cell>
          <cell r="F36">
            <v>5564</v>
          </cell>
        </row>
        <row r="37">
          <cell r="C37">
            <v>2013.5</v>
          </cell>
          <cell r="F37">
            <v>6649</v>
          </cell>
        </row>
        <row r="38">
          <cell r="C38">
            <v>2013.4166666666599</v>
          </cell>
          <cell r="F38">
            <v>8229</v>
          </cell>
        </row>
        <row r="39">
          <cell r="C39">
            <v>2013.3333333333301</v>
          </cell>
          <cell r="F39">
            <v>6259</v>
          </cell>
        </row>
        <row r="40">
          <cell r="C40">
            <v>2013.25</v>
          </cell>
          <cell r="F40">
            <v>4229</v>
          </cell>
        </row>
        <row r="41">
          <cell r="C41">
            <v>2013.1666666666599</v>
          </cell>
          <cell r="F41">
            <v>3792</v>
          </cell>
        </row>
        <row r="42">
          <cell r="C42">
            <v>2013.0833333333301</v>
          </cell>
          <cell r="F42">
            <v>3205</v>
          </cell>
        </row>
        <row r="43">
          <cell r="C43">
            <v>2013</v>
          </cell>
          <cell r="F43">
            <v>3669</v>
          </cell>
        </row>
        <row r="44">
          <cell r="C44">
            <v>2012.9166666666599</v>
          </cell>
          <cell r="F44">
            <v>6855</v>
          </cell>
        </row>
        <row r="45">
          <cell r="C45">
            <v>2012.8333333333301</v>
          </cell>
          <cell r="F45">
            <v>7858</v>
          </cell>
        </row>
        <row r="46">
          <cell r="C46">
            <v>2012.75</v>
          </cell>
          <cell r="F46">
            <v>6414</v>
          </cell>
        </row>
        <row r="47">
          <cell r="C47">
            <v>2012.6666666666599</v>
          </cell>
          <cell r="F47">
            <v>6502</v>
          </cell>
        </row>
        <row r="48">
          <cell r="C48">
            <v>2012.5833333333301</v>
          </cell>
          <cell r="F48">
            <v>6193</v>
          </cell>
        </row>
        <row r="49">
          <cell r="C49">
            <v>2012.5</v>
          </cell>
          <cell r="F49">
            <v>6418</v>
          </cell>
        </row>
        <row r="50">
          <cell r="C50">
            <v>2012.4166666666599</v>
          </cell>
          <cell r="F50">
            <v>9001</v>
          </cell>
        </row>
        <row r="51">
          <cell r="C51">
            <v>2012.3333333333301</v>
          </cell>
          <cell r="F51">
            <v>9668</v>
          </cell>
        </row>
        <row r="52">
          <cell r="C52">
            <v>2012.24999999999</v>
          </cell>
          <cell r="F52">
            <v>6585</v>
          </cell>
        </row>
        <row r="53">
          <cell r="C53">
            <v>2012.1666666666599</v>
          </cell>
          <cell r="F53">
            <v>4540</v>
          </cell>
        </row>
        <row r="54">
          <cell r="C54">
            <v>2012.0833333333301</v>
          </cell>
          <cell r="F54">
            <v>6968</v>
          </cell>
        </row>
        <row r="55">
          <cell r="C55">
            <v>2012</v>
          </cell>
          <cell r="F55">
            <v>11336</v>
          </cell>
        </row>
        <row r="56">
          <cell r="C56">
            <v>2011.9166666666599</v>
          </cell>
          <cell r="F56">
            <v>13395</v>
          </cell>
        </row>
        <row r="57">
          <cell r="C57">
            <v>2011.8333333333301</v>
          </cell>
          <cell r="F57">
            <v>11402</v>
          </cell>
        </row>
        <row r="58">
          <cell r="C58">
            <v>2011.74999999999</v>
          </cell>
          <cell r="F58">
            <v>9565</v>
          </cell>
        </row>
        <row r="59">
          <cell r="C59">
            <v>2011.6666666666599</v>
          </cell>
          <cell r="F59">
            <v>9130</v>
          </cell>
        </row>
        <row r="60">
          <cell r="C60">
            <v>2011.5833333333301</v>
          </cell>
          <cell r="F60">
            <v>10126</v>
          </cell>
        </row>
        <row r="61">
          <cell r="C61">
            <v>2011.49999999999</v>
          </cell>
          <cell r="F61">
            <v>11226</v>
          </cell>
        </row>
        <row r="62">
          <cell r="C62">
            <v>2011.4166666666599</v>
          </cell>
          <cell r="F62">
            <v>12827</v>
          </cell>
        </row>
        <row r="63">
          <cell r="C63">
            <v>2011.3333333333301</v>
          </cell>
          <cell r="F63">
            <v>11996</v>
          </cell>
        </row>
        <row r="64">
          <cell r="C64">
            <v>2011.24999999999</v>
          </cell>
          <cell r="F64">
            <v>8274</v>
          </cell>
        </row>
        <row r="65">
          <cell r="C65">
            <v>2011.1666666666599</v>
          </cell>
          <cell r="F65">
            <v>6595</v>
          </cell>
        </row>
        <row r="66">
          <cell r="C66">
            <v>2011.0833333333301</v>
          </cell>
          <cell r="F66">
            <v>6721</v>
          </cell>
        </row>
        <row r="67">
          <cell r="C67">
            <v>2011</v>
          </cell>
          <cell r="F67">
            <v>11430</v>
          </cell>
        </row>
        <row r="68">
          <cell r="C68">
            <v>2010.9166666666599</v>
          </cell>
          <cell r="F68">
            <v>13942</v>
          </cell>
        </row>
        <row r="69">
          <cell r="C69">
            <v>2010.8333333333301</v>
          </cell>
          <cell r="F69">
            <v>13717</v>
          </cell>
        </row>
        <row r="70">
          <cell r="C70">
            <v>2010.74999999999</v>
          </cell>
          <cell r="F70">
            <v>13685</v>
          </cell>
        </row>
        <row r="71">
          <cell r="C71">
            <v>2010.6666666666599</v>
          </cell>
          <cell r="F71">
            <v>12839</v>
          </cell>
        </row>
        <row r="72">
          <cell r="C72">
            <v>2010.5833333333301</v>
          </cell>
          <cell r="F72">
            <v>12741</v>
          </cell>
        </row>
        <row r="73">
          <cell r="C73">
            <v>2010.49999999999</v>
          </cell>
          <cell r="F73">
            <v>10972</v>
          </cell>
        </row>
        <row r="74">
          <cell r="C74">
            <v>2010.4166666666599</v>
          </cell>
          <cell r="F74">
            <v>9275</v>
          </cell>
        </row>
        <row r="75">
          <cell r="C75">
            <v>2010.3333333333201</v>
          </cell>
          <cell r="F75">
            <v>7182</v>
          </cell>
        </row>
        <row r="76">
          <cell r="C76">
            <v>2010.24999999999</v>
          </cell>
          <cell r="F76">
            <v>4545</v>
          </cell>
        </row>
        <row r="77">
          <cell r="C77">
            <v>2010.1666666666599</v>
          </cell>
          <cell r="F77">
            <v>3222</v>
          </cell>
        </row>
        <row r="78">
          <cell r="C78">
            <v>2010.0833333333201</v>
          </cell>
          <cell r="F78">
            <v>2579</v>
          </cell>
        </row>
        <row r="79">
          <cell r="C79">
            <v>2010</v>
          </cell>
          <cell r="F79">
            <v>3447</v>
          </cell>
        </row>
        <row r="80">
          <cell r="C80">
            <v>2009.9166666666599</v>
          </cell>
          <cell r="F80">
            <v>6163</v>
          </cell>
        </row>
        <row r="81">
          <cell r="C81">
            <v>2009.8333333333201</v>
          </cell>
          <cell r="F81">
            <v>7123</v>
          </cell>
        </row>
        <row r="82">
          <cell r="C82">
            <v>2009.74999999999</v>
          </cell>
          <cell r="F82">
            <v>5289</v>
          </cell>
        </row>
        <row r="83">
          <cell r="C83">
            <v>2009.6666666666599</v>
          </cell>
          <cell r="F83">
            <v>6082</v>
          </cell>
        </row>
        <row r="84">
          <cell r="C84">
            <v>2009.5833333333201</v>
          </cell>
          <cell r="F84">
            <v>6035</v>
          </cell>
        </row>
        <row r="85">
          <cell r="C85">
            <v>2009.49999999999</v>
          </cell>
          <cell r="F85">
            <v>7401</v>
          </cell>
        </row>
        <row r="86">
          <cell r="C86">
            <v>2009.4166666666599</v>
          </cell>
          <cell r="F86">
            <v>7787</v>
          </cell>
        </row>
        <row r="87">
          <cell r="C87">
            <v>2009.3333333333201</v>
          </cell>
          <cell r="F87">
            <v>7850</v>
          </cell>
        </row>
        <row r="88">
          <cell r="C88">
            <v>2009.24999999999</v>
          </cell>
          <cell r="F88">
            <v>6948</v>
          </cell>
        </row>
        <row r="89">
          <cell r="C89">
            <v>2009.1666666666599</v>
          </cell>
          <cell r="F89">
            <v>5643</v>
          </cell>
        </row>
        <row r="90">
          <cell r="C90">
            <v>2009.0833333333201</v>
          </cell>
          <cell r="F90">
            <v>6777</v>
          </cell>
        </row>
        <row r="91">
          <cell r="C91">
            <v>2009</v>
          </cell>
          <cell r="F91">
            <v>10257</v>
          </cell>
        </row>
        <row r="92">
          <cell r="C92">
            <v>2008.9166666666599</v>
          </cell>
          <cell r="F92">
            <v>14438</v>
          </cell>
        </row>
        <row r="93">
          <cell r="C93">
            <v>2008.8333333333201</v>
          </cell>
          <cell r="F93">
            <v>13323</v>
          </cell>
        </row>
        <row r="94">
          <cell r="C94">
            <v>2008.74999999999</v>
          </cell>
          <cell r="F94">
            <v>12038</v>
          </cell>
        </row>
        <row r="95">
          <cell r="C95">
            <v>2008.6666666666599</v>
          </cell>
          <cell r="F95">
            <v>12125</v>
          </cell>
        </row>
        <row r="96">
          <cell r="C96">
            <v>2008.5833333333201</v>
          </cell>
          <cell r="F96">
            <v>11936</v>
          </cell>
        </row>
        <row r="97">
          <cell r="C97">
            <v>2008.49999999999</v>
          </cell>
          <cell r="F97">
            <v>11525</v>
          </cell>
        </row>
        <row r="98">
          <cell r="C98">
            <v>2008.4166666666499</v>
          </cell>
          <cell r="F98">
            <v>9974</v>
          </cell>
        </row>
        <row r="99">
          <cell r="C99">
            <v>2008.3333333333201</v>
          </cell>
          <cell r="F99">
            <v>7711</v>
          </cell>
        </row>
        <row r="100">
          <cell r="C100">
            <v>2008.24999999999</v>
          </cell>
          <cell r="F100">
            <v>5673</v>
          </cell>
        </row>
        <row r="101">
          <cell r="C101">
            <v>2008.1666666666499</v>
          </cell>
          <cell r="F101">
            <v>5420</v>
          </cell>
        </row>
        <row r="102">
          <cell r="C102">
            <v>2008.0833333333201</v>
          </cell>
          <cell r="F102">
            <v>5442</v>
          </cell>
        </row>
        <row r="103">
          <cell r="C103">
            <v>2008</v>
          </cell>
          <cell r="F103">
            <v>8936</v>
          </cell>
        </row>
        <row r="104">
          <cell r="C104">
            <v>2007.9166666666499</v>
          </cell>
          <cell r="F104">
            <v>12511</v>
          </cell>
        </row>
        <row r="105">
          <cell r="C105">
            <v>2007.8333333333201</v>
          </cell>
          <cell r="F105">
            <v>13131</v>
          </cell>
        </row>
        <row r="106">
          <cell r="C106">
            <v>2007.74999999999</v>
          </cell>
          <cell r="F106">
            <v>10444</v>
          </cell>
        </row>
        <row r="107">
          <cell r="C107">
            <v>2007.6666666666499</v>
          </cell>
          <cell r="F107">
            <v>10419</v>
          </cell>
        </row>
        <row r="108">
          <cell r="C108">
            <v>2007.5833333333201</v>
          </cell>
          <cell r="F108">
            <v>9304</v>
          </cell>
        </row>
        <row r="109">
          <cell r="C109">
            <v>2007.49999999999</v>
          </cell>
          <cell r="F109">
            <v>11100</v>
          </cell>
        </row>
        <row r="110">
          <cell r="C110">
            <v>2007.4166666666499</v>
          </cell>
          <cell r="F110">
            <v>11263</v>
          </cell>
        </row>
        <row r="111">
          <cell r="C111">
            <v>2007.3333333333201</v>
          </cell>
          <cell r="F111">
            <v>8442</v>
          </cell>
        </row>
        <row r="112">
          <cell r="C112">
            <v>2007.24999999999</v>
          </cell>
          <cell r="F112">
            <v>5658</v>
          </cell>
        </row>
        <row r="113">
          <cell r="C113">
            <v>2007.1666666666499</v>
          </cell>
          <cell r="F113">
            <v>2916</v>
          </cell>
        </row>
        <row r="114">
          <cell r="C114">
            <v>2007.0833333333201</v>
          </cell>
          <cell r="F114">
            <v>3754</v>
          </cell>
        </row>
        <row r="115">
          <cell r="C115">
            <v>2007</v>
          </cell>
          <cell r="F115">
            <v>7909</v>
          </cell>
        </row>
        <row r="116">
          <cell r="C116">
            <v>2006.9166666666499</v>
          </cell>
          <cell r="F116">
            <v>10575</v>
          </cell>
        </row>
        <row r="117">
          <cell r="C117">
            <v>2006.8333333333201</v>
          </cell>
          <cell r="F117">
            <v>9114</v>
          </cell>
        </row>
        <row r="118">
          <cell r="C118">
            <v>2006.74999999998</v>
          </cell>
          <cell r="F118">
            <v>7218</v>
          </cell>
        </row>
        <row r="119">
          <cell r="C119">
            <v>2006.6666666666499</v>
          </cell>
          <cell r="F119">
            <v>7058</v>
          </cell>
        </row>
        <row r="120">
          <cell r="C120">
            <v>2006.5833333333201</v>
          </cell>
          <cell r="F120">
            <v>6984</v>
          </cell>
        </row>
        <row r="121">
          <cell r="C121">
            <v>2006.49999999998</v>
          </cell>
          <cell r="F121">
            <v>10159</v>
          </cell>
        </row>
        <row r="122">
          <cell r="C122">
            <v>2006.4166666666499</v>
          </cell>
          <cell r="F122">
            <v>11047</v>
          </cell>
        </row>
        <row r="123">
          <cell r="C123">
            <v>2006.3333333333201</v>
          </cell>
          <cell r="F123">
            <v>8757</v>
          </cell>
        </row>
        <row r="124">
          <cell r="C124">
            <v>2006.24999999998</v>
          </cell>
          <cell r="F124">
            <v>6292</v>
          </cell>
        </row>
        <row r="125">
          <cell r="C125">
            <v>2006.1666666666499</v>
          </cell>
          <cell r="F125">
            <v>4329</v>
          </cell>
        </row>
        <row r="126">
          <cell r="C126">
            <v>2006.0833333333201</v>
          </cell>
          <cell r="F126">
            <v>5532</v>
          </cell>
        </row>
        <row r="127">
          <cell r="C127">
            <v>2006</v>
          </cell>
          <cell r="F127">
            <v>9204</v>
          </cell>
        </row>
        <row r="128">
          <cell r="C128">
            <v>2005.9166666666499</v>
          </cell>
          <cell r="F128">
            <v>12700</v>
          </cell>
        </row>
        <row r="129">
          <cell r="C129">
            <v>2005.8333333333201</v>
          </cell>
          <cell r="F129">
            <v>10060</v>
          </cell>
        </row>
        <row r="130">
          <cell r="C130">
            <v>2005.74999999998</v>
          </cell>
          <cell r="F130">
            <v>7510</v>
          </cell>
        </row>
        <row r="131">
          <cell r="C131">
            <v>2005.6666666666499</v>
          </cell>
          <cell r="F131">
            <v>6318</v>
          </cell>
        </row>
        <row r="132">
          <cell r="C132">
            <v>2005.5833333333201</v>
          </cell>
          <cell r="F132">
            <v>6664</v>
          </cell>
        </row>
        <row r="133">
          <cell r="C133">
            <v>2005.49999999998</v>
          </cell>
          <cell r="F133">
            <v>8273</v>
          </cell>
        </row>
        <row r="134">
          <cell r="C134">
            <v>2005.4166666666499</v>
          </cell>
          <cell r="F134">
            <v>8434</v>
          </cell>
        </row>
        <row r="135">
          <cell r="C135">
            <v>2005.3333333333201</v>
          </cell>
          <cell r="F135">
            <v>6630</v>
          </cell>
        </row>
        <row r="136">
          <cell r="C136">
            <v>2005.24999999998</v>
          </cell>
          <cell r="F136">
            <v>4448</v>
          </cell>
        </row>
        <row r="137">
          <cell r="C137">
            <v>2005.1666666666499</v>
          </cell>
          <cell r="F137">
            <v>3838</v>
          </cell>
        </row>
        <row r="138">
          <cell r="C138">
            <v>2005.0833333333201</v>
          </cell>
          <cell r="F138">
            <v>4568</v>
          </cell>
        </row>
        <row r="139">
          <cell r="C139">
            <v>2005</v>
          </cell>
          <cell r="F139">
            <v>7079</v>
          </cell>
        </row>
        <row r="140">
          <cell r="C140">
            <v>2004.9166666666499</v>
          </cell>
          <cell r="F140">
            <v>11106</v>
          </cell>
        </row>
        <row r="141">
          <cell r="C141">
            <v>2004.8333333333101</v>
          </cell>
          <cell r="F141">
            <v>10161</v>
          </cell>
        </row>
        <row r="142">
          <cell r="C142">
            <v>2004.74999999998</v>
          </cell>
          <cell r="F142">
            <v>8047</v>
          </cell>
        </row>
        <row r="143">
          <cell r="C143">
            <v>2004.6666666666499</v>
          </cell>
          <cell r="F143">
            <v>6271</v>
          </cell>
        </row>
        <row r="144">
          <cell r="C144">
            <v>2004.5833333333101</v>
          </cell>
          <cell r="F144">
            <v>5941</v>
          </cell>
        </row>
        <row r="145">
          <cell r="C145">
            <v>2004.49999999998</v>
          </cell>
          <cell r="F145">
            <v>6195</v>
          </cell>
        </row>
        <row r="146">
          <cell r="C146">
            <v>2004.4166666666499</v>
          </cell>
          <cell r="F146">
            <v>7558</v>
          </cell>
        </row>
        <row r="147">
          <cell r="C147">
            <v>2004.3333333333101</v>
          </cell>
          <cell r="F147">
            <v>6011</v>
          </cell>
        </row>
        <row r="148">
          <cell r="C148">
            <v>2004.24999999998</v>
          </cell>
          <cell r="F148">
            <v>3609</v>
          </cell>
        </row>
        <row r="149">
          <cell r="C149">
            <v>2004.1666666666499</v>
          </cell>
          <cell r="F149">
            <v>2916</v>
          </cell>
        </row>
        <row r="150">
          <cell r="C150">
            <v>2004.0833333333101</v>
          </cell>
          <cell r="F150">
            <v>3724</v>
          </cell>
        </row>
        <row r="151">
          <cell r="C151">
            <v>2004</v>
          </cell>
          <cell r="F151">
            <v>8355</v>
          </cell>
        </row>
        <row r="152">
          <cell r="C152">
            <v>2003.9166666666499</v>
          </cell>
          <cell r="F152">
            <v>11146</v>
          </cell>
        </row>
        <row r="153">
          <cell r="C153">
            <v>2003.8333333333101</v>
          </cell>
          <cell r="F153">
            <v>10016</v>
          </cell>
        </row>
        <row r="154">
          <cell r="C154">
            <v>2003.74999999998</v>
          </cell>
          <cell r="F154">
            <v>7897</v>
          </cell>
        </row>
        <row r="155">
          <cell r="C155">
            <v>2003.6666666666499</v>
          </cell>
          <cell r="F155">
            <v>6140</v>
          </cell>
        </row>
        <row r="156">
          <cell r="C156">
            <v>2003.5833333333101</v>
          </cell>
          <cell r="F156">
            <v>6910</v>
          </cell>
        </row>
        <row r="157">
          <cell r="C157">
            <v>2003.49999999998</v>
          </cell>
          <cell r="F157">
            <v>7712</v>
          </cell>
        </row>
        <row r="158">
          <cell r="C158">
            <v>2003.4166666666499</v>
          </cell>
          <cell r="F158">
            <v>7152</v>
          </cell>
        </row>
        <row r="159">
          <cell r="C159">
            <v>2003.3333333333101</v>
          </cell>
          <cell r="F159">
            <v>5959</v>
          </cell>
        </row>
        <row r="160">
          <cell r="C160">
            <v>2003.24999999998</v>
          </cell>
          <cell r="F160">
            <v>3815</v>
          </cell>
        </row>
        <row r="161">
          <cell r="C161">
            <v>2003.1666666666499</v>
          </cell>
          <cell r="F161">
            <v>2684</v>
          </cell>
        </row>
        <row r="162">
          <cell r="C162">
            <v>2003.0833333333101</v>
          </cell>
          <cell r="F162">
            <v>2566</v>
          </cell>
        </row>
        <row r="163">
          <cell r="C163">
            <v>2003</v>
          </cell>
          <cell r="F163">
            <v>3527</v>
          </cell>
        </row>
        <row r="164">
          <cell r="C164">
            <v>2002.9166666666399</v>
          </cell>
          <cell r="F164">
            <v>6225</v>
          </cell>
        </row>
        <row r="165">
          <cell r="C165">
            <v>2002.8333333333101</v>
          </cell>
          <cell r="F165">
            <v>7592</v>
          </cell>
        </row>
        <row r="166">
          <cell r="C166">
            <v>2002.74999999998</v>
          </cell>
          <cell r="F166">
            <v>5094</v>
          </cell>
        </row>
        <row r="167">
          <cell r="C167">
            <v>2002.6666666666399</v>
          </cell>
          <cell r="F167">
            <v>4585</v>
          </cell>
        </row>
        <row r="168">
          <cell r="C168">
            <v>2002.5833333333101</v>
          </cell>
          <cell r="F168">
            <v>4440</v>
          </cell>
        </row>
        <row r="169">
          <cell r="C169">
            <v>2002.49999999998</v>
          </cell>
          <cell r="F169">
            <v>6751</v>
          </cell>
        </row>
        <row r="170">
          <cell r="C170">
            <v>2002.4166666666399</v>
          </cell>
          <cell r="F170">
            <v>7583</v>
          </cell>
        </row>
        <row r="171">
          <cell r="C171">
            <v>2002.3333333333101</v>
          </cell>
          <cell r="F171">
            <v>5955</v>
          </cell>
        </row>
        <row r="172">
          <cell r="C172">
            <v>2002.24999999998</v>
          </cell>
          <cell r="F172">
            <v>4518</v>
          </cell>
        </row>
        <row r="173">
          <cell r="C173">
            <v>2002.1666666666399</v>
          </cell>
          <cell r="F173">
            <v>2893</v>
          </cell>
        </row>
        <row r="174">
          <cell r="C174">
            <v>2002.0833333333101</v>
          </cell>
          <cell r="F174">
            <v>3326</v>
          </cell>
        </row>
        <row r="175">
          <cell r="C175">
            <v>2002</v>
          </cell>
          <cell r="F175">
            <v>6717</v>
          </cell>
        </row>
        <row r="176">
          <cell r="C176">
            <v>2001.9166666666399</v>
          </cell>
          <cell r="F176">
            <v>8537</v>
          </cell>
        </row>
        <row r="177">
          <cell r="C177">
            <v>2001.8333333333101</v>
          </cell>
          <cell r="F177">
            <v>7734</v>
          </cell>
        </row>
        <row r="178">
          <cell r="C178">
            <v>2001.74999999998</v>
          </cell>
          <cell r="F178">
            <v>6229</v>
          </cell>
        </row>
        <row r="179">
          <cell r="C179">
            <v>2001.6666666666399</v>
          </cell>
          <cell r="F179">
            <v>4589</v>
          </cell>
        </row>
        <row r="180">
          <cell r="C180">
            <v>2001.5833333333101</v>
          </cell>
          <cell r="F180">
            <v>4293</v>
          </cell>
        </row>
        <row r="181">
          <cell r="C181">
            <v>2001.49999999998</v>
          </cell>
          <cell r="F181">
            <v>4890</v>
          </cell>
        </row>
        <row r="182">
          <cell r="C182">
            <v>2001.4166666666399</v>
          </cell>
          <cell r="F182">
            <v>5872</v>
          </cell>
        </row>
        <row r="183">
          <cell r="C183">
            <v>2001.3333333333101</v>
          </cell>
          <cell r="F183">
            <v>4556</v>
          </cell>
        </row>
        <row r="184">
          <cell r="C184">
            <v>2001.24999999997</v>
          </cell>
          <cell r="F184">
            <v>3761</v>
          </cell>
        </row>
        <row r="185">
          <cell r="C185">
            <v>2001.1666666666399</v>
          </cell>
          <cell r="F185">
            <v>3288</v>
          </cell>
        </row>
        <row r="186">
          <cell r="C186">
            <v>2001.0833333333101</v>
          </cell>
          <cell r="F186">
            <v>2960</v>
          </cell>
        </row>
        <row r="187">
          <cell r="C187">
            <v>2001</v>
          </cell>
          <cell r="F187">
            <v>5239</v>
          </cell>
        </row>
        <row r="188">
          <cell r="C188">
            <v>2000.9166666666399</v>
          </cell>
          <cell r="F188">
            <v>9162</v>
          </cell>
        </row>
        <row r="189">
          <cell r="C189">
            <v>2000.8333333333101</v>
          </cell>
          <cell r="F189">
            <v>10570</v>
          </cell>
        </row>
        <row r="190">
          <cell r="C190">
            <v>2000.74999999997</v>
          </cell>
          <cell r="F190">
            <v>10234</v>
          </cell>
        </row>
        <row r="191">
          <cell r="C191">
            <v>2000.6666666666399</v>
          </cell>
          <cell r="F191">
            <v>8572</v>
          </cell>
        </row>
        <row r="192">
          <cell r="C192">
            <v>2000.5833333333101</v>
          </cell>
          <cell r="F192">
            <v>8562</v>
          </cell>
        </row>
        <row r="193">
          <cell r="C193">
            <v>2000.49999999997</v>
          </cell>
          <cell r="F193">
            <v>9573</v>
          </cell>
        </row>
        <row r="194">
          <cell r="C194">
            <v>2000.4166666666399</v>
          </cell>
          <cell r="F194">
            <v>8971</v>
          </cell>
        </row>
        <row r="195">
          <cell r="C195">
            <v>2000.3333333333101</v>
          </cell>
          <cell r="F195">
            <v>6923</v>
          </cell>
        </row>
        <row r="196">
          <cell r="C196">
            <v>2000.24999999997</v>
          </cell>
          <cell r="F196">
            <v>5630</v>
          </cell>
        </row>
        <row r="197">
          <cell r="C197">
            <v>2000.1666666666399</v>
          </cell>
          <cell r="F197">
            <v>5976</v>
          </cell>
        </row>
        <row r="198">
          <cell r="C198">
            <v>2000.0833333333101</v>
          </cell>
          <cell r="F198">
            <v>6093</v>
          </cell>
        </row>
        <row r="199">
          <cell r="C199">
            <v>2000</v>
          </cell>
          <cell r="F199">
            <v>10812</v>
          </cell>
        </row>
        <row r="200">
          <cell r="C200">
            <v>1999.9166666660001</v>
          </cell>
          <cell r="F200">
            <v>13023</v>
          </cell>
        </row>
        <row r="201">
          <cell r="C201">
            <v>1999.83333333264</v>
          </cell>
          <cell r="F201">
            <v>13378</v>
          </cell>
        </row>
        <row r="202">
          <cell r="C202">
            <v>1999.7499999992799</v>
          </cell>
          <cell r="F202">
            <v>11434</v>
          </cell>
        </row>
        <row r="203">
          <cell r="C203">
            <v>1999.66666666592</v>
          </cell>
          <cell r="F203">
            <v>9594</v>
          </cell>
        </row>
        <row r="204">
          <cell r="C204">
            <v>1999.58333333256</v>
          </cell>
          <cell r="F204">
            <v>9733</v>
          </cell>
        </row>
        <row r="205">
          <cell r="C205">
            <v>1999.4999999992001</v>
          </cell>
          <cell r="F205">
            <v>10986</v>
          </cell>
        </row>
        <row r="206">
          <cell r="C206">
            <v>1999.41666666584</v>
          </cell>
          <cell r="F206">
            <v>10328</v>
          </cell>
        </row>
        <row r="207">
          <cell r="C207">
            <v>1999.3333333324799</v>
          </cell>
          <cell r="F207">
            <v>9334</v>
          </cell>
        </row>
        <row r="208">
          <cell r="C208">
            <v>1999.2499999991201</v>
          </cell>
          <cell r="F208">
            <v>8431</v>
          </cell>
        </row>
        <row r="209">
          <cell r="C209">
            <v>1999.16666666576</v>
          </cell>
          <cell r="F209">
            <v>8077</v>
          </cell>
        </row>
        <row r="210">
          <cell r="C210">
            <v>1999.0833333323999</v>
          </cell>
          <cell r="F210">
            <v>7315</v>
          </cell>
        </row>
        <row r="211">
          <cell r="C211">
            <v>1998.99999999904</v>
          </cell>
          <cell r="F211">
            <v>9849</v>
          </cell>
        </row>
        <row r="212">
          <cell r="C212">
            <v>1998.9166666656799</v>
          </cell>
          <cell r="F212">
            <v>11020</v>
          </cell>
        </row>
        <row r="213">
          <cell r="C213">
            <v>1998.8333333323201</v>
          </cell>
          <cell r="F213">
            <v>9981</v>
          </cell>
        </row>
        <row r="214">
          <cell r="C214">
            <v>1998.74999999896</v>
          </cell>
          <cell r="F214">
            <v>9307</v>
          </cell>
        </row>
        <row r="215">
          <cell r="C215">
            <v>1998.6666666655999</v>
          </cell>
          <cell r="F215">
            <v>8481</v>
          </cell>
        </row>
        <row r="216">
          <cell r="C216">
            <v>1998.58333333224</v>
          </cell>
          <cell r="F216">
            <v>8307</v>
          </cell>
        </row>
        <row r="217">
          <cell r="C217">
            <v>1998.49999999888</v>
          </cell>
          <cell r="F217">
            <v>8634</v>
          </cell>
        </row>
        <row r="218">
          <cell r="C218">
            <v>1998.4166666655201</v>
          </cell>
          <cell r="F218">
            <v>8008</v>
          </cell>
        </row>
        <row r="219">
          <cell r="C219">
            <v>1998.33333333216</v>
          </cell>
          <cell r="F219">
            <v>6514</v>
          </cell>
        </row>
        <row r="220">
          <cell r="C220">
            <v>1998.2499999987999</v>
          </cell>
          <cell r="F220">
            <v>4127</v>
          </cell>
        </row>
        <row r="221">
          <cell r="C221">
            <v>1998.1666666654401</v>
          </cell>
          <cell r="F221">
            <v>2533</v>
          </cell>
        </row>
        <row r="222">
          <cell r="C222">
            <v>1998.08333333208</v>
          </cell>
          <cell r="F222">
            <v>2746</v>
          </cell>
        </row>
        <row r="223">
          <cell r="C223">
            <v>1997.9999999987201</v>
          </cell>
          <cell r="F223">
            <v>2626</v>
          </cell>
        </row>
        <row r="224">
          <cell r="C224">
            <v>1997.91666666536</v>
          </cell>
          <cell r="F224">
            <v>4819</v>
          </cell>
        </row>
        <row r="225">
          <cell r="C225">
            <v>1997.8333333319999</v>
          </cell>
          <cell r="F225">
            <v>5662</v>
          </cell>
        </row>
        <row r="226">
          <cell r="C226">
            <v>1997.7499999986401</v>
          </cell>
          <cell r="F226">
            <v>5039</v>
          </cell>
        </row>
        <row r="227">
          <cell r="C227">
            <v>1997.66666666528</v>
          </cell>
          <cell r="F227">
            <v>3661</v>
          </cell>
        </row>
        <row r="228">
          <cell r="C228">
            <v>1997.5833333319199</v>
          </cell>
          <cell r="F228">
            <v>3728</v>
          </cell>
        </row>
        <row r="229">
          <cell r="C229">
            <v>1997.49999999856</v>
          </cell>
          <cell r="F229">
            <v>5066</v>
          </cell>
        </row>
        <row r="230">
          <cell r="C230">
            <v>1997.4166666652</v>
          </cell>
          <cell r="F230">
            <v>5438</v>
          </cell>
        </row>
        <row r="231">
          <cell r="C231">
            <v>1997.3333333318401</v>
          </cell>
          <cell r="F231">
            <v>4582</v>
          </cell>
        </row>
        <row r="232">
          <cell r="C232">
            <v>1997.24999999848</v>
          </cell>
          <cell r="F232">
            <v>3704</v>
          </cell>
        </row>
        <row r="233">
          <cell r="C233">
            <v>1997.1666666651099</v>
          </cell>
          <cell r="F233">
            <v>3689</v>
          </cell>
        </row>
        <row r="234">
          <cell r="C234">
            <v>1997.0833333317501</v>
          </cell>
          <cell r="F234">
            <v>4934</v>
          </cell>
        </row>
        <row r="235">
          <cell r="C235">
            <v>1996.99999999839</v>
          </cell>
          <cell r="F235">
            <v>5692</v>
          </cell>
        </row>
        <row r="236">
          <cell r="C236">
            <v>1996.9166666650301</v>
          </cell>
          <cell r="F236">
            <v>9402</v>
          </cell>
        </row>
        <row r="237">
          <cell r="C237">
            <v>1996.83333333167</v>
          </cell>
          <cell r="F237">
            <v>10511</v>
          </cell>
        </row>
        <row r="238">
          <cell r="C238">
            <v>1996.7499999983099</v>
          </cell>
          <cell r="F238">
            <v>9896</v>
          </cell>
        </row>
        <row r="239">
          <cell r="C239">
            <v>1996.6666666649501</v>
          </cell>
          <cell r="F239">
            <v>10234</v>
          </cell>
        </row>
        <row r="240">
          <cell r="C240">
            <v>1996.58333333159</v>
          </cell>
          <cell r="F240">
            <v>11122</v>
          </cell>
        </row>
        <row r="241">
          <cell r="C241">
            <v>1996.4999999982299</v>
          </cell>
          <cell r="F241">
            <v>11029</v>
          </cell>
        </row>
        <row r="242">
          <cell r="C242">
            <v>1996.41666666487</v>
          </cell>
          <cell r="F242">
            <v>9225</v>
          </cell>
        </row>
        <row r="243">
          <cell r="C243">
            <v>1996.3333333315099</v>
          </cell>
          <cell r="F243">
            <v>7209</v>
          </cell>
        </row>
        <row r="244">
          <cell r="C244">
            <v>1996.2499999981501</v>
          </cell>
          <cell r="F244">
            <v>6627</v>
          </cell>
        </row>
        <row r="245">
          <cell r="C245">
            <v>1996.16666666479</v>
          </cell>
          <cell r="F245">
            <v>5883</v>
          </cell>
        </row>
        <row r="246">
          <cell r="C246">
            <v>1996.0833333314299</v>
          </cell>
          <cell r="F246">
            <v>4982</v>
          </cell>
        </row>
        <row r="247">
          <cell r="C247">
            <v>1995.9999999980701</v>
          </cell>
          <cell r="F247">
            <v>6822</v>
          </cell>
        </row>
        <row r="248">
          <cell r="C248">
            <v>1995.91666666471</v>
          </cell>
          <cell r="F248">
            <v>9349</v>
          </cell>
        </row>
        <row r="249">
          <cell r="C249">
            <v>1995.8333333313501</v>
          </cell>
          <cell r="F249">
            <v>10028</v>
          </cell>
        </row>
        <row r="250">
          <cell r="C250">
            <v>1995.74999999799</v>
          </cell>
          <cell r="F250">
            <v>9163</v>
          </cell>
        </row>
        <row r="251">
          <cell r="C251">
            <v>1995.6666666646299</v>
          </cell>
          <cell r="F251">
            <v>9493</v>
          </cell>
        </row>
        <row r="252">
          <cell r="C252">
            <v>1995.5833333312701</v>
          </cell>
          <cell r="F252">
            <v>8850</v>
          </cell>
        </row>
        <row r="253">
          <cell r="C253">
            <v>1995.49999999791</v>
          </cell>
          <cell r="F253">
            <v>7742</v>
          </cell>
        </row>
        <row r="254">
          <cell r="C254">
            <v>1995.4166666645499</v>
          </cell>
          <cell r="F254">
            <v>7234</v>
          </cell>
        </row>
        <row r="255">
          <cell r="C255">
            <v>1995.33333333119</v>
          </cell>
          <cell r="F255">
            <v>5822</v>
          </cell>
        </row>
        <row r="256">
          <cell r="C256">
            <v>1995.2499999978299</v>
          </cell>
          <cell r="F256">
            <v>3689</v>
          </cell>
        </row>
        <row r="257">
          <cell r="C257">
            <v>1995.1666666644701</v>
          </cell>
          <cell r="F257">
            <v>2623</v>
          </cell>
        </row>
        <row r="258">
          <cell r="C258">
            <v>1995.08333333111</v>
          </cell>
          <cell r="F258">
            <v>2534</v>
          </cell>
        </row>
        <row r="259">
          <cell r="C259">
            <v>1994.9999999977499</v>
          </cell>
          <cell r="F259">
            <v>5247</v>
          </cell>
        </row>
        <row r="260">
          <cell r="C260">
            <v>1994.91666666439</v>
          </cell>
          <cell r="F260">
            <v>9946</v>
          </cell>
        </row>
        <row r="261">
          <cell r="C261">
            <v>1994.83333333103</v>
          </cell>
          <cell r="F261">
            <v>9541</v>
          </cell>
        </row>
        <row r="262">
          <cell r="C262">
            <v>1994.7499999976701</v>
          </cell>
          <cell r="F262">
            <v>7921</v>
          </cell>
        </row>
        <row r="263">
          <cell r="C263">
            <v>1994.66666666431</v>
          </cell>
          <cell r="F263">
            <v>6575</v>
          </cell>
        </row>
        <row r="264">
          <cell r="C264">
            <v>1994.5833333309499</v>
          </cell>
          <cell r="F264">
            <v>6866</v>
          </cell>
        </row>
        <row r="265">
          <cell r="C265">
            <v>1994.4999999975901</v>
          </cell>
          <cell r="F265">
            <v>8376</v>
          </cell>
        </row>
        <row r="266">
          <cell r="C266">
            <v>1994.41666666423</v>
          </cell>
          <cell r="F266">
            <v>9082</v>
          </cell>
        </row>
        <row r="267">
          <cell r="C267">
            <v>1994.3333333308699</v>
          </cell>
          <cell r="F267">
            <v>8074</v>
          </cell>
        </row>
        <row r="268">
          <cell r="C268">
            <v>1994.24999999751</v>
          </cell>
          <cell r="F268">
            <v>6451</v>
          </cell>
        </row>
        <row r="269">
          <cell r="C269">
            <v>1994.1666666641499</v>
          </cell>
          <cell r="F269">
            <v>5146</v>
          </cell>
        </row>
        <row r="270">
          <cell r="C270">
            <v>1994.0833333307901</v>
          </cell>
          <cell r="F270">
            <v>5154</v>
          </cell>
        </row>
        <row r="271">
          <cell r="C271">
            <v>1993.99999999743</v>
          </cell>
          <cell r="F271">
            <v>8045</v>
          </cell>
        </row>
        <row r="272">
          <cell r="C272">
            <v>1993.9166666640699</v>
          </cell>
          <cell r="F272">
            <v>10012</v>
          </cell>
        </row>
        <row r="273">
          <cell r="C273">
            <v>1993.83333333071</v>
          </cell>
          <cell r="F273">
            <v>8982</v>
          </cell>
        </row>
        <row r="274">
          <cell r="C274">
            <v>1993.74999999735</v>
          </cell>
          <cell r="F274">
            <v>8268</v>
          </cell>
        </row>
        <row r="275">
          <cell r="C275">
            <v>1993.6666666639901</v>
          </cell>
          <cell r="F275">
            <v>7237</v>
          </cell>
        </row>
        <row r="276">
          <cell r="C276">
            <v>1993.58333333063</v>
          </cell>
          <cell r="F276">
            <v>6275</v>
          </cell>
        </row>
        <row r="277">
          <cell r="C277">
            <v>1993.4999999972699</v>
          </cell>
          <cell r="F277">
            <v>7770</v>
          </cell>
        </row>
        <row r="278">
          <cell r="C278">
            <v>1993.4166666639101</v>
          </cell>
          <cell r="F278">
            <v>8567</v>
          </cell>
        </row>
        <row r="279">
          <cell r="C279">
            <v>1993.33333333055</v>
          </cell>
          <cell r="F279">
            <v>7418</v>
          </cell>
        </row>
        <row r="280">
          <cell r="C280">
            <v>1993.2499999971899</v>
          </cell>
          <cell r="F280">
            <v>5266</v>
          </cell>
        </row>
        <row r="281">
          <cell r="C281">
            <v>1993.16666666383</v>
          </cell>
          <cell r="F281">
            <v>3587</v>
          </cell>
        </row>
        <row r="282">
          <cell r="C282">
            <v>1993.0833333304699</v>
          </cell>
          <cell r="F282">
            <v>3850</v>
          </cell>
        </row>
        <row r="283">
          <cell r="C283">
            <v>1992.9999999971101</v>
          </cell>
          <cell r="F283">
            <v>5111</v>
          </cell>
        </row>
        <row r="284">
          <cell r="C284">
            <v>1992.91666666375</v>
          </cell>
          <cell r="F284">
            <v>7096</v>
          </cell>
        </row>
        <row r="285">
          <cell r="C285">
            <v>1992.8333333303899</v>
          </cell>
          <cell r="F285">
            <v>6914</v>
          </cell>
        </row>
        <row r="286">
          <cell r="C286">
            <v>1992.74999999703</v>
          </cell>
          <cell r="F286">
            <v>6908</v>
          </cell>
        </row>
        <row r="287">
          <cell r="C287">
            <v>1992.66666666367</v>
          </cell>
          <cell r="F287">
            <v>6075</v>
          </cell>
        </row>
        <row r="288">
          <cell r="C288">
            <v>1992.5833333303101</v>
          </cell>
          <cell r="F288">
            <v>5718</v>
          </cell>
        </row>
        <row r="289">
          <cell r="C289">
            <v>1992.49999999695</v>
          </cell>
          <cell r="F289">
            <v>4899</v>
          </cell>
        </row>
        <row r="290">
          <cell r="C290">
            <v>1992.4166666635899</v>
          </cell>
          <cell r="F290">
            <v>5507</v>
          </cell>
        </row>
        <row r="291">
          <cell r="C291">
            <v>1992.3333333302301</v>
          </cell>
          <cell r="F291">
            <v>4617</v>
          </cell>
        </row>
        <row r="292">
          <cell r="C292">
            <v>1992.24999999687</v>
          </cell>
          <cell r="F292">
            <v>2844</v>
          </cell>
        </row>
        <row r="293">
          <cell r="C293">
            <v>1992.1666666635101</v>
          </cell>
          <cell r="F293">
            <v>2884</v>
          </cell>
        </row>
        <row r="294">
          <cell r="C294">
            <v>1992.08333333015</v>
          </cell>
          <cell r="F294">
            <v>3068</v>
          </cell>
        </row>
        <row r="295">
          <cell r="C295">
            <v>1991.9999999967899</v>
          </cell>
          <cell r="F295">
            <v>4552</v>
          </cell>
        </row>
        <row r="296">
          <cell r="C296">
            <v>1991.9166666634301</v>
          </cell>
          <cell r="F296">
            <v>8438</v>
          </cell>
        </row>
        <row r="297">
          <cell r="C297">
            <v>1991.83333333007</v>
          </cell>
          <cell r="F297">
            <v>8240</v>
          </cell>
        </row>
        <row r="298">
          <cell r="C298">
            <v>1991.7499999967099</v>
          </cell>
          <cell r="F298">
            <v>7768</v>
          </cell>
        </row>
        <row r="299">
          <cell r="C299">
            <v>1991.66666666335</v>
          </cell>
          <cell r="F299">
            <v>5396</v>
          </cell>
        </row>
        <row r="300">
          <cell r="C300">
            <v>1991.58333332999</v>
          </cell>
          <cell r="F300">
            <v>6347</v>
          </cell>
        </row>
        <row r="301">
          <cell r="C301">
            <v>1991.4999999966301</v>
          </cell>
          <cell r="F301">
            <v>6740</v>
          </cell>
        </row>
        <row r="302">
          <cell r="C302">
            <v>1991.41666666327</v>
          </cell>
          <cell r="F302">
            <v>7130</v>
          </cell>
        </row>
        <row r="303">
          <cell r="C303">
            <v>1991.3333333299099</v>
          </cell>
          <cell r="F303">
            <v>6418</v>
          </cell>
        </row>
        <row r="304">
          <cell r="C304">
            <v>1991.2499999965501</v>
          </cell>
          <cell r="F304">
            <v>4843</v>
          </cell>
        </row>
        <row r="305">
          <cell r="C305">
            <v>1991.16666666319</v>
          </cell>
          <cell r="F305">
            <v>4155</v>
          </cell>
        </row>
        <row r="306">
          <cell r="C306">
            <v>1991.0833333298301</v>
          </cell>
          <cell r="F306">
            <v>3696</v>
          </cell>
        </row>
        <row r="307">
          <cell r="C307">
            <v>1990.99999999647</v>
          </cell>
          <cell r="F307">
            <v>7050</v>
          </cell>
        </row>
        <row r="308">
          <cell r="C308">
            <v>1990.9166666631099</v>
          </cell>
          <cell r="F308">
            <v>10194</v>
          </cell>
        </row>
        <row r="309">
          <cell r="C309">
            <v>1990.8333333297501</v>
          </cell>
          <cell r="F309">
            <v>9891</v>
          </cell>
        </row>
        <row r="310">
          <cell r="C310">
            <v>1990.74999999639</v>
          </cell>
          <cell r="F310">
            <v>7998</v>
          </cell>
        </row>
        <row r="311">
          <cell r="C311">
            <v>1990.6666666630299</v>
          </cell>
          <cell r="F311">
            <v>6606</v>
          </cell>
        </row>
        <row r="312">
          <cell r="C312">
            <v>1990.58333332967</v>
          </cell>
          <cell r="F312">
            <v>6335</v>
          </cell>
        </row>
        <row r="313">
          <cell r="C313">
            <v>1990.49999999631</v>
          </cell>
          <cell r="F313">
            <v>7090</v>
          </cell>
        </row>
        <row r="314">
          <cell r="C314">
            <v>1990.4166666629501</v>
          </cell>
          <cell r="F314">
            <v>7707</v>
          </cell>
        </row>
        <row r="315">
          <cell r="C315">
            <v>1990.33333332959</v>
          </cell>
          <cell r="F315">
            <v>7401</v>
          </cell>
        </row>
        <row r="316">
          <cell r="C316">
            <v>1990.2499999962299</v>
          </cell>
          <cell r="F316">
            <v>5276</v>
          </cell>
        </row>
        <row r="317">
          <cell r="C317">
            <v>1990.1666666628701</v>
          </cell>
          <cell r="F317">
            <v>4684</v>
          </cell>
        </row>
        <row r="318">
          <cell r="C318">
            <v>1990.08333332951</v>
          </cell>
          <cell r="F318">
            <v>5057</v>
          </cell>
        </row>
        <row r="319">
          <cell r="C319">
            <v>1989.9999999961501</v>
          </cell>
          <cell r="F319">
            <v>6673</v>
          </cell>
        </row>
        <row r="320">
          <cell r="C320">
            <v>1989.91666666279</v>
          </cell>
          <cell r="F320">
            <v>10709</v>
          </cell>
        </row>
        <row r="321">
          <cell r="C321">
            <v>1989.8333333294299</v>
          </cell>
          <cell r="F321">
            <v>12046</v>
          </cell>
        </row>
        <row r="322">
          <cell r="C322">
            <v>1989.7499999960701</v>
          </cell>
          <cell r="F322">
            <v>10531</v>
          </cell>
        </row>
        <row r="323">
          <cell r="C323">
            <v>1989.66666666271</v>
          </cell>
          <cell r="F323">
            <v>8298</v>
          </cell>
        </row>
        <row r="324">
          <cell r="C324">
            <v>1989.5833333293499</v>
          </cell>
          <cell r="F324">
            <v>6889</v>
          </cell>
        </row>
        <row r="325">
          <cell r="C325">
            <v>1989.49999999599</v>
          </cell>
          <cell r="F325">
            <v>7218</v>
          </cell>
        </row>
        <row r="326">
          <cell r="C326">
            <v>1989.41666666263</v>
          </cell>
          <cell r="F326">
            <v>7546</v>
          </cell>
        </row>
        <row r="327">
          <cell r="C327">
            <v>1989.3333333292701</v>
          </cell>
          <cell r="F327">
            <v>6464</v>
          </cell>
        </row>
        <row r="328">
          <cell r="C328">
            <v>1989.24999999591</v>
          </cell>
          <cell r="F328">
            <v>5862</v>
          </cell>
        </row>
        <row r="329">
          <cell r="C329">
            <v>1989.1666666625499</v>
          </cell>
          <cell r="F329">
            <v>6120</v>
          </cell>
        </row>
        <row r="330">
          <cell r="C330">
            <v>1989.0833333291901</v>
          </cell>
          <cell r="F330">
            <v>7224</v>
          </cell>
        </row>
        <row r="331">
          <cell r="C331">
            <v>1988.99999999583</v>
          </cell>
          <cell r="F331">
            <v>11564</v>
          </cell>
        </row>
        <row r="332">
          <cell r="C332">
            <v>1988.9166666624701</v>
          </cell>
          <cell r="F332">
            <v>13531</v>
          </cell>
        </row>
        <row r="333">
          <cell r="C333">
            <v>1988.83333332911</v>
          </cell>
          <cell r="F333">
            <v>13160</v>
          </cell>
        </row>
        <row r="334">
          <cell r="C334">
            <v>1988.7499999957499</v>
          </cell>
          <cell r="F334">
            <v>12893</v>
          </cell>
        </row>
        <row r="335">
          <cell r="C335">
            <v>1988.6666666623901</v>
          </cell>
          <cell r="F335">
            <v>11519</v>
          </cell>
        </row>
        <row r="336">
          <cell r="C336">
            <v>1988.58333332903</v>
          </cell>
          <cell r="F336">
            <v>9669</v>
          </cell>
        </row>
        <row r="337">
          <cell r="C337">
            <v>1988.4999999956699</v>
          </cell>
          <cell r="F337">
            <v>8636</v>
          </cell>
        </row>
        <row r="338">
          <cell r="C338">
            <v>1988.41666666231</v>
          </cell>
          <cell r="F338">
            <v>6416</v>
          </cell>
        </row>
        <row r="339">
          <cell r="C339">
            <v>1988.3333333289499</v>
          </cell>
          <cell r="F339">
            <v>5725</v>
          </cell>
        </row>
        <row r="340">
          <cell r="C340">
            <v>1988.2499999955901</v>
          </cell>
          <cell r="F340">
            <v>4695</v>
          </cell>
        </row>
        <row r="341">
          <cell r="C341">
            <v>1988.16666666223</v>
          </cell>
          <cell r="F341">
            <v>4152</v>
          </cell>
        </row>
        <row r="342">
          <cell r="C342">
            <v>1988.0833333288699</v>
          </cell>
          <cell r="F342">
            <v>4394</v>
          </cell>
        </row>
        <row r="343">
          <cell r="C343">
            <v>1987.9999999955101</v>
          </cell>
          <cell r="F343">
            <v>6517</v>
          </cell>
        </row>
        <row r="344">
          <cell r="C344">
            <v>1987.91666666215</v>
          </cell>
          <cell r="F344">
            <v>11132</v>
          </cell>
        </row>
        <row r="345">
          <cell r="C345">
            <v>1987.8333333287901</v>
          </cell>
          <cell r="F345">
            <v>11086</v>
          </cell>
        </row>
        <row r="346">
          <cell r="C346">
            <v>1987.74999999543</v>
          </cell>
          <cell r="F346">
            <v>8922</v>
          </cell>
        </row>
        <row r="347">
          <cell r="C347">
            <v>1987.6666666620599</v>
          </cell>
          <cell r="F347">
            <v>7653</v>
          </cell>
        </row>
        <row r="348">
          <cell r="C348">
            <v>1987.5833333287001</v>
          </cell>
          <cell r="F348">
            <v>7564</v>
          </cell>
        </row>
        <row r="349">
          <cell r="C349">
            <v>1987.49999999534</v>
          </cell>
          <cell r="F349">
            <v>5945</v>
          </cell>
        </row>
        <row r="350">
          <cell r="C350">
            <v>1987.4166666619799</v>
          </cell>
          <cell r="F350">
            <v>6982</v>
          </cell>
        </row>
        <row r="351">
          <cell r="C351">
            <v>1987.33333332862</v>
          </cell>
          <cell r="F351">
            <v>6149</v>
          </cell>
        </row>
        <row r="352">
          <cell r="C352">
            <v>1987.2499999952599</v>
          </cell>
          <cell r="F352">
            <v>4451</v>
          </cell>
        </row>
        <row r="353">
          <cell r="C353">
            <v>1987.1666666619001</v>
          </cell>
          <cell r="F353">
            <v>4114</v>
          </cell>
        </row>
        <row r="354">
          <cell r="C354">
            <v>1987.08333332854</v>
          </cell>
          <cell r="F354">
            <v>4222</v>
          </cell>
        </row>
        <row r="355">
          <cell r="C355">
            <v>1986.9999999951799</v>
          </cell>
          <cell r="F355">
            <v>5075</v>
          </cell>
        </row>
        <row r="356">
          <cell r="C356">
            <v>1986.91666666182</v>
          </cell>
          <cell r="F356">
            <v>9594</v>
          </cell>
        </row>
        <row r="357">
          <cell r="C357">
            <v>1986.83333332846</v>
          </cell>
          <cell r="F357">
            <v>10628</v>
          </cell>
        </row>
        <row r="358">
          <cell r="C358">
            <v>1986.7499999951001</v>
          </cell>
          <cell r="F358">
            <v>8391</v>
          </cell>
        </row>
        <row r="359">
          <cell r="C359">
            <v>1986.66666666174</v>
          </cell>
          <cell r="F359">
            <v>6190</v>
          </cell>
        </row>
        <row r="360">
          <cell r="C360">
            <v>1986.5833333283799</v>
          </cell>
          <cell r="F360">
            <v>6205</v>
          </cell>
        </row>
        <row r="361">
          <cell r="C361">
            <v>1986.4999999950201</v>
          </cell>
          <cell r="F361">
            <v>8717</v>
          </cell>
        </row>
        <row r="362">
          <cell r="C362">
            <v>1986.41666666166</v>
          </cell>
          <cell r="F362">
            <v>9229</v>
          </cell>
        </row>
        <row r="363">
          <cell r="C363">
            <v>1986.3333333282999</v>
          </cell>
          <cell r="F363">
            <v>8347</v>
          </cell>
        </row>
        <row r="364">
          <cell r="C364">
            <v>1986.24999999494</v>
          </cell>
          <cell r="F364">
            <v>6552</v>
          </cell>
        </row>
        <row r="365">
          <cell r="C365">
            <v>1986.1666666615799</v>
          </cell>
          <cell r="F365">
            <v>5667</v>
          </cell>
        </row>
        <row r="366">
          <cell r="C366">
            <v>1986.0833333282201</v>
          </cell>
          <cell r="F366">
            <v>5097</v>
          </cell>
        </row>
        <row r="367">
          <cell r="C367">
            <v>1985.99999999486</v>
          </cell>
          <cell r="F367">
            <v>6525</v>
          </cell>
        </row>
        <row r="368">
          <cell r="C368">
            <v>1985.9166666614999</v>
          </cell>
          <cell r="F368">
            <v>9753</v>
          </cell>
        </row>
        <row r="369">
          <cell r="C369">
            <v>1985.83333332814</v>
          </cell>
          <cell r="F369">
            <v>9907</v>
          </cell>
        </row>
        <row r="370">
          <cell r="C370">
            <v>1985.74999999478</v>
          </cell>
          <cell r="F370">
            <v>9087</v>
          </cell>
        </row>
        <row r="371">
          <cell r="C371">
            <v>1985.6666666614201</v>
          </cell>
          <cell r="F371">
            <v>7842</v>
          </cell>
        </row>
        <row r="372">
          <cell r="C372">
            <v>1985.58333332806</v>
          </cell>
          <cell r="F372">
            <v>6058</v>
          </cell>
        </row>
        <row r="373">
          <cell r="C373">
            <v>1985.4999999946999</v>
          </cell>
          <cell r="F373">
            <v>4730</v>
          </cell>
        </row>
        <row r="374">
          <cell r="C374">
            <v>1985.4166666613401</v>
          </cell>
          <cell r="F374">
            <v>6206</v>
          </cell>
        </row>
        <row r="375">
          <cell r="C375">
            <v>1985.33333332798</v>
          </cell>
          <cell r="F375">
            <v>5521</v>
          </cell>
        </row>
        <row r="376">
          <cell r="C376">
            <v>1985.2499999946201</v>
          </cell>
          <cell r="F376">
            <v>3974</v>
          </cell>
        </row>
        <row r="377">
          <cell r="C377">
            <v>1985.16666666126</v>
          </cell>
          <cell r="F377">
            <v>3001</v>
          </cell>
        </row>
        <row r="378">
          <cell r="C378">
            <v>1985.0833333278999</v>
          </cell>
          <cell r="F378">
            <v>3917</v>
          </cell>
        </row>
        <row r="379">
          <cell r="C379">
            <v>1984.9999999945401</v>
          </cell>
          <cell r="F379">
            <v>7954</v>
          </cell>
        </row>
        <row r="380">
          <cell r="C380">
            <v>1984.91666666118</v>
          </cell>
          <cell r="F380">
            <v>12508</v>
          </cell>
        </row>
        <row r="381">
          <cell r="C381">
            <v>1984.8333333278199</v>
          </cell>
          <cell r="F381">
            <v>12762</v>
          </cell>
        </row>
        <row r="382">
          <cell r="C382">
            <v>1984.74999999446</v>
          </cell>
          <cell r="F382">
            <v>11298</v>
          </cell>
        </row>
        <row r="383">
          <cell r="C383">
            <v>1984.6666666611</v>
          </cell>
          <cell r="F383">
            <v>10112</v>
          </cell>
        </row>
        <row r="384">
          <cell r="C384">
            <v>1984.5833333277401</v>
          </cell>
          <cell r="F384">
            <v>10415</v>
          </cell>
        </row>
        <row r="385">
          <cell r="C385">
            <v>1984.49999999438</v>
          </cell>
          <cell r="F385">
            <v>10403</v>
          </cell>
        </row>
        <row r="386">
          <cell r="C386">
            <v>1984.4166666610199</v>
          </cell>
          <cell r="F386">
            <v>9164</v>
          </cell>
        </row>
        <row r="387">
          <cell r="C387">
            <v>1984.3333333276601</v>
          </cell>
          <cell r="F387">
            <v>6784</v>
          </cell>
        </row>
        <row r="388">
          <cell r="C388">
            <v>1984.2499999943</v>
          </cell>
          <cell r="F388">
            <v>4613</v>
          </cell>
        </row>
        <row r="389">
          <cell r="C389">
            <v>1984.1666666609401</v>
          </cell>
          <cell r="F389">
            <v>5016</v>
          </cell>
        </row>
        <row r="390">
          <cell r="C390">
            <v>1984.08333332758</v>
          </cell>
          <cell r="F390">
            <v>5769</v>
          </cell>
        </row>
        <row r="391">
          <cell r="C391">
            <v>1983.9999999942199</v>
          </cell>
          <cell r="F391">
            <v>7046</v>
          </cell>
        </row>
        <row r="392">
          <cell r="C392">
            <v>1983.9166666608601</v>
          </cell>
          <cell r="F392">
            <v>7490</v>
          </cell>
        </row>
        <row r="393">
          <cell r="C393">
            <v>1983.8333333275</v>
          </cell>
          <cell r="F393">
            <v>8007</v>
          </cell>
        </row>
        <row r="394">
          <cell r="C394">
            <v>1983.7499999941399</v>
          </cell>
          <cell r="F394">
            <v>7230</v>
          </cell>
        </row>
        <row r="395">
          <cell r="C395">
            <v>1983.66666666078</v>
          </cell>
          <cell r="F395">
            <v>6475</v>
          </cell>
        </row>
        <row r="396">
          <cell r="C396">
            <v>1983.58333332742</v>
          </cell>
          <cell r="F396">
            <v>5830</v>
          </cell>
        </row>
        <row r="397">
          <cell r="C397">
            <v>1983.4999999940601</v>
          </cell>
          <cell r="F397">
            <v>6361</v>
          </cell>
        </row>
        <row r="398">
          <cell r="C398">
            <v>1983.4166666607</v>
          </cell>
          <cell r="F398">
            <v>8204</v>
          </cell>
        </row>
        <row r="399">
          <cell r="C399">
            <v>1983.3333333273399</v>
          </cell>
          <cell r="F399">
            <v>7320</v>
          </cell>
        </row>
        <row r="400">
          <cell r="C400">
            <v>1983.2499999939801</v>
          </cell>
          <cell r="F400">
            <v>4473</v>
          </cell>
        </row>
        <row r="401">
          <cell r="C401">
            <v>1983.16666666062</v>
          </cell>
          <cell r="F401">
            <v>2714</v>
          </cell>
        </row>
        <row r="402">
          <cell r="C402">
            <v>1983.0833333272601</v>
          </cell>
          <cell r="F402">
            <v>2490</v>
          </cell>
        </row>
        <row r="403">
          <cell r="C403">
            <v>1982.9999999939</v>
          </cell>
          <cell r="F403">
            <v>4439</v>
          </cell>
        </row>
        <row r="404">
          <cell r="C404">
            <v>1982.9166666605399</v>
          </cell>
          <cell r="F404">
            <v>7576</v>
          </cell>
        </row>
        <row r="405">
          <cell r="C405">
            <v>1982.8333333271801</v>
          </cell>
          <cell r="F405">
            <v>9399</v>
          </cell>
        </row>
        <row r="406">
          <cell r="C406">
            <v>1982.74999999382</v>
          </cell>
          <cell r="F406">
            <v>7715</v>
          </cell>
        </row>
        <row r="407">
          <cell r="C407">
            <v>1982.6666666604599</v>
          </cell>
          <cell r="F407">
            <v>6023</v>
          </cell>
        </row>
        <row r="408">
          <cell r="C408">
            <v>1982.5833333271</v>
          </cell>
          <cell r="F408">
            <v>6893</v>
          </cell>
        </row>
        <row r="409">
          <cell r="C409">
            <v>1982.4999999937399</v>
          </cell>
          <cell r="F409">
            <v>9569</v>
          </cell>
        </row>
        <row r="410">
          <cell r="C410">
            <v>1982.4166666603801</v>
          </cell>
          <cell r="F410">
            <v>11092</v>
          </cell>
        </row>
        <row r="411">
          <cell r="C411">
            <v>1982.33333332702</v>
          </cell>
          <cell r="F411">
            <v>9027</v>
          </cell>
        </row>
        <row r="412">
          <cell r="C412">
            <v>1982.2499999936599</v>
          </cell>
          <cell r="F412">
            <v>6370</v>
          </cell>
        </row>
        <row r="413">
          <cell r="C413">
            <v>1982.1666666603001</v>
          </cell>
          <cell r="F413">
            <v>5140</v>
          </cell>
        </row>
        <row r="414">
          <cell r="C414">
            <v>1982.08333332694</v>
          </cell>
          <cell r="F414">
            <v>5825</v>
          </cell>
        </row>
        <row r="415">
          <cell r="C415">
            <v>1981.9999999935801</v>
          </cell>
          <cell r="F415">
            <v>8325</v>
          </cell>
        </row>
        <row r="416">
          <cell r="C416">
            <v>1981.91666666022</v>
          </cell>
          <cell r="F416">
            <v>11579</v>
          </cell>
        </row>
        <row r="417">
          <cell r="C417">
            <v>1981.8333333268599</v>
          </cell>
          <cell r="F417">
            <v>11148</v>
          </cell>
        </row>
        <row r="418">
          <cell r="C418">
            <v>1981.7499999935001</v>
          </cell>
          <cell r="F418">
            <v>9926</v>
          </cell>
        </row>
        <row r="419">
          <cell r="C419">
            <v>1981.66666666014</v>
          </cell>
          <cell r="F419">
            <v>10343</v>
          </cell>
        </row>
        <row r="420">
          <cell r="C420">
            <v>1981.5833333267799</v>
          </cell>
          <cell r="F420">
            <v>10851</v>
          </cell>
        </row>
        <row r="421">
          <cell r="C421">
            <v>1981.49999999342</v>
          </cell>
          <cell r="F421">
            <v>13567</v>
          </cell>
        </row>
        <row r="422">
          <cell r="C422">
            <v>1981.4166666600599</v>
          </cell>
          <cell r="F422">
            <v>13531</v>
          </cell>
        </row>
        <row r="423">
          <cell r="C423">
            <v>1981.3333333267001</v>
          </cell>
          <cell r="F423">
            <v>9666</v>
          </cell>
        </row>
        <row r="424">
          <cell r="C424">
            <v>1981.24999999334</v>
          </cell>
          <cell r="F424">
            <v>5002</v>
          </cell>
        </row>
        <row r="425">
          <cell r="C425">
            <v>1981.1666666599799</v>
          </cell>
          <cell r="F425">
            <v>4969</v>
          </cell>
        </row>
        <row r="426">
          <cell r="C426">
            <v>1981.08333332662</v>
          </cell>
          <cell r="F426">
            <v>3794</v>
          </cell>
        </row>
        <row r="427">
          <cell r="C427">
            <v>1980.99999999326</v>
          </cell>
          <cell r="F427">
            <v>6688</v>
          </cell>
        </row>
        <row r="428">
          <cell r="C428">
            <v>1980.9166666599001</v>
          </cell>
          <cell r="F428">
            <v>8713</v>
          </cell>
        </row>
        <row r="429">
          <cell r="C429">
            <v>1980.83333332654</v>
          </cell>
          <cell r="F429">
            <v>9039</v>
          </cell>
        </row>
        <row r="430">
          <cell r="C430">
            <v>1980.7499999931799</v>
          </cell>
          <cell r="F430">
            <v>8012</v>
          </cell>
        </row>
        <row r="431">
          <cell r="C431">
            <v>1980.6666666598201</v>
          </cell>
          <cell r="F431">
            <v>6136</v>
          </cell>
        </row>
        <row r="432">
          <cell r="C432">
            <v>1980.58333332646</v>
          </cell>
          <cell r="F432">
            <v>6260</v>
          </cell>
        </row>
        <row r="433">
          <cell r="C433">
            <v>1980.4999999930999</v>
          </cell>
          <cell r="F433">
            <v>5896</v>
          </cell>
        </row>
        <row r="434">
          <cell r="C434">
            <v>1980.41666665974</v>
          </cell>
          <cell r="F434">
            <v>6636</v>
          </cell>
        </row>
        <row r="435">
          <cell r="C435">
            <v>1980.3333333263799</v>
          </cell>
          <cell r="F435">
            <v>5139</v>
          </cell>
        </row>
        <row r="436">
          <cell r="C436">
            <v>1980.2499999930201</v>
          </cell>
          <cell r="F436">
            <v>3352</v>
          </cell>
        </row>
        <row r="437">
          <cell r="C437">
            <v>1980.16666665966</v>
          </cell>
          <cell r="F437">
            <v>3159</v>
          </cell>
        </row>
        <row r="438">
          <cell r="C438">
            <v>1980.0833333262999</v>
          </cell>
          <cell r="F438">
            <v>4656</v>
          </cell>
        </row>
        <row r="439">
          <cell r="C439">
            <v>1979.99999999294</v>
          </cell>
          <cell r="F439">
            <v>7503</v>
          </cell>
        </row>
        <row r="440">
          <cell r="C440">
            <v>1979.91666665958</v>
          </cell>
          <cell r="F440">
            <v>12341</v>
          </cell>
        </row>
        <row r="441">
          <cell r="C441">
            <v>1979.8333333262201</v>
          </cell>
          <cell r="F441">
            <v>10863</v>
          </cell>
        </row>
        <row r="442">
          <cell r="C442">
            <v>1979.74999999286</v>
          </cell>
          <cell r="F442">
            <v>9138</v>
          </cell>
        </row>
        <row r="443">
          <cell r="C443">
            <v>1979.6666666594999</v>
          </cell>
          <cell r="F443">
            <v>8187</v>
          </cell>
        </row>
        <row r="444">
          <cell r="C444">
            <v>1979.5833333261401</v>
          </cell>
          <cell r="F444">
            <v>6925</v>
          </cell>
        </row>
        <row r="445">
          <cell r="C445">
            <v>1979.49999999278</v>
          </cell>
          <cell r="F445">
            <v>8789</v>
          </cell>
        </row>
        <row r="446">
          <cell r="C446">
            <v>1979.4166666594199</v>
          </cell>
          <cell r="F446">
            <v>8825</v>
          </cell>
        </row>
        <row r="447">
          <cell r="C447">
            <v>1979.33333332606</v>
          </cell>
          <cell r="F447">
            <v>6962</v>
          </cell>
        </row>
        <row r="448">
          <cell r="C448">
            <v>1979.2499999926999</v>
          </cell>
          <cell r="F448">
            <v>4257</v>
          </cell>
        </row>
        <row r="449">
          <cell r="C449">
            <v>1979.1666666593401</v>
          </cell>
          <cell r="F449">
            <v>3337</v>
          </cell>
        </row>
        <row r="450">
          <cell r="C450">
            <v>1979.08333332598</v>
          </cell>
          <cell r="F450">
            <v>2826</v>
          </cell>
        </row>
        <row r="451">
          <cell r="C451">
            <v>1978.9999999926199</v>
          </cell>
          <cell r="F451">
            <v>5471</v>
          </cell>
        </row>
        <row r="452">
          <cell r="C452">
            <v>1978.91666665926</v>
          </cell>
          <cell r="F452">
            <v>9153</v>
          </cell>
        </row>
        <row r="453">
          <cell r="C453">
            <v>1978.8333333259</v>
          </cell>
          <cell r="F453">
            <v>9520</v>
          </cell>
        </row>
        <row r="454">
          <cell r="C454">
            <v>1978.7499999925401</v>
          </cell>
          <cell r="F454">
            <v>7930</v>
          </cell>
        </row>
        <row r="455">
          <cell r="C455">
            <v>1978.66666665918</v>
          </cell>
          <cell r="F455">
            <v>6553</v>
          </cell>
        </row>
        <row r="456">
          <cell r="C456">
            <v>1978.5833333258199</v>
          </cell>
          <cell r="F456">
            <v>7005</v>
          </cell>
        </row>
        <row r="457">
          <cell r="C457">
            <v>1978.4999999924601</v>
          </cell>
          <cell r="F457">
            <v>8703</v>
          </cell>
        </row>
        <row r="458">
          <cell r="C458">
            <v>1978.4166666591</v>
          </cell>
          <cell r="F458">
            <v>9034</v>
          </cell>
        </row>
        <row r="459">
          <cell r="C459">
            <v>1978.3333333257401</v>
          </cell>
          <cell r="F459">
            <v>8375</v>
          </cell>
        </row>
        <row r="460">
          <cell r="C460">
            <v>1978.24999999238</v>
          </cell>
          <cell r="F460">
            <v>5916</v>
          </cell>
        </row>
        <row r="461">
          <cell r="C461">
            <v>1978.1666666590099</v>
          </cell>
          <cell r="F461">
            <v>2697</v>
          </cell>
        </row>
        <row r="462">
          <cell r="C462">
            <v>1978.0833333256501</v>
          </cell>
          <cell r="F462">
            <v>2776</v>
          </cell>
        </row>
        <row r="463">
          <cell r="C463">
            <v>1977.99999999229</v>
          </cell>
          <cell r="F463">
            <v>5147</v>
          </cell>
        </row>
        <row r="464">
          <cell r="C464">
            <v>1977.9166666589299</v>
          </cell>
          <cell r="F464">
            <v>9909</v>
          </cell>
        </row>
        <row r="465">
          <cell r="C465">
            <v>1977.83333332557</v>
          </cell>
          <cell r="F465">
            <v>10328</v>
          </cell>
        </row>
        <row r="466">
          <cell r="C466">
            <v>1977.74999999221</v>
          </cell>
          <cell r="F466">
            <v>8275</v>
          </cell>
        </row>
        <row r="467">
          <cell r="C467">
            <v>1977.6666666588501</v>
          </cell>
          <cell r="F467">
            <v>5730</v>
          </cell>
        </row>
        <row r="468">
          <cell r="C468">
            <v>1977.58333332549</v>
          </cell>
          <cell r="F468">
            <v>6383</v>
          </cell>
        </row>
        <row r="469">
          <cell r="C469">
            <v>1977.4999999921299</v>
          </cell>
          <cell r="F469">
            <v>6289</v>
          </cell>
        </row>
        <row r="470">
          <cell r="C470">
            <v>1977.4166666587701</v>
          </cell>
          <cell r="F470">
            <v>6776</v>
          </cell>
        </row>
        <row r="471">
          <cell r="C471">
            <v>1977.33333332541</v>
          </cell>
          <cell r="F471">
            <v>4768</v>
          </cell>
        </row>
        <row r="472">
          <cell r="C472">
            <v>1977.2499999920501</v>
          </cell>
          <cell r="F472">
            <v>2953</v>
          </cell>
        </row>
        <row r="473">
          <cell r="C473">
            <v>1977.16666665869</v>
          </cell>
          <cell r="F473">
            <v>1953</v>
          </cell>
        </row>
        <row r="474">
          <cell r="C474">
            <v>1977.0833333253299</v>
          </cell>
          <cell r="F474">
            <v>2120</v>
          </cell>
        </row>
        <row r="475">
          <cell r="C475">
            <v>1976.9999999919701</v>
          </cell>
          <cell r="F475">
            <v>3132</v>
          </cell>
        </row>
        <row r="476">
          <cell r="C476">
            <v>1976.91666665861</v>
          </cell>
          <cell r="F476">
            <v>6946</v>
          </cell>
        </row>
        <row r="477">
          <cell r="C477">
            <v>1976.8333333252499</v>
          </cell>
          <cell r="F477">
            <v>9042</v>
          </cell>
        </row>
        <row r="478">
          <cell r="C478">
            <v>1976.74999999189</v>
          </cell>
          <cell r="F478">
            <v>7210</v>
          </cell>
        </row>
        <row r="479">
          <cell r="C479">
            <v>1976.6666666585299</v>
          </cell>
          <cell r="F479">
            <v>4574</v>
          </cell>
        </row>
        <row r="480">
          <cell r="C480">
            <v>1976.5833333251701</v>
          </cell>
          <cell r="F480">
            <v>5593</v>
          </cell>
        </row>
        <row r="481">
          <cell r="C481">
            <v>1976.49999999181</v>
          </cell>
          <cell r="F481">
            <v>7425</v>
          </cell>
        </row>
        <row r="482">
          <cell r="C482">
            <v>1976.4166666584499</v>
          </cell>
          <cell r="F482">
            <v>8307</v>
          </cell>
        </row>
        <row r="483">
          <cell r="C483">
            <v>1976.3333333250901</v>
          </cell>
          <cell r="F483">
            <v>7897</v>
          </cell>
        </row>
        <row r="484">
          <cell r="C484">
            <v>1976.24999999173</v>
          </cell>
          <cell r="F484">
            <v>5986</v>
          </cell>
        </row>
        <row r="485">
          <cell r="C485">
            <v>1976.1666666583701</v>
          </cell>
          <cell r="F485">
            <v>5418</v>
          </cell>
        </row>
        <row r="486">
          <cell r="C486">
            <v>1976.08333332501</v>
          </cell>
          <cell r="F486">
            <v>6053</v>
          </cell>
        </row>
        <row r="487">
          <cell r="C487">
            <v>1975.9999999916499</v>
          </cell>
          <cell r="F487">
            <v>10435</v>
          </cell>
        </row>
        <row r="488">
          <cell r="C488">
            <v>1975.9166666582901</v>
          </cell>
          <cell r="F488">
            <v>15373</v>
          </cell>
        </row>
        <row r="489">
          <cell r="C489">
            <v>1975.83333332493</v>
          </cell>
          <cell r="F489">
            <v>15382</v>
          </cell>
        </row>
        <row r="490">
          <cell r="C490">
            <v>1975.7499999915699</v>
          </cell>
          <cell r="F490">
            <v>12699</v>
          </cell>
        </row>
        <row r="491">
          <cell r="C491">
            <v>1975.66666665821</v>
          </cell>
          <cell r="F491">
            <v>10697</v>
          </cell>
        </row>
        <row r="492">
          <cell r="C492">
            <v>1975.5833333248499</v>
          </cell>
          <cell r="F492">
            <v>9192</v>
          </cell>
        </row>
        <row r="493">
          <cell r="C493">
            <v>1975.4999999914901</v>
          </cell>
          <cell r="F493">
            <v>8708</v>
          </cell>
        </row>
        <row r="494">
          <cell r="C494">
            <v>1975.41666665813</v>
          </cell>
          <cell r="F494">
            <v>7786</v>
          </cell>
        </row>
        <row r="495">
          <cell r="C495">
            <v>1975.3333333247699</v>
          </cell>
          <cell r="F495">
            <v>6222</v>
          </cell>
        </row>
        <row r="496">
          <cell r="C496">
            <v>1975.24999999141</v>
          </cell>
          <cell r="F496">
            <v>4242</v>
          </cell>
        </row>
        <row r="497">
          <cell r="C497">
            <v>1975.16666665805</v>
          </cell>
          <cell r="F497">
            <v>4896</v>
          </cell>
        </row>
        <row r="498">
          <cell r="C498">
            <v>1975.0833333246901</v>
          </cell>
          <cell r="F498">
            <v>3880</v>
          </cell>
        </row>
        <row r="499">
          <cell r="C499">
            <v>1974.99999999133</v>
          </cell>
          <cell r="F499">
            <v>7015</v>
          </cell>
        </row>
        <row r="500">
          <cell r="C500">
            <v>1974.9166666579699</v>
          </cell>
          <cell r="F500">
            <v>14159</v>
          </cell>
        </row>
        <row r="501">
          <cell r="C501">
            <v>1974.8333333246101</v>
          </cell>
          <cell r="F501">
            <v>14475</v>
          </cell>
        </row>
        <row r="502">
          <cell r="C502">
            <v>1974.74999999125</v>
          </cell>
          <cell r="F502">
            <v>10593</v>
          </cell>
        </row>
        <row r="503">
          <cell r="C503">
            <v>1974.6666666578899</v>
          </cell>
          <cell r="F503">
            <v>7316</v>
          </cell>
        </row>
        <row r="504">
          <cell r="C504">
            <v>1974.58333332453</v>
          </cell>
          <cell r="F504">
            <v>7024</v>
          </cell>
        </row>
        <row r="505">
          <cell r="C505">
            <v>1974.4999999911699</v>
          </cell>
          <cell r="F505">
            <v>7253</v>
          </cell>
        </row>
        <row r="506">
          <cell r="C506">
            <v>1974.4166666578101</v>
          </cell>
          <cell r="F506">
            <v>7957</v>
          </cell>
        </row>
        <row r="507">
          <cell r="C507">
            <v>1974.33333332445</v>
          </cell>
          <cell r="F507">
            <v>7658</v>
          </cell>
        </row>
        <row r="508">
          <cell r="C508">
            <v>1974.2499999910899</v>
          </cell>
          <cell r="F508">
            <v>6208</v>
          </cell>
        </row>
        <row r="509">
          <cell r="C509">
            <v>1974.16666665773</v>
          </cell>
          <cell r="F509">
            <v>6449</v>
          </cell>
        </row>
        <row r="510">
          <cell r="C510">
            <v>1974.08333332437</v>
          </cell>
          <cell r="F510">
            <v>7292</v>
          </cell>
        </row>
        <row r="511">
          <cell r="C511">
            <v>1973.9999999910101</v>
          </cell>
          <cell r="F511">
            <v>10495</v>
          </cell>
        </row>
        <row r="512">
          <cell r="C512">
            <v>1973.91666665765</v>
          </cell>
          <cell r="F512">
            <v>12731</v>
          </cell>
        </row>
        <row r="513">
          <cell r="C513">
            <v>1973.8333333242899</v>
          </cell>
          <cell r="F513">
            <v>12396</v>
          </cell>
        </row>
        <row r="514">
          <cell r="C514">
            <v>1973.7499999909301</v>
          </cell>
          <cell r="F514">
            <v>11374</v>
          </cell>
        </row>
        <row r="515">
          <cell r="C515">
            <v>1973.66666665757</v>
          </cell>
          <cell r="F515">
            <v>9129</v>
          </cell>
        </row>
        <row r="516">
          <cell r="C516">
            <v>1973.5833333242099</v>
          </cell>
          <cell r="F516">
            <v>7417</v>
          </cell>
        </row>
        <row r="517">
          <cell r="C517">
            <v>1973.49999999085</v>
          </cell>
          <cell r="F517">
            <v>6546</v>
          </cell>
        </row>
        <row r="518">
          <cell r="C518">
            <v>1973.4166666574899</v>
          </cell>
          <cell r="F518">
            <v>5443</v>
          </cell>
        </row>
        <row r="519">
          <cell r="C519">
            <v>1973.3333333241301</v>
          </cell>
          <cell r="F519">
            <v>4529</v>
          </cell>
        </row>
        <row r="520">
          <cell r="C520">
            <v>1973.24999999077</v>
          </cell>
          <cell r="F520">
            <v>2960</v>
          </cell>
        </row>
        <row r="521">
          <cell r="C521">
            <v>1973.1666666574099</v>
          </cell>
          <cell r="F521">
            <v>2304</v>
          </cell>
        </row>
        <row r="522">
          <cell r="C522">
            <v>1973.08333332405</v>
          </cell>
          <cell r="F522">
            <v>2436</v>
          </cell>
        </row>
        <row r="523">
          <cell r="C523">
            <v>1972.99999999069</v>
          </cell>
          <cell r="F523">
            <v>4160</v>
          </cell>
        </row>
        <row r="524">
          <cell r="C524">
            <v>1972.9166666573301</v>
          </cell>
          <cell r="F524">
            <v>7553</v>
          </cell>
        </row>
        <row r="525">
          <cell r="C525">
            <v>1972.83333332397</v>
          </cell>
          <cell r="F525">
            <v>8036</v>
          </cell>
        </row>
        <row r="526">
          <cell r="C526">
            <v>1972.7499999906099</v>
          </cell>
          <cell r="F526">
            <v>7051</v>
          </cell>
        </row>
        <row r="527">
          <cell r="C527">
            <v>1972.6666666572501</v>
          </cell>
          <cell r="F527">
            <v>6590</v>
          </cell>
        </row>
        <row r="528">
          <cell r="C528">
            <v>1972.58333332389</v>
          </cell>
          <cell r="F528">
            <v>6556</v>
          </cell>
        </row>
        <row r="529">
          <cell r="C529">
            <v>1972.4999999905299</v>
          </cell>
          <cell r="F529">
            <v>9531</v>
          </cell>
        </row>
        <row r="530">
          <cell r="C530">
            <v>1972.41666665717</v>
          </cell>
          <cell r="F530">
            <v>9887</v>
          </cell>
        </row>
        <row r="531">
          <cell r="C531">
            <v>1972.3333333238099</v>
          </cell>
          <cell r="F531">
            <v>7967</v>
          </cell>
        </row>
        <row r="532">
          <cell r="C532">
            <v>1972.2499999904501</v>
          </cell>
          <cell r="F532">
            <v>5426</v>
          </cell>
        </row>
        <row r="533">
          <cell r="C533">
            <v>1972.16666665709</v>
          </cell>
          <cell r="F533">
            <v>4347</v>
          </cell>
        </row>
        <row r="534">
          <cell r="C534">
            <v>1972.0833333237299</v>
          </cell>
          <cell r="F534">
            <v>5918</v>
          </cell>
        </row>
        <row r="535">
          <cell r="C535">
            <v>1971.99999999037</v>
          </cell>
          <cell r="F535">
            <v>7223</v>
          </cell>
        </row>
        <row r="536">
          <cell r="C536">
            <v>1971.91666665701</v>
          </cell>
          <cell r="F536">
            <v>10721</v>
          </cell>
        </row>
        <row r="537">
          <cell r="C537">
            <v>1971.8333333236501</v>
          </cell>
          <cell r="F537">
            <v>12027</v>
          </cell>
        </row>
        <row r="538">
          <cell r="C538">
            <v>1971.74999999029</v>
          </cell>
          <cell r="F538">
            <v>11315</v>
          </cell>
        </row>
        <row r="539">
          <cell r="C539">
            <v>1971.6666666569299</v>
          </cell>
          <cell r="F539">
            <v>10591</v>
          </cell>
        </row>
        <row r="540">
          <cell r="C540">
            <v>1971.5833333235701</v>
          </cell>
          <cell r="F540">
            <v>9767</v>
          </cell>
        </row>
        <row r="541">
          <cell r="C541">
            <v>1971.49999999021</v>
          </cell>
          <cell r="F541">
            <v>10931</v>
          </cell>
        </row>
        <row r="542">
          <cell r="C542">
            <v>1971.4166666568501</v>
          </cell>
          <cell r="F542">
            <v>11467</v>
          </cell>
        </row>
        <row r="543">
          <cell r="C543">
            <v>1971.33333332349</v>
          </cell>
          <cell r="F543">
            <v>9970</v>
          </cell>
        </row>
        <row r="544">
          <cell r="C544">
            <v>1971.2499999901299</v>
          </cell>
          <cell r="F544">
            <v>9037</v>
          </cell>
        </row>
        <row r="545">
          <cell r="C545">
            <v>1971.1666666567701</v>
          </cell>
          <cell r="F545">
            <v>8075</v>
          </cell>
        </row>
        <row r="546">
          <cell r="C546">
            <v>1971.08333332341</v>
          </cell>
          <cell r="F546">
            <v>9078</v>
          </cell>
        </row>
        <row r="547">
          <cell r="C547">
            <v>1970.9999999900499</v>
          </cell>
          <cell r="F547">
            <v>10874</v>
          </cell>
        </row>
        <row r="548">
          <cell r="C548">
            <v>1970.91666665669</v>
          </cell>
          <cell r="F548">
            <v>10483</v>
          </cell>
        </row>
        <row r="549">
          <cell r="C549">
            <v>1970.83333332333</v>
          </cell>
          <cell r="F549">
            <v>10589</v>
          </cell>
        </row>
        <row r="550">
          <cell r="C550">
            <v>1970.7499999899701</v>
          </cell>
          <cell r="F550">
            <v>11062</v>
          </cell>
        </row>
        <row r="551">
          <cell r="C551">
            <v>1970.66666665661</v>
          </cell>
          <cell r="F551">
            <v>10099</v>
          </cell>
        </row>
        <row r="552">
          <cell r="C552">
            <v>1970.5833333232499</v>
          </cell>
          <cell r="F552">
            <v>9101</v>
          </cell>
        </row>
        <row r="553">
          <cell r="C553">
            <v>1970.4999999898901</v>
          </cell>
          <cell r="F553">
            <v>8772</v>
          </cell>
        </row>
        <row r="554">
          <cell r="C554">
            <v>1970.41666665653</v>
          </cell>
          <cell r="F554">
            <v>9005</v>
          </cell>
        </row>
        <row r="555">
          <cell r="C555">
            <v>1970.3333333231701</v>
          </cell>
          <cell r="F555">
            <v>7166</v>
          </cell>
        </row>
        <row r="556">
          <cell r="C556">
            <v>1970.24999998981</v>
          </cell>
          <cell r="F556">
            <v>4971</v>
          </cell>
        </row>
        <row r="557">
          <cell r="C557">
            <v>1970.1666666564499</v>
          </cell>
          <cell r="F557">
            <v>4546</v>
          </cell>
        </row>
        <row r="558">
          <cell r="C558">
            <v>1970.0833333230901</v>
          </cell>
          <cell r="F558">
            <v>5731</v>
          </cell>
        </row>
        <row r="559">
          <cell r="C559">
            <v>1969.99999998973</v>
          </cell>
          <cell r="F559">
            <v>9141</v>
          </cell>
        </row>
        <row r="560">
          <cell r="C560">
            <v>1969.9166666563699</v>
          </cell>
          <cell r="F560">
            <v>11668</v>
          </cell>
        </row>
        <row r="561">
          <cell r="C561">
            <v>1969.83333332301</v>
          </cell>
          <cell r="F561">
            <v>11160</v>
          </cell>
        </row>
        <row r="562">
          <cell r="C562">
            <v>1969.74999998965</v>
          </cell>
          <cell r="F562">
            <v>9205</v>
          </cell>
        </row>
        <row r="563">
          <cell r="C563">
            <v>1969.6666666562901</v>
          </cell>
          <cell r="F563">
            <v>7402</v>
          </cell>
        </row>
        <row r="564">
          <cell r="C564">
            <v>1969.58333332293</v>
          </cell>
          <cell r="F564">
            <v>6634</v>
          </cell>
        </row>
        <row r="565">
          <cell r="C565">
            <v>1969.4999999895699</v>
          </cell>
          <cell r="F565">
            <v>7507</v>
          </cell>
        </row>
        <row r="566">
          <cell r="C566">
            <v>1969.4166666562101</v>
          </cell>
          <cell r="F566">
            <v>8598</v>
          </cell>
        </row>
        <row r="567">
          <cell r="C567">
            <v>1969.33333332285</v>
          </cell>
          <cell r="F567">
            <v>7686</v>
          </cell>
        </row>
        <row r="568">
          <cell r="C568">
            <v>1969.2499999894901</v>
          </cell>
          <cell r="F568">
            <v>5190</v>
          </cell>
        </row>
        <row r="569">
          <cell r="C569">
            <v>1969.16666665613</v>
          </cell>
          <cell r="F569">
            <v>3650</v>
          </cell>
        </row>
        <row r="570">
          <cell r="C570">
            <v>1969.0833333227699</v>
          </cell>
          <cell r="F570">
            <v>4114</v>
          </cell>
        </row>
        <row r="571">
          <cell r="C571">
            <v>1968.9999999894101</v>
          </cell>
          <cell r="F571">
            <v>6294</v>
          </cell>
        </row>
        <row r="572">
          <cell r="C572">
            <v>1968.91666665605</v>
          </cell>
          <cell r="F572">
            <v>10426</v>
          </cell>
        </row>
        <row r="573">
          <cell r="C573">
            <v>1968.8333333226899</v>
          </cell>
          <cell r="F573">
            <v>10413</v>
          </cell>
        </row>
        <row r="574">
          <cell r="C574">
            <v>1968.74999998933</v>
          </cell>
          <cell r="F574">
            <v>9339</v>
          </cell>
        </row>
        <row r="575">
          <cell r="C575">
            <v>1968.6666666559599</v>
          </cell>
          <cell r="F575">
            <v>8547</v>
          </cell>
        </row>
        <row r="576">
          <cell r="C576">
            <v>1968.5833333226001</v>
          </cell>
          <cell r="F576">
            <v>8243</v>
          </cell>
        </row>
        <row r="577">
          <cell r="C577">
            <v>1968.49999998924</v>
          </cell>
          <cell r="F577">
            <v>8602</v>
          </cell>
        </row>
        <row r="578">
          <cell r="C578">
            <v>1968.4166666558799</v>
          </cell>
          <cell r="F578">
            <v>7805</v>
          </cell>
        </row>
        <row r="579">
          <cell r="C579">
            <v>1968.33333332252</v>
          </cell>
          <cell r="F579">
            <v>6329</v>
          </cell>
        </row>
        <row r="580">
          <cell r="C580">
            <v>1968.24999998916</v>
          </cell>
          <cell r="F580">
            <v>4679</v>
          </cell>
        </row>
        <row r="581">
          <cell r="C581">
            <v>1968.1666666558001</v>
          </cell>
          <cell r="F581">
            <v>3527</v>
          </cell>
        </row>
        <row r="582">
          <cell r="C582">
            <v>1968.08333332244</v>
          </cell>
          <cell r="F582">
            <v>3659</v>
          </cell>
        </row>
        <row r="583">
          <cell r="C583">
            <v>1967.9999999890799</v>
          </cell>
          <cell r="F583">
            <v>4730</v>
          </cell>
        </row>
        <row r="584">
          <cell r="C584">
            <v>1967.9166666557201</v>
          </cell>
          <cell r="F584">
            <v>8232</v>
          </cell>
        </row>
        <row r="585">
          <cell r="C585">
            <v>1967.83333332236</v>
          </cell>
          <cell r="F585">
            <v>8579</v>
          </cell>
        </row>
        <row r="586">
          <cell r="C586">
            <v>1967.7499999889999</v>
          </cell>
          <cell r="F586">
            <v>7131</v>
          </cell>
        </row>
        <row r="587">
          <cell r="C587">
            <v>1967.66666665564</v>
          </cell>
          <cell r="F587">
            <v>7046</v>
          </cell>
        </row>
        <row r="588">
          <cell r="C588">
            <v>1967.5833333222799</v>
          </cell>
          <cell r="F588">
            <v>7482</v>
          </cell>
        </row>
        <row r="589">
          <cell r="C589">
            <v>1967.4999999889201</v>
          </cell>
          <cell r="F589">
            <v>8636</v>
          </cell>
        </row>
        <row r="590">
          <cell r="C590">
            <v>1967.41666665556</v>
          </cell>
          <cell r="F590">
            <v>8195</v>
          </cell>
        </row>
        <row r="591">
          <cell r="C591">
            <v>1967.3333333221999</v>
          </cell>
          <cell r="F591">
            <v>6672</v>
          </cell>
        </row>
        <row r="592">
          <cell r="C592">
            <v>1967.24999998884</v>
          </cell>
          <cell r="F592">
            <v>4686</v>
          </cell>
        </row>
        <row r="593">
          <cell r="C593">
            <v>1967.16666665548</v>
          </cell>
          <cell r="F593">
            <v>4605</v>
          </cell>
        </row>
        <row r="594">
          <cell r="C594">
            <v>1967.0833333221201</v>
          </cell>
          <cell r="F594">
            <v>6099</v>
          </cell>
        </row>
        <row r="595">
          <cell r="C595">
            <v>1966.99999998876</v>
          </cell>
          <cell r="F595">
            <v>9942</v>
          </cell>
        </row>
        <row r="596">
          <cell r="C596">
            <v>1966.9166666553999</v>
          </cell>
          <cell r="F596">
            <v>10688</v>
          </cell>
        </row>
        <row r="597">
          <cell r="C597">
            <v>1966.8333333220401</v>
          </cell>
          <cell r="F597">
            <v>9666</v>
          </cell>
        </row>
        <row r="598">
          <cell r="C598">
            <v>1966.74999998868</v>
          </cell>
          <cell r="F598">
            <v>8608</v>
          </cell>
        </row>
        <row r="599">
          <cell r="C599">
            <v>1966.6666666553199</v>
          </cell>
          <cell r="F599">
            <v>8311</v>
          </cell>
        </row>
        <row r="600">
          <cell r="C600">
            <v>1966.58333332196</v>
          </cell>
          <cell r="F600">
            <v>8274</v>
          </cell>
        </row>
        <row r="601">
          <cell r="C601">
            <v>1966.4999999885999</v>
          </cell>
          <cell r="F601">
            <v>8656</v>
          </cell>
        </row>
        <row r="602">
          <cell r="C602">
            <v>1966.4166666552401</v>
          </cell>
          <cell r="F602">
            <v>7452</v>
          </cell>
        </row>
        <row r="603">
          <cell r="C603">
            <v>1966.33333332188</v>
          </cell>
          <cell r="F603">
            <v>5300</v>
          </cell>
        </row>
        <row r="604">
          <cell r="C604">
            <v>1966.2499999885199</v>
          </cell>
          <cell r="F604">
            <v>3569</v>
          </cell>
        </row>
        <row r="605">
          <cell r="C605">
            <v>1966.16666665516</v>
          </cell>
          <cell r="F605">
            <v>3115</v>
          </cell>
        </row>
        <row r="606">
          <cell r="C606">
            <v>1966.0833333218</v>
          </cell>
          <cell r="F606">
            <v>4129</v>
          </cell>
        </row>
        <row r="607">
          <cell r="C607">
            <v>1965.9999999884401</v>
          </cell>
          <cell r="F607">
            <v>7794</v>
          </cell>
        </row>
        <row r="608">
          <cell r="C608">
            <v>1965.91666665508</v>
          </cell>
          <cell r="F608">
            <v>9908</v>
          </cell>
        </row>
        <row r="609">
          <cell r="C609">
            <v>1965.8333333217199</v>
          </cell>
          <cell r="F609">
            <v>8564</v>
          </cell>
        </row>
        <row r="610">
          <cell r="C610">
            <v>1965.7499999883601</v>
          </cell>
          <cell r="F610">
            <v>7215</v>
          </cell>
        </row>
        <row r="611">
          <cell r="C611">
            <v>1965.666666655</v>
          </cell>
          <cell r="F611">
            <v>5905</v>
          </cell>
        </row>
        <row r="612">
          <cell r="C612">
            <v>1965.5833333216401</v>
          </cell>
          <cell r="F612">
            <v>5239</v>
          </cell>
        </row>
        <row r="613">
          <cell r="C613">
            <v>1965.49999998828</v>
          </cell>
          <cell r="F613">
            <v>4865</v>
          </cell>
        </row>
        <row r="614">
          <cell r="C614">
            <v>1965.4166666549199</v>
          </cell>
          <cell r="F614">
            <v>6375</v>
          </cell>
        </row>
        <row r="615">
          <cell r="C615">
            <v>1965.3333333215601</v>
          </cell>
          <cell r="F615">
            <v>5872</v>
          </cell>
        </row>
        <row r="616">
          <cell r="C616">
            <v>1965.2499999882</v>
          </cell>
          <cell r="F616">
            <v>3984</v>
          </cell>
        </row>
        <row r="617">
          <cell r="C617">
            <v>1965.1666666548399</v>
          </cell>
          <cell r="F617">
            <v>2894</v>
          </cell>
        </row>
        <row r="618">
          <cell r="C618">
            <v>1965.08333332148</v>
          </cell>
          <cell r="F618">
            <v>3269</v>
          </cell>
        </row>
        <row r="619">
          <cell r="C619">
            <v>1964.99999998812</v>
          </cell>
          <cell r="F619">
            <v>5614</v>
          </cell>
        </row>
        <row r="620">
          <cell r="C620">
            <v>1964.9166666547601</v>
          </cell>
          <cell r="F620">
            <v>9146</v>
          </cell>
        </row>
        <row r="621">
          <cell r="C621">
            <v>1964.8333333214</v>
          </cell>
          <cell r="F621">
            <v>10615</v>
          </cell>
        </row>
        <row r="622">
          <cell r="C622">
            <v>1964.7499999880399</v>
          </cell>
          <cell r="F622">
            <v>10006</v>
          </cell>
        </row>
        <row r="623">
          <cell r="C623">
            <v>1964.6666666546801</v>
          </cell>
          <cell r="F623">
            <v>10150</v>
          </cell>
        </row>
        <row r="624">
          <cell r="C624">
            <v>1964.58333332132</v>
          </cell>
          <cell r="F624">
            <v>9936</v>
          </cell>
        </row>
        <row r="625">
          <cell r="C625">
            <v>1964.4999999879601</v>
          </cell>
          <cell r="F625">
            <v>9300</v>
          </cell>
        </row>
        <row r="626">
          <cell r="C626">
            <v>1964.4166666546</v>
          </cell>
          <cell r="F626">
            <v>7704</v>
          </cell>
        </row>
        <row r="627">
          <cell r="C627">
            <v>1964.3333333212399</v>
          </cell>
          <cell r="F627">
            <v>5625</v>
          </cell>
        </row>
        <row r="628">
          <cell r="C628">
            <v>1964.2499999878801</v>
          </cell>
          <cell r="F628">
            <v>4125</v>
          </cell>
        </row>
        <row r="629">
          <cell r="C629">
            <v>1964.16666665452</v>
          </cell>
          <cell r="F629">
            <v>2779</v>
          </cell>
        </row>
        <row r="630">
          <cell r="C630">
            <v>1964.0833333211599</v>
          </cell>
          <cell r="F630">
            <v>2799</v>
          </cell>
        </row>
        <row r="631">
          <cell r="C631">
            <v>1963.9999999878</v>
          </cell>
          <cell r="F631">
            <v>5307</v>
          </cell>
        </row>
        <row r="632">
          <cell r="C632">
            <v>1963.91666665444</v>
          </cell>
          <cell r="F632">
            <v>9221</v>
          </cell>
        </row>
        <row r="633">
          <cell r="C633">
            <v>1963.8333333210801</v>
          </cell>
          <cell r="F633">
            <v>9039</v>
          </cell>
        </row>
        <row r="634">
          <cell r="C634">
            <v>1963.74999998772</v>
          </cell>
          <cell r="F634">
            <v>7791</v>
          </cell>
        </row>
        <row r="635">
          <cell r="C635">
            <v>1963.6666666543599</v>
          </cell>
          <cell r="F635">
            <v>7457</v>
          </cell>
        </row>
        <row r="636">
          <cell r="C636">
            <v>1963.5833333210001</v>
          </cell>
          <cell r="F636">
            <v>8263</v>
          </cell>
        </row>
        <row r="637">
          <cell r="C637">
            <v>1963.49999998764</v>
          </cell>
          <cell r="F637">
            <v>8926</v>
          </cell>
        </row>
        <row r="638">
          <cell r="C638">
            <v>1963.4166666542801</v>
          </cell>
          <cell r="F638">
            <v>9394</v>
          </cell>
        </row>
        <row r="639">
          <cell r="C639">
            <v>1963.33333332092</v>
          </cell>
          <cell r="F639">
            <v>8281</v>
          </cell>
        </row>
        <row r="640">
          <cell r="C640">
            <v>1963.2499999875599</v>
          </cell>
          <cell r="F640">
            <v>6373</v>
          </cell>
        </row>
        <row r="641">
          <cell r="C641">
            <v>1963.1666666542001</v>
          </cell>
          <cell r="F641">
            <v>4632</v>
          </cell>
        </row>
        <row r="642">
          <cell r="C642">
            <v>1963.08333332084</v>
          </cell>
          <cell r="F642">
            <v>4493</v>
          </cell>
        </row>
        <row r="643">
          <cell r="C643">
            <v>1962.9999999874799</v>
          </cell>
          <cell r="F643">
            <v>6048</v>
          </cell>
        </row>
        <row r="644">
          <cell r="C644">
            <v>1962.91666665412</v>
          </cell>
          <cell r="F644">
            <v>9448</v>
          </cell>
        </row>
        <row r="645">
          <cell r="C645">
            <v>1962.8333333207599</v>
          </cell>
          <cell r="F645">
            <v>9980</v>
          </cell>
        </row>
        <row r="646">
          <cell r="C646">
            <v>1962.7499999874001</v>
          </cell>
          <cell r="F646">
            <v>9180</v>
          </cell>
        </row>
        <row r="647">
          <cell r="C647">
            <v>1962.66666665404</v>
          </cell>
          <cell r="F647">
            <v>9232</v>
          </cell>
        </row>
        <row r="648">
          <cell r="C648">
            <v>1962.5833333206799</v>
          </cell>
          <cell r="F648">
            <v>9716</v>
          </cell>
        </row>
        <row r="649">
          <cell r="C649">
            <v>1962.4999999873201</v>
          </cell>
          <cell r="F649">
            <v>10054</v>
          </cell>
        </row>
        <row r="650">
          <cell r="C650">
            <v>1962.41666665396</v>
          </cell>
          <cell r="F650">
            <v>9211</v>
          </cell>
        </row>
        <row r="651">
          <cell r="C651">
            <v>1962.3333333206001</v>
          </cell>
          <cell r="F651">
            <v>7250</v>
          </cell>
        </row>
        <row r="652">
          <cell r="C652">
            <v>1962.24999998724</v>
          </cell>
          <cell r="F652">
            <v>4828</v>
          </cell>
        </row>
        <row r="653">
          <cell r="C653">
            <v>1962.1666666538799</v>
          </cell>
          <cell r="F653">
            <v>4031</v>
          </cell>
        </row>
        <row r="654">
          <cell r="C654">
            <v>1962.0833333205201</v>
          </cell>
          <cell r="F654">
            <v>4102</v>
          </cell>
        </row>
        <row r="655">
          <cell r="C655">
            <v>1961.99999998716</v>
          </cell>
          <cell r="F655">
            <v>7141</v>
          </cell>
        </row>
        <row r="656">
          <cell r="C656">
            <v>1961.9166666537999</v>
          </cell>
          <cell r="F656">
            <v>10821</v>
          </cell>
        </row>
        <row r="657">
          <cell r="C657">
            <v>1961.83333332044</v>
          </cell>
          <cell r="F657">
            <v>9698</v>
          </cell>
        </row>
        <row r="658">
          <cell r="C658">
            <v>1961.7499999870799</v>
          </cell>
          <cell r="F658">
            <v>7490</v>
          </cell>
        </row>
        <row r="659">
          <cell r="C659">
            <v>1961.6666666537201</v>
          </cell>
          <cell r="F659">
            <v>6797</v>
          </cell>
        </row>
        <row r="660">
          <cell r="C660">
            <v>1961.58333332036</v>
          </cell>
          <cell r="F660">
            <v>5872</v>
          </cell>
        </row>
        <row r="661">
          <cell r="C661">
            <v>1961.4999999869999</v>
          </cell>
          <cell r="F661">
            <v>6121</v>
          </cell>
        </row>
        <row r="662">
          <cell r="C662">
            <v>1961.41666665364</v>
          </cell>
          <cell r="F662">
            <v>5772</v>
          </cell>
        </row>
        <row r="663">
          <cell r="C663">
            <v>1961.33333332028</v>
          </cell>
          <cell r="F663">
            <v>5702</v>
          </cell>
        </row>
        <row r="664">
          <cell r="C664">
            <v>1961.2499999869201</v>
          </cell>
          <cell r="F664">
            <v>4407</v>
          </cell>
        </row>
        <row r="665">
          <cell r="C665">
            <v>1961.16666665356</v>
          </cell>
          <cell r="F665">
            <v>3098</v>
          </cell>
        </row>
        <row r="666">
          <cell r="C666">
            <v>1961.0833333201999</v>
          </cell>
          <cell r="F666">
            <v>4318</v>
          </cell>
        </row>
        <row r="667">
          <cell r="C667">
            <v>1960.9999999868401</v>
          </cell>
          <cell r="F667">
            <v>7496</v>
          </cell>
        </row>
        <row r="668">
          <cell r="C668">
            <v>1960.91666665348</v>
          </cell>
          <cell r="F668">
            <v>10340</v>
          </cell>
        </row>
        <row r="669">
          <cell r="C669">
            <v>1960.8333333201199</v>
          </cell>
          <cell r="F669">
            <v>9379</v>
          </cell>
        </row>
        <row r="670">
          <cell r="C670">
            <v>1960.74999998676</v>
          </cell>
          <cell r="F670">
            <v>7585</v>
          </cell>
        </row>
        <row r="671">
          <cell r="C671">
            <v>1960.6666666533999</v>
          </cell>
          <cell r="F671">
            <v>7813</v>
          </cell>
        </row>
        <row r="672">
          <cell r="C672">
            <v>1960.5833333200401</v>
          </cell>
          <cell r="F672">
            <v>7157</v>
          </cell>
        </row>
        <row r="673">
          <cell r="C673">
            <v>1960.49999998668</v>
          </cell>
          <cell r="F673">
            <v>7877</v>
          </cell>
        </row>
        <row r="674">
          <cell r="C674">
            <v>1960.4166666533199</v>
          </cell>
          <cell r="F674">
            <v>7877</v>
          </cell>
        </row>
        <row r="675">
          <cell r="C675">
            <v>1960.33333331996</v>
          </cell>
          <cell r="F675">
            <v>6926</v>
          </cell>
        </row>
        <row r="676">
          <cell r="C676">
            <v>1960.2499999866</v>
          </cell>
          <cell r="F676">
            <v>4725</v>
          </cell>
        </row>
        <row r="677">
          <cell r="C677">
            <v>1960.1666666532401</v>
          </cell>
          <cell r="F677">
            <v>3722</v>
          </cell>
        </row>
        <row r="678">
          <cell r="C678">
            <v>1960.08333331988</v>
          </cell>
          <cell r="F678">
            <v>4808</v>
          </cell>
        </row>
        <row r="679">
          <cell r="C679">
            <v>1959.9999999865199</v>
          </cell>
          <cell r="F679">
            <v>6761</v>
          </cell>
        </row>
        <row r="680">
          <cell r="C680">
            <v>1959.9166666531601</v>
          </cell>
          <cell r="F680">
            <v>8926</v>
          </cell>
        </row>
        <row r="681">
          <cell r="C681">
            <v>1959.8333333198</v>
          </cell>
          <cell r="F681">
            <v>9129</v>
          </cell>
        </row>
        <row r="682">
          <cell r="C682">
            <v>1959.7499999864399</v>
          </cell>
          <cell r="F682">
            <v>7289</v>
          </cell>
        </row>
        <row r="683">
          <cell r="C683">
            <v>1959.66666665308</v>
          </cell>
          <cell r="F683">
            <v>6218</v>
          </cell>
        </row>
        <row r="684">
          <cell r="C684">
            <v>1959.5833333197199</v>
          </cell>
          <cell r="F684">
            <v>6096</v>
          </cell>
        </row>
        <row r="685">
          <cell r="C685">
            <v>1959.4999999863601</v>
          </cell>
          <cell r="F685">
            <v>6924</v>
          </cell>
        </row>
        <row r="686">
          <cell r="C686">
            <v>1959.416666653</v>
          </cell>
          <cell r="F686">
            <v>6802</v>
          </cell>
        </row>
        <row r="687">
          <cell r="C687">
            <v>1959.3333333196399</v>
          </cell>
          <cell r="F687">
            <v>5828</v>
          </cell>
        </row>
        <row r="688">
          <cell r="C688">
            <v>1959.24999998628</v>
          </cell>
          <cell r="F688">
            <v>3098</v>
          </cell>
        </row>
        <row r="689">
          <cell r="C689">
            <v>1959.16666665291</v>
          </cell>
          <cell r="F689">
            <v>2299</v>
          </cell>
        </row>
        <row r="690">
          <cell r="C690">
            <v>1959.0833333195501</v>
          </cell>
          <cell r="F690">
            <v>2138</v>
          </cell>
        </row>
        <row r="691">
          <cell r="C691">
            <v>1958.99999998619</v>
          </cell>
          <cell r="F691">
            <v>3454</v>
          </cell>
        </row>
        <row r="692">
          <cell r="C692">
            <v>1958.9166666528299</v>
          </cell>
          <cell r="F692">
            <v>5562</v>
          </cell>
        </row>
        <row r="693">
          <cell r="C693">
            <v>1958.8333333194701</v>
          </cell>
          <cell r="F693">
            <v>7208</v>
          </cell>
        </row>
        <row r="694">
          <cell r="C694">
            <v>1958.74999998611</v>
          </cell>
          <cell r="F694">
            <v>5663</v>
          </cell>
        </row>
        <row r="695">
          <cell r="C695">
            <v>1958.6666666527501</v>
          </cell>
          <cell r="F695">
            <v>5019</v>
          </cell>
        </row>
        <row r="696">
          <cell r="C696">
            <v>1958.58333331939</v>
          </cell>
          <cell r="F696">
            <v>5607</v>
          </cell>
        </row>
        <row r="697">
          <cell r="C697">
            <v>1958.4999999860299</v>
          </cell>
          <cell r="F697">
            <v>4748</v>
          </cell>
        </row>
        <row r="698">
          <cell r="C698">
            <v>1958.4166666526701</v>
          </cell>
          <cell r="F698">
            <v>6442</v>
          </cell>
        </row>
        <row r="699">
          <cell r="C699">
            <v>1958.33333331931</v>
          </cell>
          <cell r="F699">
            <v>5668</v>
          </cell>
        </row>
        <row r="700">
          <cell r="C700">
            <v>1958.2499999859499</v>
          </cell>
          <cell r="F700">
            <v>3441</v>
          </cell>
        </row>
        <row r="701">
          <cell r="C701">
            <v>1958.16666665259</v>
          </cell>
          <cell r="F701">
            <v>2527</v>
          </cell>
        </row>
        <row r="702">
          <cell r="C702">
            <v>1958.08333331923</v>
          </cell>
          <cell r="F702">
            <v>2651</v>
          </cell>
        </row>
        <row r="703">
          <cell r="C703">
            <v>1957.9999999858701</v>
          </cell>
          <cell r="F703">
            <v>3656</v>
          </cell>
        </row>
        <row r="704">
          <cell r="C704">
            <v>1957.91666665251</v>
          </cell>
          <cell r="F704">
            <v>6407</v>
          </cell>
        </row>
        <row r="705">
          <cell r="C705">
            <v>1957.8333333191499</v>
          </cell>
          <cell r="F705">
            <v>7167</v>
          </cell>
        </row>
        <row r="706">
          <cell r="C706">
            <v>1957.7499999857901</v>
          </cell>
          <cell r="F706">
            <v>6284</v>
          </cell>
        </row>
        <row r="707">
          <cell r="C707">
            <v>1957.66666665243</v>
          </cell>
          <cell r="F707">
            <v>5136</v>
          </cell>
        </row>
        <row r="708">
          <cell r="C708">
            <v>1957.5833333190701</v>
          </cell>
          <cell r="F708">
            <v>5317</v>
          </cell>
        </row>
        <row r="709">
          <cell r="C709">
            <v>1957.49999998571</v>
          </cell>
          <cell r="F709">
            <v>6377</v>
          </cell>
        </row>
        <row r="710">
          <cell r="C710">
            <v>1957.4166666523499</v>
          </cell>
          <cell r="F710">
            <v>7896</v>
          </cell>
        </row>
        <row r="711">
          <cell r="C711">
            <v>1957.3333333189901</v>
          </cell>
          <cell r="F711">
            <v>5821</v>
          </cell>
        </row>
        <row r="712">
          <cell r="C712">
            <v>1957.24999998563</v>
          </cell>
          <cell r="F712">
            <v>4337</v>
          </cell>
        </row>
        <row r="713">
          <cell r="C713">
            <v>1957.1666666522699</v>
          </cell>
          <cell r="F713">
            <v>3838</v>
          </cell>
        </row>
        <row r="714">
          <cell r="C714">
            <v>1957.08333331891</v>
          </cell>
          <cell r="F714">
            <v>4213</v>
          </cell>
        </row>
        <row r="715">
          <cell r="C715">
            <v>1956.9999999855499</v>
          </cell>
          <cell r="F715">
            <v>8189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9"/>
  <sheetViews>
    <sheetView topLeftCell="A383" workbookViewId="0">
      <selection activeCell="M288" sqref="B288:M288"/>
    </sheetView>
  </sheetViews>
  <sheetFormatPr baseColWidth="10" defaultRowHeight="14.4" x14ac:dyDescent="0.3"/>
  <cols>
    <col min="1" max="13" width="8.88671875" customWidth="1"/>
    <col min="14" max="14" width="10" customWidth="1"/>
  </cols>
  <sheetData>
    <row r="1" spans="1:29" x14ac:dyDescent="0.3">
      <c r="A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9" x14ac:dyDescent="0.3">
      <c r="Y2" t="s">
        <v>18</v>
      </c>
      <c r="Z2" t="s">
        <v>19</v>
      </c>
      <c r="AA2" t="s">
        <v>20</v>
      </c>
      <c r="AB2" t="s">
        <v>21</v>
      </c>
      <c r="AC2" t="s">
        <v>22</v>
      </c>
    </row>
    <row r="3" spans="1:29" x14ac:dyDescent="0.3">
      <c r="A3" s="1" t="s">
        <v>129</v>
      </c>
      <c r="H3" t="s">
        <v>23</v>
      </c>
      <c r="I3" t="s">
        <v>24</v>
      </c>
      <c r="J3" t="s">
        <v>25</v>
      </c>
      <c r="K3" t="s">
        <v>14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Y3" t="s">
        <v>22</v>
      </c>
      <c r="Z3" t="s">
        <v>33</v>
      </c>
      <c r="AA3" t="s">
        <v>34</v>
      </c>
      <c r="AB3" t="s">
        <v>35</v>
      </c>
    </row>
    <row r="4" spans="1:29" x14ac:dyDescent="0.3">
      <c r="A4" s="1" t="s">
        <v>128</v>
      </c>
      <c r="B4" s="1"/>
      <c r="C4" s="1"/>
      <c r="D4" s="1"/>
    </row>
    <row r="5" spans="1:29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>
        <v>29</v>
      </c>
      <c r="U5" t="s">
        <v>43</v>
      </c>
      <c r="V5" t="s">
        <v>44</v>
      </c>
      <c r="W5" t="s">
        <v>40</v>
      </c>
      <c r="X5">
        <v>290370</v>
      </c>
      <c r="Y5">
        <v>20</v>
      </c>
      <c r="Z5" t="s">
        <v>45</v>
      </c>
      <c r="AA5" t="s">
        <v>46</v>
      </c>
    </row>
    <row r="7" spans="1:29" x14ac:dyDescent="0.3">
      <c r="A7" t="s">
        <v>47</v>
      </c>
      <c r="B7" t="s">
        <v>48</v>
      </c>
      <c r="C7" t="s">
        <v>49</v>
      </c>
      <c r="D7">
        <v>1015</v>
      </c>
      <c r="E7" t="s">
        <v>22</v>
      </c>
      <c r="H7" t="s">
        <v>50</v>
      </c>
      <c r="I7" t="s">
        <v>51</v>
      </c>
      <c r="J7" t="s">
        <v>52</v>
      </c>
      <c r="K7" t="s">
        <v>53</v>
      </c>
      <c r="P7" t="s">
        <v>54</v>
      </c>
      <c r="R7" t="s">
        <v>55</v>
      </c>
      <c r="S7" t="s">
        <v>56</v>
      </c>
      <c r="T7" t="s">
        <v>57</v>
      </c>
      <c r="X7" t="s">
        <v>58</v>
      </c>
      <c r="Y7" t="s">
        <v>4</v>
      </c>
      <c r="Z7" t="s">
        <v>59</v>
      </c>
      <c r="AA7" t="s">
        <v>60</v>
      </c>
      <c r="AB7" t="s">
        <v>61</v>
      </c>
      <c r="AC7" t="s">
        <v>47</v>
      </c>
    </row>
    <row r="8" spans="1:29" x14ac:dyDescent="0.3">
      <c r="A8" t="s">
        <v>47</v>
      </c>
      <c r="B8" t="s">
        <v>62</v>
      </c>
      <c r="C8" t="s">
        <v>63</v>
      </c>
      <c r="D8">
        <v>7454</v>
      </c>
      <c r="E8" t="s">
        <v>64</v>
      </c>
      <c r="H8" t="s">
        <v>65</v>
      </c>
      <c r="I8" t="s">
        <v>66</v>
      </c>
      <c r="J8" t="s">
        <v>67</v>
      </c>
      <c r="K8">
        <v>1</v>
      </c>
      <c r="L8" t="s">
        <v>68</v>
      </c>
      <c r="M8" t="s">
        <v>69</v>
      </c>
      <c r="P8" t="s">
        <v>70</v>
      </c>
      <c r="Q8" t="s">
        <v>71</v>
      </c>
      <c r="R8" t="s">
        <v>72</v>
      </c>
      <c r="S8" t="s">
        <v>73</v>
      </c>
      <c r="T8" t="s">
        <v>57</v>
      </c>
      <c r="X8" t="s">
        <v>58</v>
      </c>
      <c r="Y8" t="s">
        <v>74</v>
      </c>
      <c r="Z8" t="s">
        <v>75</v>
      </c>
      <c r="AA8" t="s">
        <v>22</v>
      </c>
    </row>
    <row r="9" spans="1:29" x14ac:dyDescent="0.3">
      <c r="A9" t="s">
        <v>76</v>
      </c>
      <c r="B9" t="s">
        <v>77</v>
      </c>
      <c r="C9" t="s">
        <v>78</v>
      </c>
      <c r="D9">
        <v>8</v>
      </c>
      <c r="E9" t="s">
        <v>79</v>
      </c>
      <c r="F9" t="s">
        <v>80</v>
      </c>
      <c r="H9" t="s">
        <v>81</v>
      </c>
      <c r="I9" t="s">
        <v>82</v>
      </c>
      <c r="J9" t="s">
        <v>83</v>
      </c>
      <c r="K9">
        <v>2</v>
      </c>
      <c r="L9" t="s">
        <v>84</v>
      </c>
      <c r="M9" t="s">
        <v>85</v>
      </c>
      <c r="N9" t="s">
        <v>86</v>
      </c>
      <c r="P9" t="s">
        <v>87</v>
      </c>
      <c r="Q9" t="s">
        <v>88</v>
      </c>
      <c r="R9" t="s">
        <v>89</v>
      </c>
      <c r="S9" t="s">
        <v>90</v>
      </c>
      <c r="T9" t="s">
        <v>91</v>
      </c>
    </row>
    <row r="11" spans="1:29" x14ac:dyDescent="0.3">
      <c r="A11" t="s">
        <v>92</v>
      </c>
      <c r="B11" t="s">
        <v>93</v>
      </c>
      <c r="C11" t="s">
        <v>93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 t="s">
        <v>93</v>
      </c>
      <c r="J11" t="s">
        <v>93</v>
      </c>
      <c r="K11" t="s">
        <v>93</v>
      </c>
      <c r="L11" t="s">
        <v>93</v>
      </c>
      <c r="M11" t="s">
        <v>93</v>
      </c>
      <c r="N11" t="s">
        <v>94</v>
      </c>
      <c r="O11" t="s">
        <v>95</v>
      </c>
    </row>
    <row r="12" spans="1:29" x14ac:dyDescent="0.3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95</v>
      </c>
    </row>
    <row r="13" spans="1:29" x14ac:dyDescent="0.3">
      <c r="A13">
        <v>1940</v>
      </c>
      <c r="I13">
        <v>3735</v>
      </c>
      <c r="J13">
        <v>4497</v>
      </c>
      <c r="K13">
        <v>6584</v>
      </c>
      <c r="L13">
        <v>8529</v>
      </c>
      <c r="M13">
        <v>8241</v>
      </c>
      <c r="N13">
        <v>6317.2</v>
      </c>
      <c r="O13" s="3">
        <f>AVERAGE(B13:M13)</f>
        <v>6317.2</v>
      </c>
    </row>
    <row r="14" spans="1:29" x14ac:dyDescent="0.3">
      <c r="A14">
        <v>1941</v>
      </c>
      <c r="B14">
        <v>4993</v>
      </c>
      <c r="C14">
        <v>3707</v>
      </c>
      <c r="D14">
        <v>3003</v>
      </c>
      <c r="E14">
        <v>3985</v>
      </c>
      <c r="F14">
        <v>4867</v>
      </c>
      <c r="G14">
        <v>4879</v>
      </c>
      <c r="H14">
        <v>4880</v>
      </c>
      <c r="I14">
        <v>4872</v>
      </c>
      <c r="J14">
        <v>4996</v>
      </c>
      <c r="K14">
        <v>5232</v>
      </c>
      <c r="L14">
        <v>5356</v>
      </c>
      <c r="M14">
        <v>5299</v>
      </c>
      <c r="N14">
        <v>4672.42</v>
      </c>
      <c r="O14" s="3">
        <f t="shared" ref="O14:O77" si="0">AVERAGE(B14:M14)</f>
        <v>4672.416666666667</v>
      </c>
    </row>
    <row r="15" spans="1:29" x14ac:dyDescent="0.3">
      <c r="A15">
        <v>1942</v>
      </c>
      <c r="B15">
        <v>3326</v>
      </c>
      <c r="C15">
        <v>3111</v>
      </c>
      <c r="D15">
        <v>3717</v>
      </c>
      <c r="E15">
        <v>5011</v>
      </c>
      <c r="F15">
        <v>8773</v>
      </c>
      <c r="G15">
        <v>10101</v>
      </c>
      <c r="H15">
        <v>7044</v>
      </c>
      <c r="I15">
        <v>7356</v>
      </c>
      <c r="J15">
        <v>7434</v>
      </c>
      <c r="K15">
        <v>8154</v>
      </c>
      <c r="L15">
        <v>10606</v>
      </c>
      <c r="M15">
        <v>11422</v>
      </c>
      <c r="N15">
        <v>7171.25</v>
      </c>
      <c r="O15" s="3">
        <f t="shared" si="0"/>
        <v>7171.25</v>
      </c>
    </row>
    <row r="16" spans="1:29" x14ac:dyDescent="0.3">
      <c r="A16">
        <v>1943</v>
      </c>
      <c r="B16">
        <v>9677</v>
      </c>
      <c r="C16">
        <v>6596</v>
      </c>
      <c r="D16">
        <v>5347</v>
      </c>
      <c r="E16">
        <v>6418</v>
      </c>
      <c r="F16">
        <v>8425</v>
      </c>
      <c r="G16">
        <v>9086</v>
      </c>
      <c r="H16">
        <v>7372</v>
      </c>
      <c r="I16">
        <v>6155</v>
      </c>
      <c r="J16">
        <v>6042</v>
      </c>
      <c r="K16">
        <v>6989</v>
      </c>
      <c r="L16">
        <v>9599</v>
      </c>
      <c r="M16">
        <v>8518</v>
      </c>
      <c r="N16">
        <v>7518.67</v>
      </c>
      <c r="O16" s="3">
        <f t="shared" si="0"/>
        <v>7518.666666666667</v>
      </c>
    </row>
    <row r="17" spans="1:15" x14ac:dyDescent="0.3">
      <c r="A17">
        <v>1944</v>
      </c>
      <c r="B17">
        <v>5497</v>
      </c>
      <c r="E17">
        <v>4846</v>
      </c>
      <c r="F17">
        <v>6889</v>
      </c>
      <c r="G17">
        <v>8982</v>
      </c>
      <c r="H17">
        <v>9520</v>
      </c>
      <c r="I17">
        <v>7487</v>
      </c>
      <c r="J17">
        <v>8086</v>
      </c>
      <c r="K17">
        <v>9207</v>
      </c>
      <c r="L17">
        <v>11151</v>
      </c>
      <c r="M17">
        <v>10852</v>
      </c>
      <c r="N17">
        <v>8251.7000000000007</v>
      </c>
      <c r="O17" s="3">
        <f t="shared" si="0"/>
        <v>8251.7000000000007</v>
      </c>
    </row>
    <row r="18" spans="1:15" x14ac:dyDescent="0.3">
      <c r="A18">
        <v>1945</v>
      </c>
      <c r="B18">
        <v>6042</v>
      </c>
      <c r="F18">
        <v>6974</v>
      </c>
      <c r="G18">
        <v>8560</v>
      </c>
      <c r="H18">
        <v>7487</v>
      </c>
      <c r="I18">
        <v>7082</v>
      </c>
      <c r="J18">
        <v>7468</v>
      </c>
      <c r="K18">
        <v>8127</v>
      </c>
      <c r="L18">
        <v>9493</v>
      </c>
      <c r="M18">
        <v>9418</v>
      </c>
      <c r="N18">
        <v>7850.11</v>
      </c>
      <c r="O18" s="3">
        <f t="shared" si="0"/>
        <v>7850.1111111111113</v>
      </c>
    </row>
    <row r="19" spans="1:15" x14ac:dyDescent="0.3">
      <c r="A19">
        <v>1946</v>
      </c>
      <c r="B19">
        <v>6392</v>
      </c>
      <c r="C19">
        <v>3629</v>
      </c>
      <c r="D19">
        <v>3487</v>
      </c>
      <c r="E19">
        <v>4691</v>
      </c>
      <c r="F19">
        <v>6217</v>
      </c>
      <c r="G19">
        <v>6498</v>
      </c>
      <c r="H19">
        <v>4665</v>
      </c>
      <c r="I19">
        <v>4942</v>
      </c>
      <c r="J19">
        <v>4883</v>
      </c>
      <c r="K19">
        <v>5507</v>
      </c>
      <c r="L19">
        <v>7000</v>
      </c>
      <c r="M19">
        <v>7541</v>
      </c>
      <c r="N19">
        <v>5454.33</v>
      </c>
      <c r="O19" s="3">
        <f t="shared" si="0"/>
        <v>5454.333333333333</v>
      </c>
    </row>
    <row r="20" spans="1:15" x14ac:dyDescent="0.3">
      <c r="A20">
        <v>1947</v>
      </c>
      <c r="B20">
        <v>5320</v>
      </c>
      <c r="C20">
        <v>3217</v>
      </c>
      <c r="D20">
        <v>2640</v>
      </c>
      <c r="E20">
        <v>3392</v>
      </c>
      <c r="F20">
        <v>5089</v>
      </c>
      <c r="G20">
        <v>7198</v>
      </c>
      <c r="H20">
        <v>7789</v>
      </c>
      <c r="I20">
        <v>8159</v>
      </c>
      <c r="J20">
        <v>7436</v>
      </c>
      <c r="K20">
        <v>8705</v>
      </c>
      <c r="L20">
        <v>10102</v>
      </c>
      <c r="M20">
        <v>7617</v>
      </c>
      <c r="N20">
        <v>6388.67</v>
      </c>
      <c r="O20" s="3">
        <f t="shared" si="0"/>
        <v>6388.666666666667</v>
      </c>
    </row>
    <row r="21" spans="1:15" x14ac:dyDescent="0.3">
      <c r="A21">
        <v>1948</v>
      </c>
      <c r="B21">
        <v>3641</v>
      </c>
      <c r="C21">
        <v>2266</v>
      </c>
      <c r="E21">
        <v>4174</v>
      </c>
      <c r="F21">
        <v>5519</v>
      </c>
      <c r="G21">
        <v>7166</v>
      </c>
      <c r="H21">
        <v>5847</v>
      </c>
      <c r="I21">
        <v>5131</v>
      </c>
      <c r="J21">
        <v>4586</v>
      </c>
      <c r="K21">
        <v>6882</v>
      </c>
      <c r="L21">
        <v>8838</v>
      </c>
      <c r="M21">
        <v>8291</v>
      </c>
      <c r="N21">
        <v>5667.36</v>
      </c>
      <c r="O21" s="3">
        <f t="shared" si="0"/>
        <v>5667.363636363636</v>
      </c>
    </row>
    <row r="22" spans="1:15" x14ac:dyDescent="0.3">
      <c r="A22">
        <v>1949</v>
      </c>
      <c r="B22">
        <v>4148</v>
      </c>
      <c r="C22">
        <v>2847</v>
      </c>
      <c r="D22">
        <v>3119</v>
      </c>
      <c r="E22">
        <v>3504</v>
      </c>
      <c r="F22">
        <v>5449</v>
      </c>
      <c r="G22">
        <v>6284</v>
      </c>
      <c r="H22">
        <v>7744</v>
      </c>
      <c r="I22">
        <v>7080</v>
      </c>
      <c r="J22">
        <v>8033</v>
      </c>
      <c r="K22">
        <v>9084</v>
      </c>
      <c r="L22">
        <v>10715</v>
      </c>
      <c r="M22">
        <v>10975</v>
      </c>
      <c r="N22">
        <v>6581.83</v>
      </c>
      <c r="O22" s="3">
        <f t="shared" si="0"/>
        <v>6581.833333333333</v>
      </c>
    </row>
    <row r="23" spans="1:15" x14ac:dyDescent="0.3">
      <c r="A23">
        <v>1950</v>
      </c>
      <c r="B23">
        <v>6431</v>
      </c>
      <c r="C23">
        <v>6180</v>
      </c>
      <c r="D23">
        <v>6485</v>
      </c>
      <c r="E23">
        <v>6032</v>
      </c>
      <c r="F23">
        <v>7553</v>
      </c>
      <c r="G23">
        <v>9653</v>
      </c>
      <c r="H23">
        <v>11480</v>
      </c>
      <c r="I23">
        <v>11015</v>
      </c>
      <c r="J23">
        <v>10746</v>
      </c>
      <c r="K23">
        <v>9762</v>
      </c>
      <c r="L23">
        <v>10763</v>
      </c>
      <c r="M23">
        <v>11606</v>
      </c>
      <c r="N23">
        <v>8975.5</v>
      </c>
      <c r="O23" s="3">
        <f t="shared" si="0"/>
        <v>8975.5</v>
      </c>
    </row>
    <row r="24" spans="1:15" x14ac:dyDescent="0.3">
      <c r="A24">
        <v>1951</v>
      </c>
      <c r="B24">
        <v>8832</v>
      </c>
      <c r="C24">
        <v>6822</v>
      </c>
      <c r="D24">
        <v>5335</v>
      </c>
      <c r="E24">
        <v>4544</v>
      </c>
      <c r="F24">
        <v>6072</v>
      </c>
      <c r="G24">
        <v>7035</v>
      </c>
      <c r="H24">
        <v>7150</v>
      </c>
      <c r="I24">
        <v>6825</v>
      </c>
      <c r="J24">
        <v>7237</v>
      </c>
      <c r="K24">
        <v>7360</v>
      </c>
      <c r="L24">
        <v>8344</v>
      </c>
      <c r="M24">
        <v>8980</v>
      </c>
      <c r="N24">
        <v>7044.67</v>
      </c>
      <c r="O24" s="3">
        <f t="shared" si="0"/>
        <v>7044.666666666667</v>
      </c>
    </row>
    <row r="25" spans="1:15" x14ac:dyDescent="0.3">
      <c r="A25">
        <v>1952</v>
      </c>
      <c r="B25">
        <v>6398</v>
      </c>
      <c r="C25">
        <v>3573</v>
      </c>
      <c r="D25">
        <v>3061</v>
      </c>
      <c r="E25">
        <v>3841</v>
      </c>
      <c r="F25">
        <v>6504</v>
      </c>
      <c r="G25">
        <v>7027</v>
      </c>
      <c r="H25">
        <v>7043</v>
      </c>
      <c r="I25">
        <v>6938</v>
      </c>
      <c r="J25">
        <v>6427</v>
      </c>
      <c r="K25">
        <v>7105</v>
      </c>
      <c r="L25">
        <v>7878</v>
      </c>
      <c r="M25">
        <v>8351</v>
      </c>
      <c r="N25">
        <v>6178.83</v>
      </c>
      <c r="O25" s="3">
        <f t="shared" si="0"/>
        <v>6178.833333333333</v>
      </c>
    </row>
    <row r="26" spans="1:15" x14ac:dyDescent="0.3">
      <c r="A26">
        <v>1953</v>
      </c>
      <c r="B26">
        <v>6437</v>
      </c>
      <c r="C26">
        <v>4516</v>
      </c>
      <c r="D26">
        <v>3222</v>
      </c>
      <c r="E26">
        <v>4524</v>
      </c>
      <c r="F26">
        <v>5998</v>
      </c>
      <c r="G26">
        <v>7406</v>
      </c>
      <c r="H26">
        <v>6538</v>
      </c>
      <c r="I26">
        <v>5152</v>
      </c>
      <c r="J26">
        <v>5212</v>
      </c>
      <c r="K26">
        <v>7031</v>
      </c>
      <c r="L26">
        <v>8330</v>
      </c>
      <c r="M26">
        <v>8587</v>
      </c>
      <c r="N26">
        <v>6079.42</v>
      </c>
      <c r="O26" s="3">
        <f t="shared" si="0"/>
        <v>6079.416666666667</v>
      </c>
    </row>
    <row r="27" spans="1:15" x14ac:dyDescent="0.3">
      <c r="A27">
        <v>1954</v>
      </c>
      <c r="B27">
        <v>6971</v>
      </c>
      <c r="C27">
        <v>3853</v>
      </c>
      <c r="D27">
        <v>3534</v>
      </c>
      <c r="E27">
        <v>4445</v>
      </c>
      <c r="F27">
        <v>6684</v>
      </c>
      <c r="G27">
        <v>7892</v>
      </c>
      <c r="H27">
        <v>9701</v>
      </c>
      <c r="I27">
        <v>10413</v>
      </c>
      <c r="J27">
        <v>9183</v>
      </c>
      <c r="K27">
        <v>9536</v>
      </c>
      <c r="L27">
        <v>10989</v>
      </c>
      <c r="M27">
        <v>11458</v>
      </c>
      <c r="N27">
        <v>7888.25</v>
      </c>
      <c r="O27" s="3">
        <f t="shared" si="0"/>
        <v>7888.25</v>
      </c>
    </row>
    <row r="28" spans="1:15" x14ac:dyDescent="0.3">
      <c r="A28">
        <v>1955</v>
      </c>
      <c r="B28">
        <v>9458</v>
      </c>
      <c r="C28">
        <v>4973</v>
      </c>
      <c r="D28">
        <v>4535</v>
      </c>
      <c r="E28">
        <v>6480</v>
      </c>
      <c r="F28">
        <v>8350</v>
      </c>
      <c r="G28">
        <v>9442</v>
      </c>
      <c r="H28">
        <v>10142</v>
      </c>
      <c r="I28">
        <v>10252</v>
      </c>
      <c r="J28">
        <v>10162</v>
      </c>
      <c r="K28">
        <v>10622</v>
      </c>
      <c r="N28">
        <v>8441.6</v>
      </c>
      <c r="O28" s="3">
        <f t="shared" si="0"/>
        <v>8441.6</v>
      </c>
    </row>
    <row r="29" spans="1:15" x14ac:dyDescent="0.3">
      <c r="A29">
        <v>1956</v>
      </c>
      <c r="B29">
        <v>10684</v>
      </c>
      <c r="C29">
        <v>8184</v>
      </c>
      <c r="D29">
        <v>7076</v>
      </c>
      <c r="E29">
        <v>6521</v>
      </c>
      <c r="F29">
        <v>7264</v>
      </c>
      <c r="G29">
        <v>9496</v>
      </c>
      <c r="H29">
        <v>9889</v>
      </c>
      <c r="I29">
        <v>8293</v>
      </c>
      <c r="J29">
        <v>8480</v>
      </c>
      <c r="K29">
        <v>9777</v>
      </c>
      <c r="N29">
        <v>8566.4</v>
      </c>
      <c r="O29" s="3">
        <f t="shared" si="0"/>
        <v>8566.4</v>
      </c>
    </row>
    <row r="30" spans="1:15" x14ac:dyDescent="0.3">
      <c r="A30">
        <v>1957</v>
      </c>
      <c r="B30">
        <v>8189</v>
      </c>
      <c r="C30">
        <v>4213</v>
      </c>
      <c r="D30">
        <v>3838</v>
      </c>
      <c r="E30">
        <v>4337</v>
      </c>
      <c r="F30">
        <v>5821</v>
      </c>
      <c r="G30">
        <v>7896</v>
      </c>
      <c r="H30">
        <v>6377</v>
      </c>
      <c r="I30">
        <v>5317</v>
      </c>
      <c r="J30">
        <v>5136</v>
      </c>
      <c r="K30">
        <v>6284</v>
      </c>
      <c r="L30">
        <v>7167</v>
      </c>
      <c r="M30">
        <v>6407</v>
      </c>
      <c r="N30">
        <v>5915.17</v>
      </c>
      <c r="O30" s="3">
        <f t="shared" si="0"/>
        <v>5915.166666666667</v>
      </c>
    </row>
    <row r="31" spans="1:15" x14ac:dyDescent="0.3">
      <c r="A31">
        <v>1958</v>
      </c>
      <c r="B31">
        <v>3656</v>
      </c>
      <c r="C31">
        <v>2651</v>
      </c>
      <c r="D31">
        <v>2527</v>
      </c>
      <c r="E31">
        <v>3441</v>
      </c>
      <c r="F31">
        <v>5668</v>
      </c>
      <c r="G31">
        <v>6442</v>
      </c>
      <c r="H31">
        <v>4748</v>
      </c>
      <c r="I31">
        <v>5607</v>
      </c>
      <c r="J31">
        <v>5019</v>
      </c>
      <c r="K31">
        <v>5663</v>
      </c>
      <c r="L31">
        <v>7208</v>
      </c>
      <c r="M31">
        <v>5562</v>
      </c>
      <c r="N31">
        <v>4849.33</v>
      </c>
      <c r="O31" s="3">
        <f t="shared" si="0"/>
        <v>4849.333333333333</v>
      </c>
    </row>
    <row r="32" spans="1:15" x14ac:dyDescent="0.3">
      <c r="A32">
        <v>1959</v>
      </c>
      <c r="B32">
        <v>3454</v>
      </c>
      <c r="C32">
        <v>2138</v>
      </c>
      <c r="D32">
        <v>2299</v>
      </c>
      <c r="E32">
        <v>3098</v>
      </c>
      <c r="F32">
        <v>5828</v>
      </c>
      <c r="G32">
        <v>6802</v>
      </c>
      <c r="H32">
        <v>6924</v>
      </c>
      <c r="I32">
        <v>6096</v>
      </c>
      <c r="J32">
        <v>6218</v>
      </c>
      <c r="K32">
        <v>7289</v>
      </c>
      <c r="L32">
        <v>9129</v>
      </c>
      <c r="M32">
        <v>8926</v>
      </c>
      <c r="N32">
        <v>5683.42</v>
      </c>
      <c r="O32" s="3">
        <f t="shared" si="0"/>
        <v>5683.416666666667</v>
      </c>
    </row>
    <row r="33" spans="1:15" x14ac:dyDescent="0.3">
      <c r="A33">
        <v>1960</v>
      </c>
      <c r="B33">
        <v>6761</v>
      </c>
      <c r="C33">
        <v>4808</v>
      </c>
      <c r="D33">
        <v>3722</v>
      </c>
      <c r="E33">
        <v>4725</v>
      </c>
      <c r="F33">
        <v>6926</v>
      </c>
      <c r="G33">
        <v>7877</v>
      </c>
      <c r="H33">
        <v>7877</v>
      </c>
      <c r="I33">
        <v>7157</v>
      </c>
      <c r="J33">
        <v>7813</v>
      </c>
      <c r="K33">
        <v>7585</v>
      </c>
      <c r="L33">
        <v>9379</v>
      </c>
      <c r="M33">
        <v>10340</v>
      </c>
      <c r="N33">
        <v>7080.83</v>
      </c>
      <c r="O33" s="3">
        <f t="shared" si="0"/>
        <v>7080.833333333333</v>
      </c>
    </row>
    <row r="34" spans="1:15" x14ac:dyDescent="0.3">
      <c r="A34">
        <v>1961</v>
      </c>
      <c r="B34">
        <v>7496</v>
      </c>
      <c r="C34">
        <v>4318</v>
      </c>
      <c r="D34">
        <v>3098</v>
      </c>
      <c r="E34">
        <v>4407</v>
      </c>
      <c r="F34">
        <v>5702</v>
      </c>
      <c r="G34">
        <v>5772</v>
      </c>
      <c r="H34">
        <v>6121</v>
      </c>
      <c r="I34">
        <v>5872</v>
      </c>
      <c r="J34">
        <v>6797</v>
      </c>
      <c r="K34">
        <v>7490</v>
      </c>
      <c r="L34">
        <v>9698</v>
      </c>
      <c r="M34">
        <v>10821</v>
      </c>
      <c r="N34">
        <v>6466</v>
      </c>
      <c r="O34" s="3">
        <f t="shared" si="0"/>
        <v>6466</v>
      </c>
    </row>
    <row r="35" spans="1:15" x14ac:dyDescent="0.3">
      <c r="A35">
        <v>1962</v>
      </c>
      <c r="B35">
        <v>7141</v>
      </c>
      <c r="C35">
        <v>4102</v>
      </c>
      <c r="D35">
        <v>4031</v>
      </c>
      <c r="E35">
        <v>4828</v>
      </c>
      <c r="F35">
        <v>7250</v>
      </c>
      <c r="G35">
        <v>9211</v>
      </c>
      <c r="H35">
        <v>10054</v>
      </c>
      <c r="I35">
        <v>9716</v>
      </c>
      <c r="J35">
        <v>9232</v>
      </c>
      <c r="K35">
        <v>9180</v>
      </c>
      <c r="L35">
        <v>9980</v>
      </c>
      <c r="M35">
        <v>9448</v>
      </c>
      <c r="N35">
        <v>7847.75</v>
      </c>
      <c r="O35" s="3">
        <f t="shared" si="0"/>
        <v>7847.75</v>
      </c>
    </row>
    <row r="36" spans="1:15" x14ac:dyDescent="0.3">
      <c r="A36">
        <v>1963</v>
      </c>
      <c r="B36">
        <v>6048</v>
      </c>
      <c r="C36">
        <v>4493</v>
      </c>
      <c r="D36">
        <v>4632</v>
      </c>
      <c r="E36">
        <v>6373</v>
      </c>
      <c r="F36">
        <v>8281</v>
      </c>
      <c r="G36">
        <v>9394</v>
      </c>
      <c r="H36">
        <v>8926</v>
      </c>
      <c r="I36">
        <v>8263</v>
      </c>
      <c r="J36">
        <v>7457</v>
      </c>
      <c r="K36">
        <v>7791</v>
      </c>
      <c r="L36">
        <v>9039</v>
      </c>
      <c r="M36">
        <v>9221</v>
      </c>
      <c r="N36">
        <v>7493.17</v>
      </c>
      <c r="O36" s="3">
        <f t="shared" si="0"/>
        <v>7493.166666666667</v>
      </c>
    </row>
    <row r="37" spans="1:15" x14ac:dyDescent="0.3">
      <c r="A37">
        <v>1964</v>
      </c>
      <c r="B37">
        <v>5307</v>
      </c>
      <c r="C37">
        <v>2799</v>
      </c>
      <c r="D37">
        <v>2779</v>
      </c>
      <c r="E37">
        <v>4125</v>
      </c>
      <c r="F37">
        <v>5625</v>
      </c>
      <c r="G37">
        <v>7704</v>
      </c>
      <c r="H37">
        <v>9300</v>
      </c>
      <c r="I37">
        <v>9936</v>
      </c>
      <c r="J37">
        <v>10150</v>
      </c>
      <c r="K37">
        <v>10006</v>
      </c>
      <c r="L37">
        <v>10615</v>
      </c>
      <c r="M37">
        <v>9146</v>
      </c>
      <c r="N37">
        <v>7291</v>
      </c>
      <c r="O37" s="3">
        <f t="shared" si="0"/>
        <v>7291</v>
      </c>
    </row>
    <row r="38" spans="1:15" x14ac:dyDescent="0.3">
      <c r="A38">
        <v>1965</v>
      </c>
      <c r="B38">
        <v>5614</v>
      </c>
      <c r="C38">
        <v>3269</v>
      </c>
      <c r="D38">
        <v>2894</v>
      </c>
      <c r="E38">
        <v>3984</v>
      </c>
      <c r="F38">
        <v>5872</v>
      </c>
      <c r="G38">
        <v>6375</v>
      </c>
      <c r="H38">
        <v>4865</v>
      </c>
      <c r="I38">
        <v>5239</v>
      </c>
      <c r="J38">
        <v>5905</v>
      </c>
      <c r="K38">
        <v>7215</v>
      </c>
      <c r="L38">
        <v>8564</v>
      </c>
      <c r="M38">
        <v>9908</v>
      </c>
      <c r="N38">
        <v>5808.67</v>
      </c>
      <c r="O38" s="3">
        <f t="shared" si="0"/>
        <v>5808.666666666667</v>
      </c>
    </row>
    <row r="39" spans="1:15" x14ac:dyDescent="0.3">
      <c r="A39">
        <v>1966</v>
      </c>
      <c r="B39">
        <v>7794</v>
      </c>
      <c r="C39">
        <v>4129</v>
      </c>
      <c r="D39">
        <v>3115</v>
      </c>
      <c r="E39">
        <v>3569</v>
      </c>
      <c r="F39">
        <v>5300</v>
      </c>
      <c r="G39">
        <v>7452</v>
      </c>
      <c r="H39">
        <v>8656</v>
      </c>
      <c r="I39">
        <v>8274</v>
      </c>
      <c r="J39">
        <v>8311</v>
      </c>
      <c r="K39">
        <v>8608</v>
      </c>
      <c r="L39">
        <v>9666</v>
      </c>
      <c r="M39">
        <v>10688</v>
      </c>
      <c r="N39">
        <v>7130.17</v>
      </c>
      <c r="O39" s="3">
        <f t="shared" si="0"/>
        <v>7130.166666666667</v>
      </c>
    </row>
    <row r="40" spans="1:15" x14ac:dyDescent="0.3">
      <c r="A40">
        <v>1967</v>
      </c>
      <c r="B40">
        <v>9942</v>
      </c>
      <c r="C40">
        <v>6099</v>
      </c>
      <c r="D40">
        <v>4605</v>
      </c>
      <c r="E40">
        <v>4686</v>
      </c>
      <c r="F40">
        <v>6672</v>
      </c>
      <c r="G40">
        <v>8195</v>
      </c>
      <c r="H40">
        <v>8636</v>
      </c>
      <c r="I40">
        <v>7482</v>
      </c>
      <c r="J40">
        <v>7046</v>
      </c>
      <c r="K40">
        <v>7131</v>
      </c>
      <c r="L40">
        <v>8579</v>
      </c>
      <c r="M40">
        <v>8232</v>
      </c>
      <c r="N40">
        <v>7275.42</v>
      </c>
      <c r="O40" s="3">
        <f t="shared" si="0"/>
        <v>7275.416666666667</v>
      </c>
    </row>
    <row r="41" spans="1:15" x14ac:dyDescent="0.3">
      <c r="A41">
        <v>1968</v>
      </c>
      <c r="B41">
        <v>4730</v>
      </c>
      <c r="C41">
        <v>3659</v>
      </c>
      <c r="D41">
        <v>3527</v>
      </c>
      <c r="E41">
        <v>4679</v>
      </c>
      <c r="F41">
        <v>6329</v>
      </c>
      <c r="G41">
        <v>7805</v>
      </c>
      <c r="H41">
        <v>8602</v>
      </c>
      <c r="I41">
        <v>8243</v>
      </c>
      <c r="J41">
        <v>8547</v>
      </c>
      <c r="K41">
        <v>9339</v>
      </c>
      <c r="L41">
        <v>10413</v>
      </c>
      <c r="M41">
        <v>10426</v>
      </c>
      <c r="N41">
        <v>7191.58</v>
      </c>
      <c r="O41" s="3">
        <f t="shared" si="0"/>
        <v>7191.583333333333</v>
      </c>
    </row>
    <row r="42" spans="1:15" x14ac:dyDescent="0.3">
      <c r="A42">
        <v>1969</v>
      </c>
      <c r="B42">
        <v>6294</v>
      </c>
      <c r="C42">
        <v>4114</v>
      </c>
      <c r="D42">
        <v>3650</v>
      </c>
      <c r="E42">
        <v>5190</v>
      </c>
      <c r="F42">
        <v>7686</v>
      </c>
      <c r="G42">
        <v>8598</v>
      </c>
      <c r="H42">
        <v>7507</v>
      </c>
      <c r="I42">
        <v>6634</v>
      </c>
      <c r="J42">
        <v>7402</v>
      </c>
      <c r="K42">
        <v>9205</v>
      </c>
      <c r="L42">
        <v>11160</v>
      </c>
      <c r="M42">
        <v>11668</v>
      </c>
      <c r="N42">
        <v>7425.67</v>
      </c>
      <c r="O42" s="3">
        <f t="shared" si="0"/>
        <v>7425.666666666667</v>
      </c>
    </row>
    <row r="43" spans="1:15" x14ac:dyDescent="0.3">
      <c r="A43">
        <v>1970</v>
      </c>
      <c r="B43">
        <v>9141</v>
      </c>
      <c r="C43">
        <v>5731</v>
      </c>
      <c r="D43">
        <v>4546</v>
      </c>
      <c r="E43">
        <v>4971</v>
      </c>
      <c r="F43">
        <v>7166</v>
      </c>
      <c r="G43">
        <v>9005</v>
      </c>
      <c r="H43">
        <v>8772</v>
      </c>
      <c r="I43">
        <v>9101</v>
      </c>
      <c r="J43">
        <v>10099</v>
      </c>
      <c r="K43">
        <v>11062</v>
      </c>
      <c r="L43">
        <v>10589</v>
      </c>
      <c r="M43">
        <v>10483</v>
      </c>
      <c r="N43">
        <v>8388.83</v>
      </c>
      <c r="O43" s="3">
        <f t="shared" si="0"/>
        <v>8388.8333333333339</v>
      </c>
    </row>
    <row r="44" spans="1:15" x14ac:dyDescent="0.3">
      <c r="A44">
        <v>1971</v>
      </c>
      <c r="B44">
        <v>10874</v>
      </c>
      <c r="C44">
        <v>9078</v>
      </c>
      <c r="D44">
        <v>8075</v>
      </c>
      <c r="E44">
        <v>9037</v>
      </c>
      <c r="F44">
        <v>9970</v>
      </c>
      <c r="G44">
        <v>11467</v>
      </c>
      <c r="H44">
        <v>10931</v>
      </c>
      <c r="I44">
        <v>9767</v>
      </c>
      <c r="J44">
        <v>10591</v>
      </c>
      <c r="K44">
        <v>11315</v>
      </c>
      <c r="L44">
        <v>12027</v>
      </c>
      <c r="M44">
        <v>10721</v>
      </c>
      <c r="N44">
        <v>10321.08</v>
      </c>
      <c r="O44" s="3">
        <f t="shared" si="0"/>
        <v>10321.083333333334</v>
      </c>
    </row>
    <row r="45" spans="1:15" x14ac:dyDescent="0.3">
      <c r="A45">
        <v>1972</v>
      </c>
      <c r="B45">
        <v>7223</v>
      </c>
      <c r="C45">
        <v>5918</v>
      </c>
      <c r="D45">
        <v>4347</v>
      </c>
      <c r="E45">
        <v>5426</v>
      </c>
      <c r="F45">
        <v>7967</v>
      </c>
      <c r="G45">
        <v>9887</v>
      </c>
      <c r="H45">
        <v>9531</v>
      </c>
      <c r="I45">
        <v>6556</v>
      </c>
      <c r="J45">
        <v>6590</v>
      </c>
      <c r="K45">
        <v>7051</v>
      </c>
      <c r="L45">
        <v>8036</v>
      </c>
      <c r="M45">
        <v>7553</v>
      </c>
      <c r="N45">
        <v>7173.75</v>
      </c>
      <c r="O45" s="3">
        <f t="shared" si="0"/>
        <v>7173.75</v>
      </c>
    </row>
    <row r="46" spans="1:15" x14ac:dyDescent="0.3">
      <c r="A46">
        <v>1973</v>
      </c>
      <c r="B46">
        <v>4160</v>
      </c>
      <c r="C46">
        <v>2436</v>
      </c>
      <c r="D46">
        <v>2304</v>
      </c>
      <c r="E46">
        <v>2960</v>
      </c>
      <c r="F46">
        <v>4529</v>
      </c>
      <c r="G46">
        <v>5443</v>
      </c>
      <c r="H46">
        <v>6546</v>
      </c>
      <c r="I46">
        <v>7417</v>
      </c>
      <c r="J46">
        <v>9129</v>
      </c>
      <c r="K46">
        <v>11374</v>
      </c>
      <c r="L46">
        <v>12396</v>
      </c>
      <c r="M46">
        <v>12731</v>
      </c>
      <c r="N46">
        <v>6785.42</v>
      </c>
      <c r="O46" s="3">
        <f t="shared" si="0"/>
        <v>6785.416666666667</v>
      </c>
    </row>
    <row r="47" spans="1:15" x14ac:dyDescent="0.3">
      <c r="A47">
        <v>1974</v>
      </c>
      <c r="B47">
        <v>10495</v>
      </c>
      <c r="C47">
        <v>7292</v>
      </c>
      <c r="D47">
        <v>6449</v>
      </c>
      <c r="E47">
        <v>6208</v>
      </c>
      <c r="F47">
        <v>7658</v>
      </c>
      <c r="G47">
        <v>7957</v>
      </c>
      <c r="H47">
        <v>7253</v>
      </c>
      <c r="I47">
        <v>7024</v>
      </c>
      <c r="J47">
        <v>7316</v>
      </c>
      <c r="K47">
        <v>10593</v>
      </c>
      <c r="L47">
        <v>14475</v>
      </c>
      <c r="M47">
        <v>14159</v>
      </c>
      <c r="N47">
        <v>8906.58</v>
      </c>
      <c r="O47" s="3">
        <f t="shared" si="0"/>
        <v>8906.5833333333339</v>
      </c>
    </row>
    <row r="48" spans="1:15" x14ac:dyDescent="0.3">
      <c r="A48">
        <v>1975</v>
      </c>
      <c r="B48">
        <v>7015</v>
      </c>
      <c r="C48">
        <v>3880</v>
      </c>
      <c r="D48">
        <v>4896</v>
      </c>
      <c r="E48">
        <v>4242</v>
      </c>
      <c r="F48">
        <v>6222</v>
      </c>
      <c r="G48">
        <v>7786</v>
      </c>
      <c r="H48">
        <v>8708</v>
      </c>
      <c r="I48">
        <v>9192</v>
      </c>
      <c r="J48">
        <v>10697</v>
      </c>
      <c r="K48">
        <v>12699</v>
      </c>
      <c r="L48">
        <v>15382</v>
      </c>
      <c r="M48">
        <v>15373</v>
      </c>
      <c r="N48">
        <v>8841</v>
      </c>
      <c r="O48" s="3">
        <f t="shared" si="0"/>
        <v>8841</v>
      </c>
    </row>
    <row r="49" spans="1:15" x14ac:dyDescent="0.3">
      <c r="A49">
        <v>1976</v>
      </c>
      <c r="B49">
        <v>10435</v>
      </c>
      <c r="C49">
        <v>6053</v>
      </c>
      <c r="D49">
        <v>5418</v>
      </c>
      <c r="E49">
        <v>5986</v>
      </c>
      <c r="F49">
        <v>7897</v>
      </c>
      <c r="G49">
        <v>8307</v>
      </c>
      <c r="H49">
        <v>7425</v>
      </c>
      <c r="I49">
        <v>5593</v>
      </c>
      <c r="J49">
        <v>4574</v>
      </c>
      <c r="K49">
        <v>7210</v>
      </c>
      <c r="L49">
        <v>9042</v>
      </c>
      <c r="M49">
        <v>6946</v>
      </c>
      <c r="N49">
        <v>7073.83</v>
      </c>
      <c r="O49" s="3">
        <f t="shared" si="0"/>
        <v>7073.833333333333</v>
      </c>
    </row>
    <row r="50" spans="1:15" x14ac:dyDescent="0.3">
      <c r="A50">
        <v>1977</v>
      </c>
      <c r="B50">
        <v>3132</v>
      </c>
      <c r="C50">
        <v>2120</v>
      </c>
      <c r="D50">
        <v>1953</v>
      </c>
      <c r="E50">
        <v>2953</v>
      </c>
      <c r="F50">
        <v>4768</v>
      </c>
      <c r="G50">
        <v>6776</v>
      </c>
      <c r="H50">
        <v>6289</v>
      </c>
      <c r="I50">
        <v>6383</v>
      </c>
      <c r="J50">
        <v>5730</v>
      </c>
      <c r="K50">
        <v>8275</v>
      </c>
      <c r="L50">
        <v>10328</v>
      </c>
      <c r="M50">
        <v>9909</v>
      </c>
      <c r="N50">
        <v>5718</v>
      </c>
      <c r="O50" s="3">
        <f t="shared" si="0"/>
        <v>5718</v>
      </c>
    </row>
    <row r="51" spans="1:15" x14ac:dyDescent="0.3">
      <c r="A51">
        <v>1978</v>
      </c>
      <c r="B51">
        <v>5147</v>
      </c>
      <c r="C51">
        <v>2776</v>
      </c>
      <c r="D51">
        <v>2697</v>
      </c>
      <c r="E51">
        <v>5916</v>
      </c>
      <c r="F51">
        <v>8375</v>
      </c>
      <c r="G51">
        <v>9034</v>
      </c>
      <c r="H51">
        <v>8703</v>
      </c>
      <c r="I51">
        <v>7005</v>
      </c>
      <c r="J51">
        <v>6553</v>
      </c>
      <c r="K51">
        <v>7930</v>
      </c>
      <c r="L51">
        <v>9520</v>
      </c>
      <c r="M51">
        <v>9153</v>
      </c>
      <c r="N51">
        <v>6900.75</v>
      </c>
      <c r="O51" s="3">
        <f t="shared" si="0"/>
        <v>6900.75</v>
      </c>
    </row>
    <row r="52" spans="1:15" x14ac:dyDescent="0.3">
      <c r="A52">
        <v>1979</v>
      </c>
      <c r="B52">
        <v>5471</v>
      </c>
      <c r="C52">
        <v>2826</v>
      </c>
      <c r="D52">
        <v>3337</v>
      </c>
      <c r="E52">
        <v>4257</v>
      </c>
      <c r="F52">
        <v>6962</v>
      </c>
      <c r="G52">
        <v>8825</v>
      </c>
      <c r="H52">
        <v>8789</v>
      </c>
      <c r="I52">
        <v>6925</v>
      </c>
      <c r="J52">
        <v>8187</v>
      </c>
      <c r="K52">
        <v>9138</v>
      </c>
      <c r="L52">
        <v>10863</v>
      </c>
      <c r="M52">
        <v>12341</v>
      </c>
      <c r="N52">
        <v>7326.75</v>
      </c>
      <c r="O52" s="3">
        <f t="shared" si="0"/>
        <v>7326.75</v>
      </c>
    </row>
    <row r="53" spans="1:15" x14ac:dyDescent="0.3">
      <c r="A53">
        <v>1980</v>
      </c>
      <c r="B53">
        <v>7503</v>
      </c>
      <c r="C53">
        <v>4656</v>
      </c>
      <c r="D53">
        <v>3159</v>
      </c>
      <c r="E53">
        <v>3352</v>
      </c>
      <c r="F53">
        <v>5139</v>
      </c>
      <c r="G53">
        <v>6636</v>
      </c>
      <c r="H53">
        <v>5896</v>
      </c>
      <c r="I53">
        <v>6260</v>
      </c>
      <c r="J53">
        <v>6136</v>
      </c>
      <c r="K53">
        <v>8012</v>
      </c>
      <c r="L53">
        <v>9039</v>
      </c>
      <c r="M53">
        <v>8713</v>
      </c>
      <c r="N53">
        <v>6208.42</v>
      </c>
      <c r="O53" s="3">
        <f t="shared" si="0"/>
        <v>6208.416666666667</v>
      </c>
    </row>
    <row r="54" spans="1:15" x14ac:dyDescent="0.3">
      <c r="A54">
        <v>1981</v>
      </c>
      <c r="B54">
        <v>6688</v>
      </c>
      <c r="C54">
        <v>3794</v>
      </c>
      <c r="D54">
        <v>4969</v>
      </c>
      <c r="E54">
        <v>5002</v>
      </c>
      <c r="F54">
        <v>9666</v>
      </c>
      <c r="G54">
        <v>13531</v>
      </c>
      <c r="H54">
        <v>13567</v>
      </c>
      <c r="I54">
        <v>10851</v>
      </c>
      <c r="J54">
        <v>10343</v>
      </c>
      <c r="K54">
        <v>9926</v>
      </c>
      <c r="L54">
        <v>11148</v>
      </c>
      <c r="M54">
        <v>11579</v>
      </c>
      <c r="N54">
        <v>9255.33</v>
      </c>
      <c r="O54" s="3">
        <f t="shared" si="0"/>
        <v>9255.3333333333339</v>
      </c>
    </row>
    <row r="55" spans="1:15" x14ac:dyDescent="0.3">
      <c r="A55">
        <v>1982</v>
      </c>
      <c r="B55">
        <v>8325</v>
      </c>
      <c r="C55">
        <v>5825</v>
      </c>
      <c r="D55">
        <v>5140</v>
      </c>
      <c r="E55">
        <v>6370</v>
      </c>
      <c r="F55">
        <v>9027</v>
      </c>
      <c r="G55">
        <v>11092</v>
      </c>
      <c r="H55">
        <v>9569</v>
      </c>
      <c r="I55">
        <v>6893</v>
      </c>
      <c r="J55">
        <v>6023</v>
      </c>
      <c r="K55">
        <v>7715</v>
      </c>
      <c r="L55">
        <v>9399</v>
      </c>
      <c r="M55">
        <v>7576</v>
      </c>
      <c r="N55">
        <v>7746.17</v>
      </c>
      <c r="O55" s="3">
        <f t="shared" si="0"/>
        <v>7746.166666666667</v>
      </c>
    </row>
    <row r="56" spans="1:15" x14ac:dyDescent="0.3">
      <c r="A56">
        <v>1983</v>
      </c>
      <c r="B56">
        <v>4439</v>
      </c>
      <c r="C56">
        <v>2490</v>
      </c>
      <c r="D56">
        <v>2714</v>
      </c>
      <c r="E56">
        <v>4473</v>
      </c>
      <c r="F56">
        <v>7320</v>
      </c>
      <c r="G56">
        <v>8204</v>
      </c>
      <c r="H56">
        <v>6361</v>
      </c>
      <c r="I56">
        <v>5830</v>
      </c>
      <c r="J56">
        <v>6475</v>
      </c>
      <c r="K56">
        <v>7230</v>
      </c>
      <c r="L56">
        <v>8007</v>
      </c>
      <c r="M56">
        <v>7490</v>
      </c>
      <c r="N56">
        <v>5919.42</v>
      </c>
      <c r="O56" s="3">
        <f t="shared" si="0"/>
        <v>5919.416666666667</v>
      </c>
    </row>
    <row r="57" spans="1:15" x14ac:dyDescent="0.3">
      <c r="A57">
        <v>1984</v>
      </c>
      <c r="B57">
        <v>7046</v>
      </c>
      <c r="C57">
        <v>5769</v>
      </c>
      <c r="D57">
        <v>5016</v>
      </c>
      <c r="E57">
        <v>4613</v>
      </c>
      <c r="F57">
        <v>6784</v>
      </c>
      <c r="G57">
        <v>9164</v>
      </c>
      <c r="H57">
        <v>10403</v>
      </c>
      <c r="I57">
        <v>10415</v>
      </c>
      <c r="J57">
        <v>10112</v>
      </c>
      <c r="K57">
        <v>11298</v>
      </c>
      <c r="L57">
        <v>12762</v>
      </c>
      <c r="M57">
        <v>12508</v>
      </c>
      <c r="N57">
        <v>8824.17</v>
      </c>
      <c r="O57" s="3">
        <f t="shared" si="0"/>
        <v>8824.1666666666661</v>
      </c>
    </row>
    <row r="58" spans="1:15" x14ac:dyDescent="0.3">
      <c r="A58">
        <v>1985</v>
      </c>
      <c r="B58">
        <v>7954</v>
      </c>
      <c r="C58">
        <v>3917</v>
      </c>
      <c r="D58">
        <v>3001</v>
      </c>
      <c r="E58">
        <v>3974</v>
      </c>
      <c r="F58">
        <v>5521</v>
      </c>
      <c r="G58">
        <v>6206</v>
      </c>
      <c r="H58">
        <v>4730</v>
      </c>
      <c r="I58">
        <v>6058</v>
      </c>
      <c r="J58">
        <v>7842</v>
      </c>
      <c r="K58">
        <v>9087</v>
      </c>
      <c r="L58">
        <v>9907</v>
      </c>
      <c r="M58">
        <v>9753</v>
      </c>
      <c r="N58">
        <v>6495.83</v>
      </c>
      <c r="O58" s="3">
        <f t="shared" si="0"/>
        <v>6495.833333333333</v>
      </c>
    </row>
    <row r="59" spans="1:15" x14ac:dyDescent="0.3">
      <c r="A59">
        <v>1986</v>
      </c>
      <c r="B59">
        <v>6525</v>
      </c>
      <c r="C59">
        <v>5097</v>
      </c>
      <c r="D59">
        <v>5667</v>
      </c>
      <c r="E59">
        <v>6552</v>
      </c>
      <c r="F59">
        <v>8347</v>
      </c>
      <c r="G59">
        <v>9229</v>
      </c>
      <c r="H59">
        <v>8717</v>
      </c>
      <c r="I59">
        <v>6205</v>
      </c>
      <c r="J59">
        <v>6190</v>
      </c>
      <c r="K59">
        <v>8391</v>
      </c>
      <c r="L59">
        <v>10628</v>
      </c>
      <c r="M59">
        <v>9594</v>
      </c>
      <c r="N59">
        <v>7595.17</v>
      </c>
      <c r="O59" s="3">
        <f t="shared" si="0"/>
        <v>7595.166666666667</v>
      </c>
    </row>
    <row r="60" spans="1:15" x14ac:dyDescent="0.3">
      <c r="A60">
        <v>1987</v>
      </c>
      <c r="B60">
        <v>5075</v>
      </c>
      <c r="C60">
        <v>4222</v>
      </c>
      <c r="D60">
        <v>4114</v>
      </c>
      <c r="E60">
        <v>4451</v>
      </c>
      <c r="F60">
        <v>6149</v>
      </c>
      <c r="G60">
        <v>6982</v>
      </c>
      <c r="H60">
        <v>5945</v>
      </c>
      <c r="I60">
        <v>7564</v>
      </c>
      <c r="J60">
        <v>7653</v>
      </c>
      <c r="K60">
        <v>8922</v>
      </c>
      <c r="L60">
        <v>11086</v>
      </c>
      <c r="M60">
        <v>11132</v>
      </c>
      <c r="N60">
        <v>6941.25</v>
      </c>
      <c r="O60" s="3">
        <f t="shared" si="0"/>
        <v>6941.25</v>
      </c>
    </row>
    <row r="61" spans="1:15" x14ac:dyDescent="0.3">
      <c r="A61">
        <v>1988</v>
      </c>
      <c r="B61">
        <v>6517</v>
      </c>
      <c r="C61">
        <v>4394</v>
      </c>
      <c r="D61">
        <v>4152</v>
      </c>
      <c r="E61">
        <v>4695</v>
      </c>
      <c r="F61">
        <v>5725</v>
      </c>
      <c r="G61">
        <v>6416</v>
      </c>
      <c r="H61">
        <v>8636</v>
      </c>
      <c r="I61">
        <v>9669</v>
      </c>
      <c r="J61">
        <v>11519</v>
      </c>
      <c r="K61">
        <v>12893</v>
      </c>
      <c r="L61">
        <v>13160</v>
      </c>
      <c r="M61">
        <v>13531</v>
      </c>
      <c r="N61">
        <v>8442.25</v>
      </c>
      <c r="O61" s="3">
        <f t="shared" si="0"/>
        <v>8442.25</v>
      </c>
    </row>
    <row r="62" spans="1:15" x14ac:dyDescent="0.3">
      <c r="A62">
        <v>1989</v>
      </c>
      <c r="B62">
        <v>11564</v>
      </c>
      <c r="C62">
        <v>7224</v>
      </c>
      <c r="D62">
        <v>6120</v>
      </c>
      <c r="E62">
        <v>5862</v>
      </c>
      <c r="F62">
        <v>6464</v>
      </c>
      <c r="G62">
        <v>7546</v>
      </c>
      <c r="H62">
        <v>7218</v>
      </c>
      <c r="I62">
        <v>6889</v>
      </c>
      <c r="J62">
        <v>8298</v>
      </c>
      <c r="K62">
        <v>10531</v>
      </c>
      <c r="L62">
        <v>12046</v>
      </c>
      <c r="M62">
        <v>10709</v>
      </c>
      <c r="N62">
        <v>8372.58</v>
      </c>
      <c r="O62" s="3">
        <f t="shared" si="0"/>
        <v>8372.5833333333339</v>
      </c>
    </row>
    <row r="63" spans="1:15" x14ac:dyDescent="0.3">
      <c r="A63">
        <v>1990</v>
      </c>
      <c r="B63">
        <v>6673</v>
      </c>
      <c r="C63">
        <v>5057</v>
      </c>
      <c r="D63">
        <v>4684</v>
      </c>
      <c r="E63">
        <v>5276</v>
      </c>
      <c r="F63">
        <v>7401</v>
      </c>
      <c r="G63">
        <v>7707</v>
      </c>
      <c r="H63">
        <v>7090</v>
      </c>
      <c r="I63">
        <v>6335</v>
      </c>
      <c r="J63">
        <v>6606</v>
      </c>
      <c r="K63">
        <v>7998</v>
      </c>
      <c r="L63">
        <v>9891</v>
      </c>
      <c r="M63">
        <v>10194</v>
      </c>
      <c r="N63">
        <v>7076</v>
      </c>
      <c r="O63" s="3">
        <f t="shared" si="0"/>
        <v>7076</v>
      </c>
    </row>
    <row r="64" spans="1:15" x14ac:dyDescent="0.3">
      <c r="A64">
        <v>1991</v>
      </c>
      <c r="B64">
        <v>7050</v>
      </c>
      <c r="C64">
        <v>3696</v>
      </c>
      <c r="D64">
        <v>4155</v>
      </c>
      <c r="E64">
        <v>4843</v>
      </c>
      <c r="F64">
        <v>6418</v>
      </c>
      <c r="G64">
        <v>7130</v>
      </c>
      <c r="H64">
        <v>6740</v>
      </c>
      <c r="I64">
        <v>6347</v>
      </c>
      <c r="J64">
        <v>5396</v>
      </c>
      <c r="K64">
        <v>7768</v>
      </c>
      <c r="L64">
        <v>8240</v>
      </c>
      <c r="M64">
        <v>8438</v>
      </c>
      <c r="N64">
        <v>6351.75</v>
      </c>
      <c r="O64" s="3">
        <f t="shared" si="0"/>
        <v>6351.75</v>
      </c>
    </row>
    <row r="65" spans="1:15" x14ac:dyDescent="0.3">
      <c r="A65">
        <v>1992</v>
      </c>
      <c r="B65">
        <v>4552</v>
      </c>
      <c r="C65">
        <v>3068</v>
      </c>
      <c r="D65">
        <v>2884</v>
      </c>
      <c r="E65">
        <v>2844</v>
      </c>
      <c r="F65">
        <v>4617</v>
      </c>
      <c r="G65">
        <v>5507</v>
      </c>
      <c r="H65">
        <v>4899</v>
      </c>
      <c r="I65">
        <v>5718</v>
      </c>
      <c r="J65">
        <v>6075</v>
      </c>
      <c r="K65">
        <v>6908</v>
      </c>
      <c r="L65">
        <v>6914</v>
      </c>
      <c r="M65">
        <v>7096</v>
      </c>
      <c r="N65">
        <v>5090.17</v>
      </c>
      <c r="O65" s="3">
        <f t="shared" si="0"/>
        <v>5090.166666666667</v>
      </c>
    </row>
    <row r="66" spans="1:15" x14ac:dyDescent="0.3">
      <c r="A66">
        <v>1993</v>
      </c>
      <c r="B66">
        <v>5111</v>
      </c>
      <c r="C66">
        <v>3850</v>
      </c>
      <c r="D66">
        <v>3587</v>
      </c>
      <c r="E66">
        <v>5266</v>
      </c>
      <c r="F66">
        <v>7418</v>
      </c>
      <c r="G66">
        <v>8567</v>
      </c>
      <c r="H66">
        <v>7770</v>
      </c>
      <c r="I66">
        <v>6275</v>
      </c>
      <c r="J66">
        <v>7237</v>
      </c>
      <c r="K66">
        <v>8268</v>
      </c>
      <c r="L66">
        <v>8982</v>
      </c>
      <c r="M66">
        <v>10012</v>
      </c>
      <c r="N66">
        <v>6861.92</v>
      </c>
      <c r="O66" s="3">
        <f t="shared" si="0"/>
        <v>6861.916666666667</v>
      </c>
    </row>
    <row r="67" spans="1:15" x14ac:dyDescent="0.3">
      <c r="A67">
        <v>1994</v>
      </c>
      <c r="B67">
        <v>8045</v>
      </c>
      <c r="C67">
        <v>5154</v>
      </c>
      <c r="D67">
        <v>5146</v>
      </c>
      <c r="E67">
        <v>6451</v>
      </c>
      <c r="F67">
        <v>8074</v>
      </c>
      <c r="G67">
        <v>9082</v>
      </c>
      <c r="H67">
        <v>8376</v>
      </c>
      <c r="I67">
        <v>6866</v>
      </c>
      <c r="J67">
        <v>6575</v>
      </c>
      <c r="K67">
        <v>7921</v>
      </c>
      <c r="L67">
        <v>9541</v>
      </c>
      <c r="M67">
        <v>9946</v>
      </c>
      <c r="N67">
        <v>7598.08</v>
      </c>
      <c r="O67" s="3">
        <f t="shared" si="0"/>
        <v>7598.083333333333</v>
      </c>
    </row>
    <row r="68" spans="1:15" x14ac:dyDescent="0.3">
      <c r="A68">
        <v>1995</v>
      </c>
      <c r="B68">
        <v>5247</v>
      </c>
      <c r="C68">
        <v>2534</v>
      </c>
      <c r="D68">
        <v>2623</v>
      </c>
      <c r="E68">
        <v>3689</v>
      </c>
      <c r="F68">
        <v>5822</v>
      </c>
      <c r="G68">
        <v>7234</v>
      </c>
      <c r="H68">
        <v>7742</v>
      </c>
      <c r="I68">
        <v>8850</v>
      </c>
      <c r="J68">
        <v>9493</v>
      </c>
      <c r="K68">
        <v>9163</v>
      </c>
      <c r="L68">
        <v>10028</v>
      </c>
      <c r="M68">
        <v>9349</v>
      </c>
      <c r="N68">
        <v>6814.5</v>
      </c>
      <c r="O68" s="3">
        <f t="shared" si="0"/>
        <v>6814.5</v>
      </c>
    </row>
    <row r="69" spans="1:15" x14ac:dyDescent="0.3">
      <c r="A69">
        <v>1996</v>
      </c>
      <c r="B69">
        <v>6822</v>
      </c>
      <c r="C69">
        <v>4982</v>
      </c>
      <c r="D69">
        <v>5883</v>
      </c>
      <c r="E69">
        <v>6627</v>
      </c>
      <c r="F69">
        <v>7209</v>
      </c>
      <c r="G69">
        <v>9225</v>
      </c>
      <c r="H69">
        <v>11029</v>
      </c>
      <c r="I69">
        <v>11122</v>
      </c>
      <c r="J69">
        <v>10234</v>
      </c>
      <c r="K69">
        <v>9896</v>
      </c>
      <c r="L69">
        <v>10511</v>
      </c>
      <c r="M69">
        <v>9402</v>
      </c>
      <c r="N69">
        <v>8578.5</v>
      </c>
      <c r="O69" s="3">
        <f t="shared" si="0"/>
        <v>8578.5</v>
      </c>
    </row>
    <row r="70" spans="1:15" x14ac:dyDescent="0.3">
      <c r="A70">
        <v>1997</v>
      </c>
      <c r="B70">
        <v>5692</v>
      </c>
      <c r="C70">
        <v>4934</v>
      </c>
      <c r="D70">
        <v>3689</v>
      </c>
      <c r="E70">
        <v>3704</v>
      </c>
      <c r="F70">
        <v>4582</v>
      </c>
      <c r="G70">
        <v>5438</v>
      </c>
      <c r="H70">
        <v>5066</v>
      </c>
      <c r="I70">
        <v>3728</v>
      </c>
      <c r="J70">
        <v>3661</v>
      </c>
      <c r="K70">
        <v>5039</v>
      </c>
      <c r="L70">
        <v>5662</v>
      </c>
      <c r="M70">
        <v>4819</v>
      </c>
      <c r="N70">
        <v>4667.83</v>
      </c>
      <c r="O70" s="3">
        <f t="shared" si="0"/>
        <v>4667.833333333333</v>
      </c>
    </row>
    <row r="71" spans="1:15" x14ac:dyDescent="0.3">
      <c r="A71">
        <v>1998</v>
      </c>
      <c r="B71">
        <v>2626</v>
      </c>
      <c r="C71">
        <v>2746</v>
      </c>
      <c r="D71">
        <v>2533</v>
      </c>
      <c r="E71">
        <v>4127</v>
      </c>
      <c r="F71">
        <v>6514</v>
      </c>
      <c r="G71">
        <v>8008</v>
      </c>
      <c r="H71">
        <v>8634</v>
      </c>
      <c r="I71">
        <v>8307</v>
      </c>
      <c r="J71">
        <v>8481</v>
      </c>
      <c r="K71">
        <v>9307</v>
      </c>
      <c r="L71">
        <v>9981</v>
      </c>
      <c r="M71">
        <v>11020</v>
      </c>
      <c r="N71">
        <v>6857</v>
      </c>
      <c r="O71" s="3">
        <f t="shared" si="0"/>
        <v>6857</v>
      </c>
    </row>
    <row r="72" spans="1:15" x14ac:dyDescent="0.3">
      <c r="A72">
        <v>1999</v>
      </c>
      <c r="B72">
        <v>9849</v>
      </c>
      <c r="C72">
        <v>7315</v>
      </c>
      <c r="D72">
        <v>8077</v>
      </c>
      <c r="E72">
        <v>8431</v>
      </c>
      <c r="F72">
        <v>9334</v>
      </c>
      <c r="G72">
        <v>10328</v>
      </c>
      <c r="H72">
        <v>10986</v>
      </c>
      <c r="I72">
        <v>9733</v>
      </c>
      <c r="J72">
        <v>9594</v>
      </c>
      <c r="K72">
        <v>11434</v>
      </c>
      <c r="L72">
        <v>13378</v>
      </c>
      <c r="M72">
        <v>13023</v>
      </c>
      <c r="N72">
        <v>10123.5</v>
      </c>
      <c r="O72" s="3">
        <f t="shared" si="0"/>
        <v>10123.5</v>
      </c>
    </row>
    <row r="73" spans="1:15" x14ac:dyDescent="0.3">
      <c r="A73">
        <v>2000</v>
      </c>
      <c r="B73">
        <v>10812</v>
      </c>
      <c r="C73">
        <v>6093</v>
      </c>
      <c r="D73">
        <v>5976</v>
      </c>
      <c r="E73">
        <v>5630</v>
      </c>
      <c r="F73">
        <v>6923</v>
      </c>
      <c r="G73">
        <v>8971</v>
      </c>
      <c r="H73">
        <v>9573</v>
      </c>
      <c r="I73">
        <v>8562</v>
      </c>
      <c r="J73">
        <v>8572</v>
      </c>
      <c r="K73">
        <v>10234</v>
      </c>
      <c r="L73">
        <v>10570</v>
      </c>
      <c r="M73">
        <v>9162</v>
      </c>
      <c r="N73">
        <v>8423.17</v>
      </c>
      <c r="O73" s="3">
        <f t="shared" si="0"/>
        <v>8423.1666666666661</v>
      </c>
    </row>
    <row r="74" spans="1:15" x14ac:dyDescent="0.3">
      <c r="A74">
        <v>2001</v>
      </c>
      <c r="B74">
        <v>5239</v>
      </c>
      <c r="C74">
        <v>2960</v>
      </c>
      <c r="D74">
        <v>3288</v>
      </c>
      <c r="E74">
        <v>3761</v>
      </c>
      <c r="F74">
        <v>4556</v>
      </c>
      <c r="G74">
        <v>5872</v>
      </c>
      <c r="H74">
        <v>4890</v>
      </c>
      <c r="I74">
        <v>4293</v>
      </c>
      <c r="J74">
        <v>4589</v>
      </c>
      <c r="K74">
        <v>6229</v>
      </c>
      <c r="L74">
        <v>7734</v>
      </c>
      <c r="M74">
        <v>8537</v>
      </c>
      <c r="N74">
        <v>5162.33</v>
      </c>
      <c r="O74" s="3">
        <f t="shared" si="0"/>
        <v>5162.333333333333</v>
      </c>
    </row>
    <row r="75" spans="1:15" x14ac:dyDescent="0.3">
      <c r="A75">
        <v>2002</v>
      </c>
      <c r="B75">
        <v>6717</v>
      </c>
      <c r="C75">
        <v>3326</v>
      </c>
      <c r="D75">
        <v>2893</v>
      </c>
      <c r="E75">
        <v>4518</v>
      </c>
      <c r="F75">
        <v>5955</v>
      </c>
      <c r="G75">
        <v>7583</v>
      </c>
      <c r="H75">
        <v>6751</v>
      </c>
      <c r="I75">
        <v>4440</v>
      </c>
      <c r="J75">
        <v>4585</v>
      </c>
      <c r="K75">
        <v>5094</v>
      </c>
      <c r="L75">
        <v>7592</v>
      </c>
      <c r="M75">
        <v>6225</v>
      </c>
      <c r="N75">
        <v>5473.25</v>
      </c>
      <c r="O75" s="3">
        <f t="shared" si="0"/>
        <v>5473.25</v>
      </c>
    </row>
    <row r="76" spans="1:15" x14ac:dyDescent="0.3">
      <c r="A76">
        <v>2003</v>
      </c>
      <c r="B76">
        <v>3527</v>
      </c>
      <c r="C76">
        <v>2566</v>
      </c>
      <c r="D76">
        <v>2684</v>
      </c>
      <c r="E76">
        <v>3815</v>
      </c>
      <c r="F76">
        <v>5959</v>
      </c>
      <c r="G76">
        <v>7152</v>
      </c>
      <c r="H76">
        <v>7712</v>
      </c>
      <c r="I76">
        <v>6910</v>
      </c>
      <c r="J76">
        <v>6140</v>
      </c>
      <c r="K76">
        <v>7897</v>
      </c>
      <c r="L76">
        <v>10016</v>
      </c>
      <c r="M76">
        <v>11146</v>
      </c>
      <c r="N76">
        <v>6293.67</v>
      </c>
      <c r="O76" s="3">
        <f t="shared" si="0"/>
        <v>6293.666666666667</v>
      </c>
    </row>
    <row r="77" spans="1:15" x14ac:dyDescent="0.3">
      <c r="A77">
        <v>2004</v>
      </c>
      <c r="B77">
        <v>8355</v>
      </c>
      <c r="C77">
        <v>3724</v>
      </c>
      <c r="D77">
        <v>2916</v>
      </c>
      <c r="E77">
        <v>3609</v>
      </c>
      <c r="F77">
        <v>6011</v>
      </c>
      <c r="G77">
        <v>7558</v>
      </c>
      <c r="H77">
        <v>6195</v>
      </c>
      <c r="I77">
        <v>5941</v>
      </c>
      <c r="J77">
        <v>6271</v>
      </c>
      <c r="K77">
        <v>8047</v>
      </c>
      <c r="L77">
        <v>10161</v>
      </c>
      <c r="M77">
        <v>11106</v>
      </c>
      <c r="N77">
        <v>6657.83</v>
      </c>
      <c r="O77" s="3">
        <f t="shared" si="0"/>
        <v>6657.833333333333</v>
      </c>
    </row>
    <row r="78" spans="1:15" x14ac:dyDescent="0.3">
      <c r="A78">
        <v>2005</v>
      </c>
      <c r="B78">
        <v>7079</v>
      </c>
      <c r="C78">
        <v>4568</v>
      </c>
      <c r="D78">
        <v>3838</v>
      </c>
      <c r="E78">
        <v>4448</v>
      </c>
      <c r="F78">
        <v>6630</v>
      </c>
      <c r="G78">
        <v>8434</v>
      </c>
      <c r="H78">
        <v>8273</v>
      </c>
      <c r="I78">
        <v>6664</v>
      </c>
      <c r="J78">
        <v>6318</v>
      </c>
      <c r="K78">
        <v>7510</v>
      </c>
      <c r="L78">
        <v>10060</v>
      </c>
      <c r="M78">
        <v>12700</v>
      </c>
      <c r="N78">
        <v>7210.17</v>
      </c>
      <c r="O78" s="3">
        <f t="shared" ref="O78:O88" si="1">AVERAGE(B78:M78)</f>
        <v>7210.166666666667</v>
      </c>
    </row>
    <row r="79" spans="1:15" x14ac:dyDescent="0.3">
      <c r="A79">
        <v>2006</v>
      </c>
      <c r="B79">
        <v>9204</v>
      </c>
      <c r="C79">
        <v>5532</v>
      </c>
      <c r="D79">
        <v>4329</v>
      </c>
      <c r="E79">
        <v>6292</v>
      </c>
      <c r="F79">
        <v>8757</v>
      </c>
      <c r="G79">
        <v>11047</v>
      </c>
      <c r="H79">
        <v>10159</v>
      </c>
      <c r="I79">
        <v>6984</v>
      </c>
      <c r="J79">
        <v>7058</v>
      </c>
      <c r="K79">
        <v>7218</v>
      </c>
      <c r="L79">
        <v>9114</v>
      </c>
      <c r="M79">
        <v>10575</v>
      </c>
      <c r="N79">
        <v>8022.42</v>
      </c>
      <c r="O79" s="3">
        <f t="shared" si="1"/>
        <v>8022.416666666667</v>
      </c>
    </row>
    <row r="80" spans="1:15" x14ac:dyDescent="0.3">
      <c r="A80">
        <v>2007</v>
      </c>
      <c r="B80">
        <v>7909</v>
      </c>
      <c r="C80">
        <v>3754</v>
      </c>
      <c r="D80">
        <v>2916</v>
      </c>
      <c r="E80">
        <v>5658</v>
      </c>
      <c r="F80">
        <v>8442</v>
      </c>
      <c r="G80">
        <v>11263</v>
      </c>
      <c r="H80">
        <v>11100</v>
      </c>
      <c r="I80">
        <v>9304</v>
      </c>
      <c r="J80">
        <v>10419</v>
      </c>
      <c r="K80">
        <v>10444</v>
      </c>
      <c r="L80">
        <v>13131</v>
      </c>
      <c r="M80">
        <v>12511</v>
      </c>
      <c r="N80">
        <v>8904.25</v>
      </c>
      <c r="O80" s="3">
        <f t="shared" si="1"/>
        <v>8904.25</v>
      </c>
    </row>
    <row r="81" spans="1:28" x14ac:dyDescent="0.3">
      <c r="A81">
        <v>2008</v>
      </c>
      <c r="B81">
        <v>8936</v>
      </c>
      <c r="C81">
        <v>5442</v>
      </c>
      <c r="D81">
        <v>5420</v>
      </c>
      <c r="E81">
        <v>5673</v>
      </c>
      <c r="F81">
        <v>7711</v>
      </c>
      <c r="G81">
        <v>9974</v>
      </c>
      <c r="H81">
        <v>11525</v>
      </c>
      <c r="I81">
        <v>11936</v>
      </c>
      <c r="J81">
        <v>12125</v>
      </c>
      <c r="K81">
        <v>12038</v>
      </c>
      <c r="L81">
        <v>13323</v>
      </c>
      <c r="M81">
        <v>14438</v>
      </c>
      <c r="N81">
        <v>9878.42</v>
      </c>
      <c r="O81" s="3">
        <f t="shared" si="1"/>
        <v>9878.4166666666661</v>
      </c>
    </row>
    <row r="82" spans="1:28" x14ac:dyDescent="0.3">
      <c r="A82">
        <v>2009</v>
      </c>
      <c r="B82">
        <v>10257</v>
      </c>
      <c r="C82">
        <v>6777</v>
      </c>
      <c r="D82">
        <v>5643</v>
      </c>
      <c r="E82">
        <v>6948</v>
      </c>
      <c r="F82">
        <v>7850</v>
      </c>
      <c r="G82">
        <v>7787</v>
      </c>
      <c r="H82">
        <v>7401</v>
      </c>
      <c r="I82">
        <v>6035</v>
      </c>
      <c r="J82">
        <v>6082</v>
      </c>
      <c r="K82">
        <v>5289</v>
      </c>
      <c r="L82">
        <v>7123</v>
      </c>
      <c r="M82">
        <v>6163</v>
      </c>
      <c r="N82">
        <v>6946.25</v>
      </c>
      <c r="O82" s="3">
        <f t="shared" si="1"/>
        <v>6946.25</v>
      </c>
    </row>
    <row r="83" spans="1:28" x14ac:dyDescent="0.3">
      <c r="A83">
        <v>2010</v>
      </c>
      <c r="B83">
        <v>3447</v>
      </c>
      <c r="C83">
        <v>2579</v>
      </c>
      <c r="D83">
        <v>3222</v>
      </c>
      <c r="E83">
        <v>4545</v>
      </c>
      <c r="F83">
        <v>7182</v>
      </c>
      <c r="G83">
        <v>9275</v>
      </c>
      <c r="H83">
        <v>10972</v>
      </c>
      <c r="I83">
        <v>12741</v>
      </c>
      <c r="J83">
        <v>12839</v>
      </c>
      <c r="K83">
        <v>13685</v>
      </c>
      <c r="L83">
        <v>13717</v>
      </c>
      <c r="M83">
        <v>13942</v>
      </c>
      <c r="N83">
        <v>9012.17</v>
      </c>
      <c r="O83" s="3">
        <f t="shared" si="1"/>
        <v>9012.1666666666661</v>
      </c>
    </row>
    <row r="84" spans="1:28" x14ac:dyDescent="0.3">
      <c r="A84">
        <v>2011</v>
      </c>
      <c r="B84">
        <v>11430</v>
      </c>
      <c r="C84">
        <v>6721</v>
      </c>
      <c r="D84">
        <v>6595</v>
      </c>
      <c r="E84">
        <v>8274</v>
      </c>
      <c r="F84">
        <v>11996</v>
      </c>
      <c r="G84">
        <v>12827</v>
      </c>
      <c r="H84">
        <v>11226</v>
      </c>
      <c r="I84">
        <v>10126</v>
      </c>
      <c r="J84">
        <v>9130</v>
      </c>
      <c r="K84">
        <v>9565</v>
      </c>
      <c r="L84">
        <v>11402</v>
      </c>
      <c r="M84">
        <v>13395</v>
      </c>
      <c r="N84">
        <v>10223.92</v>
      </c>
      <c r="O84" s="3">
        <f t="shared" si="1"/>
        <v>10223.916666666666</v>
      </c>
    </row>
    <row r="85" spans="1:28" x14ac:dyDescent="0.3">
      <c r="A85">
        <v>2012</v>
      </c>
      <c r="B85">
        <v>11336</v>
      </c>
      <c r="C85">
        <v>6968</v>
      </c>
      <c r="D85">
        <v>4540</v>
      </c>
      <c r="E85">
        <v>6585</v>
      </c>
      <c r="F85">
        <v>9668</v>
      </c>
      <c r="G85">
        <v>9001</v>
      </c>
      <c r="H85">
        <v>6418</v>
      </c>
      <c r="I85">
        <v>6193</v>
      </c>
      <c r="J85">
        <v>6502</v>
      </c>
      <c r="K85">
        <v>6414</v>
      </c>
      <c r="L85">
        <v>7858</v>
      </c>
      <c r="M85">
        <v>6855</v>
      </c>
      <c r="N85">
        <v>7361.5</v>
      </c>
      <c r="O85" s="3">
        <f t="shared" si="1"/>
        <v>7361.5</v>
      </c>
    </row>
    <row r="86" spans="1:28" x14ac:dyDescent="0.3">
      <c r="A86">
        <v>2013</v>
      </c>
      <c r="B86">
        <v>3669</v>
      </c>
      <c r="C86">
        <v>3205</v>
      </c>
      <c r="D86">
        <v>3792</v>
      </c>
      <c r="E86">
        <v>4229</v>
      </c>
      <c r="F86">
        <v>6259</v>
      </c>
      <c r="G86">
        <v>8229</v>
      </c>
      <c r="H86">
        <v>6649</v>
      </c>
      <c r="I86">
        <v>5564</v>
      </c>
      <c r="J86">
        <v>7369</v>
      </c>
      <c r="K86">
        <v>7850</v>
      </c>
      <c r="L86">
        <v>8535</v>
      </c>
      <c r="M86">
        <v>8407</v>
      </c>
      <c r="N86">
        <v>6146.42</v>
      </c>
      <c r="O86" s="3">
        <f t="shared" si="1"/>
        <v>6146.416666666667</v>
      </c>
    </row>
    <row r="87" spans="1:28" x14ac:dyDescent="0.3">
      <c r="A87">
        <v>2014</v>
      </c>
      <c r="B87">
        <v>5797</v>
      </c>
      <c r="C87">
        <v>3771</v>
      </c>
      <c r="D87">
        <v>4551</v>
      </c>
      <c r="E87">
        <v>4075</v>
      </c>
      <c r="F87">
        <v>6475</v>
      </c>
      <c r="G87">
        <v>6647</v>
      </c>
      <c r="H87">
        <v>4744</v>
      </c>
      <c r="I87">
        <v>4197</v>
      </c>
      <c r="J87">
        <v>5495</v>
      </c>
      <c r="K87">
        <v>7039</v>
      </c>
      <c r="L87">
        <v>8321</v>
      </c>
      <c r="M87">
        <v>8477</v>
      </c>
      <c r="N87">
        <v>5799.08</v>
      </c>
      <c r="O87" s="3">
        <f t="shared" si="1"/>
        <v>5799.083333333333</v>
      </c>
    </row>
    <row r="88" spans="1:28" x14ac:dyDescent="0.3">
      <c r="A88">
        <v>2015</v>
      </c>
      <c r="B88">
        <v>4582</v>
      </c>
      <c r="C88">
        <v>3990</v>
      </c>
      <c r="D88">
        <v>3399</v>
      </c>
      <c r="E88">
        <v>4877</v>
      </c>
      <c r="F88">
        <v>5097</v>
      </c>
      <c r="G88">
        <v>5904</v>
      </c>
      <c r="H88">
        <v>4341</v>
      </c>
      <c r="I88">
        <v>4127</v>
      </c>
      <c r="J88">
        <v>4394</v>
      </c>
      <c r="K88">
        <v>4343</v>
      </c>
      <c r="L88">
        <v>5803</v>
      </c>
      <c r="M88">
        <v>4444</v>
      </c>
      <c r="N88">
        <v>4608.42</v>
      </c>
      <c r="O88" s="3">
        <f t="shared" si="1"/>
        <v>4608.416666666667</v>
      </c>
    </row>
    <row r="90" spans="1:28" x14ac:dyDescent="0.3">
      <c r="A90" t="s">
        <v>110</v>
      </c>
      <c r="B90">
        <v>6818</v>
      </c>
      <c r="C90">
        <v>4453</v>
      </c>
      <c r="D90">
        <v>4120</v>
      </c>
      <c r="E90">
        <v>4937</v>
      </c>
      <c r="F90">
        <v>6855</v>
      </c>
      <c r="G90">
        <v>8153</v>
      </c>
      <c r="H90">
        <v>7908</v>
      </c>
      <c r="I90">
        <v>7284</v>
      </c>
      <c r="J90">
        <v>7464</v>
      </c>
      <c r="K90">
        <v>8443</v>
      </c>
      <c r="L90">
        <v>9807</v>
      </c>
      <c r="M90">
        <v>9747</v>
      </c>
      <c r="N90">
        <v>7165.81</v>
      </c>
    </row>
    <row r="91" spans="1:28" x14ac:dyDescent="0.3">
      <c r="A91" t="s">
        <v>111</v>
      </c>
      <c r="B91">
        <v>11564</v>
      </c>
      <c r="C91">
        <v>9078</v>
      </c>
      <c r="D91">
        <v>8077</v>
      </c>
      <c r="E91">
        <v>9037</v>
      </c>
      <c r="F91">
        <v>11996</v>
      </c>
      <c r="G91">
        <v>13531</v>
      </c>
      <c r="H91">
        <v>13567</v>
      </c>
      <c r="I91">
        <v>12741</v>
      </c>
      <c r="J91">
        <v>12839</v>
      </c>
      <c r="K91">
        <v>13685</v>
      </c>
      <c r="L91">
        <v>15382</v>
      </c>
      <c r="M91">
        <v>15373</v>
      </c>
      <c r="N91">
        <v>15382</v>
      </c>
    </row>
    <row r="92" spans="1:28" x14ac:dyDescent="0.3">
      <c r="A92" t="s">
        <v>112</v>
      </c>
      <c r="B92">
        <v>2626</v>
      </c>
      <c r="C92">
        <v>2120</v>
      </c>
      <c r="D92">
        <v>1953</v>
      </c>
      <c r="E92">
        <v>2844</v>
      </c>
      <c r="F92">
        <v>4529</v>
      </c>
      <c r="G92">
        <v>4879</v>
      </c>
      <c r="H92">
        <v>4341</v>
      </c>
      <c r="I92">
        <v>3728</v>
      </c>
      <c r="J92">
        <v>3661</v>
      </c>
      <c r="K92">
        <v>4343</v>
      </c>
      <c r="L92">
        <v>5356</v>
      </c>
      <c r="M92">
        <v>4444</v>
      </c>
      <c r="N92">
        <v>1953</v>
      </c>
    </row>
    <row r="93" spans="1:28" x14ac:dyDescent="0.3">
      <c r="A93" t="s">
        <v>0</v>
      </c>
      <c r="E93" t="s">
        <v>1</v>
      </c>
      <c r="F93" t="s">
        <v>2</v>
      </c>
      <c r="G93" t="s">
        <v>3</v>
      </c>
      <c r="H93" t="s">
        <v>4</v>
      </c>
      <c r="I93" t="s">
        <v>5</v>
      </c>
      <c r="J93" t="s">
        <v>6</v>
      </c>
      <c r="K93" t="s">
        <v>7</v>
      </c>
      <c r="L93" t="s">
        <v>8</v>
      </c>
      <c r="M93" t="s">
        <v>9</v>
      </c>
      <c r="N93" t="s">
        <v>10</v>
      </c>
      <c r="O93" t="s">
        <v>11</v>
      </c>
      <c r="P93" t="s">
        <v>12</v>
      </c>
      <c r="Q93" t="s">
        <v>13</v>
      </c>
      <c r="R93" t="s">
        <v>14</v>
      </c>
      <c r="S93" t="s">
        <v>15</v>
      </c>
      <c r="T93" t="s">
        <v>16</v>
      </c>
      <c r="U93" t="s">
        <v>17</v>
      </c>
    </row>
    <row r="94" spans="1:28" x14ac:dyDescent="0.3">
      <c r="X94" t="s">
        <v>18</v>
      </c>
      <c r="Y94" t="s">
        <v>19</v>
      </c>
      <c r="Z94" t="s">
        <v>20</v>
      </c>
      <c r="AA94" t="s">
        <v>21</v>
      </c>
      <c r="AB94" t="s">
        <v>22</v>
      </c>
    </row>
    <row r="95" spans="1:28" x14ac:dyDescent="0.3">
      <c r="A95" s="1" t="s">
        <v>129</v>
      </c>
      <c r="G95" t="s">
        <v>23</v>
      </c>
      <c r="H95" t="s">
        <v>24</v>
      </c>
      <c r="I95" t="s">
        <v>113</v>
      </c>
      <c r="J95" t="s">
        <v>114</v>
      </c>
      <c r="K95" t="s">
        <v>115</v>
      </c>
      <c r="L95" t="s">
        <v>27</v>
      </c>
      <c r="M95" t="s">
        <v>28</v>
      </c>
      <c r="N95" t="s">
        <v>29</v>
      </c>
      <c r="O95" t="s">
        <v>30</v>
      </c>
      <c r="P95" t="s">
        <v>31</v>
      </c>
      <c r="Q95" t="s">
        <v>32</v>
      </c>
      <c r="X95" t="s">
        <v>22</v>
      </c>
      <c r="Y95" t="s">
        <v>33</v>
      </c>
      <c r="Z95" t="s">
        <v>34</v>
      </c>
      <c r="AA95" t="s">
        <v>35</v>
      </c>
    </row>
    <row r="96" spans="1:28" x14ac:dyDescent="0.3">
      <c r="A96" s="1" t="s">
        <v>130</v>
      </c>
      <c r="B96" s="1"/>
      <c r="C96" s="1"/>
      <c r="D96" s="1"/>
    </row>
    <row r="97" spans="1:28" x14ac:dyDescent="0.3">
      <c r="A97" t="s">
        <v>36</v>
      </c>
      <c r="B97" t="s">
        <v>37</v>
      </c>
      <c r="C97" t="s">
        <v>39</v>
      </c>
      <c r="D97" t="s">
        <v>40</v>
      </c>
      <c r="E97" t="s">
        <v>41</v>
      </c>
      <c r="F97" t="s">
        <v>42</v>
      </c>
      <c r="G97">
        <v>29</v>
      </c>
      <c r="T97" t="s">
        <v>43</v>
      </c>
      <c r="U97" t="s">
        <v>44</v>
      </c>
      <c r="V97" t="s">
        <v>40</v>
      </c>
      <c r="W97">
        <v>290370</v>
      </c>
      <c r="X97">
        <v>20</v>
      </c>
      <c r="Y97" t="s">
        <v>45</v>
      </c>
      <c r="Z97" t="s">
        <v>46</v>
      </c>
    </row>
    <row r="99" spans="1:28" x14ac:dyDescent="0.3">
      <c r="A99" t="s">
        <v>47</v>
      </c>
      <c r="B99" t="s">
        <v>48</v>
      </c>
      <c r="C99">
        <v>1015</v>
      </c>
      <c r="D99" t="s">
        <v>22</v>
      </c>
      <c r="G99" t="s">
        <v>50</v>
      </c>
      <c r="H99" t="s">
        <v>51</v>
      </c>
      <c r="I99" t="s">
        <v>52</v>
      </c>
      <c r="J99" t="s">
        <v>53</v>
      </c>
      <c r="O99" t="s">
        <v>54</v>
      </c>
      <c r="Q99" t="s">
        <v>55</v>
      </c>
      <c r="R99" t="s">
        <v>56</v>
      </c>
      <c r="S99" t="s">
        <v>57</v>
      </c>
      <c r="W99" t="s">
        <v>58</v>
      </c>
      <c r="X99" t="s">
        <v>4</v>
      </c>
      <c r="Y99" t="s">
        <v>59</v>
      </c>
      <c r="Z99" t="s">
        <v>60</v>
      </c>
      <c r="AA99" t="s">
        <v>61</v>
      </c>
      <c r="AB99" t="s">
        <v>47</v>
      </c>
    </row>
    <row r="100" spans="1:28" x14ac:dyDescent="0.3">
      <c r="A100" t="s">
        <v>47</v>
      </c>
      <c r="B100" t="s">
        <v>62</v>
      </c>
      <c r="C100">
        <v>7454</v>
      </c>
      <c r="D100" t="s">
        <v>64</v>
      </c>
      <c r="G100" t="s">
        <v>65</v>
      </c>
      <c r="H100" t="s">
        <v>66</v>
      </c>
      <c r="I100" t="s">
        <v>67</v>
      </c>
      <c r="J100">
        <v>1</v>
      </c>
      <c r="K100" t="s">
        <v>68</v>
      </c>
      <c r="L100" t="s">
        <v>69</v>
      </c>
      <c r="O100" t="s">
        <v>70</v>
      </c>
      <c r="P100" t="s">
        <v>71</v>
      </c>
      <c r="Q100" t="s">
        <v>72</v>
      </c>
      <c r="R100" t="s">
        <v>73</v>
      </c>
      <c r="S100" t="s">
        <v>57</v>
      </c>
      <c r="W100" t="s">
        <v>58</v>
      </c>
      <c r="X100" t="s">
        <v>74</v>
      </c>
      <c r="Y100" t="s">
        <v>75</v>
      </c>
      <c r="Z100" t="s">
        <v>22</v>
      </c>
    </row>
    <row r="101" spans="1:28" x14ac:dyDescent="0.3">
      <c r="A101" t="s">
        <v>76</v>
      </c>
      <c r="B101" t="s">
        <v>77</v>
      </c>
      <c r="C101">
        <v>8</v>
      </c>
      <c r="D101" t="s">
        <v>79</v>
      </c>
      <c r="E101" t="s">
        <v>80</v>
      </c>
      <c r="G101" t="s">
        <v>81</v>
      </c>
      <c r="H101" t="s">
        <v>82</v>
      </c>
      <c r="I101" t="s">
        <v>83</v>
      </c>
      <c r="J101">
        <v>2</v>
      </c>
      <c r="K101" t="s">
        <v>84</v>
      </c>
      <c r="L101" t="s">
        <v>85</v>
      </c>
      <c r="M101" t="s">
        <v>86</v>
      </c>
      <c r="O101" t="s">
        <v>87</v>
      </c>
      <c r="P101" t="s">
        <v>88</v>
      </c>
      <c r="Q101" t="s">
        <v>89</v>
      </c>
      <c r="R101" t="s">
        <v>90</v>
      </c>
      <c r="S101" t="s">
        <v>91</v>
      </c>
    </row>
    <row r="103" spans="1:28" x14ac:dyDescent="0.3">
      <c r="A103" t="s">
        <v>92</v>
      </c>
      <c r="B103" t="s">
        <v>93</v>
      </c>
      <c r="C103" t="s">
        <v>93</v>
      </c>
      <c r="D103" t="s">
        <v>93</v>
      </c>
      <c r="E103" t="s">
        <v>93</v>
      </c>
      <c r="F103" t="s">
        <v>93</v>
      </c>
      <c r="G103" t="s">
        <v>93</v>
      </c>
      <c r="H103" t="s">
        <v>93</v>
      </c>
      <c r="I103" t="s">
        <v>93</v>
      </c>
      <c r="J103" t="s">
        <v>93</v>
      </c>
      <c r="K103" t="s">
        <v>93</v>
      </c>
      <c r="L103" t="s">
        <v>93</v>
      </c>
      <c r="M103" t="s">
        <v>93</v>
      </c>
      <c r="N103" t="s">
        <v>94</v>
      </c>
      <c r="O103" t="s">
        <v>95</v>
      </c>
    </row>
    <row r="104" spans="1:28" x14ac:dyDescent="0.3">
      <c r="A104" t="s">
        <v>96</v>
      </c>
      <c r="B104" t="s">
        <v>97</v>
      </c>
      <c r="C104" t="s">
        <v>98</v>
      </c>
      <c r="D104" t="s">
        <v>99</v>
      </c>
      <c r="E104" t="s">
        <v>100</v>
      </c>
      <c r="F104" t="s">
        <v>101</v>
      </c>
      <c r="G104" t="s">
        <v>102</v>
      </c>
      <c r="H104" t="s">
        <v>103</v>
      </c>
      <c r="I104" t="s">
        <v>104</v>
      </c>
      <c r="J104" t="s">
        <v>105</v>
      </c>
      <c r="K104" t="s">
        <v>106</v>
      </c>
      <c r="L104" t="s">
        <v>107</v>
      </c>
      <c r="M104" t="s">
        <v>108</v>
      </c>
      <c r="N104" t="s">
        <v>109</v>
      </c>
      <c r="O104" t="s">
        <v>95</v>
      </c>
    </row>
    <row r="105" spans="1:28" x14ac:dyDescent="0.3">
      <c r="A105" t="s">
        <v>92</v>
      </c>
      <c r="B105" t="s">
        <v>93</v>
      </c>
      <c r="C105" t="s">
        <v>93</v>
      </c>
      <c r="D105" t="s">
        <v>93</v>
      </c>
      <c r="E105" t="s">
        <v>93</v>
      </c>
      <c r="F105" t="s">
        <v>93</v>
      </c>
      <c r="G105" t="s">
        <v>93</v>
      </c>
      <c r="H105" t="s">
        <v>93</v>
      </c>
      <c r="I105" t="s">
        <v>93</v>
      </c>
      <c r="J105" t="s">
        <v>93</v>
      </c>
      <c r="K105" t="s">
        <v>93</v>
      </c>
      <c r="L105" t="s">
        <v>93</v>
      </c>
      <c r="M105" t="s">
        <v>93</v>
      </c>
      <c r="N105" t="s">
        <v>94</v>
      </c>
      <c r="O105" t="s">
        <v>95</v>
      </c>
    </row>
    <row r="107" spans="1:28" x14ac:dyDescent="0.3">
      <c r="A107">
        <v>1969</v>
      </c>
      <c r="B107">
        <v>8620</v>
      </c>
      <c r="C107">
        <v>5000</v>
      </c>
      <c r="D107">
        <v>4438</v>
      </c>
      <c r="E107">
        <v>7172</v>
      </c>
      <c r="F107">
        <v>8178</v>
      </c>
      <c r="G107">
        <v>8790</v>
      </c>
      <c r="H107">
        <v>8620</v>
      </c>
      <c r="I107">
        <v>7650</v>
      </c>
      <c r="J107">
        <v>7858</v>
      </c>
      <c r="K107">
        <v>10214</v>
      </c>
      <c r="L107">
        <v>11685</v>
      </c>
      <c r="M107">
        <v>11959</v>
      </c>
      <c r="N107">
        <v>11959</v>
      </c>
    </row>
    <row r="108" spans="1:28" x14ac:dyDescent="0.3">
      <c r="A108">
        <v>1970</v>
      </c>
      <c r="B108">
        <v>10950</v>
      </c>
      <c r="C108">
        <v>7155</v>
      </c>
      <c r="D108">
        <v>5063</v>
      </c>
      <c r="E108">
        <v>5848</v>
      </c>
      <c r="F108">
        <v>8290</v>
      </c>
      <c r="G108">
        <v>9266</v>
      </c>
      <c r="H108">
        <v>9130</v>
      </c>
      <c r="I108">
        <v>9453</v>
      </c>
      <c r="J108">
        <v>10502</v>
      </c>
      <c r="K108">
        <v>11550</v>
      </c>
      <c r="N108">
        <v>11550</v>
      </c>
      <c r="O108">
        <v>3</v>
      </c>
    </row>
    <row r="109" spans="1:28" x14ac:dyDescent="0.3">
      <c r="A109">
        <v>1971</v>
      </c>
      <c r="B109">
        <v>11700</v>
      </c>
      <c r="C109">
        <v>10082</v>
      </c>
      <c r="D109">
        <v>8434</v>
      </c>
      <c r="E109">
        <v>9385</v>
      </c>
      <c r="F109">
        <v>10614</v>
      </c>
      <c r="G109">
        <v>11867</v>
      </c>
      <c r="H109">
        <v>11655</v>
      </c>
      <c r="I109">
        <v>10065</v>
      </c>
      <c r="J109">
        <v>11025</v>
      </c>
      <c r="K109">
        <v>11535</v>
      </c>
      <c r="L109">
        <v>12348</v>
      </c>
      <c r="M109">
        <v>12311</v>
      </c>
      <c r="N109">
        <v>12348</v>
      </c>
    </row>
    <row r="110" spans="1:28" x14ac:dyDescent="0.3">
      <c r="A110">
        <v>1972</v>
      </c>
      <c r="B110">
        <v>8115</v>
      </c>
      <c r="C110">
        <v>6548</v>
      </c>
      <c r="D110">
        <v>5202</v>
      </c>
      <c r="E110">
        <v>6660</v>
      </c>
      <c r="F110">
        <v>9046</v>
      </c>
      <c r="G110">
        <v>10605</v>
      </c>
      <c r="H110">
        <v>10585</v>
      </c>
      <c r="I110">
        <v>7732</v>
      </c>
      <c r="J110">
        <v>6938</v>
      </c>
      <c r="K110">
        <v>7450</v>
      </c>
      <c r="L110">
        <v>8478</v>
      </c>
      <c r="M110">
        <v>8478</v>
      </c>
      <c r="N110">
        <v>10605</v>
      </c>
    </row>
    <row r="111" spans="1:28" x14ac:dyDescent="0.3">
      <c r="A111">
        <v>1973</v>
      </c>
      <c r="B111">
        <v>6225</v>
      </c>
      <c r="C111">
        <v>2955</v>
      </c>
      <c r="D111">
        <v>2900</v>
      </c>
      <c r="E111">
        <v>4072</v>
      </c>
      <c r="F111">
        <v>5380</v>
      </c>
      <c r="G111">
        <v>6618</v>
      </c>
      <c r="H111">
        <v>6890</v>
      </c>
      <c r="I111">
        <v>8066</v>
      </c>
      <c r="J111">
        <v>10051</v>
      </c>
      <c r="K111">
        <v>12425</v>
      </c>
      <c r="L111">
        <v>12500</v>
      </c>
      <c r="M111">
        <v>13060</v>
      </c>
      <c r="N111">
        <v>13060</v>
      </c>
    </row>
    <row r="112" spans="1:28" x14ac:dyDescent="0.3">
      <c r="A112">
        <v>1974</v>
      </c>
      <c r="B112">
        <v>12175</v>
      </c>
      <c r="C112">
        <v>8285</v>
      </c>
      <c r="D112">
        <v>6842</v>
      </c>
      <c r="E112">
        <v>6341</v>
      </c>
      <c r="F112">
        <v>8205</v>
      </c>
      <c r="G112">
        <v>8268</v>
      </c>
      <c r="H112">
        <v>7870</v>
      </c>
      <c r="I112">
        <v>7450</v>
      </c>
      <c r="J112">
        <v>8665</v>
      </c>
      <c r="K112">
        <v>12640</v>
      </c>
      <c r="L112">
        <v>15348</v>
      </c>
      <c r="M112">
        <v>15348</v>
      </c>
      <c r="N112">
        <v>15348</v>
      </c>
    </row>
    <row r="113" spans="1:14" x14ac:dyDescent="0.3">
      <c r="A113">
        <v>1975</v>
      </c>
      <c r="B113">
        <v>10915</v>
      </c>
      <c r="C113">
        <v>4298</v>
      </c>
      <c r="D113">
        <v>5498</v>
      </c>
      <c r="E113">
        <v>4778</v>
      </c>
      <c r="F113">
        <v>7275</v>
      </c>
      <c r="G113">
        <v>8028</v>
      </c>
      <c r="H113">
        <v>9415</v>
      </c>
      <c r="I113">
        <v>9684</v>
      </c>
      <c r="J113">
        <v>11600</v>
      </c>
      <c r="K113">
        <v>13920</v>
      </c>
      <c r="L113">
        <v>16913</v>
      </c>
      <c r="M113">
        <v>16913</v>
      </c>
      <c r="N113">
        <v>16913</v>
      </c>
    </row>
    <row r="114" spans="1:14" x14ac:dyDescent="0.3">
      <c r="A114">
        <v>1976</v>
      </c>
      <c r="B114">
        <v>13400</v>
      </c>
      <c r="C114">
        <v>7650</v>
      </c>
      <c r="D114">
        <v>5638</v>
      </c>
      <c r="E114">
        <v>6930</v>
      </c>
      <c r="F114">
        <v>8210</v>
      </c>
      <c r="G114">
        <v>8563</v>
      </c>
      <c r="H114">
        <v>8210</v>
      </c>
      <c r="I114">
        <v>6720</v>
      </c>
      <c r="J114">
        <v>5330</v>
      </c>
      <c r="K114">
        <v>8360</v>
      </c>
      <c r="L114">
        <v>9363</v>
      </c>
      <c r="M114">
        <v>8830</v>
      </c>
      <c r="N114">
        <v>13400</v>
      </c>
    </row>
    <row r="115" spans="1:14" x14ac:dyDescent="0.3">
      <c r="A115">
        <v>1977</v>
      </c>
      <c r="B115">
        <v>4988</v>
      </c>
      <c r="C115">
        <v>2555</v>
      </c>
      <c r="D115">
        <v>2363</v>
      </c>
      <c r="E115">
        <v>3290</v>
      </c>
      <c r="F115">
        <v>5880</v>
      </c>
      <c r="G115">
        <v>7140</v>
      </c>
      <c r="H115">
        <v>6825</v>
      </c>
      <c r="I115">
        <v>6945</v>
      </c>
      <c r="J115">
        <v>6510</v>
      </c>
      <c r="K115">
        <v>9500</v>
      </c>
      <c r="L115">
        <v>11013</v>
      </c>
      <c r="M115">
        <v>11038</v>
      </c>
      <c r="N115">
        <v>11038</v>
      </c>
    </row>
    <row r="116" spans="1:14" x14ac:dyDescent="0.3">
      <c r="A116">
        <v>1978</v>
      </c>
      <c r="B116">
        <v>7260</v>
      </c>
      <c r="C116">
        <v>3230</v>
      </c>
      <c r="D116">
        <v>3600</v>
      </c>
      <c r="E116">
        <v>7605</v>
      </c>
      <c r="F116">
        <v>8678</v>
      </c>
      <c r="G116">
        <v>9215</v>
      </c>
      <c r="H116">
        <v>9125</v>
      </c>
      <c r="I116">
        <v>8105</v>
      </c>
      <c r="J116">
        <v>7200</v>
      </c>
      <c r="K116">
        <v>8920</v>
      </c>
      <c r="L116">
        <v>9910</v>
      </c>
      <c r="M116">
        <v>9770</v>
      </c>
      <c r="N116">
        <v>9910</v>
      </c>
    </row>
    <row r="117" spans="1:14" x14ac:dyDescent="0.3">
      <c r="A117">
        <v>1979</v>
      </c>
      <c r="B117">
        <v>8120</v>
      </c>
      <c r="C117">
        <v>3420</v>
      </c>
      <c r="D117">
        <v>4140</v>
      </c>
      <c r="E117">
        <v>5738</v>
      </c>
      <c r="F117">
        <v>7755</v>
      </c>
      <c r="G117">
        <v>9500</v>
      </c>
      <c r="H117">
        <v>9473</v>
      </c>
      <c r="I117">
        <v>7840</v>
      </c>
      <c r="J117">
        <v>8950</v>
      </c>
      <c r="K117">
        <v>9750</v>
      </c>
      <c r="L117">
        <v>12650</v>
      </c>
      <c r="M117">
        <v>13525</v>
      </c>
      <c r="N117">
        <v>13525</v>
      </c>
    </row>
    <row r="118" spans="1:14" x14ac:dyDescent="0.3">
      <c r="A118">
        <v>1980</v>
      </c>
      <c r="B118">
        <v>10170</v>
      </c>
      <c r="C118">
        <v>5420</v>
      </c>
      <c r="D118">
        <v>4170</v>
      </c>
      <c r="E118">
        <v>4525</v>
      </c>
      <c r="F118">
        <v>5825</v>
      </c>
      <c r="G118">
        <v>7080</v>
      </c>
      <c r="H118">
        <v>6825</v>
      </c>
      <c r="I118">
        <v>6390</v>
      </c>
      <c r="J118">
        <v>6765</v>
      </c>
      <c r="K118">
        <v>8730</v>
      </c>
      <c r="L118">
        <v>9195</v>
      </c>
      <c r="M118">
        <v>9185</v>
      </c>
      <c r="N118">
        <v>10170</v>
      </c>
    </row>
    <row r="119" spans="1:14" x14ac:dyDescent="0.3">
      <c r="A119">
        <v>1981</v>
      </c>
      <c r="B119">
        <v>8582</v>
      </c>
      <c r="C119">
        <v>5024</v>
      </c>
      <c r="D119">
        <v>5644</v>
      </c>
      <c r="E119">
        <v>7628</v>
      </c>
      <c r="F119">
        <v>11568</v>
      </c>
      <c r="G119">
        <v>14475</v>
      </c>
      <c r="H119">
        <v>14425</v>
      </c>
      <c r="I119">
        <v>12586</v>
      </c>
      <c r="J119">
        <v>10460</v>
      </c>
      <c r="K119">
        <v>10460</v>
      </c>
      <c r="L119">
        <v>11656</v>
      </c>
      <c r="M119">
        <v>11892</v>
      </c>
      <c r="N119">
        <v>14475</v>
      </c>
    </row>
    <row r="120" spans="1:14" x14ac:dyDescent="0.3">
      <c r="A120">
        <v>1982</v>
      </c>
      <c r="B120">
        <v>9090</v>
      </c>
      <c r="C120">
        <v>6421</v>
      </c>
      <c r="D120">
        <v>5780</v>
      </c>
      <c r="E120">
        <v>7761</v>
      </c>
      <c r="F120">
        <v>10385</v>
      </c>
      <c r="G120">
        <v>11533</v>
      </c>
      <c r="H120">
        <v>11288</v>
      </c>
      <c r="I120">
        <v>7859</v>
      </c>
      <c r="J120">
        <v>6660</v>
      </c>
      <c r="K120">
        <v>8985</v>
      </c>
      <c r="L120">
        <v>9598</v>
      </c>
      <c r="M120">
        <v>9073</v>
      </c>
      <c r="N120">
        <v>11533</v>
      </c>
    </row>
    <row r="121" spans="1:14" x14ac:dyDescent="0.3">
      <c r="A121">
        <v>1983</v>
      </c>
      <c r="B121">
        <v>6275</v>
      </c>
      <c r="C121">
        <v>2741</v>
      </c>
      <c r="D121">
        <v>3019</v>
      </c>
      <c r="E121">
        <v>6584</v>
      </c>
      <c r="F121">
        <v>7843</v>
      </c>
      <c r="G121">
        <v>8475</v>
      </c>
      <c r="H121">
        <v>7485</v>
      </c>
      <c r="I121">
        <v>6373</v>
      </c>
      <c r="J121">
        <v>6998</v>
      </c>
      <c r="K121">
        <v>7778</v>
      </c>
      <c r="L121">
        <v>8265</v>
      </c>
      <c r="M121">
        <v>7599</v>
      </c>
      <c r="N121">
        <v>8475</v>
      </c>
    </row>
    <row r="122" spans="1:14" x14ac:dyDescent="0.3">
      <c r="A122">
        <v>1984</v>
      </c>
      <c r="B122">
        <v>7820</v>
      </c>
      <c r="C122">
        <v>6100</v>
      </c>
      <c r="D122">
        <v>5972</v>
      </c>
      <c r="E122">
        <v>5210</v>
      </c>
      <c r="F122">
        <v>8007</v>
      </c>
      <c r="G122">
        <v>9825</v>
      </c>
      <c r="H122">
        <v>10825</v>
      </c>
      <c r="I122">
        <v>10825</v>
      </c>
      <c r="J122">
        <v>10573</v>
      </c>
      <c r="K122">
        <v>11943</v>
      </c>
      <c r="L122">
        <v>13659</v>
      </c>
      <c r="M122">
        <v>13659</v>
      </c>
      <c r="N122">
        <v>13659</v>
      </c>
    </row>
    <row r="123" spans="1:14" x14ac:dyDescent="0.3">
      <c r="A123">
        <v>1985</v>
      </c>
      <c r="B123">
        <v>10830</v>
      </c>
      <c r="C123">
        <v>5464</v>
      </c>
      <c r="D123">
        <v>3266</v>
      </c>
      <c r="E123">
        <v>4563</v>
      </c>
      <c r="F123">
        <v>6091</v>
      </c>
      <c r="G123">
        <v>6838</v>
      </c>
      <c r="H123">
        <v>5266</v>
      </c>
      <c r="I123">
        <v>7299</v>
      </c>
      <c r="J123">
        <v>8412</v>
      </c>
      <c r="K123">
        <v>9570</v>
      </c>
      <c r="L123">
        <v>10072</v>
      </c>
      <c r="M123">
        <v>10323</v>
      </c>
      <c r="N123">
        <v>10830</v>
      </c>
    </row>
    <row r="124" spans="1:14" x14ac:dyDescent="0.3">
      <c r="A124">
        <v>1986</v>
      </c>
      <c r="B124">
        <v>8577</v>
      </c>
      <c r="C124">
        <v>5870</v>
      </c>
      <c r="D124">
        <v>5975</v>
      </c>
      <c r="E124">
        <v>7955</v>
      </c>
      <c r="F124">
        <v>8739</v>
      </c>
      <c r="G124">
        <v>9472</v>
      </c>
      <c r="H124">
        <v>9258</v>
      </c>
      <c r="I124">
        <v>7402</v>
      </c>
      <c r="J124">
        <v>6635</v>
      </c>
      <c r="K124">
        <v>10028</v>
      </c>
      <c r="L124">
        <v>10982</v>
      </c>
      <c r="M124">
        <v>10964</v>
      </c>
      <c r="N124">
        <v>10982</v>
      </c>
    </row>
    <row r="125" spans="1:14" x14ac:dyDescent="0.3">
      <c r="A125">
        <v>1987</v>
      </c>
      <c r="B125">
        <v>6494</v>
      </c>
      <c r="C125">
        <v>4280</v>
      </c>
      <c r="D125">
        <v>4166</v>
      </c>
      <c r="E125">
        <v>4918</v>
      </c>
      <c r="F125">
        <v>7314</v>
      </c>
      <c r="G125">
        <v>7342</v>
      </c>
      <c r="H125">
        <v>6335</v>
      </c>
      <c r="I125">
        <v>7956</v>
      </c>
      <c r="J125">
        <v>7956</v>
      </c>
      <c r="K125">
        <v>10052</v>
      </c>
      <c r="L125">
        <v>11649</v>
      </c>
      <c r="M125">
        <v>11605</v>
      </c>
      <c r="N125">
        <v>11649</v>
      </c>
    </row>
    <row r="126" spans="1:14" x14ac:dyDescent="0.3">
      <c r="A126">
        <v>1988</v>
      </c>
      <c r="B126">
        <v>9421</v>
      </c>
      <c r="C126">
        <v>4701</v>
      </c>
      <c r="D126">
        <v>4553</v>
      </c>
      <c r="E126">
        <v>5198</v>
      </c>
      <c r="F126">
        <v>6001</v>
      </c>
      <c r="G126">
        <v>7516</v>
      </c>
      <c r="H126">
        <v>9061</v>
      </c>
      <c r="I126">
        <v>10550</v>
      </c>
      <c r="J126">
        <v>12500</v>
      </c>
      <c r="K126">
        <v>13192</v>
      </c>
      <c r="L126">
        <v>13399</v>
      </c>
      <c r="M126">
        <v>13747</v>
      </c>
      <c r="N126">
        <v>13747</v>
      </c>
    </row>
    <row r="127" spans="1:14" x14ac:dyDescent="0.3">
      <c r="A127">
        <v>1989</v>
      </c>
      <c r="B127">
        <v>13873</v>
      </c>
      <c r="C127">
        <v>9035</v>
      </c>
      <c r="D127">
        <v>6536</v>
      </c>
      <c r="E127">
        <v>6491</v>
      </c>
      <c r="F127">
        <v>7396</v>
      </c>
      <c r="G127">
        <v>7620</v>
      </c>
      <c r="H127">
        <v>7572</v>
      </c>
      <c r="I127">
        <v>7268</v>
      </c>
      <c r="J127">
        <v>9620</v>
      </c>
      <c r="K127">
        <v>11325</v>
      </c>
      <c r="L127">
        <v>12324</v>
      </c>
      <c r="M127">
        <v>11876</v>
      </c>
      <c r="N127">
        <v>13873</v>
      </c>
    </row>
    <row r="128" spans="1:14" x14ac:dyDescent="0.3">
      <c r="A128">
        <v>1990</v>
      </c>
      <c r="B128">
        <v>8261</v>
      </c>
      <c r="C128">
        <v>5406</v>
      </c>
      <c r="D128">
        <v>5162</v>
      </c>
      <c r="E128">
        <v>6201</v>
      </c>
      <c r="F128">
        <v>7925</v>
      </c>
      <c r="G128">
        <v>7997</v>
      </c>
      <c r="H128">
        <v>7376</v>
      </c>
      <c r="I128">
        <v>6967</v>
      </c>
      <c r="J128">
        <v>6852</v>
      </c>
      <c r="K128">
        <v>9146</v>
      </c>
      <c r="L128">
        <v>10302</v>
      </c>
      <c r="M128">
        <v>10586</v>
      </c>
      <c r="N128">
        <v>10586</v>
      </c>
    </row>
    <row r="129" spans="1:15" x14ac:dyDescent="0.3">
      <c r="A129">
        <v>1991</v>
      </c>
      <c r="B129">
        <v>9402</v>
      </c>
      <c r="C129">
        <v>4464</v>
      </c>
      <c r="D129">
        <v>4986</v>
      </c>
      <c r="E129">
        <v>5590</v>
      </c>
      <c r="F129">
        <v>7654</v>
      </c>
      <c r="G129">
        <v>7654</v>
      </c>
      <c r="H129">
        <v>7163</v>
      </c>
      <c r="I129">
        <v>6813</v>
      </c>
      <c r="J129">
        <v>6861</v>
      </c>
      <c r="K129">
        <v>8206</v>
      </c>
      <c r="L129">
        <v>8908</v>
      </c>
      <c r="M129">
        <v>9011</v>
      </c>
      <c r="N129">
        <v>9402</v>
      </c>
      <c r="O129">
        <v>3</v>
      </c>
    </row>
    <row r="130" spans="1:15" x14ac:dyDescent="0.3">
      <c r="A130">
        <v>1992</v>
      </c>
      <c r="B130">
        <v>6117</v>
      </c>
      <c r="C130">
        <v>3426</v>
      </c>
      <c r="D130">
        <v>3085</v>
      </c>
      <c r="E130">
        <v>3671</v>
      </c>
      <c r="F130">
        <v>5489</v>
      </c>
      <c r="G130">
        <v>5886</v>
      </c>
      <c r="H130">
        <v>5379</v>
      </c>
      <c r="I130">
        <v>6002</v>
      </c>
      <c r="J130">
        <v>6754</v>
      </c>
      <c r="K130">
        <v>7078</v>
      </c>
      <c r="L130">
        <v>7127</v>
      </c>
      <c r="M130">
        <v>7488</v>
      </c>
      <c r="N130">
        <v>7488</v>
      </c>
    </row>
    <row r="131" spans="1:15" x14ac:dyDescent="0.3">
      <c r="A131">
        <v>1993</v>
      </c>
      <c r="B131">
        <v>5756</v>
      </c>
      <c r="C131">
        <v>4216</v>
      </c>
      <c r="D131">
        <v>4684</v>
      </c>
      <c r="E131">
        <v>6175</v>
      </c>
      <c r="F131">
        <v>8445</v>
      </c>
      <c r="G131">
        <v>8744</v>
      </c>
      <c r="H131">
        <v>8187</v>
      </c>
      <c r="I131">
        <v>6914</v>
      </c>
      <c r="J131">
        <v>8222</v>
      </c>
      <c r="K131">
        <v>8480</v>
      </c>
      <c r="L131">
        <v>9513</v>
      </c>
      <c r="M131">
        <v>10313</v>
      </c>
      <c r="N131">
        <v>10313</v>
      </c>
    </row>
    <row r="132" spans="1:15" x14ac:dyDescent="0.3">
      <c r="A132">
        <v>1994</v>
      </c>
      <c r="B132">
        <v>9865</v>
      </c>
      <c r="C132">
        <v>5952</v>
      </c>
      <c r="D132">
        <v>5452</v>
      </c>
      <c r="E132">
        <v>7160</v>
      </c>
      <c r="F132">
        <v>8700</v>
      </c>
      <c r="G132">
        <v>9228</v>
      </c>
      <c r="H132">
        <v>8964</v>
      </c>
      <c r="I132">
        <v>7098</v>
      </c>
      <c r="J132">
        <v>6908</v>
      </c>
      <c r="K132">
        <v>8931</v>
      </c>
      <c r="L132">
        <v>10075</v>
      </c>
      <c r="M132">
        <v>10236</v>
      </c>
      <c r="N132">
        <v>10236</v>
      </c>
    </row>
    <row r="133" spans="1:15" x14ac:dyDescent="0.3">
      <c r="A133">
        <v>1995</v>
      </c>
      <c r="B133">
        <v>7876</v>
      </c>
      <c r="C133">
        <v>3266</v>
      </c>
      <c r="D133">
        <v>3194</v>
      </c>
      <c r="E133">
        <v>4872</v>
      </c>
      <c r="F133">
        <v>6375</v>
      </c>
      <c r="G133">
        <v>7748</v>
      </c>
      <c r="H133">
        <v>8020</v>
      </c>
      <c r="I133">
        <v>9546</v>
      </c>
      <c r="J133">
        <v>9642</v>
      </c>
      <c r="K133">
        <v>9465</v>
      </c>
      <c r="L133">
        <v>10061</v>
      </c>
      <c r="M133">
        <v>10012</v>
      </c>
      <c r="N133">
        <v>10061</v>
      </c>
      <c r="O133">
        <v>3</v>
      </c>
    </row>
    <row r="134" spans="1:15" x14ac:dyDescent="0.3">
      <c r="A134">
        <v>1996</v>
      </c>
      <c r="B134">
        <v>9009</v>
      </c>
      <c r="C134">
        <v>5284</v>
      </c>
      <c r="D134">
        <v>6828</v>
      </c>
      <c r="E134">
        <v>6828</v>
      </c>
      <c r="F134">
        <v>8305</v>
      </c>
      <c r="G134">
        <v>9983</v>
      </c>
      <c r="H134">
        <v>11784</v>
      </c>
      <c r="I134">
        <v>11731</v>
      </c>
      <c r="J134">
        <v>10505</v>
      </c>
      <c r="K134">
        <v>10242</v>
      </c>
      <c r="L134">
        <v>10699</v>
      </c>
      <c r="M134">
        <v>10338</v>
      </c>
      <c r="N134">
        <v>11784</v>
      </c>
    </row>
    <row r="135" spans="1:15" x14ac:dyDescent="0.3">
      <c r="A135">
        <v>1997</v>
      </c>
      <c r="B135">
        <v>7388</v>
      </c>
      <c r="C135">
        <v>5210</v>
      </c>
      <c r="D135">
        <v>4626</v>
      </c>
      <c r="E135">
        <v>4734</v>
      </c>
      <c r="F135">
        <v>4829</v>
      </c>
      <c r="G135">
        <v>5888</v>
      </c>
      <c r="H135">
        <v>5790</v>
      </c>
      <c r="I135">
        <v>4071</v>
      </c>
      <c r="J135">
        <v>4815</v>
      </c>
      <c r="K135">
        <v>5463</v>
      </c>
      <c r="L135">
        <v>6545</v>
      </c>
      <c r="M135">
        <v>6474</v>
      </c>
      <c r="N135">
        <v>7388</v>
      </c>
    </row>
    <row r="136" spans="1:15" x14ac:dyDescent="0.3">
      <c r="A136">
        <v>1998</v>
      </c>
      <c r="B136">
        <v>2934</v>
      </c>
      <c r="C136">
        <v>3421</v>
      </c>
      <c r="D136">
        <v>2876</v>
      </c>
      <c r="E136">
        <v>5284</v>
      </c>
      <c r="F136">
        <v>7274</v>
      </c>
      <c r="G136">
        <v>8325</v>
      </c>
      <c r="H136">
        <v>8900</v>
      </c>
      <c r="I136">
        <v>8878</v>
      </c>
      <c r="J136">
        <v>9053</v>
      </c>
      <c r="K136">
        <v>9544</v>
      </c>
      <c r="L136">
        <v>10481</v>
      </c>
      <c r="M136">
        <v>11221</v>
      </c>
      <c r="N136">
        <v>11221</v>
      </c>
    </row>
    <row r="137" spans="1:15" x14ac:dyDescent="0.3">
      <c r="A137">
        <v>1999</v>
      </c>
      <c r="B137">
        <v>11119</v>
      </c>
      <c r="C137">
        <v>8079</v>
      </c>
      <c r="D137">
        <v>8346</v>
      </c>
      <c r="E137">
        <v>8769</v>
      </c>
      <c r="F137">
        <v>9960</v>
      </c>
      <c r="G137">
        <v>10749</v>
      </c>
      <c r="H137">
        <v>11221</v>
      </c>
      <c r="I137">
        <v>10577</v>
      </c>
      <c r="J137">
        <v>10290</v>
      </c>
      <c r="K137">
        <v>12605</v>
      </c>
      <c r="L137">
        <v>13663</v>
      </c>
      <c r="M137">
        <v>13520</v>
      </c>
      <c r="N137">
        <v>13663</v>
      </c>
    </row>
    <row r="138" spans="1:15" x14ac:dyDescent="0.3">
      <c r="A138">
        <v>2000</v>
      </c>
      <c r="B138">
        <v>12471</v>
      </c>
      <c r="C138">
        <v>7916</v>
      </c>
      <c r="D138">
        <v>6303</v>
      </c>
      <c r="E138">
        <v>6167</v>
      </c>
      <c r="F138">
        <v>7956</v>
      </c>
      <c r="G138">
        <v>9773</v>
      </c>
      <c r="H138">
        <v>9960</v>
      </c>
      <c r="I138">
        <v>9009</v>
      </c>
      <c r="J138">
        <v>9477</v>
      </c>
      <c r="K138">
        <v>10529</v>
      </c>
      <c r="L138">
        <v>10674</v>
      </c>
      <c r="M138">
        <v>10457</v>
      </c>
      <c r="N138">
        <v>12471</v>
      </c>
    </row>
    <row r="139" spans="1:15" x14ac:dyDescent="0.3">
      <c r="A139">
        <v>2001</v>
      </c>
      <c r="B139">
        <v>7049</v>
      </c>
      <c r="C139">
        <v>4060</v>
      </c>
      <c r="D139">
        <v>4249</v>
      </c>
      <c r="E139">
        <v>4189</v>
      </c>
      <c r="F139">
        <v>5404</v>
      </c>
      <c r="G139">
        <v>6100</v>
      </c>
      <c r="H139">
        <v>5152</v>
      </c>
      <c r="I139">
        <v>5038</v>
      </c>
      <c r="J139">
        <v>5603</v>
      </c>
      <c r="K139">
        <v>7086</v>
      </c>
      <c r="L139">
        <v>8451</v>
      </c>
      <c r="M139">
        <v>8599</v>
      </c>
      <c r="N139">
        <v>8599</v>
      </c>
    </row>
    <row r="140" spans="1:15" x14ac:dyDescent="0.3">
      <c r="A140">
        <v>2002</v>
      </c>
      <c r="B140">
        <v>8536</v>
      </c>
      <c r="C140">
        <v>4213</v>
      </c>
      <c r="D140">
        <v>3750</v>
      </c>
      <c r="E140">
        <v>5823</v>
      </c>
      <c r="F140">
        <v>6320</v>
      </c>
      <c r="G140">
        <v>8284</v>
      </c>
      <c r="H140">
        <v>8100</v>
      </c>
      <c r="I140">
        <v>5404</v>
      </c>
      <c r="J140">
        <v>4967</v>
      </c>
      <c r="K140">
        <v>6083</v>
      </c>
      <c r="L140">
        <v>8079</v>
      </c>
      <c r="M140">
        <v>7619</v>
      </c>
      <c r="N140">
        <v>8536</v>
      </c>
    </row>
    <row r="141" spans="1:15" x14ac:dyDescent="0.3">
      <c r="A141">
        <v>2003</v>
      </c>
      <c r="B141">
        <v>5448</v>
      </c>
      <c r="C141">
        <v>2755</v>
      </c>
      <c r="D141">
        <v>3154</v>
      </c>
      <c r="E141">
        <v>5634</v>
      </c>
      <c r="F141">
        <v>6286</v>
      </c>
      <c r="G141">
        <v>7977</v>
      </c>
      <c r="H141">
        <v>8079</v>
      </c>
      <c r="I141">
        <v>7331</v>
      </c>
      <c r="J141">
        <v>6668</v>
      </c>
      <c r="K141">
        <v>9097</v>
      </c>
      <c r="L141">
        <v>10823</v>
      </c>
      <c r="M141">
        <v>11322</v>
      </c>
      <c r="N141">
        <v>11322</v>
      </c>
      <c r="O141">
        <v>3</v>
      </c>
    </row>
    <row r="142" spans="1:15" x14ac:dyDescent="0.3">
      <c r="A142">
        <v>2004</v>
      </c>
      <c r="B142">
        <v>10798</v>
      </c>
      <c r="C142">
        <v>5448</v>
      </c>
      <c r="D142">
        <v>3328</v>
      </c>
      <c r="E142">
        <v>5095</v>
      </c>
      <c r="F142">
        <v>7197</v>
      </c>
      <c r="G142">
        <v>7977</v>
      </c>
      <c r="H142">
        <v>6615</v>
      </c>
      <c r="I142">
        <v>6633</v>
      </c>
      <c r="J142">
        <v>7216</v>
      </c>
      <c r="K142">
        <v>9075</v>
      </c>
      <c r="L142">
        <v>11271</v>
      </c>
      <c r="M142">
        <v>11500</v>
      </c>
      <c r="N142">
        <v>11500</v>
      </c>
    </row>
    <row r="143" spans="1:15" x14ac:dyDescent="0.3">
      <c r="A143">
        <v>2005</v>
      </c>
      <c r="B143">
        <v>9843</v>
      </c>
      <c r="C143">
        <v>5095</v>
      </c>
      <c r="D143">
        <v>4261</v>
      </c>
      <c r="E143">
        <v>5374</v>
      </c>
      <c r="F143">
        <v>7877</v>
      </c>
      <c r="G143">
        <v>8684</v>
      </c>
      <c r="H143">
        <v>8663</v>
      </c>
      <c r="I143">
        <v>7407</v>
      </c>
      <c r="J143">
        <v>6757</v>
      </c>
      <c r="K143">
        <v>8684</v>
      </c>
      <c r="L143">
        <v>11992</v>
      </c>
      <c r="M143">
        <v>13549</v>
      </c>
      <c r="N143">
        <v>13549</v>
      </c>
    </row>
    <row r="144" spans="1:15" x14ac:dyDescent="0.3">
      <c r="A144">
        <v>2006</v>
      </c>
      <c r="B144">
        <v>11297</v>
      </c>
      <c r="C144">
        <v>6686</v>
      </c>
      <c r="D144">
        <v>5509</v>
      </c>
      <c r="E144">
        <v>7312</v>
      </c>
      <c r="F144">
        <v>9983</v>
      </c>
      <c r="G144">
        <v>11679</v>
      </c>
      <c r="H144">
        <v>11653</v>
      </c>
      <c r="I144">
        <v>8079</v>
      </c>
      <c r="J144">
        <v>7465</v>
      </c>
      <c r="K144">
        <v>7916</v>
      </c>
      <c r="L144">
        <v>10170</v>
      </c>
      <c r="M144">
        <v>10773</v>
      </c>
      <c r="N144">
        <v>11679</v>
      </c>
    </row>
    <row r="145" spans="1:26" x14ac:dyDescent="0.3">
      <c r="A145">
        <v>2007</v>
      </c>
      <c r="B145">
        <v>10386</v>
      </c>
      <c r="C145">
        <v>5374</v>
      </c>
      <c r="D145">
        <v>4105</v>
      </c>
      <c r="E145">
        <v>6957</v>
      </c>
      <c r="F145">
        <v>10053</v>
      </c>
      <c r="G145">
        <v>12417</v>
      </c>
      <c r="H145">
        <v>12444</v>
      </c>
      <c r="I145">
        <v>9797</v>
      </c>
      <c r="J145">
        <v>10625</v>
      </c>
      <c r="K145">
        <v>11221</v>
      </c>
      <c r="L145">
        <v>14524</v>
      </c>
      <c r="M145">
        <v>14347</v>
      </c>
      <c r="N145">
        <v>14524</v>
      </c>
    </row>
    <row r="146" spans="1:26" x14ac:dyDescent="0.3">
      <c r="A146">
        <v>2008</v>
      </c>
      <c r="B146">
        <v>10699</v>
      </c>
      <c r="C146">
        <v>6739</v>
      </c>
      <c r="D146">
        <v>5603</v>
      </c>
      <c r="E146">
        <v>6474</v>
      </c>
      <c r="F146">
        <v>8748</v>
      </c>
      <c r="G146">
        <v>10946</v>
      </c>
      <c r="H146">
        <v>12019</v>
      </c>
      <c r="I146">
        <v>12123</v>
      </c>
      <c r="J146">
        <v>12417</v>
      </c>
      <c r="K146">
        <v>12310</v>
      </c>
      <c r="L146">
        <v>14005</v>
      </c>
      <c r="M146">
        <v>14909</v>
      </c>
      <c r="N146">
        <v>14909</v>
      </c>
    </row>
    <row r="147" spans="1:26" x14ac:dyDescent="0.3">
      <c r="A147">
        <v>2009</v>
      </c>
      <c r="B147">
        <v>13015</v>
      </c>
      <c r="C147">
        <v>7997</v>
      </c>
      <c r="D147">
        <v>6269</v>
      </c>
      <c r="E147">
        <v>7274</v>
      </c>
      <c r="F147">
        <v>8182</v>
      </c>
      <c r="G147">
        <v>8223</v>
      </c>
      <c r="H147">
        <v>8141</v>
      </c>
      <c r="I147">
        <v>6651</v>
      </c>
      <c r="J147">
        <v>6474</v>
      </c>
      <c r="K147">
        <v>5904</v>
      </c>
      <c r="L147">
        <v>7778</v>
      </c>
      <c r="M147">
        <v>8184</v>
      </c>
      <c r="N147">
        <v>13015</v>
      </c>
    </row>
    <row r="148" spans="1:26" x14ac:dyDescent="0.3">
      <c r="A148">
        <v>2010</v>
      </c>
      <c r="B148">
        <v>5407</v>
      </c>
      <c r="C148">
        <v>2684</v>
      </c>
      <c r="D148">
        <v>3688</v>
      </c>
      <c r="E148">
        <v>5596</v>
      </c>
      <c r="F148">
        <v>8331</v>
      </c>
      <c r="G148">
        <v>10120</v>
      </c>
      <c r="H148">
        <v>11840</v>
      </c>
      <c r="I148">
        <v>13063</v>
      </c>
      <c r="J148">
        <v>13196</v>
      </c>
      <c r="K148">
        <v>13903</v>
      </c>
      <c r="L148">
        <v>14460</v>
      </c>
      <c r="M148">
        <v>14345</v>
      </c>
      <c r="N148">
        <v>14460</v>
      </c>
    </row>
    <row r="149" spans="1:26" x14ac:dyDescent="0.3">
      <c r="A149">
        <v>2011</v>
      </c>
      <c r="B149">
        <v>13310</v>
      </c>
      <c r="C149">
        <v>8791</v>
      </c>
      <c r="D149">
        <v>7184</v>
      </c>
      <c r="E149">
        <v>9978</v>
      </c>
      <c r="F149">
        <v>12892</v>
      </c>
      <c r="G149">
        <v>13139</v>
      </c>
      <c r="H149">
        <v>11916</v>
      </c>
      <c r="I149">
        <v>10690</v>
      </c>
      <c r="J149">
        <v>9536</v>
      </c>
      <c r="K149">
        <v>10906</v>
      </c>
      <c r="L149">
        <v>12243</v>
      </c>
      <c r="M149">
        <v>13826</v>
      </c>
      <c r="N149">
        <v>13826</v>
      </c>
    </row>
    <row r="150" spans="1:26" x14ac:dyDescent="0.3">
      <c r="A150">
        <v>2012</v>
      </c>
      <c r="B150">
        <v>13615</v>
      </c>
      <c r="C150">
        <v>8552</v>
      </c>
      <c r="D150">
        <v>5159</v>
      </c>
      <c r="E150">
        <v>8313</v>
      </c>
      <c r="F150">
        <v>10423</v>
      </c>
      <c r="G150">
        <v>10370</v>
      </c>
      <c r="H150">
        <v>7490</v>
      </c>
      <c r="I150">
        <v>7150</v>
      </c>
      <c r="J150">
        <v>7167</v>
      </c>
      <c r="K150">
        <v>7592</v>
      </c>
      <c r="L150">
        <v>8037</v>
      </c>
      <c r="M150">
        <v>7983</v>
      </c>
      <c r="N150">
        <v>13615</v>
      </c>
    </row>
    <row r="151" spans="1:26" x14ac:dyDescent="0.3">
      <c r="A151">
        <v>2013</v>
      </c>
      <c r="B151">
        <v>5283</v>
      </c>
      <c r="C151">
        <v>3576</v>
      </c>
      <c r="D151">
        <v>4274</v>
      </c>
      <c r="E151">
        <v>4756</v>
      </c>
      <c r="F151">
        <v>7626</v>
      </c>
      <c r="G151">
        <v>8497</v>
      </c>
      <c r="H151">
        <v>7830</v>
      </c>
      <c r="I151">
        <v>6776</v>
      </c>
      <c r="J151">
        <v>7626</v>
      </c>
      <c r="K151">
        <v>8239</v>
      </c>
      <c r="L151">
        <v>8718</v>
      </c>
      <c r="M151">
        <v>8570</v>
      </c>
      <c r="N151">
        <v>8718</v>
      </c>
    </row>
    <row r="152" spans="1:26" x14ac:dyDescent="0.3">
      <c r="A152">
        <v>2014</v>
      </c>
      <c r="B152">
        <v>7745</v>
      </c>
      <c r="C152">
        <v>4093</v>
      </c>
      <c r="D152">
        <v>4880</v>
      </c>
      <c r="E152">
        <v>5004</v>
      </c>
      <c r="F152">
        <v>7150</v>
      </c>
      <c r="G152">
        <v>6980</v>
      </c>
      <c r="H152">
        <v>5980</v>
      </c>
      <c r="I152">
        <v>5485</v>
      </c>
      <c r="J152">
        <v>6555</v>
      </c>
      <c r="K152">
        <v>7796</v>
      </c>
      <c r="L152">
        <v>8920</v>
      </c>
      <c r="M152">
        <v>8920</v>
      </c>
      <c r="N152">
        <v>8920</v>
      </c>
    </row>
    <row r="153" spans="1:26" x14ac:dyDescent="0.3">
      <c r="A153">
        <v>2015</v>
      </c>
      <c r="B153">
        <v>7235</v>
      </c>
      <c r="C153">
        <v>4338</v>
      </c>
      <c r="D153">
        <v>4119</v>
      </c>
      <c r="E153">
        <v>5788</v>
      </c>
      <c r="F153">
        <v>5628</v>
      </c>
      <c r="G153">
        <v>6300</v>
      </c>
      <c r="H153">
        <v>4958</v>
      </c>
      <c r="I153">
        <v>4635</v>
      </c>
      <c r="J153">
        <v>4635</v>
      </c>
      <c r="K153">
        <v>5082</v>
      </c>
      <c r="L153">
        <v>6076</v>
      </c>
      <c r="M153">
        <v>6076</v>
      </c>
      <c r="N153">
        <v>7235</v>
      </c>
    </row>
    <row r="155" spans="1:26" x14ac:dyDescent="0.3">
      <c r="A155" t="s">
        <v>110</v>
      </c>
      <c r="B155">
        <v>9010</v>
      </c>
      <c r="C155">
        <v>5389</v>
      </c>
      <c r="D155">
        <v>4857</v>
      </c>
      <c r="E155">
        <v>6121</v>
      </c>
      <c r="F155">
        <v>7908</v>
      </c>
      <c r="G155">
        <v>8887</v>
      </c>
      <c r="H155">
        <v>8718</v>
      </c>
      <c r="I155">
        <v>8044</v>
      </c>
      <c r="J155">
        <v>8245</v>
      </c>
      <c r="K155">
        <v>9551</v>
      </c>
      <c r="L155">
        <v>10752</v>
      </c>
      <c r="M155">
        <v>10899</v>
      </c>
      <c r="N155">
        <v>8198.43</v>
      </c>
    </row>
    <row r="156" spans="1:26" x14ac:dyDescent="0.3">
      <c r="A156" t="s">
        <v>111</v>
      </c>
      <c r="B156">
        <v>13873</v>
      </c>
      <c r="C156">
        <v>10082</v>
      </c>
      <c r="D156">
        <v>8434</v>
      </c>
      <c r="E156">
        <v>9978</v>
      </c>
      <c r="F156">
        <v>12892</v>
      </c>
      <c r="G156">
        <v>14475</v>
      </c>
      <c r="H156">
        <v>14425</v>
      </c>
      <c r="I156">
        <v>13063</v>
      </c>
      <c r="J156">
        <v>13196</v>
      </c>
      <c r="K156">
        <v>13920</v>
      </c>
      <c r="L156">
        <v>16913</v>
      </c>
      <c r="M156">
        <v>16913</v>
      </c>
      <c r="N156">
        <v>16913</v>
      </c>
    </row>
    <row r="157" spans="1:26" x14ac:dyDescent="0.3">
      <c r="A157" t="s">
        <v>112</v>
      </c>
      <c r="B157">
        <v>2934</v>
      </c>
      <c r="C157">
        <v>2555</v>
      </c>
      <c r="D157">
        <v>2363</v>
      </c>
      <c r="E157">
        <v>3290</v>
      </c>
      <c r="F157">
        <v>4829</v>
      </c>
      <c r="G157">
        <v>5886</v>
      </c>
      <c r="H157">
        <v>4958</v>
      </c>
      <c r="I157">
        <v>4071</v>
      </c>
      <c r="J157">
        <v>4635</v>
      </c>
      <c r="K157">
        <v>5082</v>
      </c>
      <c r="L157">
        <v>6076</v>
      </c>
      <c r="M157">
        <v>6076</v>
      </c>
      <c r="N157">
        <v>2363</v>
      </c>
    </row>
    <row r="158" spans="1:26" x14ac:dyDescent="0.3">
      <c r="A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10</v>
      </c>
      <c r="M158" t="s">
        <v>11</v>
      </c>
      <c r="N158" t="s">
        <v>12</v>
      </c>
      <c r="O158" t="s">
        <v>13</v>
      </c>
      <c r="P158" t="s">
        <v>14</v>
      </c>
      <c r="Q158" t="s">
        <v>15</v>
      </c>
      <c r="R158" t="s">
        <v>16</v>
      </c>
      <c r="S158" t="s">
        <v>17</v>
      </c>
    </row>
    <row r="159" spans="1:26" x14ac:dyDescent="0.3">
      <c r="V159" t="s">
        <v>18</v>
      </c>
      <c r="W159" t="s">
        <v>19</v>
      </c>
      <c r="X159" t="s">
        <v>20</v>
      </c>
      <c r="Y159" t="s">
        <v>21</v>
      </c>
      <c r="Z159" t="s">
        <v>22</v>
      </c>
    </row>
    <row r="160" spans="1:26" x14ac:dyDescent="0.3">
      <c r="A160" s="1" t="s">
        <v>129</v>
      </c>
      <c r="E160" t="s">
        <v>23</v>
      </c>
      <c r="F160" t="s">
        <v>24</v>
      </c>
      <c r="G160" t="s">
        <v>116</v>
      </c>
      <c r="H160" t="s">
        <v>114</v>
      </c>
      <c r="I160" t="s">
        <v>115</v>
      </c>
      <c r="J160" t="s">
        <v>27</v>
      </c>
      <c r="K160" t="s">
        <v>28</v>
      </c>
      <c r="L160" t="s">
        <v>29</v>
      </c>
      <c r="M160" t="s">
        <v>30</v>
      </c>
      <c r="N160" t="s">
        <v>31</v>
      </c>
      <c r="O160" t="s">
        <v>32</v>
      </c>
      <c r="V160" t="s">
        <v>22</v>
      </c>
      <c r="W160" t="s">
        <v>33</v>
      </c>
      <c r="X160" t="s">
        <v>34</v>
      </c>
      <c r="Y160" t="s">
        <v>35</v>
      </c>
    </row>
    <row r="161" spans="1:29" x14ac:dyDescent="0.3">
      <c r="A161" s="1" t="s">
        <v>131</v>
      </c>
    </row>
    <row r="162" spans="1:29" x14ac:dyDescent="0.3">
      <c r="A162" t="s">
        <v>36</v>
      </c>
      <c r="B162" t="s">
        <v>37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>
        <v>29</v>
      </c>
      <c r="U162" t="s">
        <v>43</v>
      </c>
      <c r="V162" t="s">
        <v>44</v>
      </c>
      <c r="W162" t="s">
        <v>40</v>
      </c>
      <c r="X162">
        <v>290370</v>
      </c>
      <c r="Y162">
        <v>20</v>
      </c>
      <c r="Z162" t="s">
        <v>45</v>
      </c>
      <c r="AA162" t="s">
        <v>46</v>
      </c>
    </row>
    <row r="164" spans="1:29" x14ac:dyDescent="0.3">
      <c r="A164" t="s">
        <v>47</v>
      </c>
      <c r="B164" t="s">
        <v>48</v>
      </c>
      <c r="C164" t="s">
        <v>49</v>
      </c>
      <c r="D164">
        <v>1015</v>
      </c>
      <c r="E164" t="s">
        <v>22</v>
      </c>
      <c r="H164" t="s">
        <v>50</v>
      </c>
      <c r="I164" t="s">
        <v>51</v>
      </c>
      <c r="J164" t="s">
        <v>52</v>
      </c>
      <c r="K164" t="s">
        <v>53</v>
      </c>
      <c r="P164" t="s">
        <v>54</v>
      </c>
      <c r="R164" t="s">
        <v>55</v>
      </c>
      <c r="S164" t="s">
        <v>56</v>
      </c>
      <c r="T164" t="s">
        <v>57</v>
      </c>
      <c r="X164" t="s">
        <v>58</v>
      </c>
      <c r="Y164" t="s">
        <v>4</v>
      </c>
      <c r="Z164" t="s">
        <v>59</v>
      </c>
      <c r="AA164" t="s">
        <v>60</v>
      </c>
      <c r="AB164" t="s">
        <v>61</v>
      </c>
      <c r="AC164" t="s">
        <v>47</v>
      </c>
    </row>
    <row r="165" spans="1:29" x14ac:dyDescent="0.3">
      <c r="A165" t="s">
        <v>47</v>
      </c>
      <c r="B165" t="s">
        <v>62</v>
      </c>
      <c r="C165" t="s">
        <v>63</v>
      </c>
      <c r="D165">
        <v>7454</v>
      </c>
      <c r="E165" t="s">
        <v>64</v>
      </c>
      <c r="H165" t="s">
        <v>65</v>
      </c>
      <c r="I165" t="s">
        <v>66</v>
      </c>
      <c r="J165" t="s">
        <v>67</v>
      </c>
      <c r="K165">
        <v>1</v>
      </c>
      <c r="L165" t="s">
        <v>68</v>
      </c>
      <c r="M165" t="s">
        <v>69</v>
      </c>
      <c r="P165" t="s">
        <v>70</v>
      </c>
      <c r="Q165" t="s">
        <v>71</v>
      </c>
      <c r="R165" t="s">
        <v>72</v>
      </c>
      <c r="S165" t="s">
        <v>73</v>
      </c>
      <c r="T165" t="s">
        <v>57</v>
      </c>
      <c r="X165" t="s">
        <v>58</v>
      </c>
      <c r="Y165" t="s">
        <v>74</v>
      </c>
      <c r="Z165" t="s">
        <v>75</v>
      </c>
      <c r="AA165" t="s">
        <v>22</v>
      </c>
    </row>
    <row r="166" spans="1:29" x14ac:dyDescent="0.3">
      <c r="A166" t="s">
        <v>76</v>
      </c>
      <c r="B166" t="s">
        <v>77</v>
      </c>
      <c r="C166" t="s">
        <v>78</v>
      </c>
      <c r="D166">
        <v>8</v>
      </c>
      <c r="E166" t="s">
        <v>79</v>
      </c>
      <c r="F166" t="s">
        <v>80</v>
      </c>
      <c r="H166" t="s">
        <v>81</v>
      </c>
      <c r="I166" t="s">
        <v>82</v>
      </c>
      <c r="J166" t="s">
        <v>83</v>
      </c>
      <c r="K166">
        <v>2</v>
      </c>
      <c r="L166" t="s">
        <v>84</v>
      </c>
      <c r="M166" t="s">
        <v>85</v>
      </c>
      <c r="N166" t="s">
        <v>86</v>
      </c>
      <c r="P166" t="s">
        <v>87</v>
      </c>
      <c r="Q166" t="s">
        <v>88</v>
      </c>
      <c r="R166" t="s">
        <v>89</v>
      </c>
      <c r="S166" t="s">
        <v>90</v>
      </c>
      <c r="T166" t="s">
        <v>91</v>
      </c>
    </row>
    <row r="168" spans="1:29" x14ac:dyDescent="0.3">
      <c r="A168" t="s">
        <v>92</v>
      </c>
      <c r="B168" t="s">
        <v>93</v>
      </c>
      <c r="C168" t="s">
        <v>93</v>
      </c>
      <c r="D168" t="s">
        <v>93</v>
      </c>
      <c r="E168" t="s">
        <v>93</v>
      </c>
      <c r="F168" t="s">
        <v>93</v>
      </c>
      <c r="G168" t="s">
        <v>93</v>
      </c>
      <c r="H168" t="s">
        <v>93</v>
      </c>
      <c r="I168" t="s">
        <v>93</v>
      </c>
      <c r="J168" t="s">
        <v>93</v>
      </c>
      <c r="K168" t="s">
        <v>93</v>
      </c>
      <c r="L168" t="s">
        <v>93</v>
      </c>
      <c r="M168" t="s">
        <v>93</v>
      </c>
      <c r="N168" t="s">
        <v>94</v>
      </c>
      <c r="O168" t="s">
        <v>95</v>
      </c>
    </row>
    <row r="169" spans="1:29" x14ac:dyDescent="0.3">
      <c r="A169" t="s">
        <v>96</v>
      </c>
      <c r="B169" t="s">
        <v>97</v>
      </c>
      <c r="C169" t="s">
        <v>98</v>
      </c>
      <c r="D169" t="s">
        <v>99</v>
      </c>
      <c r="E169" t="s">
        <v>100</v>
      </c>
      <c r="F169" t="s">
        <v>101</v>
      </c>
      <c r="G169" t="s">
        <v>102</v>
      </c>
      <c r="H169" t="s">
        <v>103</v>
      </c>
      <c r="I169" t="s">
        <v>104</v>
      </c>
      <c r="J169" t="s">
        <v>105</v>
      </c>
      <c r="K169" t="s">
        <v>106</v>
      </c>
      <c r="L169" t="s">
        <v>107</v>
      </c>
      <c r="M169" t="s">
        <v>108</v>
      </c>
      <c r="N169" t="s">
        <v>109</v>
      </c>
      <c r="O169" t="s">
        <v>95</v>
      </c>
    </row>
    <row r="170" spans="1:29" x14ac:dyDescent="0.3">
      <c r="A170" t="s">
        <v>92</v>
      </c>
      <c r="B170" t="s">
        <v>93</v>
      </c>
      <c r="C170" t="s">
        <v>93</v>
      </c>
      <c r="D170" t="s">
        <v>93</v>
      </c>
      <c r="E170" t="s">
        <v>93</v>
      </c>
      <c r="F170" t="s">
        <v>93</v>
      </c>
      <c r="G170" t="s">
        <v>93</v>
      </c>
      <c r="H170" t="s">
        <v>93</v>
      </c>
      <c r="I170" t="s">
        <v>93</v>
      </c>
      <c r="J170" t="s">
        <v>93</v>
      </c>
      <c r="K170" t="s">
        <v>93</v>
      </c>
      <c r="L170" t="s">
        <v>93</v>
      </c>
      <c r="M170" t="s">
        <v>93</v>
      </c>
      <c r="N170" t="s">
        <v>94</v>
      </c>
      <c r="O170" t="s">
        <v>95</v>
      </c>
    </row>
    <row r="172" spans="1:29" x14ac:dyDescent="0.3">
      <c r="A172">
        <v>1940</v>
      </c>
      <c r="I172">
        <v>3109</v>
      </c>
      <c r="J172">
        <v>3604</v>
      </c>
      <c r="K172">
        <v>5125</v>
      </c>
      <c r="L172">
        <v>8130</v>
      </c>
      <c r="M172">
        <v>6874</v>
      </c>
      <c r="N172">
        <v>3109</v>
      </c>
      <c r="O172">
        <v>3</v>
      </c>
    </row>
    <row r="173" spans="1:29" x14ac:dyDescent="0.3">
      <c r="A173">
        <v>1941</v>
      </c>
      <c r="B173">
        <v>3539</v>
      </c>
      <c r="C173">
        <v>3500</v>
      </c>
      <c r="D173">
        <v>2768</v>
      </c>
      <c r="E173">
        <v>2757</v>
      </c>
      <c r="F173">
        <v>4630</v>
      </c>
      <c r="G173">
        <v>4763</v>
      </c>
      <c r="H173">
        <v>4714</v>
      </c>
      <c r="I173">
        <v>4678</v>
      </c>
      <c r="J173">
        <v>4775</v>
      </c>
      <c r="K173">
        <v>5175</v>
      </c>
      <c r="L173">
        <v>5263</v>
      </c>
      <c r="M173">
        <v>4150</v>
      </c>
      <c r="N173">
        <v>2757</v>
      </c>
    </row>
    <row r="174" spans="1:29" x14ac:dyDescent="0.3">
      <c r="A174">
        <v>1942</v>
      </c>
      <c r="B174">
        <v>2789</v>
      </c>
      <c r="C174">
        <v>2768</v>
      </c>
      <c r="D174">
        <v>2663</v>
      </c>
      <c r="E174">
        <v>4007</v>
      </c>
      <c r="F174">
        <v>6748</v>
      </c>
      <c r="G174">
        <v>9708</v>
      </c>
      <c r="H174">
        <v>5969</v>
      </c>
      <c r="I174">
        <v>6794</v>
      </c>
      <c r="J174">
        <v>7106</v>
      </c>
      <c r="K174">
        <v>7906</v>
      </c>
      <c r="L174">
        <v>8586</v>
      </c>
      <c r="M174">
        <v>10854</v>
      </c>
      <c r="N174">
        <v>2663</v>
      </c>
    </row>
    <row r="175" spans="1:29" x14ac:dyDescent="0.3">
      <c r="A175">
        <v>1943</v>
      </c>
      <c r="B175">
        <v>7954</v>
      </c>
      <c r="C175">
        <v>5780</v>
      </c>
      <c r="D175">
        <v>4270</v>
      </c>
      <c r="E175">
        <v>5645</v>
      </c>
      <c r="F175">
        <v>7336</v>
      </c>
      <c r="G175">
        <v>8858</v>
      </c>
      <c r="H175">
        <v>5645</v>
      </c>
      <c r="I175">
        <v>5753</v>
      </c>
      <c r="J175">
        <v>5263</v>
      </c>
      <c r="K175">
        <v>5564</v>
      </c>
      <c r="L175">
        <v>8841</v>
      </c>
      <c r="M175">
        <v>7534</v>
      </c>
      <c r="N175">
        <v>4270</v>
      </c>
    </row>
    <row r="176" spans="1:29" x14ac:dyDescent="0.3">
      <c r="A176">
        <v>1944</v>
      </c>
      <c r="B176">
        <v>4150</v>
      </c>
      <c r="E176">
        <v>4210</v>
      </c>
      <c r="F176">
        <v>5591</v>
      </c>
      <c r="G176">
        <v>8130</v>
      </c>
      <c r="H176">
        <v>8450</v>
      </c>
      <c r="I176">
        <v>6891</v>
      </c>
      <c r="J176">
        <v>7188</v>
      </c>
      <c r="K176">
        <v>8637</v>
      </c>
      <c r="L176">
        <v>10182</v>
      </c>
      <c r="M176">
        <v>9164</v>
      </c>
      <c r="N176">
        <v>4150</v>
      </c>
      <c r="O176">
        <v>3</v>
      </c>
    </row>
    <row r="177" spans="1:15" x14ac:dyDescent="0.3">
      <c r="A177">
        <v>1945</v>
      </c>
      <c r="B177">
        <v>4085</v>
      </c>
      <c r="F177">
        <v>4177</v>
      </c>
      <c r="G177">
        <v>8290</v>
      </c>
      <c r="H177">
        <v>6391</v>
      </c>
      <c r="I177">
        <v>6453</v>
      </c>
      <c r="J177">
        <v>7155</v>
      </c>
      <c r="K177">
        <v>7138</v>
      </c>
      <c r="L177">
        <v>9096</v>
      </c>
      <c r="M177">
        <v>8354</v>
      </c>
      <c r="N177">
        <v>4085</v>
      </c>
      <c r="O177">
        <v>3</v>
      </c>
    </row>
    <row r="178" spans="1:15" x14ac:dyDescent="0.3">
      <c r="A178">
        <v>1946</v>
      </c>
      <c r="B178">
        <v>4368</v>
      </c>
      <c r="C178">
        <v>3344</v>
      </c>
      <c r="D178">
        <v>3355</v>
      </c>
      <c r="E178">
        <v>3488</v>
      </c>
      <c r="F178">
        <v>5554</v>
      </c>
      <c r="G178">
        <v>5722</v>
      </c>
      <c r="H178">
        <v>3818</v>
      </c>
      <c r="I178">
        <v>4599</v>
      </c>
      <c r="J178">
        <v>4269</v>
      </c>
      <c r="K178">
        <v>4720</v>
      </c>
      <c r="L178">
        <v>6406</v>
      </c>
      <c r="M178">
        <v>6783</v>
      </c>
      <c r="N178">
        <v>3344</v>
      </c>
    </row>
    <row r="179" spans="1:15" x14ac:dyDescent="0.3">
      <c r="A179">
        <v>1947</v>
      </c>
      <c r="B179">
        <v>3656</v>
      </c>
      <c r="C179">
        <v>2820</v>
      </c>
      <c r="D179">
        <v>2188</v>
      </c>
      <c r="E179">
        <v>2948</v>
      </c>
      <c r="F179">
        <v>3877</v>
      </c>
      <c r="G179">
        <v>6329</v>
      </c>
      <c r="H179">
        <v>7204</v>
      </c>
      <c r="I179">
        <v>6874</v>
      </c>
      <c r="J179">
        <v>6874</v>
      </c>
      <c r="K179">
        <v>7970</v>
      </c>
      <c r="L179">
        <v>9810</v>
      </c>
      <c r="M179">
        <v>4900</v>
      </c>
      <c r="N179">
        <v>2188</v>
      </c>
    </row>
    <row r="180" spans="1:15" x14ac:dyDescent="0.3">
      <c r="A180">
        <v>1948</v>
      </c>
      <c r="B180">
        <v>2658</v>
      </c>
      <c r="C180">
        <v>1955</v>
      </c>
      <c r="E180">
        <v>2053</v>
      </c>
      <c r="F180">
        <v>5000</v>
      </c>
      <c r="G180">
        <v>6220</v>
      </c>
      <c r="H180">
        <v>5063</v>
      </c>
      <c r="I180">
        <v>4510</v>
      </c>
      <c r="J180">
        <v>3825</v>
      </c>
      <c r="K180">
        <v>4975</v>
      </c>
      <c r="L180">
        <v>8370</v>
      </c>
      <c r="M180">
        <v>6391</v>
      </c>
      <c r="N180">
        <v>1955</v>
      </c>
      <c r="O180">
        <v>3</v>
      </c>
    </row>
    <row r="181" spans="1:15" x14ac:dyDescent="0.3">
      <c r="A181">
        <v>1949</v>
      </c>
      <c r="B181">
        <v>3017</v>
      </c>
      <c r="C181">
        <v>2421</v>
      </c>
      <c r="D181">
        <v>2698</v>
      </c>
      <c r="E181">
        <v>3109</v>
      </c>
      <c r="F181">
        <v>3968</v>
      </c>
      <c r="G181">
        <v>5848</v>
      </c>
      <c r="H181">
        <v>7089</v>
      </c>
      <c r="I181">
        <v>6577</v>
      </c>
      <c r="J181">
        <v>7485</v>
      </c>
      <c r="K181">
        <v>8002</v>
      </c>
      <c r="L181">
        <v>9946</v>
      </c>
      <c r="M181">
        <v>9708</v>
      </c>
      <c r="N181">
        <v>2421</v>
      </c>
    </row>
    <row r="182" spans="1:15" x14ac:dyDescent="0.3">
      <c r="A182">
        <v>1950</v>
      </c>
      <c r="B182">
        <v>4690</v>
      </c>
      <c r="C182">
        <v>4875</v>
      </c>
      <c r="D182">
        <v>6360</v>
      </c>
      <c r="E182">
        <v>5766</v>
      </c>
      <c r="F182">
        <v>6081</v>
      </c>
      <c r="G182">
        <v>8756</v>
      </c>
      <c r="H182">
        <v>11100</v>
      </c>
      <c r="I182">
        <v>10758</v>
      </c>
      <c r="J182">
        <v>9810</v>
      </c>
      <c r="K182">
        <v>9572</v>
      </c>
      <c r="L182">
        <v>10099</v>
      </c>
      <c r="M182">
        <v>11385</v>
      </c>
      <c r="N182">
        <v>4690</v>
      </c>
      <c r="O182">
        <v>3</v>
      </c>
    </row>
    <row r="183" spans="1:15" x14ac:dyDescent="0.3">
      <c r="A183">
        <v>1951</v>
      </c>
      <c r="B183">
        <v>7160</v>
      </c>
      <c r="C183">
        <v>6575</v>
      </c>
      <c r="D183">
        <v>4610</v>
      </c>
      <c r="E183">
        <v>4225</v>
      </c>
      <c r="F183">
        <v>5458</v>
      </c>
      <c r="G183">
        <v>6770</v>
      </c>
      <c r="H183">
        <v>6705</v>
      </c>
      <c r="I183">
        <v>6445</v>
      </c>
      <c r="J183">
        <v>7082</v>
      </c>
      <c r="K183">
        <v>7225</v>
      </c>
      <c r="L183">
        <v>7748</v>
      </c>
      <c r="M183">
        <v>8366</v>
      </c>
      <c r="N183">
        <v>4225</v>
      </c>
    </row>
    <row r="184" spans="1:15" x14ac:dyDescent="0.3">
      <c r="A184">
        <v>1952</v>
      </c>
      <c r="B184">
        <v>4247</v>
      </c>
      <c r="C184">
        <v>2750</v>
      </c>
      <c r="D184">
        <v>2670</v>
      </c>
      <c r="E184">
        <v>2700</v>
      </c>
      <c r="F184">
        <v>5242</v>
      </c>
      <c r="G184">
        <v>6770</v>
      </c>
      <c r="H184">
        <v>6770</v>
      </c>
      <c r="I184">
        <v>6705</v>
      </c>
      <c r="J184">
        <v>5962</v>
      </c>
      <c r="K184">
        <v>6783</v>
      </c>
      <c r="L184">
        <v>7360</v>
      </c>
      <c r="M184">
        <v>8170</v>
      </c>
      <c r="N184">
        <v>2670</v>
      </c>
    </row>
    <row r="185" spans="1:15" x14ac:dyDescent="0.3">
      <c r="A185">
        <v>1953</v>
      </c>
      <c r="B185">
        <v>5098</v>
      </c>
      <c r="C185">
        <v>3180</v>
      </c>
      <c r="D185">
        <v>2750</v>
      </c>
      <c r="E185">
        <v>4170</v>
      </c>
      <c r="F185">
        <v>4665</v>
      </c>
      <c r="G185">
        <v>7134</v>
      </c>
      <c r="H185">
        <v>6010</v>
      </c>
      <c r="I185">
        <v>4555</v>
      </c>
      <c r="J185">
        <v>4610</v>
      </c>
      <c r="K185">
        <v>5866</v>
      </c>
      <c r="L185">
        <v>7872</v>
      </c>
      <c r="M185">
        <v>3943</v>
      </c>
      <c r="N185">
        <v>2750</v>
      </c>
    </row>
    <row r="186" spans="1:15" x14ac:dyDescent="0.3">
      <c r="A186">
        <v>1954</v>
      </c>
      <c r="B186">
        <v>4510</v>
      </c>
      <c r="C186">
        <v>3155</v>
      </c>
      <c r="D186">
        <v>3213</v>
      </c>
      <c r="E186">
        <v>2983</v>
      </c>
      <c r="F186">
        <v>5645</v>
      </c>
      <c r="G186">
        <v>7518</v>
      </c>
      <c r="H186">
        <v>8807</v>
      </c>
      <c r="I186">
        <v>10031</v>
      </c>
      <c r="J186">
        <v>8688</v>
      </c>
      <c r="K186">
        <v>8586</v>
      </c>
      <c r="L186">
        <v>10470</v>
      </c>
      <c r="M186">
        <v>11130</v>
      </c>
      <c r="N186">
        <v>2983</v>
      </c>
      <c r="O186">
        <v>3</v>
      </c>
    </row>
    <row r="187" spans="1:15" x14ac:dyDescent="0.3">
      <c r="A187">
        <v>1955</v>
      </c>
      <c r="B187">
        <v>6794</v>
      </c>
      <c r="C187">
        <v>4020</v>
      </c>
      <c r="D187">
        <v>4270</v>
      </c>
      <c r="E187">
        <v>5250</v>
      </c>
      <c r="F187">
        <v>7568</v>
      </c>
      <c r="G187">
        <v>8960</v>
      </c>
      <c r="H187">
        <v>9674</v>
      </c>
      <c r="I187">
        <v>9980</v>
      </c>
      <c r="J187">
        <v>9929</v>
      </c>
      <c r="K187">
        <v>10374</v>
      </c>
      <c r="N187">
        <v>4020</v>
      </c>
      <c r="O187">
        <v>3</v>
      </c>
    </row>
    <row r="188" spans="1:15" x14ac:dyDescent="0.3">
      <c r="A188">
        <v>1956</v>
      </c>
      <c r="B188">
        <v>9538</v>
      </c>
      <c r="C188">
        <v>7056</v>
      </c>
      <c r="D188">
        <v>6530</v>
      </c>
      <c r="E188">
        <v>5780</v>
      </c>
      <c r="F188">
        <v>6220</v>
      </c>
      <c r="G188">
        <v>8620</v>
      </c>
      <c r="H188">
        <v>9164</v>
      </c>
      <c r="I188">
        <v>7938</v>
      </c>
      <c r="J188">
        <v>8290</v>
      </c>
      <c r="K188">
        <v>8892</v>
      </c>
      <c r="N188">
        <v>5780</v>
      </c>
      <c r="O188">
        <v>3</v>
      </c>
    </row>
    <row r="189" spans="1:15" x14ac:dyDescent="0.3">
      <c r="A189">
        <v>1957</v>
      </c>
      <c r="B189">
        <v>5578</v>
      </c>
      <c r="C189">
        <v>3466</v>
      </c>
      <c r="D189">
        <v>3397</v>
      </c>
      <c r="E189">
        <v>3282</v>
      </c>
      <c r="F189">
        <v>4838</v>
      </c>
      <c r="G189">
        <v>7188</v>
      </c>
      <c r="H189">
        <v>5848</v>
      </c>
      <c r="I189">
        <v>4690</v>
      </c>
      <c r="J189">
        <v>4738</v>
      </c>
      <c r="K189">
        <v>5063</v>
      </c>
      <c r="L189">
        <v>6592</v>
      </c>
      <c r="M189">
        <v>4726</v>
      </c>
      <c r="N189">
        <v>3282</v>
      </c>
    </row>
    <row r="190" spans="1:15" x14ac:dyDescent="0.3">
      <c r="A190">
        <v>1958</v>
      </c>
      <c r="B190">
        <v>2852</v>
      </c>
      <c r="C190">
        <v>2294</v>
      </c>
      <c r="D190">
        <v>2262</v>
      </c>
      <c r="E190">
        <v>2768</v>
      </c>
      <c r="F190">
        <v>4046</v>
      </c>
      <c r="G190">
        <v>6081</v>
      </c>
      <c r="H190">
        <v>4174</v>
      </c>
      <c r="I190">
        <v>4863</v>
      </c>
      <c r="J190">
        <v>4378</v>
      </c>
      <c r="K190">
        <v>4825</v>
      </c>
      <c r="L190">
        <v>6748</v>
      </c>
      <c r="M190">
        <v>4702</v>
      </c>
      <c r="N190">
        <v>2262</v>
      </c>
    </row>
    <row r="191" spans="1:15" x14ac:dyDescent="0.3">
      <c r="A191">
        <v>1959</v>
      </c>
      <c r="B191">
        <v>2421</v>
      </c>
      <c r="C191">
        <v>1705</v>
      </c>
      <c r="D191">
        <v>2177</v>
      </c>
      <c r="E191">
        <v>2347</v>
      </c>
      <c r="F191">
        <v>4558</v>
      </c>
      <c r="G191">
        <v>5645</v>
      </c>
      <c r="H191">
        <v>6267</v>
      </c>
      <c r="I191">
        <v>5712</v>
      </c>
      <c r="J191">
        <v>5686</v>
      </c>
      <c r="K191">
        <v>6484</v>
      </c>
      <c r="L191">
        <v>8739</v>
      </c>
      <c r="M191">
        <v>7762</v>
      </c>
      <c r="N191">
        <v>1705</v>
      </c>
      <c r="O191">
        <v>3</v>
      </c>
    </row>
    <row r="192" spans="1:15" x14ac:dyDescent="0.3">
      <c r="A192">
        <v>1960</v>
      </c>
      <c r="B192">
        <v>5075</v>
      </c>
      <c r="C192">
        <v>4438</v>
      </c>
      <c r="D192">
        <v>3293</v>
      </c>
      <c r="E192">
        <v>3591</v>
      </c>
      <c r="F192">
        <v>5578</v>
      </c>
      <c r="G192">
        <v>7452</v>
      </c>
      <c r="H192">
        <v>7518</v>
      </c>
      <c r="I192">
        <v>6530</v>
      </c>
      <c r="J192">
        <v>7138</v>
      </c>
      <c r="K192">
        <v>7006</v>
      </c>
      <c r="L192">
        <v>8654</v>
      </c>
      <c r="M192">
        <v>9997</v>
      </c>
      <c r="N192">
        <v>3293</v>
      </c>
    </row>
    <row r="193" spans="1:15" x14ac:dyDescent="0.3">
      <c r="A193">
        <v>1961</v>
      </c>
      <c r="B193">
        <v>5050</v>
      </c>
      <c r="C193">
        <v>2937</v>
      </c>
      <c r="D193">
        <v>2747</v>
      </c>
      <c r="E193">
        <v>3753</v>
      </c>
      <c r="F193">
        <v>5213</v>
      </c>
      <c r="G193">
        <v>4963</v>
      </c>
      <c r="H193">
        <v>5524</v>
      </c>
      <c r="I193">
        <v>5510</v>
      </c>
      <c r="J193">
        <v>5834</v>
      </c>
      <c r="K193">
        <v>6484</v>
      </c>
      <c r="L193">
        <v>8807</v>
      </c>
      <c r="M193">
        <v>10166</v>
      </c>
      <c r="N193">
        <v>2747</v>
      </c>
    </row>
    <row r="194" spans="1:15" x14ac:dyDescent="0.3">
      <c r="A194">
        <v>1962</v>
      </c>
      <c r="B194">
        <v>4863</v>
      </c>
      <c r="C194">
        <v>3513</v>
      </c>
      <c r="D194">
        <v>2820</v>
      </c>
      <c r="E194">
        <v>4124</v>
      </c>
      <c r="F194">
        <v>5902</v>
      </c>
      <c r="G194">
        <v>8552</v>
      </c>
      <c r="H194">
        <v>9912</v>
      </c>
      <c r="I194">
        <v>9606</v>
      </c>
      <c r="J194">
        <v>8773</v>
      </c>
      <c r="K194">
        <v>8705</v>
      </c>
      <c r="L194">
        <v>9708</v>
      </c>
      <c r="M194">
        <v>8018</v>
      </c>
      <c r="N194">
        <v>2820</v>
      </c>
    </row>
    <row r="195" spans="1:15" x14ac:dyDescent="0.3">
      <c r="A195">
        <v>1963</v>
      </c>
      <c r="B195">
        <v>4111</v>
      </c>
      <c r="C195">
        <v>3955</v>
      </c>
      <c r="D195">
        <v>3864</v>
      </c>
      <c r="E195">
        <v>4863</v>
      </c>
      <c r="F195">
        <v>7402</v>
      </c>
      <c r="G195">
        <v>9147</v>
      </c>
      <c r="H195">
        <v>8773</v>
      </c>
      <c r="I195">
        <v>7698</v>
      </c>
      <c r="J195">
        <v>7056</v>
      </c>
      <c r="K195">
        <v>7551</v>
      </c>
      <c r="L195">
        <v>7986</v>
      </c>
      <c r="M195">
        <v>7402</v>
      </c>
      <c r="N195">
        <v>3864</v>
      </c>
    </row>
    <row r="196" spans="1:15" x14ac:dyDescent="0.3">
      <c r="A196">
        <v>1964</v>
      </c>
      <c r="B196">
        <v>3316</v>
      </c>
      <c r="C196">
        <v>2463</v>
      </c>
      <c r="D196">
        <v>2262</v>
      </c>
      <c r="E196">
        <v>2516</v>
      </c>
      <c r="F196">
        <v>5238</v>
      </c>
      <c r="G196">
        <v>5888</v>
      </c>
      <c r="H196">
        <v>8705</v>
      </c>
      <c r="I196">
        <v>9827</v>
      </c>
      <c r="J196">
        <v>9980</v>
      </c>
      <c r="K196">
        <v>9776</v>
      </c>
      <c r="L196">
        <v>10406</v>
      </c>
      <c r="M196">
        <v>7172</v>
      </c>
      <c r="N196">
        <v>2262</v>
      </c>
    </row>
    <row r="197" spans="1:15" x14ac:dyDescent="0.3">
      <c r="A197">
        <v>1965</v>
      </c>
      <c r="B197">
        <v>4174</v>
      </c>
      <c r="C197">
        <v>2841</v>
      </c>
      <c r="D197">
        <v>2589</v>
      </c>
      <c r="E197">
        <v>2368</v>
      </c>
      <c r="F197">
        <v>5028</v>
      </c>
      <c r="G197">
        <v>5645</v>
      </c>
      <c r="H197">
        <v>4210</v>
      </c>
      <c r="I197">
        <v>4462</v>
      </c>
      <c r="J197">
        <v>5138</v>
      </c>
      <c r="K197">
        <v>6639</v>
      </c>
      <c r="L197">
        <v>5290</v>
      </c>
      <c r="M197">
        <v>9344</v>
      </c>
      <c r="N197">
        <v>2368</v>
      </c>
    </row>
    <row r="198" spans="1:15" x14ac:dyDescent="0.3">
      <c r="A198">
        <v>1966</v>
      </c>
      <c r="B198">
        <v>5591</v>
      </c>
      <c r="C198">
        <v>3063</v>
      </c>
      <c r="D198">
        <v>2684</v>
      </c>
      <c r="E198">
        <v>2971</v>
      </c>
      <c r="F198">
        <v>4702</v>
      </c>
      <c r="G198">
        <v>6639</v>
      </c>
      <c r="H198">
        <v>8258</v>
      </c>
      <c r="I198">
        <v>8130</v>
      </c>
      <c r="J198">
        <v>7954</v>
      </c>
      <c r="K198">
        <v>7858</v>
      </c>
      <c r="L198">
        <v>9198</v>
      </c>
      <c r="M198">
        <v>10182</v>
      </c>
      <c r="N198">
        <v>2684</v>
      </c>
    </row>
    <row r="199" spans="1:15" x14ac:dyDescent="0.3">
      <c r="A199">
        <v>1967</v>
      </c>
      <c r="B199">
        <v>7452</v>
      </c>
      <c r="C199">
        <v>5075</v>
      </c>
      <c r="D199">
        <v>3929</v>
      </c>
      <c r="E199">
        <v>3968</v>
      </c>
      <c r="F199">
        <v>5672</v>
      </c>
      <c r="G199">
        <v>7287</v>
      </c>
      <c r="H199">
        <v>8274</v>
      </c>
      <c r="I199">
        <v>6639</v>
      </c>
      <c r="J199">
        <v>6608</v>
      </c>
      <c r="K199">
        <v>6608</v>
      </c>
      <c r="L199">
        <v>7954</v>
      </c>
      <c r="M199">
        <v>6763</v>
      </c>
      <c r="N199">
        <v>3929</v>
      </c>
    </row>
    <row r="200" spans="1:15" x14ac:dyDescent="0.3">
      <c r="A200">
        <v>1968</v>
      </c>
      <c r="B200">
        <v>3539</v>
      </c>
      <c r="C200">
        <v>3121</v>
      </c>
      <c r="D200">
        <v>2994</v>
      </c>
      <c r="E200">
        <v>3500</v>
      </c>
      <c r="F200">
        <v>5888</v>
      </c>
      <c r="G200">
        <v>6825</v>
      </c>
      <c r="H200">
        <v>8418</v>
      </c>
      <c r="I200">
        <v>7617</v>
      </c>
      <c r="J200">
        <v>7810</v>
      </c>
      <c r="K200">
        <v>8892</v>
      </c>
      <c r="L200">
        <v>9946</v>
      </c>
      <c r="M200">
        <v>8875</v>
      </c>
      <c r="N200">
        <v>2994</v>
      </c>
    </row>
    <row r="201" spans="1:15" x14ac:dyDescent="0.3">
      <c r="A201">
        <v>1969</v>
      </c>
      <c r="B201">
        <v>5250</v>
      </c>
      <c r="C201">
        <v>3477</v>
      </c>
      <c r="D201">
        <v>3029</v>
      </c>
      <c r="E201">
        <v>3305</v>
      </c>
      <c r="F201">
        <v>7122</v>
      </c>
      <c r="G201">
        <v>8130</v>
      </c>
      <c r="H201">
        <v>5915</v>
      </c>
      <c r="I201">
        <v>5618</v>
      </c>
      <c r="J201">
        <v>6748</v>
      </c>
      <c r="K201">
        <v>7938</v>
      </c>
      <c r="L201">
        <v>10294</v>
      </c>
      <c r="M201">
        <v>11055</v>
      </c>
      <c r="N201">
        <v>3029</v>
      </c>
    </row>
    <row r="202" spans="1:15" x14ac:dyDescent="0.3">
      <c r="A202">
        <v>1970</v>
      </c>
      <c r="B202">
        <v>7353</v>
      </c>
      <c r="C202">
        <v>4913</v>
      </c>
      <c r="D202">
        <v>3786</v>
      </c>
      <c r="E202">
        <v>3981</v>
      </c>
      <c r="F202">
        <v>5956</v>
      </c>
      <c r="G202">
        <v>8386</v>
      </c>
      <c r="H202">
        <v>8450</v>
      </c>
      <c r="I202">
        <v>8705</v>
      </c>
      <c r="J202">
        <v>9504</v>
      </c>
      <c r="K202">
        <v>10518</v>
      </c>
      <c r="N202">
        <v>3786</v>
      </c>
      <c r="O202">
        <v>3</v>
      </c>
    </row>
    <row r="203" spans="1:15" x14ac:dyDescent="0.3">
      <c r="A203">
        <v>1971</v>
      </c>
      <c r="B203">
        <v>10142</v>
      </c>
      <c r="C203">
        <v>8418</v>
      </c>
      <c r="D203">
        <v>7810</v>
      </c>
      <c r="E203">
        <v>8493</v>
      </c>
      <c r="F203">
        <v>9402</v>
      </c>
      <c r="G203">
        <v>10662</v>
      </c>
      <c r="H203">
        <v>10099</v>
      </c>
      <c r="I203">
        <v>9555</v>
      </c>
      <c r="J203">
        <v>9997</v>
      </c>
      <c r="K203">
        <v>11025</v>
      </c>
      <c r="L203">
        <v>11535</v>
      </c>
      <c r="M203">
        <v>8476</v>
      </c>
      <c r="N203">
        <v>7810</v>
      </c>
    </row>
    <row r="204" spans="1:15" x14ac:dyDescent="0.3">
      <c r="A204">
        <v>1972</v>
      </c>
      <c r="B204">
        <v>6576</v>
      </c>
      <c r="C204">
        <v>4850</v>
      </c>
      <c r="D204">
        <v>3665</v>
      </c>
      <c r="E204">
        <v>4730</v>
      </c>
      <c r="F204">
        <v>6735</v>
      </c>
      <c r="G204">
        <v>9110</v>
      </c>
      <c r="H204">
        <v>7825</v>
      </c>
      <c r="I204">
        <v>5981</v>
      </c>
      <c r="J204">
        <v>6356</v>
      </c>
      <c r="K204">
        <v>6590</v>
      </c>
      <c r="L204">
        <v>7418</v>
      </c>
      <c r="M204">
        <v>6445</v>
      </c>
      <c r="N204">
        <v>3665</v>
      </c>
    </row>
    <row r="205" spans="1:15" x14ac:dyDescent="0.3">
      <c r="A205">
        <v>1973</v>
      </c>
      <c r="B205">
        <v>3010</v>
      </c>
      <c r="C205">
        <v>1970</v>
      </c>
      <c r="D205">
        <v>1800</v>
      </c>
      <c r="E205">
        <v>2330</v>
      </c>
      <c r="F205">
        <v>3850</v>
      </c>
      <c r="G205">
        <v>4678</v>
      </c>
      <c r="H205">
        <v>6180</v>
      </c>
      <c r="I205">
        <v>6735</v>
      </c>
      <c r="J205">
        <v>8175</v>
      </c>
      <c r="K205">
        <v>10119</v>
      </c>
      <c r="L205">
        <v>12300</v>
      </c>
      <c r="M205">
        <v>12350</v>
      </c>
      <c r="N205">
        <v>1800</v>
      </c>
    </row>
    <row r="206" spans="1:15" x14ac:dyDescent="0.3">
      <c r="A206">
        <v>1974</v>
      </c>
      <c r="B206">
        <v>8460</v>
      </c>
      <c r="C206">
        <v>6890</v>
      </c>
      <c r="D206">
        <v>6195</v>
      </c>
      <c r="E206">
        <v>5994</v>
      </c>
      <c r="F206">
        <v>6430</v>
      </c>
      <c r="G206">
        <v>7732</v>
      </c>
      <c r="H206">
        <v>6874</v>
      </c>
      <c r="I206">
        <v>6293</v>
      </c>
      <c r="J206">
        <v>6398</v>
      </c>
      <c r="K206">
        <v>8769</v>
      </c>
      <c r="L206">
        <v>12819</v>
      </c>
      <c r="M206">
        <v>11200</v>
      </c>
      <c r="N206">
        <v>5994</v>
      </c>
    </row>
    <row r="207" spans="1:15" x14ac:dyDescent="0.3">
      <c r="A207">
        <v>1975</v>
      </c>
      <c r="B207">
        <v>4389</v>
      </c>
      <c r="C207">
        <v>3540</v>
      </c>
      <c r="D207">
        <v>3927</v>
      </c>
      <c r="E207">
        <v>3654</v>
      </c>
      <c r="F207">
        <v>4350</v>
      </c>
      <c r="G207">
        <v>7293</v>
      </c>
      <c r="H207">
        <v>7608</v>
      </c>
      <c r="I207">
        <v>8900</v>
      </c>
      <c r="J207">
        <v>9747</v>
      </c>
      <c r="K207">
        <v>11625</v>
      </c>
      <c r="L207">
        <v>14000</v>
      </c>
      <c r="M207">
        <v>13425</v>
      </c>
      <c r="N207">
        <v>3540</v>
      </c>
    </row>
    <row r="208" spans="1:15" x14ac:dyDescent="0.3">
      <c r="A208">
        <v>1976</v>
      </c>
      <c r="B208">
        <v>7770</v>
      </c>
      <c r="C208">
        <v>5180</v>
      </c>
      <c r="D208">
        <v>5195</v>
      </c>
      <c r="E208">
        <v>5480</v>
      </c>
      <c r="F208">
        <v>7080</v>
      </c>
      <c r="G208">
        <v>8180</v>
      </c>
      <c r="H208">
        <v>6810</v>
      </c>
      <c r="I208">
        <v>5030</v>
      </c>
      <c r="J208">
        <v>3875</v>
      </c>
      <c r="K208">
        <v>5018</v>
      </c>
      <c r="L208">
        <v>8440</v>
      </c>
      <c r="M208">
        <v>5150</v>
      </c>
      <c r="N208">
        <v>3875</v>
      </c>
    </row>
    <row r="209" spans="1:14" x14ac:dyDescent="0.3">
      <c r="A209">
        <v>1977</v>
      </c>
      <c r="B209">
        <v>2326</v>
      </c>
      <c r="C209">
        <v>1900</v>
      </c>
      <c r="D209">
        <v>1520</v>
      </c>
      <c r="E209">
        <v>2201</v>
      </c>
      <c r="F209">
        <v>3538</v>
      </c>
      <c r="G209">
        <v>5940</v>
      </c>
      <c r="H209">
        <v>5180</v>
      </c>
      <c r="I209">
        <v>5510</v>
      </c>
      <c r="J209">
        <v>5210</v>
      </c>
      <c r="K209">
        <v>6675</v>
      </c>
      <c r="L209">
        <v>9560</v>
      </c>
      <c r="M209">
        <v>7350</v>
      </c>
      <c r="N209">
        <v>1520</v>
      </c>
    </row>
    <row r="210" spans="1:14" x14ac:dyDescent="0.3">
      <c r="A210">
        <v>1978</v>
      </c>
      <c r="B210">
        <v>3160</v>
      </c>
      <c r="C210">
        <v>2134</v>
      </c>
      <c r="D210">
        <v>2145</v>
      </c>
      <c r="E210">
        <v>3730</v>
      </c>
      <c r="F210">
        <v>7680</v>
      </c>
      <c r="G210">
        <v>8588</v>
      </c>
      <c r="H210">
        <v>8195</v>
      </c>
      <c r="I210">
        <v>5940</v>
      </c>
      <c r="J210">
        <v>6018</v>
      </c>
      <c r="K210">
        <v>7215</v>
      </c>
      <c r="L210">
        <v>8968</v>
      </c>
      <c r="M210">
        <v>8255</v>
      </c>
      <c r="N210">
        <v>2134</v>
      </c>
    </row>
    <row r="211" spans="1:14" x14ac:dyDescent="0.3">
      <c r="A211">
        <v>1979</v>
      </c>
      <c r="B211">
        <v>3420</v>
      </c>
      <c r="C211">
        <v>2438</v>
      </c>
      <c r="D211">
        <v>2495</v>
      </c>
      <c r="E211">
        <v>3655</v>
      </c>
      <c r="F211">
        <v>5940</v>
      </c>
      <c r="G211">
        <v>7770</v>
      </c>
      <c r="H211">
        <v>7960</v>
      </c>
      <c r="I211">
        <v>6170</v>
      </c>
      <c r="J211">
        <v>7215</v>
      </c>
      <c r="K211">
        <v>8905</v>
      </c>
      <c r="L211">
        <v>9830</v>
      </c>
      <c r="M211">
        <v>10310</v>
      </c>
      <c r="N211">
        <v>2438</v>
      </c>
    </row>
    <row r="212" spans="1:14" x14ac:dyDescent="0.3">
      <c r="A212">
        <v>1980</v>
      </c>
      <c r="B212">
        <v>5105</v>
      </c>
      <c r="C212">
        <v>3888</v>
      </c>
      <c r="D212">
        <v>2772</v>
      </c>
      <c r="E212">
        <v>2851</v>
      </c>
      <c r="F212">
        <v>4563</v>
      </c>
      <c r="G212">
        <v>5895</v>
      </c>
      <c r="H212">
        <v>5330</v>
      </c>
      <c r="I212">
        <v>5850</v>
      </c>
      <c r="J212">
        <v>5675</v>
      </c>
      <c r="K212">
        <v>6765</v>
      </c>
      <c r="L212">
        <v>8765</v>
      </c>
      <c r="M212">
        <v>7840</v>
      </c>
      <c r="N212">
        <v>2772</v>
      </c>
    </row>
    <row r="213" spans="1:14" x14ac:dyDescent="0.3">
      <c r="A213">
        <v>1981</v>
      </c>
      <c r="B213">
        <v>4106</v>
      </c>
      <c r="C213">
        <v>3294</v>
      </c>
      <c r="D213">
        <v>3989</v>
      </c>
      <c r="E213">
        <v>3462</v>
      </c>
      <c r="F213">
        <v>7736</v>
      </c>
      <c r="G213">
        <v>11634</v>
      </c>
      <c r="H213">
        <v>12674</v>
      </c>
      <c r="I213">
        <v>9940</v>
      </c>
      <c r="J213">
        <v>10060</v>
      </c>
      <c r="K213">
        <v>9620</v>
      </c>
      <c r="L213">
        <v>10540</v>
      </c>
      <c r="M213">
        <v>10580</v>
      </c>
      <c r="N213">
        <v>3294</v>
      </c>
    </row>
    <row r="214" spans="1:14" x14ac:dyDescent="0.3">
      <c r="A214">
        <v>1982</v>
      </c>
      <c r="B214">
        <v>6567</v>
      </c>
      <c r="C214">
        <v>5555</v>
      </c>
      <c r="D214">
        <v>4725</v>
      </c>
      <c r="E214">
        <v>5020</v>
      </c>
      <c r="F214">
        <v>7810</v>
      </c>
      <c r="G214">
        <v>10385</v>
      </c>
      <c r="H214">
        <v>7931</v>
      </c>
      <c r="I214">
        <v>5555</v>
      </c>
      <c r="J214">
        <v>5465</v>
      </c>
      <c r="K214">
        <v>6705</v>
      </c>
      <c r="L214">
        <v>9020</v>
      </c>
      <c r="M214">
        <v>6324</v>
      </c>
      <c r="N214">
        <v>4725</v>
      </c>
    </row>
    <row r="215" spans="1:14" x14ac:dyDescent="0.3">
      <c r="A215">
        <v>1983</v>
      </c>
      <c r="B215">
        <v>2641</v>
      </c>
      <c r="C215">
        <v>2205</v>
      </c>
      <c r="D215">
        <v>2360</v>
      </c>
      <c r="E215">
        <v>2875</v>
      </c>
      <c r="F215">
        <v>6608</v>
      </c>
      <c r="G215">
        <v>7599</v>
      </c>
      <c r="H215">
        <v>5570</v>
      </c>
      <c r="I215">
        <v>5458</v>
      </c>
      <c r="J215">
        <v>5870</v>
      </c>
      <c r="K215">
        <v>6900</v>
      </c>
      <c r="L215">
        <v>7534</v>
      </c>
      <c r="M215">
        <v>7290</v>
      </c>
      <c r="N215">
        <v>2205</v>
      </c>
    </row>
    <row r="216" spans="1:14" x14ac:dyDescent="0.3">
      <c r="A216">
        <v>1984</v>
      </c>
      <c r="B216">
        <v>5748</v>
      </c>
      <c r="C216">
        <v>5315</v>
      </c>
      <c r="D216">
        <v>3803</v>
      </c>
      <c r="E216">
        <v>4050</v>
      </c>
      <c r="F216">
        <v>5359</v>
      </c>
      <c r="G216">
        <v>8050</v>
      </c>
      <c r="H216">
        <v>9854</v>
      </c>
      <c r="I216">
        <v>10129</v>
      </c>
      <c r="J216">
        <v>9882</v>
      </c>
      <c r="K216">
        <v>10605</v>
      </c>
      <c r="L216">
        <v>11996</v>
      </c>
      <c r="M216">
        <v>10814</v>
      </c>
      <c r="N216">
        <v>3803</v>
      </c>
    </row>
    <row r="217" spans="1:14" x14ac:dyDescent="0.3">
      <c r="A217">
        <v>1985</v>
      </c>
      <c r="B217">
        <v>5502</v>
      </c>
      <c r="C217">
        <v>2926</v>
      </c>
      <c r="D217">
        <v>2613</v>
      </c>
      <c r="E217">
        <v>2681</v>
      </c>
      <c r="F217">
        <v>4781</v>
      </c>
      <c r="G217">
        <v>5198</v>
      </c>
      <c r="H217">
        <v>4226</v>
      </c>
      <c r="I217">
        <v>5291</v>
      </c>
      <c r="J217">
        <v>7299</v>
      </c>
      <c r="K217">
        <v>8460</v>
      </c>
      <c r="L217">
        <v>9599</v>
      </c>
      <c r="M217">
        <v>7971</v>
      </c>
      <c r="N217">
        <v>2613</v>
      </c>
    </row>
    <row r="218" spans="1:14" x14ac:dyDescent="0.3">
      <c r="A218">
        <v>1986</v>
      </c>
      <c r="B218">
        <v>5435</v>
      </c>
      <c r="C218">
        <v>4474</v>
      </c>
      <c r="D218">
        <v>5116</v>
      </c>
      <c r="E218">
        <v>5123</v>
      </c>
      <c r="F218">
        <v>7994</v>
      </c>
      <c r="G218">
        <v>8771</v>
      </c>
      <c r="H218">
        <v>7473</v>
      </c>
      <c r="I218">
        <v>5668</v>
      </c>
      <c r="J218">
        <v>5675</v>
      </c>
      <c r="K218">
        <v>6590</v>
      </c>
      <c r="L218">
        <v>10084</v>
      </c>
      <c r="M218">
        <v>7418</v>
      </c>
      <c r="N218">
        <v>4474</v>
      </c>
    </row>
    <row r="219" spans="1:14" x14ac:dyDescent="0.3">
      <c r="A219">
        <v>1987</v>
      </c>
      <c r="B219">
        <v>4284</v>
      </c>
      <c r="C219">
        <v>4142</v>
      </c>
      <c r="D219">
        <v>4055</v>
      </c>
      <c r="E219">
        <v>4084</v>
      </c>
      <c r="F219">
        <v>5068</v>
      </c>
      <c r="G219">
        <v>6213</v>
      </c>
      <c r="H219">
        <v>5696</v>
      </c>
      <c r="I219">
        <v>6414</v>
      </c>
      <c r="J219">
        <v>7370</v>
      </c>
      <c r="K219">
        <v>7940</v>
      </c>
      <c r="L219">
        <v>10097</v>
      </c>
      <c r="M219">
        <v>9194</v>
      </c>
      <c r="N219">
        <v>4055</v>
      </c>
    </row>
    <row r="220" spans="1:14" x14ac:dyDescent="0.3">
      <c r="A220">
        <v>1988</v>
      </c>
      <c r="B220">
        <v>4748</v>
      </c>
      <c r="C220">
        <v>4130</v>
      </c>
      <c r="D220">
        <v>3993</v>
      </c>
      <c r="E220">
        <v>3993</v>
      </c>
      <c r="F220">
        <v>5152</v>
      </c>
      <c r="G220">
        <v>5941</v>
      </c>
      <c r="H220">
        <v>7606</v>
      </c>
      <c r="I220">
        <v>8988</v>
      </c>
      <c r="J220">
        <v>10570</v>
      </c>
      <c r="K220">
        <v>12575</v>
      </c>
      <c r="L220">
        <v>13013</v>
      </c>
      <c r="M220">
        <v>12825</v>
      </c>
      <c r="N220">
        <v>3993</v>
      </c>
    </row>
    <row r="221" spans="1:14" x14ac:dyDescent="0.3">
      <c r="A221">
        <v>1989</v>
      </c>
      <c r="B221">
        <v>9088</v>
      </c>
      <c r="C221">
        <v>5991</v>
      </c>
      <c r="D221">
        <v>5659</v>
      </c>
      <c r="E221">
        <v>5263</v>
      </c>
      <c r="F221">
        <v>5380</v>
      </c>
      <c r="G221">
        <v>7444</v>
      </c>
      <c r="H221">
        <v>6681</v>
      </c>
      <c r="I221">
        <v>6612</v>
      </c>
      <c r="J221">
        <v>6876</v>
      </c>
      <c r="K221">
        <v>9653</v>
      </c>
      <c r="L221">
        <v>11375</v>
      </c>
      <c r="M221">
        <v>8368</v>
      </c>
      <c r="N221">
        <v>5263</v>
      </c>
    </row>
    <row r="222" spans="1:14" x14ac:dyDescent="0.3">
      <c r="A222">
        <v>1990</v>
      </c>
      <c r="B222">
        <v>5274</v>
      </c>
      <c r="C222">
        <v>4825</v>
      </c>
      <c r="D222">
        <v>4449</v>
      </c>
      <c r="E222">
        <v>4932</v>
      </c>
      <c r="F222">
        <v>6298</v>
      </c>
      <c r="G222">
        <v>7435</v>
      </c>
      <c r="H222">
        <v>6899</v>
      </c>
      <c r="I222">
        <v>5816</v>
      </c>
      <c r="J222">
        <v>6033</v>
      </c>
      <c r="K222">
        <v>6878</v>
      </c>
      <c r="L222">
        <v>9198</v>
      </c>
      <c r="M222">
        <v>8981</v>
      </c>
      <c r="N222">
        <v>4449</v>
      </c>
    </row>
    <row r="223" spans="1:14" x14ac:dyDescent="0.3">
      <c r="A223">
        <v>1991</v>
      </c>
      <c r="B223">
        <v>4545</v>
      </c>
      <c r="C223">
        <v>3521</v>
      </c>
      <c r="D223">
        <v>3408</v>
      </c>
      <c r="E223">
        <v>4112</v>
      </c>
      <c r="F223">
        <v>5220</v>
      </c>
      <c r="G223">
        <v>6733</v>
      </c>
      <c r="H223">
        <v>5869</v>
      </c>
      <c r="I223">
        <v>5532</v>
      </c>
      <c r="J223">
        <v>4664</v>
      </c>
      <c r="K223">
        <v>7010</v>
      </c>
      <c r="L223">
        <v>7590</v>
      </c>
      <c r="M223">
        <v>7002</v>
      </c>
      <c r="N223">
        <v>3408</v>
      </c>
    </row>
    <row r="224" spans="1:14" x14ac:dyDescent="0.3">
      <c r="A224">
        <v>1992</v>
      </c>
      <c r="B224">
        <v>3128</v>
      </c>
      <c r="C224">
        <v>2902</v>
      </c>
      <c r="D224">
        <v>2530</v>
      </c>
      <c r="E224">
        <v>2534</v>
      </c>
      <c r="F224">
        <v>3745</v>
      </c>
      <c r="G224">
        <v>4938</v>
      </c>
      <c r="H224">
        <v>4432</v>
      </c>
      <c r="I224">
        <v>5206</v>
      </c>
      <c r="J224">
        <v>5652</v>
      </c>
      <c r="K224">
        <v>6738</v>
      </c>
      <c r="L224">
        <v>6738</v>
      </c>
      <c r="M224">
        <v>5886</v>
      </c>
      <c r="N224">
        <v>2530</v>
      </c>
    </row>
    <row r="225" spans="1:15" x14ac:dyDescent="0.3">
      <c r="A225">
        <v>1993</v>
      </c>
      <c r="B225">
        <v>4240</v>
      </c>
      <c r="C225">
        <v>2999</v>
      </c>
      <c r="D225">
        <v>2966</v>
      </c>
      <c r="E225">
        <v>4714</v>
      </c>
      <c r="F225">
        <v>6301</v>
      </c>
      <c r="G225">
        <v>8222</v>
      </c>
      <c r="H225">
        <v>6979</v>
      </c>
      <c r="I225">
        <v>5674</v>
      </c>
      <c r="J225">
        <v>6338</v>
      </c>
      <c r="K225">
        <v>8136</v>
      </c>
      <c r="L225">
        <v>8497</v>
      </c>
      <c r="M225">
        <v>9539</v>
      </c>
      <c r="N225">
        <v>2966</v>
      </c>
    </row>
    <row r="226" spans="1:15" x14ac:dyDescent="0.3">
      <c r="A226">
        <v>1994</v>
      </c>
      <c r="B226">
        <v>6126</v>
      </c>
      <c r="C226">
        <v>4422</v>
      </c>
      <c r="D226">
        <v>4539</v>
      </c>
      <c r="E226">
        <v>5452</v>
      </c>
      <c r="F226">
        <v>7214</v>
      </c>
      <c r="G226">
        <v>8724</v>
      </c>
      <c r="H226">
        <v>7113</v>
      </c>
      <c r="I226">
        <v>6584</v>
      </c>
      <c r="J226">
        <v>6174</v>
      </c>
      <c r="K226">
        <v>6908</v>
      </c>
      <c r="L226">
        <v>8972</v>
      </c>
      <c r="M226">
        <v>8939</v>
      </c>
      <c r="N226">
        <v>4422</v>
      </c>
    </row>
    <row r="227" spans="1:15" x14ac:dyDescent="0.3">
      <c r="A227">
        <v>1995</v>
      </c>
      <c r="B227">
        <v>3372</v>
      </c>
      <c r="C227">
        <v>2092</v>
      </c>
      <c r="D227">
        <v>2219</v>
      </c>
      <c r="E227">
        <v>3182</v>
      </c>
      <c r="F227">
        <v>4977</v>
      </c>
      <c r="G227">
        <v>6435</v>
      </c>
      <c r="H227">
        <v>7604</v>
      </c>
      <c r="I227">
        <v>8052</v>
      </c>
      <c r="J227">
        <v>9232</v>
      </c>
      <c r="K227">
        <v>8934</v>
      </c>
      <c r="L227">
        <v>9916</v>
      </c>
      <c r="M227">
        <v>8540</v>
      </c>
      <c r="N227">
        <v>2092</v>
      </c>
      <c r="O227">
        <v>3</v>
      </c>
    </row>
    <row r="228" spans="1:15" x14ac:dyDescent="0.3">
      <c r="A228">
        <v>1996</v>
      </c>
      <c r="B228">
        <v>5374</v>
      </c>
      <c r="C228">
        <v>4667</v>
      </c>
      <c r="D228">
        <v>4620</v>
      </c>
      <c r="E228">
        <v>6312</v>
      </c>
      <c r="F228">
        <v>6278</v>
      </c>
      <c r="G228">
        <v>8387</v>
      </c>
      <c r="H228">
        <v>10041</v>
      </c>
      <c r="I228">
        <v>10529</v>
      </c>
      <c r="J228">
        <v>9797</v>
      </c>
      <c r="K228">
        <v>9692</v>
      </c>
      <c r="L228">
        <v>10266</v>
      </c>
      <c r="M228">
        <v>7561</v>
      </c>
      <c r="N228">
        <v>4620</v>
      </c>
    </row>
    <row r="229" spans="1:15" x14ac:dyDescent="0.3">
      <c r="A229">
        <v>1997</v>
      </c>
      <c r="B229">
        <v>5109</v>
      </c>
      <c r="C229">
        <v>4680</v>
      </c>
      <c r="D229">
        <v>3214</v>
      </c>
      <c r="E229">
        <v>3128</v>
      </c>
      <c r="F229">
        <v>4364</v>
      </c>
      <c r="G229">
        <v>4667</v>
      </c>
      <c r="H229">
        <v>3946</v>
      </c>
      <c r="I229">
        <v>3496</v>
      </c>
      <c r="J229">
        <v>3214</v>
      </c>
      <c r="K229">
        <v>4588</v>
      </c>
      <c r="L229">
        <v>4594</v>
      </c>
      <c r="M229">
        <v>2990</v>
      </c>
      <c r="N229">
        <v>2990</v>
      </c>
    </row>
    <row r="230" spans="1:15" x14ac:dyDescent="0.3">
      <c r="A230">
        <v>1998</v>
      </c>
      <c r="B230">
        <v>2433</v>
      </c>
      <c r="C230">
        <v>2380</v>
      </c>
      <c r="D230">
        <v>2407</v>
      </c>
      <c r="E230">
        <v>2916</v>
      </c>
      <c r="F230">
        <v>5314</v>
      </c>
      <c r="G230">
        <v>7369</v>
      </c>
      <c r="H230">
        <v>8264</v>
      </c>
      <c r="I230">
        <v>7936</v>
      </c>
      <c r="J230">
        <v>8182</v>
      </c>
      <c r="K230">
        <v>9086</v>
      </c>
      <c r="L230">
        <v>9556</v>
      </c>
      <c r="M230">
        <v>10517</v>
      </c>
      <c r="N230">
        <v>2380</v>
      </c>
    </row>
    <row r="231" spans="1:15" x14ac:dyDescent="0.3">
      <c r="A231">
        <v>1999</v>
      </c>
      <c r="B231">
        <v>8171</v>
      </c>
      <c r="C231">
        <v>7012</v>
      </c>
      <c r="D231">
        <v>7531</v>
      </c>
      <c r="E231">
        <v>8161</v>
      </c>
      <c r="F231">
        <v>8790</v>
      </c>
      <c r="G231">
        <v>9995</v>
      </c>
      <c r="H231">
        <v>10637</v>
      </c>
      <c r="I231">
        <v>9364</v>
      </c>
      <c r="J231">
        <v>9285</v>
      </c>
      <c r="K231">
        <v>10338</v>
      </c>
      <c r="L231">
        <v>12672</v>
      </c>
      <c r="M231">
        <v>12511</v>
      </c>
      <c r="N231">
        <v>7012</v>
      </c>
    </row>
    <row r="232" spans="1:15" x14ac:dyDescent="0.3">
      <c r="A232">
        <v>2000</v>
      </c>
      <c r="B232">
        <v>8028</v>
      </c>
      <c r="C232">
        <v>5038</v>
      </c>
      <c r="D232">
        <v>5456</v>
      </c>
      <c r="E232">
        <v>5404</v>
      </c>
      <c r="F232">
        <v>6176</v>
      </c>
      <c r="G232">
        <v>8028</v>
      </c>
      <c r="H232">
        <v>8987</v>
      </c>
      <c r="I232">
        <v>7570</v>
      </c>
      <c r="J232">
        <v>7619</v>
      </c>
      <c r="K232">
        <v>9533</v>
      </c>
      <c r="L232">
        <v>10457</v>
      </c>
      <c r="M232">
        <v>6920</v>
      </c>
      <c r="N232">
        <v>5038</v>
      </c>
    </row>
    <row r="233" spans="1:15" x14ac:dyDescent="0.3">
      <c r="A233">
        <v>2001</v>
      </c>
      <c r="B233">
        <v>4207</v>
      </c>
      <c r="C233">
        <v>2597</v>
      </c>
      <c r="D233">
        <v>2670</v>
      </c>
      <c r="E233">
        <v>3467</v>
      </c>
      <c r="F233">
        <v>3402</v>
      </c>
      <c r="G233">
        <v>5277</v>
      </c>
      <c r="H233">
        <v>4667</v>
      </c>
      <c r="I233">
        <v>3636</v>
      </c>
      <c r="J233">
        <v>3713</v>
      </c>
      <c r="K233">
        <v>5673</v>
      </c>
      <c r="L233">
        <v>7132</v>
      </c>
      <c r="M233">
        <v>8451</v>
      </c>
      <c r="N233">
        <v>2597</v>
      </c>
    </row>
    <row r="234" spans="1:15" x14ac:dyDescent="0.3">
      <c r="A234">
        <v>2002</v>
      </c>
      <c r="B234">
        <v>4310</v>
      </c>
      <c r="C234">
        <v>2787</v>
      </c>
      <c r="D234">
        <v>2495</v>
      </c>
      <c r="E234">
        <v>3788</v>
      </c>
      <c r="F234">
        <v>5404</v>
      </c>
      <c r="G234">
        <v>6320</v>
      </c>
      <c r="H234">
        <v>5556</v>
      </c>
      <c r="I234">
        <v>3797</v>
      </c>
      <c r="J234">
        <v>4249</v>
      </c>
      <c r="K234">
        <v>4768</v>
      </c>
      <c r="L234">
        <v>6235</v>
      </c>
      <c r="M234">
        <v>5344</v>
      </c>
      <c r="N234">
        <v>2495</v>
      </c>
    </row>
    <row r="235" spans="1:15" x14ac:dyDescent="0.3">
      <c r="A235">
        <v>2003</v>
      </c>
      <c r="B235">
        <v>2599</v>
      </c>
      <c r="C235">
        <v>2409</v>
      </c>
      <c r="D235">
        <v>2359</v>
      </c>
      <c r="E235">
        <v>2826</v>
      </c>
      <c r="F235">
        <v>5642</v>
      </c>
      <c r="G235">
        <v>6303</v>
      </c>
      <c r="H235">
        <v>7068</v>
      </c>
      <c r="I235">
        <v>6465</v>
      </c>
      <c r="J235">
        <v>5790</v>
      </c>
      <c r="K235">
        <v>6704</v>
      </c>
      <c r="L235">
        <v>9097</v>
      </c>
      <c r="M235">
        <v>10847</v>
      </c>
      <c r="N235">
        <v>2359</v>
      </c>
      <c r="O235">
        <v>3</v>
      </c>
    </row>
    <row r="236" spans="1:15" x14ac:dyDescent="0.3">
      <c r="A236">
        <v>2004</v>
      </c>
      <c r="B236">
        <v>5595</v>
      </c>
      <c r="C236">
        <v>2970</v>
      </c>
      <c r="D236">
        <v>2541</v>
      </c>
      <c r="E236">
        <v>2824</v>
      </c>
      <c r="F236">
        <v>5166</v>
      </c>
      <c r="G236">
        <v>6748</v>
      </c>
      <c r="H236">
        <v>5904</v>
      </c>
      <c r="I236">
        <v>5255</v>
      </c>
      <c r="J236">
        <v>5366</v>
      </c>
      <c r="K236">
        <v>7245</v>
      </c>
      <c r="L236">
        <v>9140</v>
      </c>
      <c r="M236">
        <v>9995</v>
      </c>
      <c r="N236">
        <v>2541</v>
      </c>
    </row>
    <row r="237" spans="1:15" x14ac:dyDescent="0.3">
      <c r="A237">
        <v>2005</v>
      </c>
      <c r="B237">
        <v>5188</v>
      </c>
      <c r="C237">
        <v>4037</v>
      </c>
      <c r="D237">
        <v>3430</v>
      </c>
      <c r="E237">
        <v>3440</v>
      </c>
      <c r="F237">
        <v>5411</v>
      </c>
      <c r="G237">
        <v>7907</v>
      </c>
      <c r="H237">
        <v>7503</v>
      </c>
      <c r="I237">
        <v>6354</v>
      </c>
      <c r="J237">
        <v>6002</v>
      </c>
      <c r="K237">
        <v>6465</v>
      </c>
      <c r="L237">
        <v>8726</v>
      </c>
      <c r="M237">
        <v>11373</v>
      </c>
      <c r="N237">
        <v>3430</v>
      </c>
    </row>
    <row r="238" spans="1:15" x14ac:dyDescent="0.3">
      <c r="A238">
        <v>2006</v>
      </c>
      <c r="B238">
        <v>6829</v>
      </c>
      <c r="C238">
        <v>3968</v>
      </c>
      <c r="D238">
        <v>3546</v>
      </c>
      <c r="E238">
        <v>5564</v>
      </c>
      <c r="F238">
        <v>7398</v>
      </c>
      <c r="G238">
        <v>9995</v>
      </c>
      <c r="H238">
        <v>8130</v>
      </c>
      <c r="I238">
        <v>6380</v>
      </c>
      <c r="J238">
        <v>6686</v>
      </c>
      <c r="K238">
        <v>6695</v>
      </c>
      <c r="L238">
        <v>8059</v>
      </c>
      <c r="M238">
        <v>10218</v>
      </c>
      <c r="N238">
        <v>3546</v>
      </c>
    </row>
    <row r="239" spans="1:15" x14ac:dyDescent="0.3">
      <c r="A239">
        <v>2007</v>
      </c>
      <c r="B239">
        <v>5411</v>
      </c>
      <c r="C239">
        <v>2777</v>
      </c>
      <c r="D239">
        <v>2485</v>
      </c>
      <c r="E239">
        <v>4231</v>
      </c>
      <c r="F239">
        <v>7031</v>
      </c>
      <c r="G239">
        <v>9983</v>
      </c>
      <c r="H239">
        <v>9680</v>
      </c>
      <c r="I239">
        <v>9020</v>
      </c>
      <c r="J239">
        <v>9866</v>
      </c>
      <c r="K239">
        <v>10146</v>
      </c>
      <c r="L239">
        <v>11297</v>
      </c>
      <c r="M239">
        <v>10773</v>
      </c>
      <c r="N239">
        <v>2485</v>
      </c>
    </row>
    <row r="240" spans="1:15" x14ac:dyDescent="0.3">
      <c r="A240">
        <v>2008</v>
      </c>
      <c r="B240">
        <v>6820</v>
      </c>
      <c r="C240">
        <v>4734</v>
      </c>
      <c r="D240">
        <v>5195</v>
      </c>
      <c r="E240">
        <v>5284</v>
      </c>
      <c r="F240">
        <v>6562</v>
      </c>
      <c r="G240">
        <v>8801</v>
      </c>
      <c r="H240">
        <v>10946</v>
      </c>
      <c r="I240">
        <v>11758</v>
      </c>
      <c r="J240">
        <v>11758</v>
      </c>
      <c r="K240">
        <v>11888</v>
      </c>
      <c r="L240">
        <v>12350</v>
      </c>
      <c r="M240">
        <v>13166</v>
      </c>
      <c r="N240">
        <v>4734</v>
      </c>
    </row>
    <row r="241" spans="1:28" x14ac:dyDescent="0.3">
      <c r="A241">
        <v>2009</v>
      </c>
      <c r="B241">
        <v>8100</v>
      </c>
      <c r="C241">
        <v>5961</v>
      </c>
      <c r="D241">
        <v>5152</v>
      </c>
      <c r="E241">
        <v>6329</v>
      </c>
      <c r="F241">
        <v>7197</v>
      </c>
      <c r="G241">
        <v>7312</v>
      </c>
      <c r="H241">
        <v>6142</v>
      </c>
      <c r="I241">
        <v>5456</v>
      </c>
      <c r="J241">
        <v>5618</v>
      </c>
      <c r="K241">
        <v>4594</v>
      </c>
      <c r="L241">
        <v>5953</v>
      </c>
      <c r="M241">
        <v>4615</v>
      </c>
      <c r="N241">
        <v>4594</v>
      </c>
    </row>
    <row r="242" spans="1:28" x14ac:dyDescent="0.3">
      <c r="A242">
        <v>2010</v>
      </c>
      <c r="B242">
        <v>2633</v>
      </c>
      <c r="C242">
        <v>2518</v>
      </c>
      <c r="D242">
        <v>2738</v>
      </c>
      <c r="E242">
        <v>3140</v>
      </c>
      <c r="F242">
        <v>5540</v>
      </c>
      <c r="G242">
        <v>8377</v>
      </c>
      <c r="H242">
        <v>10174</v>
      </c>
      <c r="I242">
        <v>11936</v>
      </c>
      <c r="J242">
        <v>12702</v>
      </c>
      <c r="K242">
        <v>13215</v>
      </c>
      <c r="L242">
        <v>13443</v>
      </c>
      <c r="M242">
        <v>13358</v>
      </c>
      <c r="N242">
        <v>2518</v>
      </c>
    </row>
    <row r="243" spans="1:28" x14ac:dyDescent="0.3">
      <c r="A243">
        <v>2011</v>
      </c>
      <c r="B243">
        <v>9061</v>
      </c>
      <c r="C243">
        <v>5884</v>
      </c>
      <c r="D243">
        <v>5788</v>
      </c>
      <c r="E243">
        <v>7210</v>
      </c>
      <c r="F243">
        <v>10058</v>
      </c>
      <c r="G243">
        <v>12022</v>
      </c>
      <c r="H243">
        <v>10619</v>
      </c>
      <c r="I243">
        <v>9536</v>
      </c>
      <c r="J243">
        <v>8856</v>
      </c>
      <c r="K243">
        <v>8800</v>
      </c>
      <c r="L243">
        <v>10960</v>
      </c>
      <c r="M243">
        <v>12339</v>
      </c>
      <c r="N243">
        <v>5788</v>
      </c>
    </row>
    <row r="244" spans="1:28" x14ac:dyDescent="0.3">
      <c r="A244">
        <v>2012</v>
      </c>
      <c r="B244">
        <v>8672</v>
      </c>
      <c r="C244">
        <v>5221</v>
      </c>
      <c r="D244">
        <v>4228</v>
      </c>
      <c r="E244">
        <v>5206</v>
      </c>
      <c r="F244">
        <v>8405</v>
      </c>
      <c r="G244">
        <v>7550</v>
      </c>
      <c r="H244">
        <v>5415</v>
      </c>
      <c r="I244">
        <v>5438</v>
      </c>
      <c r="J244">
        <v>5852</v>
      </c>
      <c r="K244">
        <v>5660</v>
      </c>
      <c r="L244">
        <v>7635</v>
      </c>
      <c r="M244">
        <v>5384</v>
      </c>
      <c r="N244">
        <v>4228</v>
      </c>
    </row>
    <row r="245" spans="1:28" x14ac:dyDescent="0.3">
      <c r="A245">
        <v>2013</v>
      </c>
      <c r="B245">
        <v>2860</v>
      </c>
      <c r="C245">
        <v>2721</v>
      </c>
      <c r="D245">
        <v>3444</v>
      </c>
      <c r="E245">
        <v>4024</v>
      </c>
      <c r="F245">
        <v>4818</v>
      </c>
      <c r="G245">
        <v>7745</v>
      </c>
      <c r="H245">
        <v>5190</v>
      </c>
      <c r="I245">
        <v>4880</v>
      </c>
      <c r="J245">
        <v>6810</v>
      </c>
      <c r="K245">
        <v>7524</v>
      </c>
      <c r="L245">
        <v>8285</v>
      </c>
      <c r="M245">
        <v>7813</v>
      </c>
      <c r="N245">
        <v>2721</v>
      </c>
    </row>
    <row r="246" spans="1:28" x14ac:dyDescent="0.3">
      <c r="A246">
        <v>2014</v>
      </c>
      <c r="B246">
        <v>4183</v>
      </c>
      <c r="C246">
        <v>3511</v>
      </c>
      <c r="D246">
        <v>3822</v>
      </c>
      <c r="E246">
        <v>3521</v>
      </c>
      <c r="F246">
        <v>5159</v>
      </c>
      <c r="G246">
        <v>5924</v>
      </c>
      <c r="H246">
        <v>3906</v>
      </c>
      <c r="I246">
        <v>3439</v>
      </c>
      <c r="J246">
        <v>4538</v>
      </c>
      <c r="K246">
        <v>6076</v>
      </c>
      <c r="L246">
        <v>7762</v>
      </c>
      <c r="M246">
        <v>7456</v>
      </c>
      <c r="N246">
        <v>3439</v>
      </c>
    </row>
    <row r="247" spans="1:28" x14ac:dyDescent="0.3">
      <c r="A247">
        <v>2015</v>
      </c>
      <c r="B247">
        <v>3559</v>
      </c>
      <c r="C247">
        <v>3615</v>
      </c>
      <c r="D247">
        <v>2895</v>
      </c>
      <c r="E247">
        <v>3912</v>
      </c>
      <c r="F247">
        <v>4403</v>
      </c>
      <c r="G247">
        <v>4756</v>
      </c>
      <c r="H247">
        <v>3688</v>
      </c>
      <c r="I247">
        <v>3834</v>
      </c>
      <c r="J247">
        <v>4119</v>
      </c>
      <c r="K247">
        <v>3699</v>
      </c>
      <c r="L247">
        <v>5012</v>
      </c>
      <c r="M247">
        <v>2916</v>
      </c>
      <c r="N247">
        <v>2895</v>
      </c>
    </row>
    <row r="249" spans="1:28" x14ac:dyDescent="0.3">
      <c r="A249" t="s">
        <v>110</v>
      </c>
      <c r="B249">
        <v>5109</v>
      </c>
      <c r="C249">
        <v>3849</v>
      </c>
      <c r="D249">
        <v>3613</v>
      </c>
      <c r="E249">
        <v>4077</v>
      </c>
      <c r="F249">
        <v>5822</v>
      </c>
      <c r="G249">
        <v>7457</v>
      </c>
      <c r="H249">
        <v>7173</v>
      </c>
      <c r="I249">
        <v>6727</v>
      </c>
      <c r="J249">
        <v>6909</v>
      </c>
      <c r="K249">
        <v>7705</v>
      </c>
      <c r="L249">
        <v>9109</v>
      </c>
      <c r="M249">
        <v>8478</v>
      </c>
      <c r="N249">
        <v>6335.58</v>
      </c>
    </row>
    <row r="250" spans="1:28" x14ac:dyDescent="0.3">
      <c r="A250" t="s">
        <v>111</v>
      </c>
      <c r="B250">
        <v>10142</v>
      </c>
      <c r="C250">
        <v>8418</v>
      </c>
      <c r="D250">
        <v>7810</v>
      </c>
      <c r="E250">
        <v>8493</v>
      </c>
      <c r="F250">
        <v>10058</v>
      </c>
      <c r="G250">
        <v>12022</v>
      </c>
      <c r="H250">
        <v>12674</v>
      </c>
      <c r="I250">
        <v>11936</v>
      </c>
      <c r="J250">
        <v>12702</v>
      </c>
      <c r="K250">
        <v>13215</v>
      </c>
      <c r="L250">
        <v>14000</v>
      </c>
      <c r="M250">
        <v>13425</v>
      </c>
      <c r="N250">
        <v>14000</v>
      </c>
    </row>
    <row r="251" spans="1:28" x14ac:dyDescent="0.3">
      <c r="A251" t="s">
        <v>112</v>
      </c>
      <c r="B251">
        <v>2326</v>
      </c>
      <c r="C251">
        <v>1705</v>
      </c>
      <c r="D251">
        <v>1520</v>
      </c>
      <c r="E251">
        <v>2053</v>
      </c>
      <c r="F251">
        <v>3402</v>
      </c>
      <c r="G251">
        <v>4667</v>
      </c>
      <c r="H251">
        <v>3688</v>
      </c>
      <c r="I251">
        <v>3109</v>
      </c>
      <c r="J251">
        <v>3214</v>
      </c>
      <c r="K251">
        <v>3699</v>
      </c>
      <c r="L251">
        <v>4594</v>
      </c>
      <c r="M251">
        <v>2916</v>
      </c>
      <c r="N251">
        <v>1520</v>
      </c>
    </row>
    <row r="252" spans="1:28" x14ac:dyDescent="0.3">
      <c r="A252" t="s">
        <v>0</v>
      </c>
      <c r="E252" t="s">
        <v>1</v>
      </c>
      <c r="F252" t="s">
        <v>2</v>
      </c>
      <c r="G252" t="s">
        <v>3</v>
      </c>
      <c r="H252" t="s">
        <v>4</v>
      </c>
      <c r="I252" t="s">
        <v>5</v>
      </c>
      <c r="J252" t="s">
        <v>6</v>
      </c>
      <c r="K252" t="s">
        <v>7</v>
      </c>
      <c r="L252" t="s">
        <v>8</v>
      </c>
      <c r="M252" t="s">
        <v>9</v>
      </c>
      <c r="N252" t="s">
        <v>10</v>
      </c>
      <c r="O252" t="s">
        <v>11</v>
      </c>
      <c r="P252" t="s">
        <v>12</v>
      </c>
      <c r="Q252" t="s">
        <v>13</v>
      </c>
      <c r="R252" t="s">
        <v>14</v>
      </c>
      <c r="S252" t="s">
        <v>15</v>
      </c>
      <c r="T252" t="s">
        <v>16</v>
      </c>
      <c r="U252" t="s">
        <v>17</v>
      </c>
    </row>
    <row r="253" spans="1:28" x14ac:dyDescent="0.3">
      <c r="X253" t="s">
        <v>18</v>
      </c>
      <c r="Y253" t="s">
        <v>19</v>
      </c>
      <c r="Z253" t="s">
        <v>20</v>
      </c>
      <c r="AA253" t="s">
        <v>21</v>
      </c>
      <c r="AB253" t="s">
        <v>22</v>
      </c>
    </row>
    <row r="254" spans="1:28" x14ac:dyDescent="0.3">
      <c r="A254" s="1" t="s">
        <v>129</v>
      </c>
      <c r="G254" t="s">
        <v>23</v>
      </c>
      <c r="H254" t="s">
        <v>24</v>
      </c>
      <c r="I254" t="s">
        <v>25</v>
      </c>
      <c r="J254" t="s">
        <v>14</v>
      </c>
      <c r="K254" t="s">
        <v>26</v>
      </c>
      <c r="L254" t="s">
        <v>27</v>
      </c>
      <c r="M254" t="s">
        <v>28</v>
      </c>
      <c r="N254" t="s">
        <v>117</v>
      </c>
      <c r="O254" t="s">
        <v>118</v>
      </c>
      <c r="P254" t="s">
        <v>119</v>
      </c>
      <c r="Q254" t="s">
        <v>120</v>
      </c>
      <c r="X254" t="s">
        <v>22</v>
      </c>
      <c r="Y254" t="s">
        <v>33</v>
      </c>
      <c r="Z254" t="s">
        <v>34</v>
      </c>
      <c r="AA254" t="s">
        <v>35</v>
      </c>
    </row>
    <row r="255" spans="1:28" x14ac:dyDescent="0.3">
      <c r="A255" s="1" t="s">
        <v>132</v>
      </c>
    </row>
    <row r="256" spans="1:28" x14ac:dyDescent="0.3">
      <c r="A256" t="s">
        <v>36</v>
      </c>
      <c r="B256" t="s">
        <v>37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>
        <v>29</v>
      </c>
      <c r="U256" t="s">
        <v>43</v>
      </c>
      <c r="V256" t="s">
        <v>44</v>
      </c>
      <c r="W256" t="s">
        <v>40</v>
      </c>
      <c r="X256">
        <v>290370</v>
      </c>
      <c r="Y256">
        <v>20</v>
      </c>
      <c r="Z256" t="s">
        <v>45</v>
      </c>
      <c r="AA256" t="s">
        <v>46</v>
      </c>
    </row>
    <row r="258" spans="1:29" x14ac:dyDescent="0.3">
      <c r="A258" t="s">
        <v>47</v>
      </c>
      <c r="B258" t="s">
        <v>48</v>
      </c>
      <c r="C258" t="s">
        <v>49</v>
      </c>
      <c r="D258">
        <v>1015</v>
      </c>
      <c r="E258" t="s">
        <v>22</v>
      </c>
      <c r="H258" t="s">
        <v>50</v>
      </c>
      <c r="I258" t="s">
        <v>51</v>
      </c>
      <c r="J258" t="s">
        <v>52</v>
      </c>
      <c r="K258" t="s">
        <v>53</v>
      </c>
      <c r="P258" t="s">
        <v>54</v>
      </c>
      <c r="R258" t="s">
        <v>55</v>
      </c>
      <c r="S258" t="s">
        <v>56</v>
      </c>
      <c r="T258" t="s">
        <v>57</v>
      </c>
      <c r="X258" t="s">
        <v>58</v>
      </c>
      <c r="Y258" t="s">
        <v>4</v>
      </c>
      <c r="Z258" t="s">
        <v>59</v>
      </c>
      <c r="AA258" t="s">
        <v>60</v>
      </c>
      <c r="AB258" t="s">
        <v>61</v>
      </c>
      <c r="AC258" t="s">
        <v>47</v>
      </c>
    </row>
    <row r="259" spans="1:29" x14ac:dyDescent="0.3">
      <c r="A259" t="s">
        <v>47</v>
      </c>
      <c r="B259" t="s">
        <v>62</v>
      </c>
      <c r="C259" t="s">
        <v>63</v>
      </c>
      <c r="D259">
        <v>7454</v>
      </c>
      <c r="E259" t="s">
        <v>64</v>
      </c>
      <c r="H259" t="s">
        <v>65</v>
      </c>
      <c r="I259" t="s">
        <v>66</v>
      </c>
      <c r="J259" t="s">
        <v>67</v>
      </c>
      <c r="K259">
        <v>1</v>
      </c>
      <c r="L259" t="s">
        <v>68</v>
      </c>
      <c r="M259" t="s">
        <v>69</v>
      </c>
      <c r="P259" t="s">
        <v>70</v>
      </c>
      <c r="Q259" t="s">
        <v>71</v>
      </c>
      <c r="R259" t="s">
        <v>72</v>
      </c>
      <c r="S259" t="s">
        <v>73</v>
      </c>
      <c r="T259" t="s">
        <v>57</v>
      </c>
      <c r="X259" t="s">
        <v>58</v>
      </c>
      <c r="Y259" t="s">
        <v>74</v>
      </c>
      <c r="Z259" t="s">
        <v>75</v>
      </c>
      <c r="AA259" t="s">
        <v>22</v>
      </c>
    </row>
    <row r="260" spans="1:29" x14ac:dyDescent="0.3">
      <c r="A260" t="s">
        <v>76</v>
      </c>
      <c r="B260" t="s">
        <v>77</v>
      </c>
      <c r="C260" t="s">
        <v>78</v>
      </c>
      <c r="D260">
        <v>8</v>
      </c>
      <c r="E260" t="s">
        <v>79</v>
      </c>
      <c r="F260" t="s">
        <v>80</v>
      </c>
      <c r="H260" t="s">
        <v>81</v>
      </c>
      <c r="I260" t="s">
        <v>82</v>
      </c>
      <c r="J260" t="s">
        <v>83</v>
      </c>
      <c r="K260">
        <v>2</v>
      </c>
      <c r="L260" t="s">
        <v>84</v>
      </c>
      <c r="M260" t="s">
        <v>85</v>
      </c>
      <c r="N260" t="s">
        <v>86</v>
      </c>
      <c r="P260" t="s">
        <v>87</v>
      </c>
      <c r="Q260" t="s">
        <v>88</v>
      </c>
      <c r="R260" t="s">
        <v>89</v>
      </c>
      <c r="S260" t="s">
        <v>90</v>
      </c>
      <c r="T260" t="s">
        <v>91</v>
      </c>
    </row>
    <row r="262" spans="1:29" x14ac:dyDescent="0.3">
      <c r="A262" t="s">
        <v>92</v>
      </c>
      <c r="B262" t="s">
        <v>93</v>
      </c>
      <c r="C262" t="s">
        <v>93</v>
      </c>
      <c r="D262" t="s">
        <v>93</v>
      </c>
      <c r="E262" t="s">
        <v>93</v>
      </c>
      <c r="F262" t="s">
        <v>93</v>
      </c>
      <c r="G262" t="s">
        <v>93</v>
      </c>
      <c r="H262" t="s">
        <v>93</v>
      </c>
      <c r="I262" t="s">
        <v>93</v>
      </c>
      <c r="J262" t="s">
        <v>93</v>
      </c>
      <c r="K262" t="s">
        <v>93</v>
      </c>
      <c r="L262" t="s">
        <v>93</v>
      </c>
      <c r="M262" t="s">
        <v>93</v>
      </c>
      <c r="N262" t="s">
        <v>94</v>
      </c>
      <c r="O262" t="s">
        <v>95</v>
      </c>
    </row>
    <row r="263" spans="1:29" x14ac:dyDescent="0.3">
      <c r="A263" t="s">
        <v>96</v>
      </c>
      <c r="B263" t="s">
        <v>97</v>
      </c>
      <c r="C263" t="s">
        <v>98</v>
      </c>
      <c r="D263" t="s">
        <v>99</v>
      </c>
      <c r="E263" t="s">
        <v>100</v>
      </c>
      <c r="F263" t="s">
        <v>101</v>
      </c>
      <c r="G263" t="s">
        <v>102</v>
      </c>
      <c r="H263" t="s">
        <v>103</v>
      </c>
      <c r="I263" t="s">
        <v>104</v>
      </c>
      <c r="J263" t="s">
        <v>105</v>
      </c>
      <c r="K263" t="s">
        <v>106</v>
      </c>
      <c r="L263" t="s">
        <v>107</v>
      </c>
      <c r="M263" t="s">
        <v>108</v>
      </c>
      <c r="N263" t="s">
        <v>109</v>
      </c>
      <c r="O263" t="s">
        <v>95</v>
      </c>
    </row>
    <row r="264" spans="1:29" x14ac:dyDescent="0.3">
      <c r="A264" t="s">
        <v>92</v>
      </c>
      <c r="B264" t="s">
        <v>93</v>
      </c>
      <c r="C264" t="s">
        <v>93</v>
      </c>
      <c r="D264" t="s">
        <v>93</v>
      </c>
      <c r="E264" t="s">
        <v>93</v>
      </c>
      <c r="F264" t="s">
        <v>93</v>
      </c>
      <c r="G264" t="s">
        <v>93</v>
      </c>
      <c r="H264" t="s">
        <v>93</v>
      </c>
      <c r="I264" t="s">
        <v>93</v>
      </c>
      <c r="J264" t="s">
        <v>93</v>
      </c>
      <c r="K264" t="s">
        <v>93</v>
      </c>
      <c r="L264" t="s">
        <v>93</v>
      </c>
      <c r="M264" t="s">
        <v>93</v>
      </c>
      <c r="N264" t="s">
        <v>94</v>
      </c>
      <c r="O264" t="s">
        <v>95</v>
      </c>
    </row>
    <row r="266" spans="1:29" x14ac:dyDescent="0.3">
      <c r="A266">
        <v>1971</v>
      </c>
      <c r="B266">
        <v>746</v>
      </c>
      <c r="C266">
        <v>637</v>
      </c>
      <c r="D266">
        <v>577</v>
      </c>
      <c r="E266">
        <v>635</v>
      </c>
      <c r="F266">
        <v>690</v>
      </c>
      <c r="G266">
        <v>784</v>
      </c>
      <c r="H266">
        <v>750</v>
      </c>
      <c r="I266">
        <v>677</v>
      </c>
      <c r="J266">
        <v>728</v>
      </c>
      <c r="K266">
        <v>774</v>
      </c>
      <c r="L266">
        <v>817</v>
      </c>
      <c r="M266">
        <v>737</v>
      </c>
      <c r="N266">
        <v>713</v>
      </c>
    </row>
    <row r="267" spans="1:29" x14ac:dyDescent="0.3">
      <c r="A267">
        <v>1972</v>
      </c>
      <c r="B267">
        <v>546</v>
      </c>
      <c r="C267">
        <v>458</v>
      </c>
      <c r="D267">
        <v>340</v>
      </c>
      <c r="E267">
        <v>422</v>
      </c>
      <c r="F267">
        <v>591</v>
      </c>
      <c r="G267">
        <v>704</v>
      </c>
      <c r="H267">
        <v>683</v>
      </c>
      <c r="I267">
        <v>502</v>
      </c>
      <c r="J267">
        <v>505</v>
      </c>
      <c r="K267">
        <v>535</v>
      </c>
      <c r="L267">
        <v>596</v>
      </c>
      <c r="M267">
        <v>566</v>
      </c>
      <c r="N267">
        <v>537</v>
      </c>
    </row>
    <row r="268" spans="1:29" x14ac:dyDescent="0.3">
      <c r="A268">
        <v>1973</v>
      </c>
      <c r="B268">
        <v>324</v>
      </c>
      <c r="C268">
        <v>176</v>
      </c>
      <c r="D268">
        <v>166</v>
      </c>
      <c r="E268">
        <v>228</v>
      </c>
      <c r="F268">
        <v>354</v>
      </c>
      <c r="G268">
        <v>423</v>
      </c>
      <c r="H268">
        <v>502</v>
      </c>
      <c r="I268">
        <v>558</v>
      </c>
      <c r="J268">
        <v>660</v>
      </c>
      <c r="K268">
        <v>780</v>
      </c>
      <c r="L268">
        <v>826</v>
      </c>
      <c r="M268">
        <v>839</v>
      </c>
      <c r="N268">
        <v>486</v>
      </c>
      <c r="O268">
        <v>3</v>
      </c>
    </row>
    <row r="269" spans="1:29" x14ac:dyDescent="0.3">
      <c r="A269">
        <v>1974</v>
      </c>
      <c r="B269">
        <v>734</v>
      </c>
      <c r="C269">
        <v>550</v>
      </c>
      <c r="D269">
        <v>495</v>
      </c>
      <c r="E269">
        <v>479</v>
      </c>
      <c r="F269">
        <v>573</v>
      </c>
      <c r="G269">
        <v>591</v>
      </c>
      <c r="H269">
        <v>548</v>
      </c>
      <c r="I269">
        <v>525</v>
      </c>
      <c r="J269">
        <v>542</v>
      </c>
      <c r="K269">
        <v>708</v>
      </c>
      <c r="L269">
        <v>840</v>
      </c>
      <c r="M269">
        <v>829</v>
      </c>
      <c r="N269">
        <v>618</v>
      </c>
    </row>
    <row r="270" spans="1:29" x14ac:dyDescent="0.3">
      <c r="A270">
        <v>1975</v>
      </c>
      <c r="B270">
        <v>515</v>
      </c>
      <c r="C270">
        <v>303</v>
      </c>
      <c r="D270">
        <v>382</v>
      </c>
      <c r="E270">
        <v>331</v>
      </c>
      <c r="F270">
        <v>472</v>
      </c>
      <c r="G270">
        <v>569</v>
      </c>
      <c r="H270">
        <v>612</v>
      </c>
      <c r="I270">
        <v>644</v>
      </c>
      <c r="J270">
        <v>714</v>
      </c>
      <c r="K270">
        <v>791</v>
      </c>
      <c r="L270">
        <v>858</v>
      </c>
      <c r="M270">
        <v>857</v>
      </c>
      <c r="N270">
        <v>587</v>
      </c>
      <c r="O270">
        <v>3</v>
      </c>
    </row>
    <row r="271" spans="1:29" x14ac:dyDescent="0.3">
      <c r="A271">
        <v>1976</v>
      </c>
      <c r="B271">
        <v>708</v>
      </c>
      <c r="C271">
        <v>452</v>
      </c>
      <c r="D271">
        <v>408</v>
      </c>
      <c r="E271">
        <v>447</v>
      </c>
      <c r="F271">
        <v>574</v>
      </c>
      <c r="G271">
        <v>600</v>
      </c>
      <c r="H271">
        <v>544</v>
      </c>
      <c r="I271">
        <v>421</v>
      </c>
      <c r="J271">
        <v>348</v>
      </c>
      <c r="K271">
        <v>529</v>
      </c>
      <c r="L271">
        <v>646</v>
      </c>
      <c r="M271">
        <v>511</v>
      </c>
      <c r="N271">
        <v>516</v>
      </c>
    </row>
    <row r="272" spans="1:29" x14ac:dyDescent="0.3">
      <c r="A272">
        <v>1977</v>
      </c>
      <c r="B272">
        <v>241</v>
      </c>
      <c r="C272">
        <v>162</v>
      </c>
      <c r="D272">
        <v>148</v>
      </c>
      <c r="E272">
        <v>232</v>
      </c>
      <c r="F272">
        <v>365</v>
      </c>
      <c r="G272">
        <v>502</v>
      </c>
      <c r="H272">
        <v>468</v>
      </c>
      <c r="I272">
        <v>475</v>
      </c>
      <c r="J272">
        <v>430</v>
      </c>
      <c r="K272">
        <v>598</v>
      </c>
      <c r="L272">
        <v>713</v>
      </c>
      <c r="M272">
        <v>685</v>
      </c>
      <c r="N272">
        <v>418</v>
      </c>
      <c r="O272">
        <v>3</v>
      </c>
    </row>
    <row r="273" spans="1:15" x14ac:dyDescent="0.3">
      <c r="A273">
        <v>1978</v>
      </c>
      <c r="B273">
        <v>388</v>
      </c>
      <c r="C273">
        <v>215</v>
      </c>
      <c r="D273">
        <v>209</v>
      </c>
      <c r="E273">
        <v>442</v>
      </c>
      <c r="F273">
        <v>604</v>
      </c>
      <c r="G273">
        <v>646</v>
      </c>
      <c r="H273">
        <v>624</v>
      </c>
      <c r="I273">
        <v>517</v>
      </c>
      <c r="J273">
        <v>487</v>
      </c>
      <c r="K273">
        <v>577</v>
      </c>
      <c r="L273">
        <v>672</v>
      </c>
      <c r="M273">
        <v>652</v>
      </c>
      <c r="N273">
        <v>503</v>
      </c>
    </row>
    <row r="274" spans="1:15" x14ac:dyDescent="0.3">
      <c r="A274">
        <v>1979</v>
      </c>
      <c r="B274">
        <v>410</v>
      </c>
      <c r="C274">
        <v>220</v>
      </c>
      <c r="D274">
        <v>259</v>
      </c>
      <c r="E274">
        <v>325</v>
      </c>
      <c r="F274">
        <v>514</v>
      </c>
      <c r="G274">
        <v>632</v>
      </c>
      <c r="H274">
        <v>629</v>
      </c>
      <c r="I274">
        <v>512</v>
      </c>
      <c r="J274">
        <v>592</v>
      </c>
      <c r="K274">
        <v>651</v>
      </c>
      <c r="L274">
        <v>737</v>
      </c>
      <c r="M274">
        <v>786</v>
      </c>
      <c r="N274">
        <v>522</v>
      </c>
    </row>
    <row r="275" spans="1:15" x14ac:dyDescent="0.3">
      <c r="A275">
        <v>1980</v>
      </c>
      <c r="B275">
        <v>547</v>
      </c>
      <c r="C275">
        <v>355</v>
      </c>
      <c r="D275">
        <v>245</v>
      </c>
      <c r="E275">
        <v>260</v>
      </c>
      <c r="F275">
        <v>388</v>
      </c>
      <c r="G275">
        <v>492</v>
      </c>
      <c r="H275">
        <v>441</v>
      </c>
      <c r="I275">
        <v>467</v>
      </c>
      <c r="J275">
        <v>459</v>
      </c>
      <c r="K275">
        <v>581</v>
      </c>
      <c r="L275">
        <v>646</v>
      </c>
      <c r="M275">
        <v>625</v>
      </c>
      <c r="N275">
        <v>459</v>
      </c>
      <c r="O275">
        <v>3</v>
      </c>
    </row>
    <row r="276" spans="1:15" x14ac:dyDescent="0.3">
      <c r="A276">
        <v>1981</v>
      </c>
      <c r="B276">
        <v>464</v>
      </c>
      <c r="C276">
        <v>281</v>
      </c>
      <c r="D276">
        <v>360</v>
      </c>
      <c r="E276">
        <v>359</v>
      </c>
      <c r="F276">
        <v>627</v>
      </c>
      <c r="G276">
        <v>801</v>
      </c>
      <c r="H276">
        <v>803</v>
      </c>
      <c r="I276">
        <v>685</v>
      </c>
      <c r="J276">
        <v>662</v>
      </c>
      <c r="K276">
        <v>641</v>
      </c>
      <c r="L276">
        <v>700</v>
      </c>
      <c r="M276">
        <v>719</v>
      </c>
      <c r="N276">
        <v>592</v>
      </c>
    </row>
    <row r="277" spans="1:15" x14ac:dyDescent="0.3">
      <c r="A277">
        <v>1982</v>
      </c>
      <c r="B277">
        <v>625</v>
      </c>
      <c r="C277">
        <v>470</v>
      </c>
      <c r="D277">
        <v>424</v>
      </c>
      <c r="E277">
        <v>505</v>
      </c>
      <c r="F277">
        <v>665</v>
      </c>
      <c r="G277">
        <v>775</v>
      </c>
      <c r="H277">
        <v>694</v>
      </c>
      <c r="I277">
        <v>538</v>
      </c>
      <c r="J277">
        <v>483</v>
      </c>
      <c r="K277">
        <v>589</v>
      </c>
      <c r="L277">
        <v>686</v>
      </c>
      <c r="M277">
        <v>580</v>
      </c>
      <c r="N277">
        <v>586</v>
      </c>
    </row>
    <row r="278" spans="1:15" x14ac:dyDescent="0.3">
      <c r="A278">
        <v>1983</v>
      </c>
      <c r="B278">
        <v>371</v>
      </c>
      <c r="C278">
        <v>211</v>
      </c>
      <c r="D278">
        <v>235</v>
      </c>
      <c r="E278">
        <v>372</v>
      </c>
      <c r="F278">
        <v>566</v>
      </c>
      <c r="G278">
        <v>618</v>
      </c>
      <c r="H278">
        <v>505</v>
      </c>
      <c r="I278">
        <v>470</v>
      </c>
      <c r="J278">
        <v>512</v>
      </c>
      <c r="K278">
        <v>560</v>
      </c>
      <c r="L278">
        <v>607</v>
      </c>
      <c r="M278">
        <v>576</v>
      </c>
      <c r="N278">
        <v>467</v>
      </c>
    </row>
    <row r="279" spans="1:15" x14ac:dyDescent="0.3">
      <c r="A279">
        <v>1984</v>
      </c>
      <c r="B279">
        <v>512</v>
      </c>
      <c r="C279">
        <v>428</v>
      </c>
      <c r="D279">
        <v>372</v>
      </c>
      <c r="E279">
        <v>343</v>
      </c>
      <c r="F279">
        <v>494</v>
      </c>
      <c r="G279">
        <v>638</v>
      </c>
      <c r="H279">
        <v>704</v>
      </c>
      <c r="I279">
        <v>705</v>
      </c>
      <c r="J279">
        <v>690</v>
      </c>
      <c r="K279">
        <v>749</v>
      </c>
      <c r="L279">
        <v>821</v>
      </c>
      <c r="M279">
        <v>808</v>
      </c>
      <c r="N279">
        <v>605</v>
      </c>
    </row>
    <row r="280" spans="1:15" x14ac:dyDescent="0.3">
      <c r="A280">
        <v>1985</v>
      </c>
      <c r="B280">
        <v>571</v>
      </c>
      <c r="C280">
        <v>312</v>
      </c>
      <c r="D280">
        <v>239</v>
      </c>
      <c r="E280">
        <v>317</v>
      </c>
      <c r="F280">
        <v>433</v>
      </c>
      <c r="G280">
        <v>478</v>
      </c>
      <c r="H280">
        <v>374</v>
      </c>
      <c r="I280">
        <v>467</v>
      </c>
      <c r="J280">
        <v>567</v>
      </c>
      <c r="K280">
        <v>632</v>
      </c>
      <c r="L280">
        <v>674</v>
      </c>
      <c r="M280">
        <v>666</v>
      </c>
      <c r="N280">
        <v>478</v>
      </c>
    </row>
    <row r="281" spans="1:15" x14ac:dyDescent="0.3">
      <c r="A281">
        <v>1986</v>
      </c>
      <c r="B281">
        <v>433</v>
      </c>
      <c r="C281">
        <v>336</v>
      </c>
      <c r="D281">
        <v>376</v>
      </c>
      <c r="E281">
        <v>434</v>
      </c>
      <c r="F281">
        <v>550</v>
      </c>
      <c r="G281">
        <v>604</v>
      </c>
      <c r="H281">
        <v>572</v>
      </c>
      <c r="I281">
        <v>412</v>
      </c>
      <c r="J281">
        <v>411</v>
      </c>
      <c r="K281">
        <v>552</v>
      </c>
      <c r="L281">
        <v>690</v>
      </c>
      <c r="M281">
        <v>626</v>
      </c>
      <c r="N281">
        <v>500</v>
      </c>
    </row>
    <row r="282" spans="1:15" x14ac:dyDescent="0.3">
      <c r="A282">
        <v>1987</v>
      </c>
      <c r="B282">
        <v>356</v>
      </c>
      <c r="C282">
        <v>242</v>
      </c>
      <c r="D282">
        <v>203</v>
      </c>
      <c r="E282">
        <v>282</v>
      </c>
      <c r="F282">
        <v>455</v>
      </c>
      <c r="G282">
        <v>516</v>
      </c>
      <c r="H282">
        <v>441</v>
      </c>
      <c r="I282">
        <v>555</v>
      </c>
      <c r="J282">
        <v>561</v>
      </c>
      <c r="K282">
        <v>632</v>
      </c>
      <c r="L282">
        <v>737</v>
      </c>
      <c r="M282">
        <v>739</v>
      </c>
      <c r="N282">
        <v>477</v>
      </c>
    </row>
    <row r="283" spans="1:15" x14ac:dyDescent="0.3">
      <c r="A283">
        <v>1988</v>
      </c>
      <c r="B283">
        <v>477</v>
      </c>
      <c r="C283">
        <v>274</v>
      </c>
      <c r="D283">
        <v>212</v>
      </c>
      <c r="E283">
        <v>304</v>
      </c>
      <c r="F283">
        <v>428</v>
      </c>
      <c r="G283">
        <v>478</v>
      </c>
      <c r="H283">
        <v>618</v>
      </c>
      <c r="I283">
        <v>671</v>
      </c>
      <c r="J283">
        <v>759</v>
      </c>
      <c r="K283">
        <v>817</v>
      </c>
      <c r="L283">
        <v>828</v>
      </c>
      <c r="M283">
        <v>844</v>
      </c>
      <c r="N283">
        <v>559</v>
      </c>
    </row>
    <row r="284" spans="1:15" x14ac:dyDescent="0.3">
      <c r="A284">
        <v>1989</v>
      </c>
      <c r="B284">
        <v>728</v>
      </c>
      <c r="C284">
        <v>523</v>
      </c>
      <c r="D284">
        <v>453</v>
      </c>
      <c r="E284">
        <v>432</v>
      </c>
      <c r="F284">
        <v>475</v>
      </c>
      <c r="G284">
        <v>545</v>
      </c>
      <c r="H284">
        <v>525</v>
      </c>
      <c r="I284">
        <v>505</v>
      </c>
      <c r="J284">
        <v>584</v>
      </c>
      <c r="K284">
        <v>689</v>
      </c>
      <c r="L284">
        <v>748</v>
      </c>
      <c r="M284">
        <v>695</v>
      </c>
      <c r="N284">
        <v>575</v>
      </c>
    </row>
    <row r="285" spans="1:15" x14ac:dyDescent="0.3">
      <c r="A285">
        <v>1990</v>
      </c>
      <c r="B285">
        <v>463</v>
      </c>
      <c r="C285">
        <v>320</v>
      </c>
      <c r="D285">
        <v>268</v>
      </c>
      <c r="E285">
        <v>344</v>
      </c>
      <c r="F285">
        <v>522</v>
      </c>
      <c r="G285">
        <v>544</v>
      </c>
      <c r="H285">
        <v>502</v>
      </c>
      <c r="I285">
        <v>437</v>
      </c>
      <c r="J285">
        <v>460</v>
      </c>
      <c r="K285">
        <v>564</v>
      </c>
      <c r="L285">
        <v>681</v>
      </c>
      <c r="M285">
        <v>694</v>
      </c>
      <c r="N285">
        <v>483</v>
      </c>
    </row>
    <row r="286" spans="1:15" x14ac:dyDescent="0.3">
      <c r="A286">
        <v>1991</v>
      </c>
      <c r="B286">
        <v>479</v>
      </c>
      <c r="C286">
        <v>243</v>
      </c>
      <c r="D286">
        <v>282</v>
      </c>
      <c r="E286">
        <v>334</v>
      </c>
      <c r="F286">
        <v>441</v>
      </c>
      <c r="G286">
        <v>487</v>
      </c>
      <c r="H286">
        <v>463</v>
      </c>
      <c r="I286">
        <v>438</v>
      </c>
      <c r="J286">
        <v>375</v>
      </c>
      <c r="K286">
        <v>527</v>
      </c>
      <c r="L286">
        <v>554</v>
      </c>
      <c r="M286">
        <v>566</v>
      </c>
      <c r="N286">
        <v>432</v>
      </c>
      <c r="O286">
        <v>3</v>
      </c>
    </row>
    <row r="287" spans="1:15" x14ac:dyDescent="0.3">
      <c r="A287">
        <v>1992</v>
      </c>
      <c r="B287">
        <v>351</v>
      </c>
      <c r="C287">
        <v>223</v>
      </c>
      <c r="D287">
        <v>202</v>
      </c>
      <c r="E287">
        <v>195</v>
      </c>
      <c r="F287">
        <v>360</v>
      </c>
      <c r="G287">
        <v>429</v>
      </c>
      <c r="H287">
        <v>384</v>
      </c>
      <c r="I287">
        <v>444</v>
      </c>
      <c r="J287">
        <v>469</v>
      </c>
      <c r="K287">
        <v>524</v>
      </c>
      <c r="L287">
        <v>524</v>
      </c>
      <c r="M287">
        <v>535</v>
      </c>
      <c r="N287">
        <v>387</v>
      </c>
    </row>
    <row r="288" spans="1:15" x14ac:dyDescent="0.3">
      <c r="A288">
        <v>1993</v>
      </c>
      <c r="B288">
        <v>400</v>
      </c>
      <c r="C288">
        <v>295</v>
      </c>
      <c r="D288">
        <v>270</v>
      </c>
      <c r="E288">
        <v>411</v>
      </c>
      <c r="F288">
        <v>554</v>
      </c>
      <c r="G288">
        <v>623</v>
      </c>
      <c r="H288">
        <v>576</v>
      </c>
      <c r="I288">
        <v>482</v>
      </c>
      <c r="J288">
        <v>543</v>
      </c>
      <c r="K288">
        <v>606</v>
      </c>
      <c r="L288">
        <v>647</v>
      </c>
      <c r="M288">
        <v>707</v>
      </c>
      <c r="N288">
        <v>510</v>
      </c>
    </row>
    <row r="289" spans="1:15" x14ac:dyDescent="0.3">
      <c r="A289">
        <v>1994</v>
      </c>
      <c r="B289">
        <v>603</v>
      </c>
      <c r="C289">
        <v>409</v>
      </c>
      <c r="D289">
        <v>409</v>
      </c>
      <c r="E289">
        <v>502</v>
      </c>
      <c r="F289">
        <v>605</v>
      </c>
      <c r="G289">
        <v>666</v>
      </c>
      <c r="H289">
        <v>623</v>
      </c>
      <c r="I289">
        <v>530</v>
      </c>
      <c r="J289">
        <v>511</v>
      </c>
      <c r="K289">
        <v>596</v>
      </c>
      <c r="L289">
        <v>694</v>
      </c>
      <c r="M289">
        <v>719</v>
      </c>
      <c r="N289">
        <v>572</v>
      </c>
    </row>
    <row r="290" spans="1:15" x14ac:dyDescent="0.3">
      <c r="A290">
        <v>1995</v>
      </c>
      <c r="B290">
        <v>470</v>
      </c>
      <c r="C290">
        <v>240</v>
      </c>
      <c r="D290">
        <v>250</v>
      </c>
      <c r="E290">
        <v>350</v>
      </c>
      <c r="F290">
        <v>517</v>
      </c>
      <c r="G290">
        <v>610</v>
      </c>
      <c r="H290">
        <v>643</v>
      </c>
      <c r="I290">
        <v>712</v>
      </c>
      <c r="J290">
        <v>752</v>
      </c>
      <c r="K290">
        <v>731</v>
      </c>
      <c r="L290">
        <v>785</v>
      </c>
      <c r="M290">
        <v>743</v>
      </c>
      <c r="N290">
        <v>567</v>
      </c>
      <c r="O290">
        <v>3</v>
      </c>
    </row>
    <row r="291" spans="1:15" x14ac:dyDescent="0.3">
      <c r="A291">
        <v>1996</v>
      </c>
      <c r="B291">
        <v>577</v>
      </c>
      <c r="C291">
        <v>466</v>
      </c>
      <c r="D291">
        <v>523</v>
      </c>
      <c r="E291">
        <v>570</v>
      </c>
      <c r="F291">
        <v>601</v>
      </c>
      <c r="G291">
        <v>699</v>
      </c>
      <c r="H291">
        <v>776</v>
      </c>
      <c r="I291">
        <v>780</v>
      </c>
      <c r="J291">
        <v>744</v>
      </c>
      <c r="K291">
        <v>729</v>
      </c>
      <c r="L291">
        <v>755</v>
      </c>
      <c r="M291">
        <v>707</v>
      </c>
      <c r="N291">
        <v>661</v>
      </c>
    </row>
    <row r="292" spans="1:15" x14ac:dyDescent="0.3">
      <c r="A292">
        <v>1997</v>
      </c>
      <c r="B292">
        <v>512</v>
      </c>
      <c r="C292">
        <v>463</v>
      </c>
      <c r="D292">
        <v>358</v>
      </c>
      <c r="E292">
        <v>358</v>
      </c>
      <c r="F292">
        <v>436</v>
      </c>
      <c r="G292">
        <v>496</v>
      </c>
      <c r="H292">
        <v>470</v>
      </c>
      <c r="I292">
        <v>363</v>
      </c>
      <c r="J292">
        <v>355</v>
      </c>
      <c r="K292">
        <v>470</v>
      </c>
      <c r="L292">
        <v>509</v>
      </c>
      <c r="M292">
        <v>443</v>
      </c>
      <c r="N292">
        <v>436</v>
      </c>
    </row>
    <row r="293" spans="1:15" x14ac:dyDescent="0.3">
      <c r="A293">
        <v>1998</v>
      </c>
      <c r="B293">
        <v>226</v>
      </c>
      <c r="C293">
        <v>241</v>
      </c>
      <c r="D293">
        <v>210</v>
      </c>
      <c r="E293">
        <v>394</v>
      </c>
      <c r="F293">
        <v>562</v>
      </c>
      <c r="G293">
        <v>642</v>
      </c>
      <c r="H293">
        <v>673</v>
      </c>
      <c r="I293">
        <v>657</v>
      </c>
      <c r="J293">
        <v>665</v>
      </c>
      <c r="K293">
        <v>703</v>
      </c>
      <c r="L293">
        <v>733</v>
      </c>
      <c r="M293">
        <v>776</v>
      </c>
      <c r="N293">
        <v>540</v>
      </c>
    </row>
    <row r="294" spans="1:15" x14ac:dyDescent="0.3">
      <c r="A294">
        <v>1999</v>
      </c>
      <c r="B294">
        <v>726</v>
      </c>
      <c r="C294">
        <v>607</v>
      </c>
      <c r="D294">
        <v>646</v>
      </c>
      <c r="E294">
        <v>663</v>
      </c>
      <c r="F294">
        <v>704</v>
      </c>
      <c r="G294">
        <v>748</v>
      </c>
      <c r="H294">
        <v>775</v>
      </c>
      <c r="I294">
        <v>722</v>
      </c>
      <c r="J294">
        <v>716</v>
      </c>
      <c r="K294">
        <v>792</v>
      </c>
      <c r="L294">
        <v>865</v>
      </c>
      <c r="M294">
        <v>852</v>
      </c>
      <c r="N294">
        <v>735</v>
      </c>
    </row>
    <row r="295" spans="1:15" x14ac:dyDescent="0.3">
      <c r="A295">
        <v>2000</v>
      </c>
      <c r="B295">
        <v>765</v>
      </c>
      <c r="C295">
        <v>535</v>
      </c>
      <c r="D295">
        <v>531</v>
      </c>
      <c r="E295">
        <v>509</v>
      </c>
      <c r="F295">
        <v>585</v>
      </c>
      <c r="G295">
        <v>688</v>
      </c>
      <c r="H295">
        <v>715</v>
      </c>
      <c r="I295">
        <v>669</v>
      </c>
      <c r="J295">
        <v>669</v>
      </c>
      <c r="K295">
        <v>744</v>
      </c>
      <c r="L295">
        <v>758</v>
      </c>
      <c r="M295">
        <v>695</v>
      </c>
      <c r="N295">
        <v>655</v>
      </c>
    </row>
    <row r="296" spans="1:15" x14ac:dyDescent="0.3">
      <c r="A296">
        <v>2001</v>
      </c>
      <c r="B296">
        <v>479</v>
      </c>
      <c r="C296">
        <v>273</v>
      </c>
      <c r="D296">
        <v>313</v>
      </c>
      <c r="E296">
        <v>366</v>
      </c>
      <c r="F296">
        <v>430</v>
      </c>
      <c r="G296">
        <v>525</v>
      </c>
      <c r="H296">
        <v>459</v>
      </c>
      <c r="I296">
        <v>411</v>
      </c>
      <c r="J296">
        <v>434</v>
      </c>
      <c r="K296">
        <v>546</v>
      </c>
      <c r="L296">
        <v>634</v>
      </c>
      <c r="M296">
        <v>668</v>
      </c>
      <c r="N296">
        <v>462</v>
      </c>
    </row>
    <row r="297" spans="1:15" x14ac:dyDescent="0.3">
      <c r="A297">
        <v>2002</v>
      </c>
      <c r="B297">
        <v>568</v>
      </c>
      <c r="C297">
        <v>318</v>
      </c>
      <c r="D297">
        <v>262</v>
      </c>
      <c r="E297">
        <v>429</v>
      </c>
      <c r="F297">
        <v>530</v>
      </c>
      <c r="G297">
        <v>620</v>
      </c>
      <c r="H297">
        <v>574</v>
      </c>
      <c r="I297">
        <v>424</v>
      </c>
      <c r="J297">
        <v>436</v>
      </c>
      <c r="K297">
        <v>473</v>
      </c>
      <c r="L297">
        <v>621</v>
      </c>
      <c r="M297">
        <v>545</v>
      </c>
      <c r="N297">
        <v>483</v>
      </c>
    </row>
    <row r="298" spans="1:15" x14ac:dyDescent="0.3">
      <c r="A298">
        <v>2003</v>
      </c>
      <c r="B298">
        <v>332</v>
      </c>
      <c r="C298">
        <v>216</v>
      </c>
      <c r="D298">
        <v>234</v>
      </c>
      <c r="E298">
        <v>359</v>
      </c>
      <c r="F298">
        <v>530</v>
      </c>
      <c r="G298">
        <v>598</v>
      </c>
      <c r="H298">
        <v>627</v>
      </c>
      <c r="I298">
        <v>585</v>
      </c>
      <c r="J298">
        <v>541</v>
      </c>
      <c r="K298">
        <v>636</v>
      </c>
      <c r="L298">
        <v>734</v>
      </c>
      <c r="M298">
        <v>781</v>
      </c>
      <c r="N298">
        <v>514</v>
      </c>
      <c r="O298">
        <v>3</v>
      </c>
    </row>
    <row r="299" spans="1:15" x14ac:dyDescent="0.3">
      <c r="A299">
        <v>2004</v>
      </c>
      <c r="B299">
        <v>654</v>
      </c>
      <c r="C299">
        <v>356</v>
      </c>
      <c r="D299">
        <v>269</v>
      </c>
      <c r="E299">
        <v>344</v>
      </c>
      <c r="F299">
        <v>532</v>
      </c>
      <c r="G299">
        <v>620</v>
      </c>
      <c r="H299">
        <v>545</v>
      </c>
      <c r="I299">
        <v>528</v>
      </c>
      <c r="J299">
        <v>547</v>
      </c>
      <c r="K299">
        <v>644</v>
      </c>
      <c r="L299">
        <v>740</v>
      </c>
      <c r="M299">
        <v>779</v>
      </c>
      <c r="N299">
        <v>547</v>
      </c>
    </row>
    <row r="300" spans="1:15" x14ac:dyDescent="0.3">
      <c r="A300">
        <v>2005</v>
      </c>
      <c r="B300">
        <v>590</v>
      </c>
      <c r="C300">
        <v>435</v>
      </c>
      <c r="D300">
        <v>374</v>
      </c>
      <c r="E300">
        <v>423</v>
      </c>
      <c r="F300">
        <v>568</v>
      </c>
      <c r="G300">
        <v>663</v>
      </c>
      <c r="H300">
        <v>655</v>
      </c>
      <c r="I300">
        <v>572</v>
      </c>
      <c r="J300">
        <v>552</v>
      </c>
      <c r="K300">
        <v>617</v>
      </c>
      <c r="L300">
        <v>735</v>
      </c>
      <c r="M300">
        <v>840</v>
      </c>
      <c r="N300">
        <v>585</v>
      </c>
    </row>
    <row r="301" spans="1:15" x14ac:dyDescent="0.3">
      <c r="A301">
        <v>2006</v>
      </c>
      <c r="B301">
        <v>696</v>
      </c>
      <c r="C301">
        <v>500</v>
      </c>
      <c r="D301">
        <v>414</v>
      </c>
      <c r="E301">
        <v>549</v>
      </c>
      <c r="F301">
        <v>677</v>
      </c>
      <c r="G301">
        <v>777</v>
      </c>
      <c r="H301">
        <v>739</v>
      </c>
      <c r="I301">
        <v>589</v>
      </c>
      <c r="J301">
        <v>593</v>
      </c>
      <c r="K301">
        <v>602</v>
      </c>
      <c r="L301">
        <v>694</v>
      </c>
      <c r="M301">
        <v>758</v>
      </c>
      <c r="N301">
        <v>632</v>
      </c>
    </row>
    <row r="302" spans="1:15" x14ac:dyDescent="0.3">
      <c r="A302">
        <v>2007</v>
      </c>
      <c r="B302">
        <v>631</v>
      </c>
      <c r="C302">
        <v>358</v>
      </c>
      <c r="D302">
        <v>266</v>
      </c>
      <c r="E302">
        <v>509</v>
      </c>
      <c r="F302">
        <v>662</v>
      </c>
      <c r="G302">
        <v>785</v>
      </c>
      <c r="H302">
        <v>778</v>
      </c>
      <c r="I302">
        <v>703</v>
      </c>
      <c r="J302">
        <v>751</v>
      </c>
      <c r="K302">
        <v>752</v>
      </c>
      <c r="L302">
        <v>855</v>
      </c>
      <c r="M302">
        <v>832</v>
      </c>
      <c r="N302">
        <v>657</v>
      </c>
    </row>
    <row r="303" spans="1:15" x14ac:dyDescent="0.3">
      <c r="A303">
        <v>2008</v>
      </c>
      <c r="B303">
        <v>684</v>
      </c>
      <c r="C303">
        <v>496</v>
      </c>
      <c r="D303">
        <v>496</v>
      </c>
      <c r="E303">
        <v>512</v>
      </c>
      <c r="F303">
        <v>627</v>
      </c>
      <c r="G303">
        <v>732</v>
      </c>
      <c r="H303">
        <v>796</v>
      </c>
      <c r="I303">
        <v>812</v>
      </c>
      <c r="J303">
        <v>819</v>
      </c>
      <c r="K303">
        <v>816</v>
      </c>
      <c r="L303">
        <v>863</v>
      </c>
      <c r="M303">
        <v>902</v>
      </c>
      <c r="N303">
        <v>713</v>
      </c>
    </row>
    <row r="304" spans="1:15" x14ac:dyDescent="0.3">
      <c r="A304">
        <v>2009</v>
      </c>
      <c r="B304">
        <v>742</v>
      </c>
      <c r="C304">
        <v>577</v>
      </c>
      <c r="D304">
        <v>510</v>
      </c>
      <c r="E304">
        <v>587</v>
      </c>
      <c r="F304">
        <v>634</v>
      </c>
      <c r="G304">
        <v>631</v>
      </c>
      <c r="H304">
        <v>611</v>
      </c>
      <c r="I304">
        <v>535</v>
      </c>
      <c r="J304">
        <v>538</v>
      </c>
      <c r="K304">
        <v>486</v>
      </c>
      <c r="L304">
        <v>596</v>
      </c>
      <c r="M304">
        <v>489</v>
      </c>
      <c r="N304">
        <v>578</v>
      </c>
    </row>
    <row r="305" spans="1:29" x14ac:dyDescent="0.3">
      <c r="A305">
        <v>2010</v>
      </c>
      <c r="B305">
        <v>276</v>
      </c>
      <c r="C305">
        <v>173</v>
      </c>
      <c r="D305">
        <v>265</v>
      </c>
      <c r="E305">
        <v>378</v>
      </c>
      <c r="F305">
        <v>551</v>
      </c>
      <c r="G305">
        <v>670</v>
      </c>
      <c r="H305">
        <v>766</v>
      </c>
      <c r="I305">
        <v>860</v>
      </c>
      <c r="J305">
        <v>865</v>
      </c>
      <c r="K305">
        <v>910</v>
      </c>
      <c r="L305">
        <v>911</v>
      </c>
      <c r="M305">
        <v>923</v>
      </c>
      <c r="N305">
        <v>629</v>
      </c>
    </row>
    <row r="306" spans="1:29" x14ac:dyDescent="0.3">
      <c r="A306">
        <v>2011</v>
      </c>
      <c r="B306">
        <v>790</v>
      </c>
      <c r="C306">
        <v>524</v>
      </c>
      <c r="D306">
        <v>517</v>
      </c>
      <c r="E306">
        <v>614</v>
      </c>
      <c r="F306">
        <v>820</v>
      </c>
      <c r="G306">
        <v>865</v>
      </c>
      <c r="H306">
        <v>780</v>
      </c>
      <c r="I306">
        <v>718</v>
      </c>
      <c r="J306">
        <v>662</v>
      </c>
      <c r="K306">
        <v>687</v>
      </c>
      <c r="L306">
        <v>789</v>
      </c>
      <c r="M306">
        <v>894</v>
      </c>
      <c r="N306">
        <v>722</v>
      </c>
    </row>
    <row r="307" spans="1:29" x14ac:dyDescent="0.3">
      <c r="A307">
        <v>2012</v>
      </c>
      <c r="B307">
        <v>784</v>
      </c>
      <c r="C307">
        <v>539</v>
      </c>
      <c r="D307">
        <v>385</v>
      </c>
      <c r="E307">
        <v>516</v>
      </c>
      <c r="F307">
        <v>692</v>
      </c>
      <c r="G307">
        <v>655</v>
      </c>
      <c r="H307">
        <v>506</v>
      </c>
      <c r="I307">
        <v>493</v>
      </c>
      <c r="J307">
        <v>511</v>
      </c>
      <c r="K307">
        <v>506</v>
      </c>
      <c r="L307">
        <v>592</v>
      </c>
      <c r="M307">
        <v>532</v>
      </c>
      <c r="N307">
        <v>559</v>
      </c>
    </row>
    <row r="308" spans="1:29" x14ac:dyDescent="0.3">
      <c r="A308">
        <v>2013</v>
      </c>
      <c r="B308">
        <v>303</v>
      </c>
      <c r="C308">
        <v>262</v>
      </c>
      <c r="D308">
        <v>324</v>
      </c>
      <c r="E308">
        <v>361</v>
      </c>
      <c r="F308">
        <v>496</v>
      </c>
      <c r="G308">
        <v>612</v>
      </c>
      <c r="H308">
        <v>520</v>
      </c>
      <c r="I308">
        <v>453</v>
      </c>
      <c r="J308">
        <v>563</v>
      </c>
      <c r="K308">
        <v>591</v>
      </c>
      <c r="L308">
        <v>629</v>
      </c>
      <c r="M308">
        <v>622</v>
      </c>
      <c r="N308">
        <v>478</v>
      </c>
    </row>
    <row r="309" spans="1:29" x14ac:dyDescent="0.3">
      <c r="A309">
        <v>2014</v>
      </c>
      <c r="B309">
        <v>466</v>
      </c>
      <c r="C309">
        <v>322</v>
      </c>
      <c r="D309">
        <v>386</v>
      </c>
      <c r="E309">
        <v>348</v>
      </c>
      <c r="F309">
        <v>509</v>
      </c>
      <c r="G309">
        <v>520</v>
      </c>
      <c r="H309">
        <v>398</v>
      </c>
      <c r="I309">
        <v>356</v>
      </c>
      <c r="J309">
        <v>449</v>
      </c>
      <c r="K309">
        <v>543</v>
      </c>
      <c r="L309">
        <v>617</v>
      </c>
      <c r="M309">
        <v>626</v>
      </c>
      <c r="N309">
        <v>462</v>
      </c>
    </row>
    <row r="310" spans="1:29" x14ac:dyDescent="0.3">
      <c r="A310">
        <v>2015</v>
      </c>
      <c r="B310">
        <v>381</v>
      </c>
      <c r="C310">
        <v>341</v>
      </c>
      <c r="D310">
        <v>283</v>
      </c>
      <c r="E310">
        <v>408</v>
      </c>
      <c r="F310">
        <v>424</v>
      </c>
      <c r="G310">
        <v>475</v>
      </c>
      <c r="H310">
        <v>369</v>
      </c>
      <c r="I310">
        <v>353</v>
      </c>
      <c r="J310">
        <v>374</v>
      </c>
      <c r="K310">
        <v>367</v>
      </c>
      <c r="L310">
        <v>469</v>
      </c>
      <c r="M310">
        <v>370</v>
      </c>
      <c r="N310">
        <v>385</v>
      </c>
    </row>
    <row r="312" spans="1:29" x14ac:dyDescent="0.3">
      <c r="A312" t="s">
        <v>110</v>
      </c>
      <c r="B312">
        <v>525</v>
      </c>
      <c r="C312">
        <v>363</v>
      </c>
      <c r="D312">
        <v>341</v>
      </c>
      <c r="E312">
        <v>411</v>
      </c>
      <c r="F312">
        <v>542</v>
      </c>
      <c r="G312">
        <v>617</v>
      </c>
      <c r="H312">
        <v>595</v>
      </c>
      <c r="I312">
        <v>554</v>
      </c>
      <c r="J312">
        <v>569</v>
      </c>
      <c r="K312">
        <v>634</v>
      </c>
      <c r="L312">
        <v>707</v>
      </c>
      <c r="M312">
        <v>696</v>
      </c>
      <c r="N312">
        <v>546</v>
      </c>
    </row>
    <row r="313" spans="1:29" x14ac:dyDescent="0.3">
      <c r="A313" t="s">
        <v>111</v>
      </c>
      <c r="B313">
        <v>790</v>
      </c>
      <c r="C313">
        <v>637</v>
      </c>
      <c r="D313">
        <v>646</v>
      </c>
      <c r="E313">
        <v>663</v>
      </c>
      <c r="F313">
        <v>820</v>
      </c>
      <c r="G313">
        <v>865</v>
      </c>
      <c r="H313">
        <v>803</v>
      </c>
      <c r="I313">
        <v>860</v>
      </c>
      <c r="J313">
        <v>865</v>
      </c>
      <c r="K313">
        <v>910</v>
      </c>
      <c r="L313">
        <v>911</v>
      </c>
      <c r="M313">
        <v>923</v>
      </c>
      <c r="N313">
        <v>923</v>
      </c>
    </row>
    <row r="314" spans="1:29" x14ac:dyDescent="0.3">
      <c r="A314" t="s">
        <v>112</v>
      </c>
      <c r="B314">
        <v>226</v>
      </c>
      <c r="C314">
        <v>162</v>
      </c>
      <c r="D314">
        <v>148</v>
      </c>
      <c r="E314">
        <v>195</v>
      </c>
      <c r="F314">
        <v>354</v>
      </c>
      <c r="G314">
        <v>423</v>
      </c>
      <c r="H314">
        <v>369</v>
      </c>
      <c r="I314">
        <v>353</v>
      </c>
      <c r="J314">
        <v>348</v>
      </c>
      <c r="K314">
        <v>367</v>
      </c>
      <c r="L314">
        <v>469</v>
      </c>
      <c r="M314">
        <v>370</v>
      </c>
      <c r="N314">
        <v>148</v>
      </c>
    </row>
    <row r="315" spans="1:29" x14ac:dyDescent="0.3">
      <c r="A315" t="s">
        <v>0</v>
      </c>
      <c r="F315" t="s">
        <v>1</v>
      </c>
      <c r="G315" t="s">
        <v>2</v>
      </c>
      <c r="H315" t="s">
        <v>3</v>
      </c>
      <c r="I315" t="s">
        <v>4</v>
      </c>
      <c r="J315" t="s">
        <v>5</v>
      </c>
      <c r="K315" t="s">
        <v>6</v>
      </c>
      <c r="L315" t="s">
        <v>7</v>
      </c>
      <c r="M315" t="s">
        <v>8</v>
      </c>
      <c r="N315" t="s">
        <v>9</v>
      </c>
      <c r="O315" t="s">
        <v>10</v>
      </c>
      <c r="P315" t="s">
        <v>11</v>
      </c>
      <c r="Q315" t="s">
        <v>12</v>
      </c>
      <c r="R315" t="s">
        <v>13</v>
      </c>
      <c r="S315" t="s">
        <v>14</v>
      </c>
      <c r="T315" t="s">
        <v>15</v>
      </c>
      <c r="U315" t="s">
        <v>16</v>
      </c>
      <c r="V315" t="s">
        <v>17</v>
      </c>
    </row>
    <row r="316" spans="1:29" x14ac:dyDescent="0.3">
      <c r="Y316" t="s">
        <v>18</v>
      </c>
      <c r="Z316" t="s">
        <v>19</v>
      </c>
      <c r="AA316" t="s">
        <v>20</v>
      </c>
      <c r="AB316" t="s">
        <v>21</v>
      </c>
      <c r="AC316" t="s">
        <v>22</v>
      </c>
    </row>
    <row r="317" spans="1:29" x14ac:dyDescent="0.3">
      <c r="A317" s="1" t="s">
        <v>129</v>
      </c>
      <c r="H317" t="s">
        <v>23</v>
      </c>
      <c r="I317" t="s">
        <v>24</v>
      </c>
      <c r="J317" t="s">
        <v>113</v>
      </c>
      <c r="K317" t="s">
        <v>114</v>
      </c>
      <c r="L317" t="s">
        <v>115</v>
      </c>
      <c r="M317" t="s">
        <v>27</v>
      </c>
      <c r="N317" t="s">
        <v>28</v>
      </c>
      <c r="O317" t="s">
        <v>117</v>
      </c>
      <c r="P317" t="s">
        <v>118</v>
      </c>
      <c r="Q317" t="s">
        <v>119</v>
      </c>
      <c r="R317" t="s">
        <v>120</v>
      </c>
      <c r="Y317" t="s">
        <v>22</v>
      </c>
      <c r="Z317" t="s">
        <v>33</v>
      </c>
      <c r="AA317" t="s">
        <v>34</v>
      </c>
      <c r="AB317" t="s">
        <v>35</v>
      </c>
    </row>
    <row r="318" spans="1:29" x14ac:dyDescent="0.3">
      <c r="A318" s="1" t="s">
        <v>133</v>
      </c>
    </row>
    <row r="319" spans="1:29" x14ac:dyDescent="0.3">
      <c r="A319" t="s">
        <v>36</v>
      </c>
      <c r="B319" t="s">
        <v>37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>
        <v>29</v>
      </c>
      <c r="U319" t="s">
        <v>43</v>
      </c>
      <c r="V319" t="s">
        <v>44</v>
      </c>
      <c r="W319" t="s">
        <v>40</v>
      </c>
      <c r="X319">
        <v>290370</v>
      </c>
      <c r="Y319">
        <v>20</v>
      </c>
      <c r="Z319" t="s">
        <v>45</v>
      </c>
      <c r="AA319" t="s">
        <v>46</v>
      </c>
    </row>
    <row r="321" spans="1:29" x14ac:dyDescent="0.3">
      <c r="A321" t="s">
        <v>47</v>
      </c>
      <c r="B321" t="s">
        <v>48</v>
      </c>
      <c r="C321" t="s">
        <v>49</v>
      </c>
      <c r="D321">
        <v>1015</v>
      </c>
      <c r="E321" t="s">
        <v>22</v>
      </c>
      <c r="H321" t="s">
        <v>50</v>
      </c>
      <c r="I321" t="s">
        <v>51</v>
      </c>
      <c r="J321" t="s">
        <v>52</v>
      </c>
      <c r="K321" t="s">
        <v>53</v>
      </c>
      <c r="P321" t="s">
        <v>54</v>
      </c>
      <c r="R321" t="s">
        <v>55</v>
      </c>
      <c r="S321" t="s">
        <v>56</v>
      </c>
      <c r="T321" t="s">
        <v>57</v>
      </c>
      <c r="X321" t="s">
        <v>58</v>
      </c>
      <c r="Y321" t="s">
        <v>4</v>
      </c>
      <c r="Z321" t="s">
        <v>59</v>
      </c>
      <c r="AA321" t="s">
        <v>60</v>
      </c>
      <c r="AB321" t="s">
        <v>61</v>
      </c>
      <c r="AC321" t="s">
        <v>47</v>
      </c>
    </row>
    <row r="322" spans="1:29" x14ac:dyDescent="0.3">
      <c r="A322" t="s">
        <v>47</v>
      </c>
      <c r="B322" t="s">
        <v>62</v>
      </c>
      <c r="C322" t="s">
        <v>63</v>
      </c>
      <c r="D322">
        <v>7454</v>
      </c>
      <c r="E322" t="s">
        <v>64</v>
      </c>
      <c r="H322" t="s">
        <v>65</v>
      </c>
      <c r="I322" t="s">
        <v>66</v>
      </c>
      <c r="J322" t="s">
        <v>67</v>
      </c>
      <c r="K322">
        <v>1</v>
      </c>
      <c r="L322" t="s">
        <v>68</v>
      </c>
      <c r="M322" t="s">
        <v>69</v>
      </c>
      <c r="P322" t="s">
        <v>70</v>
      </c>
      <c r="Q322" t="s">
        <v>71</v>
      </c>
      <c r="R322" t="s">
        <v>72</v>
      </c>
      <c r="S322" t="s">
        <v>73</v>
      </c>
      <c r="T322" t="s">
        <v>57</v>
      </c>
      <c r="X322" t="s">
        <v>58</v>
      </c>
      <c r="Y322" t="s">
        <v>74</v>
      </c>
      <c r="Z322" t="s">
        <v>75</v>
      </c>
      <c r="AA322" t="s">
        <v>22</v>
      </c>
    </row>
    <row r="323" spans="1:29" x14ac:dyDescent="0.3">
      <c r="A323" t="s">
        <v>76</v>
      </c>
      <c r="B323" t="s">
        <v>77</v>
      </c>
      <c r="C323" t="s">
        <v>78</v>
      </c>
      <c r="D323">
        <v>8</v>
      </c>
      <c r="E323" t="s">
        <v>79</v>
      </c>
      <c r="F323" t="s">
        <v>80</v>
      </c>
      <c r="H323" t="s">
        <v>81</v>
      </c>
      <c r="I323" t="s">
        <v>82</v>
      </c>
      <c r="J323" t="s">
        <v>83</v>
      </c>
      <c r="K323">
        <v>2</v>
      </c>
      <c r="L323" t="s">
        <v>84</v>
      </c>
      <c r="M323" t="s">
        <v>85</v>
      </c>
      <c r="N323" t="s">
        <v>86</v>
      </c>
      <c r="P323" t="s">
        <v>87</v>
      </c>
      <c r="Q323" t="s">
        <v>88</v>
      </c>
      <c r="R323" t="s">
        <v>89</v>
      </c>
      <c r="S323" t="s">
        <v>90</v>
      </c>
      <c r="T323" t="s">
        <v>91</v>
      </c>
    </row>
    <row r="325" spans="1:29" x14ac:dyDescent="0.3">
      <c r="A325" t="s">
        <v>92</v>
      </c>
      <c r="B325" t="s">
        <v>93</v>
      </c>
      <c r="C325" t="s">
        <v>93</v>
      </c>
      <c r="D325" t="s">
        <v>93</v>
      </c>
      <c r="E325" t="s">
        <v>93</v>
      </c>
      <c r="F325" t="s">
        <v>93</v>
      </c>
      <c r="G325" t="s">
        <v>93</v>
      </c>
      <c r="H325" t="s">
        <v>93</v>
      </c>
      <c r="I325" t="s">
        <v>93</v>
      </c>
      <c r="J325" t="s">
        <v>93</v>
      </c>
      <c r="K325" t="s">
        <v>93</v>
      </c>
      <c r="L325" t="s">
        <v>93</v>
      </c>
      <c r="M325" t="s">
        <v>93</v>
      </c>
      <c r="N325" t="s">
        <v>94</v>
      </c>
      <c r="O325" t="s">
        <v>95</v>
      </c>
    </row>
    <row r="326" spans="1:29" x14ac:dyDescent="0.3">
      <c r="A326" t="s">
        <v>96</v>
      </c>
      <c r="B326" t="s">
        <v>97</v>
      </c>
      <c r="C326" t="s">
        <v>98</v>
      </c>
      <c r="D326" t="s">
        <v>99</v>
      </c>
      <c r="E326" t="s">
        <v>100</v>
      </c>
      <c r="F326" t="s">
        <v>101</v>
      </c>
      <c r="G326" t="s">
        <v>102</v>
      </c>
      <c r="H326" t="s">
        <v>103</v>
      </c>
      <c r="I326" t="s">
        <v>104</v>
      </c>
      <c r="J326" t="s">
        <v>105</v>
      </c>
      <c r="K326" t="s">
        <v>106</v>
      </c>
      <c r="L326" t="s">
        <v>107</v>
      </c>
      <c r="M326" t="s">
        <v>108</v>
      </c>
      <c r="N326" t="s">
        <v>109</v>
      </c>
      <c r="O326" t="s">
        <v>95</v>
      </c>
    </row>
    <row r="327" spans="1:29" x14ac:dyDescent="0.3">
      <c r="A327" t="s">
        <v>92</v>
      </c>
      <c r="B327" t="s">
        <v>93</v>
      </c>
      <c r="C327" t="s">
        <v>93</v>
      </c>
      <c r="D327" t="s">
        <v>93</v>
      </c>
      <c r="E327" t="s">
        <v>93</v>
      </c>
      <c r="F327" t="s">
        <v>93</v>
      </c>
      <c r="G327" t="s">
        <v>93</v>
      </c>
      <c r="H327" t="s">
        <v>93</v>
      </c>
      <c r="I327" t="s">
        <v>93</v>
      </c>
      <c r="J327" t="s">
        <v>93</v>
      </c>
      <c r="K327" t="s">
        <v>93</v>
      </c>
      <c r="L327" t="s">
        <v>93</v>
      </c>
      <c r="M327" t="s">
        <v>93</v>
      </c>
      <c r="N327" t="s">
        <v>94</v>
      </c>
      <c r="O327" t="s">
        <v>95</v>
      </c>
    </row>
    <row r="329" spans="1:29" x14ac:dyDescent="0.3">
      <c r="A329">
        <v>1971</v>
      </c>
      <c r="B329">
        <v>800</v>
      </c>
      <c r="C329">
        <v>696</v>
      </c>
      <c r="D329">
        <v>599</v>
      </c>
      <c r="E329">
        <v>655</v>
      </c>
      <c r="F329">
        <v>729</v>
      </c>
      <c r="G329">
        <v>809</v>
      </c>
      <c r="H329">
        <v>797</v>
      </c>
      <c r="I329">
        <v>695</v>
      </c>
      <c r="J329">
        <v>755</v>
      </c>
      <c r="K329">
        <v>789</v>
      </c>
      <c r="L329">
        <v>835</v>
      </c>
      <c r="M329">
        <v>833</v>
      </c>
      <c r="N329">
        <v>835</v>
      </c>
    </row>
    <row r="330" spans="1:29" x14ac:dyDescent="0.3">
      <c r="A330">
        <v>1972</v>
      </c>
      <c r="B330">
        <v>601</v>
      </c>
      <c r="C330">
        <v>502</v>
      </c>
      <c r="D330">
        <v>406</v>
      </c>
      <c r="E330">
        <v>510</v>
      </c>
      <c r="F330">
        <v>656</v>
      </c>
      <c r="G330">
        <v>744</v>
      </c>
      <c r="H330">
        <v>743</v>
      </c>
      <c r="I330">
        <v>577</v>
      </c>
      <c r="J330">
        <v>528</v>
      </c>
      <c r="K330">
        <v>560</v>
      </c>
      <c r="L330">
        <v>623</v>
      </c>
      <c r="M330">
        <v>623</v>
      </c>
      <c r="N330">
        <v>744</v>
      </c>
    </row>
    <row r="331" spans="1:29" x14ac:dyDescent="0.3">
      <c r="A331">
        <v>1973</v>
      </c>
      <c r="B331">
        <v>480</v>
      </c>
      <c r="C331">
        <v>225</v>
      </c>
      <c r="D331">
        <v>220</v>
      </c>
      <c r="E331">
        <v>318</v>
      </c>
      <c r="F331">
        <v>420</v>
      </c>
      <c r="G331">
        <v>507</v>
      </c>
      <c r="H331">
        <v>525</v>
      </c>
      <c r="I331">
        <v>598</v>
      </c>
      <c r="J331">
        <v>713</v>
      </c>
      <c r="K331">
        <v>827</v>
      </c>
      <c r="L331">
        <v>830</v>
      </c>
      <c r="M331">
        <v>849</v>
      </c>
      <c r="N331">
        <v>849</v>
      </c>
      <c r="O331">
        <v>3</v>
      </c>
    </row>
    <row r="332" spans="1:29" x14ac:dyDescent="0.3">
      <c r="A332">
        <v>1974</v>
      </c>
      <c r="B332">
        <v>817</v>
      </c>
      <c r="C332">
        <v>612</v>
      </c>
      <c r="D332">
        <v>522</v>
      </c>
      <c r="E332">
        <v>488</v>
      </c>
      <c r="F332">
        <v>607</v>
      </c>
      <c r="G332">
        <v>611</v>
      </c>
      <c r="H332">
        <v>586</v>
      </c>
      <c r="I332">
        <v>550</v>
      </c>
      <c r="J332">
        <v>617</v>
      </c>
      <c r="K332">
        <v>792</v>
      </c>
      <c r="L332">
        <v>859</v>
      </c>
      <c r="M332">
        <v>859</v>
      </c>
      <c r="N332">
        <v>859</v>
      </c>
    </row>
    <row r="333" spans="1:29" x14ac:dyDescent="0.3">
      <c r="A333">
        <v>1975</v>
      </c>
      <c r="B333">
        <v>724</v>
      </c>
      <c r="C333">
        <v>336</v>
      </c>
      <c r="D333">
        <v>426</v>
      </c>
      <c r="E333">
        <v>374</v>
      </c>
      <c r="F333">
        <v>540</v>
      </c>
      <c r="G333">
        <v>583</v>
      </c>
      <c r="H333">
        <v>655</v>
      </c>
      <c r="I333">
        <v>668</v>
      </c>
      <c r="J333">
        <v>752</v>
      </c>
      <c r="K333">
        <v>828</v>
      </c>
      <c r="L333">
        <v>885</v>
      </c>
      <c r="M333">
        <v>885</v>
      </c>
      <c r="N333">
        <v>885</v>
      </c>
      <c r="O333">
        <v>3</v>
      </c>
    </row>
    <row r="334" spans="1:29" x14ac:dyDescent="0.3">
      <c r="A334">
        <v>1976</v>
      </c>
      <c r="B334">
        <v>812</v>
      </c>
      <c r="C334">
        <v>560</v>
      </c>
      <c r="D334">
        <v>423</v>
      </c>
      <c r="E334">
        <v>512</v>
      </c>
      <c r="F334">
        <v>594</v>
      </c>
      <c r="G334">
        <v>615</v>
      </c>
      <c r="H334">
        <v>594</v>
      </c>
      <c r="I334">
        <v>498</v>
      </c>
      <c r="J334">
        <v>402</v>
      </c>
      <c r="K334">
        <v>603</v>
      </c>
      <c r="L334">
        <v>665</v>
      </c>
      <c r="M334">
        <v>632</v>
      </c>
      <c r="N334">
        <v>812</v>
      </c>
    </row>
    <row r="335" spans="1:29" x14ac:dyDescent="0.3">
      <c r="A335">
        <v>1977</v>
      </c>
      <c r="B335">
        <v>379</v>
      </c>
      <c r="C335">
        <v>197</v>
      </c>
      <c r="D335">
        <v>183</v>
      </c>
      <c r="E335">
        <v>276</v>
      </c>
      <c r="F335">
        <v>442</v>
      </c>
      <c r="G335">
        <v>526</v>
      </c>
      <c r="H335">
        <v>505</v>
      </c>
      <c r="I335">
        <v>513</v>
      </c>
      <c r="J335">
        <v>484</v>
      </c>
      <c r="K335">
        <v>670</v>
      </c>
      <c r="L335">
        <v>743</v>
      </c>
      <c r="M335">
        <v>745</v>
      </c>
      <c r="N335">
        <v>745</v>
      </c>
      <c r="O335">
        <v>3</v>
      </c>
    </row>
    <row r="336" spans="1:29" x14ac:dyDescent="0.3">
      <c r="A336">
        <v>1978</v>
      </c>
      <c r="B336">
        <v>534</v>
      </c>
      <c r="C336">
        <v>253</v>
      </c>
      <c r="D336">
        <v>278</v>
      </c>
      <c r="E336">
        <v>557</v>
      </c>
      <c r="F336">
        <v>623</v>
      </c>
      <c r="G336">
        <v>659</v>
      </c>
      <c r="H336">
        <v>650</v>
      </c>
      <c r="I336">
        <v>587</v>
      </c>
      <c r="J336">
        <v>530</v>
      </c>
      <c r="K336">
        <v>660</v>
      </c>
      <c r="L336">
        <v>693</v>
      </c>
      <c r="M336">
        <v>686</v>
      </c>
      <c r="N336">
        <v>693</v>
      </c>
    </row>
    <row r="337" spans="1:15" x14ac:dyDescent="0.3">
      <c r="A337">
        <v>1979</v>
      </c>
      <c r="B337">
        <v>588</v>
      </c>
      <c r="C337">
        <v>266</v>
      </c>
      <c r="D337">
        <v>316</v>
      </c>
      <c r="E337">
        <v>431</v>
      </c>
      <c r="F337">
        <v>567</v>
      </c>
      <c r="G337">
        <v>670</v>
      </c>
      <c r="H337">
        <v>669</v>
      </c>
      <c r="I337">
        <v>572</v>
      </c>
      <c r="J337">
        <v>640</v>
      </c>
      <c r="K337">
        <v>685</v>
      </c>
      <c r="L337">
        <v>800</v>
      </c>
      <c r="M337">
        <v>814</v>
      </c>
      <c r="N337">
        <v>814</v>
      </c>
    </row>
    <row r="338" spans="1:15" x14ac:dyDescent="0.3">
      <c r="A338">
        <v>1980</v>
      </c>
      <c r="B338">
        <v>706</v>
      </c>
      <c r="C338">
        <v>408</v>
      </c>
      <c r="D338">
        <v>318</v>
      </c>
      <c r="E338">
        <v>344</v>
      </c>
      <c r="F338">
        <v>438</v>
      </c>
      <c r="G338">
        <v>522</v>
      </c>
      <c r="H338">
        <v>505</v>
      </c>
      <c r="I338">
        <v>476</v>
      </c>
      <c r="J338">
        <v>501</v>
      </c>
      <c r="K338">
        <v>626</v>
      </c>
      <c r="L338">
        <v>657</v>
      </c>
      <c r="M338">
        <v>656</v>
      </c>
      <c r="N338">
        <v>706</v>
      </c>
      <c r="O338">
        <v>3</v>
      </c>
    </row>
    <row r="339" spans="1:15" x14ac:dyDescent="0.3">
      <c r="A339">
        <v>1981</v>
      </c>
      <c r="B339">
        <v>574</v>
      </c>
      <c r="C339">
        <v>364</v>
      </c>
      <c r="D339">
        <v>404</v>
      </c>
      <c r="E339">
        <v>521</v>
      </c>
      <c r="F339">
        <v>719</v>
      </c>
      <c r="G339">
        <v>839</v>
      </c>
      <c r="H339">
        <v>837</v>
      </c>
      <c r="I339">
        <v>763</v>
      </c>
      <c r="J339">
        <v>668</v>
      </c>
      <c r="K339">
        <v>668</v>
      </c>
      <c r="L339">
        <v>723</v>
      </c>
      <c r="M339">
        <v>733</v>
      </c>
      <c r="N339">
        <v>839</v>
      </c>
    </row>
    <row r="340" spans="1:15" x14ac:dyDescent="0.3">
      <c r="A340">
        <v>1982</v>
      </c>
      <c r="B340">
        <v>668</v>
      </c>
      <c r="C340">
        <v>509</v>
      </c>
      <c r="D340">
        <v>467</v>
      </c>
      <c r="E340">
        <v>593</v>
      </c>
      <c r="F340">
        <v>738</v>
      </c>
      <c r="G340">
        <v>797</v>
      </c>
      <c r="H340">
        <v>785</v>
      </c>
      <c r="I340">
        <v>599</v>
      </c>
      <c r="J340">
        <v>524</v>
      </c>
      <c r="K340">
        <v>662</v>
      </c>
      <c r="L340">
        <v>697</v>
      </c>
      <c r="M340">
        <v>667</v>
      </c>
      <c r="N340">
        <v>797</v>
      </c>
    </row>
    <row r="341" spans="1:15" x14ac:dyDescent="0.3">
      <c r="A341">
        <v>1983</v>
      </c>
      <c r="B341">
        <v>500</v>
      </c>
      <c r="C341">
        <v>239</v>
      </c>
      <c r="D341">
        <v>265</v>
      </c>
      <c r="E341">
        <v>519</v>
      </c>
      <c r="F341">
        <v>598</v>
      </c>
      <c r="G341">
        <v>635</v>
      </c>
      <c r="H341">
        <v>576</v>
      </c>
      <c r="I341">
        <v>506</v>
      </c>
      <c r="J341">
        <v>546</v>
      </c>
      <c r="K341">
        <v>594</v>
      </c>
      <c r="L341">
        <v>621</v>
      </c>
      <c r="M341">
        <v>583</v>
      </c>
      <c r="N341">
        <v>635</v>
      </c>
    </row>
    <row r="342" spans="1:15" x14ac:dyDescent="0.3">
      <c r="A342">
        <v>1984</v>
      </c>
      <c r="B342">
        <v>560</v>
      </c>
      <c r="C342">
        <v>450</v>
      </c>
      <c r="D342">
        <v>442</v>
      </c>
      <c r="E342">
        <v>389</v>
      </c>
      <c r="F342">
        <v>571</v>
      </c>
      <c r="G342">
        <v>675</v>
      </c>
      <c r="H342">
        <v>725</v>
      </c>
      <c r="I342">
        <v>725</v>
      </c>
      <c r="J342">
        <v>713</v>
      </c>
      <c r="K342">
        <v>783</v>
      </c>
      <c r="L342">
        <v>863</v>
      </c>
      <c r="M342">
        <v>863</v>
      </c>
      <c r="N342">
        <v>863</v>
      </c>
    </row>
    <row r="343" spans="1:15" x14ac:dyDescent="0.3">
      <c r="A343">
        <v>1985</v>
      </c>
      <c r="B343">
        <v>720</v>
      </c>
      <c r="C343">
        <v>431</v>
      </c>
      <c r="D343">
        <v>262</v>
      </c>
      <c r="E343">
        <v>362</v>
      </c>
      <c r="F343">
        <v>473</v>
      </c>
      <c r="G343">
        <v>515</v>
      </c>
      <c r="H343">
        <v>415</v>
      </c>
      <c r="I343">
        <v>539</v>
      </c>
      <c r="J343">
        <v>597</v>
      </c>
      <c r="K343">
        <v>657</v>
      </c>
      <c r="L343">
        <v>683</v>
      </c>
      <c r="M343">
        <v>696</v>
      </c>
      <c r="N343">
        <v>720</v>
      </c>
    </row>
    <row r="344" spans="1:15" x14ac:dyDescent="0.3">
      <c r="A344">
        <v>1986</v>
      </c>
      <c r="B344">
        <v>564</v>
      </c>
      <c r="C344">
        <v>390</v>
      </c>
      <c r="D344">
        <v>397</v>
      </c>
      <c r="E344">
        <v>525</v>
      </c>
      <c r="F344">
        <v>574</v>
      </c>
      <c r="G344">
        <v>619</v>
      </c>
      <c r="H344">
        <v>606</v>
      </c>
      <c r="I344">
        <v>490</v>
      </c>
      <c r="J344">
        <v>441</v>
      </c>
      <c r="K344">
        <v>653</v>
      </c>
      <c r="L344">
        <v>711</v>
      </c>
      <c r="M344">
        <v>710</v>
      </c>
      <c r="N344">
        <v>711</v>
      </c>
    </row>
    <row r="345" spans="1:15" x14ac:dyDescent="0.3">
      <c r="A345">
        <v>1987</v>
      </c>
      <c r="B345">
        <v>486</v>
      </c>
      <c r="C345">
        <v>265</v>
      </c>
      <c r="D345">
        <v>222</v>
      </c>
      <c r="E345">
        <v>346</v>
      </c>
      <c r="F345">
        <v>538</v>
      </c>
      <c r="G345">
        <v>540</v>
      </c>
      <c r="H345">
        <v>477</v>
      </c>
      <c r="I345">
        <v>580</v>
      </c>
      <c r="J345">
        <v>580</v>
      </c>
      <c r="K345">
        <v>689</v>
      </c>
      <c r="L345">
        <v>762</v>
      </c>
      <c r="M345">
        <v>760</v>
      </c>
      <c r="N345">
        <v>762</v>
      </c>
    </row>
    <row r="346" spans="1:15" x14ac:dyDescent="0.3">
      <c r="A346">
        <v>1988</v>
      </c>
      <c r="B346">
        <v>659</v>
      </c>
      <c r="C346">
        <v>318</v>
      </c>
      <c r="D346">
        <v>298</v>
      </c>
      <c r="E346">
        <v>390</v>
      </c>
      <c r="F346">
        <v>448</v>
      </c>
      <c r="G346">
        <v>554</v>
      </c>
      <c r="H346">
        <v>641</v>
      </c>
      <c r="I346">
        <v>715</v>
      </c>
      <c r="J346">
        <v>801</v>
      </c>
      <c r="K346">
        <v>829</v>
      </c>
      <c r="L346">
        <v>838</v>
      </c>
      <c r="M346">
        <v>853</v>
      </c>
      <c r="N346">
        <v>853</v>
      </c>
    </row>
    <row r="347" spans="1:15" x14ac:dyDescent="0.3">
      <c r="A347">
        <v>1989</v>
      </c>
      <c r="B347">
        <v>812</v>
      </c>
      <c r="C347">
        <v>622</v>
      </c>
      <c r="D347">
        <v>482</v>
      </c>
      <c r="E347">
        <v>479</v>
      </c>
      <c r="F347">
        <v>536</v>
      </c>
      <c r="G347">
        <v>550</v>
      </c>
      <c r="H347">
        <v>547</v>
      </c>
      <c r="I347">
        <v>528</v>
      </c>
      <c r="J347">
        <v>650</v>
      </c>
      <c r="K347">
        <v>722</v>
      </c>
      <c r="L347">
        <v>758</v>
      </c>
      <c r="M347">
        <v>742</v>
      </c>
      <c r="N347">
        <v>812</v>
      </c>
    </row>
    <row r="348" spans="1:15" x14ac:dyDescent="0.3">
      <c r="A348">
        <v>1990</v>
      </c>
      <c r="B348">
        <v>584</v>
      </c>
      <c r="C348">
        <v>357</v>
      </c>
      <c r="D348">
        <v>335</v>
      </c>
      <c r="E348">
        <v>426</v>
      </c>
      <c r="F348">
        <v>559</v>
      </c>
      <c r="G348">
        <v>564</v>
      </c>
      <c r="H348">
        <v>522</v>
      </c>
      <c r="I348">
        <v>492</v>
      </c>
      <c r="J348">
        <v>481</v>
      </c>
      <c r="K348">
        <v>640</v>
      </c>
      <c r="L348">
        <v>702</v>
      </c>
      <c r="M348">
        <v>712</v>
      </c>
      <c r="N348">
        <v>712</v>
      </c>
    </row>
    <row r="349" spans="1:15" x14ac:dyDescent="0.3">
      <c r="A349">
        <v>1991</v>
      </c>
      <c r="B349">
        <v>627</v>
      </c>
      <c r="C349">
        <v>310</v>
      </c>
      <c r="D349">
        <v>349</v>
      </c>
      <c r="E349">
        <v>385</v>
      </c>
      <c r="F349">
        <v>519</v>
      </c>
      <c r="G349">
        <v>519</v>
      </c>
      <c r="H349">
        <v>489</v>
      </c>
      <c r="I349">
        <v>468</v>
      </c>
      <c r="J349">
        <v>471</v>
      </c>
      <c r="K349">
        <v>553</v>
      </c>
      <c r="L349">
        <v>595</v>
      </c>
      <c r="M349">
        <v>602</v>
      </c>
      <c r="N349">
        <v>627</v>
      </c>
      <c r="O349">
        <v>3</v>
      </c>
    </row>
    <row r="350" spans="1:15" x14ac:dyDescent="0.3">
      <c r="A350">
        <v>1992</v>
      </c>
      <c r="B350">
        <v>472</v>
      </c>
      <c r="C350">
        <v>255</v>
      </c>
      <c r="D350">
        <v>227</v>
      </c>
      <c r="E350">
        <v>277</v>
      </c>
      <c r="F350">
        <v>429</v>
      </c>
      <c r="G350">
        <v>456</v>
      </c>
      <c r="H350">
        <v>421</v>
      </c>
      <c r="I350">
        <v>464</v>
      </c>
      <c r="J350">
        <v>514</v>
      </c>
      <c r="K350">
        <v>534</v>
      </c>
      <c r="L350">
        <v>537</v>
      </c>
      <c r="M350">
        <v>559</v>
      </c>
      <c r="N350">
        <v>559</v>
      </c>
    </row>
    <row r="351" spans="1:15" x14ac:dyDescent="0.3">
      <c r="A351">
        <v>1993</v>
      </c>
      <c r="B351">
        <v>447</v>
      </c>
      <c r="C351">
        <v>328</v>
      </c>
      <c r="D351">
        <v>367</v>
      </c>
      <c r="E351">
        <v>476</v>
      </c>
      <c r="F351">
        <v>616</v>
      </c>
      <c r="G351">
        <v>633</v>
      </c>
      <c r="H351">
        <v>601</v>
      </c>
      <c r="I351">
        <v>524</v>
      </c>
      <c r="J351">
        <v>603</v>
      </c>
      <c r="K351">
        <v>618</v>
      </c>
      <c r="L351">
        <v>678</v>
      </c>
      <c r="M351">
        <v>724</v>
      </c>
      <c r="N351">
        <v>724</v>
      </c>
    </row>
    <row r="352" spans="1:15" x14ac:dyDescent="0.3">
      <c r="A352">
        <v>1994</v>
      </c>
      <c r="B352">
        <v>714</v>
      </c>
      <c r="C352">
        <v>468</v>
      </c>
      <c r="D352">
        <v>432</v>
      </c>
      <c r="E352">
        <v>549</v>
      </c>
      <c r="F352">
        <v>643</v>
      </c>
      <c r="G352">
        <v>675</v>
      </c>
      <c r="H352">
        <v>659</v>
      </c>
      <c r="I352">
        <v>545</v>
      </c>
      <c r="J352">
        <v>533</v>
      </c>
      <c r="K352">
        <v>657</v>
      </c>
      <c r="L352">
        <v>727</v>
      </c>
      <c r="M352">
        <v>737</v>
      </c>
      <c r="N352">
        <v>737</v>
      </c>
    </row>
    <row r="353" spans="1:15" x14ac:dyDescent="0.3">
      <c r="A353">
        <v>1995</v>
      </c>
      <c r="B353">
        <v>651</v>
      </c>
      <c r="C353">
        <v>313</v>
      </c>
      <c r="D353">
        <v>307</v>
      </c>
      <c r="E353">
        <v>448</v>
      </c>
      <c r="F353">
        <v>555</v>
      </c>
      <c r="G353">
        <v>643</v>
      </c>
      <c r="H353">
        <v>660</v>
      </c>
      <c r="I353">
        <v>755</v>
      </c>
      <c r="J353">
        <v>761</v>
      </c>
      <c r="K353">
        <v>750</v>
      </c>
      <c r="L353">
        <v>787</v>
      </c>
      <c r="M353">
        <v>784</v>
      </c>
      <c r="N353">
        <v>787</v>
      </c>
      <c r="O353">
        <v>3</v>
      </c>
    </row>
    <row r="354" spans="1:15" x14ac:dyDescent="0.3">
      <c r="A354">
        <v>1996</v>
      </c>
      <c r="B354">
        <v>690</v>
      </c>
      <c r="C354">
        <v>487</v>
      </c>
      <c r="D354">
        <v>581</v>
      </c>
      <c r="E354">
        <v>581</v>
      </c>
      <c r="F354">
        <v>657</v>
      </c>
      <c r="G354">
        <v>733</v>
      </c>
      <c r="H354">
        <v>806</v>
      </c>
      <c r="I354">
        <v>804</v>
      </c>
      <c r="J354">
        <v>755</v>
      </c>
      <c r="K354">
        <v>744</v>
      </c>
      <c r="L354">
        <v>763</v>
      </c>
      <c r="M354">
        <v>748</v>
      </c>
      <c r="N354">
        <v>806</v>
      </c>
    </row>
    <row r="355" spans="1:15" x14ac:dyDescent="0.3">
      <c r="A355">
        <v>1997</v>
      </c>
      <c r="B355">
        <v>611</v>
      </c>
      <c r="C355">
        <v>482</v>
      </c>
      <c r="D355">
        <v>440</v>
      </c>
      <c r="E355">
        <v>448</v>
      </c>
      <c r="F355">
        <v>455</v>
      </c>
      <c r="G355">
        <v>526</v>
      </c>
      <c r="H355">
        <v>520</v>
      </c>
      <c r="I355">
        <v>395</v>
      </c>
      <c r="J355">
        <v>454</v>
      </c>
      <c r="K355">
        <v>499</v>
      </c>
      <c r="L355">
        <v>565</v>
      </c>
      <c r="M355">
        <v>561</v>
      </c>
      <c r="N355">
        <v>611</v>
      </c>
    </row>
    <row r="356" spans="1:15" x14ac:dyDescent="0.3">
      <c r="A356">
        <v>1998</v>
      </c>
      <c r="B356">
        <v>275</v>
      </c>
      <c r="C356">
        <v>333</v>
      </c>
      <c r="D356">
        <v>267</v>
      </c>
      <c r="E356">
        <v>487</v>
      </c>
      <c r="F356">
        <v>605</v>
      </c>
      <c r="G356">
        <v>658</v>
      </c>
      <c r="H356">
        <v>685</v>
      </c>
      <c r="I356">
        <v>684</v>
      </c>
      <c r="J356">
        <v>692</v>
      </c>
      <c r="K356">
        <v>714</v>
      </c>
      <c r="L356">
        <v>754</v>
      </c>
      <c r="M356">
        <v>784</v>
      </c>
      <c r="N356">
        <v>784</v>
      </c>
    </row>
    <row r="357" spans="1:15" x14ac:dyDescent="0.3">
      <c r="A357">
        <v>1999</v>
      </c>
      <c r="B357">
        <v>780</v>
      </c>
      <c r="C357">
        <v>646</v>
      </c>
      <c r="D357">
        <v>659</v>
      </c>
      <c r="E357">
        <v>679</v>
      </c>
      <c r="F357">
        <v>732</v>
      </c>
      <c r="G357">
        <v>765</v>
      </c>
      <c r="H357">
        <v>784</v>
      </c>
      <c r="I357">
        <v>758</v>
      </c>
      <c r="J357">
        <v>746</v>
      </c>
      <c r="K357">
        <v>837</v>
      </c>
      <c r="L357">
        <v>875</v>
      </c>
      <c r="M357">
        <v>870</v>
      </c>
      <c r="N357">
        <v>875</v>
      </c>
    </row>
    <row r="358" spans="1:15" x14ac:dyDescent="0.3">
      <c r="A358">
        <v>2000</v>
      </c>
      <c r="B358">
        <v>832</v>
      </c>
      <c r="C358">
        <v>638</v>
      </c>
      <c r="D358">
        <v>551</v>
      </c>
      <c r="E358">
        <v>543</v>
      </c>
      <c r="F358">
        <v>640</v>
      </c>
      <c r="G358">
        <v>724</v>
      </c>
      <c r="H358">
        <v>732</v>
      </c>
      <c r="I358">
        <v>690</v>
      </c>
      <c r="J358">
        <v>711</v>
      </c>
      <c r="K358">
        <v>756</v>
      </c>
      <c r="L358">
        <v>762</v>
      </c>
      <c r="M358">
        <v>753</v>
      </c>
      <c r="N358">
        <v>832</v>
      </c>
    </row>
    <row r="359" spans="1:15" x14ac:dyDescent="0.3">
      <c r="A359">
        <v>2001</v>
      </c>
      <c r="B359">
        <v>593</v>
      </c>
      <c r="C359">
        <v>394</v>
      </c>
      <c r="D359">
        <v>410</v>
      </c>
      <c r="E359">
        <v>405</v>
      </c>
      <c r="F359">
        <v>495</v>
      </c>
      <c r="G359">
        <v>539</v>
      </c>
      <c r="H359">
        <v>478</v>
      </c>
      <c r="I359">
        <v>470</v>
      </c>
      <c r="J359">
        <v>508</v>
      </c>
      <c r="K359">
        <v>595</v>
      </c>
      <c r="L359">
        <v>664</v>
      </c>
      <c r="M359">
        <v>671</v>
      </c>
      <c r="N359">
        <v>671</v>
      </c>
    </row>
    <row r="360" spans="1:15" x14ac:dyDescent="0.3">
      <c r="A360">
        <v>2002</v>
      </c>
      <c r="B360">
        <v>668</v>
      </c>
      <c r="C360">
        <v>407</v>
      </c>
      <c r="D360">
        <v>366</v>
      </c>
      <c r="E360">
        <v>522</v>
      </c>
      <c r="F360">
        <v>552</v>
      </c>
      <c r="G360">
        <v>656</v>
      </c>
      <c r="H360">
        <v>647</v>
      </c>
      <c r="I360">
        <v>495</v>
      </c>
      <c r="J360">
        <v>465</v>
      </c>
      <c r="K360">
        <v>538</v>
      </c>
      <c r="L360">
        <v>646</v>
      </c>
      <c r="M360">
        <v>623</v>
      </c>
      <c r="N360">
        <v>668</v>
      </c>
    </row>
    <row r="361" spans="1:15" x14ac:dyDescent="0.3">
      <c r="A361">
        <v>2003</v>
      </c>
      <c r="B361">
        <v>498</v>
      </c>
      <c r="C361">
        <v>249</v>
      </c>
      <c r="D361">
        <v>303</v>
      </c>
      <c r="E361">
        <v>510</v>
      </c>
      <c r="F361">
        <v>550</v>
      </c>
      <c r="G361">
        <v>641</v>
      </c>
      <c r="H361">
        <v>646</v>
      </c>
      <c r="I361">
        <v>608</v>
      </c>
      <c r="J361">
        <v>572</v>
      </c>
      <c r="K361">
        <v>694</v>
      </c>
      <c r="L361">
        <v>768</v>
      </c>
      <c r="M361">
        <v>788</v>
      </c>
      <c r="N361">
        <v>788</v>
      </c>
      <c r="O361">
        <v>3</v>
      </c>
    </row>
    <row r="362" spans="1:15" x14ac:dyDescent="0.3">
      <c r="A362">
        <v>2004</v>
      </c>
      <c r="B362">
        <v>767</v>
      </c>
      <c r="C362">
        <v>498</v>
      </c>
      <c r="D362">
        <v>323</v>
      </c>
      <c r="E362">
        <v>474</v>
      </c>
      <c r="F362">
        <v>601</v>
      </c>
      <c r="G362">
        <v>641</v>
      </c>
      <c r="H362">
        <v>569</v>
      </c>
      <c r="I362">
        <v>570</v>
      </c>
      <c r="J362">
        <v>602</v>
      </c>
      <c r="K362">
        <v>693</v>
      </c>
      <c r="L362">
        <v>786</v>
      </c>
      <c r="M362">
        <v>795</v>
      </c>
      <c r="N362">
        <v>795</v>
      </c>
    </row>
    <row r="363" spans="1:15" x14ac:dyDescent="0.3">
      <c r="A363">
        <v>2005</v>
      </c>
      <c r="B363">
        <v>727</v>
      </c>
      <c r="C363">
        <v>474</v>
      </c>
      <c r="D363">
        <v>411</v>
      </c>
      <c r="E363">
        <v>493</v>
      </c>
      <c r="F363">
        <v>636</v>
      </c>
      <c r="G363">
        <v>675</v>
      </c>
      <c r="H363">
        <v>674</v>
      </c>
      <c r="I363">
        <v>612</v>
      </c>
      <c r="J363">
        <v>577</v>
      </c>
      <c r="K363">
        <v>675</v>
      </c>
      <c r="L363">
        <v>814</v>
      </c>
      <c r="M363">
        <v>871</v>
      </c>
      <c r="N363">
        <v>871</v>
      </c>
    </row>
    <row r="364" spans="1:15" x14ac:dyDescent="0.3">
      <c r="A364">
        <v>2006</v>
      </c>
      <c r="B364">
        <v>787</v>
      </c>
      <c r="C364">
        <v>573</v>
      </c>
      <c r="D364">
        <v>502</v>
      </c>
      <c r="E364">
        <v>607</v>
      </c>
      <c r="F364">
        <v>733</v>
      </c>
      <c r="G364">
        <v>802</v>
      </c>
      <c r="H364">
        <v>801</v>
      </c>
      <c r="I364">
        <v>646</v>
      </c>
      <c r="J364">
        <v>615</v>
      </c>
      <c r="K364">
        <v>638</v>
      </c>
      <c r="L364">
        <v>741</v>
      </c>
      <c r="M364">
        <v>766</v>
      </c>
      <c r="N364">
        <v>802</v>
      </c>
    </row>
    <row r="365" spans="1:15" x14ac:dyDescent="0.3">
      <c r="A365">
        <v>2007</v>
      </c>
      <c r="B365">
        <v>750</v>
      </c>
      <c r="C365">
        <v>493</v>
      </c>
      <c r="D365">
        <v>398</v>
      </c>
      <c r="E365">
        <v>588</v>
      </c>
      <c r="F365">
        <v>736</v>
      </c>
      <c r="G365">
        <v>830</v>
      </c>
      <c r="H365">
        <v>831</v>
      </c>
      <c r="I365">
        <v>725</v>
      </c>
      <c r="J365">
        <v>760</v>
      </c>
      <c r="K365">
        <v>784</v>
      </c>
      <c r="L365">
        <v>905</v>
      </c>
      <c r="M365">
        <v>899</v>
      </c>
      <c r="N365">
        <v>905</v>
      </c>
    </row>
    <row r="366" spans="1:15" x14ac:dyDescent="0.3">
      <c r="A366">
        <v>2008</v>
      </c>
      <c r="B366">
        <v>763</v>
      </c>
      <c r="C366">
        <v>576</v>
      </c>
      <c r="D366">
        <v>508</v>
      </c>
      <c r="E366">
        <v>561</v>
      </c>
      <c r="F366">
        <v>678</v>
      </c>
      <c r="G366">
        <v>773</v>
      </c>
      <c r="H366">
        <v>815</v>
      </c>
      <c r="I366">
        <v>819</v>
      </c>
      <c r="J366">
        <v>830</v>
      </c>
      <c r="K366">
        <v>826</v>
      </c>
      <c r="L366">
        <v>887</v>
      </c>
      <c r="M366">
        <v>918</v>
      </c>
      <c r="N366">
        <v>918</v>
      </c>
    </row>
    <row r="367" spans="1:15" x14ac:dyDescent="0.3">
      <c r="A367">
        <v>2009</v>
      </c>
      <c r="B367">
        <v>852</v>
      </c>
      <c r="C367">
        <v>642</v>
      </c>
      <c r="D367">
        <v>549</v>
      </c>
      <c r="E367">
        <v>605</v>
      </c>
      <c r="F367">
        <v>651</v>
      </c>
      <c r="G367">
        <v>653</v>
      </c>
      <c r="H367">
        <v>649</v>
      </c>
      <c r="I367">
        <v>571</v>
      </c>
      <c r="J367">
        <v>561</v>
      </c>
      <c r="K367">
        <v>527</v>
      </c>
      <c r="L367">
        <v>631</v>
      </c>
      <c r="M367">
        <v>610</v>
      </c>
      <c r="N367">
        <v>852</v>
      </c>
    </row>
    <row r="368" spans="1:15" x14ac:dyDescent="0.3">
      <c r="A368">
        <v>2010</v>
      </c>
      <c r="B368">
        <v>444</v>
      </c>
      <c r="C368">
        <v>194</v>
      </c>
      <c r="D368">
        <v>315</v>
      </c>
      <c r="E368">
        <v>456</v>
      </c>
      <c r="F368">
        <v>618</v>
      </c>
      <c r="G368">
        <v>718</v>
      </c>
      <c r="H368">
        <v>813</v>
      </c>
      <c r="I368">
        <v>877</v>
      </c>
      <c r="J368">
        <v>884</v>
      </c>
      <c r="K368">
        <v>921</v>
      </c>
      <c r="L368">
        <v>950</v>
      </c>
      <c r="M368">
        <v>944</v>
      </c>
      <c r="N368">
        <v>950</v>
      </c>
    </row>
    <row r="369" spans="1:29" x14ac:dyDescent="0.3">
      <c r="A369">
        <v>2011</v>
      </c>
      <c r="B369">
        <v>890</v>
      </c>
      <c r="C369">
        <v>643</v>
      </c>
      <c r="D369">
        <v>552</v>
      </c>
      <c r="E369">
        <v>710</v>
      </c>
      <c r="F369">
        <v>868</v>
      </c>
      <c r="G369">
        <v>881</v>
      </c>
      <c r="H369">
        <v>817</v>
      </c>
      <c r="I369">
        <v>750</v>
      </c>
      <c r="J369">
        <v>685</v>
      </c>
      <c r="K369">
        <v>762</v>
      </c>
      <c r="L369">
        <v>834</v>
      </c>
      <c r="M369">
        <v>917</v>
      </c>
      <c r="N369">
        <v>917</v>
      </c>
    </row>
    <row r="370" spans="1:29" x14ac:dyDescent="0.3">
      <c r="A370">
        <v>2012</v>
      </c>
      <c r="B370">
        <v>906</v>
      </c>
      <c r="C370">
        <v>630</v>
      </c>
      <c r="D370">
        <v>428</v>
      </c>
      <c r="E370">
        <v>617</v>
      </c>
      <c r="F370">
        <v>735</v>
      </c>
      <c r="G370">
        <v>732</v>
      </c>
      <c r="H370">
        <v>570</v>
      </c>
      <c r="I370">
        <v>550</v>
      </c>
      <c r="J370">
        <v>551</v>
      </c>
      <c r="K370">
        <v>576</v>
      </c>
      <c r="L370">
        <v>602</v>
      </c>
      <c r="M370">
        <v>599</v>
      </c>
      <c r="N370">
        <v>906</v>
      </c>
    </row>
    <row r="371" spans="1:29" x14ac:dyDescent="0.3">
      <c r="A371">
        <v>2013</v>
      </c>
      <c r="B371">
        <v>436</v>
      </c>
      <c r="C371">
        <v>305</v>
      </c>
      <c r="D371">
        <v>365</v>
      </c>
      <c r="E371">
        <v>402</v>
      </c>
      <c r="F371">
        <v>578</v>
      </c>
      <c r="G371">
        <v>627</v>
      </c>
      <c r="H371">
        <v>590</v>
      </c>
      <c r="I371">
        <v>528</v>
      </c>
      <c r="J371">
        <v>578</v>
      </c>
      <c r="K371">
        <v>613</v>
      </c>
      <c r="L371">
        <v>639</v>
      </c>
      <c r="M371">
        <v>631</v>
      </c>
      <c r="N371">
        <v>639</v>
      </c>
    </row>
    <row r="372" spans="1:29" x14ac:dyDescent="0.3">
      <c r="A372">
        <v>2014</v>
      </c>
      <c r="B372">
        <v>585</v>
      </c>
      <c r="C372">
        <v>351</v>
      </c>
      <c r="D372">
        <v>410</v>
      </c>
      <c r="E372">
        <v>418</v>
      </c>
      <c r="F372">
        <v>550</v>
      </c>
      <c r="G372">
        <v>540</v>
      </c>
      <c r="H372">
        <v>480</v>
      </c>
      <c r="I372">
        <v>449</v>
      </c>
      <c r="J372">
        <v>515</v>
      </c>
      <c r="K372">
        <v>588</v>
      </c>
      <c r="L372">
        <v>650</v>
      </c>
      <c r="M372">
        <v>650</v>
      </c>
      <c r="N372">
        <v>650</v>
      </c>
    </row>
    <row r="373" spans="1:29" x14ac:dyDescent="0.3">
      <c r="A373">
        <v>2015</v>
      </c>
      <c r="B373">
        <v>555</v>
      </c>
      <c r="C373">
        <v>370</v>
      </c>
      <c r="D373">
        <v>353</v>
      </c>
      <c r="E373">
        <v>468</v>
      </c>
      <c r="F373">
        <v>458</v>
      </c>
      <c r="G373">
        <v>500</v>
      </c>
      <c r="H373">
        <v>415</v>
      </c>
      <c r="I373">
        <v>393</v>
      </c>
      <c r="J373">
        <v>393</v>
      </c>
      <c r="K373">
        <v>423</v>
      </c>
      <c r="L373">
        <v>486</v>
      </c>
      <c r="M373">
        <v>486</v>
      </c>
      <c r="N373">
        <v>555</v>
      </c>
    </row>
    <row r="375" spans="1:29" x14ac:dyDescent="0.3">
      <c r="A375" t="s">
        <v>110</v>
      </c>
      <c r="B375">
        <v>642</v>
      </c>
      <c r="C375">
        <v>424</v>
      </c>
      <c r="D375">
        <v>392</v>
      </c>
      <c r="E375">
        <v>483</v>
      </c>
      <c r="F375">
        <v>592</v>
      </c>
      <c r="G375">
        <v>646</v>
      </c>
      <c r="H375">
        <v>634</v>
      </c>
      <c r="I375">
        <v>596</v>
      </c>
      <c r="J375">
        <v>606</v>
      </c>
      <c r="K375">
        <v>677</v>
      </c>
      <c r="L375">
        <v>733</v>
      </c>
      <c r="M375">
        <v>738</v>
      </c>
      <c r="N375">
        <v>597</v>
      </c>
    </row>
    <row r="376" spans="1:29" x14ac:dyDescent="0.3">
      <c r="A376" t="s">
        <v>111</v>
      </c>
      <c r="B376">
        <v>906</v>
      </c>
      <c r="C376">
        <v>696</v>
      </c>
      <c r="D376">
        <v>659</v>
      </c>
      <c r="E376">
        <v>710</v>
      </c>
      <c r="F376">
        <v>868</v>
      </c>
      <c r="G376">
        <v>881</v>
      </c>
      <c r="H376">
        <v>837</v>
      </c>
      <c r="I376">
        <v>877</v>
      </c>
      <c r="J376">
        <v>884</v>
      </c>
      <c r="K376">
        <v>921</v>
      </c>
      <c r="L376">
        <v>950</v>
      </c>
      <c r="M376">
        <v>944</v>
      </c>
      <c r="N376">
        <v>950</v>
      </c>
    </row>
    <row r="377" spans="1:29" x14ac:dyDescent="0.3">
      <c r="A377" t="s">
        <v>112</v>
      </c>
      <c r="B377">
        <v>275</v>
      </c>
      <c r="C377">
        <v>194</v>
      </c>
      <c r="D377">
        <v>183</v>
      </c>
      <c r="E377">
        <v>276</v>
      </c>
      <c r="F377">
        <v>420</v>
      </c>
      <c r="G377">
        <v>456</v>
      </c>
      <c r="H377">
        <v>415</v>
      </c>
      <c r="I377">
        <v>393</v>
      </c>
      <c r="J377">
        <v>393</v>
      </c>
      <c r="K377">
        <v>423</v>
      </c>
      <c r="L377">
        <v>486</v>
      </c>
      <c r="M377">
        <v>486</v>
      </c>
      <c r="N377">
        <v>183</v>
      </c>
    </row>
    <row r="378" spans="1:29" x14ac:dyDescent="0.3">
      <c r="A378" t="s">
        <v>0</v>
      </c>
      <c r="F378" t="s">
        <v>1</v>
      </c>
      <c r="G378" t="s">
        <v>2</v>
      </c>
      <c r="H378" t="s">
        <v>3</v>
      </c>
      <c r="I378" t="s">
        <v>4</v>
      </c>
      <c r="J378" t="s">
        <v>5</v>
      </c>
      <c r="K378" t="s">
        <v>6</v>
      </c>
      <c r="L378" t="s">
        <v>7</v>
      </c>
      <c r="M378" t="s">
        <v>8</v>
      </c>
      <c r="N378" t="s">
        <v>9</v>
      </c>
      <c r="O378" t="s">
        <v>10</v>
      </c>
      <c r="P378" t="s">
        <v>11</v>
      </c>
      <c r="Q378" t="s">
        <v>12</v>
      </c>
      <c r="R378" t="s">
        <v>13</v>
      </c>
      <c r="S378" t="s">
        <v>14</v>
      </c>
      <c r="T378" t="s">
        <v>15</v>
      </c>
      <c r="U378" t="s">
        <v>16</v>
      </c>
      <c r="V378" t="s">
        <v>17</v>
      </c>
    </row>
    <row r="379" spans="1:29" x14ac:dyDescent="0.3">
      <c r="Y379" t="s">
        <v>18</v>
      </c>
      <c r="Z379" t="s">
        <v>19</v>
      </c>
      <c r="AA379" t="s">
        <v>20</v>
      </c>
      <c r="AB379" t="s">
        <v>21</v>
      </c>
      <c r="AC379" t="s">
        <v>22</v>
      </c>
    </row>
    <row r="380" spans="1:29" x14ac:dyDescent="0.3">
      <c r="A380" s="1" t="s">
        <v>129</v>
      </c>
      <c r="H380" t="s">
        <v>23</v>
      </c>
      <c r="I380" t="s">
        <v>24</v>
      </c>
      <c r="J380" t="s">
        <v>116</v>
      </c>
      <c r="K380" t="s">
        <v>114</v>
      </c>
      <c r="L380" t="s">
        <v>115</v>
      </c>
      <c r="M380" t="s">
        <v>27</v>
      </c>
      <c r="N380" t="s">
        <v>28</v>
      </c>
      <c r="O380" t="s">
        <v>117</v>
      </c>
      <c r="P380" t="s">
        <v>118</v>
      </c>
      <c r="Q380" t="s">
        <v>119</v>
      </c>
      <c r="R380" t="s">
        <v>120</v>
      </c>
      <c r="Y380" t="s">
        <v>22</v>
      </c>
      <c r="Z380" t="s">
        <v>33</v>
      </c>
      <c r="AA380" t="s">
        <v>34</v>
      </c>
      <c r="AB380" t="s">
        <v>35</v>
      </c>
    </row>
    <row r="381" spans="1:29" x14ac:dyDescent="0.3">
      <c r="A381" s="1" t="s">
        <v>134</v>
      </c>
    </row>
    <row r="382" spans="1:29" x14ac:dyDescent="0.3">
      <c r="A382" t="s">
        <v>36</v>
      </c>
      <c r="B382" t="s">
        <v>37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>
        <v>29</v>
      </c>
      <c r="U382" t="s">
        <v>43</v>
      </c>
      <c r="V382" t="s">
        <v>44</v>
      </c>
      <c r="W382" t="s">
        <v>40</v>
      </c>
      <c r="X382">
        <v>290370</v>
      </c>
      <c r="Y382">
        <v>20</v>
      </c>
      <c r="Z382" t="s">
        <v>45</v>
      </c>
      <c r="AA382" t="s">
        <v>46</v>
      </c>
    </row>
    <row r="384" spans="1:29" x14ac:dyDescent="0.3">
      <c r="A384" t="s">
        <v>47</v>
      </c>
      <c r="B384" t="s">
        <v>48</v>
      </c>
      <c r="C384" t="s">
        <v>49</v>
      </c>
      <c r="D384">
        <v>1015</v>
      </c>
      <c r="E384" t="s">
        <v>22</v>
      </c>
      <c r="H384" t="s">
        <v>50</v>
      </c>
      <c r="I384" t="s">
        <v>51</v>
      </c>
      <c r="J384" t="s">
        <v>52</v>
      </c>
      <c r="K384" t="s">
        <v>53</v>
      </c>
      <c r="P384" t="s">
        <v>54</v>
      </c>
      <c r="R384" t="s">
        <v>55</v>
      </c>
      <c r="S384" t="s">
        <v>56</v>
      </c>
      <c r="T384" t="s">
        <v>57</v>
      </c>
      <c r="X384" t="s">
        <v>58</v>
      </c>
      <c r="Y384" t="s">
        <v>4</v>
      </c>
      <c r="Z384" t="s">
        <v>59</v>
      </c>
      <c r="AA384" t="s">
        <v>60</v>
      </c>
      <c r="AB384" t="s">
        <v>61</v>
      </c>
      <c r="AC384" t="s">
        <v>47</v>
      </c>
    </row>
    <row r="385" spans="1:27" x14ac:dyDescent="0.3">
      <c r="A385" t="s">
        <v>47</v>
      </c>
      <c r="B385" t="s">
        <v>62</v>
      </c>
      <c r="C385" t="s">
        <v>63</v>
      </c>
      <c r="D385">
        <v>7454</v>
      </c>
      <c r="E385" t="s">
        <v>64</v>
      </c>
      <c r="H385" t="s">
        <v>65</v>
      </c>
      <c r="I385" t="s">
        <v>66</v>
      </c>
      <c r="J385" t="s">
        <v>67</v>
      </c>
      <c r="K385">
        <v>1</v>
      </c>
      <c r="L385" t="s">
        <v>68</v>
      </c>
      <c r="M385" t="s">
        <v>69</v>
      </c>
      <c r="P385" t="s">
        <v>70</v>
      </c>
      <c r="Q385" t="s">
        <v>71</v>
      </c>
      <c r="R385" t="s">
        <v>72</v>
      </c>
      <c r="S385" t="s">
        <v>73</v>
      </c>
      <c r="T385" t="s">
        <v>57</v>
      </c>
      <c r="X385" t="s">
        <v>58</v>
      </c>
      <c r="Y385" t="s">
        <v>74</v>
      </c>
      <c r="Z385" t="s">
        <v>75</v>
      </c>
      <c r="AA385" t="s">
        <v>22</v>
      </c>
    </row>
    <row r="386" spans="1:27" x14ac:dyDescent="0.3">
      <c r="A386" t="s">
        <v>76</v>
      </c>
      <c r="B386" t="s">
        <v>77</v>
      </c>
      <c r="C386" t="s">
        <v>78</v>
      </c>
      <c r="D386">
        <v>8</v>
      </c>
      <c r="E386" t="s">
        <v>79</v>
      </c>
      <c r="F386" t="s">
        <v>80</v>
      </c>
      <c r="H386" t="s">
        <v>81</v>
      </c>
      <c r="I386" t="s">
        <v>82</v>
      </c>
      <c r="J386" t="s">
        <v>83</v>
      </c>
      <c r="K386">
        <v>2</v>
      </c>
      <c r="L386" t="s">
        <v>84</v>
      </c>
      <c r="M386" t="s">
        <v>85</v>
      </c>
      <c r="N386" t="s">
        <v>86</v>
      </c>
      <c r="P386" t="s">
        <v>87</v>
      </c>
      <c r="Q386" t="s">
        <v>88</v>
      </c>
      <c r="R386" t="s">
        <v>89</v>
      </c>
      <c r="S386" t="s">
        <v>90</v>
      </c>
      <c r="T386" t="s">
        <v>91</v>
      </c>
    </row>
    <row r="388" spans="1:27" x14ac:dyDescent="0.3">
      <c r="A388" t="s">
        <v>92</v>
      </c>
      <c r="B388" t="s">
        <v>93</v>
      </c>
      <c r="C388" t="s">
        <v>93</v>
      </c>
      <c r="D388" t="s">
        <v>93</v>
      </c>
      <c r="E388" t="s">
        <v>93</v>
      </c>
      <c r="F388" t="s">
        <v>93</v>
      </c>
      <c r="G388" t="s">
        <v>93</v>
      </c>
      <c r="H388" t="s">
        <v>93</v>
      </c>
      <c r="I388" t="s">
        <v>93</v>
      </c>
      <c r="J388" t="s">
        <v>93</v>
      </c>
      <c r="K388" t="s">
        <v>93</v>
      </c>
      <c r="L388" t="s">
        <v>93</v>
      </c>
      <c r="M388" t="s">
        <v>93</v>
      </c>
      <c r="N388" t="s">
        <v>94</v>
      </c>
      <c r="O388" t="s">
        <v>95</v>
      </c>
    </row>
    <row r="389" spans="1:27" x14ac:dyDescent="0.3">
      <c r="A389" t="s">
        <v>96</v>
      </c>
      <c r="B389" t="s">
        <v>97</v>
      </c>
      <c r="C389" t="s">
        <v>98</v>
      </c>
      <c r="D389" t="s">
        <v>99</v>
      </c>
      <c r="E389" t="s">
        <v>100</v>
      </c>
      <c r="F389" t="s">
        <v>101</v>
      </c>
      <c r="G389" t="s">
        <v>102</v>
      </c>
      <c r="H389" t="s">
        <v>103</v>
      </c>
      <c r="I389" t="s">
        <v>104</v>
      </c>
      <c r="J389" t="s">
        <v>105</v>
      </c>
      <c r="K389" t="s">
        <v>106</v>
      </c>
      <c r="L389" t="s">
        <v>107</v>
      </c>
      <c r="M389" t="s">
        <v>108</v>
      </c>
      <c r="N389" t="s">
        <v>109</v>
      </c>
      <c r="O389" t="s">
        <v>95</v>
      </c>
    </row>
    <row r="390" spans="1:27" x14ac:dyDescent="0.3">
      <c r="A390" t="s">
        <v>92</v>
      </c>
      <c r="B390" t="s">
        <v>93</v>
      </c>
      <c r="C390" t="s">
        <v>93</v>
      </c>
      <c r="D390" t="s">
        <v>93</v>
      </c>
      <c r="E390" t="s">
        <v>93</v>
      </c>
      <c r="F390" t="s">
        <v>93</v>
      </c>
      <c r="G390" t="s">
        <v>93</v>
      </c>
      <c r="H390" t="s">
        <v>93</v>
      </c>
      <c r="I390" t="s">
        <v>93</v>
      </c>
      <c r="J390" t="s">
        <v>93</v>
      </c>
      <c r="K390" t="s">
        <v>93</v>
      </c>
      <c r="L390" t="s">
        <v>93</v>
      </c>
      <c r="M390" t="s">
        <v>93</v>
      </c>
      <c r="N390" t="s">
        <v>94</v>
      </c>
      <c r="O390" t="s">
        <v>95</v>
      </c>
    </row>
    <row r="392" spans="1:27" x14ac:dyDescent="0.3">
      <c r="A392">
        <v>1971</v>
      </c>
      <c r="B392">
        <v>700</v>
      </c>
      <c r="C392">
        <v>598</v>
      </c>
      <c r="D392">
        <v>560</v>
      </c>
      <c r="E392">
        <v>603</v>
      </c>
      <c r="F392">
        <v>656</v>
      </c>
      <c r="G392">
        <v>732</v>
      </c>
      <c r="H392">
        <v>697</v>
      </c>
      <c r="I392">
        <v>665</v>
      </c>
      <c r="J392">
        <v>691</v>
      </c>
      <c r="K392">
        <v>755</v>
      </c>
      <c r="L392">
        <v>789</v>
      </c>
      <c r="M392">
        <v>602</v>
      </c>
      <c r="N392">
        <v>560</v>
      </c>
    </row>
    <row r="393" spans="1:27" x14ac:dyDescent="0.3">
      <c r="A393">
        <v>1972</v>
      </c>
      <c r="B393">
        <v>504</v>
      </c>
      <c r="C393">
        <v>380</v>
      </c>
      <c r="D393">
        <v>285</v>
      </c>
      <c r="E393">
        <v>370</v>
      </c>
      <c r="F393">
        <v>515</v>
      </c>
      <c r="G393">
        <v>660</v>
      </c>
      <c r="H393">
        <v>583</v>
      </c>
      <c r="I393">
        <v>463</v>
      </c>
      <c r="J393">
        <v>489</v>
      </c>
      <c r="K393">
        <v>505</v>
      </c>
      <c r="L393">
        <v>558</v>
      </c>
      <c r="M393">
        <v>495</v>
      </c>
      <c r="N393">
        <v>285</v>
      </c>
    </row>
    <row r="394" spans="1:27" x14ac:dyDescent="0.3">
      <c r="A394">
        <v>1973</v>
      </c>
      <c r="B394">
        <v>230</v>
      </c>
      <c r="C394">
        <v>132</v>
      </c>
      <c r="D394">
        <v>114</v>
      </c>
      <c r="E394">
        <v>168</v>
      </c>
      <c r="F394">
        <v>300</v>
      </c>
      <c r="G394">
        <v>366</v>
      </c>
      <c r="H394">
        <v>477</v>
      </c>
      <c r="I394">
        <v>515</v>
      </c>
      <c r="J394">
        <v>605</v>
      </c>
      <c r="K394">
        <v>717</v>
      </c>
      <c r="L394">
        <v>822</v>
      </c>
      <c r="M394">
        <v>824</v>
      </c>
      <c r="N394">
        <v>114</v>
      </c>
      <c r="O394">
        <v>3</v>
      </c>
    </row>
    <row r="395" spans="1:27" x14ac:dyDescent="0.3">
      <c r="A395">
        <v>1974</v>
      </c>
      <c r="B395">
        <v>622</v>
      </c>
      <c r="C395">
        <v>525</v>
      </c>
      <c r="D395">
        <v>478</v>
      </c>
      <c r="E395">
        <v>464</v>
      </c>
      <c r="F395">
        <v>494</v>
      </c>
      <c r="G395">
        <v>577</v>
      </c>
      <c r="H395">
        <v>524</v>
      </c>
      <c r="I395">
        <v>481</v>
      </c>
      <c r="J395">
        <v>487</v>
      </c>
      <c r="K395">
        <v>623</v>
      </c>
      <c r="L395">
        <v>798</v>
      </c>
      <c r="M395">
        <v>736</v>
      </c>
      <c r="N395">
        <v>464</v>
      </c>
    </row>
    <row r="396" spans="1:27" x14ac:dyDescent="0.3">
      <c r="A396">
        <v>1975</v>
      </c>
      <c r="B396">
        <v>343</v>
      </c>
      <c r="C396">
        <v>275</v>
      </c>
      <c r="D396">
        <v>307</v>
      </c>
      <c r="E396">
        <v>284</v>
      </c>
      <c r="F396">
        <v>340</v>
      </c>
      <c r="G396">
        <v>541</v>
      </c>
      <c r="H396">
        <v>559</v>
      </c>
      <c r="I396">
        <v>630</v>
      </c>
      <c r="J396">
        <v>671</v>
      </c>
      <c r="K396">
        <v>753</v>
      </c>
      <c r="L396">
        <v>830</v>
      </c>
      <c r="M396">
        <v>815</v>
      </c>
      <c r="N396">
        <v>275</v>
      </c>
      <c r="O396">
        <v>3</v>
      </c>
    </row>
    <row r="397" spans="1:27" x14ac:dyDescent="0.3">
      <c r="A397">
        <v>1976</v>
      </c>
      <c r="B397">
        <v>568</v>
      </c>
      <c r="C397">
        <v>392</v>
      </c>
      <c r="D397">
        <v>393</v>
      </c>
      <c r="E397">
        <v>412</v>
      </c>
      <c r="F397">
        <v>522</v>
      </c>
      <c r="G397">
        <v>592</v>
      </c>
      <c r="H397">
        <v>504</v>
      </c>
      <c r="I397">
        <v>382</v>
      </c>
      <c r="J397">
        <v>298</v>
      </c>
      <c r="K397">
        <v>381</v>
      </c>
      <c r="L397">
        <v>607</v>
      </c>
      <c r="M397">
        <v>390</v>
      </c>
      <c r="N397">
        <v>298</v>
      </c>
    </row>
    <row r="398" spans="1:27" x14ac:dyDescent="0.3">
      <c r="A398">
        <v>1977</v>
      </c>
      <c r="B398">
        <v>180</v>
      </c>
      <c r="C398">
        <v>144</v>
      </c>
      <c r="D398">
        <v>112</v>
      </c>
      <c r="E398">
        <v>186</v>
      </c>
      <c r="F398">
        <v>289</v>
      </c>
      <c r="G398">
        <v>446</v>
      </c>
      <c r="H398">
        <v>392</v>
      </c>
      <c r="I398">
        <v>414</v>
      </c>
      <c r="J398">
        <v>394</v>
      </c>
      <c r="K398">
        <v>495</v>
      </c>
      <c r="L398">
        <v>674</v>
      </c>
      <c r="M398">
        <v>540</v>
      </c>
      <c r="N398">
        <v>112</v>
      </c>
      <c r="O398">
        <v>3</v>
      </c>
    </row>
    <row r="399" spans="1:27" x14ac:dyDescent="0.3">
      <c r="A399">
        <v>1978</v>
      </c>
      <c r="B399">
        <v>246</v>
      </c>
      <c r="C399">
        <v>163</v>
      </c>
      <c r="D399">
        <v>164</v>
      </c>
      <c r="E399">
        <v>287</v>
      </c>
      <c r="F399">
        <v>562</v>
      </c>
      <c r="G399">
        <v>617</v>
      </c>
      <c r="H399">
        <v>593</v>
      </c>
      <c r="I399">
        <v>446</v>
      </c>
      <c r="J399">
        <v>451</v>
      </c>
      <c r="K399">
        <v>531</v>
      </c>
      <c r="L399">
        <v>641</v>
      </c>
      <c r="M399">
        <v>597</v>
      </c>
      <c r="N399">
        <v>163</v>
      </c>
    </row>
    <row r="400" spans="1:27" x14ac:dyDescent="0.3">
      <c r="A400">
        <v>1979</v>
      </c>
      <c r="B400">
        <v>266</v>
      </c>
      <c r="C400">
        <v>189</v>
      </c>
      <c r="D400">
        <v>193</v>
      </c>
      <c r="E400">
        <v>282</v>
      </c>
      <c r="F400">
        <v>446</v>
      </c>
      <c r="G400">
        <v>568</v>
      </c>
      <c r="H400">
        <v>578</v>
      </c>
      <c r="I400">
        <v>460</v>
      </c>
      <c r="J400">
        <v>531</v>
      </c>
      <c r="K400">
        <v>637</v>
      </c>
      <c r="L400">
        <v>689</v>
      </c>
      <c r="M400">
        <v>713</v>
      </c>
      <c r="N400">
        <v>189</v>
      </c>
    </row>
    <row r="401" spans="1:15" x14ac:dyDescent="0.3">
      <c r="A401">
        <v>1980</v>
      </c>
      <c r="B401">
        <v>387</v>
      </c>
      <c r="C401">
        <v>299</v>
      </c>
      <c r="D401">
        <v>216</v>
      </c>
      <c r="E401">
        <v>222</v>
      </c>
      <c r="F401">
        <v>347</v>
      </c>
      <c r="G401">
        <v>443</v>
      </c>
      <c r="H401">
        <v>402</v>
      </c>
      <c r="I401">
        <v>440</v>
      </c>
      <c r="J401">
        <v>426</v>
      </c>
      <c r="K401">
        <v>501</v>
      </c>
      <c r="L401">
        <v>628</v>
      </c>
      <c r="M401">
        <v>572</v>
      </c>
      <c r="N401">
        <v>216</v>
      </c>
      <c r="O401">
        <v>3</v>
      </c>
    </row>
    <row r="402" spans="1:15" x14ac:dyDescent="0.3">
      <c r="A402">
        <v>1981</v>
      </c>
      <c r="B402">
        <v>302</v>
      </c>
      <c r="C402">
        <v>246</v>
      </c>
      <c r="D402">
        <v>294</v>
      </c>
      <c r="E402">
        <v>258</v>
      </c>
      <c r="F402">
        <v>527</v>
      </c>
      <c r="G402">
        <v>722</v>
      </c>
      <c r="H402">
        <v>767</v>
      </c>
      <c r="I402">
        <v>642</v>
      </c>
      <c r="J402">
        <v>648</v>
      </c>
      <c r="K402">
        <v>626</v>
      </c>
      <c r="L402">
        <v>672</v>
      </c>
      <c r="M402">
        <v>674</v>
      </c>
      <c r="N402">
        <v>246</v>
      </c>
    </row>
    <row r="403" spans="1:15" x14ac:dyDescent="0.3">
      <c r="A403">
        <v>1982</v>
      </c>
      <c r="B403">
        <v>518</v>
      </c>
      <c r="C403">
        <v>452</v>
      </c>
      <c r="D403">
        <v>395</v>
      </c>
      <c r="E403">
        <v>416</v>
      </c>
      <c r="F403">
        <v>596</v>
      </c>
      <c r="G403">
        <v>738</v>
      </c>
      <c r="H403">
        <v>603</v>
      </c>
      <c r="I403">
        <v>452</v>
      </c>
      <c r="J403">
        <v>446</v>
      </c>
      <c r="K403">
        <v>527</v>
      </c>
      <c r="L403">
        <v>664</v>
      </c>
      <c r="M403">
        <v>503</v>
      </c>
      <c r="N403">
        <v>395</v>
      </c>
    </row>
    <row r="404" spans="1:15" x14ac:dyDescent="0.3">
      <c r="A404">
        <v>1983</v>
      </c>
      <c r="B404">
        <v>228</v>
      </c>
      <c r="C404">
        <v>181</v>
      </c>
      <c r="D404">
        <v>196</v>
      </c>
      <c r="E404">
        <v>253</v>
      </c>
      <c r="F404">
        <v>521</v>
      </c>
      <c r="G404">
        <v>583</v>
      </c>
      <c r="H404">
        <v>453</v>
      </c>
      <c r="I404">
        <v>446</v>
      </c>
      <c r="J404">
        <v>473</v>
      </c>
      <c r="K404">
        <v>540</v>
      </c>
      <c r="L404">
        <v>579</v>
      </c>
      <c r="M404">
        <v>564</v>
      </c>
      <c r="N404">
        <v>181</v>
      </c>
    </row>
    <row r="405" spans="1:15" x14ac:dyDescent="0.3">
      <c r="A405">
        <v>1984</v>
      </c>
      <c r="B405">
        <v>428</v>
      </c>
      <c r="C405">
        <v>396</v>
      </c>
      <c r="D405">
        <v>281</v>
      </c>
      <c r="E405">
        <v>300</v>
      </c>
      <c r="F405">
        <v>399</v>
      </c>
      <c r="G405">
        <v>574</v>
      </c>
      <c r="H405">
        <v>677</v>
      </c>
      <c r="I405">
        <v>691</v>
      </c>
      <c r="J405">
        <v>678</v>
      </c>
      <c r="K405">
        <v>715</v>
      </c>
      <c r="L405">
        <v>786</v>
      </c>
      <c r="M405">
        <v>725</v>
      </c>
      <c r="N405">
        <v>281</v>
      </c>
    </row>
    <row r="406" spans="1:15" x14ac:dyDescent="0.3">
      <c r="A406">
        <v>1985</v>
      </c>
      <c r="B406">
        <v>434</v>
      </c>
      <c r="C406">
        <v>233</v>
      </c>
      <c r="D406">
        <v>206</v>
      </c>
      <c r="E406">
        <v>212</v>
      </c>
      <c r="F406">
        <v>378</v>
      </c>
      <c r="G406">
        <v>410</v>
      </c>
      <c r="H406">
        <v>337</v>
      </c>
      <c r="I406">
        <v>417</v>
      </c>
      <c r="J406">
        <v>539</v>
      </c>
      <c r="K406">
        <v>600</v>
      </c>
      <c r="L406">
        <v>659</v>
      </c>
      <c r="M406">
        <v>574</v>
      </c>
      <c r="N406">
        <v>206</v>
      </c>
    </row>
    <row r="407" spans="1:15" x14ac:dyDescent="0.3">
      <c r="A407">
        <v>1986</v>
      </c>
      <c r="B407">
        <v>361</v>
      </c>
      <c r="C407">
        <v>290</v>
      </c>
      <c r="D407">
        <v>339</v>
      </c>
      <c r="E407">
        <v>339</v>
      </c>
      <c r="F407">
        <v>528</v>
      </c>
      <c r="G407">
        <v>576</v>
      </c>
      <c r="H407">
        <v>495</v>
      </c>
      <c r="I407">
        <v>377</v>
      </c>
      <c r="J407">
        <v>377</v>
      </c>
      <c r="K407">
        <v>438</v>
      </c>
      <c r="L407">
        <v>657</v>
      </c>
      <c r="M407">
        <v>491</v>
      </c>
      <c r="N407">
        <v>290</v>
      </c>
    </row>
    <row r="408" spans="1:15" x14ac:dyDescent="0.3">
      <c r="A408">
        <v>1987</v>
      </c>
      <c r="B408">
        <v>267</v>
      </c>
      <c r="C408">
        <v>214</v>
      </c>
      <c r="D408">
        <v>178</v>
      </c>
      <c r="E408">
        <v>192</v>
      </c>
      <c r="F408">
        <v>361</v>
      </c>
      <c r="G408">
        <v>466</v>
      </c>
      <c r="H408">
        <v>421</v>
      </c>
      <c r="I408">
        <v>482</v>
      </c>
      <c r="J408">
        <v>542</v>
      </c>
      <c r="K408">
        <v>579</v>
      </c>
      <c r="L408">
        <v>692</v>
      </c>
      <c r="M408">
        <v>647</v>
      </c>
      <c r="N408">
        <v>178</v>
      </c>
    </row>
    <row r="409" spans="1:15" x14ac:dyDescent="0.3">
      <c r="A409">
        <v>1988</v>
      </c>
      <c r="B409">
        <v>325</v>
      </c>
      <c r="C409">
        <v>210</v>
      </c>
      <c r="D409">
        <v>156</v>
      </c>
      <c r="E409">
        <v>156</v>
      </c>
      <c r="F409">
        <v>379</v>
      </c>
      <c r="G409">
        <v>443</v>
      </c>
      <c r="H409">
        <v>560</v>
      </c>
      <c r="I409">
        <v>638</v>
      </c>
      <c r="J409">
        <v>716</v>
      </c>
      <c r="K409">
        <v>804</v>
      </c>
      <c r="L409">
        <v>822</v>
      </c>
      <c r="M409">
        <v>814</v>
      </c>
      <c r="N409">
        <v>156</v>
      </c>
    </row>
    <row r="410" spans="1:15" x14ac:dyDescent="0.3">
      <c r="A410">
        <v>1989</v>
      </c>
      <c r="B410">
        <v>625</v>
      </c>
      <c r="C410">
        <v>445</v>
      </c>
      <c r="D410">
        <v>421</v>
      </c>
      <c r="E410">
        <v>382</v>
      </c>
      <c r="F410">
        <v>395</v>
      </c>
      <c r="G410">
        <v>539</v>
      </c>
      <c r="H410">
        <v>492</v>
      </c>
      <c r="I410">
        <v>487</v>
      </c>
      <c r="J410">
        <v>504</v>
      </c>
      <c r="K410">
        <v>652</v>
      </c>
      <c r="L410">
        <v>724</v>
      </c>
      <c r="M410">
        <v>590</v>
      </c>
      <c r="N410">
        <v>382</v>
      </c>
    </row>
    <row r="411" spans="1:15" x14ac:dyDescent="0.3">
      <c r="A411">
        <v>1990</v>
      </c>
      <c r="B411">
        <v>345</v>
      </c>
      <c r="C411">
        <v>291</v>
      </c>
      <c r="D411">
        <v>228</v>
      </c>
      <c r="E411">
        <v>307</v>
      </c>
      <c r="F411">
        <v>435</v>
      </c>
      <c r="G411">
        <v>526</v>
      </c>
      <c r="H411">
        <v>486</v>
      </c>
      <c r="I411">
        <v>393</v>
      </c>
      <c r="J411">
        <v>412</v>
      </c>
      <c r="K411">
        <v>484</v>
      </c>
      <c r="L411">
        <v>643</v>
      </c>
      <c r="M411">
        <v>631</v>
      </c>
      <c r="N411">
        <v>228</v>
      </c>
    </row>
    <row r="412" spans="1:15" x14ac:dyDescent="0.3">
      <c r="A412">
        <v>1991</v>
      </c>
      <c r="B412">
        <v>317</v>
      </c>
      <c r="C412">
        <v>227</v>
      </c>
      <c r="D412">
        <v>215</v>
      </c>
      <c r="E412">
        <v>281</v>
      </c>
      <c r="F412">
        <v>361</v>
      </c>
      <c r="G412">
        <v>463</v>
      </c>
      <c r="H412">
        <v>409</v>
      </c>
      <c r="I412">
        <v>379</v>
      </c>
      <c r="J412">
        <v>326</v>
      </c>
      <c r="K412">
        <v>480</v>
      </c>
      <c r="L412">
        <v>515</v>
      </c>
      <c r="M412">
        <v>480</v>
      </c>
      <c r="N412">
        <v>215</v>
      </c>
      <c r="O412">
        <v>3</v>
      </c>
    </row>
    <row r="413" spans="1:15" x14ac:dyDescent="0.3">
      <c r="A413">
        <v>1992</v>
      </c>
      <c r="B413">
        <v>231</v>
      </c>
      <c r="C413">
        <v>203</v>
      </c>
      <c r="D413">
        <v>161</v>
      </c>
      <c r="E413">
        <v>162</v>
      </c>
      <c r="F413">
        <v>284</v>
      </c>
      <c r="G413">
        <v>387</v>
      </c>
      <c r="H413">
        <v>346</v>
      </c>
      <c r="I413">
        <v>408</v>
      </c>
      <c r="J413">
        <v>440</v>
      </c>
      <c r="K413">
        <v>513</v>
      </c>
      <c r="L413">
        <v>513</v>
      </c>
      <c r="M413">
        <v>456</v>
      </c>
      <c r="N413">
        <v>161</v>
      </c>
    </row>
    <row r="414" spans="1:15" x14ac:dyDescent="0.3">
      <c r="A414">
        <v>1993</v>
      </c>
      <c r="B414">
        <v>330</v>
      </c>
      <c r="C414">
        <v>217</v>
      </c>
      <c r="D414">
        <v>212</v>
      </c>
      <c r="E414">
        <v>370</v>
      </c>
      <c r="F414">
        <v>485</v>
      </c>
      <c r="G414">
        <v>603</v>
      </c>
      <c r="H414">
        <v>528</v>
      </c>
      <c r="I414">
        <v>442</v>
      </c>
      <c r="J414">
        <v>487</v>
      </c>
      <c r="K414">
        <v>598</v>
      </c>
      <c r="L414">
        <v>619</v>
      </c>
      <c r="M414">
        <v>680</v>
      </c>
      <c r="N414">
        <v>212</v>
      </c>
    </row>
    <row r="415" spans="1:15" x14ac:dyDescent="0.3">
      <c r="A415">
        <v>1994</v>
      </c>
      <c r="B415">
        <v>481</v>
      </c>
      <c r="C415">
        <v>352</v>
      </c>
      <c r="D415">
        <v>362</v>
      </c>
      <c r="E415">
        <v>432</v>
      </c>
      <c r="F415">
        <v>553</v>
      </c>
      <c r="G415">
        <v>645</v>
      </c>
      <c r="H415">
        <v>546</v>
      </c>
      <c r="I415">
        <v>513</v>
      </c>
      <c r="J415">
        <v>484</v>
      </c>
      <c r="K415">
        <v>533</v>
      </c>
      <c r="L415">
        <v>660</v>
      </c>
      <c r="M415">
        <v>658</v>
      </c>
      <c r="N415">
        <v>352</v>
      </c>
    </row>
    <row r="416" spans="1:15" x14ac:dyDescent="0.3">
      <c r="A416">
        <v>1995</v>
      </c>
      <c r="B416">
        <v>323</v>
      </c>
      <c r="C416">
        <v>192</v>
      </c>
      <c r="D416">
        <v>207</v>
      </c>
      <c r="E416">
        <v>306</v>
      </c>
      <c r="F416">
        <v>456</v>
      </c>
      <c r="G416">
        <v>559</v>
      </c>
      <c r="H416">
        <v>634</v>
      </c>
      <c r="I416">
        <v>662</v>
      </c>
      <c r="J416">
        <v>736</v>
      </c>
      <c r="K416">
        <v>717</v>
      </c>
      <c r="L416">
        <v>778</v>
      </c>
      <c r="M416">
        <v>693</v>
      </c>
      <c r="N416">
        <v>192</v>
      </c>
      <c r="O416">
        <v>3</v>
      </c>
    </row>
    <row r="417" spans="1:15" x14ac:dyDescent="0.3">
      <c r="A417">
        <v>1996</v>
      </c>
      <c r="B417">
        <v>493</v>
      </c>
      <c r="C417">
        <v>443</v>
      </c>
      <c r="D417">
        <v>440</v>
      </c>
      <c r="E417">
        <v>552</v>
      </c>
      <c r="F417">
        <v>550</v>
      </c>
      <c r="G417">
        <v>661</v>
      </c>
      <c r="H417">
        <v>736</v>
      </c>
      <c r="I417">
        <v>756</v>
      </c>
      <c r="J417">
        <v>725</v>
      </c>
      <c r="K417">
        <v>721</v>
      </c>
      <c r="L417">
        <v>745</v>
      </c>
      <c r="M417">
        <v>620</v>
      </c>
      <c r="N417">
        <v>440</v>
      </c>
    </row>
    <row r="418" spans="1:15" x14ac:dyDescent="0.3">
      <c r="A418">
        <v>1997</v>
      </c>
      <c r="B418">
        <v>475</v>
      </c>
      <c r="C418">
        <v>444</v>
      </c>
      <c r="D418">
        <v>310</v>
      </c>
      <c r="E418">
        <v>300</v>
      </c>
      <c r="F418">
        <v>420</v>
      </c>
      <c r="G418">
        <v>443</v>
      </c>
      <c r="H418">
        <v>384</v>
      </c>
      <c r="I418">
        <v>341</v>
      </c>
      <c r="J418">
        <v>310</v>
      </c>
      <c r="K418">
        <v>437</v>
      </c>
      <c r="L418">
        <v>438</v>
      </c>
      <c r="M418">
        <v>283</v>
      </c>
      <c r="N418">
        <v>283</v>
      </c>
    </row>
    <row r="419" spans="1:15" x14ac:dyDescent="0.3">
      <c r="A419">
        <v>1998</v>
      </c>
      <c r="B419">
        <v>190</v>
      </c>
      <c r="C419">
        <v>178</v>
      </c>
      <c r="D419">
        <v>184</v>
      </c>
      <c r="E419">
        <v>273</v>
      </c>
      <c r="F419">
        <v>489</v>
      </c>
      <c r="G419">
        <v>610</v>
      </c>
      <c r="H419">
        <v>655</v>
      </c>
      <c r="I419">
        <v>639</v>
      </c>
      <c r="J419">
        <v>651</v>
      </c>
      <c r="K419">
        <v>694</v>
      </c>
      <c r="L419">
        <v>715</v>
      </c>
      <c r="M419">
        <v>756</v>
      </c>
      <c r="N419">
        <v>178</v>
      </c>
    </row>
    <row r="420" spans="1:15" x14ac:dyDescent="0.3">
      <c r="A420">
        <v>1999</v>
      </c>
      <c r="B420">
        <v>651</v>
      </c>
      <c r="C420">
        <v>591</v>
      </c>
      <c r="D420">
        <v>619</v>
      </c>
      <c r="E420">
        <v>650</v>
      </c>
      <c r="F420">
        <v>680</v>
      </c>
      <c r="G420">
        <v>734</v>
      </c>
      <c r="H420">
        <v>761</v>
      </c>
      <c r="I420">
        <v>706</v>
      </c>
      <c r="J420">
        <v>703</v>
      </c>
      <c r="K420">
        <v>748</v>
      </c>
      <c r="L420">
        <v>840</v>
      </c>
      <c r="M420">
        <v>834</v>
      </c>
      <c r="N420">
        <v>591</v>
      </c>
    </row>
    <row r="421" spans="1:15" x14ac:dyDescent="0.3">
      <c r="A421">
        <v>2000</v>
      </c>
      <c r="B421">
        <v>644</v>
      </c>
      <c r="C421">
        <v>470</v>
      </c>
      <c r="D421">
        <v>499</v>
      </c>
      <c r="E421">
        <v>495</v>
      </c>
      <c r="F421">
        <v>544</v>
      </c>
      <c r="G421">
        <v>644</v>
      </c>
      <c r="H421">
        <v>689</v>
      </c>
      <c r="I421">
        <v>621</v>
      </c>
      <c r="J421">
        <v>623</v>
      </c>
      <c r="K421">
        <v>714</v>
      </c>
      <c r="L421">
        <v>753</v>
      </c>
      <c r="M421">
        <v>586</v>
      </c>
      <c r="N421">
        <v>470</v>
      </c>
    </row>
    <row r="422" spans="1:15" x14ac:dyDescent="0.3">
      <c r="A422">
        <v>2001</v>
      </c>
      <c r="B422">
        <v>407</v>
      </c>
      <c r="C422">
        <v>223</v>
      </c>
      <c r="D422">
        <v>236</v>
      </c>
      <c r="E422">
        <v>338</v>
      </c>
      <c r="F422">
        <v>331</v>
      </c>
      <c r="G422">
        <v>487</v>
      </c>
      <c r="H422">
        <v>443</v>
      </c>
      <c r="I422">
        <v>355</v>
      </c>
      <c r="J422">
        <v>363</v>
      </c>
      <c r="K422">
        <v>513</v>
      </c>
      <c r="L422">
        <v>598</v>
      </c>
      <c r="M422">
        <v>664</v>
      </c>
      <c r="N422">
        <v>223</v>
      </c>
    </row>
    <row r="423" spans="1:15" x14ac:dyDescent="0.3">
      <c r="A423">
        <v>2002</v>
      </c>
      <c r="B423">
        <v>415</v>
      </c>
      <c r="C423">
        <v>254</v>
      </c>
      <c r="D423">
        <v>204</v>
      </c>
      <c r="E423">
        <v>370</v>
      </c>
      <c r="F423">
        <v>495</v>
      </c>
      <c r="G423">
        <v>552</v>
      </c>
      <c r="H423">
        <v>505</v>
      </c>
      <c r="I423">
        <v>370</v>
      </c>
      <c r="J423">
        <v>410</v>
      </c>
      <c r="K423">
        <v>451</v>
      </c>
      <c r="L423">
        <v>547</v>
      </c>
      <c r="M423">
        <v>491</v>
      </c>
      <c r="N423">
        <v>204</v>
      </c>
    </row>
    <row r="424" spans="1:15" x14ac:dyDescent="0.3">
      <c r="A424">
        <v>2003</v>
      </c>
      <c r="B424">
        <v>224</v>
      </c>
      <c r="C424">
        <v>185</v>
      </c>
      <c r="D424">
        <v>172</v>
      </c>
      <c r="E424">
        <v>260</v>
      </c>
      <c r="F424">
        <v>511</v>
      </c>
      <c r="G424">
        <v>551</v>
      </c>
      <c r="H424">
        <v>594</v>
      </c>
      <c r="I424">
        <v>561</v>
      </c>
      <c r="J424">
        <v>520</v>
      </c>
      <c r="K424">
        <v>574</v>
      </c>
      <c r="L424">
        <v>694</v>
      </c>
      <c r="M424">
        <v>769</v>
      </c>
      <c r="N424">
        <v>172</v>
      </c>
      <c r="O424">
        <v>3</v>
      </c>
    </row>
    <row r="425" spans="1:15" x14ac:dyDescent="0.3">
      <c r="A425">
        <v>2004</v>
      </c>
      <c r="B425">
        <v>508</v>
      </c>
      <c r="C425">
        <v>280</v>
      </c>
      <c r="D425">
        <v>213</v>
      </c>
      <c r="E425">
        <v>260</v>
      </c>
      <c r="F425">
        <v>479</v>
      </c>
      <c r="G425">
        <v>577</v>
      </c>
      <c r="H425">
        <v>527</v>
      </c>
      <c r="I425">
        <v>485</v>
      </c>
      <c r="J425">
        <v>493</v>
      </c>
      <c r="K425">
        <v>604</v>
      </c>
      <c r="L425">
        <v>696</v>
      </c>
      <c r="M425">
        <v>734</v>
      </c>
      <c r="N425">
        <v>213</v>
      </c>
    </row>
    <row r="426" spans="1:15" x14ac:dyDescent="0.3">
      <c r="A426">
        <v>2005</v>
      </c>
      <c r="B426">
        <v>481</v>
      </c>
      <c r="C426">
        <v>392</v>
      </c>
      <c r="D426">
        <v>334</v>
      </c>
      <c r="E426">
        <v>335</v>
      </c>
      <c r="F426">
        <v>496</v>
      </c>
      <c r="G426">
        <v>638</v>
      </c>
      <c r="H426">
        <v>617</v>
      </c>
      <c r="I426">
        <v>554</v>
      </c>
      <c r="J426">
        <v>533</v>
      </c>
      <c r="K426">
        <v>561</v>
      </c>
      <c r="L426">
        <v>677</v>
      </c>
      <c r="M426">
        <v>790</v>
      </c>
      <c r="N426">
        <v>334</v>
      </c>
    </row>
    <row r="427" spans="1:15" x14ac:dyDescent="0.3">
      <c r="A427">
        <v>2006</v>
      </c>
      <c r="B427">
        <v>581</v>
      </c>
      <c r="C427">
        <v>386</v>
      </c>
      <c r="D427">
        <v>346</v>
      </c>
      <c r="E427">
        <v>506</v>
      </c>
      <c r="F427">
        <v>612</v>
      </c>
      <c r="G427">
        <v>734</v>
      </c>
      <c r="H427">
        <v>649</v>
      </c>
      <c r="I427">
        <v>556</v>
      </c>
      <c r="J427">
        <v>573</v>
      </c>
      <c r="K427">
        <v>574</v>
      </c>
      <c r="L427">
        <v>645</v>
      </c>
      <c r="M427">
        <v>743</v>
      </c>
      <c r="N427">
        <v>346</v>
      </c>
    </row>
    <row r="428" spans="1:15" x14ac:dyDescent="0.3">
      <c r="A428">
        <v>2007</v>
      </c>
      <c r="B428">
        <v>496</v>
      </c>
      <c r="C428">
        <v>253</v>
      </c>
      <c r="D428">
        <v>202</v>
      </c>
      <c r="E428">
        <v>409</v>
      </c>
      <c r="F428">
        <v>592</v>
      </c>
      <c r="G428">
        <v>733</v>
      </c>
      <c r="H428">
        <v>720</v>
      </c>
      <c r="I428">
        <v>691</v>
      </c>
      <c r="J428">
        <v>728</v>
      </c>
      <c r="K428">
        <v>740</v>
      </c>
      <c r="L428">
        <v>787</v>
      </c>
      <c r="M428">
        <v>766</v>
      </c>
      <c r="N428">
        <v>202</v>
      </c>
    </row>
    <row r="429" spans="1:15" x14ac:dyDescent="0.3">
      <c r="A429">
        <v>2008</v>
      </c>
      <c r="B429">
        <v>581</v>
      </c>
      <c r="C429">
        <v>448</v>
      </c>
      <c r="D429">
        <v>481</v>
      </c>
      <c r="E429">
        <v>487</v>
      </c>
      <c r="F429">
        <v>566</v>
      </c>
      <c r="G429">
        <v>681</v>
      </c>
      <c r="H429">
        <v>773</v>
      </c>
      <c r="I429">
        <v>805</v>
      </c>
      <c r="J429">
        <v>805</v>
      </c>
      <c r="K429">
        <v>810</v>
      </c>
      <c r="L429">
        <v>828</v>
      </c>
      <c r="M429">
        <v>858</v>
      </c>
      <c r="N429">
        <v>448</v>
      </c>
    </row>
    <row r="430" spans="1:15" x14ac:dyDescent="0.3">
      <c r="A430">
        <v>2009</v>
      </c>
      <c r="B430">
        <v>647</v>
      </c>
      <c r="C430">
        <v>531</v>
      </c>
      <c r="D430">
        <v>478</v>
      </c>
      <c r="E430">
        <v>553</v>
      </c>
      <c r="F430">
        <v>601</v>
      </c>
      <c r="G430">
        <v>607</v>
      </c>
      <c r="H430">
        <v>542</v>
      </c>
      <c r="I430">
        <v>499</v>
      </c>
      <c r="J430">
        <v>509</v>
      </c>
      <c r="K430">
        <v>438</v>
      </c>
      <c r="L430">
        <v>530</v>
      </c>
      <c r="M430">
        <v>392</v>
      </c>
      <c r="N430">
        <v>392</v>
      </c>
    </row>
    <row r="431" spans="1:15" x14ac:dyDescent="0.3">
      <c r="A431">
        <v>2010</v>
      </c>
      <c r="B431">
        <v>186</v>
      </c>
      <c r="C431">
        <v>158</v>
      </c>
      <c r="D431">
        <v>203</v>
      </c>
      <c r="E431">
        <v>257</v>
      </c>
      <c r="F431">
        <v>453</v>
      </c>
      <c r="G431">
        <v>621</v>
      </c>
      <c r="H431">
        <v>721</v>
      </c>
      <c r="I431">
        <v>818</v>
      </c>
      <c r="J431">
        <v>858</v>
      </c>
      <c r="K431">
        <v>885</v>
      </c>
      <c r="L431">
        <v>897</v>
      </c>
      <c r="M431">
        <v>893</v>
      </c>
      <c r="N431">
        <v>158</v>
      </c>
    </row>
    <row r="432" spans="1:15" x14ac:dyDescent="0.3">
      <c r="A432">
        <v>2011</v>
      </c>
      <c r="B432">
        <v>658</v>
      </c>
      <c r="C432">
        <v>474</v>
      </c>
      <c r="D432">
        <v>468</v>
      </c>
      <c r="E432">
        <v>554</v>
      </c>
      <c r="F432">
        <v>715</v>
      </c>
      <c r="G432">
        <v>823</v>
      </c>
      <c r="H432">
        <v>746</v>
      </c>
      <c r="I432">
        <v>685</v>
      </c>
      <c r="J432">
        <v>647</v>
      </c>
      <c r="K432">
        <v>644</v>
      </c>
      <c r="L432">
        <v>765</v>
      </c>
      <c r="M432">
        <v>839</v>
      </c>
      <c r="N432">
        <v>468</v>
      </c>
    </row>
    <row r="433" spans="1:29" x14ac:dyDescent="0.3">
      <c r="A433">
        <v>2012</v>
      </c>
      <c r="B433">
        <v>637</v>
      </c>
      <c r="C433">
        <v>432</v>
      </c>
      <c r="D433">
        <v>362</v>
      </c>
      <c r="E433">
        <v>431</v>
      </c>
      <c r="F433">
        <v>622</v>
      </c>
      <c r="G433">
        <v>574</v>
      </c>
      <c r="H433">
        <v>445</v>
      </c>
      <c r="I433">
        <v>446</v>
      </c>
      <c r="J433">
        <v>472</v>
      </c>
      <c r="K433">
        <v>460</v>
      </c>
      <c r="L433">
        <v>579</v>
      </c>
      <c r="M433">
        <v>443</v>
      </c>
      <c r="N433">
        <v>362</v>
      </c>
    </row>
    <row r="434" spans="1:29" x14ac:dyDescent="0.3">
      <c r="A434">
        <v>2013</v>
      </c>
      <c r="B434">
        <v>220</v>
      </c>
      <c r="C434">
        <v>200</v>
      </c>
      <c r="D434">
        <v>292</v>
      </c>
      <c r="E434">
        <v>345</v>
      </c>
      <c r="F434">
        <v>406</v>
      </c>
      <c r="G434">
        <v>585</v>
      </c>
      <c r="H434">
        <v>430</v>
      </c>
      <c r="I434">
        <v>410</v>
      </c>
      <c r="J434">
        <v>530</v>
      </c>
      <c r="K434">
        <v>572</v>
      </c>
      <c r="L434">
        <v>616</v>
      </c>
      <c r="M434">
        <v>589</v>
      </c>
      <c r="N434">
        <v>200</v>
      </c>
    </row>
    <row r="435" spans="1:29" x14ac:dyDescent="0.3">
      <c r="A435">
        <v>2014</v>
      </c>
      <c r="B435">
        <v>358</v>
      </c>
      <c r="C435">
        <v>299</v>
      </c>
      <c r="D435">
        <v>327</v>
      </c>
      <c r="E435">
        <v>300</v>
      </c>
      <c r="F435">
        <v>428</v>
      </c>
      <c r="G435">
        <v>477</v>
      </c>
      <c r="H435">
        <v>335</v>
      </c>
      <c r="I435">
        <v>292</v>
      </c>
      <c r="J435">
        <v>386</v>
      </c>
      <c r="K435">
        <v>486</v>
      </c>
      <c r="L435">
        <v>586</v>
      </c>
      <c r="M435">
        <v>568</v>
      </c>
      <c r="N435">
        <v>292</v>
      </c>
    </row>
    <row r="436" spans="1:29" x14ac:dyDescent="0.3">
      <c r="A436">
        <v>2015</v>
      </c>
      <c r="B436">
        <v>304</v>
      </c>
      <c r="C436">
        <v>309</v>
      </c>
      <c r="D436">
        <v>225</v>
      </c>
      <c r="E436">
        <v>335</v>
      </c>
      <c r="F436">
        <v>375</v>
      </c>
      <c r="G436">
        <v>402</v>
      </c>
      <c r="H436">
        <v>315</v>
      </c>
      <c r="I436">
        <v>328</v>
      </c>
      <c r="J436">
        <v>353</v>
      </c>
      <c r="K436">
        <v>316</v>
      </c>
      <c r="L436">
        <v>419</v>
      </c>
      <c r="M436">
        <v>228</v>
      </c>
      <c r="N436">
        <v>225</v>
      </c>
    </row>
    <row r="438" spans="1:29" x14ac:dyDescent="0.3">
      <c r="A438" t="s">
        <v>110</v>
      </c>
      <c r="B438">
        <v>416</v>
      </c>
      <c r="C438">
        <v>315</v>
      </c>
      <c r="D438">
        <v>295</v>
      </c>
      <c r="E438">
        <v>348</v>
      </c>
      <c r="F438">
        <v>478</v>
      </c>
      <c r="G438">
        <v>576</v>
      </c>
      <c r="H438">
        <v>548</v>
      </c>
      <c r="I438">
        <v>517</v>
      </c>
      <c r="J438">
        <v>534</v>
      </c>
      <c r="K438">
        <v>592</v>
      </c>
      <c r="L438">
        <v>675</v>
      </c>
      <c r="M438">
        <v>629</v>
      </c>
      <c r="N438">
        <v>494</v>
      </c>
    </row>
    <row r="439" spans="1:29" x14ac:dyDescent="0.3">
      <c r="A439" t="s">
        <v>111</v>
      </c>
      <c r="B439">
        <v>700</v>
      </c>
      <c r="C439">
        <v>598</v>
      </c>
      <c r="D439">
        <v>619</v>
      </c>
      <c r="E439">
        <v>650</v>
      </c>
      <c r="F439">
        <v>715</v>
      </c>
      <c r="G439">
        <v>823</v>
      </c>
      <c r="H439">
        <v>773</v>
      </c>
      <c r="I439">
        <v>818</v>
      </c>
      <c r="J439">
        <v>858</v>
      </c>
      <c r="K439">
        <v>885</v>
      </c>
      <c r="L439">
        <v>897</v>
      </c>
      <c r="M439">
        <v>893</v>
      </c>
      <c r="N439">
        <v>897</v>
      </c>
    </row>
    <row r="440" spans="1:29" x14ac:dyDescent="0.3">
      <c r="A440" t="s">
        <v>112</v>
      </c>
      <c r="B440">
        <v>180</v>
      </c>
      <c r="C440">
        <v>132</v>
      </c>
      <c r="D440">
        <v>112</v>
      </c>
      <c r="E440">
        <v>156</v>
      </c>
      <c r="F440">
        <v>284</v>
      </c>
      <c r="G440">
        <v>366</v>
      </c>
      <c r="H440">
        <v>315</v>
      </c>
      <c r="I440">
        <v>292</v>
      </c>
      <c r="J440">
        <v>298</v>
      </c>
      <c r="K440">
        <v>316</v>
      </c>
      <c r="L440">
        <v>419</v>
      </c>
      <c r="M440">
        <v>228</v>
      </c>
      <c r="N440">
        <v>112</v>
      </c>
    </row>
    <row r="441" spans="1:29" x14ac:dyDescent="0.3">
      <c r="A441" t="s">
        <v>0</v>
      </c>
      <c r="F441" t="s">
        <v>1</v>
      </c>
      <c r="G441" t="s">
        <v>2</v>
      </c>
      <c r="H441" t="s">
        <v>3</v>
      </c>
      <c r="I441" t="s">
        <v>4</v>
      </c>
      <c r="J441" t="s">
        <v>5</v>
      </c>
      <c r="K441" t="s">
        <v>6</v>
      </c>
      <c r="L441" t="s">
        <v>7</v>
      </c>
      <c r="M441" t="s">
        <v>8</v>
      </c>
      <c r="N441" t="s">
        <v>9</v>
      </c>
      <c r="O441" t="s">
        <v>10</v>
      </c>
      <c r="P441" t="s">
        <v>11</v>
      </c>
      <c r="Q441" t="s">
        <v>12</v>
      </c>
      <c r="R441" t="s">
        <v>13</v>
      </c>
      <c r="S441" t="s">
        <v>14</v>
      </c>
      <c r="T441" t="s">
        <v>15</v>
      </c>
      <c r="U441" t="s">
        <v>16</v>
      </c>
      <c r="V441" t="s">
        <v>17</v>
      </c>
    </row>
    <row r="442" spans="1:29" x14ac:dyDescent="0.3">
      <c r="Y442" t="s">
        <v>18</v>
      </c>
      <c r="Z442" t="s">
        <v>19</v>
      </c>
      <c r="AA442" t="s">
        <v>20</v>
      </c>
      <c r="AB442" t="s">
        <v>21</v>
      </c>
      <c r="AC442" t="s">
        <v>22</v>
      </c>
    </row>
    <row r="443" spans="1:29" x14ac:dyDescent="0.3">
      <c r="A443" s="1" t="s">
        <v>129</v>
      </c>
      <c r="H443" t="s">
        <v>23</v>
      </c>
      <c r="I443" t="s">
        <v>24</v>
      </c>
      <c r="J443" t="s">
        <v>121</v>
      </c>
      <c r="K443" t="s">
        <v>122</v>
      </c>
      <c r="L443" t="s">
        <v>115</v>
      </c>
      <c r="M443" t="s">
        <v>27</v>
      </c>
      <c r="N443" t="s">
        <v>28</v>
      </c>
      <c r="O443" t="s">
        <v>123</v>
      </c>
      <c r="P443" t="s">
        <v>124</v>
      </c>
      <c r="Q443" t="s">
        <v>125</v>
      </c>
      <c r="R443" t="s">
        <v>126</v>
      </c>
      <c r="S443" t="s">
        <v>127</v>
      </c>
      <c r="Y443" t="s">
        <v>22</v>
      </c>
      <c r="Z443" t="s">
        <v>33</v>
      </c>
      <c r="AA443" t="s">
        <v>34</v>
      </c>
      <c r="AB443" t="s">
        <v>35</v>
      </c>
    </row>
    <row r="444" spans="1:29" x14ac:dyDescent="0.3">
      <c r="A444" s="1" t="s">
        <v>135</v>
      </c>
    </row>
    <row r="445" spans="1:29" x14ac:dyDescent="0.3">
      <c r="A445" t="s">
        <v>36</v>
      </c>
      <c r="B445" t="s">
        <v>37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>
        <v>29</v>
      </c>
      <c r="U445" t="s">
        <v>43</v>
      </c>
      <c r="V445" t="s">
        <v>44</v>
      </c>
      <c r="W445" t="s">
        <v>40</v>
      </c>
      <c r="X445">
        <v>290370</v>
      </c>
      <c r="Y445">
        <v>20</v>
      </c>
      <c r="Z445" t="s">
        <v>45</v>
      </c>
      <c r="AA445" t="s">
        <v>46</v>
      </c>
    </row>
    <row r="447" spans="1:29" x14ac:dyDescent="0.3">
      <c r="A447" t="s">
        <v>47</v>
      </c>
      <c r="B447" t="s">
        <v>48</v>
      </c>
      <c r="C447" t="s">
        <v>49</v>
      </c>
      <c r="D447">
        <v>1015</v>
      </c>
      <c r="E447" t="s">
        <v>22</v>
      </c>
      <c r="H447" t="s">
        <v>50</v>
      </c>
      <c r="I447" t="s">
        <v>51</v>
      </c>
      <c r="J447" t="s">
        <v>52</v>
      </c>
      <c r="K447" t="s">
        <v>53</v>
      </c>
      <c r="P447" t="s">
        <v>54</v>
      </c>
      <c r="R447" t="s">
        <v>55</v>
      </c>
      <c r="S447" t="s">
        <v>56</v>
      </c>
      <c r="T447" t="s">
        <v>57</v>
      </c>
      <c r="X447" t="s">
        <v>58</v>
      </c>
      <c r="Y447" t="s">
        <v>4</v>
      </c>
      <c r="Z447" t="s">
        <v>59</v>
      </c>
      <c r="AA447" t="s">
        <v>60</v>
      </c>
      <c r="AB447" t="s">
        <v>61</v>
      </c>
      <c r="AC447" t="s">
        <v>47</v>
      </c>
    </row>
    <row r="448" spans="1:29" x14ac:dyDescent="0.3">
      <c r="A448" t="s">
        <v>47</v>
      </c>
      <c r="B448" t="s">
        <v>62</v>
      </c>
      <c r="C448" t="s">
        <v>63</v>
      </c>
      <c r="D448">
        <v>7454</v>
      </c>
      <c r="E448" t="s">
        <v>64</v>
      </c>
      <c r="H448" t="s">
        <v>65</v>
      </c>
      <c r="I448" t="s">
        <v>66</v>
      </c>
      <c r="J448" t="s">
        <v>67</v>
      </c>
      <c r="K448">
        <v>1</v>
      </c>
      <c r="L448" t="s">
        <v>68</v>
      </c>
      <c r="M448" t="s">
        <v>69</v>
      </c>
      <c r="P448" t="s">
        <v>70</v>
      </c>
      <c r="Q448" t="s">
        <v>71</v>
      </c>
      <c r="R448" t="s">
        <v>72</v>
      </c>
      <c r="S448" t="s">
        <v>73</v>
      </c>
      <c r="T448" t="s">
        <v>57</v>
      </c>
      <c r="X448" t="s">
        <v>58</v>
      </c>
      <c r="Y448" t="s">
        <v>74</v>
      </c>
      <c r="Z448" t="s">
        <v>75</v>
      </c>
      <c r="AA448" t="s">
        <v>22</v>
      </c>
    </row>
    <row r="449" spans="1:20" x14ac:dyDescent="0.3">
      <c r="A449" t="s">
        <v>76</v>
      </c>
      <c r="B449" t="s">
        <v>77</v>
      </c>
      <c r="C449" t="s">
        <v>78</v>
      </c>
      <c r="D449">
        <v>8</v>
      </c>
      <c r="E449" t="s">
        <v>79</v>
      </c>
      <c r="F449" t="s">
        <v>80</v>
      </c>
      <c r="H449" t="s">
        <v>81</v>
      </c>
      <c r="I449" t="s">
        <v>82</v>
      </c>
      <c r="J449" t="s">
        <v>83</v>
      </c>
      <c r="K449">
        <v>2</v>
      </c>
      <c r="L449" t="s">
        <v>84</v>
      </c>
      <c r="M449" t="s">
        <v>85</v>
      </c>
      <c r="N449" t="s">
        <v>86</v>
      </c>
      <c r="P449" t="s">
        <v>87</v>
      </c>
      <c r="Q449" t="s">
        <v>88</v>
      </c>
      <c r="R449" t="s">
        <v>89</v>
      </c>
      <c r="S449" t="s">
        <v>90</v>
      </c>
      <c r="T449" t="s">
        <v>91</v>
      </c>
    </row>
    <row r="451" spans="1:20" x14ac:dyDescent="0.3">
      <c r="A451" t="s">
        <v>92</v>
      </c>
      <c r="B451" t="s">
        <v>93</v>
      </c>
      <c r="C451" t="s">
        <v>93</v>
      </c>
      <c r="D451" t="s">
        <v>93</v>
      </c>
      <c r="E451" t="s">
        <v>93</v>
      </c>
      <c r="F451" t="s">
        <v>93</v>
      </c>
      <c r="G451" t="s">
        <v>93</v>
      </c>
      <c r="H451" t="s">
        <v>93</v>
      </c>
      <c r="I451" t="s">
        <v>93</v>
      </c>
      <c r="J451" t="s">
        <v>93</v>
      </c>
      <c r="K451" t="s">
        <v>93</v>
      </c>
      <c r="L451" t="s">
        <v>93</v>
      </c>
      <c r="M451" t="s">
        <v>93</v>
      </c>
      <c r="N451" t="s">
        <v>94</v>
      </c>
      <c r="O451" t="s">
        <v>95</v>
      </c>
    </row>
    <row r="452" spans="1:20" x14ac:dyDescent="0.3">
      <c r="A452" t="s">
        <v>96</v>
      </c>
      <c r="B452" t="s">
        <v>97</v>
      </c>
      <c r="C452" t="s">
        <v>98</v>
      </c>
      <c r="D452" t="s">
        <v>99</v>
      </c>
      <c r="E452" t="s">
        <v>100</v>
      </c>
      <c r="F452" t="s">
        <v>101</v>
      </c>
      <c r="G452" t="s">
        <v>102</v>
      </c>
      <c r="H452" t="s">
        <v>103</v>
      </c>
      <c r="I452" t="s">
        <v>104</v>
      </c>
      <c r="J452" t="s">
        <v>105</v>
      </c>
      <c r="K452" t="s">
        <v>106</v>
      </c>
      <c r="L452" t="s">
        <v>107</v>
      </c>
      <c r="M452" t="s">
        <v>108</v>
      </c>
      <c r="N452" t="s">
        <v>109</v>
      </c>
      <c r="O452" t="s">
        <v>95</v>
      </c>
    </row>
    <row r="453" spans="1:20" x14ac:dyDescent="0.3">
      <c r="A453" t="s">
        <v>92</v>
      </c>
      <c r="B453" t="s">
        <v>93</v>
      </c>
      <c r="C453" t="s">
        <v>93</v>
      </c>
      <c r="D453" t="s">
        <v>93</v>
      </c>
      <c r="E453" t="s">
        <v>93</v>
      </c>
      <c r="F453" t="s">
        <v>93</v>
      </c>
      <c r="G453" t="s">
        <v>93</v>
      </c>
      <c r="H453" t="s">
        <v>93</v>
      </c>
      <c r="I453" t="s">
        <v>93</v>
      </c>
      <c r="J453" t="s">
        <v>93</v>
      </c>
      <c r="K453" t="s">
        <v>93</v>
      </c>
      <c r="L453" t="s">
        <v>93</v>
      </c>
      <c r="M453" t="s">
        <v>93</v>
      </c>
      <c r="N453" t="s">
        <v>94</v>
      </c>
      <c r="O453" t="s">
        <v>95</v>
      </c>
    </row>
    <row r="455" spans="1:20" x14ac:dyDescent="0.3">
      <c r="A455">
        <v>1972</v>
      </c>
      <c r="B455">
        <v>9515</v>
      </c>
      <c r="C455">
        <v>6683</v>
      </c>
      <c r="D455">
        <v>4586</v>
      </c>
      <c r="E455">
        <v>6112</v>
      </c>
      <c r="F455">
        <v>10971</v>
      </c>
      <c r="G455">
        <v>14463</v>
      </c>
      <c r="H455">
        <v>14206</v>
      </c>
      <c r="I455">
        <v>8281</v>
      </c>
      <c r="J455">
        <v>8061</v>
      </c>
      <c r="K455">
        <v>9184</v>
      </c>
      <c r="L455">
        <v>10729</v>
      </c>
      <c r="M455">
        <v>10156</v>
      </c>
      <c r="N455">
        <v>112947</v>
      </c>
      <c r="O455">
        <f>SUM(B455:M455)</f>
        <v>112947</v>
      </c>
    </row>
    <row r="456" spans="1:20" x14ac:dyDescent="0.3">
      <c r="A456">
        <v>1973</v>
      </c>
      <c r="B456">
        <v>4356</v>
      </c>
      <c r="C456">
        <v>1802</v>
      </c>
      <c r="D456">
        <v>1846</v>
      </c>
      <c r="E456">
        <v>2567</v>
      </c>
      <c r="F456">
        <v>4871</v>
      </c>
      <c r="G456">
        <v>6141</v>
      </c>
      <c r="H456">
        <v>8250</v>
      </c>
      <c r="I456">
        <v>9879</v>
      </c>
      <c r="J456">
        <v>12900</v>
      </c>
      <c r="K456">
        <v>18298</v>
      </c>
      <c r="L456">
        <v>20016</v>
      </c>
      <c r="M456">
        <v>21496</v>
      </c>
      <c r="N456">
        <v>12422</v>
      </c>
      <c r="O456">
        <f t="shared" ref="O456:O495" si="2">SUM(B456:M456)</f>
        <v>112422</v>
      </c>
    </row>
    <row r="457" spans="1:20" x14ac:dyDescent="0.3">
      <c r="A457">
        <v>1974</v>
      </c>
      <c r="B457">
        <v>16332</v>
      </c>
      <c r="C457">
        <v>8708</v>
      </c>
      <c r="D457">
        <v>8075</v>
      </c>
      <c r="E457">
        <v>7395</v>
      </c>
      <c r="F457">
        <v>10353</v>
      </c>
      <c r="G457">
        <v>10574</v>
      </c>
      <c r="H457">
        <v>9567</v>
      </c>
      <c r="I457">
        <v>9134</v>
      </c>
      <c r="J457">
        <v>9388</v>
      </c>
      <c r="K457">
        <v>16554</v>
      </c>
      <c r="L457">
        <v>25046</v>
      </c>
      <c r="M457">
        <v>25114</v>
      </c>
      <c r="N457">
        <v>56240</v>
      </c>
      <c r="O457">
        <f t="shared" si="2"/>
        <v>156240</v>
      </c>
    </row>
    <row r="458" spans="1:20" x14ac:dyDescent="0.3">
      <c r="A458">
        <v>1975</v>
      </c>
      <c r="B458">
        <v>9313</v>
      </c>
      <c r="C458">
        <v>3510</v>
      </c>
      <c r="D458">
        <v>5439</v>
      </c>
      <c r="E458">
        <v>4285</v>
      </c>
      <c r="F458">
        <v>7720</v>
      </c>
      <c r="G458">
        <v>10248</v>
      </c>
      <c r="H458">
        <v>12456</v>
      </c>
      <c r="I458">
        <v>13448</v>
      </c>
      <c r="J458">
        <v>16201</v>
      </c>
      <c r="K458">
        <v>21437</v>
      </c>
      <c r="L458">
        <v>27350</v>
      </c>
      <c r="M458">
        <v>28250</v>
      </c>
      <c r="N458">
        <v>59657</v>
      </c>
      <c r="O458">
        <f t="shared" si="2"/>
        <v>159657</v>
      </c>
    </row>
    <row r="459" spans="1:20" x14ac:dyDescent="0.3">
      <c r="A459">
        <v>1976</v>
      </c>
      <c r="B459">
        <v>16268</v>
      </c>
      <c r="C459">
        <v>6925</v>
      </c>
      <c r="D459">
        <v>6282</v>
      </c>
      <c r="E459">
        <v>7028</v>
      </c>
      <c r="F459">
        <v>10810</v>
      </c>
      <c r="G459">
        <v>11249</v>
      </c>
      <c r="H459">
        <v>9901</v>
      </c>
      <c r="I459">
        <v>6593</v>
      </c>
      <c r="J459">
        <v>4779</v>
      </c>
      <c r="K459">
        <v>9534</v>
      </c>
      <c r="L459">
        <v>12712</v>
      </c>
      <c r="M459">
        <v>9052</v>
      </c>
      <c r="N459">
        <v>11133</v>
      </c>
      <c r="O459">
        <f t="shared" si="2"/>
        <v>111133</v>
      </c>
    </row>
    <row r="460" spans="1:20" x14ac:dyDescent="0.3">
      <c r="A460">
        <v>1977</v>
      </c>
      <c r="B460">
        <v>2908</v>
      </c>
      <c r="C460">
        <v>1471</v>
      </c>
      <c r="D460">
        <v>1452</v>
      </c>
      <c r="E460">
        <v>2541</v>
      </c>
      <c r="F460">
        <v>5257</v>
      </c>
      <c r="G460">
        <v>8395</v>
      </c>
      <c r="H460">
        <v>7805</v>
      </c>
      <c r="I460">
        <v>7969</v>
      </c>
      <c r="J460">
        <v>6601</v>
      </c>
      <c r="K460">
        <v>11594</v>
      </c>
      <c r="L460">
        <v>15399</v>
      </c>
      <c r="M460">
        <v>15051</v>
      </c>
      <c r="N460">
        <v>86443</v>
      </c>
      <c r="O460">
        <f t="shared" si="2"/>
        <v>86443</v>
      </c>
    </row>
    <row r="461" spans="1:20" x14ac:dyDescent="0.3">
      <c r="A461">
        <v>1978</v>
      </c>
      <c r="B461">
        <v>5931</v>
      </c>
      <c r="C461">
        <v>2178</v>
      </c>
      <c r="D461">
        <v>2316</v>
      </c>
      <c r="E461">
        <v>6983</v>
      </c>
      <c r="F461">
        <v>11764</v>
      </c>
      <c r="G461">
        <v>12694</v>
      </c>
      <c r="H461">
        <v>12430</v>
      </c>
      <c r="I461">
        <v>9114</v>
      </c>
      <c r="J461">
        <v>7999</v>
      </c>
      <c r="K461">
        <v>10883</v>
      </c>
      <c r="L461">
        <v>13692</v>
      </c>
      <c r="M461">
        <v>13372</v>
      </c>
      <c r="N461">
        <v>9356</v>
      </c>
      <c r="O461">
        <f t="shared" si="2"/>
        <v>109356</v>
      </c>
    </row>
    <row r="462" spans="1:20" x14ac:dyDescent="0.3">
      <c r="A462">
        <v>1979</v>
      </c>
      <c r="B462">
        <v>6510</v>
      </c>
      <c r="C462">
        <v>2232</v>
      </c>
      <c r="D462">
        <v>3143</v>
      </c>
      <c r="E462">
        <v>4315</v>
      </c>
      <c r="F462">
        <v>9025</v>
      </c>
      <c r="G462">
        <v>12284</v>
      </c>
      <c r="H462">
        <v>12617</v>
      </c>
      <c r="I462">
        <v>8957</v>
      </c>
      <c r="J462">
        <v>11027</v>
      </c>
      <c r="K462">
        <v>13337</v>
      </c>
      <c r="L462">
        <v>16581</v>
      </c>
      <c r="M462">
        <v>20599</v>
      </c>
      <c r="N462">
        <v>20627</v>
      </c>
      <c r="O462">
        <f t="shared" si="2"/>
        <v>120627</v>
      </c>
    </row>
    <row r="463" spans="1:20" x14ac:dyDescent="0.3">
      <c r="A463">
        <v>1980</v>
      </c>
      <c r="B463">
        <v>10166</v>
      </c>
      <c r="C463">
        <v>4741</v>
      </c>
      <c r="D463">
        <v>2900</v>
      </c>
      <c r="E463">
        <v>3056</v>
      </c>
      <c r="F463">
        <v>5833</v>
      </c>
      <c r="G463">
        <v>8147</v>
      </c>
      <c r="H463">
        <v>7106</v>
      </c>
      <c r="I463">
        <v>7734</v>
      </c>
      <c r="J463">
        <v>7279</v>
      </c>
      <c r="K463">
        <v>11058</v>
      </c>
      <c r="L463">
        <v>12703</v>
      </c>
      <c r="M463">
        <v>12460</v>
      </c>
      <c r="N463">
        <v>93183</v>
      </c>
      <c r="O463">
        <f t="shared" si="2"/>
        <v>93183</v>
      </c>
    </row>
    <row r="464" spans="1:20" x14ac:dyDescent="0.3">
      <c r="A464">
        <v>1981</v>
      </c>
      <c r="B464">
        <v>8646</v>
      </c>
      <c r="C464">
        <v>3408</v>
      </c>
      <c r="D464">
        <v>5562</v>
      </c>
      <c r="E464">
        <v>5555</v>
      </c>
      <c r="F464">
        <v>14518</v>
      </c>
      <c r="G464">
        <v>22747</v>
      </c>
      <c r="H464">
        <v>23566</v>
      </c>
      <c r="I464">
        <v>17108</v>
      </c>
      <c r="J464">
        <v>15424</v>
      </c>
      <c r="K464">
        <v>15022</v>
      </c>
      <c r="L464">
        <v>17187</v>
      </c>
      <c r="M464">
        <v>18756</v>
      </c>
      <c r="N464">
        <v>67499</v>
      </c>
      <c r="O464">
        <f t="shared" si="2"/>
        <v>167499</v>
      </c>
    </row>
    <row r="465" spans="1:15" x14ac:dyDescent="0.3">
      <c r="A465">
        <v>1982</v>
      </c>
      <c r="B465">
        <v>11683</v>
      </c>
      <c r="C465">
        <v>6299</v>
      </c>
      <c r="D465">
        <v>5829</v>
      </c>
      <c r="E465">
        <v>7727</v>
      </c>
      <c r="F465">
        <v>13127</v>
      </c>
      <c r="G465">
        <v>17063</v>
      </c>
      <c r="H465">
        <v>14304</v>
      </c>
      <c r="I465">
        <v>8919</v>
      </c>
      <c r="J465">
        <v>7095</v>
      </c>
      <c r="K465">
        <v>10474</v>
      </c>
      <c r="L465">
        <v>13438</v>
      </c>
      <c r="M465">
        <v>10222</v>
      </c>
      <c r="N465">
        <v>26180</v>
      </c>
      <c r="O465">
        <f t="shared" si="2"/>
        <v>126180</v>
      </c>
    </row>
    <row r="466" spans="1:15" x14ac:dyDescent="0.3">
      <c r="A466">
        <v>1983</v>
      </c>
      <c r="B466">
        <v>4809</v>
      </c>
      <c r="C466">
        <v>1854</v>
      </c>
      <c r="D466">
        <v>2325</v>
      </c>
      <c r="E466">
        <v>4736</v>
      </c>
      <c r="F466">
        <v>9694</v>
      </c>
      <c r="G466">
        <v>11051</v>
      </c>
      <c r="H466">
        <v>7930</v>
      </c>
      <c r="I466">
        <v>6987</v>
      </c>
      <c r="J466">
        <v>7864</v>
      </c>
      <c r="K466">
        <v>9521</v>
      </c>
      <c r="L466">
        <v>10670</v>
      </c>
      <c r="M466">
        <v>10014</v>
      </c>
      <c r="N466">
        <v>87455</v>
      </c>
      <c r="O466">
        <f t="shared" si="2"/>
        <v>87455</v>
      </c>
    </row>
    <row r="467" spans="1:15" x14ac:dyDescent="0.3">
      <c r="A467">
        <v>1984</v>
      </c>
      <c r="B467">
        <v>9188</v>
      </c>
      <c r="C467">
        <v>6436</v>
      </c>
      <c r="D467">
        <v>5673</v>
      </c>
      <c r="E467">
        <v>4827</v>
      </c>
      <c r="F467">
        <v>8713</v>
      </c>
      <c r="G467">
        <v>12971</v>
      </c>
      <c r="H467">
        <v>16075</v>
      </c>
      <c r="I467">
        <v>16099</v>
      </c>
      <c r="J467">
        <v>14932</v>
      </c>
      <c r="K467">
        <v>18103</v>
      </c>
      <c r="L467">
        <v>20887</v>
      </c>
      <c r="M467">
        <v>20986</v>
      </c>
      <c r="N467">
        <v>54890</v>
      </c>
      <c r="O467">
        <f t="shared" si="2"/>
        <v>154890</v>
      </c>
    </row>
    <row r="468" spans="1:15" x14ac:dyDescent="0.3">
      <c r="A468">
        <v>1985</v>
      </c>
      <c r="B468">
        <v>11085</v>
      </c>
      <c r="C468">
        <v>3595</v>
      </c>
      <c r="D468">
        <v>2685</v>
      </c>
      <c r="E468">
        <v>3908</v>
      </c>
      <c r="F468">
        <v>6468</v>
      </c>
      <c r="G468">
        <v>7408</v>
      </c>
      <c r="H468">
        <v>5177</v>
      </c>
      <c r="I468">
        <v>7406</v>
      </c>
      <c r="J468">
        <v>10361</v>
      </c>
      <c r="K468">
        <v>13231</v>
      </c>
      <c r="L468">
        <v>14495</v>
      </c>
      <c r="M468">
        <v>14668</v>
      </c>
      <c r="N468">
        <v>487</v>
      </c>
      <c r="O468">
        <f t="shared" si="2"/>
        <v>100487</v>
      </c>
    </row>
    <row r="469" spans="1:15" x14ac:dyDescent="0.3">
      <c r="A469">
        <v>1986</v>
      </c>
      <c r="B469">
        <v>10411</v>
      </c>
      <c r="C469">
        <v>5635</v>
      </c>
      <c r="D469">
        <v>7676</v>
      </c>
      <c r="E469">
        <v>10111</v>
      </c>
      <c r="F469">
        <v>16694</v>
      </c>
      <c r="G469">
        <v>19769</v>
      </c>
      <c r="H469">
        <v>18280</v>
      </c>
      <c r="I469">
        <v>9243</v>
      </c>
      <c r="J469">
        <v>8871</v>
      </c>
      <c r="K469">
        <v>17170</v>
      </c>
      <c r="L469">
        <v>26260</v>
      </c>
      <c r="M469">
        <v>22384</v>
      </c>
      <c r="N469">
        <v>72504</v>
      </c>
      <c r="O469">
        <f t="shared" si="2"/>
        <v>172504</v>
      </c>
    </row>
    <row r="470" spans="1:15" x14ac:dyDescent="0.3">
      <c r="A470">
        <v>1987</v>
      </c>
      <c r="B470">
        <v>6813</v>
      </c>
      <c r="C470">
        <v>4163</v>
      </c>
      <c r="D470">
        <v>4374</v>
      </c>
      <c r="E470">
        <v>4980</v>
      </c>
      <c r="F470">
        <v>9941</v>
      </c>
      <c r="G470">
        <v>12357</v>
      </c>
      <c r="H470">
        <v>9210</v>
      </c>
      <c r="I470">
        <v>15014</v>
      </c>
      <c r="J470">
        <v>14837</v>
      </c>
      <c r="K470">
        <v>21013</v>
      </c>
      <c r="L470">
        <v>31425</v>
      </c>
      <c r="M470">
        <v>32778</v>
      </c>
      <c r="N470">
        <v>66905</v>
      </c>
      <c r="O470">
        <f t="shared" si="2"/>
        <v>166905</v>
      </c>
    </row>
    <row r="471" spans="1:15" x14ac:dyDescent="0.3">
      <c r="A471">
        <v>1988</v>
      </c>
      <c r="B471">
        <v>11614</v>
      </c>
      <c r="C471">
        <v>4680</v>
      </c>
      <c r="D471">
        <v>4462</v>
      </c>
      <c r="E471">
        <v>5584</v>
      </c>
      <c r="F471">
        <v>8554</v>
      </c>
      <c r="G471">
        <v>10445</v>
      </c>
      <c r="H471">
        <v>19620</v>
      </c>
      <c r="I471">
        <v>24646</v>
      </c>
      <c r="J471">
        <v>33975</v>
      </c>
      <c r="K471">
        <v>43958</v>
      </c>
      <c r="L471">
        <v>44340</v>
      </c>
      <c r="M471">
        <v>48474</v>
      </c>
      <c r="N471">
        <v>60352</v>
      </c>
      <c r="O471">
        <f t="shared" si="2"/>
        <v>260352</v>
      </c>
    </row>
    <row r="472" spans="1:15" x14ac:dyDescent="0.3">
      <c r="A472">
        <v>1989</v>
      </c>
      <c r="B472">
        <v>35773</v>
      </c>
      <c r="C472">
        <v>12516</v>
      </c>
      <c r="D472">
        <v>9785</v>
      </c>
      <c r="E472">
        <v>8708</v>
      </c>
      <c r="F472">
        <v>10998</v>
      </c>
      <c r="G472">
        <v>14416</v>
      </c>
      <c r="H472">
        <v>13639</v>
      </c>
      <c r="I472">
        <v>12404</v>
      </c>
      <c r="J472">
        <v>17615</v>
      </c>
      <c r="K472">
        <v>29276</v>
      </c>
      <c r="L472">
        <v>37097</v>
      </c>
      <c r="M472">
        <v>30546</v>
      </c>
      <c r="N472">
        <v>32773</v>
      </c>
      <c r="O472">
        <f t="shared" si="2"/>
        <v>232773</v>
      </c>
    </row>
    <row r="473" spans="1:15" x14ac:dyDescent="0.3">
      <c r="A473">
        <v>1990</v>
      </c>
      <c r="B473">
        <v>11692</v>
      </c>
      <c r="C473">
        <v>5953</v>
      </c>
      <c r="D473">
        <v>5647</v>
      </c>
      <c r="E473">
        <v>6965</v>
      </c>
      <c r="F473">
        <v>14255</v>
      </c>
      <c r="G473">
        <v>14917</v>
      </c>
      <c r="H473">
        <v>13023</v>
      </c>
      <c r="I473">
        <v>10393</v>
      </c>
      <c r="J473">
        <v>10931</v>
      </c>
      <c r="K473">
        <v>16755</v>
      </c>
      <c r="L473">
        <v>24705</v>
      </c>
      <c r="M473">
        <v>27156</v>
      </c>
      <c r="N473">
        <v>62392</v>
      </c>
      <c r="O473">
        <f t="shared" si="2"/>
        <v>162392</v>
      </c>
    </row>
    <row r="474" spans="1:15" x14ac:dyDescent="0.3">
      <c r="A474">
        <v>1991</v>
      </c>
      <c r="B474">
        <v>13451</v>
      </c>
      <c r="C474">
        <v>3168</v>
      </c>
      <c r="D474">
        <v>4498</v>
      </c>
      <c r="E474">
        <v>5907</v>
      </c>
      <c r="F474">
        <v>10803</v>
      </c>
      <c r="G474">
        <v>12770</v>
      </c>
      <c r="H474">
        <v>11781</v>
      </c>
      <c r="I474">
        <v>10448</v>
      </c>
      <c r="J474">
        <v>7373</v>
      </c>
      <c r="K474">
        <v>15690</v>
      </c>
      <c r="L474">
        <v>17123</v>
      </c>
      <c r="M474">
        <v>18596</v>
      </c>
      <c r="N474">
        <v>31608</v>
      </c>
      <c r="O474">
        <f t="shared" si="2"/>
        <v>131608</v>
      </c>
    </row>
    <row r="475" spans="1:15" x14ac:dyDescent="0.3">
      <c r="A475">
        <v>1992</v>
      </c>
      <c r="B475">
        <v>5564</v>
      </c>
      <c r="C475">
        <v>2247</v>
      </c>
      <c r="D475">
        <v>2122</v>
      </c>
      <c r="E475">
        <v>2027</v>
      </c>
      <c r="F475">
        <v>5545</v>
      </c>
      <c r="G475">
        <v>7588</v>
      </c>
      <c r="H475">
        <v>6194</v>
      </c>
      <c r="I475">
        <v>8444</v>
      </c>
      <c r="J475">
        <v>9242</v>
      </c>
      <c r="K475">
        <v>12356</v>
      </c>
      <c r="L475">
        <v>11977</v>
      </c>
      <c r="M475">
        <v>13090</v>
      </c>
      <c r="N475">
        <v>86396</v>
      </c>
      <c r="O475">
        <f t="shared" si="2"/>
        <v>86396</v>
      </c>
    </row>
    <row r="476" spans="1:15" x14ac:dyDescent="0.3">
      <c r="A476">
        <v>1993</v>
      </c>
      <c r="B476">
        <v>6770</v>
      </c>
      <c r="C476">
        <v>3469</v>
      </c>
      <c r="D476">
        <v>3348</v>
      </c>
      <c r="E476">
        <v>6970</v>
      </c>
      <c r="F476">
        <v>14387</v>
      </c>
      <c r="G476">
        <v>18468</v>
      </c>
      <c r="H476">
        <v>15703</v>
      </c>
      <c r="I476">
        <v>10202</v>
      </c>
      <c r="J476">
        <v>13251</v>
      </c>
      <c r="K476">
        <v>17756</v>
      </c>
      <c r="L476">
        <v>20331</v>
      </c>
      <c r="M476">
        <v>26148</v>
      </c>
      <c r="N476">
        <v>56803</v>
      </c>
      <c r="O476">
        <f t="shared" si="2"/>
        <v>156803</v>
      </c>
    </row>
    <row r="477" spans="1:15" x14ac:dyDescent="0.3">
      <c r="A477">
        <v>1994</v>
      </c>
      <c r="B477">
        <v>17094</v>
      </c>
      <c r="C477">
        <v>6237</v>
      </c>
      <c r="D477">
        <v>6830</v>
      </c>
      <c r="E477">
        <v>10474</v>
      </c>
      <c r="F477">
        <v>16971</v>
      </c>
      <c r="G477">
        <v>20773</v>
      </c>
      <c r="H477">
        <v>18320</v>
      </c>
      <c r="I477">
        <v>12208</v>
      </c>
      <c r="J477">
        <v>10837</v>
      </c>
      <c r="K477">
        <v>16391</v>
      </c>
      <c r="L477">
        <v>22969</v>
      </c>
      <c r="M477">
        <v>25821</v>
      </c>
      <c r="N477">
        <v>84925</v>
      </c>
      <c r="O477">
        <f t="shared" si="2"/>
        <v>184925</v>
      </c>
    </row>
    <row r="478" spans="1:15" x14ac:dyDescent="0.3">
      <c r="A478">
        <v>1995</v>
      </c>
      <c r="B478">
        <v>7567</v>
      </c>
      <c r="C478">
        <v>1497</v>
      </c>
      <c r="D478">
        <v>1767</v>
      </c>
      <c r="E478">
        <v>3423</v>
      </c>
      <c r="F478">
        <v>8745</v>
      </c>
      <c r="G478">
        <v>13104</v>
      </c>
      <c r="H478">
        <v>15478</v>
      </c>
      <c r="I478">
        <v>20332</v>
      </c>
      <c r="J478">
        <v>22612</v>
      </c>
      <c r="K478">
        <v>21754</v>
      </c>
      <c r="L478">
        <v>12625</v>
      </c>
      <c r="M478">
        <v>22700</v>
      </c>
      <c r="N478">
        <v>51604</v>
      </c>
      <c r="O478">
        <f t="shared" si="2"/>
        <v>151604</v>
      </c>
    </row>
    <row r="479" spans="1:15" x14ac:dyDescent="0.3">
      <c r="A479">
        <v>1996</v>
      </c>
      <c r="B479">
        <v>12245</v>
      </c>
      <c r="C479">
        <v>5953</v>
      </c>
      <c r="D479">
        <v>9054</v>
      </c>
      <c r="E479">
        <v>10949</v>
      </c>
      <c r="F479">
        <v>13290</v>
      </c>
      <c r="G479">
        <v>21393</v>
      </c>
      <c r="H479">
        <v>31709</v>
      </c>
      <c r="I479">
        <v>32200</v>
      </c>
      <c r="J479">
        <v>26320</v>
      </c>
      <c r="K479">
        <v>25414</v>
      </c>
      <c r="L479">
        <v>27769</v>
      </c>
      <c r="M479">
        <v>22990</v>
      </c>
      <c r="N479">
        <v>39286</v>
      </c>
      <c r="O479">
        <f t="shared" si="2"/>
        <v>239286</v>
      </c>
    </row>
    <row r="480" spans="1:15" x14ac:dyDescent="0.3">
      <c r="A480">
        <v>1997</v>
      </c>
      <c r="B480">
        <v>8426</v>
      </c>
      <c r="C480">
        <v>5632</v>
      </c>
      <c r="D480">
        <v>3501</v>
      </c>
      <c r="E480">
        <v>3443</v>
      </c>
      <c r="F480">
        <v>5373</v>
      </c>
      <c r="G480">
        <v>7390</v>
      </c>
      <c r="H480">
        <v>6650</v>
      </c>
      <c r="I480">
        <v>3550</v>
      </c>
      <c r="J480">
        <v>3348</v>
      </c>
      <c r="K480">
        <v>6523</v>
      </c>
      <c r="L480">
        <v>8111</v>
      </c>
      <c r="M480">
        <v>6312</v>
      </c>
      <c r="N480">
        <v>68259</v>
      </c>
      <c r="O480">
        <f t="shared" si="2"/>
        <v>68259</v>
      </c>
    </row>
    <row r="481" spans="1:15" x14ac:dyDescent="0.3">
      <c r="A481">
        <v>1998</v>
      </c>
      <c r="B481">
        <v>1750</v>
      </c>
      <c r="C481">
        <v>1747</v>
      </c>
      <c r="D481">
        <v>1626</v>
      </c>
      <c r="E481">
        <v>4329</v>
      </c>
      <c r="F481">
        <v>11028</v>
      </c>
      <c r="G481">
        <v>15554</v>
      </c>
      <c r="H481">
        <v>19257</v>
      </c>
      <c r="I481">
        <v>17338</v>
      </c>
      <c r="J481">
        <v>17885</v>
      </c>
      <c r="K481">
        <v>22450</v>
      </c>
      <c r="L481">
        <v>25031</v>
      </c>
      <c r="M481">
        <v>31579</v>
      </c>
      <c r="N481">
        <v>69574</v>
      </c>
      <c r="O481">
        <f t="shared" si="2"/>
        <v>169574</v>
      </c>
    </row>
    <row r="482" spans="1:15" x14ac:dyDescent="0.3">
      <c r="A482">
        <v>2000</v>
      </c>
      <c r="B482">
        <v>19861</v>
      </c>
      <c r="C482">
        <v>7908</v>
      </c>
      <c r="D482">
        <v>8152</v>
      </c>
      <c r="E482">
        <v>7215</v>
      </c>
      <c r="F482">
        <v>10167</v>
      </c>
      <c r="G482">
        <v>14474</v>
      </c>
      <c r="H482">
        <v>16465</v>
      </c>
      <c r="I482">
        <v>13949</v>
      </c>
      <c r="J482">
        <v>13526</v>
      </c>
      <c r="K482">
        <v>18190</v>
      </c>
      <c r="L482">
        <v>18466</v>
      </c>
      <c r="M482">
        <v>15503</v>
      </c>
      <c r="N482">
        <v>63876</v>
      </c>
      <c r="O482">
        <f t="shared" si="2"/>
        <v>163876</v>
      </c>
    </row>
    <row r="483" spans="1:15" x14ac:dyDescent="0.3">
      <c r="A483">
        <v>2001</v>
      </c>
      <c r="B483">
        <v>6781</v>
      </c>
      <c r="C483">
        <v>2594</v>
      </c>
      <c r="D483">
        <v>3362</v>
      </c>
      <c r="E483">
        <v>3952</v>
      </c>
      <c r="F483">
        <v>5479</v>
      </c>
      <c r="G483">
        <v>7683</v>
      </c>
      <c r="H483">
        <v>6038</v>
      </c>
      <c r="I483">
        <v>5003</v>
      </c>
      <c r="J483">
        <v>5349</v>
      </c>
      <c r="K483">
        <v>8679</v>
      </c>
      <c r="L483">
        <v>11591</v>
      </c>
      <c r="M483">
        <v>13872</v>
      </c>
      <c r="N483">
        <v>80383</v>
      </c>
      <c r="O483">
        <f t="shared" si="2"/>
        <v>80383</v>
      </c>
    </row>
    <row r="484" spans="1:15" x14ac:dyDescent="0.3">
      <c r="A484">
        <v>2002</v>
      </c>
      <c r="B484">
        <v>9792</v>
      </c>
      <c r="C484">
        <v>3086</v>
      </c>
      <c r="D484">
        <v>2779</v>
      </c>
      <c r="E484">
        <v>5226</v>
      </c>
      <c r="F484">
        <v>8108</v>
      </c>
      <c r="G484">
        <v>11108</v>
      </c>
      <c r="H484">
        <v>9728</v>
      </c>
      <c r="I484">
        <v>5245</v>
      </c>
      <c r="J484">
        <v>5310</v>
      </c>
      <c r="K484">
        <v>6424</v>
      </c>
      <c r="L484">
        <v>10968</v>
      </c>
      <c r="M484">
        <v>8688</v>
      </c>
      <c r="N484">
        <v>86462</v>
      </c>
      <c r="O484">
        <f t="shared" si="2"/>
        <v>86462</v>
      </c>
    </row>
    <row r="485" spans="1:15" x14ac:dyDescent="0.3">
      <c r="A485">
        <v>2003</v>
      </c>
      <c r="B485">
        <v>3783</v>
      </c>
      <c r="C485">
        <v>1859</v>
      </c>
      <c r="D485">
        <v>2472</v>
      </c>
      <c r="E485">
        <v>4128</v>
      </c>
      <c r="F485">
        <v>8114</v>
      </c>
      <c r="G485">
        <v>10185</v>
      </c>
      <c r="H485">
        <v>11497</v>
      </c>
      <c r="I485">
        <v>10123</v>
      </c>
      <c r="J485">
        <v>8210</v>
      </c>
      <c r="K485">
        <v>12280</v>
      </c>
      <c r="L485">
        <v>17053</v>
      </c>
      <c r="M485">
        <v>20657</v>
      </c>
      <c r="N485">
        <v>10361</v>
      </c>
      <c r="O485">
        <f t="shared" si="2"/>
        <v>110361</v>
      </c>
    </row>
    <row r="486" spans="1:15" x14ac:dyDescent="0.3">
      <c r="A486">
        <v>2004</v>
      </c>
      <c r="B486">
        <v>13563</v>
      </c>
      <c r="C486">
        <v>3812</v>
      </c>
      <c r="D486">
        <v>2799</v>
      </c>
      <c r="E486">
        <v>3768</v>
      </c>
      <c r="F486">
        <v>8244</v>
      </c>
      <c r="G486">
        <v>10993</v>
      </c>
      <c r="H486">
        <v>8598</v>
      </c>
      <c r="I486">
        <v>8098</v>
      </c>
      <c r="J486">
        <v>8509</v>
      </c>
      <c r="K486">
        <v>12564</v>
      </c>
      <c r="L486">
        <v>17435</v>
      </c>
      <c r="M486">
        <v>20571</v>
      </c>
      <c r="N486">
        <v>18954</v>
      </c>
      <c r="O486">
        <f t="shared" si="2"/>
        <v>118954</v>
      </c>
    </row>
    <row r="487" spans="1:15" x14ac:dyDescent="0.3">
      <c r="A487">
        <v>2005</v>
      </c>
      <c r="B487">
        <v>10582</v>
      </c>
      <c r="C487">
        <v>4937</v>
      </c>
      <c r="D487">
        <v>4210</v>
      </c>
      <c r="E487">
        <v>5103</v>
      </c>
      <c r="F487">
        <v>9492</v>
      </c>
      <c r="I487">
        <v>9587</v>
      </c>
      <c r="J487">
        <v>8571</v>
      </c>
      <c r="K487">
        <v>11363</v>
      </c>
      <c r="N487">
        <v>63845</v>
      </c>
      <c r="O487">
        <f t="shared" si="2"/>
        <v>63845</v>
      </c>
    </row>
    <row r="488" spans="1:15" x14ac:dyDescent="0.3">
      <c r="A488">
        <v>2006</v>
      </c>
      <c r="B488">
        <v>15637</v>
      </c>
      <c r="C488">
        <v>6610</v>
      </c>
      <c r="D488">
        <v>5064</v>
      </c>
      <c r="E488">
        <v>8536</v>
      </c>
      <c r="F488">
        <v>14451</v>
      </c>
      <c r="G488">
        <v>19737</v>
      </c>
      <c r="H488">
        <v>18071</v>
      </c>
      <c r="I488">
        <v>10301</v>
      </c>
      <c r="J488">
        <v>10109</v>
      </c>
      <c r="K488">
        <v>10805</v>
      </c>
      <c r="L488">
        <v>14827</v>
      </c>
      <c r="M488">
        <v>19098</v>
      </c>
      <c r="N488">
        <v>53246</v>
      </c>
      <c r="O488">
        <f t="shared" si="2"/>
        <v>153246</v>
      </c>
    </row>
    <row r="489" spans="1:15" x14ac:dyDescent="0.3">
      <c r="A489">
        <v>2007</v>
      </c>
      <c r="B489">
        <v>12575</v>
      </c>
      <c r="C489">
        <v>3732</v>
      </c>
      <c r="D489">
        <v>2809</v>
      </c>
      <c r="E489">
        <v>7312</v>
      </c>
      <c r="F489">
        <v>13691</v>
      </c>
      <c r="G489">
        <v>20340</v>
      </c>
      <c r="H489">
        <v>20584</v>
      </c>
      <c r="I489">
        <v>15776</v>
      </c>
      <c r="J489">
        <v>18077</v>
      </c>
      <c r="K489">
        <v>18750</v>
      </c>
      <c r="L489">
        <v>25594</v>
      </c>
      <c r="M489">
        <v>24612</v>
      </c>
      <c r="N489">
        <v>83852</v>
      </c>
      <c r="O489">
        <f t="shared" si="2"/>
        <v>183852</v>
      </c>
    </row>
    <row r="490" spans="1:15" x14ac:dyDescent="0.3">
      <c r="A490">
        <v>2008</v>
      </c>
      <c r="B490">
        <v>14942</v>
      </c>
      <c r="C490">
        <v>6649</v>
      </c>
      <c r="D490">
        <v>7041</v>
      </c>
      <c r="E490">
        <v>7302</v>
      </c>
      <c r="F490">
        <v>11940</v>
      </c>
      <c r="G490">
        <v>16964</v>
      </c>
      <c r="H490">
        <v>21718</v>
      </c>
      <c r="I490">
        <v>22880</v>
      </c>
      <c r="J490">
        <v>22667</v>
      </c>
      <c r="K490">
        <v>23173</v>
      </c>
      <c r="L490">
        <v>26105</v>
      </c>
      <c r="M490">
        <v>30406</v>
      </c>
      <c r="N490">
        <v>11787</v>
      </c>
      <c r="O490">
        <f t="shared" si="2"/>
        <v>211787</v>
      </c>
    </row>
    <row r="491" spans="1:15" x14ac:dyDescent="0.3">
      <c r="A491">
        <v>2009</v>
      </c>
      <c r="B491">
        <v>18391</v>
      </c>
      <c r="C491">
        <v>8904</v>
      </c>
      <c r="D491">
        <v>7483</v>
      </c>
      <c r="E491">
        <v>9875</v>
      </c>
      <c r="F491">
        <v>12244</v>
      </c>
      <c r="G491">
        <v>11709</v>
      </c>
      <c r="H491">
        <v>11240</v>
      </c>
      <c r="I491">
        <v>8274</v>
      </c>
      <c r="J491">
        <v>8097</v>
      </c>
      <c r="K491">
        <v>6802</v>
      </c>
      <c r="L491">
        <v>10275</v>
      </c>
      <c r="M491">
        <v>7124</v>
      </c>
      <c r="N491">
        <v>20418</v>
      </c>
      <c r="O491">
        <f t="shared" si="2"/>
        <v>120418</v>
      </c>
    </row>
    <row r="492" spans="1:15" x14ac:dyDescent="0.3">
      <c r="A492">
        <v>2010</v>
      </c>
      <c r="B492">
        <v>3620</v>
      </c>
      <c r="C492">
        <v>2047</v>
      </c>
      <c r="D492">
        <v>3231</v>
      </c>
      <c r="E492">
        <v>5225</v>
      </c>
      <c r="F492">
        <v>10630</v>
      </c>
      <c r="G492">
        <v>15899</v>
      </c>
      <c r="H492">
        <v>22569</v>
      </c>
      <c r="I492">
        <v>29793</v>
      </c>
      <c r="J492">
        <v>29191</v>
      </c>
      <c r="K492">
        <v>33804</v>
      </c>
      <c r="L492">
        <v>32856</v>
      </c>
      <c r="M492">
        <v>34857</v>
      </c>
      <c r="N492">
        <v>23722</v>
      </c>
      <c r="O492">
        <f t="shared" si="2"/>
        <v>223722</v>
      </c>
    </row>
    <row r="493" spans="1:15" x14ac:dyDescent="0.3">
      <c r="A493">
        <v>2011</v>
      </c>
      <c r="B493">
        <v>24530</v>
      </c>
      <c r="C493">
        <v>8644</v>
      </c>
      <c r="D493">
        <v>9190</v>
      </c>
      <c r="E493">
        <v>13049</v>
      </c>
      <c r="F493">
        <v>26750</v>
      </c>
      <c r="G493">
        <v>29180</v>
      </c>
      <c r="H493">
        <v>23579</v>
      </c>
      <c r="I493">
        <v>19387</v>
      </c>
      <c r="J493">
        <v>15310</v>
      </c>
      <c r="K493">
        <v>17415</v>
      </c>
      <c r="L493">
        <v>23485</v>
      </c>
      <c r="M493">
        <v>32570</v>
      </c>
      <c r="N493">
        <v>43089</v>
      </c>
      <c r="O493">
        <f t="shared" si="2"/>
        <v>243089</v>
      </c>
    </row>
    <row r="494" spans="1:15" x14ac:dyDescent="0.3">
      <c r="A494">
        <v>2012</v>
      </c>
      <c r="B494">
        <v>21327</v>
      </c>
      <c r="C494">
        <v>9640</v>
      </c>
      <c r="D494">
        <v>5412</v>
      </c>
      <c r="E494">
        <v>9180</v>
      </c>
      <c r="F494">
        <v>16730</v>
      </c>
      <c r="G494">
        <v>14584</v>
      </c>
      <c r="H494">
        <v>9084</v>
      </c>
      <c r="I494">
        <v>8613</v>
      </c>
      <c r="J494">
        <v>8957</v>
      </c>
      <c r="K494">
        <v>9083</v>
      </c>
      <c r="L494">
        <v>11863</v>
      </c>
      <c r="M494">
        <v>10054</v>
      </c>
      <c r="N494">
        <v>34527</v>
      </c>
      <c r="O494">
        <f t="shared" si="2"/>
        <v>134527</v>
      </c>
    </row>
    <row r="495" spans="1:15" x14ac:dyDescent="0.3">
      <c r="A495">
        <v>2014</v>
      </c>
      <c r="B495">
        <v>7869</v>
      </c>
      <c r="C495">
        <v>3702</v>
      </c>
      <c r="D495">
        <v>5428</v>
      </c>
      <c r="E495">
        <v>4464</v>
      </c>
      <c r="F495">
        <v>9219</v>
      </c>
      <c r="G495">
        <v>9247</v>
      </c>
      <c r="H495">
        <v>5803</v>
      </c>
      <c r="I495">
        <v>4832</v>
      </c>
      <c r="J495">
        <v>6985</v>
      </c>
      <c r="K495">
        <v>10429</v>
      </c>
      <c r="L495">
        <v>12934</v>
      </c>
      <c r="M495">
        <v>13733</v>
      </c>
      <c r="N495">
        <v>94645</v>
      </c>
      <c r="O495">
        <f t="shared" si="2"/>
        <v>94645</v>
      </c>
    </row>
    <row r="497" spans="1:14" x14ac:dyDescent="0.3">
      <c r="A497" t="s">
        <v>110</v>
      </c>
      <c r="B497">
        <v>11198</v>
      </c>
      <c r="C497">
        <v>4802</v>
      </c>
      <c r="D497">
        <v>4689</v>
      </c>
      <c r="E497">
        <v>6079</v>
      </c>
      <c r="F497">
        <v>10755</v>
      </c>
      <c r="G497">
        <v>13662</v>
      </c>
      <c r="H497">
        <v>13631</v>
      </c>
      <c r="I497">
        <v>12095</v>
      </c>
      <c r="J497">
        <v>12338</v>
      </c>
      <c r="K497">
        <v>15963</v>
      </c>
      <c r="L497">
        <v>19353</v>
      </c>
      <c r="M497">
        <v>20263</v>
      </c>
      <c r="N497">
        <v>44828.67</v>
      </c>
    </row>
    <row r="498" spans="1:14" x14ac:dyDescent="0.3">
      <c r="A498" t="s">
        <v>111</v>
      </c>
      <c r="B498">
        <v>35773</v>
      </c>
      <c r="C498">
        <v>12516</v>
      </c>
      <c r="D498">
        <v>9785</v>
      </c>
      <c r="E498">
        <v>13049</v>
      </c>
      <c r="F498">
        <v>26750</v>
      </c>
      <c r="G498">
        <v>29180</v>
      </c>
      <c r="H498">
        <v>31709</v>
      </c>
      <c r="I498">
        <v>32200</v>
      </c>
      <c r="J498">
        <v>33975</v>
      </c>
      <c r="K498">
        <v>43958</v>
      </c>
      <c r="L498">
        <v>44340</v>
      </c>
      <c r="M498">
        <v>48474</v>
      </c>
      <c r="N498">
        <v>48474</v>
      </c>
    </row>
    <row r="499" spans="1:14" x14ac:dyDescent="0.3">
      <c r="A499" t="s">
        <v>112</v>
      </c>
      <c r="B499">
        <v>1750</v>
      </c>
      <c r="C499">
        <v>1471</v>
      </c>
      <c r="D499">
        <v>1452</v>
      </c>
      <c r="E499">
        <v>2027</v>
      </c>
      <c r="F499">
        <v>4871</v>
      </c>
      <c r="G499">
        <v>6141</v>
      </c>
      <c r="H499">
        <v>5177</v>
      </c>
      <c r="I499">
        <v>3550</v>
      </c>
      <c r="J499">
        <v>3348</v>
      </c>
      <c r="K499">
        <v>6424</v>
      </c>
      <c r="L499">
        <v>8111</v>
      </c>
      <c r="M499">
        <v>6312</v>
      </c>
      <c r="N499">
        <v>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7"/>
  <sheetViews>
    <sheetView tabSelected="1" topLeftCell="A4" zoomScale="85" zoomScaleNormal="85" workbookViewId="0">
      <selection activeCell="Y21" sqref="Y21"/>
    </sheetView>
  </sheetViews>
  <sheetFormatPr baseColWidth="10" defaultRowHeight="14.4" x14ac:dyDescent="0.3"/>
  <cols>
    <col min="1" max="1" width="8.33203125" customWidth="1"/>
    <col min="3" max="3" width="8.6640625" customWidth="1"/>
    <col min="5" max="5" width="6.88671875" customWidth="1"/>
    <col min="6" max="6" width="9.109375" customWidth="1"/>
    <col min="7" max="7" width="10.33203125" customWidth="1"/>
    <col min="8" max="8" width="10.5546875" customWidth="1"/>
    <col min="9" max="9" width="6.5546875" customWidth="1"/>
    <col min="10" max="10" width="11.6640625" customWidth="1"/>
    <col min="11" max="11" width="9.6640625" customWidth="1"/>
    <col min="12" max="12" width="7.6640625" customWidth="1"/>
    <col min="13" max="13" width="6.33203125" customWidth="1"/>
    <col min="14" max="14" width="7" customWidth="1"/>
    <col min="15" max="15" width="9.44140625" customWidth="1"/>
    <col min="16" max="16" width="7.44140625" customWidth="1"/>
  </cols>
  <sheetData>
    <row r="1" spans="1:16" x14ac:dyDescent="0.3">
      <c r="A1" s="7" t="s">
        <v>145</v>
      </c>
    </row>
    <row r="2" spans="1:16" x14ac:dyDescent="0.3">
      <c r="A2" t="s">
        <v>146</v>
      </c>
    </row>
    <row r="3" spans="1:16" x14ac:dyDescent="0.3">
      <c r="A3" t="s">
        <v>147</v>
      </c>
    </row>
    <row r="4" spans="1:16" x14ac:dyDescent="0.3">
      <c r="E4" t="s">
        <v>148</v>
      </c>
      <c r="F4" s="4">
        <f>AVERAGE(F8:F799)</f>
        <v>7266.6586294416247</v>
      </c>
    </row>
    <row r="5" spans="1:16" x14ac:dyDescent="0.3">
      <c r="B5" t="s">
        <v>138</v>
      </c>
      <c r="E5" t="s">
        <v>149</v>
      </c>
      <c r="F5" s="4">
        <f>_xlfn.STDEV.S(F8:F799)</f>
        <v>2607.4865294931692</v>
      </c>
      <c r="N5" t="s">
        <v>148</v>
      </c>
      <c r="O5">
        <f>AVERAGE(O8:O82)</f>
        <v>7272.9078282828286</v>
      </c>
    </row>
    <row r="6" spans="1:16" x14ac:dyDescent="0.3">
      <c r="B6" s="7" t="s">
        <v>142</v>
      </c>
      <c r="C6" s="7" t="s">
        <v>150</v>
      </c>
      <c r="D6" s="7" t="s">
        <v>144</v>
      </c>
      <c r="E6" s="7" t="s">
        <v>137</v>
      </c>
      <c r="F6" s="7" t="s">
        <v>143</v>
      </c>
      <c r="G6" s="7" t="s">
        <v>151</v>
      </c>
      <c r="H6" s="7" t="s">
        <v>151</v>
      </c>
      <c r="J6" t="s">
        <v>152</v>
      </c>
      <c r="N6" t="s">
        <v>149</v>
      </c>
      <c r="O6">
        <f>_xlfn.STDEV.S(O8:O82)</f>
        <v>1356.5226345430237</v>
      </c>
    </row>
    <row r="7" spans="1:16" x14ac:dyDescent="0.3">
      <c r="B7" s="5">
        <v>42370</v>
      </c>
      <c r="C7" s="4">
        <v>2016</v>
      </c>
      <c r="E7">
        <v>2016</v>
      </c>
      <c r="G7" t="s">
        <v>153</v>
      </c>
      <c r="H7" t="s">
        <v>154</v>
      </c>
      <c r="J7" s="7" t="s">
        <v>155</v>
      </c>
      <c r="K7" s="7" t="s">
        <v>148</v>
      </c>
      <c r="L7" s="7" t="s">
        <v>149</v>
      </c>
      <c r="N7" s="7" t="s">
        <v>137</v>
      </c>
      <c r="O7" s="7" t="s">
        <v>143</v>
      </c>
      <c r="P7" s="7" t="s">
        <v>156</v>
      </c>
    </row>
    <row r="8" spans="1:16" x14ac:dyDescent="0.3">
      <c r="B8" s="5">
        <v>42339</v>
      </c>
      <c r="C8" s="4">
        <v>2015.9166666666665</v>
      </c>
      <c r="D8" t="s">
        <v>157</v>
      </c>
      <c r="E8">
        <v>2015</v>
      </c>
      <c r="F8">
        <v>4444</v>
      </c>
      <c r="G8" s="8">
        <f t="shared" ref="G8:G71" si="0">STANDARDIZE(F8,F$4,F$5)</f>
        <v>-1.0825208864991833</v>
      </c>
      <c r="H8" s="3">
        <f>STANDARDIZE(F8,K$19,L$19)</f>
        <v>-1.8822207353515776</v>
      </c>
      <c r="J8" s="9" t="s">
        <v>97</v>
      </c>
      <c r="K8" s="3">
        <f>AVERAGEIFS(F$8:F$799,D$8:D$799,J8)</f>
        <v>7004.984848484848</v>
      </c>
      <c r="L8" s="3">
        <f t="array" ref="L8">_xlfn.STDEV.S(IF(D$8:D$799=J8,F$8:F$799))</f>
        <v>2290.5977015914714</v>
      </c>
      <c r="N8">
        <v>2015</v>
      </c>
      <c r="O8">
        <f>AVERAGEIFS(F$8:F$799,E$8:E$799,N8)</f>
        <v>4608.416666666667</v>
      </c>
      <c r="P8" s="3">
        <f>STANDARDIZE(O8,O$5,O$6)</f>
        <v>-1.964206931581173</v>
      </c>
    </row>
    <row r="9" spans="1:16" x14ac:dyDescent="0.3">
      <c r="B9" s="5">
        <v>42309</v>
      </c>
      <c r="C9" s="4">
        <v>2015.8333333333333</v>
      </c>
      <c r="D9" t="s">
        <v>158</v>
      </c>
      <c r="E9">
        <v>2015</v>
      </c>
      <c r="F9">
        <v>5803</v>
      </c>
      <c r="G9" s="8">
        <f t="shared" si="0"/>
        <v>-0.56132931575532385</v>
      </c>
      <c r="H9" s="3">
        <f>STANDARDIZE(F9,K$18,L$18)</f>
        <v>-1.5628229592399008</v>
      </c>
      <c r="J9" s="9" t="s">
        <v>159</v>
      </c>
      <c r="K9" s="3">
        <f t="shared" ref="K9:K18" si="1">AVERAGEIFS(F$8:F$799,D$8:D$799,J9)</f>
        <v>4540.954545454545</v>
      </c>
      <c r="L9" s="3">
        <f t="array" ref="L9">_xlfn.STDEV.S(IF(D$8:D$799=J9,F$8:F$799))</f>
        <v>1579.029930361999</v>
      </c>
      <c r="N9">
        <v>2014</v>
      </c>
      <c r="O9">
        <f t="shared" ref="O9:O72" si="2">AVERAGEIFS(F$8:F$799,E$8:E$799,N9)</f>
        <v>5799.083333333333</v>
      </c>
      <c r="P9" s="3">
        <f t="shared" ref="P9:P72" si="3">STANDARDIZE(O9,O$5,O$6)</f>
        <v>-1.0864724682209137</v>
      </c>
    </row>
    <row r="10" spans="1:16" x14ac:dyDescent="0.3">
      <c r="B10" s="5">
        <v>42278</v>
      </c>
      <c r="C10" s="4">
        <v>2015.75</v>
      </c>
      <c r="D10" t="s">
        <v>160</v>
      </c>
      <c r="E10">
        <v>2015</v>
      </c>
      <c r="F10">
        <v>4343</v>
      </c>
      <c r="G10" s="8">
        <f t="shared" si="0"/>
        <v>-1.1212555065471081</v>
      </c>
      <c r="H10" s="3">
        <f>STANDARDIZE(F10,K$17,L$17)</f>
        <v>-2.15671477028619</v>
      </c>
      <c r="J10" s="9" t="s">
        <v>99</v>
      </c>
      <c r="K10" s="3">
        <f t="shared" si="1"/>
        <v>4171.242424242424</v>
      </c>
      <c r="L10" s="3">
        <f t="array" ref="L10">_xlfn.STDEV.S(IF(D$8:D$799=J10,F$8:F$799))</f>
        <v>1400.4671534950921</v>
      </c>
      <c r="N10">
        <v>2013</v>
      </c>
      <c r="O10">
        <f t="shared" si="2"/>
        <v>6146.416666666667</v>
      </c>
      <c r="P10" s="3">
        <f t="shared" si="3"/>
        <v>-0.83042562868524972</v>
      </c>
    </row>
    <row r="11" spans="1:16" x14ac:dyDescent="0.3">
      <c r="B11" s="5">
        <v>42248</v>
      </c>
      <c r="C11" s="4">
        <v>2015.6666666666665</v>
      </c>
      <c r="D11" t="s">
        <v>161</v>
      </c>
      <c r="E11">
        <v>2015</v>
      </c>
      <c r="F11">
        <v>4394</v>
      </c>
      <c r="G11" s="8">
        <f t="shared" si="0"/>
        <v>-1.1016964409783541</v>
      </c>
      <c r="H11" s="3">
        <f>STANDARDIZE(F11,K$16,L$16)</f>
        <v>-1.5675285518272193</v>
      </c>
      <c r="J11" s="9" t="s">
        <v>100</v>
      </c>
      <c r="K11" s="3">
        <f t="shared" si="1"/>
        <v>4989.757575757576</v>
      </c>
      <c r="L11" s="3">
        <f t="array" ref="L11">_xlfn.STDEV.S(IF(D$8:D$799=J11,F$8:F$799))</f>
        <v>1312.5123889303177</v>
      </c>
      <c r="N11">
        <v>2012</v>
      </c>
      <c r="O11">
        <f t="shared" si="2"/>
        <v>7361.5</v>
      </c>
      <c r="P11" s="3">
        <f t="shared" si="3"/>
        <v>6.5308288605899822E-2</v>
      </c>
    </row>
    <row r="12" spans="1:16" x14ac:dyDescent="0.3">
      <c r="B12" s="5">
        <v>42217</v>
      </c>
      <c r="C12" s="4">
        <v>2015.5833333333333</v>
      </c>
      <c r="D12" t="s">
        <v>162</v>
      </c>
      <c r="E12">
        <v>2015</v>
      </c>
      <c r="F12">
        <v>4127</v>
      </c>
      <c r="G12" s="8">
        <f t="shared" si="0"/>
        <v>-1.2040939018971257</v>
      </c>
      <c r="H12" s="3">
        <f>STANDARDIZE(F12,K$15,L$15)</f>
        <v>-1.625718268185586</v>
      </c>
      <c r="J12" s="9" t="s">
        <v>101</v>
      </c>
      <c r="K12" s="3">
        <f t="shared" si="1"/>
        <v>6907.590909090909</v>
      </c>
      <c r="L12" s="3">
        <f t="array" ref="L12">_xlfn.STDEV.S(IF(D$8:D$799=J12,F$8:F$799))</f>
        <v>1455.0824029245559</v>
      </c>
      <c r="N12">
        <v>2011</v>
      </c>
      <c r="O12">
        <f t="shared" si="2"/>
        <v>10223.916666666666</v>
      </c>
      <c r="P12" s="3">
        <f t="shared" si="3"/>
        <v>2.1754217461899952</v>
      </c>
    </row>
    <row r="13" spans="1:16" x14ac:dyDescent="0.3">
      <c r="B13" s="5">
        <v>42186</v>
      </c>
      <c r="C13" s="4">
        <v>2015.5</v>
      </c>
      <c r="D13" t="s">
        <v>163</v>
      </c>
      <c r="E13">
        <v>2015</v>
      </c>
      <c r="F13">
        <v>4341</v>
      </c>
      <c r="G13" s="8">
        <f t="shared" si="0"/>
        <v>-1.1220225287262751</v>
      </c>
      <c r="H13" s="3">
        <f>STANDARDIZE(F13,K$14,L$14)</f>
        <v>-1.7969404791920827</v>
      </c>
      <c r="J13" s="9" t="s">
        <v>102</v>
      </c>
      <c r="K13" s="3">
        <f t="shared" si="1"/>
        <v>8222.984848484848</v>
      </c>
      <c r="L13" s="3">
        <f t="array" ref="L13">_xlfn.STDEV.S(IF(D$8:D$799=J13,F$8:F$799))</f>
        <v>1689.7422788690772</v>
      </c>
      <c r="N13">
        <v>2010</v>
      </c>
      <c r="O13">
        <f t="shared" si="2"/>
        <v>9012.1666666666661</v>
      </c>
      <c r="P13" s="3">
        <f t="shared" si="3"/>
        <v>1.2821450922341207</v>
      </c>
    </row>
    <row r="14" spans="1:16" x14ac:dyDescent="0.3">
      <c r="B14" s="5">
        <v>42156</v>
      </c>
      <c r="C14" s="4">
        <v>2015.4166666666665</v>
      </c>
      <c r="D14" t="s">
        <v>164</v>
      </c>
      <c r="E14">
        <v>2015</v>
      </c>
      <c r="F14">
        <v>5904</v>
      </c>
      <c r="G14" s="8">
        <f t="shared" si="0"/>
        <v>-0.52259469570739903</v>
      </c>
      <c r="H14" s="3">
        <f>STANDARDIZE(F14,K$13,L$13)</f>
        <v>-1.3723896700015785</v>
      </c>
      <c r="J14" s="9" t="s">
        <v>103</v>
      </c>
      <c r="K14" s="3">
        <f t="shared" si="1"/>
        <v>8042.212121212121</v>
      </c>
      <c r="L14" s="3">
        <f t="array" ref="L14">_xlfn.STDEV.S(IF(D$8:D$799=J14,F$8:F$799))</f>
        <v>2059.7299488051003</v>
      </c>
      <c r="N14">
        <v>2009</v>
      </c>
      <c r="O14">
        <f t="shared" si="2"/>
        <v>6946.25</v>
      </c>
      <c r="P14" s="3">
        <f t="shared" si="3"/>
        <v>-0.24080529138599366</v>
      </c>
    </row>
    <row r="15" spans="1:16" x14ac:dyDescent="0.3">
      <c r="B15" s="5">
        <v>42125</v>
      </c>
      <c r="C15" s="4">
        <v>2015.3333333333333</v>
      </c>
      <c r="D15" t="s">
        <v>165</v>
      </c>
      <c r="E15">
        <v>2015</v>
      </c>
      <c r="F15">
        <v>5097</v>
      </c>
      <c r="G15" s="8">
        <f t="shared" si="0"/>
        <v>-0.83208814500121409</v>
      </c>
      <c r="H15" s="3">
        <f>STANDARDIZE(F15,K$12,L$12)</f>
        <v>-1.2443219060665018</v>
      </c>
      <c r="J15" s="9" t="s">
        <v>166</v>
      </c>
      <c r="K15" s="3">
        <f t="shared" si="1"/>
        <v>7448.772727272727</v>
      </c>
      <c r="L15" s="3">
        <f t="array" ref="L15">_xlfn.STDEV.S(IF(D$8:D$799=J15,F$8:F$799))</f>
        <v>2043.2646863100426</v>
      </c>
      <c r="N15">
        <v>2008</v>
      </c>
      <c r="O15">
        <f t="shared" si="2"/>
        <v>9878.4166666666661</v>
      </c>
      <c r="P15" s="3">
        <f t="shared" si="3"/>
        <v>1.9207264014887329</v>
      </c>
    </row>
    <row r="16" spans="1:16" x14ac:dyDescent="0.3">
      <c r="B16" s="5">
        <v>42095</v>
      </c>
      <c r="C16" s="4">
        <v>2015.25</v>
      </c>
      <c r="D16" t="s">
        <v>167</v>
      </c>
      <c r="E16">
        <v>2015</v>
      </c>
      <c r="F16">
        <v>4877</v>
      </c>
      <c r="G16" s="8">
        <f t="shared" si="0"/>
        <v>-0.91646058470956515</v>
      </c>
      <c r="H16" s="3">
        <f>STANDARDIZE(F16,K$11,L$11)</f>
        <v>-8.5909722992765114E-2</v>
      </c>
      <c r="J16" s="9" t="s">
        <v>168</v>
      </c>
      <c r="K16" s="3">
        <f t="shared" si="1"/>
        <v>7632.984848484848</v>
      </c>
      <c r="L16" s="3">
        <f t="array" ref="L16">_xlfn.STDEV.S(IF(D$8:D$799=J16,F$8:F$799))</f>
        <v>2066.3003839446906</v>
      </c>
      <c r="N16">
        <v>2007</v>
      </c>
      <c r="O16">
        <f t="shared" si="2"/>
        <v>8904.25</v>
      </c>
      <c r="P16" s="3">
        <f t="shared" si="3"/>
        <v>1.2025911917545902</v>
      </c>
    </row>
    <row r="17" spans="2:16" x14ac:dyDescent="0.3">
      <c r="B17" s="5">
        <v>42064</v>
      </c>
      <c r="C17" s="4">
        <v>2015.1666666666665</v>
      </c>
      <c r="D17" t="s">
        <v>169</v>
      </c>
      <c r="E17">
        <v>2015</v>
      </c>
      <c r="F17">
        <v>3399</v>
      </c>
      <c r="G17" s="8">
        <f t="shared" si="0"/>
        <v>-1.4832899751138511</v>
      </c>
      <c r="H17" s="3">
        <f>STANDARDIZE(F17,K$10,L$10)</f>
        <v>-0.55141773394339755</v>
      </c>
      <c r="J17" s="9" t="s">
        <v>170</v>
      </c>
      <c r="K17" s="3">
        <f t="shared" si="1"/>
        <v>8594.378787878788</v>
      </c>
      <c r="L17" s="3">
        <f t="array" ref="L17">_xlfn.STDEV.S(IF(D$8:D$799=J17,F$8:F$799))</f>
        <v>1971.2290407853245</v>
      </c>
      <c r="N17">
        <v>2006</v>
      </c>
      <c r="O17">
        <f t="shared" si="2"/>
        <v>8022.416666666667</v>
      </c>
      <c r="P17" s="3">
        <f t="shared" si="3"/>
        <v>0.55252217640756718</v>
      </c>
    </row>
    <row r="18" spans="2:16" x14ac:dyDescent="0.3">
      <c r="B18" s="5">
        <v>42036</v>
      </c>
      <c r="C18" s="4">
        <v>2015.0833333333333</v>
      </c>
      <c r="D18" t="s">
        <v>171</v>
      </c>
      <c r="E18">
        <v>2015</v>
      </c>
      <c r="F18">
        <v>3990</v>
      </c>
      <c r="G18" s="8">
        <f t="shared" si="0"/>
        <v>-1.2566349211700534</v>
      </c>
      <c r="H18" s="3">
        <f>STANDARDIZE(F18,K$9,L$9)</f>
        <v>-0.34891963404913828</v>
      </c>
      <c r="J18" s="9" t="s">
        <v>172</v>
      </c>
      <c r="K18" s="3">
        <f t="shared" si="1"/>
        <v>9911.390625</v>
      </c>
      <c r="L18" s="3">
        <f t="array" ref="L18">_xlfn.STDEV.S(IF(D$8:D$799=J18,F$8:F$799))</f>
        <v>2628.8266375342791</v>
      </c>
      <c r="N18">
        <v>2005</v>
      </c>
      <c r="O18">
        <f t="shared" si="2"/>
        <v>7210.166666666667</v>
      </c>
      <c r="P18" s="3">
        <f t="shared" si="3"/>
        <v>-4.6251466815588733E-2</v>
      </c>
    </row>
    <row r="19" spans="2:16" x14ac:dyDescent="0.3">
      <c r="B19" s="5">
        <v>42005</v>
      </c>
      <c r="C19" s="4">
        <v>2015</v>
      </c>
      <c r="D19" t="s">
        <v>173</v>
      </c>
      <c r="E19">
        <v>2015</v>
      </c>
      <c r="F19">
        <v>4582</v>
      </c>
      <c r="G19" s="8">
        <f t="shared" si="0"/>
        <v>-1.0295963561366723</v>
      </c>
      <c r="H19" s="3">
        <f>STANDARDIZE(F19,K$8,L$8)</f>
        <v>-1.0577958961547007</v>
      </c>
      <c r="J19" s="9" t="s">
        <v>174</v>
      </c>
      <c r="K19" s="3">
        <f>AVERAGEIFS(F$8:F$799,D$8:D$799,J19)</f>
        <v>9892.359375</v>
      </c>
      <c r="L19" s="3">
        <f t="array" ref="L19">_xlfn.STDEV.S(IF(D$8:D$799=J19,F$8:F$799))</f>
        <v>2894.6442214081271</v>
      </c>
      <c r="N19">
        <v>2004</v>
      </c>
      <c r="O19">
        <f t="shared" si="2"/>
        <v>6657.833333333333</v>
      </c>
      <c r="P19" s="3">
        <f t="shared" si="3"/>
        <v>-0.45342000147067046</v>
      </c>
    </row>
    <row r="20" spans="2:16" x14ac:dyDescent="0.3">
      <c r="B20" s="5">
        <v>41974</v>
      </c>
      <c r="C20" s="4">
        <v>2014.9166666666665</v>
      </c>
      <c r="D20" t="s">
        <v>157</v>
      </c>
      <c r="E20">
        <v>2014</v>
      </c>
      <c r="F20">
        <v>8477</v>
      </c>
      <c r="G20" s="8">
        <f t="shared" si="0"/>
        <v>0.46417933779072512</v>
      </c>
      <c r="H20" s="3">
        <f>STANDARDIZE(F20,K$19,L$19)</f>
        <v>-0.48895797436255739</v>
      </c>
      <c r="N20">
        <v>2003</v>
      </c>
      <c r="O20">
        <f t="shared" si="2"/>
        <v>6293.666666666667</v>
      </c>
      <c r="P20" s="3">
        <f t="shared" si="3"/>
        <v>-0.72187602084947289</v>
      </c>
    </row>
    <row r="21" spans="2:16" x14ac:dyDescent="0.3">
      <c r="B21" s="5">
        <v>41944</v>
      </c>
      <c r="C21" s="4">
        <v>2014.8333333333333</v>
      </c>
      <c r="D21" t="s">
        <v>158</v>
      </c>
      <c r="E21">
        <v>2014</v>
      </c>
      <c r="F21">
        <v>8321</v>
      </c>
      <c r="G21" s="8">
        <f t="shared" si="0"/>
        <v>0.4043516078157125</v>
      </c>
      <c r="H21" s="3">
        <f>STANDARDIZE(F21,K$18,L$18)</f>
        <v>-0.60498117384100869</v>
      </c>
      <c r="N21">
        <v>2002</v>
      </c>
      <c r="O21">
        <f t="shared" si="2"/>
        <v>5473.25</v>
      </c>
      <c r="P21" s="3">
        <f t="shared" si="3"/>
        <v>-1.326669959244053</v>
      </c>
    </row>
    <row r="22" spans="2:16" x14ac:dyDescent="0.3">
      <c r="B22" s="5">
        <v>41913</v>
      </c>
      <c r="C22" s="4">
        <v>2014.75</v>
      </c>
      <c r="D22" t="s">
        <v>160</v>
      </c>
      <c r="E22">
        <v>2014</v>
      </c>
      <c r="F22">
        <v>7039</v>
      </c>
      <c r="G22" s="8">
        <f t="shared" si="0"/>
        <v>-8.7309609030224181E-2</v>
      </c>
      <c r="H22" s="3">
        <f>STANDARDIZE(F22,K$17,L$17)</f>
        <v>-0.78904011441467781</v>
      </c>
      <c r="N22">
        <v>2001</v>
      </c>
      <c r="O22">
        <f t="shared" si="2"/>
        <v>5162.333333333333</v>
      </c>
      <c r="P22" s="3">
        <f t="shared" si="3"/>
        <v>-1.5558711968418366</v>
      </c>
    </row>
    <row r="23" spans="2:16" x14ac:dyDescent="0.3">
      <c r="B23" s="5">
        <v>41883</v>
      </c>
      <c r="C23" s="4">
        <v>2014.6666666666665</v>
      </c>
      <c r="D23" t="s">
        <v>161</v>
      </c>
      <c r="E23">
        <v>2014</v>
      </c>
      <c r="F23">
        <v>5495</v>
      </c>
      <c r="G23" s="8">
        <f t="shared" si="0"/>
        <v>-0.67945073134701539</v>
      </c>
      <c r="H23" s="3">
        <f>STANDARDIZE(F23,K$16,L$16)</f>
        <v>-1.0346921798481727</v>
      </c>
      <c r="N23">
        <v>2000</v>
      </c>
      <c r="O23">
        <f t="shared" si="2"/>
        <v>8423.1666666666661</v>
      </c>
      <c r="P23" s="3">
        <f t="shared" si="3"/>
        <v>0.84794666089101334</v>
      </c>
    </row>
    <row r="24" spans="2:16" x14ac:dyDescent="0.3">
      <c r="B24" s="5">
        <v>41852</v>
      </c>
      <c r="C24" s="4">
        <v>2014.5833333333333</v>
      </c>
      <c r="D24" t="s">
        <v>162</v>
      </c>
      <c r="E24">
        <v>2014</v>
      </c>
      <c r="F24">
        <v>4197</v>
      </c>
      <c r="G24" s="8">
        <f t="shared" si="0"/>
        <v>-1.1772481256262868</v>
      </c>
      <c r="H24" s="3">
        <f>STANDARDIZE(F24,K$15,L$15)</f>
        <v>-1.5914593684605514</v>
      </c>
      <c r="N24">
        <v>1999</v>
      </c>
      <c r="O24">
        <f t="shared" si="2"/>
        <v>10123.5</v>
      </c>
      <c r="P24" s="3">
        <f t="shared" si="3"/>
        <v>2.1013966882148338</v>
      </c>
    </row>
    <row r="25" spans="2:16" x14ac:dyDescent="0.3">
      <c r="B25" s="5">
        <v>41821</v>
      </c>
      <c r="C25" s="4">
        <v>2014.5</v>
      </c>
      <c r="D25" t="s">
        <v>163</v>
      </c>
      <c r="E25">
        <v>2014</v>
      </c>
      <c r="F25">
        <v>4744</v>
      </c>
      <c r="G25" s="8">
        <f t="shared" si="0"/>
        <v>-0.9674675596241592</v>
      </c>
      <c r="H25" s="3">
        <f>STANDARDIZE(F25,K$14,L$14)</f>
        <v>-1.6012837620414726</v>
      </c>
      <c r="N25">
        <v>1998</v>
      </c>
      <c r="O25">
        <f t="shared" si="2"/>
        <v>6857</v>
      </c>
      <c r="P25" s="3">
        <f t="shared" si="3"/>
        <v>-0.30659851718798403</v>
      </c>
    </row>
    <row r="26" spans="2:16" x14ac:dyDescent="0.3">
      <c r="B26" s="5">
        <v>41791</v>
      </c>
      <c r="C26" s="4">
        <v>2014.4166666666665</v>
      </c>
      <c r="D26" t="s">
        <v>164</v>
      </c>
      <c r="E26">
        <v>2014</v>
      </c>
      <c r="F26">
        <v>6647</v>
      </c>
      <c r="G26" s="8">
        <f t="shared" si="0"/>
        <v>-0.23764595614692247</v>
      </c>
      <c r="H26" s="3">
        <f>STANDARDIZE(F26,K$13,L$13)</f>
        <v>-0.93267764451016433</v>
      </c>
      <c r="N26">
        <v>1997</v>
      </c>
      <c r="O26">
        <f t="shared" si="2"/>
        <v>4667.833333333333</v>
      </c>
      <c r="P26" s="3">
        <f t="shared" si="3"/>
        <v>-1.9204062126298951</v>
      </c>
    </row>
    <row r="27" spans="2:16" x14ac:dyDescent="0.3">
      <c r="B27" s="5">
        <v>41760</v>
      </c>
      <c r="C27" s="4">
        <v>2014.3333333333333</v>
      </c>
      <c r="D27" t="s">
        <v>165</v>
      </c>
      <c r="E27">
        <v>2014</v>
      </c>
      <c r="F27">
        <v>6475</v>
      </c>
      <c r="G27" s="8">
        <f t="shared" si="0"/>
        <v>-0.30360986355526964</v>
      </c>
      <c r="H27" s="3">
        <f>STANDARDIZE(F27,K$12,L$12)</f>
        <v>-0.29729650239838568</v>
      </c>
      <c r="N27">
        <v>1996</v>
      </c>
      <c r="O27">
        <f t="shared" si="2"/>
        <v>8578.5</v>
      </c>
      <c r="P27" s="3">
        <f t="shared" si="3"/>
        <v>0.96245513231483271</v>
      </c>
    </row>
    <row r="28" spans="2:16" x14ac:dyDescent="0.3">
      <c r="B28" s="5">
        <v>41730</v>
      </c>
      <c r="C28" s="4">
        <v>2014.25</v>
      </c>
      <c r="D28" t="s">
        <v>167</v>
      </c>
      <c r="E28">
        <v>2014</v>
      </c>
      <c r="F28">
        <v>4075</v>
      </c>
      <c r="G28" s="8">
        <f t="shared" si="0"/>
        <v>-1.2240364785554632</v>
      </c>
      <c r="H28" s="3">
        <f>STANDARDIZE(F28,K$11,L$11)</f>
        <v>-0.69695157430330446</v>
      </c>
      <c r="N28">
        <v>1995</v>
      </c>
      <c r="O28">
        <f t="shared" si="2"/>
        <v>6814.5</v>
      </c>
      <c r="P28" s="3">
        <f t="shared" si="3"/>
        <v>-0.33792862471274132</v>
      </c>
    </row>
    <row r="29" spans="2:16" x14ac:dyDescent="0.3">
      <c r="B29" s="5">
        <v>41699</v>
      </c>
      <c r="C29" s="4">
        <v>2014.1666666666665</v>
      </c>
      <c r="D29" t="s">
        <v>169</v>
      </c>
      <c r="E29">
        <v>2014</v>
      </c>
      <c r="F29">
        <v>4551</v>
      </c>
      <c r="G29" s="8">
        <f t="shared" si="0"/>
        <v>-1.0414851999137582</v>
      </c>
      <c r="H29" s="3">
        <f>STANDARDIZE(F29,K$10,L$10)</f>
        <v>0.27116492865243541</v>
      </c>
      <c r="N29">
        <v>1994</v>
      </c>
      <c r="O29">
        <f t="shared" si="2"/>
        <v>7598.083333333333</v>
      </c>
      <c r="P29" s="3">
        <f t="shared" si="3"/>
        <v>0.23971255382704862</v>
      </c>
    </row>
    <row r="30" spans="2:16" x14ac:dyDescent="0.3">
      <c r="B30" s="5">
        <v>41671</v>
      </c>
      <c r="C30" s="4">
        <v>2014.0833333333333</v>
      </c>
      <c r="D30" t="s">
        <v>171</v>
      </c>
      <c r="E30">
        <v>2014</v>
      </c>
      <c r="F30">
        <v>3771</v>
      </c>
      <c r="G30" s="8">
        <f t="shared" si="0"/>
        <v>-1.340623849788821</v>
      </c>
      <c r="H30" s="3">
        <f>STANDARDIZE(F30,K$9,L$9)</f>
        <v>-0.48761238191224776</v>
      </c>
      <c r="N30">
        <v>1993</v>
      </c>
      <c r="O30">
        <f t="shared" si="2"/>
        <v>6861.916666666667</v>
      </c>
      <c r="P30" s="3">
        <f t="shared" si="3"/>
        <v>-0.30297405376845304</v>
      </c>
    </row>
    <row r="31" spans="2:16" x14ac:dyDescent="0.3">
      <c r="B31" s="5">
        <v>41640</v>
      </c>
      <c r="C31" s="4">
        <v>2014</v>
      </c>
      <c r="D31" t="s">
        <v>173</v>
      </c>
      <c r="E31">
        <v>2014</v>
      </c>
      <c r="F31">
        <v>5797</v>
      </c>
      <c r="G31" s="8">
        <f t="shared" si="0"/>
        <v>-0.56363038229282436</v>
      </c>
      <c r="H31" s="3">
        <f>STANDARDIZE(F31,K$8,L$8)</f>
        <v>-0.5273666552819638</v>
      </c>
      <c r="N31">
        <v>1992</v>
      </c>
      <c r="O31">
        <f t="shared" si="2"/>
        <v>5090.166666666667</v>
      </c>
      <c r="P31" s="3">
        <f t="shared" si="3"/>
        <v>-1.6090709480505416</v>
      </c>
    </row>
    <row r="32" spans="2:16" x14ac:dyDescent="0.3">
      <c r="B32" s="5">
        <v>41609</v>
      </c>
      <c r="C32" s="4">
        <v>2013.9166666666599</v>
      </c>
      <c r="D32" t="s">
        <v>157</v>
      </c>
      <c r="E32">
        <v>2013</v>
      </c>
      <c r="F32">
        <v>8407</v>
      </c>
      <c r="G32" s="8">
        <f t="shared" si="0"/>
        <v>0.43733356151988612</v>
      </c>
      <c r="H32" s="3">
        <f>STANDARDIZE(F32,K$19,L$19)</f>
        <v>-0.51314056629641103</v>
      </c>
      <c r="N32">
        <v>1991</v>
      </c>
      <c r="O32">
        <f t="shared" si="2"/>
        <v>6351.75</v>
      </c>
      <c r="P32" s="3">
        <f t="shared" si="3"/>
        <v>-0.67905820723230481</v>
      </c>
    </row>
    <row r="33" spans="2:16" x14ac:dyDescent="0.3">
      <c r="B33" s="5">
        <v>41579</v>
      </c>
      <c r="C33" s="4">
        <v>2013.8333333333301</v>
      </c>
      <c r="D33" t="s">
        <v>158</v>
      </c>
      <c r="E33">
        <v>2013</v>
      </c>
      <c r="F33">
        <v>8535</v>
      </c>
      <c r="G33" s="8">
        <f t="shared" si="0"/>
        <v>0.48642298098656311</v>
      </c>
      <c r="H33" s="3">
        <f>STANDARDIZE(F33,K$18,L$18)</f>
        <v>-0.52357603401759212</v>
      </c>
      <c r="N33">
        <v>1990</v>
      </c>
      <c r="O33">
        <f t="shared" si="2"/>
        <v>7076</v>
      </c>
      <c r="P33" s="3">
        <f t="shared" si="3"/>
        <v>-0.14515631606041104</v>
      </c>
    </row>
    <row r="34" spans="2:16" x14ac:dyDescent="0.3">
      <c r="B34" s="5">
        <v>41548</v>
      </c>
      <c r="C34" s="4">
        <v>2013.75</v>
      </c>
      <c r="D34" t="s">
        <v>160</v>
      </c>
      <c r="E34">
        <v>2013</v>
      </c>
      <c r="F34">
        <v>7850</v>
      </c>
      <c r="G34" s="8">
        <f t="shared" si="0"/>
        <v>0.22371788462192455</v>
      </c>
      <c r="H34" s="3">
        <f>STANDARDIZE(F34,K$17,L$17)</f>
        <v>-0.37762166266697877</v>
      </c>
      <c r="N34">
        <v>1989</v>
      </c>
      <c r="O34">
        <f t="shared" si="2"/>
        <v>8372.5833333333339</v>
      </c>
      <c r="P34" s="3">
        <f t="shared" si="3"/>
        <v>0.81065768977821484</v>
      </c>
    </row>
    <row r="35" spans="2:16" x14ac:dyDescent="0.3">
      <c r="B35" s="5">
        <v>41518</v>
      </c>
      <c r="C35" s="4">
        <v>2013.6666666666599</v>
      </c>
      <c r="D35" t="s">
        <v>161</v>
      </c>
      <c r="E35">
        <v>2013</v>
      </c>
      <c r="F35">
        <v>7369</v>
      </c>
      <c r="G35" s="8">
        <f t="shared" si="0"/>
        <v>3.9249050532302425E-2</v>
      </c>
      <c r="H35" s="3">
        <f>STANDARDIZE(F35,K$16,L$16)</f>
        <v>-0.12775724697920504</v>
      </c>
      <c r="N35">
        <v>1988</v>
      </c>
      <c r="O35">
        <f t="shared" si="2"/>
        <v>8442.25</v>
      </c>
      <c r="P35" s="3">
        <f t="shared" si="3"/>
        <v>0.86201449348546366</v>
      </c>
    </row>
    <row r="36" spans="2:16" x14ac:dyDescent="0.3">
      <c r="B36" s="5">
        <v>41487</v>
      </c>
      <c r="C36" s="4">
        <v>2013.5833333333301</v>
      </c>
      <c r="D36" t="s">
        <v>162</v>
      </c>
      <c r="E36">
        <v>2013</v>
      </c>
      <c r="F36">
        <v>5564</v>
      </c>
      <c r="G36" s="8">
        <f t="shared" si="0"/>
        <v>-0.65298846616575978</v>
      </c>
      <c r="H36" s="3">
        <f>STANDARDIZE(F36,K$15,L$15)</f>
        <v>-0.92243199811594734</v>
      </c>
      <c r="N36">
        <v>1987</v>
      </c>
      <c r="O36">
        <f t="shared" si="2"/>
        <v>6941.25</v>
      </c>
      <c r="P36" s="3">
        <f t="shared" si="3"/>
        <v>-0.2444911863889063</v>
      </c>
    </row>
    <row r="37" spans="2:16" x14ac:dyDescent="0.3">
      <c r="B37" s="5">
        <v>41456</v>
      </c>
      <c r="C37" s="4">
        <v>2013.5</v>
      </c>
      <c r="D37" t="s">
        <v>163</v>
      </c>
      <c r="E37">
        <v>2013</v>
      </c>
      <c r="F37">
        <v>6649</v>
      </c>
      <c r="G37" s="8">
        <f t="shared" si="0"/>
        <v>-0.23687893396775564</v>
      </c>
      <c r="H37" s="3">
        <f>STANDARDIZE(F37,K$14,L$14)</f>
        <v>-0.67640523556030119</v>
      </c>
      <c r="N37">
        <v>1986</v>
      </c>
      <c r="O37">
        <f t="shared" si="2"/>
        <v>7595.166666666667</v>
      </c>
      <c r="P37" s="3">
        <f t="shared" si="3"/>
        <v>0.23756244840868337</v>
      </c>
    </row>
    <row r="38" spans="2:16" x14ac:dyDescent="0.3">
      <c r="B38" s="5">
        <v>41426</v>
      </c>
      <c r="C38" s="4">
        <v>2013.4166666666599</v>
      </c>
      <c r="D38" t="s">
        <v>164</v>
      </c>
      <c r="E38">
        <v>2013</v>
      </c>
      <c r="F38">
        <v>8229</v>
      </c>
      <c r="G38" s="8">
        <f t="shared" si="0"/>
        <v>0.36906858757403843</v>
      </c>
      <c r="H38" s="3">
        <f>STANDARDIZE(F38,K$13,L$13)</f>
        <v>3.5598041135467239E-3</v>
      </c>
      <c r="N38">
        <v>1985</v>
      </c>
      <c r="O38">
        <f t="shared" si="2"/>
        <v>6495.833333333333</v>
      </c>
      <c r="P38" s="3">
        <f t="shared" si="3"/>
        <v>-0.57284299956503948</v>
      </c>
    </row>
    <row r="39" spans="2:16" x14ac:dyDescent="0.3">
      <c r="B39" s="5">
        <v>41395</v>
      </c>
      <c r="C39" s="4">
        <v>2013.3333333333301</v>
      </c>
      <c r="D39" t="s">
        <v>165</v>
      </c>
      <c r="E39">
        <v>2013</v>
      </c>
      <c r="F39">
        <v>6259</v>
      </c>
      <c r="G39" s="8">
        <f t="shared" si="0"/>
        <v>-0.38644825890528706</v>
      </c>
      <c r="H39" s="3">
        <f>STANDARDIZE(F39,K$12,L$12)</f>
        <v>-0.44574170355391041</v>
      </c>
      <c r="N39">
        <v>1984</v>
      </c>
      <c r="O39">
        <f t="shared" si="2"/>
        <v>8824.1666666666661</v>
      </c>
      <c r="P39" s="3">
        <f t="shared" si="3"/>
        <v>1.143555440124606</v>
      </c>
    </row>
    <row r="40" spans="2:16" x14ac:dyDescent="0.3">
      <c r="B40" s="5">
        <v>41365</v>
      </c>
      <c r="C40" s="4">
        <v>2013.25</v>
      </c>
      <c r="D40" t="s">
        <v>167</v>
      </c>
      <c r="E40">
        <v>2013</v>
      </c>
      <c r="F40">
        <v>4229</v>
      </c>
      <c r="G40" s="8">
        <f t="shared" si="0"/>
        <v>-1.1649757707596173</v>
      </c>
      <c r="H40" s="3">
        <f>STANDARDIZE(F40,K$11,L$11)</f>
        <v>-0.57961934849055752</v>
      </c>
      <c r="N40">
        <v>1983</v>
      </c>
      <c r="O40">
        <f t="shared" si="2"/>
        <v>5919.416666666667</v>
      </c>
      <c r="P40" s="3">
        <f t="shared" si="3"/>
        <v>-0.99776526181748282</v>
      </c>
    </row>
    <row r="41" spans="2:16" x14ac:dyDescent="0.3">
      <c r="B41" s="5">
        <v>41334</v>
      </c>
      <c r="C41" s="4">
        <v>2013.1666666666599</v>
      </c>
      <c r="D41" t="s">
        <v>169</v>
      </c>
      <c r="E41">
        <v>2013</v>
      </c>
      <c r="F41">
        <v>3792</v>
      </c>
      <c r="G41" s="8">
        <f t="shared" si="0"/>
        <v>-1.3325701169075694</v>
      </c>
      <c r="H41" s="3">
        <f>STANDARDIZE(F41,K$10,L$10)</f>
        <v>-0.27079708602658997</v>
      </c>
      <c r="N41">
        <v>1982</v>
      </c>
      <c r="O41">
        <f t="shared" si="2"/>
        <v>7746.166666666667</v>
      </c>
      <c r="P41" s="3">
        <f t="shared" si="3"/>
        <v>0.34887647749664463</v>
      </c>
    </row>
    <row r="42" spans="2:16" x14ac:dyDescent="0.3">
      <c r="B42" s="5">
        <v>41306</v>
      </c>
      <c r="C42" s="4">
        <v>2013.0833333333301</v>
      </c>
      <c r="D42" t="s">
        <v>171</v>
      </c>
      <c r="E42">
        <v>2013</v>
      </c>
      <c r="F42">
        <v>3205</v>
      </c>
      <c r="G42" s="8">
        <f t="shared" si="0"/>
        <v>-1.5576911264930333</v>
      </c>
      <c r="H42" s="3">
        <f>STANDARDIZE(F42,K$9,L$9)</f>
        <v>-0.84606030561325207</v>
      </c>
      <c r="N42">
        <v>1981</v>
      </c>
      <c r="O42">
        <f t="shared" si="2"/>
        <v>9255.3333333333339</v>
      </c>
      <c r="P42" s="3">
        <f t="shared" si="3"/>
        <v>1.4614024525424387</v>
      </c>
    </row>
    <row r="43" spans="2:16" x14ac:dyDescent="0.3">
      <c r="B43" s="5">
        <v>41275</v>
      </c>
      <c r="C43" s="4">
        <v>2013</v>
      </c>
      <c r="D43" t="s">
        <v>173</v>
      </c>
      <c r="E43">
        <v>2013</v>
      </c>
      <c r="F43">
        <v>3669</v>
      </c>
      <c r="G43" s="8">
        <f t="shared" si="0"/>
        <v>-1.3797419809263292</v>
      </c>
      <c r="H43" s="3">
        <f>STANDARDIZE(F43,K$8,L$8)</f>
        <v>-1.4563818195430207</v>
      </c>
      <c r="N43">
        <v>1980</v>
      </c>
      <c r="O43">
        <f t="shared" si="2"/>
        <v>6208.416666666667</v>
      </c>
      <c r="P43" s="3">
        <f t="shared" si="3"/>
        <v>-0.78472053064913316</v>
      </c>
    </row>
    <row r="44" spans="2:16" x14ac:dyDescent="0.3">
      <c r="B44" s="5">
        <v>41244</v>
      </c>
      <c r="C44" s="4">
        <v>2012.9166666666599</v>
      </c>
      <c r="D44" t="s">
        <v>157</v>
      </c>
      <c r="E44">
        <v>2012</v>
      </c>
      <c r="F44">
        <v>6855</v>
      </c>
      <c r="G44" s="8">
        <f t="shared" si="0"/>
        <v>-0.15787564951357236</v>
      </c>
      <c r="H44" s="3">
        <f>STANDARDIZE(F44,K$19,L$19)</f>
        <v>-1.0493031760298499</v>
      </c>
      <c r="N44">
        <v>1979</v>
      </c>
      <c r="O44">
        <f t="shared" si="2"/>
        <v>7326.75</v>
      </c>
      <c r="P44" s="3">
        <f t="shared" si="3"/>
        <v>3.9691318335657082E-2</v>
      </c>
    </row>
    <row r="45" spans="2:16" x14ac:dyDescent="0.3">
      <c r="B45" s="5">
        <v>41214</v>
      </c>
      <c r="C45" s="4">
        <v>2012.8333333333301</v>
      </c>
      <c r="D45" t="s">
        <v>158</v>
      </c>
      <c r="E45">
        <v>2012</v>
      </c>
      <c r="F45">
        <v>7858</v>
      </c>
      <c r="G45" s="8">
        <f t="shared" si="0"/>
        <v>0.22678597333859185</v>
      </c>
      <c r="H45" s="3">
        <f>STANDARDIZE(F45,K$18,L$18)</f>
        <v>-0.78110537822531645</v>
      </c>
      <c r="N45">
        <v>1978</v>
      </c>
      <c r="O45">
        <f t="shared" si="2"/>
        <v>6900.75</v>
      </c>
      <c r="P45" s="3">
        <f t="shared" si="3"/>
        <v>-0.27434693591249854</v>
      </c>
    </row>
    <row r="46" spans="2:16" x14ac:dyDescent="0.3">
      <c r="B46" s="5">
        <v>41183</v>
      </c>
      <c r="C46" s="4">
        <v>2012.75</v>
      </c>
      <c r="D46" t="s">
        <v>160</v>
      </c>
      <c r="E46">
        <v>2012</v>
      </c>
      <c r="F46">
        <v>6414</v>
      </c>
      <c r="G46" s="8">
        <f t="shared" si="0"/>
        <v>-0.32700404001985789</v>
      </c>
      <c r="H46" s="3">
        <f>STANDARDIZE(F46,K$17,L$17)</f>
        <v>-1.1061011900525468</v>
      </c>
      <c r="N46">
        <v>1977</v>
      </c>
      <c r="O46">
        <f t="shared" si="2"/>
        <v>5718</v>
      </c>
      <c r="P46" s="3">
        <f t="shared" si="3"/>
        <v>-1.14624539885148</v>
      </c>
    </row>
    <row r="47" spans="2:16" x14ac:dyDescent="0.3">
      <c r="B47" s="5">
        <v>41153</v>
      </c>
      <c r="C47" s="4">
        <v>2012.6666666666599</v>
      </c>
      <c r="D47" t="s">
        <v>161</v>
      </c>
      <c r="E47">
        <v>2012</v>
      </c>
      <c r="F47">
        <v>6502</v>
      </c>
      <c r="G47" s="8">
        <f t="shared" si="0"/>
        <v>-0.29325506413651747</v>
      </c>
      <c r="H47" s="3">
        <f>STANDARDIZE(F47,K$16,L$16)</f>
        <v>-0.54734774153491206</v>
      </c>
      <c r="N47">
        <v>1976</v>
      </c>
      <c r="O47">
        <f t="shared" si="2"/>
        <v>7073.833333333333</v>
      </c>
      <c r="P47" s="3">
        <f t="shared" si="3"/>
        <v>-0.14675353722834009</v>
      </c>
    </row>
    <row r="48" spans="2:16" x14ac:dyDescent="0.3">
      <c r="B48" s="5">
        <v>41122</v>
      </c>
      <c r="C48" s="4">
        <v>2012.5833333333301</v>
      </c>
      <c r="D48" t="s">
        <v>162</v>
      </c>
      <c r="E48">
        <v>2012</v>
      </c>
      <c r="F48">
        <v>6193</v>
      </c>
      <c r="G48" s="8">
        <f t="shared" si="0"/>
        <v>-0.41175999081779241</v>
      </c>
      <c r="H48" s="3">
        <f>STANDARDIZE(F48,K$15,L$15)</f>
        <v>-0.61459131344385087</v>
      </c>
      <c r="N48">
        <v>1975</v>
      </c>
      <c r="O48">
        <f t="shared" si="2"/>
        <v>8841</v>
      </c>
      <c r="P48" s="3">
        <f t="shared" si="3"/>
        <v>1.1559646199677456</v>
      </c>
    </row>
    <row r="49" spans="2:16" x14ac:dyDescent="0.3">
      <c r="B49" s="5">
        <v>41091</v>
      </c>
      <c r="C49" s="4">
        <v>2012.5</v>
      </c>
      <c r="D49" t="s">
        <v>163</v>
      </c>
      <c r="E49">
        <v>2012</v>
      </c>
      <c r="F49">
        <v>6418</v>
      </c>
      <c r="G49" s="8">
        <f t="shared" si="0"/>
        <v>-0.32546999566152424</v>
      </c>
      <c r="H49" s="3">
        <f>STANDARDIZE(F49,K$14,L$14)</f>
        <v>-0.78855586003124645</v>
      </c>
      <c r="N49">
        <v>1974</v>
      </c>
      <c r="O49">
        <f t="shared" si="2"/>
        <v>8906.5833333333339</v>
      </c>
      <c r="P49" s="3">
        <f t="shared" si="3"/>
        <v>1.2043112760892831</v>
      </c>
    </row>
    <row r="50" spans="2:16" x14ac:dyDescent="0.3">
      <c r="B50" s="5">
        <v>41061</v>
      </c>
      <c r="C50" s="4">
        <v>2012.4166666666599</v>
      </c>
      <c r="D50" t="s">
        <v>164</v>
      </c>
      <c r="E50">
        <v>2012</v>
      </c>
      <c r="F50">
        <v>9001</v>
      </c>
      <c r="G50" s="8">
        <f t="shared" si="0"/>
        <v>0.66513914873243407</v>
      </c>
      <c r="H50" s="3">
        <f>STANDARDIZE(F50,K$13,L$13)</f>
        <v>0.4604342101423109</v>
      </c>
      <c r="N50">
        <v>1973</v>
      </c>
      <c r="O50">
        <f t="shared" si="2"/>
        <v>6785.416666666667</v>
      </c>
      <c r="P50" s="3">
        <f t="shared" si="3"/>
        <v>-0.3593682473130162</v>
      </c>
    </row>
    <row r="51" spans="2:16" x14ac:dyDescent="0.3">
      <c r="B51" s="5">
        <v>41030</v>
      </c>
      <c r="C51" s="4">
        <v>2012.3333333333301</v>
      </c>
      <c r="D51" t="s">
        <v>165</v>
      </c>
      <c r="E51">
        <v>2012</v>
      </c>
      <c r="F51">
        <v>9668</v>
      </c>
      <c r="G51" s="8">
        <f t="shared" si="0"/>
        <v>0.92094104548457112</v>
      </c>
      <c r="H51" s="3">
        <f>STANDARDIZE(F51,K$12,L$12)</f>
        <v>1.8970809387571259</v>
      </c>
      <c r="N51">
        <v>1972</v>
      </c>
      <c r="O51">
        <f t="shared" si="2"/>
        <v>7173.75</v>
      </c>
      <c r="P51" s="3">
        <f t="shared" si="3"/>
        <v>-7.3097068753469233E-2</v>
      </c>
    </row>
    <row r="52" spans="2:16" x14ac:dyDescent="0.3">
      <c r="B52" s="5">
        <v>41000</v>
      </c>
      <c r="C52" s="4">
        <v>2012.24999999999</v>
      </c>
      <c r="D52" t="s">
        <v>167</v>
      </c>
      <c r="E52">
        <v>2012</v>
      </c>
      <c r="F52">
        <v>6585</v>
      </c>
      <c r="G52" s="8">
        <f t="shared" si="0"/>
        <v>-0.26142364370109411</v>
      </c>
      <c r="H52" s="3">
        <f>STANDARDIZE(F52,K$11,L$11)</f>
        <v>1.2154113269304285</v>
      </c>
      <c r="N52">
        <v>1971</v>
      </c>
      <c r="O52">
        <f t="shared" si="2"/>
        <v>10321.083333333334</v>
      </c>
      <c r="P52" s="3">
        <f t="shared" si="3"/>
        <v>2.2470509724132648</v>
      </c>
    </row>
    <row r="53" spans="2:16" x14ac:dyDescent="0.3">
      <c r="B53" s="5">
        <v>40969</v>
      </c>
      <c r="C53" s="4">
        <v>2012.1666666666599</v>
      </c>
      <c r="D53" t="s">
        <v>169</v>
      </c>
      <c r="E53">
        <v>2012</v>
      </c>
      <c r="F53">
        <v>4540</v>
      </c>
      <c r="G53" s="8">
        <f t="shared" si="0"/>
        <v>-1.0457038218991757</v>
      </c>
      <c r="H53" s="3">
        <f>STANDARDIZE(F53,K$10,L$10)</f>
        <v>0.26331040670056549</v>
      </c>
      <c r="N53">
        <v>1970</v>
      </c>
      <c r="O53">
        <f t="shared" si="2"/>
        <v>8388.8333333333339</v>
      </c>
      <c r="P53" s="3">
        <f t="shared" si="3"/>
        <v>0.82263684853768093</v>
      </c>
    </row>
    <row r="54" spans="2:16" x14ac:dyDescent="0.3">
      <c r="B54" s="5">
        <v>40940</v>
      </c>
      <c r="C54" s="4">
        <v>2012.0833333333301</v>
      </c>
      <c r="D54" t="s">
        <v>171</v>
      </c>
      <c r="E54">
        <v>2012</v>
      </c>
      <c r="F54">
        <v>6968</v>
      </c>
      <c r="G54" s="8">
        <f t="shared" si="0"/>
        <v>-0.11453889639064657</v>
      </c>
      <c r="H54" s="3">
        <f>STANDARDIZE(F54,K$9,L$9)</f>
        <v>1.5370484168017289</v>
      </c>
      <c r="N54">
        <v>1969</v>
      </c>
      <c r="O54">
        <f t="shared" si="2"/>
        <v>7425.666666666667</v>
      </c>
      <c r="P54" s="3">
        <f t="shared" si="3"/>
        <v>0.1126106078099454</v>
      </c>
    </row>
    <row r="55" spans="2:16" x14ac:dyDescent="0.3">
      <c r="B55" s="5">
        <v>40909</v>
      </c>
      <c r="C55" s="4">
        <v>2012</v>
      </c>
      <c r="D55" t="s">
        <v>173</v>
      </c>
      <c r="E55">
        <v>2012</v>
      </c>
      <c r="F55">
        <v>11336</v>
      </c>
      <c r="G55" s="8">
        <f t="shared" si="0"/>
        <v>1.5606375429097057</v>
      </c>
      <c r="H55" s="3">
        <f>STANDARDIZE(F55,K$8,L$8)</f>
        <v>1.8907794889107024</v>
      </c>
      <c r="N55">
        <v>1968</v>
      </c>
      <c r="O55">
        <f t="shared" si="2"/>
        <v>7191.583333333333</v>
      </c>
      <c r="P55" s="3">
        <f t="shared" si="3"/>
        <v>-5.9950709909747768E-2</v>
      </c>
    </row>
    <row r="56" spans="2:16" x14ac:dyDescent="0.3">
      <c r="B56" s="5">
        <v>40878</v>
      </c>
      <c r="C56" s="4">
        <v>2011.9166666666599</v>
      </c>
      <c r="D56" t="s">
        <v>157</v>
      </c>
      <c r="E56">
        <v>2011</v>
      </c>
      <c r="F56">
        <v>13395</v>
      </c>
      <c r="G56" s="8">
        <f t="shared" si="0"/>
        <v>2.3502868763619551</v>
      </c>
      <c r="H56" s="3">
        <f>STANDARDIZE(F56,K$19,L$19)</f>
        <v>1.2100418417901828</v>
      </c>
      <c r="N56">
        <v>1967</v>
      </c>
      <c r="O56">
        <f t="shared" si="2"/>
        <v>7275.416666666667</v>
      </c>
      <c r="P56" s="3">
        <f t="shared" si="3"/>
        <v>1.8494629724210231E-3</v>
      </c>
    </row>
    <row r="57" spans="2:16" x14ac:dyDescent="0.3">
      <c r="B57" s="5">
        <v>40848</v>
      </c>
      <c r="C57" s="4">
        <v>2011.8333333333301</v>
      </c>
      <c r="D57" t="s">
        <v>158</v>
      </c>
      <c r="E57">
        <v>2011</v>
      </c>
      <c r="F57">
        <v>11402</v>
      </c>
      <c r="G57" s="8">
        <f t="shared" si="0"/>
        <v>1.585949274822211</v>
      </c>
      <c r="H57" s="3">
        <f>STANDARDIZE(F57,K$18,L$18)</f>
        <v>0.5670246009064045</v>
      </c>
      <c r="N57">
        <v>1966</v>
      </c>
      <c r="O57">
        <f t="shared" si="2"/>
        <v>7130.166666666667</v>
      </c>
      <c r="P57" s="3">
        <f t="shared" si="3"/>
        <v>-0.10522578686219072</v>
      </c>
    </row>
    <row r="58" spans="2:16" x14ac:dyDescent="0.3">
      <c r="B58" s="5">
        <v>40817</v>
      </c>
      <c r="C58" s="4">
        <v>2011.74999999999</v>
      </c>
      <c r="D58" t="s">
        <v>160</v>
      </c>
      <c r="E58">
        <v>2011</v>
      </c>
      <c r="F58">
        <v>9565</v>
      </c>
      <c r="G58" s="8">
        <f t="shared" si="0"/>
        <v>0.88143940325747949</v>
      </c>
      <c r="H58" s="3">
        <f>STANDARDIZE(F58,K$17,L$17)</f>
        <v>0.49239392888333411</v>
      </c>
      <c r="N58">
        <v>1965</v>
      </c>
      <c r="O58">
        <f t="shared" si="2"/>
        <v>5808.666666666667</v>
      </c>
      <c r="P58" s="3">
        <f t="shared" si="3"/>
        <v>-1.0794078361319974</v>
      </c>
    </row>
    <row r="59" spans="2:16" x14ac:dyDescent="0.3">
      <c r="B59" s="5">
        <v>40787</v>
      </c>
      <c r="C59" s="4">
        <v>2011.6666666666599</v>
      </c>
      <c r="D59" t="s">
        <v>161</v>
      </c>
      <c r="E59">
        <v>2011</v>
      </c>
      <c r="F59">
        <v>9130</v>
      </c>
      <c r="G59" s="8">
        <f t="shared" si="0"/>
        <v>0.71461207928869441</v>
      </c>
      <c r="H59" s="3">
        <f>STANDARDIZE(F59,K$16,L$16)</f>
        <v>0.72449057414259432</v>
      </c>
      <c r="N59">
        <v>1964</v>
      </c>
      <c r="O59">
        <f t="shared" si="2"/>
        <v>7291</v>
      </c>
      <c r="P59" s="3">
        <f t="shared" si="3"/>
        <v>1.3337169064831813E-2</v>
      </c>
    </row>
    <row r="60" spans="2:16" x14ac:dyDescent="0.3">
      <c r="B60" s="5">
        <v>40756</v>
      </c>
      <c r="C60" s="4">
        <v>2011.5833333333301</v>
      </c>
      <c r="D60" t="s">
        <v>162</v>
      </c>
      <c r="E60">
        <v>2011</v>
      </c>
      <c r="F60">
        <v>10126</v>
      </c>
      <c r="G60" s="8">
        <f t="shared" si="0"/>
        <v>1.0965891245137747</v>
      </c>
      <c r="H60" s="3">
        <f>STANDARDIZE(F60,K$15,L$15)</f>
        <v>1.3102694382498781</v>
      </c>
      <c r="N60">
        <v>1963</v>
      </c>
      <c r="O60">
        <f t="shared" si="2"/>
        <v>7493.166666666667</v>
      </c>
      <c r="P60" s="3">
        <f t="shared" si="3"/>
        <v>0.16237019034926584</v>
      </c>
    </row>
    <row r="61" spans="2:16" x14ac:dyDescent="0.3">
      <c r="B61" s="5">
        <v>40725</v>
      </c>
      <c r="C61" s="4">
        <v>2011.49999999999</v>
      </c>
      <c r="D61" t="s">
        <v>163</v>
      </c>
      <c r="E61">
        <v>2011</v>
      </c>
      <c r="F61">
        <v>11226</v>
      </c>
      <c r="G61" s="8">
        <f t="shared" si="0"/>
        <v>1.5184513230555301</v>
      </c>
      <c r="H61" s="3">
        <f>STANDARDIZE(F61,K$14,L$14)</f>
        <v>1.5457307306886867</v>
      </c>
      <c r="N61">
        <v>1962</v>
      </c>
      <c r="O61">
        <f t="shared" si="2"/>
        <v>7847.75</v>
      </c>
      <c r="P61" s="3">
        <f t="shared" si="3"/>
        <v>0.42376157763915256</v>
      </c>
    </row>
    <row r="62" spans="2:16" x14ac:dyDescent="0.3">
      <c r="B62" s="5">
        <v>40695</v>
      </c>
      <c r="C62" s="4">
        <v>2011.4166666666599</v>
      </c>
      <c r="D62" t="s">
        <v>164</v>
      </c>
      <c r="E62">
        <v>2011</v>
      </c>
      <c r="F62">
        <v>12827</v>
      </c>
      <c r="G62" s="8">
        <f t="shared" si="0"/>
        <v>2.1324525774785759</v>
      </c>
      <c r="H62" s="3">
        <f>STANDARDIZE(F62,K$13,L$13)</f>
        <v>2.7246848286216525</v>
      </c>
      <c r="N62">
        <v>1961</v>
      </c>
      <c r="O62">
        <f t="shared" si="2"/>
        <v>6466</v>
      </c>
      <c r="P62" s="3">
        <f t="shared" si="3"/>
        <v>-0.59483550641575134</v>
      </c>
    </row>
    <row r="63" spans="2:16" x14ac:dyDescent="0.3">
      <c r="B63" s="5">
        <v>40664</v>
      </c>
      <c r="C63" s="4">
        <v>2011.3333333333301</v>
      </c>
      <c r="D63" t="s">
        <v>165</v>
      </c>
      <c r="E63">
        <v>2011</v>
      </c>
      <c r="F63">
        <v>11996</v>
      </c>
      <c r="G63" s="8">
        <f t="shared" si="0"/>
        <v>1.8137548620347588</v>
      </c>
      <c r="H63" s="3">
        <f>STANDARDIZE(F63,K$12,L$12)</f>
        <v>3.4969903289888924</v>
      </c>
      <c r="N63">
        <v>1960</v>
      </c>
      <c r="O63">
        <f t="shared" si="2"/>
        <v>7080.833333333333</v>
      </c>
      <c r="P63" s="3">
        <f t="shared" si="3"/>
        <v>-0.1415932842242624</v>
      </c>
    </row>
    <row r="64" spans="2:16" x14ac:dyDescent="0.3">
      <c r="B64" s="5">
        <v>40634</v>
      </c>
      <c r="C64" s="4">
        <v>2011.24999999999</v>
      </c>
      <c r="D64" t="s">
        <v>167</v>
      </c>
      <c r="E64">
        <v>2011</v>
      </c>
      <c r="F64">
        <v>8274</v>
      </c>
      <c r="G64" s="8">
        <f t="shared" si="0"/>
        <v>0.38632658660529207</v>
      </c>
      <c r="H64" s="3">
        <f>STANDARDIZE(F64,K$11,L$11)</f>
        <v>2.5022563230195818</v>
      </c>
      <c r="N64">
        <v>1959</v>
      </c>
      <c r="O64">
        <f t="shared" si="2"/>
        <v>5683.416666666667</v>
      </c>
      <c r="P64" s="3">
        <f t="shared" si="3"/>
        <v>-1.1717395059549587</v>
      </c>
    </row>
    <row r="65" spans="2:16" x14ac:dyDescent="0.3">
      <c r="B65" s="5">
        <v>40603</v>
      </c>
      <c r="C65" s="4">
        <v>2011.1666666666599</v>
      </c>
      <c r="D65" t="s">
        <v>169</v>
      </c>
      <c r="E65">
        <v>2011</v>
      </c>
      <c r="F65">
        <v>6595</v>
      </c>
      <c r="G65" s="8">
        <f t="shared" si="0"/>
        <v>-0.25758853280526001</v>
      </c>
      <c r="H65" s="3">
        <f>STANDARDIZE(F65,K$10,L$10)</f>
        <v>1.7306779167999029</v>
      </c>
      <c r="N65">
        <v>1958</v>
      </c>
      <c r="O65">
        <f t="shared" si="2"/>
        <v>4849.333333333333</v>
      </c>
      <c r="P65" s="3">
        <f t="shared" si="3"/>
        <v>-1.786608224024167</v>
      </c>
    </row>
    <row r="66" spans="2:16" x14ac:dyDescent="0.3">
      <c r="B66" s="5">
        <v>40575</v>
      </c>
      <c r="C66" s="4">
        <v>2011.0833333333301</v>
      </c>
      <c r="D66" t="s">
        <v>171</v>
      </c>
      <c r="E66">
        <v>2011</v>
      </c>
      <c r="F66">
        <v>6721</v>
      </c>
      <c r="G66" s="8">
        <f t="shared" si="0"/>
        <v>-0.20926613551774984</v>
      </c>
      <c r="H66" s="3">
        <f>STANDARDIZE(F66,K$9,L$9)</f>
        <v>1.3806232628191353</v>
      </c>
      <c r="N66">
        <v>1957</v>
      </c>
      <c r="O66">
        <f t="shared" si="2"/>
        <v>5915.166666666667</v>
      </c>
      <c r="P66" s="3">
        <f t="shared" si="3"/>
        <v>-1.0008982725699587</v>
      </c>
    </row>
    <row r="67" spans="2:16" x14ac:dyDescent="0.3">
      <c r="B67" s="5">
        <v>40544</v>
      </c>
      <c r="C67" s="4">
        <v>2011</v>
      </c>
      <c r="D67" t="s">
        <v>173</v>
      </c>
      <c r="E67">
        <v>2011</v>
      </c>
      <c r="F67">
        <v>11430</v>
      </c>
      <c r="G67" s="8">
        <f t="shared" si="0"/>
        <v>1.5966875853305464</v>
      </c>
      <c r="H67" s="3">
        <f>STANDARDIZE(F67,K$8,L$8)</f>
        <v>1.9318168128959183</v>
      </c>
      <c r="N67">
        <v>1956</v>
      </c>
      <c r="O67">
        <f t="shared" si="2"/>
        <v>8566.4</v>
      </c>
      <c r="P67" s="3">
        <f t="shared" si="3"/>
        <v>0.95353526640778385</v>
      </c>
    </row>
    <row r="68" spans="2:16" x14ac:dyDescent="0.3">
      <c r="B68" s="5">
        <v>40513</v>
      </c>
      <c r="C68" s="4">
        <v>2010.9166666666599</v>
      </c>
      <c r="D68" t="s">
        <v>157</v>
      </c>
      <c r="E68">
        <v>2010</v>
      </c>
      <c r="F68">
        <v>13942</v>
      </c>
      <c r="G68" s="8">
        <f t="shared" si="0"/>
        <v>2.5600674423640823</v>
      </c>
      <c r="H68" s="3">
        <f>STANDARDIZE(F68,K$19,L$19)</f>
        <v>1.3990115244732957</v>
      </c>
      <c r="N68">
        <v>1955</v>
      </c>
      <c r="O68">
        <f t="shared" si="2"/>
        <v>8441.6</v>
      </c>
      <c r="P68" s="3">
        <f t="shared" si="3"/>
        <v>0.86153532713508529</v>
      </c>
    </row>
    <row r="69" spans="2:16" x14ac:dyDescent="0.3">
      <c r="B69" s="5">
        <v>40483</v>
      </c>
      <c r="C69" s="4">
        <v>2010.8333333333301</v>
      </c>
      <c r="D69" t="s">
        <v>158</v>
      </c>
      <c r="E69">
        <v>2010</v>
      </c>
      <c r="F69">
        <v>13717</v>
      </c>
      <c r="G69" s="8">
        <f t="shared" si="0"/>
        <v>2.4737774472078145</v>
      </c>
      <c r="H69" s="3">
        <f>STANDARDIZE(F69,K$18,L$18)</f>
        <v>1.4476456228279435</v>
      </c>
      <c r="N69">
        <v>1954</v>
      </c>
      <c r="O69">
        <f t="shared" si="2"/>
        <v>7888.25</v>
      </c>
      <c r="P69" s="3">
        <f t="shared" si="3"/>
        <v>0.45361732716274483</v>
      </c>
    </row>
    <row r="70" spans="2:16" x14ac:dyDescent="0.3">
      <c r="B70" s="5">
        <v>40452</v>
      </c>
      <c r="C70" s="4">
        <v>2010.74999999999</v>
      </c>
      <c r="D70" t="s">
        <v>160</v>
      </c>
      <c r="E70">
        <v>2010</v>
      </c>
      <c r="F70">
        <v>13685</v>
      </c>
      <c r="G70" s="8">
        <f t="shared" si="0"/>
        <v>2.4615050923411452</v>
      </c>
      <c r="H70" s="3">
        <f>STANDARDIZE(F70,K$17,L$17)</f>
        <v>2.5824605394881677</v>
      </c>
      <c r="N70">
        <v>1953</v>
      </c>
      <c r="O70">
        <f t="shared" si="2"/>
        <v>6079.416666666667</v>
      </c>
      <c r="P70" s="3">
        <f t="shared" si="3"/>
        <v>-0.87981662172427888</v>
      </c>
    </row>
    <row r="71" spans="2:16" x14ac:dyDescent="0.3">
      <c r="B71" s="5">
        <v>40422</v>
      </c>
      <c r="C71" s="4">
        <v>2010.6666666666599</v>
      </c>
      <c r="D71" t="s">
        <v>161</v>
      </c>
      <c r="E71">
        <v>2010</v>
      </c>
      <c r="F71">
        <v>12839</v>
      </c>
      <c r="G71" s="8">
        <f t="shared" si="0"/>
        <v>2.1370547105535769</v>
      </c>
      <c r="H71" s="3">
        <f>STANDARDIZE(F71,K$16,L$16)</f>
        <v>2.5194861269766395</v>
      </c>
      <c r="N71">
        <v>1952</v>
      </c>
      <c r="O71">
        <f t="shared" si="2"/>
        <v>6178.833333333333</v>
      </c>
      <c r="P71" s="3">
        <f t="shared" si="3"/>
        <v>-0.80652874274969988</v>
      </c>
    </row>
    <row r="72" spans="2:16" x14ac:dyDescent="0.3">
      <c r="B72" s="5">
        <v>40391</v>
      </c>
      <c r="C72" s="4">
        <v>2010.5833333333301</v>
      </c>
      <c r="D72" t="s">
        <v>162</v>
      </c>
      <c r="E72">
        <v>2010</v>
      </c>
      <c r="F72">
        <v>12741</v>
      </c>
      <c r="G72" s="8">
        <f t="shared" ref="G72:G135" si="4">STANDARDIZE(F72,F$4,F$5)</f>
        <v>2.0994706237744021</v>
      </c>
      <c r="H72" s="3">
        <f>STANDARDIZE(F72,K$15,L$15)</f>
        <v>2.5900840494065274</v>
      </c>
      <c r="N72">
        <v>1951</v>
      </c>
      <c r="O72">
        <f t="shared" si="2"/>
        <v>7044.666666666667</v>
      </c>
      <c r="P72" s="3">
        <f t="shared" si="3"/>
        <v>-0.16825459141199661</v>
      </c>
    </row>
    <row r="73" spans="2:16" x14ac:dyDescent="0.3">
      <c r="B73" s="5">
        <v>40360</v>
      </c>
      <c r="C73" s="4">
        <v>2010.49999999999</v>
      </c>
      <c r="D73" t="s">
        <v>163</v>
      </c>
      <c r="E73">
        <v>2010</v>
      </c>
      <c r="F73">
        <v>10972</v>
      </c>
      <c r="G73" s="8">
        <f t="shared" si="4"/>
        <v>1.421039506301343</v>
      </c>
      <c r="H73" s="3">
        <f>STANDARDIZE(F73,K$14,L$14)</f>
        <v>1.4224135938245306</v>
      </c>
      <c r="N73">
        <v>1950</v>
      </c>
      <c r="O73">
        <f t="shared" ref="O73" si="5">AVERAGEIFS(F$8:F$799,E$8:E$799,N73)</f>
        <v>8975.5</v>
      </c>
      <c r="P73" s="3">
        <f t="shared" ref="P73" si="6">STANDARDIZE(O73,O$5,O$6)</f>
        <v>1.2551151955460951</v>
      </c>
    </row>
    <row r="74" spans="2:16" x14ac:dyDescent="0.3">
      <c r="B74" s="5">
        <v>40330</v>
      </c>
      <c r="C74" s="4">
        <v>2010.4166666666599</v>
      </c>
      <c r="D74" t="s">
        <v>164</v>
      </c>
      <c r="E74">
        <v>2010</v>
      </c>
      <c r="F74">
        <v>9275</v>
      </c>
      <c r="G74" s="8">
        <f t="shared" si="4"/>
        <v>0.77022118727828948</v>
      </c>
      <c r="H74" s="3">
        <f>STANDARDIZE(F74,K$13,L$13)</f>
        <v>0.62258911590899657</v>
      </c>
      <c r="P74" s="3"/>
    </row>
    <row r="75" spans="2:16" x14ac:dyDescent="0.3">
      <c r="B75" s="5">
        <v>40299</v>
      </c>
      <c r="C75" s="4">
        <v>2010.3333333333201</v>
      </c>
      <c r="D75" t="s">
        <v>165</v>
      </c>
      <c r="E75">
        <v>2010</v>
      </c>
      <c r="F75">
        <v>7182</v>
      </c>
      <c r="G75" s="8">
        <f t="shared" si="4"/>
        <v>-3.2467523219795985E-2</v>
      </c>
      <c r="H75" s="3">
        <f>STANDARDIZE(F75,K$12,L$12)</f>
        <v>0.18858663286529948</v>
      </c>
      <c r="P75" s="3"/>
    </row>
    <row r="76" spans="2:16" x14ac:dyDescent="0.3">
      <c r="B76" s="5">
        <v>40269</v>
      </c>
      <c r="C76" s="4">
        <v>2010.24999999999</v>
      </c>
      <c r="D76" t="s">
        <v>167</v>
      </c>
      <c r="E76">
        <v>2010</v>
      </c>
      <c r="F76">
        <v>4545</v>
      </c>
      <c r="G76" s="8">
        <f t="shared" si="4"/>
        <v>-1.0437862664512587</v>
      </c>
      <c r="H76" s="3">
        <f>STANDARDIZE(F76,K$11,L$11)</f>
        <v>-0.33885971630336248</v>
      </c>
      <c r="P76" s="3"/>
    </row>
    <row r="77" spans="2:16" x14ac:dyDescent="0.3">
      <c r="B77" s="5">
        <v>40238</v>
      </c>
      <c r="C77" s="4">
        <v>2010.1666666666599</v>
      </c>
      <c r="D77" t="s">
        <v>169</v>
      </c>
      <c r="E77">
        <v>2010</v>
      </c>
      <c r="F77">
        <v>3222</v>
      </c>
      <c r="G77" s="8">
        <f t="shared" si="4"/>
        <v>-1.5511714379701154</v>
      </c>
      <c r="H77" s="3">
        <f>STANDARDIZE(F77,K$10,L$10)</f>
        <v>-0.67780413262348649</v>
      </c>
      <c r="P77" s="3"/>
    </row>
    <row r="78" spans="2:16" x14ac:dyDescent="0.3">
      <c r="B78" s="5">
        <v>40210</v>
      </c>
      <c r="C78" s="4">
        <v>2010.0833333333201</v>
      </c>
      <c r="D78" t="s">
        <v>171</v>
      </c>
      <c r="E78">
        <v>2010</v>
      </c>
      <c r="F78">
        <v>2579</v>
      </c>
      <c r="G78" s="8">
        <f t="shared" si="4"/>
        <v>-1.7977690685722505</v>
      </c>
      <c r="H78" s="3">
        <f>STANDARDIZE(F78,K$9,L$9)</f>
        <v>-1.2425062424274371</v>
      </c>
      <c r="P78" s="3"/>
    </row>
    <row r="79" spans="2:16" x14ac:dyDescent="0.3">
      <c r="B79" s="5">
        <v>40179</v>
      </c>
      <c r="C79" s="4">
        <v>2010</v>
      </c>
      <c r="D79" t="s">
        <v>173</v>
      </c>
      <c r="E79">
        <v>2010</v>
      </c>
      <c r="F79">
        <v>3447</v>
      </c>
      <c r="G79" s="8">
        <f t="shared" si="4"/>
        <v>-1.4648814428138472</v>
      </c>
      <c r="H79" s="3">
        <f>STANDARDIZE(F79,K$8,L$8)</f>
        <v>-1.5532997549123602</v>
      </c>
      <c r="P79" s="3"/>
    </row>
    <row r="80" spans="2:16" x14ac:dyDescent="0.3">
      <c r="B80" s="5">
        <v>40148</v>
      </c>
      <c r="C80" s="4">
        <v>2009.9166666666599</v>
      </c>
      <c r="D80" t="s">
        <v>157</v>
      </c>
      <c r="E80">
        <v>2009</v>
      </c>
      <c r="F80">
        <v>6163</v>
      </c>
      <c r="G80" s="8">
        <f t="shared" si="4"/>
        <v>-0.42326532350529483</v>
      </c>
      <c r="H80" s="3">
        <f>STANDARDIZE(F80,K$19,L$19)</f>
        <v>-1.2883653705759452</v>
      </c>
      <c r="P80" s="3"/>
    </row>
    <row r="81" spans="2:16" x14ac:dyDescent="0.3">
      <c r="B81" s="5">
        <v>40118</v>
      </c>
      <c r="C81" s="4">
        <v>2009.8333333333201</v>
      </c>
      <c r="D81" t="s">
        <v>158</v>
      </c>
      <c r="E81">
        <v>2009</v>
      </c>
      <c r="F81">
        <v>7123</v>
      </c>
      <c r="G81" s="8">
        <f t="shared" si="4"/>
        <v>-5.5094677505217411E-2</v>
      </c>
      <c r="H81" s="3">
        <f>STANDARDIZE(F81,K$18,L$18)</f>
        <v>-1.0606977977122845</v>
      </c>
      <c r="P81" s="3"/>
    </row>
    <row r="82" spans="2:16" x14ac:dyDescent="0.3">
      <c r="B82" s="5">
        <v>40087</v>
      </c>
      <c r="C82" s="4">
        <v>2009.74999999999</v>
      </c>
      <c r="D82" t="s">
        <v>160</v>
      </c>
      <c r="E82">
        <v>2009</v>
      </c>
      <c r="F82">
        <v>5289</v>
      </c>
      <c r="G82" s="8">
        <f t="shared" si="4"/>
        <v>-0.75845401580119864</v>
      </c>
      <c r="H82" s="3">
        <f>STANDARDIZE(F82,K$17,L$17)</f>
        <v>-1.6768111262007113</v>
      </c>
      <c r="P82" s="3"/>
    </row>
    <row r="83" spans="2:16" x14ac:dyDescent="0.3">
      <c r="B83" s="5">
        <v>40057</v>
      </c>
      <c r="C83" s="4">
        <v>2009.6666666666599</v>
      </c>
      <c r="D83" t="s">
        <v>161</v>
      </c>
      <c r="E83">
        <v>2009</v>
      </c>
      <c r="F83">
        <v>6082</v>
      </c>
      <c r="G83" s="8">
        <f t="shared" si="4"/>
        <v>-0.45432972176155134</v>
      </c>
      <c r="H83" s="3">
        <f>STANDARDIZE(F83,K$16,L$16)</f>
        <v>-0.7506095728075729</v>
      </c>
    </row>
    <row r="84" spans="2:16" x14ac:dyDescent="0.3">
      <c r="B84" s="5">
        <v>40026</v>
      </c>
      <c r="C84" s="4">
        <v>2009.5833333333201</v>
      </c>
      <c r="D84" t="s">
        <v>162</v>
      </c>
      <c r="E84">
        <v>2009</v>
      </c>
      <c r="F84">
        <v>6035</v>
      </c>
      <c r="G84" s="8">
        <f t="shared" si="4"/>
        <v>-0.47235474297197183</v>
      </c>
      <c r="H84" s="3">
        <f>STANDARDIZE(F84,K$15,L$15)</f>
        <v>-0.69191854425178612</v>
      </c>
    </row>
    <row r="85" spans="2:16" x14ac:dyDescent="0.3">
      <c r="B85" s="5">
        <v>39995</v>
      </c>
      <c r="C85" s="4">
        <v>2009.49999999999</v>
      </c>
      <c r="D85" t="s">
        <v>163</v>
      </c>
      <c r="E85">
        <v>2009</v>
      </c>
      <c r="F85">
        <v>7401</v>
      </c>
      <c r="G85" s="8">
        <f t="shared" si="4"/>
        <v>5.1521405398971674E-2</v>
      </c>
      <c r="H85" s="3">
        <f>STANDARDIZE(F85,K$14,L$14)</f>
        <v>-0.31130883035618523</v>
      </c>
    </row>
    <row r="86" spans="2:16" x14ac:dyDescent="0.3">
      <c r="B86" s="5">
        <v>39965</v>
      </c>
      <c r="C86" s="4">
        <v>2009.4166666666599</v>
      </c>
      <c r="D86" t="s">
        <v>164</v>
      </c>
      <c r="E86">
        <v>2009</v>
      </c>
      <c r="F86">
        <v>7787</v>
      </c>
      <c r="G86" s="8">
        <f t="shared" si="4"/>
        <v>0.19955668597816947</v>
      </c>
      <c r="H86" s="3">
        <f>STANDARDIZE(F86,K$13,L$13)</f>
        <v>-0.25801854752468356</v>
      </c>
    </row>
    <row r="87" spans="2:16" x14ac:dyDescent="0.3">
      <c r="B87" s="5">
        <v>39934</v>
      </c>
      <c r="C87" s="4">
        <v>2009.3333333333201</v>
      </c>
      <c r="D87" t="s">
        <v>165</v>
      </c>
      <c r="E87">
        <v>2009</v>
      </c>
      <c r="F87">
        <v>7850</v>
      </c>
      <c r="G87" s="8">
        <f t="shared" si="4"/>
        <v>0.22371788462192455</v>
      </c>
      <c r="H87" s="3">
        <f>STANDARDIZE(F87,K$12,L$12)</f>
        <v>0.6476671623647926</v>
      </c>
    </row>
    <row r="88" spans="2:16" x14ac:dyDescent="0.3">
      <c r="B88" s="5">
        <v>39904</v>
      </c>
      <c r="C88" s="4">
        <v>2009.24999999999</v>
      </c>
      <c r="D88" t="s">
        <v>167</v>
      </c>
      <c r="E88">
        <v>2009</v>
      </c>
      <c r="F88">
        <v>6948</v>
      </c>
      <c r="G88" s="8">
        <f t="shared" si="4"/>
        <v>-0.12220911818231485</v>
      </c>
      <c r="H88" s="3">
        <f>STANDARDIZE(F88,K$11,L$11)</f>
        <v>1.4919801449176178</v>
      </c>
    </row>
    <row r="89" spans="2:16" x14ac:dyDescent="0.3">
      <c r="B89" s="5">
        <v>39873</v>
      </c>
      <c r="C89" s="4">
        <v>2009.1666666666599</v>
      </c>
      <c r="D89" t="s">
        <v>169</v>
      </c>
      <c r="E89">
        <v>2009</v>
      </c>
      <c r="F89">
        <v>5643</v>
      </c>
      <c r="G89" s="8">
        <f t="shared" si="4"/>
        <v>-0.62269109008867007</v>
      </c>
      <c r="H89" s="3">
        <f>STANDARDIZE(F89,K$10,L$10)</f>
        <v>1.0509047442380688</v>
      </c>
    </row>
    <row r="90" spans="2:16" x14ac:dyDescent="0.3">
      <c r="B90" s="5">
        <v>39845</v>
      </c>
      <c r="C90" s="4">
        <v>2009.0833333333201</v>
      </c>
      <c r="D90" t="s">
        <v>171</v>
      </c>
      <c r="E90">
        <v>2009</v>
      </c>
      <c r="F90">
        <v>6777</v>
      </c>
      <c r="G90" s="8">
        <f t="shared" si="4"/>
        <v>-0.18778951450107864</v>
      </c>
      <c r="H90" s="3">
        <f>STANDARDIZE(F90,K$9,L$9)</f>
        <v>1.4160880750581037</v>
      </c>
    </row>
    <row r="91" spans="2:16" x14ac:dyDescent="0.3">
      <c r="B91" s="5">
        <v>39814</v>
      </c>
      <c r="C91" s="4">
        <v>2009</v>
      </c>
      <c r="D91" t="s">
        <v>173</v>
      </c>
      <c r="E91">
        <v>2009</v>
      </c>
      <c r="F91">
        <v>10257</v>
      </c>
      <c r="G91" s="8">
        <f t="shared" si="4"/>
        <v>1.146829077249202</v>
      </c>
      <c r="H91" s="3">
        <f>STANDARDIZE(F91,K$8,L$8)</f>
        <v>1.419723397633597</v>
      </c>
    </row>
    <row r="92" spans="2:16" x14ac:dyDescent="0.3">
      <c r="B92" s="5">
        <v>39783</v>
      </c>
      <c r="C92" s="4">
        <v>2008.9166666666599</v>
      </c>
      <c r="D92" t="s">
        <v>157</v>
      </c>
      <c r="E92">
        <v>2008</v>
      </c>
      <c r="F92">
        <v>14438</v>
      </c>
      <c r="G92" s="8">
        <f t="shared" si="4"/>
        <v>2.7502889427974559</v>
      </c>
      <c r="H92" s="3">
        <f>STANDARDIZE(F92,K$19,L$19)</f>
        <v>1.570362461604601</v>
      </c>
    </row>
    <row r="93" spans="2:16" x14ac:dyDescent="0.3">
      <c r="B93" s="5">
        <v>39753</v>
      </c>
      <c r="C93" s="4">
        <v>2008.8333333333201</v>
      </c>
      <c r="D93" t="s">
        <v>158</v>
      </c>
      <c r="E93">
        <v>2008</v>
      </c>
      <c r="F93">
        <v>13323</v>
      </c>
      <c r="G93" s="8">
        <f t="shared" si="4"/>
        <v>2.322674077911949</v>
      </c>
      <c r="H93" s="3">
        <f>STANDARDIZE(F93,K$18,L$18)</f>
        <v>1.2977688700689429</v>
      </c>
    </row>
    <row r="94" spans="2:16" x14ac:dyDescent="0.3">
      <c r="B94" s="5">
        <v>39722</v>
      </c>
      <c r="C94" s="4">
        <v>2008.74999999999</v>
      </c>
      <c r="D94" t="s">
        <v>160</v>
      </c>
      <c r="E94">
        <v>2008</v>
      </c>
      <c r="F94">
        <v>12038</v>
      </c>
      <c r="G94" s="8">
        <f t="shared" si="4"/>
        <v>1.8298623277972623</v>
      </c>
      <c r="H94" s="3">
        <f>STANDARDIZE(F94,K$17,L$17)</f>
        <v>1.7469411929672547</v>
      </c>
    </row>
    <row r="95" spans="2:16" x14ac:dyDescent="0.3">
      <c r="B95" s="5">
        <v>39692</v>
      </c>
      <c r="C95" s="4">
        <v>2008.6666666666599</v>
      </c>
      <c r="D95" t="s">
        <v>161</v>
      </c>
      <c r="E95">
        <v>2008</v>
      </c>
      <c r="F95">
        <v>12125</v>
      </c>
      <c r="G95" s="8">
        <f t="shared" si="4"/>
        <v>1.8632277925910192</v>
      </c>
      <c r="H95" s="3">
        <f>STANDARDIZE(F95,K$16,L$16)</f>
        <v>2.1739410138131161</v>
      </c>
    </row>
    <row r="96" spans="2:16" x14ac:dyDescent="0.3">
      <c r="B96" s="5">
        <v>39661</v>
      </c>
      <c r="C96" s="4">
        <v>2008.5833333333201</v>
      </c>
      <c r="D96" t="s">
        <v>162</v>
      </c>
      <c r="E96">
        <v>2008</v>
      </c>
      <c r="F96">
        <v>11936</v>
      </c>
      <c r="G96" s="8">
        <f t="shared" si="4"/>
        <v>1.7907441966597539</v>
      </c>
      <c r="H96" s="3">
        <f>STANDARDIZE(F96,K$15,L$15)</f>
        <v>2.1961067025686294</v>
      </c>
    </row>
    <row r="97" spans="2:8" x14ac:dyDescent="0.3">
      <c r="B97" s="5">
        <v>39630</v>
      </c>
      <c r="C97" s="4">
        <v>2008.49999999999</v>
      </c>
      <c r="D97" t="s">
        <v>163</v>
      </c>
      <c r="E97">
        <v>2008</v>
      </c>
      <c r="F97">
        <v>11525</v>
      </c>
      <c r="G97" s="8">
        <f t="shared" si="4"/>
        <v>1.6331211388409708</v>
      </c>
      <c r="H97" s="3">
        <f>STANDARDIZE(F97,K$14,L$14)</f>
        <v>1.6908953918004297</v>
      </c>
    </row>
    <row r="98" spans="2:8" x14ac:dyDescent="0.3">
      <c r="B98" s="5">
        <v>39600</v>
      </c>
      <c r="C98" s="4">
        <v>2008.4166666666499</v>
      </c>
      <c r="D98" t="s">
        <v>164</v>
      </c>
      <c r="E98">
        <v>2008</v>
      </c>
      <c r="F98">
        <v>9974</v>
      </c>
      <c r="G98" s="8">
        <f t="shared" si="4"/>
        <v>1.0382954388970957</v>
      </c>
      <c r="H98" s="3">
        <f>STANDARDIZE(F98,K$13,L$13)</f>
        <v>1.0362616674816729</v>
      </c>
    </row>
    <row r="99" spans="2:8" x14ac:dyDescent="0.3">
      <c r="B99" s="5">
        <v>39569</v>
      </c>
      <c r="C99" s="4">
        <v>2008.3333333333201</v>
      </c>
      <c r="D99" t="s">
        <v>165</v>
      </c>
      <c r="E99">
        <v>2008</v>
      </c>
      <c r="F99">
        <v>7711</v>
      </c>
      <c r="G99" s="8">
        <f t="shared" si="4"/>
        <v>0.17040984316982999</v>
      </c>
      <c r="H99" s="3">
        <f>STANDARDIZE(F99,K$12,L$12)</f>
        <v>0.55213992643600585</v>
      </c>
    </row>
    <row r="100" spans="2:8" x14ac:dyDescent="0.3">
      <c r="B100" s="5">
        <v>39539</v>
      </c>
      <c r="C100" s="4">
        <v>2008.24999999999</v>
      </c>
      <c r="D100" t="s">
        <v>167</v>
      </c>
      <c r="E100">
        <v>2008</v>
      </c>
      <c r="F100">
        <v>5673</v>
      </c>
      <c r="G100" s="8">
        <f t="shared" si="4"/>
        <v>-0.61118575740116765</v>
      </c>
      <c r="H100" s="3">
        <f>STANDARDIZE(F100,K$11,L$11)</f>
        <v>0.52056074289649845</v>
      </c>
    </row>
    <row r="101" spans="2:8" x14ac:dyDescent="0.3">
      <c r="B101" s="5">
        <v>39508</v>
      </c>
      <c r="C101" s="4">
        <v>2008.1666666666499</v>
      </c>
      <c r="D101" t="s">
        <v>169</v>
      </c>
      <c r="E101">
        <v>2008</v>
      </c>
      <c r="F101">
        <v>5420</v>
      </c>
      <c r="G101" s="8">
        <f t="shared" si="4"/>
        <v>-0.70821406306577139</v>
      </c>
      <c r="H101" s="3">
        <f>STANDARDIZE(F101,K$10,L$10)</f>
        <v>0.89167216285016015</v>
      </c>
    </row>
    <row r="102" spans="2:8" x14ac:dyDescent="0.3">
      <c r="B102" s="5">
        <v>39479</v>
      </c>
      <c r="C102" s="4">
        <v>2008.0833333333201</v>
      </c>
      <c r="D102" t="s">
        <v>171</v>
      </c>
      <c r="E102">
        <v>2008</v>
      </c>
      <c r="F102">
        <v>5442</v>
      </c>
      <c r="G102" s="8">
        <f t="shared" si="4"/>
        <v>-0.69977681909493628</v>
      </c>
      <c r="H102" s="3">
        <f>STANDARDIZE(F102,K$9,L$9)</f>
        <v>0.57063228328983395</v>
      </c>
    </row>
    <row r="103" spans="2:8" x14ac:dyDescent="0.3">
      <c r="B103" s="5">
        <v>39448</v>
      </c>
      <c r="C103" s="4">
        <v>2008</v>
      </c>
      <c r="D103" t="s">
        <v>173</v>
      </c>
      <c r="E103">
        <v>2008</v>
      </c>
      <c r="F103">
        <v>8936</v>
      </c>
      <c r="G103" s="8">
        <f t="shared" si="4"/>
        <v>0.64021092790951206</v>
      </c>
      <c r="H103" s="3">
        <f>STANDARDIZE(F103,K$8,L$8)</f>
        <v>0.84301802545838267</v>
      </c>
    </row>
    <row r="104" spans="2:8" x14ac:dyDescent="0.3">
      <c r="B104" s="5">
        <v>39417</v>
      </c>
      <c r="C104" s="4">
        <v>2007.9166666666499</v>
      </c>
      <c r="D104" t="s">
        <v>157</v>
      </c>
      <c r="E104">
        <v>2007</v>
      </c>
      <c r="F104">
        <v>12511</v>
      </c>
      <c r="G104" s="8">
        <f t="shared" si="4"/>
        <v>2.011263073170217</v>
      </c>
      <c r="H104" s="3">
        <f>STANDARDIZE(F104,K$19,L$19)</f>
        <v>0.90465025222551787</v>
      </c>
    </row>
    <row r="105" spans="2:8" x14ac:dyDescent="0.3">
      <c r="B105" s="5">
        <v>39387</v>
      </c>
      <c r="C105" s="4">
        <v>2007.8333333333201</v>
      </c>
      <c r="D105" t="s">
        <v>158</v>
      </c>
      <c r="E105">
        <v>2007</v>
      </c>
      <c r="F105">
        <v>13131</v>
      </c>
      <c r="G105" s="8">
        <f t="shared" si="4"/>
        <v>2.2490399487119337</v>
      </c>
      <c r="H105" s="3">
        <f>STANDARDIZE(F105,K$18,L$18)</f>
        <v>1.2247324829376534</v>
      </c>
    </row>
    <row r="106" spans="2:8" x14ac:dyDescent="0.3">
      <c r="B106" s="5">
        <v>39356</v>
      </c>
      <c r="C106" s="4">
        <v>2007.74999999999</v>
      </c>
      <c r="D106" t="s">
        <v>160</v>
      </c>
      <c r="E106">
        <v>2007</v>
      </c>
      <c r="F106">
        <v>10444</v>
      </c>
      <c r="G106" s="8">
        <f t="shared" si="4"/>
        <v>1.2185456510013004</v>
      </c>
      <c r="H106" s="3">
        <f>STANDARDIZE(F106,K$17,L$17)</f>
        <v>0.93830862566043327</v>
      </c>
    </row>
    <row r="107" spans="2:8" x14ac:dyDescent="0.3">
      <c r="B107" s="5">
        <v>39326</v>
      </c>
      <c r="C107" s="4">
        <v>2007.6666666666499</v>
      </c>
      <c r="D107" t="s">
        <v>161</v>
      </c>
      <c r="E107">
        <v>2007</v>
      </c>
      <c r="F107">
        <v>10419</v>
      </c>
      <c r="G107" s="8">
        <f t="shared" si="4"/>
        <v>1.208957873761715</v>
      </c>
      <c r="H107" s="3">
        <f>STANDARDIZE(F107,K$16,L$16)</f>
        <v>1.3483108134532129</v>
      </c>
    </row>
    <row r="108" spans="2:8" x14ac:dyDescent="0.3">
      <c r="B108" s="5">
        <v>39295</v>
      </c>
      <c r="C108" s="4">
        <v>2007.5833333333201</v>
      </c>
      <c r="D108" t="s">
        <v>162</v>
      </c>
      <c r="E108">
        <v>2007</v>
      </c>
      <c r="F108">
        <v>9304</v>
      </c>
      <c r="G108" s="8">
        <f t="shared" si="4"/>
        <v>0.78134300887620844</v>
      </c>
      <c r="H108" s="3">
        <f>STANDARDIZE(F108,K$15,L$15)</f>
        <v>0.90797207290732906</v>
      </c>
    </row>
    <row r="109" spans="2:8" x14ac:dyDescent="0.3">
      <c r="B109" s="5">
        <v>39264</v>
      </c>
      <c r="C109" s="4">
        <v>2007.49999999999</v>
      </c>
      <c r="D109" t="s">
        <v>163</v>
      </c>
      <c r="E109">
        <v>2007</v>
      </c>
      <c r="F109">
        <v>11100</v>
      </c>
      <c r="G109" s="8">
        <f t="shared" si="4"/>
        <v>1.4701289257680199</v>
      </c>
      <c r="H109" s="3">
        <f>STANDARDIZE(F109,K$14,L$14)</f>
        <v>1.4845576627954438</v>
      </c>
    </row>
    <row r="110" spans="2:8" x14ac:dyDescent="0.3">
      <c r="B110" s="5">
        <v>39234</v>
      </c>
      <c r="C110" s="4">
        <v>2007.4166666666499</v>
      </c>
      <c r="D110" t="s">
        <v>164</v>
      </c>
      <c r="E110">
        <v>2007</v>
      </c>
      <c r="F110">
        <v>11263</v>
      </c>
      <c r="G110" s="8">
        <f t="shared" si="4"/>
        <v>1.5326412333701165</v>
      </c>
      <c r="H110" s="3">
        <f>STANDARDIZE(F110,K$13,L$13)</f>
        <v>1.7990998920556069</v>
      </c>
    </row>
    <row r="111" spans="2:8" x14ac:dyDescent="0.3">
      <c r="B111" s="5">
        <v>39203</v>
      </c>
      <c r="C111" s="4">
        <v>2007.3333333333201</v>
      </c>
      <c r="D111" t="s">
        <v>165</v>
      </c>
      <c r="E111">
        <v>2007</v>
      </c>
      <c r="F111">
        <v>8442</v>
      </c>
      <c r="G111" s="8">
        <f t="shared" si="4"/>
        <v>0.45075644965530559</v>
      </c>
      <c r="H111" s="3">
        <f>STANDARDIZE(F111,K$12,L$12)</f>
        <v>1.0545169729391937</v>
      </c>
    </row>
    <row r="112" spans="2:8" x14ac:dyDescent="0.3">
      <c r="B112" s="5">
        <v>39173</v>
      </c>
      <c r="C112" s="4">
        <v>2007.24999999999</v>
      </c>
      <c r="D112" t="s">
        <v>167</v>
      </c>
      <c r="E112">
        <v>2007</v>
      </c>
      <c r="F112">
        <v>5658</v>
      </c>
      <c r="G112" s="8">
        <f t="shared" si="4"/>
        <v>-0.61693842374491892</v>
      </c>
      <c r="H112" s="3">
        <f>STANDARDIZE(F112,K$11,L$11)</f>
        <v>0.50913227934330874</v>
      </c>
    </row>
    <row r="113" spans="2:8" x14ac:dyDescent="0.3">
      <c r="B113" s="5">
        <v>39142</v>
      </c>
      <c r="C113" s="4">
        <v>2007.1666666666499</v>
      </c>
      <c r="D113" t="s">
        <v>169</v>
      </c>
      <c r="E113">
        <v>2007</v>
      </c>
      <c r="F113">
        <v>2916</v>
      </c>
      <c r="G113" s="8">
        <f t="shared" si="4"/>
        <v>-1.6685258313826399</v>
      </c>
      <c r="H113" s="3">
        <f>STANDARDIZE(F113,K$10,L$10)</f>
        <v>-0.89630265237550466</v>
      </c>
    </row>
    <row r="114" spans="2:8" x14ac:dyDescent="0.3">
      <c r="B114" s="5">
        <v>39114</v>
      </c>
      <c r="C114" s="4">
        <v>2007.0833333333201</v>
      </c>
      <c r="D114" t="s">
        <v>171</v>
      </c>
      <c r="E114">
        <v>2007</v>
      </c>
      <c r="F114">
        <v>3754</v>
      </c>
      <c r="G114" s="8">
        <f t="shared" si="4"/>
        <v>-1.3471435383117392</v>
      </c>
      <c r="H114" s="3">
        <f>STANDARDIZE(F114,K$9,L$9)</f>
        <v>-0.49837848562764892</v>
      </c>
    </row>
    <row r="115" spans="2:8" x14ac:dyDescent="0.3">
      <c r="B115" s="5">
        <v>39083</v>
      </c>
      <c r="C115" s="4">
        <v>2007</v>
      </c>
      <c r="D115" t="s">
        <v>173</v>
      </c>
      <c r="E115">
        <v>2007</v>
      </c>
      <c r="F115">
        <v>7909</v>
      </c>
      <c r="G115" s="8">
        <f t="shared" si="4"/>
        <v>0.24634503890734596</v>
      </c>
      <c r="H115" s="3">
        <f>STANDARDIZE(F115,K$8,L$8)</f>
        <v>0.39466343255607755</v>
      </c>
    </row>
    <row r="116" spans="2:8" x14ac:dyDescent="0.3">
      <c r="B116" s="5">
        <v>39052</v>
      </c>
      <c r="C116" s="4">
        <v>2006.9166666666499</v>
      </c>
      <c r="D116" t="s">
        <v>157</v>
      </c>
      <c r="E116">
        <v>2006</v>
      </c>
      <c r="F116">
        <v>10575</v>
      </c>
      <c r="G116" s="8">
        <f t="shared" si="4"/>
        <v>1.2687856037367276</v>
      </c>
      <c r="H116" s="3">
        <f>STANDARDIZE(F116,K$19,L$19)</f>
        <v>0.23582885245493934</v>
      </c>
    </row>
    <row r="117" spans="2:8" x14ac:dyDescent="0.3">
      <c r="B117" s="5">
        <v>39022</v>
      </c>
      <c r="C117" s="4">
        <v>2006.8333333333201</v>
      </c>
      <c r="D117" t="s">
        <v>158</v>
      </c>
      <c r="E117">
        <v>2006</v>
      </c>
      <c r="F117">
        <v>9114</v>
      </c>
      <c r="G117" s="8">
        <f t="shared" si="4"/>
        <v>0.7084759018553598</v>
      </c>
      <c r="H117" s="3">
        <f>STANDARDIZE(F117,K$18,L$18)</f>
        <v>-0.30332567907479685</v>
      </c>
    </row>
    <row r="118" spans="2:8" x14ac:dyDescent="0.3">
      <c r="B118" s="5">
        <v>38991</v>
      </c>
      <c r="C118" s="4">
        <v>2006.74999999998</v>
      </c>
      <c r="D118" t="s">
        <v>160</v>
      </c>
      <c r="E118">
        <v>2006</v>
      </c>
      <c r="F118">
        <v>7218</v>
      </c>
      <c r="G118" s="8">
        <f t="shared" si="4"/>
        <v>-1.8661123994793083E-2</v>
      </c>
      <c r="H118" s="3">
        <f>STANDARDIZE(F118,K$17,L$17)</f>
        <v>-0.69823382235199205</v>
      </c>
    </row>
    <row r="119" spans="2:8" x14ac:dyDescent="0.3">
      <c r="B119" s="5">
        <v>38961</v>
      </c>
      <c r="C119" s="4">
        <v>2006.6666666666499</v>
      </c>
      <c r="D119" t="s">
        <v>161</v>
      </c>
      <c r="E119">
        <v>2006</v>
      </c>
      <c r="F119">
        <v>7058</v>
      </c>
      <c r="G119" s="8">
        <f t="shared" si="4"/>
        <v>-8.0022898328139316E-2</v>
      </c>
      <c r="H119" s="3">
        <f>STANDARDIZE(F119,K$16,L$16)</f>
        <v>-0.27826779346919917</v>
      </c>
    </row>
    <row r="120" spans="2:8" x14ac:dyDescent="0.3">
      <c r="B120" s="5">
        <v>38930</v>
      </c>
      <c r="C120" s="4">
        <v>2006.5833333333201</v>
      </c>
      <c r="D120" t="s">
        <v>162</v>
      </c>
      <c r="E120">
        <v>2006</v>
      </c>
      <c r="F120">
        <v>6984</v>
      </c>
      <c r="G120" s="8">
        <f t="shared" si="4"/>
        <v>-0.10840271895731195</v>
      </c>
      <c r="H120" s="3">
        <f>STANDARDIZE(F120,K$15,L$15)</f>
        <v>-0.22746574655096005</v>
      </c>
    </row>
    <row r="121" spans="2:8" x14ac:dyDescent="0.3">
      <c r="B121" s="5">
        <v>38899</v>
      </c>
      <c r="C121" s="4">
        <v>2006.49999999998</v>
      </c>
      <c r="D121" t="s">
        <v>163</v>
      </c>
      <c r="E121">
        <v>2006</v>
      </c>
      <c r="F121">
        <v>10159</v>
      </c>
      <c r="G121" s="8">
        <f t="shared" si="4"/>
        <v>1.1092449904700274</v>
      </c>
      <c r="H121" s="3">
        <f>STANDARDIZE(F121,K$14,L$14)</f>
        <v>1.0277016557514635</v>
      </c>
    </row>
    <row r="122" spans="2:8" x14ac:dyDescent="0.3">
      <c r="B122" s="5">
        <v>38869</v>
      </c>
      <c r="C122" s="4">
        <v>2006.4166666666499</v>
      </c>
      <c r="D122" t="s">
        <v>164</v>
      </c>
      <c r="E122">
        <v>2006</v>
      </c>
      <c r="F122">
        <v>11047</v>
      </c>
      <c r="G122" s="8">
        <f t="shared" si="4"/>
        <v>1.4498028380200989</v>
      </c>
      <c r="H122" s="3">
        <f>STANDARDIZE(F122,K$13,L$13)</f>
        <v>1.6712697473636211</v>
      </c>
    </row>
    <row r="123" spans="2:8" x14ac:dyDescent="0.3">
      <c r="B123" s="5">
        <v>38838</v>
      </c>
      <c r="C123" s="4">
        <v>2006.3333333333201</v>
      </c>
      <c r="D123" t="s">
        <v>165</v>
      </c>
      <c r="E123">
        <v>2006</v>
      </c>
      <c r="F123">
        <v>8757</v>
      </c>
      <c r="G123" s="8">
        <f t="shared" si="4"/>
        <v>0.57156244287408098</v>
      </c>
      <c r="H123" s="3">
        <f>STANDARDIZE(F123,K$12,L$12)</f>
        <v>1.2709995579576674</v>
      </c>
    </row>
    <row r="124" spans="2:8" x14ac:dyDescent="0.3">
      <c r="B124" s="5">
        <v>38808</v>
      </c>
      <c r="C124" s="4">
        <v>2006.24999999998</v>
      </c>
      <c r="D124" t="s">
        <v>167</v>
      </c>
      <c r="E124">
        <v>2006</v>
      </c>
      <c r="F124">
        <v>6292</v>
      </c>
      <c r="G124" s="8">
        <f t="shared" si="4"/>
        <v>-0.37379239294903444</v>
      </c>
      <c r="H124" s="3">
        <f>STANDARDIZE(F124,K$11,L$11)</f>
        <v>0.99217533885812415</v>
      </c>
    </row>
    <row r="125" spans="2:8" x14ac:dyDescent="0.3">
      <c r="B125" s="5">
        <v>38777</v>
      </c>
      <c r="C125" s="4">
        <v>2006.1666666666499</v>
      </c>
      <c r="D125" t="s">
        <v>169</v>
      </c>
      <c r="E125">
        <v>2006</v>
      </c>
      <c r="F125">
        <v>4329</v>
      </c>
      <c r="G125" s="8">
        <f t="shared" si="4"/>
        <v>-1.1266246618012761</v>
      </c>
      <c r="H125" s="3">
        <f>STANDARDIZE(F125,K$10,L$10)</f>
        <v>0.11264639471469677</v>
      </c>
    </row>
    <row r="126" spans="2:8" x14ac:dyDescent="0.3">
      <c r="B126" s="5">
        <v>38749</v>
      </c>
      <c r="C126" s="4">
        <v>2006.0833333333201</v>
      </c>
      <c r="D126" t="s">
        <v>171</v>
      </c>
      <c r="E126">
        <v>2006</v>
      </c>
      <c r="F126">
        <v>5532</v>
      </c>
      <c r="G126" s="8">
        <f t="shared" si="4"/>
        <v>-0.66526082103242901</v>
      </c>
      <c r="H126" s="3">
        <f>STANDARDIZE(F126,K$9,L$9)</f>
        <v>0.62762930295960495</v>
      </c>
    </row>
    <row r="127" spans="2:8" x14ac:dyDescent="0.3">
      <c r="B127" s="5">
        <v>38718</v>
      </c>
      <c r="C127" s="4">
        <v>2006</v>
      </c>
      <c r="D127" t="s">
        <v>173</v>
      </c>
      <c r="E127">
        <v>2006</v>
      </c>
      <c r="F127">
        <v>9204</v>
      </c>
      <c r="G127" s="8">
        <f t="shared" si="4"/>
        <v>0.74299189991786707</v>
      </c>
      <c r="H127" s="3">
        <f>STANDARDIZE(F127,K$8,L$8)</f>
        <v>0.96001805554389175</v>
      </c>
    </row>
    <row r="128" spans="2:8" x14ac:dyDescent="0.3">
      <c r="B128" s="5">
        <v>38687</v>
      </c>
      <c r="C128" s="4">
        <v>2005.9166666666499</v>
      </c>
      <c r="D128" t="s">
        <v>157</v>
      </c>
      <c r="E128">
        <v>2005</v>
      </c>
      <c r="F128">
        <v>12700</v>
      </c>
      <c r="G128" s="8">
        <f t="shared" si="4"/>
        <v>2.0837466691014823</v>
      </c>
      <c r="H128" s="3">
        <f>STANDARDIZE(F128,K$19,L$19)</f>
        <v>0.96994325044692253</v>
      </c>
    </row>
    <row r="129" spans="2:8" x14ac:dyDescent="0.3">
      <c r="B129" s="5">
        <v>38657</v>
      </c>
      <c r="C129" s="4">
        <v>2005.8333333333201</v>
      </c>
      <c r="D129" t="s">
        <v>158</v>
      </c>
      <c r="E129">
        <v>2005</v>
      </c>
      <c r="F129">
        <v>10060</v>
      </c>
      <c r="G129" s="8">
        <f t="shared" si="4"/>
        <v>1.0712773926012693</v>
      </c>
      <c r="H129" s="3">
        <f>STANDARDIZE(F129,K$18,L$18)</f>
        <v>5.6530686686661426E-2</v>
      </c>
    </row>
    <row r="130" spans="2:8" x14ac:dyDescent="0.3">
      <c r="B130" s="5">
        <v>38626</v>
      </c>
      <c r="C130" s="4">
        <v>2005.74999999998</v>
      </c>
      <c r="D130" t="s">
        <v>160</v>
      </c>
      <c r="E130">
        <v>2005</v>
      </c>
      <c r="F130">
        <v>7510</v>
      </c>
      <c r="G130" s="8">
        <f t="shared" si="4"/>
        <v>9.3324114163563787E-2</v>
      </c>
      <c r="H130" s="3">
        <f>STANDARDIZE(F130,K$17,L$17)</f>
        <v>-0.55010288781397965</v>
      </c>
    </row>
    <row r="131" spans="2:8" x14ac:dyDescent="0.3">
      <c r="B131" s="5">
        <v>38596</v>
      </c>
      <c r="C131" s="4">
        <v>2005.6666666666499</v>
      </c>
      <c r="D131" t="s">
        <v>161</v>
      </c>
      <c r="E131">
        <v>2005</v>
      </c>
      <c r="F131">
        <v>6318</v>
      </c>
      <c r="G131" s="8">
        <f t="shared" si="4"/>
        <v>-0.36382110461986567</v>
      </c>
      <c r="H131" s="3">
        <f>STANDARDIZE(F131,K$16,L$16)</f>
        <v>-0.63639578190198254</v>
      </c>
    </row>
    <row r="132" spans="2:8" x14ac:dyDescent="0.3">
      <c r="B132" s="5">
        <v>38565</v>
      </c>
      <c r="C132" s="4">
        <v>2005.5833333333201</v>
      </c>
      <c r="D132" t="s">
        <v>162</v>
      </c>
      <c r="E132">
        <v>2005</v>
      </c>
      <c r="F132">
        <v>6664</v>
      </c>
      <c r="G132" s="8">
        <f t="shared" si="4"/>
        <v>-0.23112626762400443</v>
      </c>
      <c r="H132" s="3">
        <f>STANDARDIZE(F132,K$15,L$15)</f>
        <v>-0.3840778595796896</v>
      </c>
    </row>
    <row r="133" spans="2:8" x14ac:dyDescent="0.3">
      <c r="B133" s="5">
        <v>38534</v>
      </c>
      <c r="C133" s="4">
        <v>2005.49999999998</v>
      </c>
      <c r="D133" t="s">
        <v>163</v>
      </c>
      <c r="E133">
        <v>2005</v>
      </c>
      <c r="F133">
        <v>8273</v>
      </c>
      <c r="G133" s="8">
        <f t="shared" si="4"/>
        <v>0.38594307551570867</v>
      </c>
      <c r="H133" s="3">
        <f>STANDARDIZE(F133,K$14,L$14)</f>
        <v>0.11204763950816206</v>
      </c>
    </row>
    <row r="134" spans="2:8" x14ac:dyDescent="0.3">
      <c r="B134" s="5">
        <v>38504</v>
      </c>
      <c r="C134" s="4">
        <v>2005.4166666666499</v>
      </c>
      <c r="D134" t="s">
        <v>164</v>
      </c>
      <c r="E134">
        <v>2005</v>
      </c>
      <c r="F134">
        <v>8434</v>
      </c>
      <c r="G134" s="8">
        <f t="shared" si="4"/>
        <v>0.44768836093863829</v>
      </c>
      <c r="H134" s="3">
        <f>STANDARDIZE(F134,K$13,L$13)</f>
        <v>0.12488008032584809</v>
      </c>
    </row>
    <row r="135" spans="2:8" x14ac:dyDescent="0.3">
      <c r="B135" s="5">
        <v>38473</v>
      </c>
      <c r="C135" s="4">
        <v>2005.3333333333201</v>
      </c>
      <c r="D135" t="s">
        <v>165</v>
      </c>
      <c r="E135">
        <v>2005</v>
      </c>
      <c r="F135">
        <v>6630</v>
      </c>
      <c r="G135" s="8">
        <f t="shared" si="4"/>
        <v>-0.2441656446698405</v>
      </c>
      <c r="H135" s="3">
        <f>STANDARDIZE(F135,K$12,L$12)</f>
        <v>-0.19077332564326374</v>
      </c>
    </row>
    <row r="136" spans="2:8" x14ac:dyDescent="0.3">
      <c r="B136" s="5">
        <v>38443</v>
      </c>
      <c r="C136" s="4">
        <v>2005.24999999998</v>
      </c>
      <c r="D136" t="s">
        <v>167</v>
      </c>
      <c r="E136">
        <v>2005</v>
      </c>
      <c r="F136">
        <v>4448</v>
      </c>
      <c r="G136" s="8">
        <f t="shared" ref="G136:G199" si="7">STANDARDIZE(F136,F$4,F$5)</f>
        <v>-1.0809868421408497</v>
      </c>
      <c r="H136" s="3">
        <f>STANDARDIZE(F136,K$11,L$11)</f>
        <v>-0.41276378061398877</v>
      </c>
    </row>
    <row r="137" spans="2:8" x14ac:dyDescent="0.3">
      <c r="B137" s="5">
        <v>38412</v>
      </c>
      <c r="C137" s="4">
        <v>2005.1666666666499</v>
      </c>
      <c r="D137" t="s">
        <v>169</v>
      </c>
      <c r="E137">
        <v>2005</v>
      </c>
      <c r="F137">
        <v>3838</v>
      </c>
      <c r="G137" s="8">
        <f t="shared" si="7"/>
        <v>-1.3149286067867323</v>
      </c>
      <c r="H137" s="3">
        <f>STANDARDIZE(F137,K$10,L$10)</f>
        <v>-0.23795090331877022</v>
      </c>
    </row>
    <row r="138" spans="2:8" x14ac:dyDescent="0.3">
      <c r="B138" s="5">
        <v>38384</v>
      </c>
      <c r="C138" s="4">
        <v>2005.0833333333201</v>
      </c>
      <c r="D138" t="s">
        <v>171</v>
      </c>
      <c r="E138">
        <v>2005</v>
      </c>
      <c r="F138">
        <v>4568</v>
      </c>
      <c r="G138" s="8">
        <f t="shared" si="7"/>
        <v>-1.03496551139084</v>
      </c>
      <c r="H138" s="3">
        <f>STANDARDIZE(F138,K$9,L$9)</f>
        <v>1.7127892274502156E-2</v>
      </c>
    </row>
    <row r="139" spans="2:8" x14ac:dyDescent="0.3">
      <c r="B139" s="5">
        <v>38353</v>
      </c>
      <c r="C139" s="4">
        <v>2005</v>
      </c>
      <c r="D139" t="s">
        <v>173</v>
      </c>
      <c r="E139">
        <v>2005</v>
      </c>
      <c r="F139">
        <v>7079</v>
      </c>
      <c r="G139" s="8">
        <f t="shared" si="7"/>
        <v>-7.1969165446887626E-2</v>
      </c>
      <c r="H139" s="3">
        <f>STANDARDIZE(F139,K$8,L$8)</f>
        <v>3.2312593112150331E-2</v>
      </c>
    </row>
    <row r="140" spans="2:8" x14ac:dyDescent="0.3">
      <c r="B140" s="5">
        <v>38322</v>
      </c>
      <c r="C140" s="4">
        <v>2004.9166666666499</v>
      </c>
      <c r="D140" t="s">
        <v>157</v>
      </c>
      <c r="E140">
        <v>2004</v>
      </c>
      <c r="F140">
        <v>11106</v>
      </c>
      <c r="G140" s="8">
        <f t="shared" si="7"/>
        <v>1.4724299923055204</v>
      </c>
      <c r="H140" s="3">
        <f>STANDARDIZE(F140,K$19,L$19)</f>
        <v>0.41927108555317139</v>
      </c>
    </row>
    <row r="141" spans="2:8" x14ac:dyDescent="0.3">
      <c r="B141" s="5">
        <v>38292</v>
      </c>
      <c r="C141" s="4">
        <v>2004.8333333333101</v>
      </c>
      <c r="D141" t="s">
        <v>158</v>
      </c>
      <c r="E141">
        <v>2004</v>
      </c>
      <c r="F141">
        <v>10161</v>
      </c>
      <c r="G141" s="8">
        <f t="shared" si="7"/>
        <v>1.1100120126491941</v>
      </c>
      <c r="H141" s="3">
        <f>STANDARDIZE(F141,K$18,L$18)</f>
        <v>9.4950869500516913E-2</v>
      </c>
    </row>
    <row r="142" spans="2:8" x14ac:dyDescent="0.3">
      <c r="B142" s="5">
        <v>38261</v>
      </c>
      <c r="C142" s="4">
        <v>2004.74999999998</v>
      </c>
      <c r="D142" t="s">
        <v>160</v>
      </c>
      <c r="E142">
        <v>2004</v>
      </c>
      <c r="F142">
        <v>8047</v>
      </c>
      <c r="G142" s="8">
        <f t="shared" si="7"/>
        <v>0.29926956926985709</v>
      </c>
      <c r="H142" s="3">
        <f>STANDARDIZE(F142,K$17,L$17)</f>
        <v>-0.27768401162592243</v>
      </c>
    </row>
    <row r="143" spans="2:8" x14ac:dyDescent="0.3">
      <c r="B143" s="5">
        <v>38231</v>
      </c>
      <c r="C143" s="4">
        <v>2004.6666666666499</v>
      </c>
      <c r="D143" t="s">
        <v>161</v>
      </c>
      <c r="E143">
        <v>2004</v>
      </c>
      <c r="F143">
        <v>6271</v>
      </c>
      <c r="G143" s="8">
        <f t="shared" si="7"/>
        <v>-0.3818461258302861</v>
      </c>
      <c r="H143" s="3">
        <f>STANDARDIZE(F143,K$16,L$16)</f>
        <v>-0.65914174873487552</v>
      </c>
    </row>
    <row r="144" spans="2:8" x14ac:dyDescent="0.3">
      <c r="B144" s="5">
        <v>38200</v>
      </c>
      <c r="C144" s="4">
        <v>2004.5833333333101</v>
      </c>
      <c r="D144" t="s">
        <v>162</v>
      </c>
      <c r="E144">
        <v>2004</v>
      </c>
      <c r="F144">
        <v>5941</v>
      </c>
      <c r="G144" s="8">
        <f t="shared" si="7"/>
        <v>-0.50840478539281275</v>
      </c>
      <c r="H144" s="3">
        <f>STANDARDIZE(F144,K$15,L$15)</f>
        <v>-0.73792335245397533</v>
      </c>
    </row>
    <row r="145" spans="2:8" x14ac:dyDescent="0.3">
      <c r="B145" s="5">
        <v>38169</v>
      </c>
      <c r="C145" s="4">
        <v>2004.49999999998</v>
      </c>
      <c r="D145" t="s">
        <v>163</v>
      </c>
      <c r="E145">
        <v>2004</v>
      </c>
      <c r="F145">
        <v>6195</v>
      </c>
      <c r="G145" s="8">
        <f t="shared" si="7"/>
        <v>-0.41099296863862556</v>
      </c>
      <c r="H145" s="3">
        <f>STANDARDIZE(F145,K$14,L$14)</f>
        <v>-0.89682248019150956</v>
      </c>
    </row>
    <row r="146" spans="2:8" x14ac:dyDescent="0.3">
      <c r="B146" s="5">
        <v>38139</v>
      </c>
      <c r="C146" s="4">
        <v>2004.4166666666499</v>
      </c>
      <c r="D146" t="s">
        <v>164</v>
      </c>
      <c r="E146">
        <v>2004</v>
      </c>
      <c r="F146">
        <v>7558</v>
      </c>
      <c r="G146" s="8">
        <f t="shared" si="7"/>
        <v>0.11173264646356766</v>
      </c>
      <c r="H146" s="3">
        <f>STANDARDIZE(F146,K$13,L$13)</f>
        <v>-0.39354217314720552</v>
      </c>
    </row>
    <row r="147" spans="2:8" x14ac:dyDescent="0.3">
      <c r="B147" s="5">
        <v>38108</v>
      </c>
      <c r="C147" s="4">
        <v>2004.3333333333101</v>
      </c>
      <c r="D147" t="s">
        <v>165</v>
      </c>
      <c r="E147">
        <v>2004</v>
      </c>
      <c r="F147">
        <v>6011</v>
      </c>
      <c r="G147" s="8">
        <f t="shared" si="7"/>
        <v>-0.48155900912197375</v>
      </c>
      <c r="H147" s="3">
        <f>STANDARDIZE(F147,K$12,L$12)</f>
        <v>-0.61617878636210544</v>
      </c>
    </row>
    <row r="148" spans="2:8" x14ac:dyDescent="0.3">
      <c r="B148" s="5">
        <v>38078</v>
      </c>
      <c r="C148" s="4">
        <v>2004.24999999998</v>
      </c>
      <c r="D148" t="s">
        <v>167</v>
      </c>
      <c r="E148">
        <v>2004</v>
      </c>
      <c r="F148">
        <v>3609</v>
      </c>
      <c r="G148" s="8">
        <f t="shared" si="7"/>
        <v>-1.402752646301334</v>
      </c>
      <c r="H148" s="3">
        <f>STANDARDIZE(F148,K$11,L$11)</f>
        <v>-1.051995842022396</v>
      </c>
    </row>
    <row r="149" spans="2:8" x14ac:dyDescent="0.3">
      <c r="B149" s="5">
        <v>38047</v>
      </c>
      <c r="C149" s="4">
        <v>2004.1666666666499</v>
      </c>
      <c r="D149" t="s">
        <v>169</v>
      </c>
      <c r="E149">
        <v>2004</v>
      </c>
      <c r="F149">
        <v>2916</v>
      </c>
      <c r="G149" s="8">
        <f t="shared" si="7"/>
        <v>-1.6685258313826399</v>
      </c>
      <c r="H149" s="3">
        <f>STANDARDIZE(F149,K$10,L$10)</f>
        <v>-0.89630265237550466</v>
      </c>
    </row>
    <row r="150" spans="2:8" x14ac:dyDescent="0.3">
      <c r="B150" s="5">
        <v>38018</v>
      </c>
      <c r="C150" s="4">
        <v>2004.0833333333101</v>
      </c>
      <c r="D150" t="s">
        <v>171</v>
      </c>
      <c r="E150">
        <v>2004</v>
      </c>
      <c r="F150">
        <v>3724</v>
      </c>
      <c r="G150" s="8">
        <f t="shared" si="7"/>
        <v>-1.3586488709992415</v>
      </c>
      <c r="H150" s="3">
        <f>STANDARDIZE(F150,K$9,L$9)</f>
        <v>-0.51737749218423923</v>
      </c>
    </row>
    <row r="151" spans="2:8" x14ac:dyDescent="0.3">
      <c r="B151" s="5">
        <v>37987</v>
      </c>
      <c r="C151" s="4">
        <v>2004</v>
      </c>
      <c r="D151" t="s">
        <v>173</v>
      </c>
      <c r="E151">
        <v>2004</v>
      </c>
      <c r="F151">
        <v>8355</v>
      </c>
      <c r="G151" s="8">
        <f t="shared" si="7"/>
        <v>0.41739098486154858</v>
      </c>
      <c r="H151" s="3">
        <f>STANDARDIZE(F151,K$8,L$8)</f>
        <v>0.5893724378476336</v>
      </c>
    </row>
    <row r="152" spans="2:8" x14ac:dyDescent="0.3">
      <c r="B152" s="5">
        <v>37956</v>
      </c>
      <c r="C152" s="4">
        <v>2003.9166666666499</v>
      </c>
      <c r="D152" t="s">
        <v>157</v>
      </c>
      <c r="E152">
        <v>2003</v>
      </c>
      <c r="F152">
        <v>11146</v>
      </c>
      <c r="G152" s="8">
        <f t="shared" si="7"/>
        <v>1.487770435888857</v>
      </c>
      <c r="H152" s="3">
        <f>STANDARDIZE(F152,K$19,L$19)</f>
        <v>0.4330897095153734</v>
      </c>
    </row>
    <row r="153" spans="2:8" x14ac:dyDescent="0.3">
      <c r="B153" s="5">
        <v>37926</v>
      </c>
      <c r="C153" s="4">
        <v>2003.8333333333101</v>
      </c>
      <c r="D153" t="s">
        <v>158</v>
      </c>
      <c r="E153">
        <v>2003</v>
      </c>
      <c r="F153">
        <v>10016</v>
      </c>
      <c r="G153" s="8">
        <f t="shared" si="7"/>
        <v>1.0544029046595993</v>
      </c>
      <c r="H153" s="3">
        <f>STANDARDIZE(F153,K$18,L$18)</f>
        <v>3.9793181302407554E-2</v>
      </c>
    </row>
    <row r="154" spans="2:8" x14ac:dyDescent="0.3">
      <c r="B154" s="5">
        <v>37895</v>
      </c>
      <c r="C154" s="4">
        <v>2003.74999999998</v>
      </c>
      <c r="D154" t="s">
        <v>160</v>
      </c>
      <c r="E154">
        <v>2003</v>
      </c>
      <c r="F154">
        <v>7897</v>
      </c>
      <c r="G154" s="8">
        <f t="shared" si="7"/>
        <v>0.24174290583234501</v>
      </c>
      <c r="H154" s="3">
        <f>STANDARDIZE(F154,K$17,L$17)</f>
        <v>-0.35377866977901101</v>
      </c>
    </row>
    <row r="155" spans="2:8" x14ac:dyDescent="0.3">
      <c r="B155" s="5">
        <v>37865</v>
      </c>
      <c r="C155" s="4">
        <v>2003.6666666666499</v>
      </c>
      <c r="D155" t="s">
        <v>161</v>
      </c>
      <c r="E155">
        <v>2003</v>
      </c>
      <c r="F155">
        <v>6140</v>
      </c>
      <c r="G155" s="8">
        <f t="shared" si="7"/>
        <v>-0.43208607856571335</v>
      </c>
      <c r="H155" s="3">
        <f>STANDARDIZE(F155,K$16,L$16)</f>
        <v>-0.72254008182230067</v>
      </c>
    </row>
    <row r="156" spans="2:8" x14ac:dyDescent="0.3">
      <c r="B156" s="5">
        <v>37834</v>
      </c>
      <c r="C156" s="4">
        <v>2003.5833333333101</v>
      </c>
      <c r="D156" t="s">
        <v>162</v>
      </c>
      <c r="E156">
        <v>2003</v>
      </c>
      <c r="F156">
        <v>6910</v>
      </c>
      <c r="G156" s="8">
        <f t="shared" si="7"/>
        <v>-0.13678253958648459</v>
      </c>
      <c r="H156" s="3">
        <f>STANDARDIZE(F156,K$15,L$15)</f>
        <v>-0.26368229768885376</v>
      </c>
    </row>
    <row r="157" spans="2:8" x14ac:dyDescent="0.3">
      <c r="B157" s="5">
        <v>37803</v>
      </c>
      <c r="C157" s="4">
        <v>2003.49999999998</v>
      </c>
      <c r="D157" t="s">
        <v>163</v>
      </c>
      <c r="E157">
        <v>2003</v>
      </c>
      <c r="F157">
        <v>7712</v>
      </c>
      <c r="G157" s="8">
        <f t="shared" si="7"/>
        <v>0.17079335425941342</v>
      </c>
      <c r="H157" s="3">
        <f>STANDARDIZE(F157,K$14,L$14)</f>
        <v>-0.16031816277841915</v>
      </c>
    </row>
    <row r="158" spans="2:8" x14ac:dyDescent="0.3">
      <c r="B158" s="5">
        <v>37773</v>
      </c>
      <c r="C158" s="4">
        <v>2003.4166666666499</v>
      </c>
      <c r="D158" t="s">
        <v>164</v>
      </c>
      <c r="E158">
        <v>2003</v>
      </c>
      <c r="F158">
        <v>7152</v>
      </c>
      <c r="G158" s="8">
        <f t="shared" si="7"/>
        <v>-4.3972855907298408E-2</v>
      </c>
      <c r="H158" s="3">
        <f>STANDARDIZE(F158,K$13,L$13)</f>
        <v>-0.63381550067010484</v>
      </c>
    </row>
    <row r="159" spans="2:8" x14ac:dyDescent="0.3">
      <c r="B159" s="5">
        <v>37742</v>
      </c>
      <c r="C159" s="4">
        <v>2003.3333333333101</v>
      </c>
      <c r="D159" t="s">
        <v>165</v>
      </c>
      <c r="E159">
        <v>2003</v>
      </c>
      <c r="F159">
        <v>5959</v>
      </c>
      <c r="G159" s="8">
        <f t="shared" si="7"/>
        <v>-0.50150158578031123</v>
      </c>
      <c r="H159" s="3">
        <f>STANDARDIZE(F159,K$12,L$12)</f>
        <v>-0.65191559404769472</v>
      </c>
    </row>
    <row r="160" spans="2:8" x14ac:dyDescent="0.3">
      <c r="B160" s="5">
        <v>37712</v>
      </c>
      <c r="C160" s="4">
        <v>2003.24999999998</v>
      </c>
      <c r="D160" t="s">
        <v>167</v>
      </c>
      <c r="E160">
        <v>2003</v>
      </c>
      <c r="F160">
        <v>3815</v>
      </c>
      <c r="G160" s="8">
        <f t="shared" si="7"/>
        <v>-1.3237493618471508</v>
      </c>
      <c r="H160" s="3">
        <f>STANDARDIZE(F160,K$11,L$11)</f>
        <v>-0.89504494255859157</v>
      </c>
    </row>
    <row r="161" spans="2:8" x14ac:dyDescent="0.3">
      <c r="B161" s="5">
        <v>37681</v>
      </c>
      <c r="C161" s="4">
        <v>2003.1666666666499</v>
      </c>
      <c r="D161" t="s">
        <v>169</v>
      </c>
      <c r="E161">
        <v>2003</v>
      </c>
      <c r="F161">
        <v>2684</v>
      </c>
      <c r="G161" s="8">
        <f t="shared" si="7"/>
        <v>-1.7575004041659921</v>
      </c>
      <c r="H161" s="3">
        <f>STANDARDIZE(F161,K$10,L$10)</f>
        <v>-1.0619616608149431</v>
      </c>
    </row>
    <row r="162" spans="2:8" x14ac:dyDescent="0.3">
      <c r="B162" s="5">
        <v>37653</v>
      </c>
      <c r="C162" s="4">
        <v>2003.0833333333101</v>
      </c>
      <c r="D162" t="s">
        <v>171</v>
      </c>
      <c r="E162">
        <v>2003</v>
      </c>
      <c r="F162">
        <v>2566</v>
      </c>
      <c r="G162" s="8">
        <f t="shared" si="7"/>
        <v>-1.8027547127368349</v>
      </c>
      <c r="H162" s="3">
        <f>STANDARDIZE(F162,K$9,L$9)</f>
        <v>-1.2507391452686263</v>
      </c>
    </row>
    <row r="163" spans="2:8" x14ac:dyDescent="0.3">
      <c r="B163" s="5">
        <v>37622</v>
      </c>
      <c r="C163" s="4">
        <v>2003</v>
      </c>
      <c r="D163" t="s">
        <v>173</v>
      </c>
      <c r="E163">
        <v>2003</v>
      </c>
      <c r="F163">
        <v>3527</v>
      </c>
      <c r="G163" s="8">
        <f t="shared" si="7"/>
        <v>-1.434200555647174</v>
      </c>
      <c r="H163" s="3">
        <f>STANDARDIZE(F163,K$8,L$8)</f>
        <v>-1.5183743727972829</v>
      </c>
    </row>
    <row r="164" spans="2:8" x14ac:dyDescent="0.3">
      <c r="B164" s="5">
        <v>37591</v>
      </c>
      <c r="C164" s="4">
        <v>2002.9166666666399</v>
      </c>
      <c r="D164" t="s">
        <v>157</v>
      </c>
      <c r="E164">
        <v>2002</v>
      </c>
      <c r="F164">
        <v>6225</v>
      </c>
      <c r="G164" s="8">
        <f t="shared" si="7"/>
        <v>-0.39948763595112313</v>
      </c>
      <c r="H164" s="3">
        <f>STANDARDIZE(F164,K$19,L$19)</f>
        <v>-1.266946503434532</v>
      </c>
    </row>
    <row r="165" spans="2:8" x14ac:dyDescent="0.3">
      <c r="B165" s="5">
        <v>37561</v>
      </c>
      <c r="C165" s="4">
        <v>2002.8333333333101</v>
      </c>
      <c r="D165" t="s">
        <v>158</v>
      </c>
      <c r="E165">
        <v>2002</v>
      </c>
      <c r="F165">
        <v>7592</v>
      </c>
      <c r="G165" s="8">
        <f t="shared" si="7"/>
        <v>0.12477202350940374</v>
      </c>
      <c r="H165" s="3">
        <f>STANDARDIZE(F165,K$18,L$18)</f>
        <v>-0.88229120623012391</v>
      </c>
    </row>
    <row r="166" spans="2:8" x14ac:dyDescent="0.3">
      <c r="B166" s="5">
        <v>37530</v>
      </c>
      <c r="C166" s="4">
        <v>2002.74999999998</v>
      </c>
      <c r="D166" t="s">
        <v>160</v>
      </c>
      <c r="E166">
        <v>2002</v>
      </c>
      <c r="F166">
        <v>5094</v>
      </c>
      <c r="G166" s="8">
        <f t="shared" si="7"/>
        <v>-0.83323867826996434</v>
      </c>
      <c r="H166" s="3">
        <f>STANDARDIZE(F166,K$17,L$17)</f>
        <v>-1.7757341817997265</v>
      </c>
    </row>
    <row r="167" spans="2:8" x14ac:dyDescent="0.3">
      <c r="B167" s="5">
        <v>37500</v>
      </c>
      <c r="C167" s="4">
        <v>2002.6666666666399</v>
      </c>
      <c r="D167" t="s">
        <v>161</v>
      </c>
      <c r="E167">
        <v>2002</v>
      </c>
      <c r="F167">
        <v>4585</v>
      </c>
      <c r="G167" s="8">
        <f t="shared" si="7"/>
        <v>-1.0284458228679221</v>
      </c>
      <c r="H167" s="3">
        <f>STANDARDIZE(F167,K$16,L$16)</f>
        <v>-1.4750928142722712</v>
      </c>
    </row>
    <row r="168" spans="2:8" x14ac:dyDescent="0.3">
      <c r="B168" s="5">
        <v>37469</v>
      </c>
      <c r="C168" s="4">
        <v>2002.5833333333101</v>
      </c>
      <c r="D168" t="s">
        <v>162</v>
      </c>
      <c r="E168">
        <v>2002</v>
      </c>
      <c r="F168">
        <v>4440</v>
      </c>
      <c r="G168" s="8">
        <f t="shared" si="7"/>
        <v>-1.0840549308575171</v>
      </c>
      <c r="H168" s="3">
        <f>STANDARDIZE(F168,K$15,L$15)</f>
        <v>-1.4725320451293598</v>
      </c>
    </row>
    <row r="169" spans="2:8" x14ac:dyDescent="0.3">
      <c r="B169" s="5">
        <v>37438</v>
      </c>
      <c r="C169" s="4">
        <v>2002.49999999998</v>
      </c>
      <c r="D169" t="s">
        <v>163</v>
      </c>
      <c r="E169">
        <v>2002</v>
      </c>
      <c r="F169">
        <v>6751</v>
      </c>
      <c r="G169" s="8">
        <f t="shared" si="7"/>
        <v>-0.19776080283024741</v>
      </c>
      <c r="H169" s="3">
        <f>STANDARDIZE(F169,K$14,L$14)</f>
        <v>-0.62688418059910467</v>
      </c>
    </row>
    <row r="170" spans="2:8" x14ac:dyDescent="0.3">
      <c r="B170" s="5">
        <v>37408</v>
      </c>
      <c r="C170" s="4">
        <v>2002.4166666666399</v>
      </c>
      <c r="D170" t="s">
        <v>164</v>
      </c>
      <c r="E170">
        <v>2002</v>
      </c>
      <c r="F170">
        <v>7583</v>
      </c>
      <c r="G170" s="8">
        <f t="shared" si="7"/>
        <v>0.12132042370315302</v>
      </c>
      <c r="H170" s="3">
        <f>STANDARDIZE(F170,K$13,L$13)</f>
        <v>-0.37874701751155904</v>
      </c>
    </row>
    <row r="171" spans="2:8" x14ac:dyDescent="0.3">
      <c r="B171" s="5">
        <v>37377</v>
      </c>
      <c r="C171" s="4">
        <v>2002.3333333333101</v>
      </c>
      <c r="D171" t="s">
        <v>165</v>
      </c>
      <c r="E171">
        <v>2002</v>
      </c>
      <c r="F171">
        <v>5955</v>
      </c>
      <c r="G171" s="8">
        <f t="shared" si="7"/>
        <v>-0.50303563013864494</v>
      </c>
      <c r="H171" s="3">
        <f>STANDARDIZE(F171,K$12,L$12)</f>
        <v>-0.65466457925427857</v>
      </c>
    </row>
    <row r="172" spans="2:8" x14ac:dyDescent="0.3">
      <c r="B172" s="5">
        <v>37347</v>
      </c>
      <c r="C172" s="4">
        <v>2002.24999999998</v>
      </c>
      <c r="D172" t="s">
        <v>167</v>
      </c>
      <c r="E172">
        <v>2002</v>
      </c>
      <c r="F172">
        <v>4518</v>
      </c>
      <c r="G172" s="8">
        <f t="shared" si="7"/>
        <v>-1.0541410658700108</v>
      </c>
      <c r="H172" s="3">
        <f>STANDARDIZE(F172,K$11,L$11)</f>
        <v>-0.3594309506991038</v>
      </c>
    </row>
    <row r="173" spans="2:8" x14ac:dyDescent="0.3">
      <c r="B173" s="5">
        <v>37316</v>
      </c>
      <c r="C173" s="4">
        <v>2002.1666666666399</v>
      </c>
      <c r="D173" t="s">
        <v>169</v>
      </c>
      <c r="E173">
        <v>2002</v>
      </c>
      <c r="F173">
        <v>2893</v>
      </c>
      <c r="G173" s="8">
        <f t="shared" si="7"/>
        <v>-1.6773465864430586</v>
      </c>
      <c r="H173" s="3">
        <f>STANDARDIZE(F173,K$10,L$10)</f>
        <v>-0.91272574372941451</v>
      </c>
    </row>
    <row r="174" spans="2:8" x14ac:dyDescent="0.3">
      <c r="B174" s="5">
        <v>37288</v>
      </c>
      <c r="C174" s="4">
        <v>2002.0833333333101</v>
      </c>
      <c r="D174" t="s">
        <v>171</v>
      </c>
      <c r="E174">
        <v>2002</v>
      </c>
      <c r="F174">
        <v>3326</v>
      </c>
      <c r="G174" s="8">
        <f t="shared" si="7"/>
        <v>-1.5112862846534403</v>
      </c>
      <c r="H174" s="3">
        <f>STANDARDIZE(F174,K$9,L$9)</f>
        <v>-0.76943097916833769</v>
      </c>
    </row>
    <row r="175" spans="2:8" x14ac:dyDescent="0.3">
      <c r="B175" s="5">
        <v>37257</v>
      </c>
      <c r="C175" s="4">
        <v>2002</v>
      </c>
      <c r="D175" t="s">
        <v>173</v>
      </c>
      <c r="E175">
        <v>2002</v>
      </c>
      <c r="F175">
        <v>6717</v>
      </c>
      <c r="G175" s="8">
        <f t="shared" si="7"/>
        <v>-0.21080017987608349</v>
      </c>
      <c r="H175" s="3">
        <f>STANDARDIZE(F175,K$8,L$8)</f>
        <v>-0.12572476095857457</v>
      </c>
    </row>
    <row r="176" spans="2:8" x14ac:dyDescent="0.3">
      <c r="B176" s="5">
        <v>37226</v>
      </c>
      <c r="C176" s="4">
        <v>2001.9166666666399</v>
      </c>
      <c r="D176" t="s">
        <v>157</v>
      </c>
      <c r="E176">
        <v>2001</v>
      </c>
      <c r="F176">
        <v>8537</v>
      </c>
      <c r="G176" s="8">
        <f t="shared" si="7"/>
        <v>0.48719000316572991</v>
      </c>
      <c r="H176" s="3">
        <f>STANDARDIZE(F176,K$19,L$19)</f>
        <v>-0.46823003841925437</v>
      </c>
    </row>
    <row r="177" spans="2:8" x14ac:dyDescent="0.3">
      <c r="B177" s="5">
        <v>37196</v>
      </c>
      <c r="C177" s="4">
        <v>2001.8333333333101</v>
      </c>
      <c r="D177" t="s">
        <v>158</v>
      </c>
      <c r="E177">
        <v>2001</v>
      </c>
      <c r="F177">
        <v>7734</v>
      </c>
      <c r="G177" s="8">
        <f t="shared" si="7"/>
        <v>0.17923059823024853</v>
      </c>
      <c r="H177" s="3">
        <f>STANDARDIZE(F177,K$18,L$18)</f>
        <v>-0.82827471158094101</v>
      </c>
    </row>
    <row r="178" spans="2:8" x14ac:dyDescent="0.3">
      <c r="B178" s="5">
        <v>37165</v>
      </c>
      <c r="C178" s="4">
        <v>2001.74999999998</v>
      </c>
      <c r="D178" t="s">
        <v>160</v>
      </c>
      <c r="E178">
        <v>2001</v>
      </c>
      <c r="F178">
        <v>6229</v>
      </c>
      <c r="G178" s="8">
        <f t="shared" si="7"/>
        <v>-0.39795359159278948</v>
      </c>
      <c r="H178" s="3">
        <f>STANDARDIZE(F178,K$17,L$17)</f>
        <v>-1.1999512684413562</v>
      </c>
    </row>
    <row r="179" spans="2:8" x14ac:dyDescent="0.3">
      <c r="B179" s="5">
        <v>37135</v>
      </c>
      <c r="C179" s="4">
        <v>2001.6666666666399</v>
      </c>
      <c r="D179" t="s">
        <v>161</v>
      </c>
      <c r="E179">
        <v>2001</v>
      </c>
      <c r="F179">
        <v>4589</v>
      </c>
      <c r="G179" s="8">
        <f t="shared" si="7"/>
        <v>-1.0269117785095885</v>
      </c>
      <c r="H179" s="3">
        <f>STANDARDIZE(F179,K$16,L$16)</f>
        <v>-1.4731569873077697</v>
      </c>
    </row>
    <row r="180" spans="2:8" x14ac:dyDescent="0.3">
      <c r="B180" s="5">
        <v>37104</v>
      </c>
      <c r="C180" s="4">
        <v>2001.5833333333101</v>
      </c>
      <c r="D180" t="s">
        <v>162</v>
      </c>
      <c r="E180">
        <v>2001</v>
      </c>
      <c r="F180">
        <v>4293</v>
      </c>
      <c r="G180" s="8">
        <f t="shared" si="7"/>
        <v>-1.1404310610262789</v>
      </c>
      <c r="H180" s="3">
        <f>STANDARDIZE(F180,K$15,L$15)</f>
        <v>-1.5444757345519324</v>
      </c>
    </row>
    <row r="181" spans="2:8" x14ac:dyDescent="0.3">
      <c r="B181" s="5">
        <v>37073</v>
      </c>
      <c r="C181" s="4">
        <v>2001.49999999998</v>
      </c>
      <c r="D181" t="s">
        <v>163</v>
      </c>
      <c r="E181">
        <v>2001</v>
      </c>
      <c r="F181">
        <v>4890</v>
      </c>
      <c r="G181" s="8">
        <f t="shared" si="7"/>
        <v>-0.91147494054498079</v>
      </c>
      <c r="H181" s="3">
        <f>STANDARDIZE(F181,K$14,L$14)</f>
        <v>-1.5304006833715247</v>
      </c>
    </row>
    <row r="182" spans="2:8" x14ac:dyDescent="0.3">
      <c r="B182" s="5">
        <v>37043</v>
      </c>
      <c r="C182" s="4">
        <v>2001.4166666666399</v>
      </c>
      <c r="D182" t="s">
        <v>164</v>
      </c>
      <c r="E182">
        <v>2001</v>
      </c>
      <c r="F182">
        <v>5872</v>
      </c>
      <c r="G182" s="8">
        <f t="shared" si="7"/>
        <v>-0.53486705057406825</v>
      </c>
      <c r="H182" s="3">
        <f>STANDARDIZE(F182,K$13,L$13)</f>
        <v>-1.391327469215206</v>
      </c>
    </row>
    <row r="183" spans="2:8" x14ac:dyDescent="0.3">
      <c r="B183" s="5">
        <v>37012</v>
      </c>
      <c r="C183" s="4">
        <v>2001.3333333333101</v>
      </c>
      <c r="D183" t="s">
        <v>165</v>
      </c>
      <c r="E183">
        <v>2001</v>
      </c>
      <c r="F183">
        <v>4556</v>
      </c>
      <c r="G183" s="8">
        <f t="shared" si="7"/>
        <v>-1.039567644465841</v>
      </c>
      <c r="H183" s="3">
        <f>STANDARDIZE(F183,K$12,L$12)</f>
        <v>-1.6161221552569596</v>
      </c>
    </row>
    <row r="184" spans="2:8" x14ac:dyDescent="0.3">
      <c r="B184" s="5">
        <v>36982</v>
      </c>
      <c r="C184" s="4">
        <v>2001.24999999997</v>
      </c>
      <c r="D184" t="s">
        <v>167</v>
      </c>
      <c r="E184">
        <v>2001</v>
      </c>
      <c r="F184">
        <v>3761</v>
      </c>
      <c r="G184" s="8">
        <f t="shared" si="7"/>
        <v>-1.3444589606846551</v>
      </c>
      <c r="H184" s="3">
        <f>STANDARDIZE(F184,K$11,L$11)</f>
        <v>-0.93618741135007422</v>
      </c>
    </row>
    <row r="185" spans="2:8" x14ac:dyDescent="0.3">
      <c r="B185" s="5">
        <v>36951</v>
      </c>
      <c r="C185" s="4">
        <v>2001.1666666666399</v>
      </c>
      <c r="D185" t="s">
        <v>169</v>
      </c>
      <c r="E185">
        <v>2001</v>
      </c>
      <c r="F185">
        <v>3288</v>
      </c>
      <c r="G185" s="8">
        <f t="shared" si="7"/>
        <v>-1.52585970605761</v>
      </c>
      <c r="H185" s="3">
        <f>STANDARDIZE(F185,K$10,L$10)</f>
        <v>-0.63067700091226686</v>
      </c>
    </row>
    <row r="186" spans="2:8" x14ac:dyDescent="0.3">
      <c r="B186" s="5">
        <v>36923</v>
      </c>
      <c r="C186" s="4">
        <v>2001.0833333333101</v>
      </c>
      <c r="D186" t="s">
        <v>171</v>
      </c>
      <c r="E186">
        <v>2001</v>
      </c>
      <c r="F186">
        <v>2960</v>
      </c>
      <c r="G186" s="8">
        <f t="shared" si="7"/>
        <v>-1.6516513434409699</v>
      </c>
      <c r="H186" s="3">
        <f>STANDARDIZE(F186,K$9,L$9)</f>
        <v>-1.0012188591587399</v>
      </c>
    </row>
    <row r="187" spans="2:8" x14ac:dyDescent="0.3">
      <c r="B187" s="5">
        <v>36892</v>
      </c>
      <c r="C187" s="4">
        <v>2001</v>
      </c>
      <c r="D187" t="s">
        <v>173</v>
      </c>
      <c r="E187">
        <v>2001</v>
      </c>
      <c r="F187">
        <v>5239</v>
      </c>
      <c r="G187" s="8">
        <f t="shared" si="7"/>
        <v>-0.77762957028036928</v>
      </c>
      <c r="H187" s="3">
        <f>STANDARDIZE(F187,K$8,L$8)</f>
        <v>-0.77097119553462812</v>
      </c>
    </row>
    <row r="188" spans="2:8" x14ac:dyDescent="0.3">
      <c r="B188" s="5">
        <v>36861</v>
      </c>
      <c r="C188" s="4">
        <v>2000.9166666666399</v>
      </c>
      <c r="D188" t="s">
        <v>157</v>
      </c>
      <c r="E188">
        <v>2000</v>
      </c>
      <c r="F188">
        <v>9162</v>
      </c>
      <c r="G188" s="8">
        <f t="shared" si="7"/>
        <v>0.72688443415536363</v>
      </c>
      <c r="H188" s="3">
        <f>STANDARDIZE(F188,K$19,L$19)</f>
        <v>-0.25231403900984756</v>
      </c>
    </row>
    <row r="189" spans="2:8" x14ac:dyDescent="0.3">
      <c r="B189" s="5">
        <v>36831</v>
      </c>
      <c r="C189" s="4">
        <v>2000.8333333333101</v>
      </c>
      <c r="D189" t="s">
        <v>158</v>
      </c>
      <c r="E189">
        <v>2000</v>
      </c>
      <c r="F189">
        <v>10570</v>
      </c>
      <c r="G189" s="8">
        <f t="shared" si="7"/>
        <v>1.2668680482888106</v>
      </c>
      <c r="H189" s="3">
        <f>STANDARDIZE(F189,K$18,L$18)</f>
        <v>0.25053359000414949</v>
      </c>
    </row>
    <row r="190" spans="2:8" x14ac:dyDescent="0.3">
      <c r="B190" s="5">
        <v>36800</v>
      </c>
      <c r="C190" s="4">
        <v>2000.74999999997</v>
      </c>
      <c r="D190" t="s">
        <v>160</v>
      </c>
      <c r="E190">
        <v>2000</v>
      </c>
      <c r="F190">
        <v>10234</v>
      </c>
      <c r="G190" s="8">
        <f t="shared" si="7"/>
        <v>1.1380083221887833</v>
      </c>
      <c r="H190" s="3">
        <f>STANDARDIZE(F190,K$17,L$17)</f>
        <v>0.83177610424610926</v>
      </c>
    </row>
    <row r="191" spans="2:8" x14ac:dyDescent="0.3">
      <c r="B191" s="5">
        <v>36770</v>
      </c>
      <c r="C191" s="4">
        <v>2000.6666666666399</v>
      </c>
      <c r="D191" t="s">
        <v>161</v>
      </c>
      <c r="E191">
        <v>2000</v>
      </c>
      <c r="F191">
        <v>8572</v>
      </c>
      <c r="G191" s="8">
        <f t="shared" si="7"/>
        <v>0.50061289130114939</v>
      </c>
      <c r="H191" s="3">
        <f>STANDARDIZE(F191,K$16,L$16)</f>
        <v>0.45444271259463065</v>
      </c>
    </row>
    <row r="192" spans="2:8" x14ac:dyDescent="0.3">
      <c r="B192" s="5">
        <v>36739</v>
      </c>
      <c r="C192" s="4">
        <v>2000.5833333333101</v>
      </c>
      <c r="D192" t="s">
        <v>162</v>
      </c>
      <c r="E192">
        <v>2000</v>
      </c>
      <c r="F192">
        <v>8562</v>
      </c>
      <c r="G192" s="8">
        <f t="shared" si="7"/>
        <v>0.49677778040531528</v>
      </c>
      <c r="H192" s="3">
        <f>STANDARDIZE(F192,K$15,L$15)</f>
        <v>0.54482773582196253</v>
      </c>
    </row>
    <row r="193" spans="2:8" x14ac:dyDescent="0.3">
      <c r="B193" s="5">
        <v>36708</v>
      </c>
      <c r="C193" s="4">
        <v>2000.49999999997</v>
      </c>
      <c r="D193" t="s">
        <v>163</v>
      </c>
      <c r="E193">
        <v>2000</v>
      </c>
      <c r="F193">
        <v>9573</v>
      </c>
      <c r="G193" s="8">
        <f t="shared" si="7"/>
        <v>0.8845074919741468</v>
      </c>
      <c r="H193" s="3">
        <f>STANDARDIZE(F193,K$14,L$14)</f>
        <v>0.74319833999400087</v>
      </c>
    </row>
    <row r="194" spans="2:8" x14ac:dyDescent="0.3">
      <c r="B194" s="5">
        <v>36678</v>
      </c>
      <c r="C194" s="4">
        <v>2000.4166666666399</v>
      </c>
      <c r="D194" t="s">
        <v>164</v>
      </c>
      <c r="E194">
        <v>2000</v>
      </c>
      <c r="F194">
        <v>8971</v>
      </c>
      <c r="G194" s="8">
        <f t="shared" si="7"/>
        <v>0.65363381604493165</v>
      </c>
      <c r="H194" s="3">
        <f>STANDARDIZE(F194,K$13,L$13)</f>
        <v>0.4426800233795351</v>
      </c>
    </row>
    <row r="195" spans="2:8" x14ac:dyDescent="0.3">
      <c r="B195" s="5">
        <v>36647</v>
      </c>
      <c r="C195" s="4">
        <v>2000.3333333333101</v>
      </c>
      <c r="D195" t="s">
        <v>165</v>
      </c>
      <c r="E195">
        <v>2000</v>
      </c>
      <c r="F195">
        <v>6923</v>
      </c>
      <c r="G195" s="8">
        <f t="shared" si="7"/>
        <v>-0.13179689542190021</v>
      </c>
      <c r="H195" s="3">
        <f>STANDARDIZE(F195,K$12,L$12)</f>
        <v>1.058984073899898E-2</v>
      </c>
    </row>
    <row r="196" spans="2:8" x14ac:dyDescent="0.3">
      <c r="B196" s="5">
        <v>36617</v>
      </c>
      <c r="C196" s="4">
        <v>2000.24999999997</v>
      </c>
      <c r="D196" t="s">
        <v>167</v>
      </c>
      <c r="E196">
        <v>2000</v>
      </c>
      <c r="F196">
        <v>5630</v>
      </c>
      <c r="G196" s="8">
        <f t="shared" si="7"/>
        <v>-0.62767673425325443</v>
      </c>
      <c r="H196" s="3">
        <f>STANDARDIZE(F196,K$11,L$11)</f>
        <v>0.48779914737735475</v>
      </c>
    </row>
    <row r="197" spans="2:8" x14ac:dyDescent="0.3">
      <c r="B197" s="5">
        <v>36586</v>
      </c>
      <c r="C197" s="4">
        <v>2000.1666666666399</v>
      </c>
      <c r="D197" t="s">
        <v>169</v>
      </c>
      <c r="E197">
        <v>2000</v>
      </c>
      <c r="F197">
        <v>5976</v>
      </c>
      <c r="G197" s="8">
        <f t="shared" si="7"/>
        <v>-0.49498189725739322</v>
      </c>
      <c r="H197" s="3">
        <f>STANDARDIZE(F197,K$10,L$10)</f>
        <v>1.2886825451446766</v>
      </c>
    </row>
    <row r="198" spans="2:8" x14ac:dyDescent="0.3">
      <c r="B198" s="5">
        <v>36557</v>
      </c>
      <c r="C198" s="4">
        <v>2000.0833333333101</v>
      </c>
      <c r="D198" t="s">
        <v>171</v>
      </c>
      <c r="E198">
        <v>2000</v>
      </c>
      <c r="F198">
        <v>6093</v>
      </c>
      <c r="G198" s="8">
        <f t="shared" si="7"/>
        <v>-0.45011109977613378</v>
      </c>
      <c r="H198" s="3">
        <f>STANDARDIZE(F198,K$9,L$9)</f>
        <v>0.9829107255678442</v>
      </c>
    </row>
    <row r="199" spans="2:8" x14ac:dyDescent="0.3">
      <c r="B199" s="5">
        <v>36526</v>
      </c>
      <c r="C199" s="4">
        <v>2000</v>
      </c>
      <c r="D199" t="s">
        <v>173</v>
      </c>
      <c r="E199">
        <v>2000</v>
      </c>
      <c r="F199">
        <v>10812</v>
      </c>
      <c r="G199" s="8">
        <f t="shared" si="7"/>
        <v>1.3596777319679967</v>
      </c>
      <c r="H199" s="3">
        <f>STANDARDIZE(F199,K$8,L$8)</f>
        <v>1.662018236056946</v>
      </c>
    </row>
    <row r="200" spans="2:8" x14ac:dyDescent="0.3">
      <c r="B200" s="5">
        <v>36495</v>
      </c>
      <c r="C200" s="4">
        <v>1999.9166666660001</v>
      </c>
      <c r="D200" t="s">
        <v>157</v>
      </c>
      <c r="E200">
        <v>1999</v>
      </c>
      <c r="F200">
        <v>13023</v>
      </c>
      <c r="G200" s="8">
        <f t="shared" ref="G200:G263" si="8">STANDARDIZE(F200,F$4,F$5)</f>
        <v>2.207620751036925</v>
      </c>
      <c r="H200" s="3">
        <f>STANDARDIZE(F200,K$19,L$19)</f>
        <v>1.081528638941704</v>
      </c>
    </row>
    <row r="201" spans="2:8" x14ac:dyDescent="0.3">
      <c r="B201" s="5">
        <v>36465</v>
      </c>
      <c r="C201" s="4">
        <v>1999.83333333264</v>
      </c>
      <c r="D201" t="s">
        <v>158</v>
      </c>
      <c r="E201">
        <v>1999</v>
      </c>
      <c r="F201">
        <v>13378</v>
      </c>
      <c r="G201" s="8">
        <f t="shared" si="8"/>
        <v>2.3437671878390369</v>
      </c>
      <c r="H201" s="3">
        <f>STANDARDIZE(F201,K$18,L$18)</f>
        <v>1.3186907517992603</v>
      </c>
    </row>
    <row r="202" spans="2:8" x14ac:dyDescent="0.3">
      <c r="B202" s="5">
        <v>36434</v>
      </c>
      <c r="C202" s="4">
        <v>1999.7499999992799</v>
      </c>
      <c r="D202" t="s">
        <v>160</v>
      </c>
      <c r="E202">
        <v>1999</v>
      </c>
      <c r="F202">
        <v>11434</v>
      </c>
      <c r="G202" s="8">
        <f t="shared" si="8"/>
        <v>1.5982216296888803</v>
      </c>
      <c r="H202" s="3">
        <f>STANDARDIZE(F202,K$17,L$17)</f>
        <v>1.440533369470818</v>
      </c>
    </row>
    <row r="203" spans="2:8" x14ac:dyDescent="0.3">
      <c r="B203" s="5">
        <v>36404</v>
      </c>
      <c r="C203" s="4">
        <v>1999.66666666592</v>
      </c>
      <c r="D203" t="s">
        <v>161</v>
      </c>
      <c r="E203">
        <v>1999</v>
      </c>
      <c r="F203">
        <v>9594</v>
      </c>
      <c r="G203" s="8">
        <f t="shared" si="8"/>
        <v>0.89256122485539846</v>
      </c>
      <c r="H203" s="3">
        <f>STANDARDIZE(F203,K$16,L$16)</f>
        <v>0.94904650202477203</v>
      </c>
    </row>
    <row r="204" spans="2:8" x14ac:dyDescent="0.3">
      <c r="B204" s="5">
        <v>36373</v>
      </c>
      <c r="C204" s="4">
        <v>1999.58333333256</v>
      </c>
      <c r="D204" t="s">
        <v>162</v>
      </c>
      <c r="E204">
        <v>1999</v>
      </c>
      <c r="F204">
        <v>9733</v>
      </c>
      <c r="G204" s="8">
        <f t="shared" si="8"/>
        <v>0.94586926630749302</v>
      </c>
      <c r="H204" s="3">
        <f>STANDARDIZE(F204,K$15,L$15)</f>
        <v>1.1179301869364697</v>
      </c>
    </row>
    <row r="205" spans="2:8" x14ac:dyDescent="0.3">
      <c r="B205" s="5">
        <v>36342</v>
      </c>
      <c r="C205" s="4">
        <v>1999.4999999992001</v>
      </c>
      <c r="D205" t="s">
        <v>163</v>
      </c>
      <c r="E205">
        <v>1999</v>
      </c>
      <c r="F205">
        <v>10986</v>
      </c>
      <c r="G205" s="8">
        <f t="shared" si="8"/>
        <v>1.4264086615555107</v>
      </c>
      <c r="H205" s="3">
        <f>STANDARDIZE(F205,K$14,L$14)</f>
        <v>1.4292106013682242</v>
      </c>
    </row>
    <row r="206" spans="2:8" x14ac:dyDescent="0.3">
      <c r="B206" s="5">
        <v>36312</v>
      </c>
      <c r="C206" s="4">
        <v>1999.41666666584</v>
      </c>
      <c r="D206" t="s">
        <v>164</v>
      </c>
      <c r="E206">
        <v>1999</v>
      </c>
      <c r="F206">
        <v>10328</v>
      </c>
      <c r="G206" s="8">
        <f t="shared" si="8"/>
        <v>1.1740583646096243</v>
      </c>
      <c r="H206" s="3">
        <f>STANDARDIZE(F206,K$13,L$13)</f>
        <v>1.2457610712824276</v>
      </c>
    </row>
    <row r="207" spans="2:8" x14ac:dyDescent="0.3">
      <c r="B207" s="5">
        <v>36281</v>
      </c>
      <c r="C207" s="4">
        <v>1999.3333333324799</v>
      </c>
      <c r="D207" t="s">
        <v>165</v>
      </c>
      <c r="E207">
        <v>1999</v>
      </c>
      <c r="F207">
        <v>9334</v>
      </c>
      <c r="G207" s="8">
        <f t="shared" si="8"/>
        <v>0.79284834156371087</v>
      </c>
      <c r="H207" s="3">
        <f>STANDARDIZE(F207,K$12,L$12)</f>
        <v>1.6675406740073793</v>
      </c>
    </row>
    <row r="208" spans="2:8" x14ac:dyDescent="0.3">
      <c r="B208" s="5">
        <v>36251</v>
      </c>
      <c r="C208" s="4">
        <v>1999.2499999991201</v>
      </c>
      <c r="D208" t="s">
        <v>167</v>
      </c>
      <c r="E208">
        <v>1999</v>
      </c>
      <c r="F208">
        <v>8431</v>
      </c>
      <c r="G208" s="8">
        <f t="shared" si="8"/>
        <v>0.44653782766988803</v>
      </c>
      <c r="H208" s="3">
        <f>STANDARDIZE(F208,K$11,L$11)</f>
        <v>2.6218742415429666</v>
      </c>
    </row>
    <row r="209" spans="2:8" x14ac:dyDescent="0.3">
      <c r="B209" s="5">
        <v>36220</v>
      </c>
      <c r="C209" s="4">
        <v>1999.16666666576</v>
      </c>
      <c r="D209" t="s">
        <v>169</v>
      </c>
      <c r="E209">
        <v>1999</v>
      </c>
      <c r="F209">
        <v>8077</v>
      </c>
      <c r="G209" s="8">
        <f t="shared" si="8"/>
        <v>0.31077490195735952</v>
      </c>
      <c r="H209" s="3">
        <f>STANDARDIZE(F209,K$10,L$10)</f>
        <v>2.7888962379518341</v>
      </c>
    </row>
    <row r="210" spans="2:8" x14ac:dyDescent="0.3">
      <c r="B210" s="5">
        <v>36192</v>
      </c>
      <c r="C210" s="4">
        <v>1999.0833333323999</v>
      </c>
      <c r="D210" t="s">
        <v>171</v>
      </c>
      <c r="E210">
        <v>1999</v>
      </c>
      <c r="F210">
        <v>7315</v>
      </c>
      <c r="G210" s="8">
        <f t="shared" si="8"/>
        <v>1.8539451694798072E-2</v>
      </c>
      <c r="H210" s="3">
        <f>STANDARDIZE(F210,K$9,L$9)</f>
        <v>1.7568035926396239</v>
      </c>
    </row>
    <row r="211" spans="2:8" x14ac:dyDescent="0.3">
      <c r="B211" s="5">
        <v>36161</v>
      </c>
      <c r="C211" s="4">
        <v>1998.99999999904</v>
      </c>
      <c r="D211" t="s">
        <v>173</v>
      </c>
      <c r="E211">
        <v>1999</v>
      </c>
      <c r="F211">
        <v>9849</v>
      </c>
      <c r="G211" s="8">
        <f t="shared" si="8"/>
        <v>0.99035655269916911</v>
      </c>
      <c r="H211" s="3">
        <f>STANDARDIZE(F211,K$8,L$8)</f>
        <v>1.2416039488467028</v>
      </c>
    </row>
    <row r="212" spans="2:8" x14ac:dyDescent="0.3">
      <c r="B212" s="5">
        <v>36130</v>
      </c>
      <c r="C212" s="4">
        <v>1998.9166666656799</v>
      </c>
      <c r="D212" t="s">
        <v>157</v>
      </c>
      <c r="E212">
        <v>1998</v>
      </c>
      <c r="F212">
        <v>11020</v>
      </c>
      <c r="G212" s="8">
        <f t="shared" si="8"/>
        <v>1.4394480386013468</v>
      </c>
      <c r="H212" s="3">
        <f>STANDARDIZE(F212,K$19,L$19)</f>
        <v>0.38956104403443698</v>
      </c>
    </row>
    <row r="213" spans="2:8" x14ac:dyDescent="0.3">
      <c r="B213" s="5">
        <v>36100</v>
      </c>
      <c r="C213" s="4">
        <v>1998.8333333323201</v>
      </c>
      <c r="D213" t="s">
        <v>158</v>
      </c>
      <c r="E213">
        <v>1998</v>
      </c>
      <c r="F213">
        <v>9981</v>
      </c>
      <c r="G213" s="8">
        <f t="shared" si="8"/>
        <v>1.0409800165241798</v>
      </c>
      <c r="H213" s="3">
        <f>STANDARDIZE(F213,K$18,L$18)</f>
        <v>2.6479256564932885E-2</v>
      </c>
    </row>
    <row r="214" spans="2:8" x14ac:dyDescent="0.3">
      <c r="B214" s="5">
        <v>36069</v>
      </c>
      <c r="C214" s="4">
        <v>1998.74999999896</v>
      </c>
      <c r="D214" t="s">
        <v>160</v>
      </c>
      <c r="E214">
        <v>1998</v>
      </c>
      <c r="F214">
        <v>9307</v>
      </c>
      <c r="G214" s="8">
        <f t="shared" si="8"/>
        <v>0.7824935421449587</v>
      </c>
      <c r="H214" s="3">
        <f>STANDARDIZE(F214,K$17,L$17)</f>
        <v>0.36151111686002174</v>
      </c>
    </row>
    <row r="215" spans="2:8" x14ac:dyDescent="0.3">
      <c r="B215" s="5">
        <v>36039</v>
      </c>
      <c r="C215" s="4">
        <v>1998.6666666655999</v>
      </c>
      <c r="D215" t="s">
        <v>161</v>
      </c>
      <c r="E215">
        <v>1998</v>
      </c>
      <c r="F215">
        <v>8481</v>
      </c>
      <c r="G215" s="8">
        <f t="shared" si="8"/>
        <v>0.46571338214905877</v>
      </c>
      <c r="H215" s="3">
        <f>STANDARDIZE(F215,K$16,L$16)</f>
        <v>0.4104026491522208</v>
      </c>
    </row>
    <row r="216" spans="2:8" x14ac:dyDescent="0.3">
      <c r="B216" s="5">
        <v>36008</v>
      </c>
      <c r="C216" s="4">
        <v>1998.58333333224</v>
      </c>
      <c r="D216" t="s">
        <v>162</v>
      </c>
      <c r="E216">
        <v>1998</v>
      </c>
      <c r="F216">
        <v>8307</v>
      </c>
      <c r="G216" s="8">
        <f t="shared" si="8"/>
        <v>0.39898245256154474</v>
      </c>
      <c r="H216" s="3">
        <f>STANDARDIZE(F216,K$15,L$15)</f>
        <v>0.42002745825219362</v>
      </c>
    </row>
    <row r="217" spans="2:8" x14ac:dyDescent="0.3">
      <c r="B217" s="5">
        <v>35977</v>
      </c>
      <c r="C217" s="4">
        <v>1998.49999999888</v>
      </c>
      <c r="D217" t="s">
        <v>163</v>
      </c>
      <c r="E217">
        <v>1998</v>
      </c>
      <c r="F217">
        <v>8634</v>
      </c>
      <c r="G217" s="8">
        <f t="shared" si="8"/>
        <v>0.52439057885532114</v>
      </c>
      <c r="H217" s="3">
        <f>STANDARDIZE(F217,K$14,L$14)</f>
        <v>0.28731333402769116</v>
      </c>
    </row>
    <row r="218" spans="2:8" x14ac:dyDescent="0.3">
      <c r="B218" s="5">
        <v>35947</v>
      </c>
      <c r="C218" s="4">
        <v>1998.4166666655201</v>
      </c>
      <c r="D218" t="s">
        <v>164</v>
      </c>
      <c r="E218">
        <v>1998</v>
      </c>
      <c r="F218">
        <v>8008</v>
      </c>
      <c r="G218" s="8">
        <f t="shared" si="8"/>
        <v>0.28431263677610397</v>
      </c>
      <c r="H218" s="3">
        <f>STANDARDIZE(F218,K$13,L$13)</f>
        <v>-0.12722937170556842</v>
      </c>
    </row>
    <row r="219" spans="2:8" x14ac:dyDescent="0.3">
      <c r="B219" s="5">
        <v>35916</v>
      </c>
      <c r="C219" s="4">
        <v>1998.33333333216</v>
      </c>
      <c r="D219" t="s">
        <v>165</v>
      </c>
      <c r="E219">
        <v>1998</v>
      </c>
      <c r="F219">
        <v>6514</v>
      </c>
      <c r="G219" s="8">
        <f t="shared" si="8"/>
        <v>-0.28865293106151652</v>
      </c>
      <c r="H219" s="3">
        <f>STANDARDIZE(F219,K$12,L$12)</f>
        <v>-0.27049389663419371</v>
      </c>
    </row>
    <row r="220" spans="2:8" x14ac:dyDescent="0.3">
      <c r="B220" s="5">
        <v>35886</v>
      </c>
      <c r="C220" s="4">
        <v>1998.2499999987999</v>
      </c>
      <c r="D220" t="s">
        <v>167</v>
      </c>
      <c r="E220">
        <v>1998</v>
      </c>
      <c r="F220">
        <v>4127</v>
      </c>
      <c r="G220" s="8">
        <f t="shared" si="8"/>
        <v>-1.2040939018971257</v>
      </c>
      <c r="H220" s="3">
        <f>STANDARDIZE(F220,K$11,L$11)</f>
        <v>-0.65733290065224703</v>
      </c>
    </row>
    <row r="221" spans="2:8" x14ac:dyDescent="0.3">
      <c r="B221" s="5">
        <v>35855</v>
      </c>
      <c r="C221" s="4">
        <v>1998.1666666654401</v>
      </c>
      <c r="D221" t="s">
        <v>169</v>
      </c>
      <c r="E221">
        <v>1998</v>
      </c>
      <c r="F221">
        <v>2533</v>
      </c>
      <c r="G221" s="8">
        <f t="shared" si="8"/>
        <v>-1.8154105786930874</v>
      </c>
      <c r="H221" s="3">
        <f>STANDARDIZE(F221,K$10,L$10)</f>
        <v>-1.1697828257906122</v>
      </c>
    </row>
    <row r="222" spans="2:8" x14ac:dyDescent="0.3">
      <c r="B222" s="5">
        <v>35827</v>
      </c>
      <c r="C222" s="4">
        <v>1998.08333333208</v>
      </c>
      <c r="D222" t="s">
        <v>171</v>
      </c>
      <c r="E222">
        <v>1998</v>
      </c>
      <c r="F222">
        <v>2746</v>
      </c>
      <c r="G222" s="8">
        <f t="shared" si="8"/>
        <v>-1.7337227166118203</v>
      </c>
      <c r="H222" s="3">
        <f>STANDARDIZE(F222,K$9,L$9)</f>
        <v>-1.1367451059290843</v>
      </c>
    </row>
    <row r="223" spans="2:8" x14ac:dyDescent="0.3">
      <c r="B223" s="5">
        <v>35796</v>
      </c>
      <c r="C223" s="4">
        <v>1997.9999999987201</v>
      </c>
      <c r="D223" t="s">
        <v>173</v>
      </c>
      <c r="E223">
        <v>1998</v>
      </c>
      <c r="F223">
        <v>2626</v>
      </c>
      <c r="G223" s="8">
        <f t="shared" si="8"/>
        <v>-1.77974404736183</v>
      </c>
      <c r="H223" s="3">
        <f>STANDARDIZE(F223,K$8,L$8)</f>
        <v>-1.9117214888683411</v>
      </c>
    </row>
    <row r="224" spans="2:8" x14ac:dyDescent="0.3">
      <c r="B224" s="5">
        <v>35765</v>
      </c>
      <c r="C224" s="4">
        <v>1997.91666666536</v>
      </c>
      <c r="D224" t="s">
        <v>157</v>
      </c>
      <c r="E224">
        <v>1997</v>
      </c>
      <c r="F224">
        <v>4819</v>
      </c>
      <c r="G224" s="8">
        <f t="shared" si="8"/>
        <v>-0.9387042279054032</v>
      </c>
      <c r="H224" s="3">
        <f>STANDARDIZE(F224,K$19,L$19)</f>
        <v>-1.7526711357059335</v>
      </c>
    </row>
    <row r="225" spans="2:8" x14ac:dyDescent="0.3">
      <c r="B225" s="5">
        <v>35735</v>
      </c>
      <c r="C225" s="4">
        <v>1997.8333333319999</v>
      </c>
      <c r="D225" t="s">
        <v>158</v>
      </c>
      <c r="E225">
        <v>1997</v>
      </c>
      <c r="F225">
        <v>5662</v>
      </c>
      <c r="G225" s="8">
        <f t="shared" si="8"/>
        <v>-0.61540437938658521</v>
      </c>
      <c r="H225" s="3">
        <f>STANDARDIZE(F225,K$18,L$18)</f>
        <v>-1.6164590560394416</v>
      </c>
    </row>
    <row r="226" spans="2:8" x14ac:dyDescent="0.3">
      <c r="B226" s="5">
        <v>35704</v>
      </c>
      <c r="C226" s="4">
        <v>1997.7499999986401</v>
      </c>
      <c r="D226" t="s">
        <v>160</v>
      </c>
      <c r="E226">
        <v>1997</v>
      </c>
      <c r="F226">
        <v>5039</v>
      </c>
      <c r="G226" s="8">
        <f t="shared" si="8"/>
        <v>-0.85433178819705213</v>
      </c>
      <c r="H226" s="3">
        <f>STANDARDIZE(F226,K$17,L$17)</f>
        <v>-1.803635556455859</v>
      </c>
    </row>
    <row r="227" spans="2:8" x14ac:dyDescent="0.3">
      <c r="B227" s="5">
        <v>35674</v>
      </c>
      <c r="C227" s="4">
        <v>1997.66666666528</v>
      </c>
      <c r="D227" t="s">
        <v>161</v>
      </c>
      <c r="E227">
        <v>1997</v>
      </c>
      <c r="F227">
        <v>3661</v>
      </c>
      <c r="G227" s="8">
        <f t="shared" si="8"/>
        <v>-1.3828100696429966</v>
      </c>
      <c r="H227" s="3">
        <f>STANDARDIZE(F227,K$16,L$16)</f>
        <v>-1.9222688430721251</v>
      </c>
    </row>
    <row r="228" spans="2:8" x14ac:dyDescent="0.3">
      <c r="B228" s="5">
        <v>35643</v>
      </c>
      <c r="C228" s="4">
        <v>1997.5833333319199</v>
      </c>
      <c r="D228" t="s">
        <v>162</v>
      </c>
      <c r="E228">
        <v>1997</v>
      </c>
      <c r="F228">
        <v>3728</v>
      </c>
      <c r="G228" s="8">
        <f t="shared" si="8"/>
        <v>-1.3571148266409079</v>
      </c>
      <c r="H228" s="3">
        <f>STANDARDIZE(F228,K$15,L$15)</f>
        <v>-1.8209939966182831</v>
      </c>
    </row>
    <row r="229" spans="2:8" x14ac:dyDescent="0.3">
      <c r="B229" s="5">
        <v>35612</v>
      </c>
      <c r="C229" s="4">
        <v>1997.49999999856</v>
      </c>
      <c r="D229" t="s">
        <v>163</v>
      </c>
      <c r="E229">
        <v>1997</v>
      </c>
      <c r="F229">
        <v>5066</v>
      </c>
      <c r="G229" s="8">
        <f t="shared" si="8"/>
        <v>-0.84397698877829996</v>
      </c>
      <c r="H229" s="3">
        <f>STANDARDIZE(F229,K$14,L$14)</f>
        <v>-1.4449525885365189</v>
      </c>
    </row>
    <row r="230" spans="2:8" x14ac:dyDescent="0.3">
      <c r="B230" s="5">
        <v>35582</v>
      </c>
      <c r="C230" s="4">
        <v>1997.4166666652</v>
      </c>
      <c r="D230" t="s">
        <v>164</v>
      </c>
      <c r="E230">
        <v>1997</v>
      </c>
      <c r="F230">
        <v>5438</v>
      </c>
      <c r="G230" s="8">
        <f t="shared" si="8"/>
        <v>-0.70131086345326998</v>
      </c>
      <c r="H230" s="3">
        <f>STANDARDIZE(F230,K$13,L$13)</f>
        <v>-1.6481713710500294</v>
      </c>
    </row>
    <row r="231" spans="2:8" x14ac:dyDescent="0.3">
      <c r="B231" s="5">
        <v>35551</v>
      </c>
      <c r="C231" s="4">
        <v>1997.3333333318401</v>
      </c>
      <c r="D231" t="s">
        <v>165</v>
      </c>
      <c r="E231">
        <v>1997</v>
      </c>
      <c r="F231">
        <v>4582</v>
      </c>
      <c r="G231" s="8">
        <f t="shared" si="8"/>
        <v>-1.0295963561366723</v>
      </c>
      <c r="H231" s="3">
        <f>STANDARDIZE(F231,K$12,L$12)</f>
        <v>-1.598253751414165</v>
      </c>
    </row>
    <row r="232" spans="2:8" x14ac:dyDescent="0.3">
      <c r="B232" s="5">
        <v>35521</v>
      </c>
      <c r="C232" s="4">
        <v>1997.24999999848</v>
      </c>
      <c r="D232" t="s">
        <v>167</v>
      </c>
      <c r="E232">
        <v>1997</v>
      </c>
      <c r="F232">
        <v>3704</v>
      </c>
      <c r="G232" s="8">
        <f t="shared" si="8"/>
        <v>-1.3663190927909097</v>
      </c>
      <c r="H232" s="3">
        <f>STANDARDIZE(F232,K$11,L$11)</f>
        <v>-0.97961557285219492</v>
      </c>
    </row>
    <row r="233" spans="2:8" x14ac:dyDescent="0.3">
      <c r="B233" s="5">
        <v>35490</v>
      </c>
      <c r="C233" s="4">
        <v>1997.1666666651099</v>
      </c>
      <c r="D233" t="s">
        <v>169</v>
      </c>
      <c r="E233">
        <v>1997</v>
      </c>
      <c r="F233">
        <v>3689</v>
      </c>
      <c r="G233" s="8">
        <f t="shared" si="8"/>
        <v>-1.372071759134661</v>
      </c>
      <c r="H233" s="3">
        <f>STANDARDIZE(F233,K$10,L$10)</f>
        <v>-0.34434397339409933</v>
      </c>
    </row>
    <row r="234" spans="2:8" x14ac:dyDescent="0.3">
      <c r="B234" s="5">
        <v>35462</v>
      </c>
      <c r="C234" s="4">
        <v>1997.0833333317501</v>
      </c>
      <c r="D234" t="s">
        <v>171</v>
      </c>
      <c r="E234">
        <v>1997</v>
      </c>
      <c r="F234">
        <v>4934</v>
      </c>
      <c r="G234" s="8">
        <f t="shared" si="8"/>
        <v>-0.89460045260331056</v>
      </c>
      <c r="H234" s="3">
        <f>STANDARDIZE(F234,K$9,L$9)</f>
        <v>0.24891577226490424</v>
      </c>
    </row>
    <row r="235" spans="2:8" x14ac:dyDescent="0.3">
      <c r="B235" s="5">
        <v>35431</v>
      </c>
      <c r="C235" s="4">
        <v>1996.99999999839</v>
      </c>
      <c r="D235" t="s">
        <v>173</v>
      </c>
      <c r="E235">
        <v>1997</v>
      </c>
      <c r="F235">
        <v>5692</v>
      </c>
      <c r="G235" s="8">
        <f t="shared" si="8"/>
        <v>-0.60389904669908279</v>
      </c>
      <c r="H235" s="3">
        <f>STANDARDIZE(F235,K$8,L$8)</f>
        <v>-0.57320621930800275</v>
      </c>
    </row>
    <row r="236" spans="2:8" x14ac:dyDescent="0.3">
      <c r="B236" s="5">
        <v>35400</v>
      </c>
      <c r="C236" s="4">
        <v>1996.9166666650301</v>
      </c>
      <c r="D236" t="s">
        <v>157</v>
      </c>
      <c r="E236">
        <v>1996</v>
      </c>
      <c r="F236">
        <v>9402</v>
      </c>
      <c r="G236" s="8">
        <f t="shared" si="8"/>
        <v>0.81892709565538302</v>
      </c>
      <c r="H236" s="3">
        <f>STANDARDIZE(F236,K$19,L$19)</f>
        <v>-0.16940229523663536</v>
      </c>
    </row>
    <row r="237" spans="2:8" x14ac:dyDescent="0.3">
      <c r="B237" s="5">
        <v>35370</v>
      </c>
      <c r="C237" s="4">
        <v>1996.83333333167</v>
      </c>
      <c r="D237" t="s">
        <v>158</v>
      </c>
      <c r="E237">
        <v>1996</v>
      </c>
      <c r="F237">
        <v>10511</v>
      </c>
      <c r="G237" s="8">
        <f t="shared" si="8"/>
        <v>1.2442408940033891</v>
      </c>
      <c r="H237" s="3">
        <f>STANDARDIZE(F237,K$18,L$18)</f>
        <v>0.22809011687526362</v>
      </c>
    </row>
    <row r="238" spans="2:8" x14ac:dyDescent="0.3">
      <c r="B238" s="5">
        <v>35339</v>
      </c>
      <c r="C238" s="4">
        <v>1996.7499999983099</v>
      </c>
      <c r="D238" t="s">
        <v>160</v>
      </c>
      <c r="E238">
        <v>1996</v>
      </c>
      <c r="F238">
        <v>9896</v>
      </c>
      <c r="G238" s="8">
        <f t="shared" si="8"/>
        <v>1.0083815739095896</v>
      </c>
      <c r="H238" s="3">
        <f>STANDARDIZE(F238,K$17,L$17)</f>
        <v>0.66030947454114963</v>
      </c>
    </row>
    <row r="239" spans="2:8" x14ac:dyDescent="0.3">
      <c r="B239" s="5">
        <v>35309</v>
      </c>
      <c r="C239" s="4">
        <v>1996.6666666649501</v>
      </c>
      <c r="D239" t="s">
        <v>161</v>
      </c>
      <c r="E239">
        <v>1996</v>
      </c>
      <c r="F239">
        <v>10234</v>
      </c>
      <c r="G239" s="8">
        <f t="shared" si="8"/>
        <v>1.1380083221887833</v>
      </c>
      <c r="H239" s="3">
        <f>STANDARDIZE(F239,K$16,L$16)</f>
        <v>1.2587788163450171</v>
      </c>
    </row>
    <row r="240" spans="2:8" x14ac:dyDescent="0.3">
      <c r="B240" s="5">
        <v>35278</v>
      </c>
      <c r="C240" s="4">
        <v>1996.58333333159</v>
      </c>
      <c r="D240" t="s">
        <v>162</v>
      </c>
      <c r="E240">
        <v>1996</v>
      </c>
      <c r="F240">
        <v>11122</v>
      </c>
      <c r="G240" s="8">
        <f t="shared" si="8"/>
        <v>1.478566169738855</v>
      </c>
      <c r="H240" s="3">
        <f>STANDARDIZE(F240,K$15,L$15)</f>
        <v>1.7977246400517988</v>
      </c>
    </row>
    <row r="241" spans="2:8" x14ac:dyDescent="0.3">
      <c r="B241" s="5">
        <v>35247</v>
      </c>
      <c r="C241" s="4">
        <v>1996.4999999982299</v>
      </c>
      <c r="D241" t="s">
        <v>163</v>
      </c>
      <c r="E241">
        <v>1996</v>
      </c>
      <c r="F241">
        <v>11029</v>
      </c>
      <c r="G241" s="8">
        <f t="shared" si="8"/>
        <v>1.4428996384075976</v>
      </c>
      <c r="H241" s="3">
        <f>STANDARDIZE(F241,K$14,L$14)</f>
        <v>1.4500871245381404</v>
      </c>
    </row>
    <row r="242" spans="2:8" x14ac:dyDescent="0.3">
      <c r="B242" s="5">
        <v>35217</v>
      </c>
      <c r="C242" s="4">
        <v>1996.41666666487</v>
      </c>
      <c r="D242" t="s">
        <v>164</v>
      </c>
      <c r="E242">
        <v>1996</v>
      </c>
      <c r="F242">
        <v>9225</v>
      </c>
      <c r="G242" s="8">
        <f t="shared" si="8"/>
        <v>0.75104563279911873</v>
      </c>
      <c r="H242" s="3">
        <f>STANDARDIZE(F242,K$13,L$13)</f>
        <v>0.5929988046377036</v>
      </c>
    </row>
    <row r="243" spans="2:8" x14ac:dyDescent="0.3">
      <c r="B243" s="5">
        <v>35186</v>
      </c>
      <c r="C243" s="4">
        <v>1996.3333333315099</v>
      </c>
      <c r="D243" t="s">
        <v>165</v>
      </c>
      <c r="E243">
        <v>1996</v>
      </c>
      <c r="F243">
        <v>7209</v>
      </c>
      <c r="G243" s="8">
        <f t="shared" si="8"/>
        <v>-2.2112723801043812E-2</v>
      </c>
      <c r="H243" s="3">
        <f>STANDARDIZE(F243,K$12,L$12)</f>
        <v>0.20714228300974005</v>
      </c>
    </row>
    <row r="244" spans="2:8" x14ac:dyDescent="0.3">
      <c r="B244" s="5">
        <v>35156</v>
      </c>
      <c r="C244" s="4">
        <v>1996.2499999981501</v>
      </c>
      <c r="D244" t="s">
        <v>167</v>
      </c>
      <c r="E244">
        <v>1996</v>
      </c>
      <c r="F244">
        <v>6627</v>
      </c>
      <c r="G244" s="8">
        <f t="shared" si="8"/>
        <v>-0.24531617793859073</v>
      </c>
      <c r="H244" s="3">
        <f>STANDARDIZE(F244,K$11,L$11)</f>
        <v>1.2474110248793595</v>
      </c>
    </row>
    <row r="245" spans="2:8" x14ac:dyDescent="0.3">
      <c r="B245" s="5">
        <v>35125</v>
      </c>
      <c r="C245" s="4">
        <v>1996.16666666479</v>
      </c>
      <c r="D245" t="s">
        <v>169</v>
      </c>
      <c r="E245">
        <v>1996</v>
      </c>
      <c r="F245">
        <v>5883</v>
      </c>
      <c r="G245" s="8">
        <f t="shared" si="8"/>
        <v>-0.53064842858865069</v>
      </c>
      <c r="H245" s="3">
        <f>STANDARDIZE(F245,K$10,L$10)</f>
        <v>1.2222761322788673</v>
      </c>
    </row>
    <row r="246" spans="2:8" x14ac:dyDescent="0.3">
      <c r="B246" s="5">
        <v>35096</v>
      </c>
      <c r="C246" s="4">
        <v>1996.0833333314299</v>
      </c>
      <c r="D246" t="s">
        <v>171</v>
      </c>
      <c r="E246">
        <v>1996</v>
      </c>
      <c r="F246">
        <v>4982</v>
      </c>
      <c r="G246" s="8">
        <f t="shared" si="8"/>
        <v>-0.87619192030330673</v>
      </c>
      <c r="H246" s="3">
        <f>STANDARDIZE(F246,K$9,L$9)</f>
        <v>0.27931418275544878</v>
      </c>
    </row>
    <row r="247" spans="2:8" x14ac:dyDescent="0.3">
      <c r="B247" s="5">
        <v>35065</v>
      </c>
      <c r="C247" s="4">
        <v>1995.9999999980701</v>
      </c>
      <c r="D247" t="s">
        <v>173</v>
      </c>
      <c r="E247">
        <v>1996</v>
      </c>
      <c r="F247">
        <v>6822</v>
      </c>
      <c r="G247" s="8">
        <f t="shared" si="8"/>
        <v>-0.17053151546982501</v>
      </c>
      <c r="H247" s="3">
        <f>STANDARDIZE(F247,K$8,L$8)</f>
        <v>-7.9885196932535568E-2</v>
      </c>
    </row>
    <row r="248" spans="2:8" x14ac:dyDescent="0.3">
      <c r="B248" s="5">
        <v>35034</v>
      </c>
      <c r="C248" s="4">
        <v>1995.91666666471</v>
      </c>
      <c r="D248" t="s">
        <v>157</v>
      </c>
      <c r="E248">
        <v>1995</v>
      </c>
      <c r="F248">
        <v>9349</v>
      </c>
      <c r="G248" s="8">
        <f t="shared" si="8"/>
        <v>0.79860100790746213</v>
      </c>
      <c r="H248" s="3">
        <f>STANDARDIZE(F248,K$19,L$19)</f>
        <v>-0.18771197198655304</v>
      </c>
    </row>
    <row r="249" spans="2:8" x14ac:dyDescent="0.3">
      <c r="B249" s="5">
        <v>35004</v>
      </c>
      <c r="C249" s="4">
        <v>1995.8333333313501</v>
      </c>
      <c r="D249" t="s">
        <v>158</v>
      </c>
      <c r="E249">
        <v>1995</v>
      </c>
      <c r="F249">
        <v>10028</v>
      </c>
      <c r="G249" s="8">
        <f t="shared" si="8"/>
        <v>1.0590050377346001</v>
      </c>
      <c r="H249" s="3">
        <f>STANDARDIZE(F249,K$18,L$18)</f>
        <v>4.4357955498113159E-2</v>
      </c>
    </row>
    <row r="250" spans="2:8" x14ac:dyDescent="0.3">
      <c r="B250" s="5">
        <v>34973</v>
      </c>
      <c r="C250" s="4">
        <v>1995.74999999799</v>
      </c>
      <c r="D250" t="s">
        <v>160</v>
      </c>
      <c r="E250">
        <v>1995</v>
      </c>
      <c r="F250">
        <v>9163</v>
      </c>
      <c r="G250" s="8">
        <f t="shared" si="8"/>
        <v>0.72726794524494709</v>
      </c>
      <c r="H250" s="3">
        <f>STANDARDIZE(F250,K$17,L$17)</f>
        <v>0.28846024503305667</v>
      </c>
    </row>
    <row r="251" spans="2:8" x14ac:dyDescent="0.3">
      <c r="B251" s="5">
        <v>34943</v>
      </c>
      <c r="C251" s="4">
        <v>1995.6666666646299</v>
      </c>
      <c r="D251" t="s">
        <v>161</v>
      </c>
      <c r="E251">
        <v>1995</v>
      </c>
      <c r="F251">
        <v>9493</v>
      </c>
      <c r="G251" s="8">
        <f t="shared" si="8"/>
        <v>0.85382660480747374</v>
      </c>
      <c r="H251" s="3">
        <f>STANDARDIZE(F251,K$16,L$16)</f>
        <v>0.90016687117110838</v>
      </c>
    </row>
    <row r="252" spans="2:8" x14ac:dyDescent="0.3">
      <c r="B252" s="5">
        <v>34912</v>
      </c>
      <c r="C252" s="4">
        <v>1995.5833333312701</v>
      </c>
      <c r="D252" t="s">
        <v>162</v>
      </c>
      <c r="E252">
        <v>1995</v>
      </c>
      <c r="F252">
        <v>8850</v>
      </c>
      <c r="G252" s="8">
        <f t="shared" si="8"/>
        <v>0.6072289742053385</v>
      </c>
      <c r="H252" s="3">
        <f>STANDARDIZE(F252,K$15,L$15)</f>
        <v>0.68577863754781909</v>
      </c>
    </row>
    <row r="253" spans="2:8" x14ac:dyDescent="0.3">
      <c r="B253" s="5">
        <v>34881</v>
      </c>
      <c r="C253" s="4">
        <v>1995.49999999791</v>
      </c>
      <c r="D253" t="s">
        <v>163</v>
      </c>
      <c r="E253">
        <v>1995</v>
      </c>
      <c r="F253">
        <v>7742</v>
      </c>
      <c r="G253" s="8">
        <f t="shared" si="8"/>
        <v>0.18229868694691584</v>
      </c>
      <c r="H253" s="3">
        <f>STANDARDIZE(F253,K$14,L$14)</f>
        <v>-0.14575314661336133</v>
      </c>
    </row>
    <row r="254" spans="2:8" x14ac:dyDescent="0.3">
      <c r="B254" s="5">
        <v>34851</v>
      </c>
      <c r="C254" s="4">
        <v>1995.4166666645499</v>
      </c>
      <c r="D254" t="s">
        <v>164</v>
      </c>
      <c r="E254">
        <v>1995</v>
      </c>
      <c r="F254">
        <v>7234</v>
      </c>
      <c r="G254" s="8">
        <f t="shared" si="8"/>
        <v>-1.2524946561458462E-2</v>
      </c>
      <c r="H254" s="3">
        <f>STANDARDIZE(F254,K$13,L$13)</f>
        <v>-0.58528739018518428</v>
      </c>
    </row>
    <row r="255" spans="2:8" x14ac:dyDescent="0.3">
      <c r="B255" s="5">
        <v>34820</v>
      </c>
      <c r="C255" s="4">
        <v>1995.33333333119</v>
      </c>
      <c r="D255" t="s">
        <v>165</v>
      </c>
      <c r="E255">
        <v>1995</v>
      </c>
      <c r="F255">
        <v>5822</v>
      </c>
      <c r="G255" s="8">
        <f t="shared" si="8"/>
        <v>-0.55404260505323899</v>
      </c>
      <c r="H255" s="3">
        <f>STANDARDIZE(F255,K$12,L$12)</f>
        <v>-0.74606833737318956</v>
      </c>
    </row>
    <row r="256" spans="2:8" x14ac:dyDescent="0.3">
      <c r="B256" s="5">
        <v>34790</v>
      </c>
      <c r="C256" s="4">
        <v>1995.2499999978299</v>
      </c>
      <c r="D256" t="s">
        <v>167</v>
      </c>
      <c r="E256">
        <v>1995</v>
      </c>
      <c r="F256">
        <v>3689</v>
      </c>
      <c r="G256" s="8">
        <f t="shared" si="8"/>
        <v>-1.372071759134661</v>
      </c>
      <c r="H256" s="3">
        <f>STANDARDIZE(F256,K$11,L$11)</f>
        <v>-0.99104403640538452</v>
      </c>
    </row>
    <row r="257" spans="2:8" x14ac:dyDescent="0.3">
      <c r="B257" s="5">
        <v>34759</v>
      </c>
      <c r="C257" s="4">
        <v>1995.1666666644701</v>
      </c>
      <c r="D257" t="s">
        <v>169</v>
      </c>
      <c r="E257">
        <v>1995</v>
      </c>
      <c r="F257">
        <v>2623</v>
      </c>
      <c r="G257" s="8">
        <f t="shared" si="8"/>
        <v>-1.7808945806305803</v>
      </c>
      <c r="H257" s="3">
        <f>STANDARDIZE(F257,K$10,L$10)</f>
        <v>-1.1055185552753128</v>
      </c>
    </row>
    <row r="258" spans="2:8" x14ac:dyDescent="0.3">
      <c r="B258" s="5">
        <v>34731</v>
      </c>
      <c r="C258" s="4">
        <v>1995.08333333111</v>
      </c>
      <c r="D258" t="s">
        <v>171</v>
      </c>
      <c r="E258">
        <v>1995</v>
      </c>
      <c r="F258">
        <v>2534</v>
      </c>
      <c r="G258" s="8">
        <f t="shared" si="8"/>
        <v>-1.8150270676035041</v>
      </c>
      <c r="H258" s="3">
        <f>STANDARDIZE(F258,K$9,L$9)</f>
        <v>-1.2710047522623225</v>
      </c>
    </row>
    <row r="259" spans="2:8" x14ac:dyDescent="0.3">
      <c r="B259" s="5">
        <v>34700</v>
      </c>
      <c r="C259" s="4">
        <v>1994.9999999977499</v>
      </c>
      <c r="D259" t="s">
        <v>173</v>
      </c>
      <c r="E259">
        <v>1995</v>
      </c>
      <c r="F259">
        <v>5247</v>
      </c>
      <c r="G259" s="8">
        <f t="shared" si="8"/>
        <v>-0.77456148156370197</v>
      </c>
      <c r="H259" s="3">
        <f>STANDARDIZE(F259,K$8,L$8)</f>
        <v>-0.76747865732312037</v>
      </c>
    </row>
    <row r="260" spans="2:8" x14ac:dyDescent="0.3">
      <c r="B260" s="5">
        <v>34669</v>
      </c>
      <c r="C260" s="4">
        <v>1994.91666666439</v>
      </c>
      <c r="D260" t="s">
        <v>157</v>
      </c>
      <c r="E260">
        <v>1994</v>
      </c>
      <c r="F260">
        <v>9946</v>
      </c>
      <c r="G260" s="8">
        <f t="shared" si="8"/>
        <v>1.0275571283887601</v>
      </c>
      <c r="H260" s="3">
        <f>STANDARDIZE(F260,K$19,L$19)</f>
        <v>1.8530990649312341E-2</v>
      </c>
    </row>
    <row r="261" spans="2:8" x14ac:dyDescent="0.3">
      <c r="B261" s="5">
        <v>34639</v>
      </c>
      <c r="C261" s="4">
        <v>1994.83333333103</v>
      </c>
      <c r="D261" t="s">
        <v>158</v>
      </c>
      <c r="E261">
        <v>1994</v>
      </c>
      <c r="F261">
        <v>9541</v>
      </c>
      <c r="G261" s="8">
        <f t="shared" si="8"/>
        <v>0.87223513710747758</v>
      </c>
      <c r="H261" s="3">
        <f>STANDARDIZE(F261,K$18,L$18)</f>
        <v>-0.14089579727760584</v>
      </c>
    </row>
    <row r="262" spans="2:8" x14ac:dyDescent="0.3">
      <c r="B262" s="5">
        <v>34608</v>
      </c>
      <c r="C262" s="4">
        <v>1994.7499999976701</v>
      </c>
      <c r="D262" t="s">
        <v>160</v>
      </c>
      <c r="E262">
        <v>1994</v>
      </c>
      <c r="F262">
        <v>7921</v>
      </c>
      <c r="G262" s="8">
        <f t="shared" si="8"/>
        <v>0.25094717198234695</v>
      </c>
      <c r="H262" s="3">
        <f>STANDARDIZE(F262,K$17,L$17)</f>
        <v>-0.34160352447451686</v>
      </c>
    </row>
    <row r="263" spans="2:8" x14ac:dyDescent="0.3">
      <c r="B263" s="5">
        <v>34578</v>
      </c>
      <c r="C263" s="4">
        <v>1994.66666666431</v>
      </c>
      <c r="D263" t="s">
        <v>161</v>
      </c>
      <c r="E263">
        <v>1994</v>
      </c>
      <c r="F263">
        <v>6575</v>
      </c>
      <c r="G263" s="8">
        <f t="shared" si="8"/>
        <v>-0.26525875459692827</v>
      </c>
      <c r="H263" s="3">
        <f>STANDARDIZE(F263,K$16,L$16)</f>
        <v>-0.51201889943275913</v>
      </c>
    </row>
    <row r="264" spans="2:8" x14ac:dyDescent="0.3">
      <c r="B264" s="5">
        <v>34547</v>
      </c>
      <c r="C264" s="4">
        <v>1994.5833333309499</v>
      </c>
      <c r="D264" t="s">
        <v>162</v>
      </c>
      <c r="E264">
        <v>1994</v>
      </c>
      <c r="F264">
        <v>6866</v>
      </c>
      <c r="G264" s="8">
        <f t="shared" ref="G264:G327" si="9">STANDARDIZE(F264,F$4,F$5)</f>
        <v>-0.1536570275281548</v>
      </c>
      <c r="H264" s="3">
        <f>STANDARDIZE(F264,K$15,L$15)</f>
        <v>-0.28521646323030403</v>
      </c>
    </row>
    <row r="265" spans="2:8" x14ac:dyDescent="0.3">
      <c r="B265" s="5">
        <v>34516</v>
      </c>
      <c r="C265" s="4">
        <v>1994.4999999975901</v>
      </c>
      <c r="D265" t="s">
        <v>163</v>
      </c>
      <c r="E265">
        <v>1994</v>
      </c>
      <c r="F265">
        <v>8376</v>
      </c>
      <c r="G265" s="8">
        <f t="shared" si="9"/>
        <v>0.42544471774280029</v>
      </c>
      <c r="H265" s="3">
        <f>STANDARDIZE(F265,K$14,L$14)</f>
        <v>0.1620541950081939</v>
      </c>
    </row>
    <row r="266" spans="2:8" x14ac:dyDescent="0.3">
      <c r="B266" s="5">
        <v>34486</v>
      </c>
      <c r="C266" s="4">
        <v>1994.41666666423</v>
      </c>
      <c r="D266" t="s">
        <v>164</v>
      </c>
      <c r="E266">
        <v>1994</v>
      </c>
      <c r="F266">
        <v>9082</v>
      </c>
      <c r="G266" s="8">
        <f t="shared" si="9"/>
        <v>0.69620354698869058</v>
      </c>
      <c r="H266" s="3">
        <f>STANDARDIZE(F266,K$13,L$13)</f>
        <v>0.50837051440180558</v>
      </c>
    </row>
    <row r="267" spans="2:8" x14ac:dyDescent="0.3">
      <c r="B267" s="5">
        <v>34455</v>
      </c>
      <c r="C267" s="4">
        <v>1994.3333333308699</v>
      </c>
      <c r="D267" t="s">
        <v>165</v>
      </c>
      <c r="E267">
        <v>1994</v>
      </c>
      <c r="F267">
        <v>8074</v>
      </c>
      <c r="G267" s="8">
        <f t="shared" si="9"/>
        <v>0.30962436868860926</v>
      </c>
      <c r="H267" s="3">
        <f>STANDARDIZE(F267,K$12,L$12)</f>
        <v>0.80161033393348491</v>
      </c>
    </row>
    <row r="268" spans="2:8" x14ac:dyDescent="0.3">
      <c r="B268" s="5">
        <v>34425</v>
      </c>
      <c r="C268" s="4">
        <v>1994.24999999751</v>
      </c>
      <c r="D268" t="s">
        <v>167</v>
      </c>
      <c r="E268">
        <v>1994</v>
      </c>
      <c r="F268">
        <v>6451</v>
      </c>
      <c r="G268" s="8">
        <f t="shared" si="9"/>
        <v>-0.31281412970527162</v>
      </c>
      <c r="H268" s="3">
        <f>STANDARDIZE(F268,K$11,L$11)</f>
        <v>1.1133170525219342</v>
      </c>
    </row>
    <row r="269" spans="2:8" x14ac:dyDescent="0.3">
      <c r="B269" s="5">
        <v>34394</v>
      </c>
      <c r="C269" s="4">
        <v>1994.1666666641499</v>
      </c>
      <c r="D269" t="s">
        <v>169</v>
      </c>
      <c r="E269">
        <v>1994</v>
      </c>
      <c r="F269">
        <v>5146</v>
      </c>
      <c r="G269" s="8">
        <f t="shared" si="9"/>
        <v>-0.8132961016116268</v>
      </c>
      <c r="H269" s="3">
        <f>STANDARDIZE(F269,K$10,L$10)</f>
        <v>0.69602316150358179</v>
      </c>
    </row>
    <row r="270" spans="2:8" x14ac:dyDescent="0.3">
      <c r="B270" s="5">
        <v>34366</v>
      </c>
      <c r="C270" s="4">
        <v>1994.0833333307901</v>
      </c>
      <c r="D270" t="s">
        <v>171</v>
      </c>
      <c r="E270">
        <v>1994</v>
      </c>
      <c r="F270">
        <v>5154</v>
      </c>
      <c r="G270" s="8">
        <f t="shared" si="9"/>
        <v>-0.81022801289495949</v>
      </c>
      <c r="H270" s="3">
        <f>STANDARDIZE(F270,K$9,L$9)</f>
        <v>0.38824182034656668</v>
      </c>
    </row>
    <row r="271" spans="2:8" x14ac:dyDescent="0.3">
      <c r="B271" s="5">
        <v>34335</v>
      </c>
      <c r="C271" s="4">
        <v>1993.99999999743</v>
      </c>
      <c r="D271" t="s">
        <v>173</v>
      </c>
      <c r="E271">
        <v>1994</v>
      </c>
      <c r="F271">
        <v>8045</v>
      </c>
      <c r="G271" s="8">
        <f t="shared" si="9"/>
        <v>0.29850254709069024</v>
      </c>
      <c r="H271" s="3">
        <f>STANDARDIZE(F271,K$8,L$8)</f>
        <v>0.454036582151709</v>
      </c>
    </row>
    <row r="272" spans="2:8" x14ac:dyDescent="0.3">
      <c r="B272" s="5">
        <v>34304</v>
      </c>
      <c r="C272" s="4">
        <v>1993.9166666640699</v>
      </c>
      <c r="D272" t="s">
        <v>157</v>
      </c>
      <c r="E272">
        <v>1993</v>
      </c>
      <c r="F272">
        <v>10012</v>
      </c>
      <c r="G272" s="8">
        <f t="shared" si="9"/>
        <v>1.0528688603012655</v>
      </c>
      <c r="H272" s="3">
        <f>STANDARDIZE(F272,K$19,L$19)</f>
        <v>4.1331720186945697E-2</v>
      </c>
    </row>
    <row r="273" spans="2:8" x14ac:dyDescent="0.3">
      <c r="B273" s="5">
        <v>34274</v>
      </c>
      <c r="C273" s="4">
        <v>1993.83333333071</v>
      </c>
      <c r="D273" t="s">
        <v>158</v>
      </c>
      <c r="E273">
        <v>1993</v>
      </c>
      <c r="F273">
        <v>8982</v>
      </c>
      <c r="G273" s="8">
        <f t="shared" si="9"/>
        <v>0.65785243803034921</v>
      </c>
      <c r="H273" s="3">
        <f>STANDARDIZE(F273,K$18,L$18)</f>
        <v>-0.35353819522755847</v>
      </c>
    </row>
    <row r="274" spans="2:8" x14ac:dyDescent="0.3">
      <c r="B274" s="5">
        <v>34243</v>
      </c>
      <c r="C274" s="4">
        <v>1993.74999999735</v>
      </c>
      <c r="D274" t="s">
        <v>160</v>
      </c>
      <c r="E274">
        <v>1993</v>
      </c>
      <c r="F274">
        <v>8268</v>
      </c>
      <c r="G274" s="8">
        <f t="shared" si="9"/>
        <v>0.38402552006779156</v>
      </c>
      <c r="H274" s="3">
        <f>STANDARDIZE(F274,K$17,L$17)</f>
        <v>-0.16557121528037191</v>
      </c>
    </row>
    <row r="275" spans="2:8" x14ac:dyDescent="0.3">
      <c r="B275" s="5">
        <v>34213</v>
      </c>
      <c r="C275" s="4">
        <v>1993.6666666639901</v>
      </c>
      <c r="D275" t="s">
        <v>161</v>
      </c>
      <c r="E275">
        <v>1993</v>
      </c>
      <c r="F275">
        <v>7237</v>
      </c>
      <c r="G275" s="8">
        <f t="shared" si="9"/>
        <v>-1.1374413292708219E-2</v>
      </c>
      <c r="H275" s="3">
        <f>STANDARDIZE(F275,K$16,L$16)</f>
        <v>-0.19163953680775558</v>
      </c>
    </row>
    <row r="276" spans="2:8" x14ac:dyDescent="0.3">
      <c r="B276" s="5">
        <v>34182</v>
      </c>
      <c r="C276" s="4">
        <v>1993.58333333063</v>
      </c>
      <c r="D276" t="s">
        <v>162</v>
      </c>
      <c r="E276">
        <v>1993</v>
      </c>
      <c r="F276">
        <v>6275</v>
      </c>
      <c r="G276" s="8">
        <f t="shared" si="9"/>
        <v>-0.38031208147195245</v>
      </c>
      <c r="H276" s="3">
        <f>STANDARDIZE(F276,K$15,L$15)</f>
        <v>-0.57445945948023891</v>
      </c>
    </row>
    <row r="277" spans="2:8" x14ac:dyDescent="0.3">
      <c r="B277" s="5">
        <v>34151</v>
      </c>
      <c r="C277" s="4">
        <v>1993.4999999972699</v>
      </c>
      <c r="D277" t="s">
        <v>163</v>
      </c>
      <c r="E277">
        <v>1993</v>
      </c>
      <c r="F277">
        <v>7770</v>
      </c>
      <c r="G277" s="8">
        <f t="shared" si="9"/>
        <v>0.19303699745525144</v>
      </c>
      <c r="H277" s="3">
        <f>STANDARDIZE(F277,K$14,L$14)</f>
        <v>-0.13215913152597403</v>
      </c>
    </row>
    <row r="278" spans="2:8" x14ac:dyDescent="0.3">
      <c r="B278" s="5">
        <v>34121</v>
      </c>
      <c r="C278" s="4">
        <v>1993.4166666639101</v>
      </c>
      <c r="D278" t="s">
        <v>164</v>
      </c>
      <c r="E278">
        <v>1993</v>
      </c>
      <c r="F278">
        <v>8567</v>
      </c>
      <c r="G278" s="8">
        <f t="shared" si="9"/>
        <v>0.49869533585323234</v>
      </c>
      <c r="H278" s="3">
        <f>STANDARDIZE(F278,K$13,L$13)</f>
        <v>0.20359030830748751</v>
      </c>
    </row>
    <row r="279" spans="2:8" x14ac:dyDescent="0.3">
      <c r="B279" s="5">
        <v>34090</v>
      </c>
      <c r="C279" s="4">
        <v>1993.33333333055</v>
      </c>
      <c r="D279" t="s">
        <v>165</v>
      </c>
      <c r="E279">
        <v>1993</v>
      </c>
      <c r="F279">
        <v>7418</v>
      </c>
      <c r="G279" s="8">
        <f t="shared" si="9"/>
        <v>5.8041093921889712E-2</v>
      </c>
      <c r="H279" s="3">
        <f>STANDARDIZE(F279,K$12,L$12)</f>
        <v>0.35077676005374314</v>
      </c>
    </row>
    <row r="280" spans="2:8" x14ac:dyDescent="0.3">
      <c r="B280" s="5">
        <v>34060</v>
      </c>
      <c r="C280" s="4">
        <v>1993.2499999971899</v>
      </c>
      <c r="D280" t="s">
        <v>167</v>
      </c>
      <c r="E280">
        <v>1993</v>
      </c>
      <c r="F280">
        <v>5266</v>
      </c>
      <c r="G280" s="8">
        <f t="shared" si="9"/>
        <v>-0.76727477086161711</v>
      </c>
      <c r="H280" s="3">
        <f>STANDARDIZE(F280,K$11,L$11)</f>
        <v>0.21046843181995287</v>
      </c>
    </row>
    <row r="281" spans="2:8" x14ac:dyDescent="0.3">
      <c r="B281" s="5">
        <v>34029</v>
      </c>
      <c r="C281" s="4">
        <v>1993.16666666383</v>
      </c>
      <c r="D281" t="s">
        <v>169</v>
      </c>
      <c r="E281">
        <v>1993</v>
      </c>
      <c r="F281">
        <v>3587</v>
      </c>
      <c r="G281" s="8">
        <f t="shared" si="9"/>
        <v>-1.4111898902721691</v>
      </c>
      <c r="H281" s="3">
        <f>STANDARDIZE(F281,K$10,L$10)</f>
        <v>-0.41717681331143869</v>
      </c>
    </row>
    <row r="282" spans="2:8" x14ac:dyDescent="0.3">
      <c r="B282" s="5">
        <v>34001</v>
      </c>
      <c r="C282" s="4">
        <v>1993.0833333304699</v>
      </c>
      <c r="D282" t="s">
        <v>171</v>
      </c>
      <c r="E282">
        <v>1993</v>
      </c>
      <c r="F282">
        <v>3850</v>
      </c>
      <c r="G282" s="8">
        <f t="shared" si="9"/>
        <v>-1.3103264737117313</v>
      </c>
      <c r="H282" s="3">
        <f>STANDARDIZE(F282,K$9,L$9)</f>
        <v>-0.43758166464655984</v>
      </c>
    </row>
    <row r="283" spans="2:8" x14ac:dyDescent="0.3">
      <c r="B283" s="5">
        <v>33970</v>
      </c>
      <c r="C283" s="4">
        <v>1992.9999999971101</v>
      </c>
      <c r="D283" t="s">
        <v>173</v>
      </c>
      <c r="E283">
        <v>1993</v>
      </c>
      <c r="F283">
        <v>5111</v>
      </c>
      <c r="G283" s="8">
        <f t="shared" si="9"/>
        <v>-0.82671898974704627</v>
      </c>
      <c r="H283" s="3">
        <f>STANDARDIZE(F283,K$8,L$8)</f>
        <v>-0.82685180691875182</v>
      </c>
    </row>
    <row r="284" spans="2:8" x14ac:dyDescent="0.3">
      <c r="B284" s="5">
        <v>33939</v>
      </c>
      <c r="C284" s="4">
        <v>1992.91666666375</v>
      </c>
      <c r="D284" t="s">
        <v>157</v>
      </c>
      <c r="E284">
        <v>1992</v>
      </c>
      <c r="F284">
        <v>7096</v>
      </c>
      <c r="G284" s="8">
        <f t="shared" si="9"/>
        <v>-6.5449476923969588E-2</v>
      </c>
      <c r="H284" s="3">
        <f>STANDARDIZE(F284,K$19,L$19)</f>
        <v>-0.96604596665758269</v>
      </c>
    </row>
    <row r="285" spans="2:8" x14ac:dyDescent="0.3">
      <c r="B285" s="5">
        <v>33909</v>
      </c>
      <c r="C285" s="4">
        <v>1992.8333333303899</v>
      </c>
      <c r="D285" t="s">
        <v>158</v>
      </c>
      <c r="E285">
        <v>1992</v>
      </c>
      <c r="F285">
        <v>6914</v>
      </c>
      <c r="G285" s="8">
        <f t="shared" si="9"/>
        <v>-0.13524849522815094</v>
      </c>
      <c r="H285" s="3">
        <f>STANDARDIZE(F285,K$18,L$18)</f>
        <v>-1.1402009482874904</v>
      </c>
    </row>
    <row r="286" spans="2:8" x14ac:dyDescent="0.3">
      <c r="B286" s="5">
        <v>33878</v>
      </c>
      <c r="C286" s="4">
        <v>1992.74999999703</v>
      </c>
      <c r="D286" t="s">
        <v>160</v>
      </c>
      <c r="E286">
        <v>1992</v>
      </c>
      <c r="F286">
        <v>6908</v>
      </c>
      <c r="G286" s="8">
        <f t="shared" si="9"/>
        <v>-0.13754956176565142</v>
      </c>
      <c r="H286" s="3">
        <f>STANDARDIZE(F286,K$17,L$17)</f>
        <v>-0.85549611586837515</v>
      </c>
    </row>
    <row r="287" spans="2:8" x14ac:dyDescent="0.3">
      <c r="B287" s="5">
        <v>33848</v>
      </c>
      <c r="C287" s="4">
        <v>1992.66666666367</v>
      </c>
      <c r="D287" t="s">
        <v>161</v>
      </c>
      <c r="E287">
        <v>1992</v>
      </c>
      <c r="F287">
        <v>6075</v>
      </c>
      <c r="G287" s="8">
        <f t="shared" si="9"/>
        <v>-0.45701429938863525</v>
      </c>
      <c r="H287" s="3">
        <f>STANDARDIZE(F287,K$16,L$16)</f>
        <v>-0.75399726999545058</v>
      </c>
    </row>
    <row r="288" spans="2:8" x14ac:dyDescent="0.3">
      <c r="B288" s="5">
        <v>33817</v>
      </c>
      <c r="C288" s="4">
        <v>1992.5833333303101</v>
      </c>
      <c r="D288" t="s">
        <v>162</v>
      </c>
      <c r="E288">
        <v>1992</v>
      </c>
      <c r="F288">
        <v>5718</v>
      </c>
      <c r="G288" s="8">
        <f t="shared" si="9"/>
        <v>-0.59392775836991407</v>
      </c>
      <c r="H288" s="3">
        <f>STANDARDIZE(F288,K$15,L$15)</f>
        <v>-0.84706241872087129</v>
      </c>
    </row>
    <row r="289" spans="2:8" x14ac:dyDescent="0.3">
      <c r="B289" s="5">
        <v>33786</v>
      </c>
      <c r="C289" s="4">
        <v>1992.49999999695</v>
      </c>
      <c r="D289" t="s">
        <v>163</v>
      </c>
      <c r="E289">
        <v>1992</v>
      </c>
      <c r="F289">
        <v>4899</v>
      </c>
      <c r="G289" s="8">
        <f t="shared" si="9"/>
        <v>-0.90802334073873003</v>
      </c>
      <c r="H289" s="3">
        <f>STANDARDIZE(F289,K$14,L$14)</f>
        <v>-1.5260311785220073</v>
      </c>
    </row>
    <row r="290" spans="2:8" x14ac:dyDescent="0.3">
      <c r="B290" s="5">
        <v>33756</v>
      </c>
      <c r="C290" s="4">
        <v>1992.4166666635899</v>
      </c>
      <c r="D290" t="s">
        <v>164</v>
      </c>
      <c r="E290">
        <v>1992</v>
      </c>
      <c r="F290">
        <v>5507</v>
      </c>
      <c r="G290" s="8">
        <f t="shared" si="9"/>
        <v>-0.67484859827201438</v>
      </c>
      <c r="H290" s="3">
        <f>STANDARDIZE(F290,K$13,L$13)</f>
        <v>-1.607336741495645</v>
      </c>
    </row>
    <row r="291" spans="2:8" x14ac:dyDescent="0.3">
      <c r="B291" s="5">
        <v>33725</v>
      </c>
      <c r="C291" s="4">
        <v>1992.3333333302301</v>
      </c>
      <c r="D291" t="s">
        <v>165</v>
      </c>
      <c r="E291">
        <v>1992</v>
      </c>
      <c r="F291">
        <v>4617</v>
      </c>
      <c r="G291" s="8">
        <f t="shared" si="9"/>
        <v>-1.0161734680012529</v>
      </c>
      <c r="H291" s="3">
        <f>STANDARDIZE(F291,K$12,L$12)</f>
        <v>-1.5742001308565567</v>
      </c>
    </row>
    <row r="292" spans="2:8" x14ac:dyDescent="0.3">
      <c r="B292" s="5">
        <v>33695</v>
      </c>
      <c r="C292" s="4">
        <v>1992.24999999687</v>
      </c>
      <c r="D292" t="s">
        <v>167</v>
      </c>
      <c r="E292">
        <v>1992</v>
      </c>
      <c r="F292">
        <v>2844</v>
      </c>
      <c r="G292" s="8">
        <f t="shared" si="9"/>
        <v>-1.6961386298326457</v>
      </c>
      <c r="H292" s="3">
        <f>STANDARDIZE(F292,K$11,L$11)</f>
        <v>-1.6348474832350675</v>
      </c>
    </row>
    <row r="293" spans="2:8" x14ac:dyDescent="0.3">
      <c r="B293" s="5">
        <v>33664</v>
      </c>
      <c r="C293" s="4">
        <v>1992.1666666635101</v>
      </c>
      <c r="D293" t="s">
        <v>169</v>
      </c>
      <c r="E293">
        <v>1992</v>
      </c>
      <c r="F293">
        <v>2884</v>
      </c>
      <c r="G293" s="8">
        <f t="shared" si="9"/>
        <v>-1.6807981862493093</v>
      </c>
      <c r="H293" s="3">
        <f>STANDARDIZE(F293,K$10,L$10)</f>
        <v>-0.91915217078094447</v>
      </c>
    </row>
    <row r="294" spans="2:8" x14ac:dyDescent="0.3">
      <c r="B294" s="5">
        <v>33635</v>
      </c>
      <c r="C294" s="4">
        <v>1992.08333333015</v>
      </c>
      <c r="D294" t="s">
        <v>171</v>
      </c>
      <c r="E294">
        <v>1992</v>
      </c>
      <c r="F294">
        <v>3068</v>
      </c>
      <c r="G294" s="8">
        <f t="shared" si="9"/>
        <v>-1.610232145765961</v>
      </c>
      <c r="H294" s="3">
        <f>STANDARDIZE(F294,K$9,L$9)</f>
        <v>-0.93282243555501454</v>
      </c>
    </row>
    <row r="295" spans="2:8" x14ac:dyDescent="0.3">
      <c r="B295" s="5">
        <v>33604</v>
      </c>
      <c r="C295" s="4">
        <v>1991.9999999967899</v>
      </c>
      <c r="D295" t="s">
        <v>173</v>
      </c>
      <c r="E295">
        <v>1992</v>
      </c>
      <c r="F295">
        <v>4552</v>
      </c>
      <c r="G295" s="8">
        <f t="shared" si="9"/>
        <v>-1.0411016888241746</v>
      </c>
      <c r="H295" s="3">
        <f>STANDARDIZE(F295,K$8,L$8)</f>
        <v>-1.0708929144478547</v>
      </c>
    </row>
    <row r="296" spans="2:8" x14ac:dyDescent="0.3">
      <c r="B296" s="5">
        <v>33573</v>
      </c>
      <c r="C296" s="4">
        <v>1991.9166666634301</v>
      </c>
      <c r="D296" t="s">
        <v>157</v>
      </c>
      <c r="E296">
        <v>1991</v>
      </c>
      <c r="F296">
        <v>8438</v>
      </c>
      <c r="G296" s="8">
        <f t="shared" si="9"/>
        <v>0.44922240529697194</v>
      </c>
      <c r="H296" s="3">
        <f>STANDARDIZE(F296,K$19,L$19)</f>
        <v>-0.50243113272570439</v>
      </c>
    </row>
    <row r="297" spans="2:8" x14ac:dyDescent="0.3">
      <c r="B297" s="5">
        <v>33543</v>
      </c>
      <c r="C297" s="4">
        <v>1991.83333333007</v>
      </c>
      <c r="D297" t="s">
        <v>158</v>
      </c>
      <c r="E297">
        <v>1991</v>
      </c>
      <c r="F297">
        <v>8240</v>
      </c>
      <c r="G297" s="8">
        <f t="shared" si="9"/>
        <v>0.37328720955945599</v>
      </c>
      <c r="H297" s="3">
        <f>STANDARDIZE(F297,K$18,L$18)</f>
        <v>-0.63579339966202142</v>
      </c>
    </row>
    <row r="298" spans="2:8" x14ac:dyDescent="0.3">
      <c r="B298" s="5">
        <v>33512</v>
      </c>
      <c r="C298" s="4">
        <v>1991.7499999967099</v>
      </c>
      <c r="D298" t="s">
        <v>160</v>
      </c>
      <c r="E298">
        <v>1991</v>
      </c>
      <c r="F298">
        <v>7768</v>
      </c>
      <c r="G298" s="8">
        <f t="shared" si="9"/>
        <v>0.19226997527608461</v>
      </c>
      <c r="H298" s="3">
        <f>STANDARDIZE(F298,K$17,L$17)</f>
        <v>-0.41922007579066722</v>
      </c>
    </row>
    <row r="299" spans="2:8" x14ac:dyDescent="0.3">
      <c r="B299" s="5">
        <v>33482</v>
      </c>
      <c r="C299" s="4">
        <v>1991.66666666335</v>
      </c>
      <c r="D299" t="s">
        <v>161</v>
      </c>
      <c r="E299">
        <v>1991</v>
      </c>
      <c r="F299">
        <v>5396</v>
      </c>
      <c r="G299" s="8">
        <f t="shared" si="9"/>
        <v>-0.71741832921577331</v>
      </c>
      <c r="H299" s="3">
        <f>STANDARDIZE(F299,K$16,L$16)</f>
        <v>-1.0826038972195855</v>
      </c>
    </row>
    <row r="300" spans="2:8" x14ac:dyDescent="0.3">
      <c r="B300" s="5">
        <v>33451</v>
      </c>
      <c r="C300" s="4">
        <v>1991.58333332999</v>
      </c>
      <c r="D300" t="s">
        <v>162</v>
      </c>
      <c r="E300">
        <v>1991</v>
      </c>
      <c r="F300">
        <v>6347</v>
      </c>
      <c r="G300" s="8">
        <f t="shared" si="9"/>
        <v>-0.35269928302194664</v>
      </c>
      <c r="H300" s="3">
        <f>STANDARDIZE(F300,K$15,L$15)</f>
        <v>-0.53922173404877483</v>
      </c>
    </row>
    <row r="301" spans="2:8" x14ac:dyDescent="0.3">
      <c r="B301" s="5">
        <v>33420</v>
      </c>
      <c r="C301" s="4">
        <v>1991.4999999966301</v>
      </c>
      <c r="D301" t="s">
        <v>163</v>
      </c>
      <c r="E301">
        <v>1991</v>
      </c>
      <c r="F301">
        <v>6740</v>
      </c>
      <c r="G301" s="8">
        <f t="shared" si="9"/>
        <v>-0.20197942481566497</v>
      </c>
      <c r="H301" s="3">
        <f>STANDARDIZE(F301,K$14,L$14)</f>
        <v>-0.63222468652629249</v>
      </c>
    </row>
    <row r="302" spans="2:8" x14ac:dyDescent="0.3">
      <c r="B302" s="5">
        <v>33390</v>
      </c>
      <c r="C302" s="4">
        <v>1991.41666666327</v>
      </c>
      <c r="D302" t="s">
        <v>164</v>
      </c>
      <c r="E302">
        <v>1991</v>
      </c>
      <c r="F302">
        <v>7130</v>
      </c>
      <c r="G302" s="8">
        <f t="shared" si="9"/>
        <v>-5.2410099878133512E-2</v>
      </c>
      <c r="H302" s="3">
        <f>STANDARDIZE(F302,K$13,L$13)</f>
        <v>-0.64683523762947381</v>
      </c>
    </row>
    <row r="303" spans="2:8" x14ac:dyDescent="0.3">
      <c r="B303" s="5">
        <v>33359</v>
      </c>
      <c r="C303" s="4">
        <v>1991.3333333299099</v>
      </c>
      <c r="D303" t="s">
        <v>165</v>
      </c>
      <c r="E303">
        <v>1991</v>
      </c>
      <c r="F303">
        <v>6418</v>
      </c>
      <c r="G303" s="8">
        <f t="shared" si="9"/>
        <v>-0.32546999566152424</v>
      </c>
      <c r="H303" s="3">
        <f>STANDARDIZE(F303,K$12,L$12)</f>
        <v>-0.33646954159220466</v>
      </c>
    </row>
    <row r="304" spans="2:8" x14ac:dyDescent="0.3">
      <c r="B304" s="5">
        <v>33329</v>
      </c>
      <c r="C304" s="4">
        <v>1991.2499999965501</v>
      </c>
      <c r="D304" t="s">
        <v>167</v>
      </c>
      <c r="E304">
        <v>1991</v>
      </c>
      <c r="F304">
        <v>4843</v>
      </c>
      <c r="G304" s="8">
        <f t="shared" si="9"/>
        <v>-0.92949996175540128</v>
      </c>
      <c r="H304" s="3">
        <f>STANDARDIZE(F304,K$11,L$11)</f>
        <v>-0.11181424037999496</v>
      </c>
    </row>
    <row r="305" spans="2:8" x14ac:dyDescent="0.3">
      <c r="B305" s="5">
        <v>33298</v>
      </c>
      <c r="C305" s="4">
        <v>1991.16666666319</v>
      </c>
      <c r="D305" t="s">
        <v>169</v>
      </c>
      <c r="E305">
        <v>1991</v>
      </c>
      <c r="F305">
        <v>4155</v>
      </c>
      <c r="G305" s="8">
        <f t="shared" si="9"/>
        <v>-1.1933555913887901</v>
      </c>
      <c r="H305" s="3">
        <f>STANDARDIZE(F305,K$10,L$10)</f>
        <v>-1.1597861614882167E-2</v>
      </c>
    </row>
    <row r="306" spans="2:8" x14ac:dyDescent="0.3">
      <c r="B306" s="5">
        <v>33270</v>
      </c>
      <c r="C306" s="4">
        <v>1991.0833333298301</v>
      </c>
      <c r="D306" t="s">
        <v>171</v>
      </c>
      <c r="E306">
        <v>1991</v>
      </c>
      <c r="F306">
        <v>3696</v>
      </c>
      <c r="G306" s="8">
        <f t="shared" si="9"/>
        <v>-1.3693871815075771</v>
      </c>
      <c r="H306" s="3">
        <f>STANDARDIZE(F306,K$9,L$9)</f>
        <v>-0.53510989830372357</v>
      </c>
    </row>
    <row r="307" spans="2:8" x14ac:dyDescent="0.3">
      <c r="B307" s="5">
        <v>33239</v>
      </c>
      <c r="C307" s="4">
        <v>1990.99999999647</v>
      </c>
      <c r="D307" t="s">
        <v>173</v>
      </c>
      <c r="E307">
        <v>1991</v>
      </c>
      <c r="F307">
        <v>7050</v>
      </c>
      <c r="G307" s="8">
        <f t="shared" si="9"/>
        <v>-8.3090987044806636E-2</v>
      </c>
      <c r="H307" s="3">
        <f>STANDARDIZE(F307,K$8,L$8)</f>
        <v>1.96521420954348E-2</v>
      </c>
    </row>
    <row r="308" spans="2:8" x14ac:dyDescent="0.3">
      <c r="B308" s="5">
        <v>33208</v>
      </c>
      <c r="C308" s="4">
        <v>1990.9166666631099</v>
      </c>
      <c r="D308" t="s">
        <v>157</v>
      </c>
      <c r="E308">
        <v>1990</v>
      </c>
      <c r="F308">
        <v>10194</v>
      </c>
      <c r="G308" s="8">
        <f t="shared" si="9"/>
        <v>1.1226678786054469</v>
      </c>
      <c r="H308" s="3">
        <f>STANDARDIZE(F308,K$19,L$19)</f>
        <v>0.10420645921496496</v>
      </c>
    </row>
    <row r="309" spans="2:8" x14ac:dyDescent="0.3">
      <c r="B309" s="5">
        <v>33178</v>
      </c>
      <c r="C309" s="4">
        <v>1990.8333333297501</v>
      </c>
      <c r="D309" t="s">
        <v>158</v>
      </c>
      <c r="E309">
        <v>1990</v>
      </c>
      <c r="F309">
        <v>9891</v>
      </c>
      <c r="G309" s="8">
        <f t="shared" si="9"/>
        <v>1.0064640184616724</v>
      </c>
      <c r="H309" s="3">
        <f>STANDARDIZE(F309,K$18,L$18)</f>
        <v>-7.7565499028591275E-3</v>
      </c>
    </row>
    <row r="310" spans="2:8" x14ac:dyDescent="0.3">
      <c r="B310" s="5">
        <v>33147</v>
      </c>
      <c r="C310" s="4">
        <v>1990.74999999639</v>
      </c>
      <c r="D310" t="s">
        <v>160</v>
      </c>
      <c r="E310">
        <v>1990</v>
      </c>
      <c r="F310">
        <v>7998</v>
      </c>
      <c r="G310" s="8">
        <f t="shared" si="9"/>
        <v>0.28047752588026981</v>
      </c>
      <c r="H310" s="3">
        <f>STANDARDIZE(F310,K$17,L$17)</f>
        <v>-0.30254159995593138</v>
      </c>
    </row>
    <row r="311" spans="2:8" x14ac:dyDescent="0.3">
      <c r="B311" s="5">
        <v>33117</v>
      </c>
      <c r="C311" s="4">
        <v>1990.6666666630299</v>
      </c>
      <c r="D311" t="s">
        <v>161</v>
      </c>
      <c r="E311">
        <v>1990</v>
      </c>
      <c r="F311">
        <v>6606</v>
      </c>
      <c r="G311" s="8">
        <f t="shared" si="9"/>
        <v>-0.25336991081984245</v>
      </c>
      <c r="H311" s="3">
        <f>STANDARDIZE(F311,K$16,L$16)</f>
        <v>-0.49701624045787224</v>
      </c>
    </row>
    <row r="312" spans="2:8" x14ac:dyDescent="0.3">
      <c r="B312" s="5">
        <v>33086</v>
      </c>
      <c r="C312" s="4">
        <v>1990.58333332967</v>
      </c>
      <c r="D312" t="s">
        <v>162</v>
      </c>
      <c r="E312">
        <v>1990</v>
      </c>
      <c r="F312">
        <v>6335</v>
      </c>
      <c r="G312" s="8">
        <f t="shared" si="9"/>
        <v>-0.3573014160969476</v>
      </c>
      <c r="H312" s="3">
        <f>STANDARDIZE(F312,K$15,L$15)</f>
        <v>-0.54509468828735208</v>
      </c>
    </row>
    <row r="313" spans="2:8" x14ac:dyDescent="0.3">
      <c r="B313" s="5">
        <v>33055</v>
      </c>
      <c r="C313" s="4">
        <v>1990.49999999631</v>
      </c>
      <c r="D313" t="s">
        <v>163</v>
      </c>
      <c r="E313">
        <v>1990</v>
      </c>
      <c r="F313">
        <v>7090</v>
      </c>
      <c r="G313" s="8">
        <f t="shared" si="9"/>
        <v>-6.7750543461470067E-2</v>
      </c>
      <c r="H313" s="3">
        <f>STANDARDIZE(F313,K$14,L$14)</f>
        <v>-0.46229949793395125</v>
      </c>
    </row>
    <row r="314" spans="2:8" x14ac:dyDescent="0.3">
      <c r="B314" s="5">
        <v>33025</v>
      </c>
      <c r="C314" s="4">
        <v>1990.4166666629501</v>
      </c>
      <c r="D314" t="s">
        <v>164</v>
      </c>
      <c r="E314">
        <v>1990</v>
      </c>
      <c r="F314">
        <v>7707</v>
      </c>
      <c r="G314" s="8">
        <f t="shared" si="9"/>
        <v>0.16887579881149634</v>
      </c>
      <c r="H314" s="3">
        <f>STANDARDIZE(F314,K$13,L$13)</f>
        <v>-0.30536304555875238</v>
      </c>
    </row>
    <row r="315" spans="2:8" x14ac:dyDescent="0.3">
      <c r="B315" s="5">
        <v>32994</v>
      </c>
      <c r="C315" s="4">
        <v>1990.33333332959</v>
      </c>
      <c r="D315" t="s">
        <v>165</v>
      </c>
      <c r="E315">
        <v>1990</v>
      </c>
      <c r="F315">
        <v>7401</v>
      </c>
      <c r="G315" s="8">
        <f t="shared" si="9"/>
        <v>5.1521405398971674E-2</v>
      </c>
      <c r="H315" s="3">
        <f>STANDARDIZE(F315,K$12,L$12)</f>
        <v>0.33909357292576203</v>
      </c>
    </row>
    <row r="316" spans="2:8" x14ac:dyDescent="0.3">
      <c r="B316" s="5">
        <v>32964</v>
      </c>
      <c r="C316" s="4">
        <v>1990.2499999962299</v>
      </c>
      <c r="D316" t="s">
        <v>167</v>
      </c>
      <c r="E316">
        <v>1990</v>
      </c>
      <c r="F316">
        <v>5276</v>
      </c>
      <c r="G316" s="8">
        <f t="shared" si="9"/>
        <v>-0.763439659965783</v>
      </c>
      <c r="H316" s="3">
        <f>STANDARDIZE(F316,K$11,L$11)</f>
        <v>0.21808740752207928</v>
      </c>
    </row>
    <row r="317" spans="2:8" x14ac:dyDescent="0.3">
      <c r="B317" s="5">
        <v>32933</v>
      </c>
      <c r="C317" s="4">
        <v>1990.1666666628701</v>
      </c>
      <c r="D317" t="s">
        <v>169</v>
      </c>
      <c r="E317">
        <v>1990</v>
      </c>
      <c r="F317">
        <v>4684</v>
      </c>
      <c r="G317" s="8">
        <f t="shared" si="9"/>
        <v>-0.99047822499916405</v>
      </c>
      <c r="H317" s="3">
        <f>STANDARDIZE(F317,K$10,L$10)</f>
        <v>0.36613323952504462</v>
      </c>
    </row>
    <row r="318" spans="2:8" x14ac:dyDescent="0.3">
      <c r="B318" s="5">
        <v>32905</v>
      </c>
      <c r="C318" s="4">
        <v>1990.08333332951</v>
      </c>
      <c r="D318" t="s">
        <v>171</v>
      </c>
      <c r="E318">
        <v>1990</v>
      </c>
      <c r="F318">
        <v>5057</v>
      </c>
      <c r="G318" s="8">
        <f t="shared" si="9"/>
        <v>-0.84742858858455072</v>
      </c>
      <c r="H318" s="3">
        <f>STANDARDIZE(F318,K$9,L$9)</f>
        <v>0.32681169914692459</v>
      </c>
    </row>
    <row r="319" spans="2:8" x14ac:dyDescent="0.3">
      <c r="B319" s="5">
        <v>32874</v>
      </c>
      <c r="C319" s="4">
        <v>1989.9999999961501</v>
      </c>
      <c r="D319" t="s">
        <v>173</v>
      </c>
      <c r="E319">
        <v>1990</v>
      </c>
      <c r="F319">
        <v>6673</v>
      </c>
      <c r="G319" s="8">
        <f t="shared" si="9"/>
        <v>-0.2276746678177537</v>
      </c>
      <c r="H319" s="3">
        <f>STANDARDIZE(F319,K$8,L$8)</f>
        <v>-0.14493372112186709</v>
      </c>
    </row>
    <row r="320" spans="2:8" x14ac:dyDescent="0.3">
      <c r="B320" s="5">
        <v>32843</v>
      </c>
      <c r="C320" s="4">
        <v>1989.91666666279</v>
      </c>
      <c r="D320" t="s">
        <v>157</v>
      </c>
      <c r="E320">
        <v>1989</v>
      </c>
      <c r="F320">
        <v>10709</v>
      </c>
      <c r="G320" s="8">
        <f t="shared" si="9"/>
        <v>1.3201760897409052</v>
      </c>
      <c r="H320" s="3">
        <f>STANDARDIZE(F320,K$19,L$19)</f>
        <v>0.28212124272831618</v>
      </c>
    </row>
    <row r="321" spans="2:8" x14ac:dyDescent="0.3">
      <c r="B321" s="5">
        <v>32813</v>
      </c>
      <c r="C321" s="4">
        <v>1989.8333333294299</v>
      </c>
      <c r="D321" t="s">
        <v>158</v>
      </c>
      <c r="E321">
        <v>1989</v>
      </c>
      <c r="F321">
        <v>12046</v>
      </c>
      <c r="G321" s="8">
        <f t="shared" si="9"/>
        <v>1.8329304165139295</v>
      </c>
      <c r="H321" s="3">
        <f>STANDARDIZE(F321,K$18,L$18)</f>
        <v>0.81200081607593844</v>
      </c>
    </row>
    <row r="322" spans="2:8" x14ac:dyDescent="0.3">
      <c r="B322" s="5">
        <v>32782</v>
      </c>
      <c r="C322" s="4">
        <v>1989.7499999960701</v>
      </c>
      <c r="D322" t="s">
        <v>160</v>
      </c>
      <c r="E322">
        <v>1989</v>
      </c>
      <c r="F322">
        <v>10531</v>
      </c>
      <c r="G322" s="8">
        <f t="shared" si="9"/>
        <v>1.2519111157950573</v>
      </c>
      <c r="H322" s="3">
        <f>STANDARDIZE(F322,K$17,L$17)</f>
        <v>0.98244352738922469</v>
      </c>
    </row>
    <row r="323" spans="2:8" x14ac:dyDescent="0.3">
      <c r="B323" s="5">
        <v>32752</v>
      </c>
      <c r="C323" s="4">
        <v>1989.66666666271</v>
      </c>
      <c r="D323" t="s">
        <v>161</v>
      </c>
      <c r="E323">
        <v>1989</v>
      </c>
      <c r="F323">
        <v>8298</v>
      </c>
      <c r="G323" s="8">
        <f t="shared" si="9"/>
        <v>0.39553085275529398</v>
      </c>
      <c r="H323" s="3">
        <f>STANDARDIZE(F323,K$16,L$16)</f>
        <v>0.32183856552627571</v>
      </c>
    </row>
    <row r="324" spans="2:8" x14ac:dyDescent="0.3">
      <c r="B324" s="5">
        <v>32721</v>
      </c>
      <c r="C324" s="4">
        <v>1989.5833333293499</v>
      </c>
      <c r="D324" t="s">
        <v>162</v>
      </c>
      <c r="E324">
        <v>1989</v>
      </c>
      <c r="F324">
        <v>6889</v>
      </c>
      <c r="G324" s="8">
        <f t="shared" si="9"/>
        <v>-0.14483627246773628</v>
      </c>
      <c r="H324" s="3">
        <f>STANDARDIZE(F324,K$15,L$15)</f>
        <v>-0.2739599676063641</v>
      </c>
    </row>
    <row r="325" spans="2:8" x14ac:dyDescent="0.3">
      <c r="B325" s="5">
        <v>32690</v>
      </c>
      <c r="C325" s="4">
        <v>1989.49999999599</v>
      </c>
      <c r="D325" t="s">
        <v>163</v>
      </c>
      <c r="E325">
        <v>1989</v>
      </c>
      <c r="F325">
        <v>7218</v>
      </c>
      <c r="G325" s="8">
        <f t="shared" si="9"/>
        <v>-1.8661123994793083E-2</v>
      </c>
      <c r="H325" s="3">
        <f>STANDARDIZE(F325,K$14,L$14)</f>
        <v>-0.40015542896303791</v>
      </c>
    </row>
    <row r="326" spans="2:8" x14ac:dyDescent="0.3">
      <c r="B326" s="5">
        <v>32660</v>
      </c>
      <c r="C326" s="4">
        <v>1989.41666666263</v>
      </c>
      <c r="D326" t="s">
        <v>164</v>
      </c>
      <c r="E326">
        <v>1989</v>
      </c>
      <c r="F326">
        <v>7546</v>
      </c>
      <c r="G326" s="8">
        <f t="shared" si="9"/>
        <v>0.1071305133885667</v>
      </c>
      <c r="H326" s="3">
        <f>STANDARDIZE(F326,K$13,L$13)</f>
        <v>-0.40064384785231588</v>
      </c>
    </row>
    <row r="327" spans="2:8" x14ac:dyDescent="0.3">
      <c r="B327" s="5">
        <v>32629</v>
      </c>
      <c r="C327" s="4">
        <v>1989.3333333292701</v>
      </c>
      <c r="D327" t="s">
        <v>165</v>
      </c>
      <c r="E327">
        <v>1989</v>
      </c>
      <c r="F327">
        <v>6464</v>
      </c>
      <c r="G327" s="8">
        <f t="shared" si="9"/>
        <v>-0.3078284855406872</v>
      </c>
      <c r="H327" s="3">
        <f>STANDARDIZE(F327,K$12,L$12)</f>
        <v>-0.30485621171649108</v>
      </c>
    </row>
    <row r="328" spans="2:8" x14ac:dyDescent="0.3">
      <c r="B328" s="5">
        <v>32599</v>
      </c>
      <c r="C328" s="4">
        <v>1989.24999999591</v>
      </c>
      <c r="D328" t="s">
        <v>167</v>
      </c>
      <c r="E328">
        <v>1989</v>
      </c>
      <c r="F328">
        <v>5862</v>
      </c>
      <c r="G328" s="8">
        <f t="shared" ref="G328:G391" si="10">STANDARDIZE(F328,F$4,F$5)</f>
        <v>-0.53870216146990246</v>
      </c>
      <c r="H328" s="3">
        <f>STANDARDIZE(F328,K$11,L$11)</f>
        <v>0.66455938366668788</v>
      </c>
    </row>
    <row r="329" spans="2:8" x14ac:dyDescent="0.3">
      <c r="B329" s="5">
        <v>32568</v>
      </c>
      <c r="C329" s="4">
        <v>1989.1666666625499</v>
      </c>
      <c r="D329" t="s">
        <v>169</v>
      </c>
      <c r="E329">
        <v>1989</v>
      </c>
      <c r="F329">
        <v>6120</v>
      </c>
      <c r="G329" s="8">
        <f t="shared" si="10"/>
        <v>-0.43975630035738161</v>
      </c>
      <c r="H329" s="3">
        <f>STANDARDIZE(F329,K$10,L$10)</f>
        <v>1.3915053779691557</v>
      </c>
    </row>
    <row r="330" spans="2:8" x14ac:dyDescent="0.3">
      <c r="B330" s="5">
        <v>32540</v>
      </c>
      <c r="C330" s="4">
        <v>1989.0833333291901</v>
      </c>
      <c r="D330" t="s">
        <v>171</v>
      </c>
      <c r="E330">
        <v>1989</v>
      </c>
      <c r="F330">
        <v>7224</v>
      </c>
      <c r="G330" s="8">
        <f t="shared" si="10"/>
        <v>-1.63600574572926E-2</v>
      </c>
      <c r="H330" s="3">
        <f>STANDARDIZE(F330,K$9,L$9)</f>
        <v>1.6991732727512998</v>
      </c>
    </row>
    <row r="331" spans="2:8" x14ac:dyDescent="0.3">
      <c r="B331" s="5">
        <v>32509</v>
      </c>
      <c r="C331" s="4">
        <v>1988.99999999583</v>
      </c>
      <c r="D331" t="s">
        <v>173</v>
      </c>
      <c r="E331">
        <v>1989</v>
      </c>
      <c r="F331">
        <v>11564</v>
      </c>
      <c r="G331" s="8">
        <f t="shared" si="10"/>
        <v>1.6480780713347241</v>
      </c>
      <c r="H331" s="3">
        <f>STANDARDIZE(F331,K$8,L$8)</f>
        <v>1.9903168279386727</v>
      </c>
    </row>
    <row r="332" spans="2:8" x14ac:dyDescent="0.3">
      <c r="B332" s="5">
        <v>32478</v>
      </c>
      <c r="C332" s="4">
        <v>1988.9166666624701</v>
      </c>
      <c r="D332" t="s">
        <v>157</v>
      </c>
      <c r="E332">
        <v>1988</v>
      </c>
      <c r="F332">
        <v>13531</v>
      </c>
      <c r="G332" s="8">
        <f t="shared" si="10"/>
        <v>2.4024443845452992</v>
      </c>
      <c r="H332" s="3">
        <f>STANDARDIZE(F332,K$19,L$19)</f>
        <v>1.2570251632616698</v>
      </c>
    </row>
    <row r="333" spans="2:8" x14ac:dyDescent="0.3">
      <c r="B333" s="5">
        <v>32448</v>
      </c>
      <c r="C333" s="4">
        <v>1988.83333332911</v>
      </c>
      <c r="D333" t="s">
        <v>158</v>
      </c>
      <c r="E333">
        <v>1988</v>
      </c>
      <c r="F333">
        <v>13160</v>
      </c>
      <c r="G333" s="8">
        <f t="shared" si="10"/>
        <v>2.2601617703098529</v>
      </c>
      <c r="H333" s="3">
        <f>STANDARDIZE(F333,K$18,L$18)</f>
        <v>1.2357640205772751</v>
      </c>
    </row>
    <row r="334" spans="2:8" x14ac:dyDescent="0.3">
      <c r="B334" s="5">
        <v>32417</v>
      </c>
      <c r="C334" s="4">
        <v>1988.7499999957499</v>
      </c>
      <c r="D334" t="s">
        <v>160</v>
      </c>
      <c r="E334">
        <v>1988</v>
      </c>
      <c r="F334">
        <v>12893</v>
      </c>
      <c r="G334" s="8">
        <f t="shared" si="10"/>
        <v>2.157764309391081</v>
      </c>
      <c r="H334" s="3">
        <f>STANDARDIZE(F334,K$17,L$17)</f>
        <v>2.1806807444398597</v>
      </c>
    </row>
    <row r="335" spans="2:8" x14ac:dyDescent="0.3">
      <c r="B335" s="5">
        <v>32387</v>
      </c>
      <c r="C335" s="4">
        <v>1988.6666666623901</v>
      </c>
      <c r="D335" t="s">
        <v>161</v>
      </c>
      <c r="E335">
        <v>1988</v>
      </c>
      <c r="F335">
        <v>11519</v>
      </c>
      <c r="G335" s="8">
        <f t="shared" si="10"/>
        <v>1.6308200723034705</v>
      </c>
      <c r="H335" s="3">
        <f>STANDARDIZE(F335,K$16,L$16)</f>
        <v>1.8806632286911342</v>
      </c>
    </row>
    <row r="336" spans="2:8" x14ac:dyDescent="0.3">
      <c r="B336" s="5">
        <v>32356</v>
      </c>
      <c r="C336" s="4">
        <v>1988.58333332903</v>
      </c>
      <c r="D336" t="s">
        <v>162</v>
      </c>
      <c r="E336">
        <v>1988</v>
      </c>
      <c r="F336">
        <v>9669</v>
      </c>
      <c r="G336" s="8">
        <f t="shared" si="10"/>
        <v>0.92132455657415457</v>
      </c>
      <c r="H336" s="3">
        <f>STANDARDIZE(F336,K$15,L$15)</f>
        <v>1.0866077643307237</v>
      </c>
    </row>
    <row r="337" spans="2:8" x14ac:dyDescent="0.3">
      <c r="B337" s="5">
        <v>32325</v>
      </c>
      <c r="C337" s="4">
        <v>1988.4999999956699</v>
      </c>
      <c r="D337" t="s">
        <v>163</v>
      </c>
      <c r="E337">
        <v>1988</v>
      </c>
      <c r="F337">
        <v>8636</v>
      </c>
      <c r="G337" s="8">
        <f t="shared" si="10"/>
        <v>0.52515760103448794</v>
      </c>
      <c r="H337" s="3">
        <f>STANDARDIZE(F337,K$14,L$14)</f>
        <v>0.28828433510536167</v>
      </c>
    </row>
    <row r="338" spans="2:8" x14ac:dyDescent="0.3">
      <c r="B338" s="5">
        <v>32295</v>
      </c>
      <c r="C338" s="4">
        <v>1988.41666666231</v>
      </c>
      <c r="D338" t="s">
        <v>164</v>
      </c>
      <c r="E338">
        <v>1988</v>
      </c>
      <c r="F338">
        <v>6416</v>
      </c>
      <c r="G338" s="8">
        <f t="shared" si="10"/>
        <v>-0.32623701784069109</v>
      </c>
      <c r="H338" s="3">
        <f>STANDARDIZE(F338,K$13,L$13)</f>
        <v>-1.0693848825835379</v>
      </c>
    </row>
    <row r="339" spans="2:8" x14ac:dyDescent="0.3">
      <c r="B339" s="5">
        <v>32264</v>
      </c>
      <c r="C339" s="4">
        <v>1988.3333333289499</v>
      </c>
      <c r="D339" t="s">
        <v>165</v>
      </c>
      <c r="E339">
        <v>1988</v>
      </c>
      <c r="F339">
        <v>5725</v>
      </c>
      <c r="G339" s="8">
        <f t="shared" si="10"/>
        <v>-0.59124318074283011</v>
      </c>
      <c r="H339" s="3">
        <f>STANDARDIZE(F339,K$12,L$12)</f>
        <v>-0.81273122863284653</v>
      </c>
    </row>
    <row r="340" spans="2:8" x14ac:dyDescent="0.3">
      <c r="B340" s="5">
        <v>32234</v>
      </c>
      <c r="C340" s="4">
        <v>1988.2499999955901</v>
      </c>
      <c r="D340" t="s">
        <v>167</v>
      </c>
      <c r="E340">
        <v>1988</v>
      </c>
      <c r="F340">
        <v>4695</v>
      </c>
      <c r="G340" s="8">
        <f t="shared" si="10"/>
        <v>-0.98625960301374649</v>
      </c>
      <c r="H340" s="3">
        <f>STANDARDIZE(F340,K$11,L$11)</f>
        <v>-0.22457508077146607</v>
      </c>
    </row>
    <row r="341" spans="2:8" x14ac:dyDescent="0.3">
      <c r="B341" s="5">
        <v>32203</v>
      </c>
      <c r="C341" s="4">
        <v>1988.16666666223</v>
      </c>
      <c r="D341" t="s">
        <v>169</v>
      </c>
      <c r="E341">
        <v>1988</v>
      </c>
      <c r="F341">
        <v>4152</v>
      </c>
      <c r="G341" s="8">
        <f t="shared" si="10"/>
        <v>-1.1945061246575404</v>
      </c>
      <c r="H341" s="3">
        <f>STANDARDIZE(F341,K$10,L$10)</f>
        <v>-1.3740003965392149E-2</v>
      </c>
    </row>
    <row r="342" spans="2:8" x14ac:dyDescent="0.3">
      <c r="B342" s="5">
        <v>32174</v>
      </c>
      <c r="C342" s="4">
        <v>1988.0833333288699</v>
      </c>
      <c r="D342" t="s">
        <v>171</v>
      </c>
      <c r="E342">
        <v>1988</v>
      </c>
      <c r="F342">
        <v>4394</v>
      </c>
      <c r="G342" s="8">
        <f t="shared" si="10"/>
        <v>-1.1016964409783541</v>
      </c>
      <c r="H342" s="3">
        <f>STANDARDIZE(F342,K$9,L$9)</f>
        <v>-9.3066345753721788E-2</v>
      </c>
    </row>
    <row r="343" spans="2:8" x14ac:dyDescent="0.3">
      <c r="B343" s="5">
        <v>32143</v>
      </c>
      <c r="C343" s="4">
        <v>1987.9999999955101</v>
      </c>
      <c r="D343" t="s">
        <v>173</v>
      </c>
      <c r="E343">
        <v>1988</v>
      </c>
      <c r="F343">
        <v>6517</v>
      </c>
      <c r="G343" s="8">
        <f t="shared" si="10"/>
        <v>-0.28750239779276626</v>
      </c>
      <c r="H343" s="3">
        <f>STANDARDIZE(F343,K$8,L$8)</f>
        <v>-0.21303821624626787</v>
      </c>
    </row>
    <row r="344" spans="2:8" x14ac:dyDescent="0.3">
      <c r="B344" s="5">
        <v>32112</v>
      </c>
      <c r="C344" s="4">
        <v>1987.91666666215</v>
      </c>
      <c r="D344" t="s">
        <v>157</v>
      </c>
      <c r="E344">
        <v>1987</v>
      </c>
      <c r="F344">
        <v>11132</v>
      </c>
      <c r="G344" s="8">
        <f t="shared" si="10"/>
        <v>1.4824012806346891</v>
      </c>
      <c r="H344" s="3">
        <f>STANDARDIZE(F344,K$19,L$19)</f>
        <v>0.42825319112860272</v>
      </c>
    </row>
    <row r="345" spans="2:8" x14ac:dyDescent="0.3">
      <c r="B345" s="5">
        <v>32082</v>
      </c>
      <c r="C345" s="4">
        <v>1987.8333333287901</v>
      </c>
      <c r="D345" t="s">
        <v>158</v>
      </c>
      <c r="E345">
        <v>1987</v>
      </c>
      <c r="F345">
        <v>11086</v>
      </c>
      <c r="G345" s="8">
        <f t="shared" si="10"/>
        <v>1.4647597705138522</v>
      </c>
      <c r="H345" s="3">
        <f>STANDARDIZE(F345,K$18,L$18)</f>
        <v>0.44681888041949036</v>
      </c>
    </row>
    <row r="346" spans="2:8" x14ac:dyDescent="0.3">
      <c r="B346" s="5">
        <v>32051</v>
      </c>
      <c r="C346" s="4">
        <v>1987.74999999543</v>
      </c>
      <c r="D346" t="s">
        <v>160</v>
      </c>
      <c r="E346">
        <v>1987</v>
      </c>
      <c r="F346">
        <v>8922</v>
      </c>
      <c r="G346" s="8">
        <f t="shared" si="10"/>
        <v>0.63484177265534436</v>
      </c>
      <c r="H346" s="3">
        <f>STANDARDIZE(F346,K$17,L$17)</f>
        <v>0.16620149426709435</v>
      </c>
    </row>
    <row r="347" spans="2:8" x14ac:dyDescent="0.3">
      <c r="B347" s="5">
        <v>32021</v>
      </c>
      <c r="C347" s="4">
        <v>1987.6666666620599</v>
      </c>
      <c r="D347" t="s">
        <v>161</v>
      </c>
      <c r="E347">
        <v>1987</v>
      </c>
      <c r="F347">
        <v>7653</v>
      </c>
      <c r="G347" s="8">
        <f t="shared" si="10"/>
        <v>0.148166199973992</v>
      </c>
      <c r="H347" s="3">
        <f>STANDARDIZE(F347,K$16,L$16)</f>
        <v>9.6864675004037122E-3</v>
      </c>
    </row>
    <row r="348" spans="2:8" x14ac:dyDescent="0.3">
      <c r="B348" s="5">
        <v>31990</v>
      </c>
      <c r="C348" s="4">
        <v>1987.5833333287001</v>
      </c>
      <c r="D348" t="s">
        <v>162</v>
      </c>
      <c r="E348">
        <v>1987</v>
      </c>
      <c r="F348">
        <v>7564</v>
      </c>
      <c r="G348" s="8">
        <f t="shared" si="10"/>
        <v>0.11403371300106815</v>
      </c>
      <c r="H348" s="3">
        <f>STANDARDIZE(F348,K$15,L$15)</f>
        <v>5.6393708313612248E-2</v>
      </c>
    </row>
    <row r="349" spans="2:8" x14ac:dyDescent="0.3">
      <c r="B349" s="5">
        <v>31959</v>
      </c>
      <c r="C349" s="4">
        <v>1987.49999999534</v>
      </c>
      <c r="D349" t="s">
        <v>163</v>
      </c>
      <c r="E349">
        <v>1987</v>
      </c>
      <c r="F349">
        <v>5945</v>
      </c>
      <c r="G349" s="8">
        <f t="shared" si="10"/>
        <v>-0.50687074103447904</v>
      </c>
      <c r="H349" s="3">
        <f>STANDARDIZE(F349,K$14,L$14)</f>
        <v>-1.0181976149003247</v>
      </c>
    </row>
    <row r="350" spans="2:8" x14ac:dyDescent="0.3">
      <c r="B350" s="5">
        <v>31929</v>
      </c>
      <c r="C350" s="4">
        <v>1987.4166666619799</v>
      </c>
      <c r="D350" t="s">
        <v>164</v>
      </c>
      <c r="E350">
        <v>1987</v>
      </c>
      <c r="F350">
        <v>6982</v>
      </c>
      <c r="G350" s="8">
        <f t="shared" si="10"/>
        <v>-0.10916974113647879</v>
      </c>
      <c r="H350" s="3">
        <f>STANDARDIZE(F350,K$13,L$13)</f>
        <v>-0.73442255899250108</v>
      </c>
    </row>
    <row r="351" spans="2:8" x14ac:dyDescent="0.3">
      <c r="B351" s="5">
        <v>31898</v>
      </c>
      <c r="C351" s="4">
        <v>1987.33333332862</v>
      </c>
      <c r="D351" t="s">
        <v>165</v>
      </c>
      <c r="E351">
        <v>1987</v>
      </c>
      <c r="F351">
        <v>6149</v>
      </c>
      <c r="G351" s="8">
        <f t="shared" si="10"/>
        <v>-0.42863447875946259</v>
      </c>
      <c r="H351" s="3">
        <f>STANDARDIZE(F351,K$12,L$12)</f>
        <v>-0.52133879673496464</v>
      </c>
    </row>
    <row r="352" spans="2:8" x14ac:dyDescent="0.3">
      <c r="B352" s="5">
        <v>31868</v>
      </c>
      <c r="C352" s="4">
        <v>1987.2499999952599</v>
      </c>
      <c r="D352" t="s">
        <v>167</v>
      </c>
      <c r="E352">
        <v>1987</v>
      </c>
      <c r="F352">
        <v>4451</v>
      </c>
      <c r="G352" s="8">
        <f t="shared" si="10"/>
        <v>-1.0798363088720995</v>
      </c>
      <c r="H352" s="3">
        <f>STANDARDIZE(F352,K$11,L$11)</f>
        <v>-0.41047808790335089</v>
      </c>
    </row>
    <row r="353" spans="2:8" x14ac:dyDescent="0.3">
      <c r="B353" s="5">
        <v>31837</v>
      </c>
      <c r="C353" s="4">
        <v>1987.1666666619001</v>
      </c>
      <c r="D353" t="s">
        <v>169</v>
      </c>
      <c r="E353">
        <v>1987</v>
      </c>
      <c r="F353">
        <v>4114</v>
      </c>
      <c r="G353" s="8">
        <f t="shared" si="10"/>
        <v>-1.2090795460617101</v>
      </c>
      <c r="H353" s="3">
        <f>STANDARDIZE(F353,K$10,L$10)</f>
        <v>-4.0873807071851918E-2</v>
      </c>
    </row>
    <row r="354" spans="2:8" x14ac:dyDescent="0.3">
      <c r="B354" s="5">
        <v>31809</v>
      </c>
      <c r="C354" s="4">
        <v>1987.08333332854</v>
      </c>
      <c r="D354" t="s">
        <v>171</v>
      </c>
      <c r="E354">
        <v>1987</v>
      </c>
      <c r="F354">
        <v>4222</v>
      </c>
      <c r="G354" s="8">
        <f t="shared" si="10"/>
        <v>-1.1676603483867014</v>
      </c>
      <c r="H354" s="3">
        <f>STANDARDIZE(F354,K$9,L$9)</f>
        <v>-0.2019939833448397</v>
      </c>
    </row>
    <row r="355" spans="2:8" x14ac:dyDescent="0.3">
      <c r="B355" s="5">
        <v>31778</v>
      </c>
      <c r="C355" s="4">
        <v>1986.9999999951799</v>
      </c>
      <c r="D355" t="s">
        <v>173</v>
      </c>
      <c r="E355">
        <v>1987</v>
      </c>
      <c r="F355">
        <v>5075</v>
      </c>
      <c r="G355" s="8">
        <f t="shared" si="10"/>
        <v>-0.8405253889720492</v>
      </c>
      <c r="H355" s="3">
        <f>STANDARDIZE(F355,K$8,L$8)</f>
        <v>-0.84256822887053662</v>
      </c>
    </row>
    <row r="356" spans="2:8" x14ac:dyDescent="0.3">
      <c r="B356" s="5">
        <v>31747</v>
      </c>
      <c r="C356" s="4">
        <v>1986.91666666182</v>
      </c>
      <c r="D356" t="s">
        <v>157</v>
      </c>
      <c r="E356">
        <v>1986</v>
      </c>
      <c r="F356">
        <v>9594</v>
      </c>
      <c r="G356" s="8">
        <f t="shared" si="10"/>
        <v>0.89256122485539846</v>
      </c>
      <c r="H356" s="3">
        <f>STANDARDIZE(F356,K$19,L$19)</f>
        <v>-0.10307290021806557</v>
      </c>
    </row>
    <row r="357" spans="2:8" x14ac:dyDescent="0.3">
      <c r="B357" s="5">
        <v>31717</v>
      </c>
      <c r="C357" s="4">
        <v>1986.83333332846</v>
      </c>
      <c r="D357" t="s">
        <v>158</v>
      </c>
      <c r="E357">
        <v>1986</v>
      </c>
      <c r="F357">
        <v>10628</v>
      </c>
      <c r="G357" s="8">
        <f t="shared" si="10"/>
        <v>1.2891116914846485</v>
      </c>
      <c r="H357" s="3">
        <f>STANDARDIZE(F357,K$18,L$18)</f>
        <v>0.27259666528339321</v>
      </c>
    </row>
    <row r="358" spans="2:8" x14ac:dyDescent="0.3">
      <c r="B358" s="5">
        <v>31686</v>
      </c>
      <c r="C358" s="4">
        <v>1986.7499999951001</v>
      </c>
      <c r="D358" t="s">
        <v>160</v>
      </c>
      <c r="E358">
        <v>1986</v>
      </c>
      <c r="F358">
        <v>8391</v>
      </c>
      <c r="G358" s="8">
        <f t="shared" si="10"/>
        <v>0.43119738408655151</v>
      </c>
      <c r="H358" s="3">
        <f>STANDARDIZE(F358,K$17,L$17)</f>
        <v>-0.10317359559483927</v>
      </c>
    </row>
    <row r="359" spans="2:8" x14ac:dyDescent="0.3">
      <c r="B359" s="5">
        <v>31656</v>
      </c>
      <c r="C359" s="4">
        <v>1986.66666666174</v>
      </c>
      <c r="D359" t="s">
        <v>161</v>
      </c>
      <c r="E359">
        <v>1986</v>
      </c>
      <c r="F359">
        <v>6190</v>
      </c>
      <c r="G359" s="8">
        <f t="shared" si="10"/>
        <v>-0.41291052408654266</v>
      </c>
      <c r="H359" s="3">
        <f>STANDARDIZE(F359,K$16,L$16)</f>
        <v>-0.69834224476603157</v>
      </c>
    </row>
    <row r="360" spans="2:8" x14ac:dyDescent="0.3">
      <c r="B360" s="5">
        <v>31625</v>
      </c>
      <c r="C360" s="4">
        <v>1986.5833333283799</v>
      </c>
      <c r="D360" t="s">
        <v>162</v>
      </c>
      <c r="E360">
        <v>1986</v>
      </c>
      <c r="F360">
        <v>6205</v>
      </c>
      <c r="G360" s="8">
        <f t="shared" si="10"/>
        <v>-0.40715785774279145</v>
      </c>
      <c r="H360" s="3">
        <f>STANDARDIZE(F360,K$15,L$15)</f>
        <v>-0.60871835920527351</v>
      </c>
    </row>
    <row r="361" spans="2:8" x14ac:dyDescent="0.3">
      <c r="B361" s="5">
        <v>31594</v>
      </c>
      <c r="C361" s="4">
        <v>1986.4999999950201</v>
      </c>
      <c r="D361" t="s">
        <v>163</v>
      </c>
      <c r="E361">
        <v>1986</v>
      </c>
      <c r="F361">
        <v>8717</v>
      </c>
      <c r="G361" s="8">
        <f t="shared" si="10"/>
        <v>0.55622199929074445</v>
      </c>
      <c r="H361" s="3">
        <f>STANDARDIZE(F361,K$14,L$14)</f>
        <v>0.32760987875101777</v>
      </c>
    </row>
    <row r="362" spans="2:8" x14ac:dyDescent="0.3">
      <c r="B362" s="5">
        <v>31564</v>
      </c>
      <c r="C362" s="4">
        <v>1986.41666666166</v>
      </c>
      <c r="D362" t="s">
        <v>164</v>
      </c>
      <c r="E362">
        <v>1986</v>
      </c>
      <c r="F362">
        <v>9229</v>
      </c>
      <c r="G362" s="8">
        <f t="shared" si="10"/>
        <v>0.75257967715745244</v>
      </c>
      <c r="H362" s="3">
        <f>STANDARDIZE(F362,K$13,L$13)</f>
        <v>0.59536602953940709</v>
      </c>
    </row>
    <row r="363" spans="2:8" x14ac:dyDescent="0.3">
      <c r="B363" s="5">
        <v>31533</v>
      </c>
      <c r="C363" s="4">
        <v>1986.3333333282999</v>
      </c>
      <c r="D363" t="s">
        <v>165</v>
      </c>
      <c r="E363">
        <v>1986</v>
      </c>
      <c r="F363">
        <v>8347</v>
      </c>
      <c r="G363" s="8">
        <f t="shared" si="10"/>
        <v>0.41432289614488127</v>
      </c>
      <c r="H363" s="3">
        <f>STANDARDIZE(F363,K$12,L$12)</f>
        <v>0.98922857428282873</v>
      </c>
    </row>
    <row r="364" spans="2:8" x14ac:dyDescent="0.3">
      <c r="B364" s="5">
        <v>31503</v>
      </c>
      <c r="C364" s="4">
        <v>1986.24999999494</v>
      </c>
      <c r="D364" t="s">
        <v>167</v>
      </c>
      <c r="E364">
        <v>1986</v>
      </c>
      <c r="F364">
        <v>6552</v>
      </c>
      <c r="G364" s="8">
        <f t="shared" si="10"/>
        <v>-0.27407950965734679</v>
      </c>
      <c r="H364" s="3">
        <f>STANDARDIZE(F364,K$11,L$11)</f>
        <v>1.1902687071134113</v>
      </c>
    </row>
    <row r="365" spans="2:8" x14ac:dyDescent="0.3">
      <c r="B365" s="5">
        <v>31472</v>
      </c>
      <c r="C365" s="4">
        <v>1986.1666666615799</v>
      </c>
      <c r="D365" t="s">
        <v>169</v>
      </c>
      <c r="E365">
        <v>1986</v>
      </c>
      <c r="F365">
        <v>5667</v>
      </c>
      <c r="G365" s="8">
        <f t="shared" si="10"/>
        <v>-0.61348682393866816</v>
      </c>
      <c r="H365" s="3">
        <f>STANDARDIZE(F365,K$10,L$10)</f>
        <v>1.0680418830421485</v>
      </c>
    </row>
    <row r="366" spans="2:8" x14ac:dyDescent="0.3">
      <c r="B366" s="5">
        <v>31444</v>
      </c>
      <c r="C366" s="4">
        <v>1986.0833333282201</v>
      </c>
      <c r="D366" t="s">
        <v>171</v>
      </c>
      <c r="E366">
        <v>1986</v>
      </c>
      <c r="F366">
        <v>5097</v>
      </c>
      <c r="G366" s="8">
        <f t="shared" si="10"/>
        <v>-0.83208814500121409</v>
      </c>
      <c r="H366" s="3">
        <f>STANDARDIZE(F366,K$9,L$9)</f>
        <v>0.35214370788904509</v>
      </c>
    </row>
    <row r="367" spans="2:8" x14ac:dyDescent="0.3">
      <c r="B367" s="5">
        <v>31413</v>
      </c>
      <c r="C367" s="4">
        <v>1985.99999999486</v>
      </c>
      <c r="D367" t="s">
        <v>173</v>
      </c>
      <c r="E367">
        <v>1986</v>
      </c>
      <c r="F367">
        <v>6525</v>
      </c>
      <c r="G367" s="8">
        <f t="shared" si="10"/>
        <v>-0.28443430907609896</v>
      </c>
      <c r="H367" s="3">
        <f>STANDARDIZE(F367,K$8,L$8)</f>
        <v>-0.20954567803476015</v>
      </c>
    </row>
    <row r="368" spans="2:8" x14ac:dyDescent="0.3">
      <c r="B368" s="5">
        <v>31382</v>
      </c>
      <c r="C368" s="4">
        <v>1985.9166666614999</v>
      </c>
      <c r="D368" t="s">
        <v>157</v>
      </c>
      <c r="E368">
        <v>1985</v>
      </c>
      <c r="F368">
        <v>9753</v>
      </c>
      <c r="G368" s="8">
        <f t="shared" si="10"/>
        <v>0.95353948809916134</v>
      </c>
      <c r="H368" s="3">
        <f>STANDARDIZE(F368,K$19,L$19)</f>
        <v>-4.8143869968312485E-2</v>
      </c>
    </row>
    <row r="369" spans="2:8" x14ac:dyDescent="0.3">
      <c r="B369" s="5">
        <v>31352</v>
      </c>
      <c r="C369" s="4">
        <v>1985.83333332814</v>
      </c>
      <c r="D369" t="s">
        <v>158</v>
      </c>
      <c r="E369">
        <v>1985</v>
      </c>
      <c r="F369">
        <v>9907</v>
      </c>
      <c r="G369" s="8">
        <f t="shared" si="10"/>
        <v>1.012600195895007</v>
      </c>
      <c r="H369" s="3">
        <f>STANDARDIZE(F369,K$18,L$18)</f>
        <v>-1.6701843085849923E-3</v>
      </c>
    </row>
    <row r="370" spans="2:8" x14ac:dyDescent="0.3">
      <c r="B370" s="5">
        <v>31321</v>
      </c>
      <c r="C370" s="4">
        <v>1985.74999999478</v>
      </c>
      <c r="D370" t="s">
        <v>160</v>
      </c>
      <c r="E370">
        <v>1985</v>
      </c>
      <c r="F370">
        <v>9087</v>
      </c>
      <c r="G370" s="8">
        <f t="shared" si="10"/>
        <v>0.69812110243660763</v>
      </c>
      <c r="H370" s="3">
        <f>STANDARDIZE(F370,K$17,L$17)</f>
        <v>0.24990561823549182</v>
      </c>
    </row>
    <row r="371" spans="2:8" x14ac:dyDescent="0.3">
      <c r="B371" s="5">
        <v>31291</v>
      </c>
      <c r="C371" s="4">
        <v>1985.6666666614201</v>
      </c>
      <c r="D371" t="s">
        <v>161</v>
      </c>
      <c r="E371">
        <v>1985</v>
      </c>
      <c r="F371">
        <v>7842</v>
      </c>
      <c r="G371" s="8">
        <f t="shared" si="10"/>
        <v>0.22064979590525724</v>
      </c>
      <c r="H371" s="3">
        <f>STANDARDIZE(F371,K$16,L$16)</f>
        <v>0.10115429157310109</v>
      </c>
    </row>
    <row r="372" spans="2:8" x14ac:dyDescent="0.3">
      <c r="B372" s="5">
        <v>31260</v>
      </c>
      <c r="C372" s="4">
        <v>1985.58333332806</v>
      </c>
      <c r="D372" t="s">
        <v>162</v>
      </c>
      <c r="E372">
        <v>1985</v>
      </c>
      <c r="F372">
        <v>6058</v>
      </c>
      <c r="G372" s="8">
        <f t="shared" si="10"/>
        <v>-0.46353398791155331</v>
      </c>
      <c r="H372" s="3">
        <f>STANDARDIZE(F372,K$15,L$15)</f>
        <v>-0.68066204862784618</v>
      </c>
    </row>
    <row r="373" spans="2:8" x14ac:dyDescent="0.3">
      <c r="B373" s="5">
        <v>31229</v>
      </c>
      <c r="C373" s="4">
        <v>1985.4999999946999</v>
      </c>
      <c r="D373" t="s">
        <v>163</v>
      </c>
      <c r="E373">
        <v>1985</v>
      </c>
      <c r="F373">
        <v>4730</v>
      </c>
      <c r="G373" s="8">
        <f t="shared" si="10"/>
        <v>-0.97283671487832701</v>
      </c>
      <c r="H373" s="3">
        <f>STANDARDIZE(F373,K$14,L$14)</f>
        <v>-1.6080807695851664</v>
      </c>
    </row>
    <row r="374" spans="2:8" x14ac:dyDescent="0.3">
      <c r="B374" s="5">
        <v>31199</v>
      </c>
      <c r="C374" s="4">
        <v>1985.4166666613401</v>
      </c>
      <c r="D374" t="s">
        <v>164</v>
      </c>
      <c r="E374">
        <v>1985</v>
      </c>
      <c r="F374">
        <v>6206</v>
      </c>
      <c r="G374" s="8">
        <f t="shared" si="10"/>
        <v>-0.406774346653208</v>
      </c>
      <c r="H374" s="3">
        <f>STANDARDIZE(F374,K$13,L$13)</f>
        <v>-1.1936641899229687</v>
      </c>
    </row>
    <row r="375" spans="2:8" x14ac:dyDescent="0.3">
      <c r="B375" s="5">
        <v>31168</v>
      </c>
      <c r="C375" s="4">
        <v>1985.33333332798</v>
      </c>
      <c r="D375" t="s">
        <v>165</v>
      </c>
      <c r="E375">
        <v>1985</v>
      </c>
      <c r="F375">
        <v>5521</v>
      </c>
      <c r="G375" s="8">
        <f t="shared" si="10"/>
        <v>-0.66947944301784656</v>
      </c>
      <c r="H375" s="3">
        <f>STANDARDIZE(F375,K$12,L$12)</f>
        <v>-0.95292947416861995</v>
      </c>
    </row>
    <row r="376" spans="2:8" x14ac:dyDescent="0.3">
      <c r="B376" s="5">
        <v>31138</v>
      </c>
      <c r="C376" s="4">
        <v>1985.2499999946201</v>
      </c>
      <c r="D376" t="s">
        <v>167</v>
      </c>
      <c r="E376">
        <v>1985</v>
      </c>
      <c r="F376">
        <v>3974</v>
      </c>
      <c r="G376" s="8">
        <f t="shared" si="10"/>
        <v>-1.262771098603388</v>
      </c>
      <c r="H376" s="3">
        <f>STANDARDIZE(F376,K$11,L$11)</f>
        <v>-0.77390322889478136</v>
      </c>
    </row>
    <row r="377" spans="2:8" x14ac:dyDescent="0.3">
      <c r="B377" s="5">
        <v>31107</v>
      </c>
      <c r="C377" s="4">
        <v>1985.16666666126</v>
      </c>
      <c r="D377" t="s">
        <v>169</v>
      </c>
      <c r="E377">
        <v>1985</v>
      </c>
      <c r="F377">
        <v>3001</v>
      </c>
      <c r="G377" s="8">
        <f t="shared" si="10"/>
        <v>-1.6359273887680499</v>
      </c>
      <c r="H377" s="3">
        <f>STANDARDIZE(F377,K$10,L$10)</f>
        <v>-0.83560861911105511</v>
      </c>
    </row>
    <row r="378" spans="2:8" x14ac:dyDescent="0.3">
      <c r="B378" s="5">
        <v>31079</v>
      </c>
      <c r="C378" s="4">
        <v>1985.0833333278999</v>
      </c>
      <c r="D378" t="s">
        <v>171</v>
      </c>
      <c r="E378">
        <v>1985</v>
      </c>
      <c r="F378">
        <v>3917</v>
      </c>
      <c r="G378" s="8">
        <f t="shared" si="10"/>
        <v>-1.2846312307096426</v>
      </c>
      <c r="H378" s="3">
        <f>STANDARDIZE(F378,K$9,L$9)</f>
        <v>-0.39515055000350813</v>
      </c>
    </row>
    <row r="379" spans="2:8" x14ac:dyDescent="0.3">
      <c r="B379" s="5">
        <v>31048</v>
      </c>
      <c r="C379" s="4">
        <v>1984.9999999945401</v>
      </c>
      <c r="D379" t="s">
        <v>173</v>
      </c>
      <c r="E379">
        <v>1985</v>
      </c>
      <c r="F379">
        <v>7954</v>
      </c>
      <c r="G379" s="8">
        <f t="shared" si="10"/>
        <v>0.26360303793859957</v>
      </c>
      <c r="H379" s="3">
        <f>STANDARDIZE(F379,K$8,L$8)</f>
        <v>0.41430895999580858</v>
      </c>
    </row>
    <row r="380" spans="2:8" x14ac:dyDescent="0.3">
      <c r="B380" s="5">
        <v>31017</v>
      </c>
      <c r="C380" s="4">
        <v>1984.91666666118</v>
      </c>
      <c r="D380" t="s">
        <v>157</v>
      </c>
      <c r="E380">
        <v>1984</v>
      </c>
      <c r="F380">
        <v>12508</v>
      </c>
      <c r="G380" s="8">
        <f t="shared" si="10"/>
        <v>2.010112539901467</v>
      </c>
      <c r="H380" s="3">
        <f>STANDARDIZE(F380,K$19,L$19)</f>
        <v>0.90361385542835271</v>
      </c>
    </row>
    <row r="381" spans="2:8" x14ac:dyDescent="0.3">
      <c r="B381" s="5">
        <v>30987</v>
      </c>
      <c r="C381" s="4">
        <v>1984.8333333278199</v>
      </c>
      <c r="D381" t="s">
        <v>158</v>
      </c>
      <c r="E381">
        <v>1984</v>
      </c>
      <c r="F381">
        <v>12762</v>
      </c>
      <c r="G381" s="8">
        <f t="shared" si="10"/>
        <v>2.1075243566556541</v>
      </c>
      <c r="H381" s="3">
        <f>STANDARDIZE(F381,K$18,L$18)</f>
        <v>1.084365676419706</v>
      </c>
    </row>
    <row r="382" spans="2:8" x14ac:dyDescent="0.3">
      <c r="B382" s="5">
        <v>30956</v>
      </c>
      <c r="C382" s="4">
        <v>1984.74999999446</v>
      </c>
      <c r="D382" t="s">
        <v>160</v>
      </c>
      <c r="E382">
        <v>1984</v>
      </c>
      <c r="F382">
        <v>11298</v>
      </c>
      <c r="G382" s="8">
        <f t="shared" si="10"/>
        <v>1.546064121505536</v>
      </c>
      <c r="H382" s="3">
        <f>STANDARDIZE(F382,K$17,L$17)</f>
        <v>1.3715408794120176</v>
      </c>
    </row>
    <row r="383" spans="2:8" x14ac:dyDescent="0.3">
      <c r="B383" s="5">
        <v>30926</v>
      </c>
      <c r="C383" s="4">
        <v>1984.6666666611</v>
      </c>
      <c r="D383" t="s">
        <v>161</v>
      </c>
      <c r="E383">
        <v>1984</v>
      </c>
      <c r="F383">
        <v>10112</v>
      </c>
      <c r="G383" s="8">
        <f t="shared" si="10"/>
        <v>1.091219969259607</v>
      </c>
      <c r="H383" s="3">
        <f>STANDARDIZE(F383,K$16,L$16)</f>
        <v>1.1997360939277204</v>
      </c>
    </row>
    <row r="384" spans="2:8" x14ac:dyDescent="0.3">
      <c r="B384" s="5">
        <v>30895</v>
      </c>
      <c r="C384" s="4">
        <v>1984.5833333277401</v>
      </c>
      <c r="D384" t="s">
        <v>162</v>
      </c>
      <c r="E384">
        <v>1984</v>
      </c>
      <c r="F384">
        <v>10415</v>
      </c>
      <c r="G384" s="8">
        <f t="shared" si="10"/>
        <v>1.2074238294033814</v>
      </c>
      <c r="H384" s="3">
        <f>STANDARDIZE(F384,K$15,L$15)</f>
        <v>1.4517097528289495</v>
      </c>
    </row>
    <row r="385" spans="2:8" x14ac:dyDescent="0.3">
      <c r="B385" s="5">
        <v>30864</v>
      </c>
      <c r="C385" s="4">
        <v>1984.49999999438</v>
      </c>
      <c r="D385" t="s">
        <v>163</v>
      </c>
      <c r="E385">
        <v>1984</v>
      </c>
      <c r="F385">
        <v>10403</v>
      </c>
      <c r="G385" s="8">
        <f t="shared" si="10"/>
        <v>1.2028216963283804</v>
      </c>
      <c r="H385" s="3">
        <f>STANDARDIZE(F385,K$14,L$14)</f>
        <v>1.1461637872272672</v>
      </c>
    </row>
    <row r="386" spans="2:8" x14ac:dyDescent="0.3">
      <c r="B386" s="5">
        <v>30834</v>
      </c>
      <c r="C386" s="4">
        <v>1984.4166666610199</v>
      </c>
      <c r="D386" t="s">
        <v>164</v>
      </c>
      <c r="E386">
        <v>1984</v>
      </c>
      <c r="F386">
        <v>9164</v>
      </c>
      <c r="G386" s="8">
        <f t="shared" si="10"/>
        <v>0.72765145633453054</v>
      </c>
      <c r="H386" s="3">
        <f>STANDARDIZE(F386,K$13,L$13)</f>
        <v>0.55689862488672615</v>
      </c>
    </row>
    <row r="387" spans="2:8" x14ac:dyDescent="0.3">
      <c r="B387" s="5">
        <v>30803</v>
      </c>
      <c r="C387" s="4">
        <v>1984.3333333276601</v>
      </c>
      <c r="D387" t="s">
        <v>165</v>
      </c>
      <c r="E387">
        <v>1984</v>
      </c>
      <c r="F387">
        <v>6784</v>
      </c>
      <c r="G387" s="8">
        <f t="shared" si="10"/>
        <v>-0.18510493687399474</v>
      </c>
      <c r="H387" s="3">
        <f>STANDARDIZE(F387,K$12,L$12)</f>
        <v>-8.4937395189787768E-2</v>
      </c>
    </row>
    <row r="388" spans="2:8" x14ac:dyDescent="0.3">
      <c r="B388" s="5">
        <v>30773</v>
      </c>
      <c r="C388" s="4">
        <v>1984.2499999943</v>
      </c>
      <c r="D388" t="s">
        <v>167</v>
      </c>
      <c r="E388">
        <v>1984</v>
      </c>
      <c r="F388">
        <v>4613</v>
      </c>
      <c r="G388" s="8">
        <f t="shared" si="10"/>
        <v>-1.0177075123595865</v>
      </c>
      <c r="H388" s="3">
        <f>STANDARDIZE(F388,K$11,L$11)</f>
        <v>-0.28705068152890278</v>
      </c>
    </row>
    <row r="389" spans="2:8" x14ac:dyDescent="0.3">
      <c r="B389" s="5">
        <v>30742</v>
      </c>
      <c r="C389" s="4">
        <v>1984.1666666609401</v>
      </c>
      <c r="D389" t="s">
        <v>169</v>
      </c>
      <c r="E389">
        <v>1984</v>
      </c>
      <c r="F389">
        <v>5016</v>
      </c>
      <c r="G389" s="8">
        <f t="shared" si="10"/>
        <v>-0.86315254325747059</v>
      </c>
      <c r="H389" s="3">
        <f>STANDARDIZE(F389,K$10,L$10)</f>
        <v>0.60319699298148255</v>
      </c>
    </row>
    <row r="390" spans="2:8" x14ac:dyDescent="0.3">
      <c r="B390" s="5">
        <v>30713</v>
      </c>
      <c r="C390" s="4">
        <v>1984.08333332758</v>
      </c>
      <c r="D390" t="s">
        <v>171</v>
      </c>
      <c r="E390">
        <v>1984</v>
      </c>
      <c r="F390">
        <v>5769</v>
      </c>
      <c r="G390" s="8">
        <f t="shared" si="10"/>
        <v>-0.57436869280115987</v>
      </c>
      <c r="H390" s="3">
        <f>STANDARDIZE(F390,K$9,L$9)</f>
        <v>0.77772145475666854</v>
      </c>
    </row>
    <row r="391" spans="2:8" x14ac:dyDescent="0.3">
      <c r="B391" s="5">
        <v>30682</v>
      </c>
      <c r="C391" s="4">
        <v>1983.9999999942199</v>
      </c>
      <c r="D391" t="s">
        <v>173</v>
      </c>
      <c r="E391">
        <v>1984</v>
      </c>
      <c r="F391">
        <v>7046</v>
      </c>
      <c r="G391" s="8">
        <f t="shared" si="10"/>
        <v>-8.4625031403140288E-2</v>
      </c>
      <c r="H391" s="3">
        <f>STANDARDIZE(F391,K$8,L$8)</f>
        <v>1.7905872989680934E-2</v>
      </c>
    </row>
    <row r="392" spans="2:8" x14ac:dyDescent="0.3">
      <c r="B392" s="5">
        <v>30651</v>
      </c>
      <c r="C392" s="4">
        <v>1983.9166666608601</v>
      </c>
      <c r="D392" t="s">
        <v>157</v>
      </c>
      <c r="E392">
        <v>1983</v>
      </c>
      <c r="F392">
        <v>7490</v>
      </c>
      <c r="G392" s="8">
        <f t="shared" ref="G392:G455" si="11">STANDARDIZE(F392,F$4,F$5)</f>
        <v>8.565389237189551E-2</v>
      </c>
      <c r="H392" s="3">
        <f>STANDARDIZE(F392,K$19,L$19)</f>
        <v>-0.82993252062989264</v>
      </c>
    </row>
    <row r="393" spans="2:8" x14ac:dyDescent="0.3">
      <c r="B393" s="5">
        <v>30621</v>
      </c>
      <c r="C393" s="4">
        <v>1983.8333333275</v>
      </c>
      <c r="D393" t="s">
        <v>158</v>
      </c>
      <c r="E393">
        <v>1983</v>
      </c>
      <c r="F393">
        <v>8007</v>
      </c>
      <c r="G393" s="8">
        <f t="shared" si="11"/>
        <v>0.28392912568652051</v>
      </c>
      <c r="H393" s="3">
        <f>STANDARDIZE(F393,K$18,L$18)</f>
        <v>-0.7244260986286386</v>
      </c>
    </row>
    <row r="394" spans="2:8" x14ac:dyDescent="0.3">
      <c r="B394" s="5">
        <v>30590</v>
      </c>
      <c r="C394" s="4">
        <v>1983.7499999941399</v>
      </c>
      <c r="D394" t="s">
        <v>160</v>
      </c>
      <c r="E394">
        <v>1983</v>
      </c>
      <c r="F394">
        <v>7230</v>
      </c>
      <c r="G394" s="8">
        <f t="shared" si="11"/>
        <v>-1.4058990919792116E-2</v>
      </c>
      <c r="H394" s="3">
        <f>STANDARDIZE(F394,K$17,L$17)</f>
        <v>-0.69214624969974492</v>
      </c>
    </row>
    <row r="395" spans="2:8" x14ac:dyDescent="0.3">
      <c r="B395" s="5">
        <v>30560</v>
      </c>
      <c r="C395" s="4">
        <v>1983.66666666078</v>
      </c>
      <c r="D395" t="s">
        <v>161</v>
      </c>
      <c r="E395">
        <v>1983</v>
      </c>
      <c r="F395">
        <v>6475</v>
      </c>
      <c r="G395" s="8">
        <f t="shared" si="11"/>
        <v>-0.30360986355526964</v>
      </c>
      <c r="H395" s="3">
        <f>STANDARDIZE(F395,K$16,L$16)</f>
        <v>-0.56041457354529745</v>
      </c>
    </row>
    <row r="396" spans="2:8" x14ac:dyDescent="0.3">
      <c r="B396" s="5">
        <v>30529</v>
      </c>
      <c r="C396" s="4">
        <v>1983.58333332742</v>
      </c>
      <c r="D396" t="s">
        <v>162</v>
      </c>
      <c r="E396">
        <v>1983</v>
      </c>
      <c r="F396">
        <v>5830</v>
      </c>
      <c r="G396" s="8">
        <f t="shared" si="11"/>
        <v>-0.55097451633657168</v>
      </c>
      <c r="H396" s="3">
        <f>STANDARDIZE(F396,K$15,L$15)</f>
        <v>-0.79224817916081591</v>
      </c>
    </row>
    <row r="397" spans="2:8" x14ac:dyDescent="0.3">
      <c r="B397" s="5">
        <v>30498</v>
      </c>
      <c r="C397" s="4">
        <v>1983.4999999940601</v>
      </c>
      <c r="D397" t="s">
        <v>163</v>
      </c>
      <c r="E397">
        <v>1983</v>
      </c>
      <c r="F397">
        <v>6361</v>
      </c>
      <c r="G397" s="8">
        <f t="shared" si="11"/>
        <v>-0.34733012776777883</v>
      </c>
      <c r="H397" s="3">
        <f>STANDARDIZE(F397,K$14,L$14)</f>
        <v>-0.81622939074485623</v>
      </c>
    </row>
    <row r="398" spans="2:8" x14ac:dyDescent="0.3">
      <c r="B398" s="5">
        <v>30468</v>
      </c>
      <c r="C398" s="4">
        <v>1983.4166666607</v>
      </c>
      <c r="D398" t="s">
        <v>164</v>
      </c>
      <c r="E398">
        <v>1983</v>
      </c>
      <c r="F398">
        <v>8204</v>
      </c>
      <c r="G398" s="8">
        <f t="shared" si="11"/>
        <v>0.35948081033445306</v>
      </c>
      <c r="H398" s="3">
        <f>STANDARDIZE(F398,K$13,L$13)</f>
        <v>-1.1235351522099785E-2</v>
      </c>
    </row>
    <row r="399" spans="2:8" x14ac:dyDescent="0.3">
      <c r="B399" s="5">
        <v>30437</v>
      </c>
      <c r="C399" s="4">
        <v>1983.3333333273399</v>
      </c>
      <c r="D399" t="s">
        <v>165</v>
      </c>
      <c r="E399">
        <v>1983</v>
      </c>
      <c r="F399">
        <v>7320</v>
      </c>
      <c r="G399" s="8">
        <f t="shared" si="11"/>
        <v>2.0457007142715141E-2</v>
      </c>
      <c r="H399" s="3">
        <f>STANDARDIZE(F399,K$12,L$12)</f>
        <v>0.28342662249244027</v>
      </c>
    </row>
    <row r="400" spans="2:8" x14ac:dyDescent="0.3">
      <c r="B400" s="5">
        <v>30407</v>
      </c>
      <c r="C400" s="4">
        <v>1983.2499999939801</v>
      </c>
      <c r="D400" t="s">
        <v>167</v>
      </c>
      <c r="E400">
        <v>1983</v>
      </c>
      <c r="F400">
        <v>4473</v>
      </c>
      <c r="G400" s="8">
        <f t="shared" si="11"/>
        <v>-1.0713990649012644</v>
      </c>
      <c r="H400" s="3">
        <f>STANDARDIZE(F400,K$11,L$11)</f>
        <v>-0.39371634135867273</v>
      </c>
    </row>
    <row r="401" spans="2:8" x14ac:dyDescent="0.3">
      <c r="B401" s="5">
        <v>30376</v>
      </c>
      <c r="C401" s="4">
        <v>1983.16666666062</v>
      </c>
      <c r="D401" t="s">
        <v>169</v>
      </c>
      <c r="E401">
        <v>1983</v>
      </c>
      <c r="F401">
        <v>2714</v>
      </c>
      <c r="G401" s="8">
        <f t="shared" si="11"/>
        <v>-1.7459950714784895</v>
      </c>
      <c r="H401" s="3">
        <f>STANDARDIZE(F401,K$10,L$10)</f>
        <v>-1.0405402373098434</v>
      </c>
    </row>
    <row r="402" spans="2:8" x14ac:dyDescent="0.3">
      <c r="B402" s="5">
        <v>30348</v>
      </c>
      <c r="C402" s="4">
        <v>1983.0833333272601</v>
      </c>
      <c r="D402" t="s">
        <v>171</v>
      </c>
      <c r="E402">
        <v>1983</v>
      </c>
      <c r="F402">
        <v>2490</v>
      </c>
      <c r="G402" s="8">
        <f t="shared" si="11"/>
        <v>-1.8319015555451743</v>
      </c>
      <c r="H402" s="3">
        <f>STANDARDIZE(F402,K$9,L$9)</f>
        <v>-1.298869961878655</v>
      </c>
    </row>
    <row r="403" spans="2:8" x14ac:dyDescent="0.3">
      <c r="B403" s="5">
        <v>30317</v>
      </c>
      <c r="C403" s="4">
        <v>1982.9999999939</v>
      </c>
      <c r="D403" t="s">
        <v>173</v>
      </c>
      <c r="E403">
        <v>1983</v>
      </c>
      <c r="F403">
        <v>4439</v>
      </c>
      <c r="G403" s="8">
        <f t="shared" si="11"/>
        <v>-1.0844384419471005</v>
      </c>
      <c r="H403" s="3">
        <f>STANDARDIZE(F403,K$8,L$8)</f>
        <v>-1.1202250166854013</v>
      </c>
    </row>
    <row r="404" spans="2:8" x14ac:dyDescent="0.3">
      <c r="B404" s="5">
        <v>30286</v>
      </c>
      <c r="C404" s="4">
        <v>1982.9166666605399</v>
      </c>
      <c r="D404" t="s">
        <v>157</v>
      </c>
      <c r="E404">
        <v>1982</v>
      </c>
      <c r="F404">
        <v>7576</v>
      </c>
      <c r="G404" s="8">
        <f t="shared" si="11"/>
        <v>0.11863584607606911</v>
      </c>
      <c r="H404" s="3">
        <f>STANDARDIZE(F404,K$19,L$19)</f>
        <v>-0.80022247911115829</v>
      </c>
    </row>
    <row r="405" spans="2:8" x14ac:dyDescent="0.3">
      <c r="B405" s="5">
        <v>30256</v>
      </c>
      <c r="C405" s="4">
        <v>1982.8333333271801</v>
      </c>
      <c r="D405" t="s">
        <v>158</v>
      </c>
      <c r="E405">
        <v>1982</v>
      </c>
      <c r="F405">
        <v>9399</v>
      </c>
      <c r="G405" s="8">
        <f t="shared" si="11"/>
        <v>0.81777656238663277</v>
      </c>
      <c r="H405" s="3">
        <f>STANDARDIZE(F405,K$18,L$18)</f>
        <v>-0.1949122919267888</v>
      </c>
    </row>
    <row r="406" spans="2:8" x14ac:dyDescent="0.3">
      <c r="B406" s="5">
        <v>30225</v>
      </c>
      <c r="C406" s="4">
        <v>1982.74999999382</v>
      </c>
      <c r="D406" t="s">
        <v>160</v>
      </c>
      <c r="E406">
        <v>1982</v>
      </c>
      <c r="F406">
        <v>7715</v>
      </c>
      <c r="G406" s="8">
        <f t="shared" si="11"/>
        <v>0.17194388752816367</v>
      </c>
      <c r="H406" s="3">
        <f>STANDARDIZE(F406,K$17,L$17)</f>
        <v>-0.44610685500475855</v>
      </c>
    </row>
    <row r="407" spans="2:8" x14ac:dyDescent="0.3">
      <c r="B407" s="5">
        <v>30195</v>
      </c>
      <c r="C407" s="4">
        <v>1982.6666666604599</v>
      </c>
      <c r="D407" t="s">
        <v>161</v>
      </c>
      <c r="E407">
        <v>1982</v>
      </c>
      <c r="F407">
        <v>6023</v>
      </c>
      <c r="G407" s="8">
        <f t="shared" si="11"/>
        <v>-0.47695687604697279</v>
      </c>
      <c r="H407" s="3">
        <f>STANDARDIZE(F407,K$16,L$16)</f>
        <v>-0.77916302053397046</v>
      </c>
    </row>
    <row r="408" spans="2:8" x14ac:dyDescent="0.3">
      <c r="B408" s="5">
        <v>30164</v>
      </c>
      <c r="C408" s="4">
        <v>1982.5833333271</v>
      </c>
      <c r="D408" t="s">
        <v>162</v>
      </c>
      <c r="E408">
        <v>1982</v>
      </c>
      <c r="F408">
        <v>6893</v>
      </c>
      <c r="G408" s="8">
        <f t="shared" si="11"/>
        <v>-0.14330222810940263</v>
      </c>
      <c r="H408" s="3">
        <f>STANDARDIZE(F408,K$15,L$15)</f>
        <v>-0.27200231619350501</v>
      </c>
    </row>
    <row r="409" spans="2:8" x14ac:dyDescent="0.3">
      <c r="B409" s="5">
        <v>30133</v>
      </c>
      <c r="C409" s="4">
        <v>1982.4999999937399</v>
      </c>
      <c r="D409" t="s">
        <v>163</v>
      </c>
      <c r="E409">
        <v>1982</v>
      </c>
      <c r="F409">
        <v>9569</v>
      </c>
      <c r="G409" s="8">
        <f t="shared" si="11"/>
        <v>0.8829734476158132</v>
      </c>
      <c r="H409" s="3">
        <f>STANDARDIZE(F409,K$14,L$14)</f>
        <v>0.74125633783865985</v>
      </c>
    </row>
    <row r="410" spans="2:8" x14ac:dyDescent="0.3">
      <c r="B410" s="5">
        <v>30103</v>
      </c>
      <c r="C410" s="4">
        <v>1982.4166666603801</v>
      </c>
      <c r="D410" t="s">
        <v>164</v>
      </c>
      <c r="E410">
        <v>1982</v>
      </c>
      <c r="F410">
        <v>11092</v>
      </c>
      <c r="G410" s="8">
        <f t="shared" si="11"/>
        <v>1.4670608370513527</v>
      </c>
      <c r="H410" s="3">
        <f>STANDARDIZE(F410,K$13,L$13)</f>
        <v>1.6979010275077848</v>
      </c>
    </row>
    <row r="411" spans="2:8" x14ac:dyDescent="0.3">
      <c r="B411" s="5">
        <v>30072</v>
      </c>
      <c r="C411" s="4">
        <v>1982.33333332702</v>
      </c>
      <c r="D411" t="s">
        <v>165</v>
      </c>
      <c r="E411">
        <v>1982</v>
      </c>
      <c r="F411">
        <v>9027</v>
      </c>
      <c r="G411" s="8">
        <f t="shared" si="11"/>
        <v>0.67511043706160279</v>
      </c>
      <c r="H411" s="3">
        <f>STANDARDIZE(F411,K$12,L$12)</f>
        <v>1.4565560594020732</v>
      </c>
    </row>
    <row r="412" spans="2:8" x14ac:dyDescent="0.3">
      <c r="B412" s="5">
        <v>30042</v>
      </c>
      <c r="C412" s="4">
        <v>1982.2499999936599</v>
      </c>
      <c r="D412" t="s">
        <v>167</v>
      </c>
      <c r="E412">
        <v>1982</v>
      </c>
      <c r="F412">
        <v>6370</v>
      </c>
      <c r="G412" s="8">
        <f t="shared" si="11"/>
        <v>-0.34387852796152812</v>
      </c>
      <c r="H412" s="3">
        <f>STANDARDIZE(F412,K$11,L$11)</f>
        <v>1.0516033493347103</v>
      </c>
    </row>
    <row r="413" spans="2:8" x14ac:dyDescent="0.3">
      <c r="B413" s="5">
        <v>30011</v>
      </c>
      <c r="C413" s="4">
        <v>1982.1666666603001</v>
      </c>
      <c r="D413" t="s">
        <v>169</v>
      </c>
      <c r="E413">
        <v>1982</v>
      </c>
      <c r="F413">
        <v>5140</v>
      </c>
      <c r="G413" s="8">
        <f t="shared" si="11"/>
        <v>-0.81559716814912731</v>
      </c>
      <c r="H413" s="3">
        <f>STANDARDIZE(F413,K$10,L$10)</f>
        <v>0.69173887680256185</v>
      </c>
    </row>
    <row r="414" spans="2:8" x14ac:dyDescent="0.3">
      <c r="B414" s="5">
        <v>29983</v>
      </c>
      <c r="C414" s="4">
        <v>1982.08333332694</v>
      </c>
      <c r="D414" t="s">
        <v>171</v>
      </c>
      <c r="E414">
        <v>1982</v>
      </c>
      <c r="F414">
        <v>5825</v>
      </c>
      <c r="G414" s="8">
        <f t="shared" si="11"/>
        <v>-0.55289207178448874</v>
      </c>
      <c r="H414" s="3">
        <f>STANDARDIZE(F414,K$9,L$9)</f>
        <v>0.81318626699563723</v>
      </c>
    </row>
    <row r="415" spans="2:8" x14ac:dyDescent="0.3">
      <c r="B415" s="5">
        <v>29952</v>
      </c>
      <c r="C415" s="4">
        <v>1981.9999999935801</v>
      </c>
      <c r="D415" t="s">
        <v>173</v>
      </c>
      <c r="E415">
        <v>1982</v>
      </c>
      <c r="F415">
        <v>8325</v>
      </c>
      <c r="G415" s="8">
        <f t="shared" si="11"/>
        <v>0.40588565217404615</v>
      </c>
      <c r="H415" s="3">
        <f>STANDARDIZE(F415,K$8,L$8)</f>
        <v>0.5762754195544797</v>
      </c>
    </row>
    <row r="416" spans="2:8" x14ac:dyDescent="0.3">
      <c r="B416" s="5">
        <v>29921</v>
      </c>
      <c r="C416" s="4">
        <v>1981.91666666022</v>
      </c>
      <c r="D416" t="s">
        <v>157</v>
      </c>
      <c r="E416">
        <v>1981</v>
      </c>
      <c r="F416">
        <v>11579</v>
      </c>
      <c r="G416" s="8">
        <f t="shared" si="11"/>
        <v>1.6538307376784753</v>
      </c>
      <c r="H416" s="3">
        <f>STANDARDIZE(F416,K$19,L$19)</f>
        <v>0.58267631390621044</v>
      </c>
    </row>
    <row r="417" spans="2:8" x14ac:dyDescent="0.3">
      <c r="B417" s="5">
        <v>29891</v>
      </c>
      <c r="C417" s="4">
        <v>1981.8333333268599</v>
      </c>
      <c r="D417" t="s">
        <v>158</v>
      </c>
      <c r="E417">
        <v>1981</v>
      </c>
      <c r="F417">
        <v>11148</v>
      </c>
      <c r="G417" s="8">
        <f t="shared" si="11"/>
        <v>1.4885374580680237</v>
      </c>
      <c r="H417" s="3">
        <f>STANDARDIZE(F417,K$18,L$18)</f>
        <v>0.47040354709730264</v>
      </c>
    </row>
    <row r="418" spans="2:8" x14ac:dyDescent="0.3">
      <c r="B418" s="5">
        <v>29860</v>
      </c>
      <c r="C418" s="4">
        <v>1981.7499999935001</v>
      </c>
      <c r="D418" t="s">
        <v>160</v>
      </c>
      <c r="E418">
        <v>1981</v>
      </c>
      <c r="F418">
        <v>9926</v>
      </c>
      <c r="G418" s="8">
        <f t="shared" si="11"/>
        <v>1.0198869065970919</v>
      </c>
      <c r="H418" s="3">
        <f>STANDARDIZE(F418,K$17,L$17)</f>
        <v>0.67552840617176735</v>
      </c>
    </row>
    <row r="419" spans="2:8" x14ac:dyDescent="0.3">
      <c r="B419" s="5">
        <v>29830</v>
      </c>
      <c r="C419" s="4">
        <v>1981.66666666014</v>
      </c>
      <c r="D419" t="s">
        <v>161</v>
      </c>
      <c r="E419">
        <v>1981</v>
      </c>
      <c r="F419">
        <v>10343</v>
      </c>
      <c r="G419" s="8">
        <f t="shared" si="11"/>
        <v>1.1798110309533756</v>
      </c>
      <c r="H419" s="3">
        <f>STANDARDIZE(F419,K$16,L$16)</f>
        <v>1.3115301011276839</v>
      </c>
    </row>
    <row r="420" spans="2:8" x14ac:dyDescent="0.3">
      <c r="B420" s="5">
        <v>29799</v>
      </c>
      <c r="C420" s="4">
        <v>1981.5833333267799</v>
      </c>
      <c r="D420" t="s">
        <v>162</v>
      </c>
      <c r="E420">
        <v>1981</v>
      </c>
      <c r="F420">
        <v>10851</v>
      </c>
      <c r="G420" s="8">
        <f t="shared" si="11"/>
        <v>1.3746346644617498</v>
      </c>
      <c r="H420" s="3">
        <f>STANDARDIZE(F420,K$15,L$15)</f>
        <v>1.6650937568305935</v>
      </c>
    </row>
    <row r="421" spans="2:8" x14ac:dyDescent="0.3">
      <c r="B421" s="5">
        <v>29768</v>
      </c>
      <c r="C421" s="4">
        <v>1981.49999999342</v>
      </c>
      <c r="D421" t="s">
        <v>163</v>
      </c>
      <c r="E421">
        <v>1981</v>
      </c>
      <c r="F421">
        <v>13567</v>
      </c>
      <c r="G421" s="8">
        <f t="shared" si="11"/>
        <v>2.4162507837703022</v>
      </c>
      <c r="H421" s="3">
        <f>STANDARDIZE(F421,K$14,L$14)</f>
        <v>2.6822874921020317</v>
      </c>
    </row>
    <row r="422" spans="2:8" x14ac:dyDescent="0.3">
      <c r="B422" s="5">
        <v>29738</v>
      </c>
      <c r="C422" s="4">
        <v>1981.4166666600599</v>
      </c>
      <c r="D422" t="s">
        <v>164</v>
      </c>
      <c r="E422">
        <v>1981</v>
      </c>
      <c r="F422">
        <v>13531</v>
      </c>
      <c r="G422" s="8">
        <f t="shared" si="11"/>
        <v>2.4024443845452992</v>
      </c>
      <c r="H422" s="3">
        <f>STANDARDIZE(F422,K$13,L$13)</f>
        <v>3.141316411321458</v>
      </c>
    </row>
    <row r="423" spans="2:8" x14ac:dyDescent="0.3">
      <c r="B423" s="5">
        <v>29707</v>
      </c>
      <c r="C423" s="4">
        <v>1981.3333333267001</v>
      </c>
      <c r="D423" t="s">
        <v>165</v>
      </c>
      <c r="E423">
        <v>1981</v>
      </c>
      <c r="F423">
        <v>9666</v>
      </c>
      <c r="G423" s="8">
        <f t="shared" si="11"/>
        <v>0.92017402330540432</v>
      </c>
      <c r="H423" s="3">
        <f>STANDARDIZE(F423,K$12,L$12)</f>
        <v>1.895706446153834</v>
      </c>
    </row>
    <row r="424" spans="2:8" x14ac:dyDescent="0.3">
      <c r="B424" s="5">
        <v>29677</v>
      </c>
      <c r="C424" s="4">
        <v>1981.24999999334</v>
      </c>
      <c r="D424" t="s">
        <v>167</v>
      </c>
      <c r="E424">
        <v>1981</v>
      </c>
      <c r="F424">
        <v>5002</v>
      </c>
      <c r="G424" s="8">
        <f t="shared" si="11"/>
        <v>-0.86852169851163841</v>
      </c>
      <c r="H424" s="3">
        <f>STANDARDIZE(F424,K$11,L$11)</f>
        <v>9.3274732838152137E-3</v>
      </c>
    </row>
    <row r="425" spans="2:8" x14ac:dyDescent="0.3">
      <c r="B425" s="5">
        <v>29646</v>
      </c>
      <c r="C425" s="4">
        <v>1981.1666666599799</v>
      </c>
      <c r="D425" t="s">
        <v>169</v>
      </c>
      <c r="E425">
        <v>1981</v>
      </c>
      <c r="F425">
        <v>4969</v>
      </c>
      <c r="G425" s="8">
        <f t="shared" si="11"/>
        <v>-0.88117756446789108</v>
      </c>
      <c r="H425" s="3">
        <f>STANDARDIZE(F425,K$10,L$10)</f>
        <v>0.56963676282349285</v>
      </c>
    </row>
    <row r="426" spans="2:8" x14ac:dyDescent="0.3">
      <c r="B426" s="5">
        <v>29618</v>
      </c>
      <c r="C426" s="4">
        <v>1981.08333332662</v>
      </c>
      <c r="D426" t="s">
        <v>171</v>
      </c>
      <c r="E426">
        <v>1981</v>
      </c>
      <c r="F426">
        <v>3794</v>
      </c>
      <c r="G426" s="8">
        <f t="shared" si="11"/>
        <v>-1.3318030947284025</v>
      </c>
      <c r="H426" s="3">
        <f>STANDARDIZE(F426,K$9,L$9)</f>
        <v>-0.47304647688552848</v>
      </c>
    </row>
    <row r="427" spans="2:8" x14ac:dyDescent="0.3">
      <c r="B427" s="5">
        <v>29587</v>
      </c>
      <c r="C427" s="4">
        <v>1980.99999999326</v>
      </c>
      <c r="D427" t="s">
        <v>173</v>
      </c>
      <c r="E427">
        <v>1981</v>
      </c>
      <c r="F427">
        <v>6688</v>
      </c>
      <c r="G427" s="8">
        <f t="shared" si="11"/>
        <v>-0.22192200147400248</v>
      </c>
      <c r="H427" s="3">
        <f>STANDARDIZE(F427,K$8,L$8)</f>
        <v>-0.13838521197529008</v>
      </c>
    </row>
    <row r="428" spans="2:8" x14ac:dyDescent="0.3">
      <c r="B428" s="5">
        <v>29556</v>
      </c>
      <c r="C428" s="4">
        <v>1980.9166666599001</v>
      </c>
      <c r="D428" t="s">
        <v>157</v>
      </c>
      <c r="E428">
        <v>1980</v>
      </c>
      <c r="F428">
        <v>8713</v>
      </c>
      <c r="G428" s="8">
        <f t="shared" si="11"/>
        <v>0.55468795493241074</v>
      </c>
      <c r="H428" s="3">
        <f>STANDARDIZE(F428,K$19,L$19)</f>
        <v>-0.40742809298556543</v>
      </c>
    </row>
    <row r="429" spans="2:8" x14ac:dyDescent="0.3">
      <c r="B429" s="5">
        <v>29526</v>
      </c>
      <c r="C429" s="4">
        <v>1980.83333332654</v>
      </c>
      <c r="D429" t="s">
        <v>158</v>
      </c>
      <c r="E429">
        <v>1980</v>
      </c>
      <c r="F429">
        <v>9039</v>
      </c>
      <c r="G429" s="8">
        <f t="shared" si="11"/>
        <v>0.6797125701366038</v>
      </c>
      <c r="H429" s="3">
        <f>STANDARDIZE(F429,K$18,L$18)</f>
        <v>-0.33185551779795686</v>
      </c>
    </row>
    <row r="430" spans="2:8" x14ac:dyDescent="0.3">
      <c r="B430" s="5">
        <v>29495</v>
      </c>
      <c r="C430" s="4">
        <v>1980.7499999931799</v>
      </c>
      <c r="D430" t="s">
        <v>160</v>
      </c>
      <c r="E430">
        <v>1980</v>
      </c>
      <c r="F430">
        <v>8012</v>
      </c>
      <c r="G430" s="8">
        <f t="shared" si="11"/>
        <v>0.28584668113443762</v>
      </c>
      <c r="H430" s="3">
        <f>STANDARDIZE(F430,K$17,L$17)</f>
        <v>-0.29543943186164312</v>
      </c>
    </row>
    <row r="431" spans="2:8" x14ac:dyDescent="0.3">
      <c r="B431" s="5">
        <v>29465</v>
      </c>
      <c r="C431" s="4">
        <v>1980.6666666598201</v>
      </c>
      <c r="D431" t="s">
        <v>161</v>
      </c>
      <c r="E431">
        <v>1980</v>
      </c>
      <c r="F431">
        <v>6136</v>
      </c>
      <c r="G431" s="8">
        <f t="shared" si="11"/>
        <v>-0.433620122924047</v>
      </c>
      <c r="H431" s="3">
        <f>STANDARDIZE(F431,K$16,L$16)</f>
        <v>-0.72447590878680224</v>
      </c>
    </row>
    <row r="432" spans="2:8" x14ac:dyDescent="0.3">
      <c r="B432" s="5">
        <v>29434</v>
      </c>
      <c r="C432" s="4">
        <v>1980.58333332646</v>
      </c>
      <c r="D432" t="s">
        <v>162</v>
      </c>
      <c r="E432">
        <v>1980</v>
      </c>
      <c r="F432">
        <v>6260</v>
      </c>
      <c r="G432" s="8">
        <f t="shared" si="11"/>
        <v>-0.38606474781570366</v>
      </c>
      <c r="H432" s="3">
        <f>STANDARDIZE(F432,K$15,L$15)</f>
        <v>-0.58180065227846067</v>
      </c>
    </row>
    <row r="433" spans="2:8" x14ac:dyDescent="0.3">
      <c r="B433" s="5">
        <v>29403</v>
      </c>
      <c r="C433" s="4">
        <v>1980.4999999930999</v>
      </c>
      <c r="D433" t="s">
        <v>163</v>
      </c>
      <c r="E433">
        <v>1980</v>
      </c>
      <c r="F433">
        <v>5896</v>
      </c>
      <c r="G433" s="8">
        <f t="shared" si="11"/>
        <v>-0.52566278442406633</v>
      </c>
      <c r="H433" s="3">
        <f>STANDARDIZE(F433,K$14,L$14)</f>
        <v>-1.0419871413032524</v>
      </c>
    </row>
    <row r="434" spans="2:8" x14ac:dyDescent="0.3">
      <c r="B434" s="5">
        <v>29373</v>
      </c>
      <c r="C434" s="4">
        <v>1980.41666665974</v>
      </c>
      <c r="D434" t="s">
        <v>164</v>
      </c>
      <c r="E434">
        <v>1980</v>
      </c>
      <c r="F434">
        <v>6636</v>
      </c>
      <c r="G434" s="8">
        <f t="shared" si="11"/>
        <v>-0.24186457813234002</v>
      </c>
      <c r="H434" s="3">
        <f>STANDARDIZE(F434,K$13,L$13)</f>
        <v>-0.93918751298984871</v>
      </c>
    </row>
    <row r="435" spans="2:8" x14ac:dyDescent="0.3">
      <c r="B435" s="5">
        <v>29342</v>
      </c>
      <c r="C435" s="4">
        <v>1980.3333333263799</v>
      </c>
      <c r="D435" t="s">
        <v>165</v>
      </c>
      <c r="E435">
        <v>1980</v>
      </c>
      <c r="F435">
        <v>5139</v>
      </c>
      <c r="G435" s="8">
        <f t="shared" si="11"/>
        <v>-0.81598067923871076</v>
      </c>
      <c r="H435" s="3">
        <f>STANDARDIZE(F435,K$12,L$12)</f>
        <v>-1.2154575613973719</v>
      </c>
    </row>
    <row r="436" spans="2:8" x14ac:dyDescent="0.3">
      <c r="B436" s="5">
        <v>29312</v>
      </c>
      <c r="C436" s="4">
        <v>1980.2499999930201</v>
      </c>
      <c r="D436" t="s">
        <v>167</v>
      </c>
      <c r="E436">
        <v>1980</v>
      </c>
      <c r="F436">
        <v>3352</v>
      </c>
      <c r="G436" s="8">
        <f t="shared" si="11"/>
        <v>-1.5013149963242716</v>
      </c>
      <c r="H436" s="3">
        <f>STANDARDIZE(F436,K$11,L$11)</f>
        <v>-1.247803517567045</v>
      </c>
    </row>
    <row r="437" spans="2:8" x14ac:dyDescent="0.3">
      <c r="B437" s="5">
        <v>29281</v>
      </c>
      <c r="C437" s="4">
        <v>1980.16666665966</v>
      </c>
      <c r="D437" t="s">
        <v>169</v>
      </c>
      <c r="E437">
        <v>1980</v>
      </c>
      <c r="F437">
        <v>3159</v>
      </c>
      <c r="G437" s="8">
        <f t="shared" si="11"/>
        <v>-1.5753326366138705</v>
      </c>
      <c r="H437" s="3">
        <f>STANDARDIZE(F437,K$10,L$10)</f>
        <v>-0.72278912198419609</v>
      </c>
    </row>
    <row r="438" spans="2:8" x14ac:dyDescent="0.3">
      <c r="B438" s="5">
        <v>29252</v>
      </c>
      <c r="C438" s="4">
        <v>1980.0833333262999</v>
      </c>
      <c r="D438" t="s">
        <v>171</v>
      </c>
      <c r="E438">
        <v>1980</v>
      </c>
      <c r="F438">
        <v>4656</v>
      </c>
      <c r="G438" s="8">
        <f t="shared" si="11"/>
        <v>-1.0012165355074996</v>
      </c>
      <c r="H438" s="3">
        <f>STANDARDIZE(F438,K$9,L$9)</f>
        <v>7.2858311507167137E-2</v>
      </c>
    </row>
    <row r="439" spans="2:8" x14ac:dyDescent="0.3">
      <c r="B439" s="5">
        <v>29221</v>
      </c>
      <c r="C439" s="4">
        <v>1979.99999999294</v>
      </c>
      <c r="D439" t="s">
        <v>173</v>
      </c>
      <c r="E439">
        <v>1980</v>
      </c>
      <c r="F439">
        <v>7503</v>
      </c>
      <c r="G439" s="8">
        <f t="shared" si="11"/>
        <v>9.0639536536479895E-2</v>
      </c>
      <c r="H439" s="3">
        <f>STANDARDIZE(F439,K$8,L$8)</f>
        <v>0.21741711832206015</v>
      </c>
    </row>
    <row r="440" spans="2:8" x14ac:dyDescent="0.3">
      <c r="B440" s="5">
        <v>29190</v>
      </c>
      <c r="C440" s="4">
        <v>1979.91666665958</v>
      </c>
      <c r="D440" t="s">
        <v>157</v>
      </c>
      <c r="E440">
        <v>1979</v>
      </c>
      <c r="F440">
        <v>12341</v>
      </c>
      <c r="G440" s="8">
        <f t="shared" si="11"/>
        <v>1.9460661879410366</v>
      </c>
      <c r="H440" s="3">
        <f>STANDARDIZE(F440,K$19,L$19)</f>
        <v>0.8459211003861592</v>
      </c>
    </row>
    <row r="441" spans="2:8" x14ac:dyDescent="0.3">
      <c r="B441" s="5">
        <v>29160</v>
      </c>
      <c r="C441" s="4">
        <v>1979.8333333262201</v>
      </c>
      <c r="D441" t="s">
        <v>158</v>
      </c>
      <c r="E441">
        <v>1979</v>
      </c>
      <c r="F441">
        <v>10863</v>
      </c>
      <c r="G441" s="8">
        <f t="shared" si="11"/>
        <v>1.3792367975367508</v>
      </c>
      <c r="H441" s="3">
        <f>STANDARDIZE(F441,K$18,L$18)</f>
        <v>0.36199015994929462</v>
      </c>
    </row>
    <row r="442" spans="2:8" x14ac:dyDescent="0.3">
      <c r="B442" s="5">
        <v>29129</v>
      </c>
      <c r="C442" s="4">
        <v>1979.74999999286</v>
      </c>
      <c r="D442" t="s">
        <v>160</v>
      </c>
      <c r="E442">
        <v>1979</v>
      </c>
      <c r="F442">
        <v>9138</v>
      </c>
      <c r="G442" s="8">
        <f t="shared" si="11"/>
        <v>0.71768016800536172</v>
      </c>
      <c r="H442" s="3">
        <f>STANDARDIZE(F442,K$17,L$17)</f>
        <v>0.27577780200754193</v>
      </c>
    </row>
    <row r="443" spans="2:8" x14ac:dyDescent="0.3">
      <c r="B443" s="5">
        <v>29099</v>
      </c>
      <c r="C443" s="4">
        <v>1979.6666666594999</v>
      </c>
      <c r="D443" t="s">
        <v>161</v>
      </c>
      <c r="E443">
        <v>1979</v>
      </c>
      <c r="F443">
        <v>8187</v>
      </c>
      <c r="G443" s="8">
        <f t="shared" si="11"/>
        <v>0.35296112181153505</v>
      </c>
      <c r="H443" s="3">
        <f>STANDARDIZE(F443,K$16,L$16)</f>
        <v>0.26811936726135821</v>
      </c>
    </row>
    <row r="444" spans="2:8" x14ac:dyDescent="0.3">
      <c r="B444" s="5">
        <v>29068</v>
      </c>
      <c r="C444" s="4">
        <v>1979.5833333261401</v>
      </c>
      <c r="D444" t="s">
        <v>162</v>
      </c>
      <c r="E444">
        <v>1979</v>
      </c>
      <c r="F444">
        <v>6925</v>
      </c>
      <c r="G444" s="8">
        <f t="shared" si="11"/>
        <v>-0.13102987324273338</v>
      </c>
      <c r="H444" s="3">
        <f>STANDARDIZE(F444,K$15,L$15)</f>
        <v>-0.25634110489063205</v>
      </c>
    </row>
    <row r="445" spans="2:8" x14ac:dyDescent="0.3">
      <c r="B445" s="5">
        <v>29037</v>
      </c>
      <c r="C445" s="4">
        <v>1979.49999999278</v>
      </c>
      <c r="D445" t="s">
        <v>163</v>
      </c>
      <c r="E445">
        <v>1979</v>
      </c>
      <c r="F445">
        <v>8789</v>
      </c>
      <c r="G445" s="8">
        <f t="shared" si="11"/>
        <v>0.58383479774075031</v>
      </c>
      <c r="H445" s="3">
        <f>STANDARDIZE(F445,K$14,L$14)</f>
        <v>0.36256591754715656</v>
      </c>
    </row>
    <row r="446" spans="2:8" x14ac:dyDescent="0.3">
      <c r="B446" s="5">
        <v>29007</v>
      </c>
      <c r="C446" s="4">
        <v>1979.4166666594199</v>
      </c>
      <c r="D446" t="s">
        <v>164</v>
      </c>
      <c r="E446">
        <v>1979</v>
      </c>
      <c r="F446">
        <v>8825</v>
      </c>
      <c r="G446" s="8">
        <f t="shared" si="11"/>
        <v>0.59764119696575313</v>
      </c>
      <c r="H446" s="3">
        <f>STANDARDIZE(F446,K$13,L$13)</f>
        <v>0.35627631446735947</v>
      </c>
    </row>
    <row r="447" spans="2:8" x14ac:dyDescent="0.3">
      <c r="B447" s="5">
        <v>28976</v>
      </c>
      <c r="C447" s="4">
        <v>1979.33333332606</v>
      </c>
      <c r="D447" t="s">
        <v>165</v>
      </c>
      <c r="E447">
        <v>1979</v>
      </c>
      <c r="F447">
        <v>6962</v>
      </c>
      <c r="G447" s="8">
        <f t="shared" si="11"/>
        <v>-0.11683996292814706</v>
      </c>
      <c r="H447" s="3">
        <f>STANDARDIZE(F447,K$12,L$12)</f>
        <v>3.739244650319095E-2</v>
      </c>
    </row>
    <row r="448" spans="2:8" x14ac:dyDescent="0.3">
      <c r="B448" s="5">
        <v>28946</v>
      </c>
      <c r="C448" s="4">
        <v>1979.2499999926999</v>
      </c>
      <c r="D448" t="s">
        <v>167</v>
      </c>
      <c r="E448">
        <v>1979</v>
      </c>
      <c r="F448">
        <v>4257</v>
      </c>
      <c r="G448" s="8">
        <f t="shared" si="11"/>
        <v>-1.1542374602512819</v>
      </c>
      <c r="H448" s="3">
        <f>STANDARDIZE(F448,K$11,L$11)</f>
        <v>-0.55828621652460353</v>
      </c>
    </row>
    <row r="449" spans="2:8" x14ac:dyDescent="0.3">
      <c r="B449" s="5">
        <v>28915</v>
      </c>
      <c r="C449" s="4">
        <v>1979.1666666593401</v>
      </c>
      <c r="D449" t="s">
        <v>169</v>
      </c>
      <c r="E449">
        <v>1979</v>
      </c>
      <c r="F449">
        <v>3337</v>
      </c>
      <c r="G449" s="8">
        <f t="shared" si="11"/>
        <v>-1.5070676626680226</v>
      </c>
      <c r="H449" s="3">
        <f>STANDARDIZE(F449,K$10,L$10)</f>
        <v>-0.59568867585393714</v>
      </c>
    </row>
    <row r="450" spans="2:8" x14ac:dyDescent="0.3">
      <c r="B450" s="5">
        <v>28887</v>
      </c>
      <c r="C450" s="4">
        <v>1979.08333332598</v>
      </c>
      <c r="D450" t="s">
        <v>171</v>
      </c>
      <c r="E450">
        <v>1979</v>
      </c>
      <c r="F450">
        <v>2826</v>
      </c>
      <c r="G450" s="8">
        <f t="shared" si="11"/>
        <v>-1.7030418294451473</v>
      </c>
      <c r="H450" s="3">
        <f>STANDARDIZE(F450,K$9,L$9)</f>
        <v>-1.0860810884448433</v>
      </c>
    </row>
    <row r="451" spans="2:8" x14ac:dyDescent="0.3">
      <c r="B451" s="5">
        <v>28856</v>
      </c>
      <c r="C451" s="4">
        <v>1978.9999999926199</v>
      </c>
      <c r="D451" t="s">
        <v>173</v>
      </c>
      <c r="E451">
        <v>1979</v>
      </c>
      <c r="F451">
        <v>5471</v>
      </c>
      <c r="G451" s="8">
        <f t="shared" si="11"/>
        <v>-0.68865499749701731</v>
      </c>
      <c r="H451" s="3">
        <f>STANDARDIZE(F451,K$8,L$8)</f>
        <v>-0.66968758740090384</v>
      </c>
    </row>
    <row r="452" spans="2:8" x14ac:dyDescent="0.3">
      <c r="B452" s="5">
        <v>28825</v>
      </c>
      <c r="C452" s="4">
        <v>1978.91666665926</v>
      </c>
      <c r="D452" t="s">
        <v>157</v>
      </c>
      <c r="E452">
        <v>1978</v>
      </c>
      <c r="F452">
        <v>9153</v>
      </c>
      <c r="G452" s="8">
        <f t="shared" si="11"/>
        <v>0.72343283434911299</v>
      </c>
      <c r="H452" s="3">
        <f>STANDARDIZE(F452,K$19,L$19)</f>
        <v>-0.25542322940134304</v>
      </c>
    </row>
    <row r="453" spans="2:8" x14ac:dyDescent="0.3">
      <c r="B453" s="5">
        <v>28795</v>
      </c>
      <c r="C453" s="4">
        <v>1978.8333333259</v>
      </c>
      <c r="D453" t="s">
        <v>158</v>
      </c>
      <c r="E453">
        <v>1978</v>
      </c>
      <c r="F453">
        <v>9520</v>
      </c>
      <c r="G453" s="8">
        <f t="shared" si="11"/>
        <v>0.86418140422622591</v>
      </c>
      <c r="H453" s="3">
        <f>STANDARDIZE(F453,K$18,L$18)</f>
        <v>-0.14888415212009065</v>
      </c>
    </row>
    <row r="454" spans="2:8" x14ac:dyDescent="0.3">
      <c r="B454" s="5">
        <v>28764</v>
      </c>
      <c r="C454" s="4">
        <v>1978.7499999925401</v>
      </c>
      <c r="D454" t="s">
        <v>160</v>
      </c>
      <c r="E454">
        <v>1978</v>
      </c>
      <c r="F454">
        <v>7930</v>
      </c>
      <c r="G454" s="8">
        <f t="shared" si="11"/>
        <v>0.25439877178859766</v>
      </c>
      <c r="H454" s="3">
        <f>STANDARDIZE(F454,K$17,L$17)</f>
        <v>-0.33703784498533151</v>
      </c>
    </row>
    <row r="455" spans="2:8" x14ac:dyDescent="0.3">
      <c r="B455" s="5">
        <v>28734</v>
      </c>
      <c r="C455" s="4">
        <v>1978.66666665918</v>
      </c>
      <c r="D455" t="s">
        <v>161</v>
      </c>
      <c r="E455">
        <v>1978</v>
      </c>
      <c r="F455">
        <v>6553</v>
      </c>
      <c r="G455" s="8">
        <f t="shared" si="11"/>
        <v>-0.27369599856776339</v>
      </c>
      <c r="H455" s="3">
        <f>STANDARDIZE(F455,K$16,L$16)</f>
        <v>-0.52266594773751751</v>
      </c>
    </row>
    <row r="456" spans="2:8" x14ac:dyDescent="0.3">
      <c r="B456" s="5">
        <v>28703</v>
      </c>
      <c r="C456" s="4">
        <v>1978.5833333258199</v>
      </c>
      <c r="D456" t="s">
        <v>162</v>
      </c>
      <c r="E456">
        <v>1978</v>
      </c>
      <c r="F456">
        <v>7005</v>
      </c>
      <c r="G456" s="8">
        <f t="shared" ref="G456:G519" si="12">STANDARDIZE(F456,F$4,F$5)</f>
        <v>-0.10034898607606026</v>
      </c>
      <c r="H456" s="3">
        <f>STANDARDIZE(F456,K$15,L$15)</f>
        <v>-0.21718807663344966</v>
      </c>
    </row>
    <row r="457" spans="2:8" x14ac:dyDescent="0.3">
      <c r="B457" s="5">
        <v>28672</v>
      </c>
      <c r="C457" s="4">
        <v>1978.4999999924601</v>
      </c>
      <c r="D457" t="s">
        <v>163</v>
      </c>
      <c r="E457">
        <v>1978</v>
      </c>
      <c r="F457">
        <v>8703</v>
      </c>
      <c r="G457" s="8">
        <f t="shared" si="12"/>
        <v>0.55085284403657664</v>
      </c>
      <c r="H457" s="3">
        <f>STANDARDIZE(F457,K$14,L$14)</f>
        <v>0.32081287120732416</v>
      </c>
    </row>
    <row r="458" spans="2:8" x14ac:dyDescent="0.3">
      <c r="B458" s="5">
        <v>28642</v>
      </c>
      <c r="C458" s="4">
        <v>1978.4166666591</v>
      </c>
      <c r="D458" t="s">
        <v>164</v>
      </c>
      <c r="E458">
        <v>1978</v>
      </c>
      <c r="F458">
        <v>9034</v>
      </c>
      <c r="G458" s="8">
        <f t="shared" si="12"/>
        <v>0.67779501468868664</v>
      </c>
      <c r="H458" s="3">
        <f>STANDARDIZE(F458,K$13,L$13)</f>
        <v>0.47996381558136425</v>
      </c>
    </row>
    <row r="459" spans="2:8" x14ac:dyDescent="0.3">
      <c r="B459" s="5">
        <v>28611</v>
      </c>
      <c r="C459" s="4">
        <v>1978.3333333257401</v>
      </c>
      <c r="D459" t="s">
        <v>165</v>
      </c>
      <c r="E459">
        <v>1978</v>
      </c>
      <c r="F459">
        <v>8375</v>
      </c>
      <c r="G459" s="8">
        <f t="shared" si="12"/>
        <v>0.42506120665321689</v>
      </c>
      <c r="H459" s="3">
        <f>STANDARDIZE(F459,K$12,L$12)</f>
        <v>1.0084714707289153</v>
      </c>
    </row>
    <row r="460" spans="2:8" x14ac:dyDescent="0.3">
      <c r="B460" s="5">
        <v>28581</v>
      </c>
      <c r="C460" s="4">
        <v>1978.24999999238</v>
      </c>
      <c r="D460" t="s">
        <v>167</v>
      </c>
      <c r="E460">
        <v>1978</v>
      </c>
      <c r="F460">
        <v>5916</v>
      </c>
      <c r="G460" s="8">
        <f t="shared" si="12"/>
        <v>-0.51799256263239812</v>
      </c>
      <c r="H460" s="3">
        <f>STANDARDIZE(F460,K$11,L$11)</f>
        <v>0.70570185245817052</v>
      </c>
    </row>
    <row r="461" spans="2:8" x14ac:dyDescent="0.3">
      <c r="B461" s="5">
        <v>28550</v>
      </c>
      <c r="C461" s="4">
        <v>1978.1666666590099</v>
      </c>
      <c r="D461" t="s">
        <v>169</v>
      </c>
      <c r="E461">
        <v>1978</v>
      </c>
      <c r="F461">
        <v>2697</v>
      </c>
      <c r="G461" s="8">
        <f t="shared" si="12"/>
        <v>-1.7525147600014077</v>
      </c>
      <c r="H461" s="3">
        <f>STANDARDIZE(F461,K$10,L$10)</f>
        <v>-1.0526790439627334</v>
      </c>
    </row>
    <row r="462" spans="2:8" x14ac:dyDescent="0.3">
      <c r="B462" s="5">
        <v>28522</v>
      </c>
      <c r="C462" s="4">
        <v>1978.0833333256501</v>
      </c>
      <c r="D462" t="s">
        <v>171</v>
      </c>
      <c r="E462">
        <v>1978</v>
      </c>
      <c r="F462">
        <v>2776</v>
      </c>
      <c r="G462" s="8">
        <f t="shared" si="12"/>
        <v>-1.722217383924318</v>
      </c>
      <c r="H462" s="3">
        <f>STANDARDIZE(F462,K$9,L$9)</f>
        <v>-1.1177460993724939</v>
      </c>
    </row>
    <row r="463" spans="2:8" x14ac:dyDescent="0.3">
      <c r="B463" s="5">
        <v>28491</v>
      </c>
      <c r="C463" s="4">
        <v>1977.99999999229</v>
      </c>
      <c r="D463" t="s">
        <v>173</v>
      </c>
      <c r="E463">
        <v>1978</v>
      </c>
      <c r="F463">
        <v>5147</v>
      </c>
      <c r="G463" s="8">
        <f t="shared" si="12"/>
        <v>-0.81291259052204345</v>
      </c>
      <c r="H463" s="3">
        <f>STANDARDIZE(F463,K$8,L$8)</f>
        <v>-0.81113538496696702</v>
      </c>
    </row>
    <row r="464" spans="2:8" x14ac:dyDescent="0.3">
      <c r="B464" s="5">
        <v>28460</v>
      </c>
      <c r="C464" s="4">
        <v>1977.9166666589299</v>
      </c>
      <c r="D464" t="s">
        <v>157</v>
      </c>
      <c r="E464">
        <v>1977</v>
      </c>
      <c r="F464">
        <v>9909</v>
      </c>
      <c r="G464" s="8">
        <f t="shared" si="12"/>
        <v>1.013367218074174</v>
      </c>
      <c r="H464" s="3">
        <f>STANDARDIZE(F464,K$19,L$19)</f>
        <v>5.7487634842754562E-3</v>
      </c>
    </row>
    <row r="465" spans="2:8" x14ac:dyDescent="0.3">
      <c r="B465" s="5">
        <v>28430</v>
      </c>
      <c r="C465" s="4">
        <v>1977.83333332557</v>
      </c>
      <c r="D465" t="s">
        <v>158</v>
      </c>
      <c r="E465">
        <v>1977</v>
      </c>
      <c r="F465">
        <v>10328</v>
      </c>
      <c r="G465" s="8">
        <f t="shared" si="12"/>
        <v>1.1740583646096243</v>
      </c>
      <c r="H465" s="3">
        <f>STANDARDIZE(F465,K$18,L$18)</f>
        <v>0.15847731039075319</v>
      </c>
    </row>
    <row r="466" spans="2:8" x14ac:dyDescent="0.3">
      <c r="B466" s="5">
        <v>28399</v>
      </c>
      <c r="C466" s="4">
        <v>1977.74999999221</v>
      </c>
      <c r="D466" t="s">
        <v>160</v>
      </c>
      <c r="E466">
        <v>1977</v>
      </c>
      <c r="F466">
        <v>8275</v>
      </c>
      <c r="G466" s="8">
        <f t="shared" si="12"/>
        <v>0.38671009769487547</v>
      </c>
      <c r="H466" s="3">
        <f>STANDARDIZE(F466,K$17,L$17)</f>
        <v>-0.16202013123322778</v>
      </c>
    </row>
    <row r="467" spans="2:8" x14ac:dyDescent="0.3">
      <c r="B467" s="5">
        <v>28369</v>
      </c>
      <c r="C467" s="4">
        <v>1977.6666666588501</v>
      </c>
      <c r="D467" t="s">
        <v>161</v>
      </c>
      <c r="E467">
        <v>1977</v>
      </c>
      <c r="F467">
        <v>5730</v>
      </c>
      <c r="G467" s="8">
        <f t="shared" si="12"/>
        <v>-0.58932562529491306</v>
      </c>
      <c r="H467" s="3">
        <f>STANDARDIZE(F467,K$16,L$16)</f>
        <v>-0.92096234568370772</v>
      </c>
    </row>
    <row r="468" spans="2:8" x14ac:dyDescent="0.3">
      <c r="B468" s="5">
        <v>28338</v>
      </c>
      <c r="C468" s="4">
        <v>1977.58333332549</v>
      </c>
      <c r="D468" t="s">
        <v>162</v>
      </c>
      <c r="E468">
        <v>1977</v>
      </c>
      <c r="F468">
        <v>6383</v>
      </c>
      <c r="G468" s="8">
        <f t="shared" si="12"/>
        <v>-0.33889288379694377</v>
      </c>
      <c r="H468" s="3">
        <f>STANDARDIZE(F468,K$15,L$15)</f>
        <v>-0.52160287133304273</v>
      </c>
    </row>
    <row r="469" spans="2:8" x14ac:dyDescent="0.3">
      <c r="B469" s="5">
        <v>28307</v>
      </c>
      <c r="C469" s="4">
        <v>1977.4999999921299</v>
      </c>
      <c r="D469" t="s">
        <v>163</v>
      </c>
      <c r="E469">
        <v>1977</v>
      </c>
      <c r="F469">
        <v>6289</v>
      </c>
      <c r="G469" s="8">
        <f t="shared" si="12"/>
        <v>-0.37494292621778463</v>
      </c>
      <c r="H469" s="3">
        <f>STANDARDIZE(F469,K$14,L$14)</f>
        <v>-0.85118542954099508</v>
      </c>
    </row>
    <row r="470" spans="2:8" x14ac:dyDescent="0.3">
      <c r="B470" s="5">
        <v>28277</v>
      </c>
      <c r="C470" s="4">
        <v>1977.4166666587701</v>
      </c>
      <c r="D470" t="s">
        <v>164</v>
      </c>
      <c r="E470">
        <v>1977</v>
      </c>
      <c r="F470">
        <v>6776</v>
      </c>
      <c r="G470" s="8">
        <f t="shared" si="12"/>
        <v>-0.18817302559066207</v>
      </c>
      <c r="H470" s="3">
        <f>STANDARDIZE(F470,K$13,L$13)</f>
        <v>-0.8563346414302283</v>
      </c>
    </row>
    <row r="471" spans="2:8" x14ac:dyDescent="0.3">
      <c r="B471" s="5">
        <v>28246</v>
      </c>
      <c r="C471" s="4">
        <v>1977.33333332541</v>
      </c>
      <c r="D471" t="s">
        <v>165</v>
      </c>
      <c r="E471">
        <v>1977</v>
      </c>
      <c r="F471">
        <v>4768</v>
      </c>
      <c r="G471" s="8">
        <f t="shared" si="12"/>
        <v>-0.95826329347415728</v>
      </c>
      <c r="H471" s="3">
        <f>STANDARDIZE(F471,K$12,L$12)</f>
        <v>-1.4704259393080186</v>
      </c>
    </row>
    <row r="472" spans="2:8" x14ac:dyDescent="0.3">
      <c r="B472" s="5">
        <v>28216</v>
      </c>
      <c r="C472" s="4">
        <v>1977.2499999920501</v>
      </c>
      <c r="D472" t="s">
        <v>167</v>
      </c>
      <c r="E472">
        <v>1977</v>
      </c>
      <c r="F472">
        <v>2953</v>
      </c>
      <c r="G472" s="8">
        <f t="shared" si="12"/>
        <v>-1.6543359210680537</v>
      </c>
      <c r="H472" s="3">
        <f>STANDARDIZE(F472,K$11,L$11)</f>
        <v>-1.5518006480818896</v>
      </c>
    </row>
    <row r="473" spans="2:8" x14ac:dyDescent="0.3">
      <c r="B473" s="5">
        <v>28185</v>
      </c>
      <c r="C473" s="4">
        <v>1977.16666665869</v>
      </c>
      <c r="D473" t="s">
        <v>169</v>
      </c>
      <c r="E473">
        <v>1977</v>
      </c>
      <c r="F473">
        <v>1953</v>
      </c>
      <c r="G473" s="8">
        <f t="shared" si="12"/>
        <v>-2.0378470106514674</v>
      </c>
      <c r="H473" s="3">
        <f>STANDARDIZE(F473,K$10,L$10)</f>
        <v>-1.5839303468892088</v>
      </c>
    </row>
    <row r="474" spans="2:8" x14ac:dyDescent="0.3">
      <c r="B474" s="5">
        <v>28157</v>
      </c>
      <c r="C474" s="4">
        <v>1977.0833333253299</v>
      </c>
      <c r="D474" t="s">
        <v>171</v>
      </c>
      <c r="E474">
        <v>1977</v>
      </c>
      <c r="F474">
        <v>2120</v>
      </c>
      <c r="G474" s="8">
        <f t="shared" si="12"/>
        <v>-1.9738006586910375</v>
      </c>
      <c r="H474" s="3">
        <f>STANDARDIZE(F474,K$9,L$9)</f>
        <v>-1.5331910427432691</v>
      </c>
    </row>
    <row r="475" spans="2:8" x14ac:dyDescent="0.3">
      <c r="B475" s="5">
        <v>28126</v>
      </c>
      <c r="C475" s="4">
        <v>1976.9999999919701</v>
      </c>
      <c r="D475" t="s">
        <v>173</v>
      </c>
      <c r="E475">
        <v>1977</v>
      </c>
      <c r="F475">
        <v>3132</v>
      </c>
      <c r="G475" s="8">
        <f t="shared" si="12"/>
        <v>-1.5856874360326225</v>
      </c>
      <c r="H475" s="3">
        <f>STANDARDIZE(F475,K$8,L$8)</f>
        <v>-1.6908184469904772</v>
      </c>
    </row>
    <row r="476" spans="2:8" x14ac:dyDescent="0.3">
      <c r="B476" s="5">
        <v>28095</v>
      </c>
      <c r="C476" s="4">
        <v>1976.91666665861</v>
      </c>
      <c r="D476" t="s">
        <v>157</v>
      </c>
      <c r="E476">
        <v>1976</v>
      </c>
      <c r="F476">
        <v>6946</v>
      </c>
      <c r="G476" s="8">
        <f t="shared" si="12"/>
        <v>-0.12297614036148169</v>
      </c>
      <c r="H476" s="3">
        <f>STANDARDIZE(F476,K$19,L$19)</f>
        <v>-1.0178658065158404</v>
      </c>
    </row>
    <row r="477" spans="2:8" x14ac:dyDescent="0.3">
      <c r="B477" s="5">
        <v>28065</v>
      </c>
      <c r="C477" s="4">
        <v>1976.8333333252499</v>
      </c>
      <c r="D477" t="s">
        <v>158</v>
      </c>
      <c r="E477">
        <v>1976</v>
      </c>
      <c r="F477">
        <v>9042</v>
      </c>
      <c r="G477" s="8">
        <f t="shared" si="12"/>
        <v>0.68086310340535394</v>
      </c>
      <c r="H477" s="3">
        <f>STANDARDIZE(F477,K$18,L$18)</f>
        <v>-0.33071432424903041</v>
      </c>
    </row>
    <row r="478" spans="2:8" x14ac:dyDescent="0.3">
      <c r="B478" s="5">
        <v>28034</v>
      </c>
      <c r="C478" s="4">
        <v>1976.74999999189</v>
      </c>
      <c r="D478" t="s">
        <v>160</v>
      </c>
      <c r="E478">
        <v>1976</v>
      </c>
      <c r="F478">
        <v>7210</v>
      </c>
      <c r="G478" s="8">
        <f t="shared" si="12"/>
        <v>-2.1729212711460395E-2</v>
      </c>
      <c r="H478" s="3">
        <f>STANDARDIZE(F478,K$17,L$17)</f>
        <v>-0.7022922041201568</v>
      </c>
    </row>
    <row r="479" spans="2:8" x14ac:dyDescent="0.3">
      <c r="B479" s="5">
        <v>28004</v>
      </c>
      <c r="C479" s="4">
        <v>1976.6666666585299</v>
      </c>
      <c r="D479" t="s">
        <v>161</v>
      </c>
      <c r="E479">
        <v>1976</v>
      </c>
      <c r="F479">
        <v>4574</v>
      </c>
      <c r="G479" s="8">
        <f t="shared" si="12"/>
        <v>-1.0326644448533395</v>
      </c>
      <c r="H479" s="3">
        <f>STANDARDIZE(F479,K$16,L$16)</f>
        <v>-1.4804163384246505</v>
      </c>
    </row>
    <row r="480" spans="2:8" x14ac:dyDescent="0.3">
      <c r="B480" s="5">
        <v>27973</v>
      </c>
      <c r="C480" s="4">
        <v>1976.5833333251701</v>
      </c>
      <c r="D480" t="s">
        <v>162</v>
      </c>
      <c r="E480">
        <v>1976</v>
      </c>
      <c r="F480">
        <v>5593</v>
      </c>
      <c r="G480" s="8">
        <f t="shared" si="12"/>
        <v>-0.64186664456784082</v>
      </c>
      <c r="H480" s="3">
        <f>STANDARDIZE(F480,K$15,L$15)</f>
        <v>-0.90823902537271872</v>
      </c>
    </row>
    <row r="481" spans="2:8" x14ac:dyDescent="0.3">
      <c r="B481" s="5">
        <v>27942</v>
      </c>
      <c r="C481" s="4">
        <v>1976.49999999181</v>
      </c>
      <c r="D481" t="s">
        <v>163</v>
      </c>
      <c r="E481">
        <v>1976</v>
      </c>
      <c r="F481">
        <v>7425</v>
      </c>
      <c r="G481" s="8">
        <f t="shared" si="12"/>
        <v>6.0725671548973605E-2</v>
      </c>
      <c r="H481" s="3">
        <f>STANDARDIZE(F481,K$14,L$14)</f>
        <v>-0.29965681742413897</v>
      </c>
    </row>
    <row r="482" spans="2:8" x14ac:dyDescent="0.3">
      <c r="B482" s="5">
        <v>27912</v>
      </c>
      <c r="C482" s="4">
        <v>1976.4166666584499</v>
      </c>
      <c r="D482" t="s">
        <v>164</v>
      </c>
      <c r="E482">
        <v>1976</v>
      </c>
      <c r="F482">
        <v>8307</v>
      </c>
      <c r="G482" s="8">
        <f t="shared" si="12"/>
        <v>0.39898245256154474</v>
      </c>
      <c r="H482" s="3">
        <f>STANDARDIZE(F482,K$13,L$13)</f>
        <v>4.9720689696763826E-2</v>
      </c>
    </row>
    <row r="483" spans="2:8" x14ac:dyDescent="0.3">
      <c r="B483" s="5">
        <v>27881</v>
      </c>
      <c r="C483" s="4">
        <v>1976.3333333250901</v>
      </c>
      <c r="D483" t="s">
        <v>165</v>
      </c>
      <c r="E483">
        <v>1976</v>
      </c>
      <c r="F483">
        <v>7897</v>
      </c>
      <c r="G483" s="8">
        <f t="shared" si="12"/>
        <v>0.24174290583234501</v>
      </c>
      <c r="H483" s="3">
        <f>STANDARDIZE(F483,K$12,L$12)</f>
        <v>0.6799677385421522</v>
      </c>
    </row>
    <row r="484" spans="2:8" x14ac:dyDescent="0.3">
      <c r="B484" s="5">
        <v>27851</v>
      </c>
      <c r="C484" s="4">
        <v>1976.24999999173</v>
      </c>
      <c r="D484" t="s">
        <v>167</v>
      </c>
      <c r="E484">
        <v>1976</v>
      </c>
      <c r="F484">
        <v>5986</v>
      </c>
      <c r="G484" s="8">
        <f t="shared" si="12"/>
        <v>-0.49114678636155912</v>
      </c>
      <c r="H484" s="3">
        <f>STANDARDIZE(F484,K$11,L$11)</f>
        <v>0.75903468237305549</v>
      </c>
    </row>
    <row r="485" spans="2:8" x14ac:dyDescent="0.3">
      <c r="B485" s="5">
        <v>27820</v>
      </c>
      <c r="C485" s="4">
        <v>1976.1666666583701</v>
      </c>
      <c r="D485" t="s">
        <v>169</v>
      </c>
      <c r="E485">
        <v>1976</v>
      </c>
      <c r="F485">
        <v>5418</v>
      </c>
      <c r="G485" s="8">
        <f t="shared" si="12"/>
        <v>-0.70898108524493819</v>
      </c>
      <c r="H485" s="3">
        <f>STANDARDIZE(F485,K$10,L$10)</f>
        <v>0.89024406794982014</v>
      </c>
    </row>
    <row r="486" spans="2:8" x14ac:dyDescent="0.3">
      <c r="B486" s="5">
        <v>27791</v>
      </c>
      <c r="C486" s="4">
        <v>1976.08333332501</v>
      </c>
      <c r="D486" t="s">
        <v>171</v>
      </c>
      <c r="E486">
        <v>1976</v>
      </c>
      <c r="F486">
        <v>6053</v>
      </c>
      <c r="G486" s="8">
        <f t="shared" si="12"/>
        <v>-0.46545154335947037</v>
      </c>
      <c r="H486" s="3">
        <f>STANDARDIZE(F486,K$9,L$9)</f>
        <v>0.95757871682572371</v>
      </c>
    </row>
    <row r="487" spans="2:8" x14ac:dyDescent="0.3">
      <c r="B487" s="5">
        <v>27760</v>
      </c>
      <c r="C487" s="4">
        <v>1975.9999999916499</v>
      </c>
      <c r="D487" t="s">
        <v>173</v>
      </c>
      <c r="E487">
        <v>1976</v>
      </c>
      <c r="F487">
        <v>10435</v>
      </c>
      <c r="G487" s="8">
        <f t="shared" si="12"/>
        <v>1.2150940511950497</v>
      </c>
      <c r="H487" s="3">
        <f>STANDARDIZE(F487,K$8,L$8)</f>
        <v>1.4974323728396441</v>
      </c>
    </row>
    <row r="488" spans="2:8" x14ac:dyDescent="0.3">
      <c r="B488" s="5">
        <v>27729</v>
      </c>
      <c r="C488" s="4">
        <v>1975.9166666582901</v>
      </c>
      <c r="D488" t="s">
        <v>157</v>
      </c>
      <c r="E488">
        <v>1975</v>
      </c>
      <c r="F488">
        <v>15373</v>
      </c>
      <c r="G488" s="8">
        <f t="shared" si="12"/>
        <v>3.1088718115579477</v>
      </c>
      <c r="H488" s="3">
        <f>STANDARDIZE(F488,K$19,L$19)</f>
        <v>1.8933727967210736</v>
      </c>
    </row>
    <row r="489" spans="2:8" x14ac:dyDescent="0.3">
      <c r="B489" s="5">
        <v>27699</v>
      </c>
      <c r="C489" s="4">
        <v>1975.83333332493</v>
      </c>
      <c r="D489" t="s">
        <v>158</v>
      </c>
      <c r="E489">
        <v>1975</v>
      </c>
      <c r="F489">
        <v>15382</v>
      </c>
      <c r="G489" s="8">
        <f t="shared" si="12"/>
        <v>3.1123234113641987</v>
      </c>
      <c r="H489" s="3">
        <f>STANDARDIZE(F489,K$18,L$18)</f>
        <v>2.0810080424820958</v>
      </c>
    </row>
    <row r="490" spans="2:8" x14ac:dyDescent="0.3">
      <c r="B490" s="5">
        <v>27668</v>
      </c>
      <c r="C490" s="4">
        <v>1975.7499999915699</v>
      </c>
      <c r="D490" t="s">
        <v>160</v>
      </c>
      <c r="E490">
        <v>1975</v>
      </c>
      <c r="F490">
        <v>12699</v>
      </c>
      <c r="G490" s="8">
        <f t="shared" si="12"/>
        <v>2.083363158011899</v>
      </c>
      <c r="H490" s="3">
        <f>STANDARDIZE(F490,K$17,L$17)</f>
        <v>2.082264986561865</v>
      </c>
    </row>
    <row r="491" spans="2:8" x14ac:dyDescent="0.3">
      <c r="B491" s="5">
        <v>27638</v>
      </c>
      <c r="C491" s="4">
        <v>1975.66666665821</v>
      </c>
      <c r="D491" t="s">
        <v>161</v>
      </c>
      <c r="E491">
        <v>1975</v>
      </c>
      <c r="F491">
        <v>10697</v>
      </c>
      <c r="G491" s="8">
        <f t="shared" si="12"/>
        <v>1.3155739566659042</v>
      </c>
      <c r="H491" s="3">
        <f>STANDARDIZE(F491,K$16,L$16)</f>
        <v>1.4828507874860695</v>
      </c>
    </row>
    <row r="492" spans="2:8" x14ac:dyDescent="0.3">
      <c r="B492" s="5">
        <v>27607</v>
      </c>
      <c r="C492" s="4">
        <v>1975.5833333248499</v>
      </c>
      <c r="D492" t="s">
        <v>162</v>
      </c>
      <c r="E492">
        <v>1975</v>
      </c>
      <c r="F492">
        <v>9192</v>
      </c>
      <c r="G492" s="8">
        <f t="shared" si="12"/>
        <v>0.73838976684286606</v>
      </c>
      <c r="H492" s="3">
        <f>STANDARDIZE(F492,K$15,L$15)</f>
        <v>0.8531578333472738</v>
      </c>
    </row>
    <row r="493" spans="2:8" x14ac:dyDescent="0.3">
      <c r="B493" s="5">
        <v>27576</v>
      </c>
      <c r="C493" s="4">
        <v>1975.4999999914901</v>
      </c>
      <c r="D493" t="s">
        <v>163</v>
      </c>
      <c r="E493">
        <v>1975</v>
      </c>
      <c r="F493">
        <v>8708</v>
      </c>
      <c r="G493" s="8">
        <f t="shared" si="12"/>
        <v>0.55277039948449369</v>
      </c>
      <c r="H493" s="3">
        <f>STANDARDIZE(F493,K$14,L$14)</f>
        <v>0.32324037390150046</v>
      </c>
    </row>
    <row r="494" spans="2:8" x14ac:dyDescent="0.3">
      <c r="B494" s="5">
        <v>27546</v>
      </c>
      <c r="C494" s="4">
        <v>1975.41666665813</v>
      </c>
      <c r="D494" t="s">
        <v>164</v>
      </c>
      <c r="E494">
        <v>1975</v>
      </c>
      <c r="F494">
        <v>7786</v>
      </c>
      <c r="G494" s="8">
        <f t="shared" si="12"/>
        <v>0.19917317488858605</v>
      </c>
      <c r="H494" s="3">
        <f>STANDARDIZE(F494,K$13,L$13)</f>
        <v>-0.25861035375010938</v>
      </c>
    </row>
    <row r="495" spans="2:8" x14ac:dyDescent="0.3">
      <c r="B495" s="5">
        <v>27515</v>
      </c>
      <c r="C495" s="4">
        <v>1975.3333333247699</v>
      </c>
      <c r="D495" t="s">
        <v>165</v>
      </c>
      <c r="E495">
        <v>1975</v>
      </c>
      <c r="F495">
        <v>6222</v>
      </c>
      <c r="G495" s="8">
        <f t="shared" si="12"/>
        <v>-0.40063816921987339</v>
      </c>
      <c r="H495" s="3">
        <f>STANDARDIZE(F495,K$12,L$12)</f>
        <v>-0.47116981671481045</v>
      </c>
    </row>
    <row r="496" spans="2:8" x14ac:dyDescent="0.3">
      <c r="B496" s="5">
        <v>27485</v>
      </c>
      <c r="C496" s="4">
        <v>1975.24999999141</v>
      </c>
      <c r="D496" t="s">
        <v>167</v>
      </c>
      <c r="E496">
        <v>1975</v>
      </c>
      <c r="F496">
        <v>4242</v>
      </c>
      <c r="G496" s="8">
        <f t="shared" si="12"/>
        <v>-1.159990126595033</v>
      </c>
      <c r="H496" s="3">
        <f>STANDARDIZE(F496,K$11,L$11)</f>
        <v>-0.56971468007779313</v>
      </c>
    </row>
    <row r="497" spans="2:8" x14ac:dyDescent="0.3">
      <c r="B497" s="5">
        <v>27454</v>
      </c>
      <c r="C497" s="4">
        <v>1975.16666665805</v>
      </c>
      <c r="D497" t="s">
        <v>169</v>
      </c>
      <c r="E497">
        <v>1975</v>
      </c>
      <c r="F497">
        <v>4896</v>
      </c>
      <c r="G497" s="8">
        <f t="shared" si="12"/>
        <v>-0.90917387400748029</v>
      </c>
      <c r="H497" s="3">
        <f>STANDARDIZE(F497,K$10,L$10)</f>
        <v>0.51751129896108328</v>
      </c>
    </row>
    <row r="498" spans="2:8" x14ac:dyDescent="0.3">
      <c r="B498" s="5">
        <v>27426</v>
      </c>
      <c r="C498" s="4">
        <v>1975.0833333246901</v>
      </c>
      <c r="D498" t="s">
        <v>171</v>
      </c>
      <c r="E498">
        <v>1975</v>
      </c>
      <c r="F498">
        <v>3880</v>
      </c>
      <c r="G498" s="8">
        <f t="shared" si="12"/>
        <v>-1.298821141024229</v>
      </c>
      <c r="H498" s="3">
        <f>STANDARDIZE(F498,K$9,L$9)</f>
        <v>-0.41858265808996953</v>
      </c>
    </row>
    <row r="499" spans="2:8" x14ac:dyDescent="0.3">
      <c r="B499" s="5">
        <v>27395</v>
      </c>
      <c r="C499" s="4">
        <v>1974.99999999133</v>
      </c>
      <c r="D499" t="s">
        <v>173</v>
      </c>
      <c r="E499">
        <v>1975</v>
      </c>
      <c r="F499">
        <v>7015</v>
      </c>
      <c r="G499" s="8">
        <f t="shared" si="12"/>
        <v>-9.6513875180226125E-2</v>
      </c>
      <c r="H499" s="3">
        <f>STANDARDIZE(F499,K$8,L$8)</f>
        <v>4.3722874200884708E-3</v>
      </c>
    </row>
    <row r="500" spans="2:8" x14ac:dyDescent="0.3">
      <c r="B500" s="5">
        <v>27364</v>
      </c>
      <c r="C500" s="4">
        <v>1974.9166666579699</v>
      </c>
      <c r="D500" t="s">
        <v>157</v>
      </c>
      <c r="E500">
        <v>1974</v>
      </c>
      <c r="F500">
        <v>14159</v>
      </c>
      <c r="G500" s="8">
        <f t="shared" si="12"/>
        <v>2.643289348803683</v>
      </c>
      <c r="H500" s="3">
        <f>STANDARDIZE(F500,K$19,L$19)</f>
        <v>1.4739775594682418</v>
      </c>
    </row>
    <row r="501" spans="2:8" x14ac:dyDescent="0.3">
      <c r="B501" s="5">
        <v>27334</v>
      </c>
      <c r="C501" s="4">
        <v>1974.8333333246101</v>
      </c>
      <c r="D501" t="s">
        <v>158</v>
      </c>
      <c r="E501">
        <v>1974</v>
      </c>
      <c r="F501">
        <v>14475</v>
      </c>
      <c r="G501" s="8">
        <f t="shared" si="12"/>
        <v>2.7644788531120419</v>
      </c>
      <c r="H501" s="3">
        <f>STANDARDIZE(F501,K$18,L$18)</f>
        <v>1.7359871928566806</v>
      </c>
    </row>
    <row r="502" spans="2:8" x14ac:dyDescent="0.3">
      <c r="B502" s="5">
        <v>27303</v>
      </c>
      <c r="C502" s="4">
        <v>1974.74999999125</v>
      </c>
      <c r="D502" t="s">
        <v>160</v>
      </c>
      <c r="E502">
        <v>1974</v>
      </c>
      <c r="F502">
        <v>10593</v>
      </c>
      <c r="G502" s="8">
        <f t="shared" si="12"/>
        <v>1.2756888033492291</v>
      </c>
      <c r="H502" s="3">
        <f>STANDARDIZE(F502,K$17,L$17)</f>
        <v>1.0138959860925012</v>
      </c>
    </row>
    <row r="503" spans="2:8" x14ac:dyDescent="0.3">
      <c r="B503" s="5">
        <v>27273</v>
      </c>
      <c r="C503" s="4">
        <v>1974.6666666578899</v>
      </c>
      <c r="D503" t="s">
        <v>161</v>
      </c>
      <c r="E503">
        <v>1974</v>
      </c>
      <c r="F503">
        <v>7316</v>
      </c>
      <c r="G503" s="8">
        <f t="shared" si="12"/>
        <v>1.8922962784381485E-2</v>
      </c>
      <c r="H503" s="3">
        <f>STANDARDIZE(F503,K$16,L$16)</f>
        <v>-0.15340695425885034</v>
      </c>
    </row>
    <row r="504" spans="2:8" x14ac:dyDescent="0.3">
      <c r="B504" s="5">
        <v>27242</v>
      </c>
      <c r="C504" s="4">
        <v>1974.58333332453</v>
      </c>
      <c r="D504" t="s">
        <v>162</v>
      </c>
      <c r="E504">
        <v>1974</v>
      </c>
      <c r="F504">
        <v>7024</v>
      </c>
      <c r="G504" s="8">
        <f t="shared" si="12"/>
        <v>-9.3062275373975392E-2</v>
      </c>
      <c r="H504" s="3">
        <f>STANDARDIZE(F504,K$15,L$15)</f>
        <v>-0.20788923242236884</v>
      </c>
    </row>
    <row r="505" spans="2:8" x14ac:dyDescent="0.3">
      <c r="B505" s="5">
        <v>27211</v>
      </c>
      <c r="C505" s="4">
        <v>1974.4999999911699</v>
      </c>
      <c r="D505" t="s">
        <v>163</v>
      </c>
      <c r="E505">
        <v>1974</v>
      </c>
      <c r="F505">
        <v>7253</v>
      </c>
      <c r="G505" s="8">
        <f t="shared" si="12"/>
        <v>-5.2382358593735957E-3</v>
      </c>
      <c r="H505" s="3">
        <f>STANDARDIZE(F505,K$14,L$14)</f>
        <v>-0.38316291010380377</v>
      </c>
    </row>
    <row r="506" spans="2:8" x14ac:dyDescent="0.3">
      <c r="B506" s="5">
        <v>27181</v>
      </c>
      <c r="C506" s="4">
        <v>1974.4166666578101</v>
      </c>
      <c r="D506" t="s">
        <v>164</v>
      </c>
      <c r="E506">
        <v>1974</v>
      </c>
      <c r="F506">
        <v>7957</v>
      </c>
      <c r="G506" s="8">
        <f t="shared" si="12"/>
        <v>0.26475357120734982</v>
      </c>
      <c r="H506" s="3">
        <f>STANDARDIZE(F506,K$13,L$13)</f>
        <v>-0.15741148920228729</v>
      </c>
    </row>
    <row r="507" spans="2:8" x14ac:dyDescent="0.3">
      <c r="B507" s="5">
        <v>27150</v>
      </c>
      <c r="C507" s="4">
        <v>1974.33333332445</v>
      </c>
      <c r="D507" t="s">
        <v>165</v>
      </c>
      <c r="E507">
        <v>1974</v>
      </c>
      <c r="F507">
        <v>7658</v>
      </c>
      <c r="G507" s="8">
        <f t="shared" si="12"/>
        <v>0.15008375542190905</v>
      </c>
      <c r="H507" s="3">
        <f>STANDARDIZE(F507,K$12,L$12)</f>
        <v>0.5157158724487706</v>
      </c>
    </row>
    <row r="508" spans="2:8" x14ac:dyDescent="0.3">
      <c r="B508" s="5">
        <v>27120</v>
      </c>
      <c r="C508" s="4">
        <v>1974.2499999910899</v>
      </c>
      <c r="D508" t="s">
        <v>167</v>
      </c>
      <c r="E508">
        <v>1974</v>
      </c>
      <c r="F508">
        <v>6208</v>
      </c>
      <c r="G508" s="8">
        <f t="shared" si="12"/>
        <v>-0.4060073244740412</v>
      </c>
      <c r="H508" s="3">
        <f>STANDARDIZE(F508,K$11,L$11)</f>
        <v>0.92817594296026218</v>
      </c>
    </row>
    <row r="509" spans="2:8" x14ac:dyDescent="0.3">
      <c r="B509" s="5">
        <v>27089</v>
      </c>
      <c r="C509" s="4">
        <v>1974.16666665773</v>
      </c>
      <c r="D509" t="s">
        <v>169</v>
      </c>
      <c r="E509">
        <v>1974</v>
      </c>
      <c r="F509">
        <v>6449</v>
      </c>
      <c r="G509" s="8">
        <f t="shared" si="12"/>
        <v>-0.31358115188443841</v>
      </c>
      <c r="H509" s="3">
        <f>STANDARDIZE(F509,K$10,L$10)</f>
        <v>1.6264269890750838</v>
      </c>
    </row>
    <row r="510" spans="2:8" x14ac:dyDescent="0.3">
      <c r="B510" s="5">
        <v>27061</v>
      </c>
      <c r="C510" s="4">
        <v>1974.08333332437</v>
      </c>
      <c r="D510" t="s">
        <v>171</v>
      </c>
      <c r="E510">
        <v>1974</v>
      </c>
      <c r="F510">
        <v>7292</v>
      </c>
      <c r="G510" s="8">
        <f t="shared" si="12"/>
        <v>9.7186966343795495E-3</v>
      </c>
      <c r="H510" s="3">
        <f>STANDARDIZE(F510,K$9,L$9)</f>
        <v>1.7422376876129047</v>
      </c>
    </row>
    <row r="511" spans="2:8" x14ac:dyDescent="0.3">
      <c r="B511" s="5">
        <v>27030</v>
      </c>
      <c r="C511" s="4">
        <v>1973.9999999910101</v>
      </c>
      <c r="D511" t="s">
        <v>173</v>
      </c>
      <c r="E511">
        <v>1974</v>
      </c>
      <c r="F511">
        <v>10495</v>
      </c>
      <c r="G511" s="8">
        <f t="shared" si="12"/>
        <v>1.2381047165700545</v>
      </c>
      <c r="H511" s="3">
        <f>STANDARDIZE(F511,K$8,L$8)</f>
        <v>1.5236264094259522</v>
      </c>
    </row>
    <row r="512" spans="2:8" x14ac:dyDescent="0.3">
      <c r="B512" s="5">
        <v>26999</v>
      </c>
      <c r="C512" s="4">
        <v>1973.91666665765</v>
      </c>
      <c r="D512" t="s">
        <v>157</v>
      </c>
      <c r="E512">
        <v>1973</v>
      </c>
      <c r="F512">
        <v>12731</v>
      </c>
      <c r="G512" s="8">
        <f t="shared" si="12"/>
        <v>2.0956355128785682</v>
      </c>
      <c r="H512" s="3">
        <f>STANDARDIZE(F512,K$19,L$19)</f>
        <v>0.98065268401762906</v>
      </c>
    </row>
    <row r="513" spans="2:8" x14ac:dyDescent="0.3">
      <c r="B513" s="5">
        <v>26969</v>
      </c>
      <c r="C513" s="4">
        <v>1973.8333333242899</v>
      </c>
      <c r="D513" t="s">
        <v>158</v>
      </c>
      <c r="E513">
        <v>1973</v>
      </c>
      <c r="F513">
        <v>12396</v>
      </c>
      <c r="G513" s="8">
        <f t="shared" si="12"/>
        <v>1.9671592978681245</v>
      </c>
      <c r="H513" s="3">
        <f>STANDARDIZE(F513,K$18,L$18)</f>
        <v>0.94514006345068524</v>
      </c>
    </row>
    <row r="514" spans="2:8" x14ac:dyDescent="0.3">
      <c r="B514" s="5">
        <v>26938</v>
      </c>
      <c r="C514" s="4">
        <v>1973.7499999909301</v>
      </c>
      <c r="D514" t="s">
        <v>160</v>
      </c>
      <c r="E514">
        <v>1973</v>
      </c>
      <c r="F514">
        <v>11374</v>
      </c>
      <c r="G514" s="8">
        <f t="shared" si="12"/>
        <v>1.5752109643138754</v>
      </c>
      <c r="H514" s="3">
        <f>STANDARDIZE(F514,K$17,L$17)</f>
        <v>1.4100955062095826</v>
      </c>
    </row>
    <row r="515" spans="2:8" x14ac:dyDescent="0.3">
      <c r="B515" s="5">
        <v>26908</v>
      </c>
      <c r="C515" s="4">
        <v>1973.66666665757</v>
      </c>
      <c r="D515" t="s">
        <v>161</v>
      </c>
      <c r="E515">
        <v>1973</v>
      </c>
      <c r="F515">
        <v>9129</v>
      </c>
      <c r="G515" s="8">
        <f t="shared" si="12"/>
        <v>0.71422856819911096</v>
      </c>
      <c r="H515" s="3">
        <f>STANDARDIZE(F515,K$16,L$16)</f>
        <v>0.72400661740146899</v>
      </c>
    </row>
    <row r="516" spans="2:8" x14ac:dyDescent="0.3">
      <c r="B516" s="5">
        <v>26877</v>
      </c>
      <c r="C516" s="4">
        <v>1973.5833333242099</v>
      </c>
      <c r="D516" t="s">
        <v>162</v>
      </c>
      <c r="E516">
        <v>1973</v>
      </c>
      <c r="F516">
        <v>7417</v>
      </c>
      <c r="G516" s="8">
        <f t="shared" si="12"/>
        <v>5.7657582832306292E-2</v>
      </c>
      <c r="H516" s="3">
        <f>STANDARDIZE(F516,K$15,L$15)</f>
        <v>-1.5549981108960382E-2</v>
      </c>
    </row>
    <row r="517" spans="2:8" x14ac:dyDescent="0.3">
      <c r="B517" s="5">
        <v>26846</v>
      </c>
      <c r="C517" s="4">
        <v>1973.49999999085</v>
      </c>
      <c r="D517" t="s">
        <v>163</v>
      </c>
      <c r="E517">
        <v>1973</v>
      </c>
      <c r="F517">
        <v>6546</v>
      </c>
      <c r="G517" s="8">
        <f t="shared" si="12"/>
        <v>-0.27638057619484729</v>
      </c>
      <c r="H517" s="3">
        <f>STANDARDIZE(F517,K$14,L$14)</f>
        <v>-0.72641179106033305</v>
      </c>
    </row>
    <row r="518" spans="2:8" x14ac:dyDescent="0.3">
      <c r="B518" s="5">
        <v>26816</v>
      </c>
      <c r="C518" s="4">
        <v>1973.4166666574899</v>
      </c>
      <c r="D518" t="s">
        <v>164</v>
      </c>
      <c r="E518">
        <v>1973</v>
      </c>
      <c r="F518">
        <v>5443</v>
      </c>
      <c r="G518" s="8">
        <f t="shared" si="12"/>
        <v>-0.69939330800535293</v>
      </c>
      <c r="H518" s="3">
        <f>STANDARDIZE(F518,K$13,L$13)</f>
        <v>-1.6452123399229002</v>
      </c>
    </row>
    <row r="519" spans="2:8" x14ac:dyDescent="0.3">
      <c r="B519" s="5">
        <v>26785</v>
      </c>
      <c r="C519" s="4">
        <v>1973.3333333241301</v>
      </c>
      <c r="D519" t="s">
        <v>165</v>
      </c>
      <c r="E519">
        <v>1973</v>
      </c>
      <c r="F519">
        <v>4529</v>
      </c>
      <c r="G519" s="8">
        <f t="shared" si="12"/>
        <v>-1.0499224438845933</v>
      </c>
      <c r="H519" s="3">
        <f>STANDARDIZE(F519,K$12,L$12)</f>
        <v>-1.6346778054014002</v>
      </c>
    </row>
    <row r="520" spans="2:8" x14ac:dyDescent="0.3">
      <c r="B520" s="5">
        <v>26755</v>
      </c>
      <c r="C520" s="4">
        <v>1973.24999999077</v>
      </c>
      <c r="D520" t="s">
        <v>167</v>
      </c>
      <c r="E520">
        <v>1973</v>
      </c>
      <c r="F520">
        <v>2960</v>
      </c>
      <c r="G520" s="8">
        <f t="shared" ref="G520:G583" si="13">STANDARDIZE(F520,F$4,F$5)</f>
        <v>-1.6516513434409699</v>
      </c>
      <c r="H520" s="3">
        <f>STANDARDIZE(F520,K$11,L$11)</f>
        <v>-1.5464673650904011</v>
      </c>
    </row>
    <row r="521" spans="2:8" x14ac:dyDescent="0.3">
      <c r="B521" s="5">
        <v>26724</v>
      </c>
      <c r="C521" s="4">
        <v>1973.1666666574099</v>
      </c>
      <c r="D521" t="s">
        <v>169</v>
      </c>
      <c r="E521">
        <v>1973</v>
      </c>
      <c r="F521">
        <v>2304</v>
      </c>
      <c r="G521" s="8">
        <f t="shared" si="13"/>
        <v>-1.9032346182076894</v>
      </c>
      <c r="H521" s="3">
        <f>STANDARDIZE(F521,K$10,L$10)</f>
        <v>-1.3332996918795408</v>
      </c>
    </row>
    <row r="522" spans="2:8" x14ac:dyDescent="0.3">
      <c r="B522" s="5">
        <v>26696</v>
      </c>
      <c r="C522" s="4">
        <v>1973.08333332405</v>
      </c>
      <c r="D522" t="s">
        <v>171</v>
      </c>
      <c r="E522">
        <v>1973</v>
      </c>
      <c r="F522">
        <v>2436</v>
      </c>
      <c r="G522" s="8">
        <f t="shared" si="13"/>
        <v>-1.8526111543826786</v>
      </c>
      <c r="H522" s="3">
        <f>STANDARDIZE(F522,K$9,L$9)</f>
        <v>-1.3330681736805177</v>
      </c>
    </row>
    <row r="523" spans="2:8" x14ac:dyDescent="0.3">
      <c r="B523" s="5">
        <v>26665</v>
      </c>
      <c r="C523" s="4">
        <v>1972.99999999069</v>
      </c>
      <c r="D523" t="s">
        <v>173</v>
      </c>
      <c r="E523">
        <v>1973</v>
      </c>
      <c r="F523">
        <v>4160</v>
      </c>
      <c r="G523" s="8">
        <f t="shared" si="13"/>
        <v>-1.1914380359408729</v>
      </c>
      <c r="H523" s="3">
        <f>STANDARDIZE(F523,K$8,L$8)</f>
        <v>-1.2420272868117335</v>
      </c>
    </row>
    <row r="524" spans="2:8" x14ac:dyDescent="0.3">
      <c r="B524" s="5">
        <v>26634</v>
      </c>
      <c r="C524" s="4">
        <v>1972.9166666573301</v>
      </c>
      <c r="D524" t="s">
        <v>157</v>
      </c>
      <c r="E524">
        <v>1972</v>
      </c>
      <c r="F524">
        <v>7553</v>
      </c>
      <c r="G524" s="8">
        <f t="shared" si="13"/>
        <v>0.1098150910156506</v>
      </c>
      <c r="H524" s="3">
        <f>STANDARDIZE(F524,K$19,L$19)</f>
        <v>-0.80816818788942446</v>
      </c>
    </row>
    <row r="525" spans="2:8" x14ac:dyDescent="0.3">
      <c r="B525" s="5">
        <v>26604</v>
      </c>
      <c r="C525" s="4">
        <v>1972.83333332397</v>
      </c>
      <c r="D525" t="s">
        <v>158</v>
      </c>
      <c r="E525">
        <v>1972</v>
      </c>
      <c r="F525">
        <v>8036</v>
      </c>
      <c r="G525" s="8">
        <f t="shared" si="13"/>
        <v>0.29505094728443954</v>
      </c>
      <c r="H525" s="3">
        <f>STANDARDIZE(F525,K$18,L$18)</f>
        <v>-0.71339456098901666</v>
      </c>
    </row>
    <row r="526" spans="2:8" x14ac:dyDescent="0.3">
      <c r="B526" s="5">
        <v>26573</v>
      </c>
      <c r="C526" s="4">
        <v>1972.7499999906099</v>
      </c>
      <c r="D526" t="s">
        <v>160</v>
      </c>
      <c r="E526">
        <v>1972</v>
      </c>
      <c r="F526">
        <v>7051</v>
      </c>
      <c r="G526" s="8">
        <f t="shared" si="13"/>
        <v>-8.2707475955223222E-2</v>
      </c>
      <c r="H526" s="3">
        <f>STANDARDIZE(F526,K$17,L$17)</f>
        <v>-0.78295254176243068</v>
      </c>
    </row>
    <row r="527" spans="2:8" x14ac:dyDescent="0.3">
      <c r="B527" s="5">
        <v>26543</v>
      </c>
      <c r="C527" s="4">
        <v>1972.6666666572501</v>
      </c>
      <c r="D527" t="s">
        <v>161</v>
      </c>
      <c r="E527">
        <v>1972</v>
      </c>
      <c r="F527">
        <v>6590</v>
      </c>
      <c r="G527" s="8">
        <f t="shared" si="13"/>
        <v>-0.25950608825317706</v>
      </c>
      <c r="H527" s="3">
        <f>STANDARDIZE(F527,K$16,L$16)</f>
        <v>-0.50475954831587833</v>
      </c>
    </row>
    <row r="528" spans="2:8" x14ac:dyDescent="0.3">
      <c r="B528" s="5">
        <v>26512</v>
      </c>
      <c r="C528" s="4">
        <v>1972.58333332389</v>
      </c>
      <c r="D528" t="s">
        <v>162</v>
      </c>
      <c r="E528">
        <v>1972</v>
      </c>
      <c r="F528">
        <v>6556</v>
      </c>
      <c r="G528" s="8">
        <f t="shared" si="13"/>
        <v>-0.27254546529901313</v>
      </c>
      <c r="H528" s="3">
        <f>STANDARDIZE(F528,K$15,L$15)</f>
        <v>-0.43693444772688578</v>
      </c>
    </row>
    <row r="529" spans="2:8" x14ac:dyDescent="0.3">
      <c r="B529" s="5">
        <v>26481</v>
      </c>
      <c r="C529" s="4">
        <v>1972.4999999905299</v>
      </c>
      <c r="D529" t="s">
        <v>163</v>
      </c>
      <c r="E529">
        <v>1972</v>
      </c>
      <c r="F529">
        <v>9531</v>
      </c>
      <c r="G529" s="8">
        <f t="shared" si="13"/>
        <v>0.86840002621164347</v>
      </c>
      <c r="H529" s="3">
        <f>STANDARDIZE(F529,K$14,L$14)</f>
        <v>0.72280731736291992</v>
      </c>
    </row>
    <row r="530" spans="2:8" x14ac:dyDescent="0.3">
      <c r="B530" s="5">
        <v>26451</v>
      </c>
      <c r="C530" s="4">
        <v>1972.41666665717</v>
      </c>
      <c r="D530" t="s">
        <v>164</v>
      </c>
      <c r="E530">
        <v>1972</v>
      </c>
      <c r="F530">
        <v>9887</v>
      </c>
      <c r="G530" s="8">
        <f t="shared" si="13"/>
        <v>1.0049299741033388</v>
      </c>
      <c r="H530" s="3">
        <f>STANDARDIZE(F530,K$13,L$13)</f>
        <v>0.98477452586962311</v>
      </c>
    </row>
    <row r="531" spans="2:8" x14ac:dyDescent="0.3">
      <c r="B531" s="5">
        <v>26420</v>
      </c>
      <c r="C531" s="4">
        <v>1972.3333333238099</v>
      </c>
      <c r="D531" t="s">
        <v>165</v>
      </c>
      <c r="E531">
        <v>1972</v>
      </c>
      <c r="F531">
        <v>7967</v>
      </c>
      <c r="G531" s="8">
        <f t="shared" si="13"/>
        <v>0.26858868210318398</v>
      </c>
      <c r="H531" s="3">
        <f>STANDARDIZE(F531,K$12,L$12)</f>
        <v>0.72807497965736856</v>
      </c>
    </row>
    <row r="532" spans="2:8" x14ac:dyDescent="0.3">
      <c r="B532" s="5">
        <v>26390</v>
      </c>
      <c r="C532" s="4">
        <v>1972.2499999904501</v>
      </c>
      <c r="D532" t="s">
        <v>167</v>
      </c>
      <c r="E532">
        <v>1972</v>
      </c>
      <c r="F532">
        <v>5426</v>
      </c>
      <c r="G532" s="8">
        <f t="shared" si="13"/>
        <v>-0.70591299652827089</v>
      </c>
      <c r="H532" s="3">
        <f>STANDARDIZE(F532,K$11,L$11)</f>
        <v>0.33237204305397566</v>
      </c>
    </row>
    <row r="533" spans="2:8" x14ac:dyDescent="0.3">
      <c r="B533" s="5">
        <v>26359</v>
      </c>
      <c r="C533" s="4">
        <v>1972.16666665709</v>
      </c>
      <c r="D533" t="s">
        <v>169</v>
      </c>
      <c r="E533">
        <v>1972</v>
      </c>
      <c r="F533">
        <v>4347</v>
      </c>
      <c r="G533" s="8">
        <f t="shared" si="13"/>
        <v>-1.1197214621887746</v>
      </c>
      <c r="H533" s="3">
        <f>STANDARDIZE(F533,K$10,L$10)</f>
        <v>0.12549924881775665</v>
      </c>
    </row>
    <row r="534" spans="2:8" x14ac:dyDescent="0.3">
      <c r="B534" s="5">
        <v>26330</v>
      </c>
      <c r="C534" s="4">
        <v>1972.0833333237299</v>
      </c>
      <c r="D534" t="s">
        <v>171</v>
      </c>
      <c r="E534">
        <v>1972</v>
      </c>
      <c r="F534">
        <v>5918</v>
      </c>
      <c r="G534" s="8">
        <f t="shared" si="13"/>
        <v>-0.51722554045323121</v>
      </c>
      <c r="H534" s="3">
        <f>STANDARDIZE(F534,K$9,L$9)</f>
        <v>0.87208318732106727</v>
      </c>
    </row>
    <row r="535" spans="2:8" x14ac:dyDescent="0.3">
      <c r="B535" s="5">
        <v>26299</v>
      </c>
      <c r="C535" s="4">
        <v>1971.99999999037</v>
      </c>
      <c r="D535" t="s">
        <v>173</v>
      </c>
      <c r="E535">
        <v>1972</v>
      </c>
      <c r="F535">
        <v>7223</v>
      </c>
      <c r="G535" s="8">
        <f t="shared" si="13"/>
        <v>-1.6743568546876014E-2</v>
      </c>
      <c r="H535" s="3">
        <f>STANDARDIZE(F535,K$8,L$8)</f>
        <v>9.517828091928951E-2</v>
      </c>
    </row>
    <row r="536" spans="2:8" x14ac:dyDescent="0.3">
      <c r="B536" s="5">
        <v>26268</v>
      </c>
      <c r="C536" s="4">
        <v>1971.91666665701</v>
      </c>
      <c r="D536" t="s">
        <v>157</v>
      </c>
      <c r="E536">
        <v>1971</v>
      </c>
      <c r="F536">
        <v>10721</v>
      </c>
      <c r="G536" s="8">
        <f t="shared" si="13"/>
        <v>1.324778222815906</v>
      </c>
      <c r="H536" s="3">
        <f>STANDARDIZE(F536,K$19,L$19)</f>
        <v>0.28626682991697677</v>
      </c>
    </row>
    <row r="537" spans="2:8" x14ac:dyDescent="0.3">
      <c r="B537" s="5">
        <v>26238</v>
      </c>
      <c r="C537" s="4">
        <v>1971.8333333236501</v>
      </c>
      <c r="D537" t="s">
        <v>158</v>
      </c>
      <c r="E537">
        <v>1971</v>
      </c>
      <c r="F537">
        <v>12027</v>
      </c>
      <c r="G537" s="8">
        <f t="shared" si="13"/>
        <v>1.8256437058118447</v>
      </c>
      <c r="H537" s="3">
        <f>STANDARDIZE(F537,K$18,L$18)</f>
        <v>0.80477325693273793</v>
      </c>
    </row>
    <row r="538" spans="2:8" x14ac:dyDescent="0.3">
      <c r="B538" s="5">
        <v>26207</v>
      </c>
      <c r="C538" s="4">
        <v>1971.74999999029</v>
      </c>
      <c r="D538" t="s">
        <v>160</v>
      </c>
      <c r="E538">
        <v>1971</v>
      </c>
      <c r="F538">
        <v>11315</v>
      </c>
      <c r="G538" s="8">
        <f t="shared" si="13"/>
        <v>1.5525838100284539</v>
      </c>
      <c r="H538" s="3">
        <f>STANDARDIZE(F538,K$17,L$17)</f>
        <v>1.3801649406693677</v>
      </c>
    </row>
    <row r="539" spans="2:8" x14ac:dyDescent="0.3">
      <c r="B539" s="5">
        <v>26177</v>
      </c>
      <c r="C539" s="4">
        <v>1971.6666666569299</v>
      </c>
      <c r="D539" t="s">
        <v>161</v>
      </c>
      <c r="E539">
        <v>1971</v>
      </c>
      <c r="F539">
        <v>10591</v>
      </c>
      <c r="G539" s="8">
        <f t="shared" si="13"/>
        <v>1.2749217811700622</v>
      </c>
      <c r="H539" s="3">
        <f>STANDARDIZE(F539,K$16,L$16)</f>
        <v>1.4315513729267788</v>
      </c>
    </row>
    <row r="540" spans="2:8" x14ac:dyDescent="0.3">
      <c r="B540" s="5">
        <v>26146</v>
      </c>
      <c r="C540" s="4">
        <v>1971.5833333235701</v>
      </c>
      <c r="D540" t="s">
        <v>162</v>
      </c>
      <c r="E540">
        <v>1971</v>
      </c>
      <c r="F540">
        <v>9767</v>
      </c>
      <c r="G540" s="8">
        <f t="shared" si="13"/>
        <v>0.95890864335332915</v>
      </c>
      <c r="H540" s="3">
        <f>STANDARDIZE(F540,K$15,L$15)</f>
        <v>1.1345702239457722</v>
      </c>
    </row>
    <row r="541" spans="2:8" x14ac:dyDescent="0.3">
      <c r="B541" s="5">
        <v>26115</v>
      </c>
      <c r="C541" s="4">
        <v>1971.49999999021</v>
      </c>
      <c r="D541" t="s">
        <v>163</v>
      </c>
      <c r="E541">
        <v>1971</v>
      </c>
      <c r="F541">
        <v>10931</v>
      </c>
      <c r="G541" s="8">
        <f t="shared" si="13"/>
        <v>1.405315551628423</v>
      </c>
      <c r="H541" s="3">
        <f>STANDARDIZE(F541,K$14,L$14)</f>
        <v>1.4025080717322849</v>
      </c>
    </row>
    <row r="542" spans="2:8" x14ac:dyDescent="0.3">
      <c r="B542" s="5">
        <v>26085</v>
      </c>
      <c r="C542" s="4">
        <v>1971.4166666568501</v>
      </c>
      <c r="D542" t="s">
        <v>164</v>
      </c>
      <c r="E542">
        <v>1971</v>
      </c>
      <c r="F542">
        <v>11467</v>
      </c>
      <c r="G542" s="8">
        <f t="shared" si="13"/>
        <v>1.6108774956451328</v>
      </c>
      <c r="H542" s="3">
        <f>STANDARDIZE(F542,K$13,L$13)</f>
        <v>1.9198283620424825</v>
      </c>
    </row>
    <row r="543" spans="2:8" x14ac:dyDescent="0.3">
      <c r="B543" s="5">
        <v>26054</v>
      </c>
      <c r="C543" s="4">
        <v>1971.33333332349</v>
      </c>
      <c r="D543" t="s">
        <v>165</v>
      </c>
      <c r="E543">
        <v>1971</v>
      </c>
      <c r="F543">
        <v>9970</v>
      </c>
      <c r="G543" s="8">
        <f t="shared" si="13"/>
        <v>1.0367613945387621</v>
      </c>
      <c r="H543" s="3">
        <f>STANDARDIZE(F543,K$12,L$12)</f>
        <v>2.104629321854202</v>
      </c>
    </row>
    <row r="544" spans="2:8" x14ac:dyDescent="0.3">
      <c r="B544" s="5">
        <v>26024</v>
      </c>
      <c r="C544" s="4">
        <v>1971.2499999901299</v>
      </c>
      <c r="D544" t="s">
        <v>167</v>
      </c>
      <c r="E544">
        <v>1971</v>
      </c>
      <c r="F544">
        <v>9037</v>
      </c>
      <c r="G544" s="8">
        <f t="shared" si="13"/>
        <v>0.67894554795743689</v>
      </c>
      <c r="H544" s="3">
        <f>STANDARDIZE(F544,K$11,L$11)</f>
        <v>3.0835841690918282</v>
      </c>
    </row>
    <row r="545" spans="2:8" x14ac:dyDescent="0.3">
      <c r="B545" s="5">
        <v>25993</v>
      </c>
      <c r="C545" s="4">
        <v>1971.1666666567701</v>
      </c>
      <c r="D545" t="s">
        <v>169</v>
      </c>
      <c r="E545">
        <v>1971</v>
      </c>
      <c r="F545">
        <v>8075</v>
      </c>
      <c r="G545" s="8">
        <f t="shared" si="13"/>
        <v>0.31000787977819266</v>
      </c>
      <c r="H545" s="3">
        <f>STANDARDIZE(F545,K$10,L$10)</f>
        <v>2.7874681430514938</v>
      </c>
    </row>
    <row r="546" spans="2:8" x14ac:dyDescent="0.3">
      <c r="B546" s="5">
        <v>25965</v>
      </c>
      <c r="C546" s="4">
        <v>1971.08333332341</v>
      </c>
      <c r="D546" t="s">
        <v>171</v>
      </c>
      <c r="E546">
        <v>1971</v>
      </c>
      <c r="F546">
        <v>9078</v>
      </c>
      <c r="G546" s="8">
        <f t="shared" si="13"/>
        <v>0.69466950263035687</v>
      </c>
      <c r="H546" s="3">
        <f>STANDARDIZE(F546,K$9,L$9)</f>
        <v>2.8733118779485824</v>
      </c>
    </row>
    <row r="547" spans="2:8" x14ac:dyDescent="0.3">
      <c r="B547" s="5">
        <v>25934</v>
      </c>
      <c r="C547" s="4">
        <v>1970.9999999900499</v>
      </c>
      <c r="D547" t="s">
        <v>173</v>
      </c>
      <c r="E547">
        <v>1971</v>
      </c>
      <c r="F547">
        <v>10874</v>
      </c>
      <c r="G547" s="8">
        <f t="shared" si="13"/>
        <v>1.3834554195221684</v>
      </c>
      <c r="H547" s="3">
        <f>STANDARDIZE(F547,K$8,L$8)</f>
        <v>1.689085407196131</v>
      </c>
    </row>
    <row r="548" spans="2:8" x14ac:dyDescent="0.3">
      <c r="B548" s="5">
        <v>25903</v>
      </c>
      <c r="C548" s="4">
        <v>1970.91666665669</v>
      </c>
      <c r="D548" t="s">
        <v>157</v>
      </c>
      <c r="E548">
        <v>1970</v>
      </c>
      <c r="F548">
        <v>10483</v>
      </c>
      <c r="G548" s="8">
        <f t="shared" si="13"/>
        <v>1.2335025834950535</v>
      </c>
      <c r="H548" s="3">
        <f>STANDARDIZE(F548,K$19,L$19)</f>
        <v>0.20404601734187466</v>
      </c>
    </row>
    <row r="549" spans="2:8" x14ac:dyDescent="0.3">
      <c r="B549" s="5">
        <v>25873</v>
      </c>
      <c r="C549" s="4">
        <v>1970.83333332333</v>
      </c>
      <c r="D549" t="s">
        <v>158</v>
      </c>
      <c r="E549">
        <v>1970</v>
      </c>
      <c r="F549">
        <v>10589</v>
      </c>
      <c r="G549" s="8">
        <f t="shared" si="13"/>
        <v>1.2741547589908955</v>
      </c>
      <c r="H549" s="3">
        <f>STANDARDIZE(F549,K$18,L$18)</f>
        <v>0.25776114914735004</v>
      </c>
    </row>
    <row r="550" spans="2:8" x14ac:dyDescent="0.3">
      <c r="B550" s="5">
        <v>25842</v>
      </c>
      <c r="C550" s="4">
        <v>1970.7499999899701</v>
      </c>
      <c r="D550" t="s">
        <v>160</v>
      </c>
      <c r="E550">
        <v>1970</v>
      </c>
      <c r="F550">
        <v>11062</v>
      </c>
      <c r="G550" s="8">
        <f t="shared" si="13"/>
        <v>1.4555555043638502</v>
      </c>
      <c r="H550" s="3">
        <f>STANDARDIZE(F550,K$17,L$17)</f>
        <v>1.2518186172511583</v>
      </c>
    </row>
    <row r="551" spans="2:8" x14ac:dyDescent="0.3">
      <c r="B551" s="5">
        <v>25812</v>
      </c>
      <c r="C551" s="4">
        <v>1970.66666665661</v>
      </c>
      <c r="D551" t="s">
        <v>161</v>
      </c>
      <c r="E551">
        <v>1970</v>
      </c>
      <c r="F551">
        <v>10099</v>
      </c>
      <c r="G551" s="8">
        <f t="shared" si="13"/>
        <v>1.0862343250950226</v>
      </c>
      <c r="H551" s="3">
        <f>STANDARDIZE(F551,K$16,L$16)</f>
        <v>1.1934446562930905</v>
      </c>
    </row>
    <row r="552" spans="2:8" x14ac:dyDescent="0.3">
      <c r="B552" s="5">
        <v>25781</v>
      </c>
      <c r="C552" s="4">
        <v>1970.5833333232499</v>
      </c>
      <c r="D552" t="s">
        <v>162</v>
      </c>
      <c r="E552">
        <v>1970</v>
      </c>
      <c r="F552">
        <v>9101</v>
      </c>
      <c r="G552" s="8">
        <f t="shared" si="13"/>
        <v>0.70349025769077544</v>
      </c>
      <c r="H552" s="3">
        <f>STANDARDIZE(F552,K$15,L$15)</f>
        <v>0.80862126370472875</v>
      </c>
    </row>
    <row r="553" spans="2:8" x14ac:dyDescent="0.3">
      <c r="B553" s="5">
        <v>25750</v>
      </c>
      <c r="C553" s="4">
        <v>1970.4999999898901</v>
      </c>
      <c r="D553" t="s">
        <v>163</v>
      </c>
      <c r="E553">
        <v>1970</v>
      </c>
      <c r="F553">
        <v>8772</v>
      </c>
      <c r="G553" s="8">
        <f t="shared" si="13"/>
        <v>0.57731510921783225</v>
      </c>
      <c r="H553" s="3">
        <f>STANDARDIZE(F553,K$14,L$14)</f>
        <v>0.3543124083869571</v>
      </c>
    </row>
    <row r="554" spans="2:8" x14ac:dyDescent="0.3">
      <c r="B554" s="5">
        <v>25720</v>
      </c>
      <c r="C554" s="4">
        <v>1970.41666665653</v>
      </c>
      <c r="D554" t="s">
        <v>164</v>
      </c>
      <c r="E554">
        <v>1970</v>
      </c>
      <c r="F554">
        <v>9005</v>
      </c>
      <c r="G554" s="8">
        <f t="shared" si="13"/>
        <v>0.66667319309076767</v>
      </c>
      <c r="H554" s="3">
        <f>STANDARDIZE(F554,K$13,L$13)</f>
        <v>0.46280143504401433</v>
      </c>
    </row>
    <row r="555" spans="2:8" x14ac:dyDescent="0.3">
      <c r="B555" s="5">
        <v>25689</v>
      </c>
      <c r="C555" s="4">
        <v>1970.3333333231701</v>
      </c>
      <c r="D555" t="s">
        <v>165</v>
      </c>
      <c r="E555">
        <v>1970</v>
      </c>
      <c r="F555">
        <v>7166</v>
      </c>
      <c r="G555" s="8">
        <f t="shared" si="13"/>
        <v>-3.860370065313061E-2</v>
      </c>
      <c r="H555" s="3">
        <f>STANDARDIZE(F555,K$12,L$12)</f>
        <v>0.1775906920389643</v>
      </c>
    </row>
    <row r="556" spans="2:8" x14ac:dyDescent="0.3">
      <c r="B556" s="5">
        <v>25659</v>
      </c>
      <c r="C556" s="4">
        <v>1970.24999998981</v>
      </c>
      <c r="D556" t="s">
        <v>167</v>
      </c>
      <c r="E556">
        <v>1970</v>
      </c>
      <c r="F556">
        <v>4971</v>
      </c>
      <c r="G556" s="8">
        <f t="shared" si="13"/>
        <v>-0.88041054228872428</v>
      </c>
      <c r="H556" s="3">
        <f>STANDARDIZE(F556,K$11,L$11)</f>
        <v>-1.4291351392776706E-2</v>
      </c>
    </row>
    <row r="557" spans="2:8" x14ac:dyDescent="0.3">
      <c r="B557" s="5">
        <v>25628</v>
      </c>
      <c r="C557" s="4">
        <v>1970.1666666564499</v>
      </c>
      <c r="D557" t="s">
        <v>169</v>
      </c>
      <c r="E557">
        <v>1970</v>
      </c>
      <c r="F557">
        <v>4546</v>
      </c>
      <c r="G557" s="8">
        <f t="shared" si="13"/>
        <v>-1.0434027553616751</v>
      </c>
      <c r="H557" s="3">
        <f>STANDARDIZE(F557,K$10,L$10)</f>
        <v>0.26759469140158543</v>
      </c>
    </row>
    <row r="558" spans="2:8" x14ac:dyDescent="0.3">
      <c r="B558" s="5">
        <v>25600</v>
      </c>
      <c r="C558" s="4">
        <v>1970.0833333230901</v>
      </c>
      <c r="D558" t="s">
        <v>171</v>
      </c>
      <c r="E558">
        <v>1970</v>
      </c>
      <c r="F558">
        <v>5731</v>
      </c>
      <c r="G558" s="8">
        <f t="shared" si="13"/>
        <v>-0.5889421142053296</v>
      </c>
      <c r="H558" s="3">
        <f>STANDARDIZE(F558,K$9,L$9)</f>
        <v>0.75365604645165418</v>
      </c>
    </row>
    <row r="559" spans="2:8" x14ac:dyDescent="0.3">
      <c r="B559" s="5">
        <v>25569</v>
      </c>
      <c r="C559" s="4">
        <v>1969.99999998973</v>
      </c>
      <c r="D559" t="s">
        <v>173</v>
      </c>
      <c r="E559">
        <v>1970</v>
      </c>
      <c r="F559">
        <v>9141</v>
      </c>
      <c r="G559" s="8">
        <f t="shared" si="13"/>
        <v>0.71883070127411197</v>
      </c>
      <c r="H559" s="3">
        <f>STANDARDIZE(F559,K$8,L$8)</f>
        <v>0.93251431712826838</v>
      </c>
    </row>
    <row r="560" spans="2:8" x14ac:dyDescent="0.3">
      <c r="B560" s="5">
        <v>25538</v>
      </c>
      <c r="C560" s="4">
        <v>1969.9166666563699</v>
      </c>
      <c r="D560" t="s">
        <v>157</v>
      </c>
      <c r="E560">
        <v>1969</v>
      </c>
      <c r="F560">
        <v>11668</v>
      </c>
      <c r="G560" s="8">
        <f t="shared" si="13"/>
        <v>1.6879632246513991</v>
      </c>
      <c r="H560" s="3">
        <f>STANDARDIZE(F560,K$19,L$19)</f>
        <v>0.61342275222210996</v>
      </c>
    </row>
    <row r="561" spans="2:8" x14ac:dyDescent="0.3">
      <c r="B561" s="5">
        <v>25508</v>
      </c>
      <c r="C561" s="4">
        <v>1969.83333332301</v>
      </c>
      <c r="D561" t="s">
        <v>158</v>
      </c>
      <c r="E561">
        <v>1969</v>
      </c>
      <c r="F561">
        <v>11160</v>
      </c>
      <c r="G561" s="8">
        <f t="shared" si="13"/>
        <v>1.4931395911430247</v>
      </c>
      <c r="H561" s="3">
        <f>STANDARDIZE(F561,K$18,L$18)</f>
        <v>0.47496832129300826</v>
      </c>
    </row>
    <row r="562" spans="2:8" x14ac:dyDescent="0.3">
      <c r="B562" s="5">
        <v>25477</v>
      </c>
      <c r="C562" s="4">
        <v>1969.74999998965</v>
      </c>
      <c r="D562" t="s">
        <v>160</v>
      </c>
      <c r="E562">
        <v>1969</v>
      </c>
      <c r="F562">
        <v>9205</v>
      </c>
      <c r="G562" s="8">
        <f t="shared" si="13"/>
        <v>0.74337541100745042</v>
      </c>
      <c r="H562" s="3">
        <f>STANDARDIZE(F562,K$17,L$17)</f>
        <v>0.30976674931592152</v>
      </c>
    </row>
    <row r="563" spans="2:8" x14ac:dyDescent="0.3">
      <c r="B563" s="5">
        <v>25447</v>
      </c>
      <c r="C563" s="4">
        <v>1969.6666666562901</v>
      </c>
      <c r="D563" t="s">
        <v>161</v>
      </c>
      <c r="E563">
        <v>1969</v>
      </c>
      <c r="F563">
        <v>7402</v>
      </c>
      <c r="G563" s="8">
        <f t="shared" si="13"/>
        <v>5.1904916488555088E-2</v>
      </c>
      <c r="H563" s="3">
        <f>STANDARDIZE(F563,K$16,L$16)</f>
        <v>-0.11178667452206741</v>
      </c>
    </row>
    <row r="564" spans="2:8" x14ac:dyDescent="0.3">
      <c r="B564" s="5">
        <v>25416</v>
      </c>
      <c r="C564" s="4">
        <v>1969.58333332293</v>
      </c>
      <c r="D564" t="s">
        <v>162</v>
      </c>
      <c r="E564">
        <v>1969</v>
      </c>
      <c r="F564">
        <v>6634</v>
      </c>
      <c r="G564" s="8">
        <f t="shared" si="13"/>
        <v>-0.24263160031150685</v>
      </c>
      <c r="H564" s="3">
        <f>STANDARDIZE(F564,K$15,L$15)</f>
        <v>-0.39876024517613295</v>
      </c>
    </row>
    <row r="565" spans="2:8" x14ac:dyDescent="0.3">
      <c r="B565" s="5">
        <v>25385</v>
      </c>
      <c r="C565" s="4">
        <v>1969.4999999895699</v>
      </c>
      <c r="D565" t="s">
        <v>163</v>
      </c>
      <c r="E565">
        <v>1969</v>
      </c>
      <c r="F565">
        <v>7507</v>
      </c>
      <c r="G565" s="8">
        <f t="shared" si="13"/>
        <v>9.2173580894813548E-2</v>
      </c>
      <c r="H565" s="3">
        <f>STANDARDIZE(F565,K$14,L$14)</f>
        <v>-0.25984577323964758</v>
      </c>
    </row>
    <row r="566" spans="2:8" x14ac:dyDescent="0.3">
      <c r="B566" s="5">
        <v>25355</v>
      </c>
      <c r="C566" s="4">
        <v>1969.4166666562101</v>
      </c>
      <c r="D566" t="s">
        <v>164</v>
      </c>
      <c r="E566">
        <v>1969</v>
      </c>
      <c r="F566">
        <v>8598</v>
      </c>
      <c r="G566" s="8">
        <f t="shared" si="13"/>
        <v>0.51058417963031821</v>
      </c>
      <c r="H566" s="3">
        <f>STANDARDIZE(F566,K$13,L$13)</f>
        <v>0.22193630129568917</v>
      </c>
    </row>
    <row r="567" spans="2:8" x14ac:dyDescent="0.3">
      <c r="B567" s="5">
        <v>25324</v>
      </c>
      <c r="C567" s="4">
        <v>1969.33333332285</v>
      </c>
      <c r="D567" t="s">
        <v>165</v>
      </c>
      <c r="E567">
        <v>1969</v>
      </c>
      <c r="F567">
        <v>7686</v>
      </c>
      <c r="G567" s="8">
        <f t="shared" si="13"/>
        <v>0.16082206593024465</v>
      </c>
      <c r="H567" s="3">
        <f>STANDARDIZE(F567,K$12,L$12)</f>
        <v>0.53495876889485716</v>
      </c>
    </row>
    <row r="568" spans="2:8" x14ac:dyDescent="0.3">
      <c r="B568" s="5">
        <v>25294</v>
      </c>
      <c r="C568" s="4">
        <v>1969.2499999894901</v>
      </c>
      <c r="D568" t="s">
        <v>167</v>
      </c>
      <c r="E568">
        <v>1969</v>
      </c>
      <c r="F568">
        <v>5190</v>
      </c>
      <c r="G568" s="8">
        <f t="shared" si="13"/>
        <v>-0.79642161366995656</v>
      </c>
      <c r="H568" s="3">
        <f>STANDARDIZE(F568,K$11,L$11)</f>
        <v>0.15256421648379204</v>
      </c>
    </row>
    <row r="569" spans="2:8" x14ac:dyDescent="0.3">
      <c r="B569" s="5">
        <v>25263</v>
      </c>
      <c r="C569" s="4">
        <v>1969.16666665613</v>
      </c>
      <c r="D569" t="s">
        <v>169</v>
      </c>
      <c r="E569">
        <v>1969</v>
      </c>
      <c r="F569">
        <v>3650</v>
      </c>
      <c r="G569" s="8">
        <f t="shared" si="13"/>
        <v>-1.387028691628414</v>
      </c>
      <c r="H569" s="3">
        <f>STANDARDIZE(F569,K$10,L$10)</f>
        <v>-0.37219182395072908</v>
      </c>
    </row>
    <row r="570" spans="2:8" x14ac:dyDescent="0.3">
      <c r="B570" s="5">
        <v>25235</v>
      </c>
      <c r="C570" s="4">
        <v>1969.0833333227699</v>
      </c>
      <c r="D570" t="s">
        <v>171</v>
      </c>
      <c r="E570">
        <v>1969</v>
      </c>
      <c r="F570">
        <v>4114</v>
      </c>
      <c r="G570" s="8">
        <f t="shared" si="13"/>
        <v>-1.2090795460617101</v>
      </c>
      <c r="H570" s="3">
        <f>STANDARDIZE(F570,K$9,L$9)</f>
        <v>-0.27039040694856492</v>
      </c>
    </row>
    <row r="571" spans="2:8" x14ac:dyDescent="0.3">
      <c r="B571" s="5">
        <v>25204</v>
      </c>
      <c r="C571" s="4">
        <v>1968.9999999894101</v>
      </c>
      <c r="D571" t="s">
        <v>173</v>
      </c>
      <c r="E571">
        <v>1969</v>
      </c>
      <c r="F571">
        <v>6294</v>
      </c>
      <c r="G571" s="8">
        <f t="shared" si="13"/>
        <v>-0.37302537076986758</v>
      </c>
      <c r="H571" s="3">
        <f>STANDARDIZE(F571,K$8,L$8)</f>
        <v>-0.31039271889204589</v>
      </c>
    </row>
    <row r="572" spans="2:8" x14ac:dyDescent="0.3">
      <c r="B572" s="5">
        <v>25173</v>
      </c>
      <c r="C572" s="4">
        <v>1968.91666665605</v>
      </c>
      <c r="D572" t="s">
        <v>157</v>
      </c>
      <c r="E572">
        <v>1968</v>
      </c>
      <c r="F572">
        <v>10426</v>
      </c>
      <c r="G572" s="8">
        <f t="shared" si="13"/>
        <v>1.2116424513887989</v>
      </c>
      <c r="H572" s="3">
        <f>STANDARDIZE(F572,K$19,L$19)</f>
        <v>0.18435447819573678</v>
      </c>
    </row>
    <row r="573" spans="2:8" x14ac:dyDescent="0.3">
      <c r="B573" s="5">
        <v>25143</v>
      </c>
      <c r="C573" s="4">
        <v>1968.8333333226899</v>
      </c>
      <c r="D573" t="s">
        <v>158</v>
      </c>
      <c r="E573">
        <v>1968</v>
      </c>
      <c r="F573">
        <v>10413</v>
      </c>
      <c r="G573" s="8">
        <f t="shared" si="13"/>
        <v>1.2066568072242145</v>
      </c>
      <c r="H573" s="3">
        <f>STANDARDIZE(F573,K$18,L$18)</f>
        <v>0.19081112761033453</v>
      </c>
    </row>
    <row r="574" spans="2:8" x14ac:dyDescent="0.3">
      <c r="B574" s="5">
        <v>25112</v>
      </c>
      <c r="C574" s="4">
        <v>1968.74999998933</v>
      </c>
      <c r="D574" t="s">
        <v>160</v>
      </c>
      <c r="E574">
        <v>1968</v>
      </c>
      <c r="F574">
        <v>9339</v>
      </c>
      <c r="G574" s="8">
        <f t="shared" si="13"/>
        <v>0.79476589701162792</v>
      </c>
      <c r="H574" s="3">
        <f>STANDARDIZE(F574,K$17,L$17)</f>
        <v>0.37774464393268065</v>
      </c>
    </row>
    <row r="575" spans="2:8" x14ac:dyDescent="0.3">
      <c r="B575" s="5">
        <v>25082</v>
      </c>
      <c r="C575" s="4">
        <v>1968.6666666559599</v>
      </c>
      <c r="D575" t="s">
        <v>161</v>
      </c>
      <c r="E575">
        <v>1968</v>
      </c>
      <c r="F575">
        <v>8547</v>
      </c>
      <c r="G575" s="8">
        <f t="shared" si="13"/>
        <v>0.49102511406156407</v>
      </c>
      <c r="H575" s="3">
        <f>STANDARDIZE(F575,K$16,L$16)</f>
        <v>0.44234379406649604</v>
      </c>
    </row>
    <row r="576" spans="2:8" x14ac:dyDescent="0.3">
      <c r="B576" s="5">
        <v>25051</v>
      </c>
      <c r="C576" s="4">
        <v>1968.5833333226001</v>
      </c>
      <c r="D576" t="s">
        <v>162</v>
      </c>
      <c r="E576">
        <v>1968</v>
      </c>
      <c r="F576">
        <v>8243</v>
      </c>
      <c r="G576" s="8">
        <f t="shared" si="13"/>
        <v>0.37443774282820624</v>
      </c>
      <c r="H576" s="3">
        <f>STANDARDIZE(F576,K$15,L$15)</f>
        <v>0.38870503564644776</v>
      </c>
    </row>
    <row r="577" spans="2:8" x14ac:dyDescent="0.3">
      <c r="B577" s="5">
        <v>25020</v>
      </c>
      <c r="C577" s="4">
        <v>1968.49999998924</v>
      </c>
      <c r="D577" t="s">
        <v>163</v>
      </c>
      <c r="E577">
        <v>1968</v>
      </c>
      <c r="F577">
        <v>8602</v>
      </c>
      <c r="G577" s="8">
        <f t="shared" si="13"/>
        <v>0.51211822398865181</v>
      </c>
      <c r="H577" s="3">
        <f>STANDARDIZE(F577,K$14,L$14)</f>
        <v>0.27177731678496281</v>
      </c>
    </row>
    <row r="578" spans="2:8" x14ac:dyDescent="0.3">
      <c r="B578" s="5">
        <v>24990</v>
      </c>
      <c r="C578" s="4">
        <v>1968.4166666558799</v>
      </c>
      <c r="D578" t="s">
        <v>164</v>
      </c>
      <c r="E578">
        <v>1968</v>
      </c>
      <c r="F578">
        <v>7805</v>
      </c>
      <c r="G578" s="8">
        <f t="shared" si="13"/>
        <v>0.20645988559067091</v>
      </c>
      <c r="H578" s="3">
        <f>STANDARDIZE(F578,K$13,L$13)</f>
        <v>-0.24736603546701805</v>
      </c>
    </row>
    <row r="579" spans="2:8" x14ac:dyDescent="0.3">
      <c r="B579" s="5">
        <v>24959</v>
      </c>
      <c r="C579" s="4">
        <v>1968.33333332252</v>
      </c>
      <c r="D579" t="s">
        <v>165</v>
      </c>
      <c r="E579">
        <v>1968</v>
      </c>
      <c r="F579">
        <v>6329</v>
      </c>
      <c r="G579" s="8">
        <f t="shared" si="13"/>
        <v>-0.35960248263444811</v>
      </c>
      <c r="H579" s="3">
        <f>STANDARDIZE(F579,K$12,L$12)</f>
        <v>-0.39763446243869405</v>
      </c>
    </row>
    <row r="580" spans="2:8" x14ac:dyDescent="0.3">
      <c r="B580" s="5">
        <v>24929</v>
      </c>
      <c r="C580" s="4">
        <v>1968.24999998916</v>
      </c>
      <c r="D580" t="s">
        <v>167</v>
      </c>
      <c r="E580">
        <v>1968</v>
      </c>
      <c r="F580">
        <v>4679</v>
      </c>
      <c r="G580" s="8">
        <f t="shared" si="13"/>
        <v>-0.9923957804470811</v>
      </c>
      <c r="H580" s="3">
        <f>STANDARDIZE(F580,K$11,L$11)</f>
        <v>-0.23676544189486834</v>
      </c>
    </row>
    <row r="581" spans="2:8" x14ac:dyDescent="0.3">
      <c r="B581" s="5">
        <v>24898</v>
      </c>
      <c r="C581" s="4">
        <v>1968.1666666558001</v>
      </c>
      <c r="D581" t="s">
        <v>169</v>
      </c>
      <c r="E581">
        <v>1968</v>
      </c>
      <c r="F581">
        <v>3527</v>
      </c>
      <c r="G581" s="8">
        <f t="shared" si="13"/>
        <v>-1.434200555647174</v>
      </c>
      <c r="H581" s="3">
        <f>STANDARDIZE(F581,K$10,L$10)</f>
        <v>-0.46001966032163832</v>
      </c>
    </row>
    <row r="582" spans="2:8" x14ac:dyDescent="0.3">
      <c r="B582" s="5">
        <v>24869</v>
      </c>
      <c r="C582" s="4">
        <v>1968.08333332244</v>
      </c>
      <c r="D582" t="s">
        <v>171</v>
      </c>
      <c r="E582">
        <v>1968</v>
      </c>
      <c r="F582">
        <v>3659</v>
      </c>
      <c r="G582" s="8">
        <f t="shared" si="13"/>
        <v>-1.3835770918221635</v>
      </c>
      <c r="H582" s="3">
        <f>STANDARDIZE(F582,K$9,L$9)</f>
        <v>-0.55854200639018503</v>
      </c>
    </row>
    <row r="583" spans="2:8" x14ac:dyDescent="0.3">
      <c r="B583" s="5">
        <v>24838</v>
      </c>
      <c r="C583" s="4">
        <v>1967.9999999890799</v>
      </c>
      <c r="D583" t="s">
        <v>173</v>
      </c>
      <c r="E583">
        <v>1968</v>
      </c>
      <c r="F583">
        <v>4730</v>
      </c>
      <c r="G583" s="8">
        <f t="shared" si="13"/>
        <v>-0.97283671487832701</v>
      </c>
      <c r="H583" s="3">
        <f>STANDARDIZE(F583,K$8,L$8)</f>
        <v>-0.99318393924180759</v>
      </c>
    </row>
    <row r="584" spans="2:8" x14ac:dyDescent="0.3">
      <c r="B584" s="5">
        <v>24807</v>
      </c>
      <c r="C584" s="4">
        <v>1967.9166666557201</v>
      </c>
      <c r="D584" t="s">
        <v>157</v>
      </c>
      <c r="E584">
        <v>1967</v>
      </c>
      <c r="F584">
        <v>8232</v>
      </c>
      <c r="G584" s="8">
        <f t="shared" ref="G584:G647" si="14">STANDARDIZE(F584,F$4,F$5)</f>
        <v>0.37021912084278868</v>
      </c>
      <c r="H584" s="3">
        <f>STANDARDIZE(F584,K$19,L$19)</f>
        <v>-0.5735970461310449</v>
      </c>
    </row>
    <row r="585" spans="2:8" x14ac:dyDescent="0.3">
      <c r="B585" s="5">
        <v>24777</v>
      </c>
      <c r="C585" s="4">
        <v>1967.83333332236</v>
      </c>
      <c r="D585" t="s">
        <v>158</v>
      </c>
      <c r="E585">
        <v>1967</v>
      </c>
      <c r="F585">
        <v>8579</v>
      </c>
      <c r="G585" s="8">
        <f t="shared" si="14"/>
        <v>0.50329746892823335</v>
      </c>
      <c r="H585" s="3">
        <f>STANDARDIZE(F585,K$18,L$18)</f>
        <v>-0.50683852863333823</v>
      </c>
    </row>
    <row r="586" spans="2:8" x14ac:dyDescent="0.3">
      <c r="B586" s="5">
        <v>24746</v>
      </c>
      <c r="C586" s="4">
        <v>1967.7499999889999</v>
      </c>
      <c r="D586" t="s">
        <v>160</v>
      </c>
      <c r="E586">
        <v>1967</v>
      </c>
      <c r="F586">
        <v>7131</v>
      </c>
      <c r="G586" s="8">
        <f t="shared" si="14"/>
        <v>-5.2026588788550099E-2</v>
      </c>
      <c r="H586" s="3">
        <f>STANDARDIZE(F586,K$17,L$17)</f>
        <v>-0.74236872408078347</v>
      </c>
    </row>
    <row r="587" spans="2:8" x14ac:dyDescent="0.3">
      <c r="B587" s="5">
        <v>24716</v>
      </c>
      <c r="C587" s="4">
        <v>1967.66666665564</v>
      </c>
      <c r="D587" t="s">
        <v>161</v>
      </c>
      <c r="E587">
        <v>1967</v>
      </c>
      <c r="F587">
        <v>7046</v>
      </c>
      <c r="G587" s="8">
        <f t="shared" si="14"/>
        <v>-8.4625031403140288E-2</v>
      </c>
      <c r="H587" s="3">
        <f>STANDARDIZE(F587,K$16,L$16)</f>
        <v>-0.28407527436270374</v>
      </c>
    </row>
    <row r="588" spans="2:8" x14ac:dyDescent="0.3">
      <c r="B588" s="5">
        <v>24685</v>
      </c>
      <c r="C588" s="4">
        <v>1967.5833333222799</v>
      </c>
      <c r="D588" t="s">
        <v>162</v>
      </c>
      <c r="E588">
        <v>1967</v>
      </c>
      <c r="F588">
        <v>7482</v>
      </c>
      <c r="G588" s="8">
        <f t="shared" si="14"/>
        <v>8.2585803655228204E-2</v>
      </c>
      <c r="H588" s="3">
        <f>STANDARDIZE(F588,K$15,L$15)</f>
        <v>1.6261854350000306E-2</v>
      </c>
    </row>
    <row r="589" spans="2:8" x14ac:dyDescent="0.3">
      <c r="B589" s="5">
        <v>24654</v>
      </c>
      <c r="C589" s="4">
        <v>1967.4999999889201</v>
      </c>
      <c r="D589" t="s">
        <v>163</v>
      </c>
      <c r="E589">
        <v>1967</v>
      </c>
      <c r="F589">
        <v>8636</v>
      </c>
      <c r="G589" s="8">
        <f t="shared" si="14"/>
        <v>0.52515760103448794</v>
      </c>
      <c r="H589" s="3">
        <f>STANDARDIZE(F589,K$14,L$14)</f>
        <v>0.28828433510536167</v>
      </c>
    </row>
    <row r="590" spans="2:8" x14ac:dyDescent="0.3">
      <c r="B590" s="5">
        <v>24624</v>
      </c>
      <c r="C590" s="4">
        <v>1967.41666665556</v>
      </c>
      <c r="D590" t="s">
        <v>164</v>
      </c>
      <c r="E590">
        <v>1967</v>
      </c>
      <c r="F590">
        <v>8195</v>
      </c>
      <c r="G590" s="8">
        <f t="shared" si="14"/>
        <v>0.35602921052820236</v>
      </c>
      <c r="H590" s="3">
        <f>STANDARDIZE(F590,K$13,L$13)</f>
        <v>-1.6561607550932528E-2</v>
      </c>
    </row>
    <row r="591" spans="2:8" x14ac:dyDescent="0.3">
      <c r="B591" s="5">
        <v>24593</v>
      </c>
      <c r="C591" s="4">
        <v>1967.3333333221999</v>
      </c>
      <c r="D591" t="s">
        <v>165</v>
      </c>
      <c r="E591">
        <v>1967</v>
      </c>
      <c r="F591">
        <v>6672</v>
      </c>
      <c r="G591" s="8">
        <f t="shared" si="14"/>
        <v>-0.22805817890733712</v>
      </c>
      <c r="H591" s="3">
        <f>STANDARDIZE(F591,K$12,L$12)</f>
        <v>-0.16190898097413392</v>
      </c>
    </row>
    <row r="592" spans="2:8" x14ac:dyDescent="0.3">
      <c r="B592" s="5">
        <v>24563</v>
      </c>
      <c r="C592" s="4">
        <v>1967.24999998884</v>
      </c>
      <c r="D592" t="s">
        <v>167</v>
      </c>
      <c r="E592">
        <v>1967</v>
      </c>
      <c r="F592">
        <v>4686</v>
      </c>
      <c r="G592" s="8">
        <f t="shared" si="14"/>
        <v>-0.98971120281999725</v>
      </c>
      <c r="H592" s="3">
        <f>STANDARDIZE(F592,K$11,L$11)</f>
        <v>-0.23143215890337984</v>
      </c>
    </row>
    <row r="593" spans="2:8" x14ac:dyDescent="0.3">
      <c r="B593" s="5">
        <v>24532</v>
      </c>
      <c r="C593" s="4">
        <v>1967.16666665548</v>
      </c>
      <c r="D593" t="s">
        <v>169</v>
      </c>
      <c r="E593">
        <v>1967</v>
      </c>
      <c r="F593">
        <v>4605</v>
      </c>
      <c r="G593" s="8">
        <f t="shared" si="14"/>
        <v>-1.0207756010762539</v>
      </c>
      <c r="H593" s="3">
        <f>STANDARDIZE(F593,K$10,L$10)</f>
        <v>0.30972349096161511</v>
      </c>
    </row>
    <row r="594" spans="2:8" x14ac:dyDescent="0.3">
      <c r="B594" s="5">
        <v>24504</v>
      </c>
      <c r="C594" s="4">
        <v>1967.0833333221201</v>
      </c>
      <c r="D594" t="s">
        <v>171</v>
      </c>
      <c r="E594">
        <v>1967</v>
      </c>
      <c r="F594">
        <v>6099</v>
      </c>
      <c r="G594" s="8">
        <f t="shared" si="14"/>
        <v>-0.44781003323863333</v>
      </c>
      <c r="H594" s="3">
        <f>STANDARDIZE(F594,K$9,L$9)</f>
        <v>0.98671052687916228</v>
      </c>
    </row>
    <row r="595" spans="2:8" x14ac:dyDescent="0.3">
      <c r="B595" s="5">
        <v>24473</v>
      </c>
      <c r="C595" s="4">
        <v>1966.99999998876</v>
      </c>
      <c r="D595" t="s">
        <v>173</v>
      </c>
      <c r="E595">
        <v>1967</v>
      </c>
      <c r="F595">
        <v>9942</v>
      </c>
      <c r="G595" s="8">
        <f t="shared" si="14"/>
        <v>1.0260230840304265</v>
      </c>
      <c r="H595" s="3">
        <f>STANDARDIZE(F595,K$8,L$8)</f>
        <v>1.2822047055554802</v>
      </c>
    </row>
    <row r="596" spans="2:8" x14ac:dyDescent="0.3">
      <c r="B596" s="5">
        <v>24442</v>
      </c>
      <c r="C596" s="4">
        <v>1966.9166666553999</v>
      </c>
      <c r="D596" t="s">
        <v>157</v>
      </c>
      <c r="E596">
        <v>1966</v>
      </c>
      <c r="F596">
        <v>10688</v>
      </c>
      <c r="G596" s="8">
        <f t="shared" si="14"/>
        <v>1.3121223568596534</v>
      </c>
      <c r="H596" s="3">
        <f>STANDARDIZE(F596,K$19,L$19)</f>
        <v>0.2748664651481601</v>
      </c>
    </row>
    <row r="597" spans="2:8" x14ac:dyDescent="0.3">
      <c r="B597" s="5">
        <v>24412</v>
      </c>
      <c r="C597" s="4">
        <v>1966.8333333220401</v>
      </c>
      <c r="D597" t="s">
        <v>158</v>
      </c>
      <c r="E597">
        <v>1966</v>
      </c>
      <c r="F597">
        <v>9666</v>
      </c>
      <c r="G597" s="8">
        <f t="shared" si="14"/>
        <v>0.92017402330540432</v>
      </c>
      <c r="H597" s="3">
        <f>STANDARDIZE(F597,K$18,L$18)</f>
        <v>-9.3346066072339154E-2</v>
      </c>
    </row>
    <row r="598" spans="2:8" x14ac:dyDescent="0.3">
      <c r="B598" s="5">
        <v>24381</v>
      </c>
      <c r="C598" s="4">
        <v>1966.74999998868</v>
      </c>
      <c r="D598" t="s">
        <v>160</v>
      </c>
      <c r="E598">
        <v>1966</v>
      </c>
      <c r="F598">
        <v>8608</v>
      </c>
      <c r="G598" s="8">
        <f t="shared" si="14"/>
        <v>0.51441929052615232</v>
      </c>
      <c r="H598" s="3">
        <f>STANDARDIZE(F598,K$17,L$17)</f>
        <v>6.9100098666288979E-3</v>
      </c>
    </row>
    <row r="599" spans="2:8" x14ac:dyDescent="0.3">
      <c r="B599" s="5">
        <v>24351</v>
      </c>
      <c r="C599" s="4">
        <v>1966.6666666553199</v>
      </c>
      <c r="D599" t="s">
        <v>161</v>
      </c>
      <c r="E599">
        <v>1966</v>
      </c>
      <c r="F599">
        <v>8311</v>
      </c>
      <c r="G599" s="8">
        <f t="shared" si="14"/>
        <v>0.4005164969198784</v>
      </c>
      <c r="H599" s="3">
        <f>STANDARDIZE(F599,K$16,L$16)</f>
        <v>0.32813000316090568</v>
      </c>
    </row>
    <row r="600" spans="2:8" x14ac:dyDescent="0.3">
      <c r="B600" s="5">
        <v>24320</v>
      </c>
      <c r="C600" s="4">
        <v>1966.58333332196</v>
      </c>
      <c r="D600" t="s">
        <v>162</v>
      </c>
      <c r="E600">
        <v>1966</v>
      </c>
      <c r="F600">
        <v>8274</v>
      </c>
      <c r="G600" s="8">
        <f t="shared" si="14"/>
        <v>0.38632658660529207</v>
      </c>
      <c r="H600" s="3">
        <f>STANDARDIZE(F600,K$15,L$15)</f>
        <v>0.40387683409610592</v>
      </c>
    </row>
    <row r="601" spans="2:8" x14ac:dyDescent="0.3">
      <c r="B601" s="5">
        <v>24289</v>
      </c>
      <c r="C601" s="4">
        <v>1966.4999999885999</v>
      </c>
      <c r="D601" t="s">
        <v>163</v>
      </c>
      <c r="E601">
        <v>1966</v>
      </c>
      <c r="F601">
        <v>8656</v>
      </c>
      <c r="G601" s="8">
        <f t="shared" si="14"/>
        <v>0.53282782282615615</v>
      </c>
      <c r="H601" s="3">
        <f>STANDARDIZE(F601,K$14,L$14)</f>
        <v>0.29799434588206686</v>
      </c>
    </row>
    <row r="602" spans="2:8" x14ac:dyDescent="0.3">
      <c r="B602" s="5">
        <v>24259</v>
      </c>
      <c r="C602" s="4">
        <v>1966.4166666552401</v>
      </c>
      <c r="D602" t="s">
        <v>164</v>
      </c>
      <c r="E602">
        <v>1966</v>
      </c>
      <c r="F602">
        <v>7452</v>
      </c>
      <c r="G602" s="8">
        <f t="shared" si="14"/>
        <v>7.1080470967725781E-2</v>
      </c>
      <c r="H602" s="3">
        <f>STANDARDIZE(F602,K$13,L$13)</f>
        <v>-0.45627363304234675</v>
      </c>
    </row>
    <row r="603" spans="2:8" x14ac:dyDescent="0.3">
      <c r="B603" s="5">
        <v>24228</v>
      </c>
      <c r="C603" s="4">
        <v>1966.33333332188</v>
      </c>
      <c r="D603" t="s">
        <v>165</v>
      </c>
      <c r="E603">
        <v>1966</v>
      </c>
      <c r="F603">
        <v>5300</v>
      </c>
      <c r="G603" s="8">
        <f t="shared" si="14"/>
        <v>-0.75423539381578109</v>
      </c>
      <c r="H603" s="3">
        <f>STANDARDIZE(F603,K$12,L$12)</f>
        <v>-1.1048109068323744</v>
      </c>
    </row>
    <row r="604" spans="2:8" x14ac:dyDescent="0.3">
      <c r="B604" s="5">
        <v>24198</v>
      </c>
      <c r="C604" s="4">
        <v>1966.2499999885199</v>
      </c>
      <c r="D604" t="s">
        <v>167</v>
      </c>
      <c r="E604">
        <v>1966</v>
      </c>
      <c r="F604">
        <v>3569</v>
      </c>
      <c r="G604" s="8">
        <f t="shared" si="14"/>
        <v>-1.4180930898846706</v>
      </c>
      <c r="H604" s="3">
        <f>STANDARDIZE(F604,K$11,L$11)</f>
        <v>-1.0824717448309016</v>
      </c>
    </row>
    <row r="605" spans="2:8" x14ac:dyDescent="0.3">
      <c r="B605" s="5">
        <v>24167</v>
      </c>
      <c r="C605" s="4">
        <v>1966.16666665516</v>
      </c>
      <c r="D605" t="s">
        <v>169</v>
      </c>
      <c r="E605">
        <v>1966</v>
      </c>
      <c r="F605">
        <v>3115</v>
      </c>
      <c r="G605" s="8">
        <f t="shared" si="14"/>
        <v>-1.5922071245555407</v>
      </c>
      <c r="H605" s="3">
        <f>STANDARDIZE(F605,K$10,L$10)</f>
        <v>-0.75420720979167577</v>
      </c>
    </row>
    <row r="606" spans="2:8" x14ac:dyDescent="0.3">
      <c r="B606" s="5">
        <v>24139</v>
      </c>
      <c r="C606" s="4">
        <v>1966.0833333218</v>
      </c>
      <c r="D606" t="s">
        <v>171</v>
      </c>
      <c r="E606">
        <v>1966</v>
      </c>
      <c r="F606">
        <v>4129</v>
      </c>
      <c r="G606" s="8">
        <f t="shared" si="14"/>
        <v>-1.2033268797179588</v>
      </c>
      <c r="H606" s="3">
        <f>STANDARDIZE(F606,K$9,L$9)</f>
        <v>-0.26089090367026974</v>
      </c>
    </row>
    <row r="607" spans="2:8" x14ac:dyDescent="0.3">
      <c r="B607" s="5">
        <v>24108</v>
      </c>
      <c r="C607" s="4">
        <v>1965.9999999884401</v>
      </c>
      <c r="D607" t="s">
        <v>173</v>
      </c>
      <c r="E607">
        <v>1966</v>
      </c>
      <c r="F607">
        <v>7794</v>
      </c>
      <c r="G607" s="8">
        <f t="shared" si="14"/>
        <v>0.20224126360525335</v>
      </c>
      <c r="H607" s="3">
        <f>STANDARDIZE(F607,K$8,L$8)</f>
        <v>0.3444581957656539</v>
      </c>
    </row>
    <row r="608" spans="2:8" x14ac:dyDescent="0.3">
      <c r="B608" s="5">
        <v>24077</v>
      </c>
      <c r="C608" s="4">
        <v>1965.91666665508</v>
      </c>
      <c r="D608" t="s">
        <v>157</v>
      </c>
      <c r="E608">
        <v>1965</v>
      </c>
      <c r="F608">
        <v>9908</v>
      </c>
      <c r="G608" s="8">
        <f t="shared" si="14"/>
        <v>1.0129837069845904</v>
      </c>
      <c r="H608" s="3">
        <f>STANDARDIZE(F608,K$19,L$19)</f>
        <v>5.4032978852204053E-3</v>
      </c>
    </row>
    <row r="609" spans="2:8" x14ac:dyDescent="0.3">
      <c r="B609" s="5">
        <v>24047</v>
      </c>
      <c r="C609" s="4">
        <v>1965.8333333217199</v>
      </c>
      <c r="D609" t="s">
        <v>158</v>
      </c>
      <c r="E609">
        <v>1965</v>
      </c>
      <c r="F609">
        <v>8564</v>
      </c>
      <c r="G609" s="8">
        <f t="shared" si="14"/>
        <v>0.49754480258448214</v>
      </c>
      <c r="H609" s="3">
        <f>STANDARDIZE(F609,K$18,L$18)</f>
        <v>-0.51254449637797028</v>
      </c>
    </row>
    <row r="610" spans="2:8" x14ac:dyDescent="0.3">
      <c r="B610" s="5">
        <v>24016</v>
      </c>
      <c r="C610" s="4">
        <v>1965.7499999883601</v>
      </c>
      <c r="D610" t="s">
        <v>160</v>
      </c>
      <c r="E610">
        <v>1965</v>
      </c>
      <c r="F610">
        <v>7215</v>
      </c>
      <c r="G610" s="8">
        <f t="shared" si="14"/>
        <v>-1.9811657263543326E-2</v>
      </c>
      <c r="H610" s="3">
        <f>STANDARDIZE(F610,K$17,L$17)</f>
        <v>-0.69975571551505378</v>
      </c>
    </row>
    <row r="611" spans="2:8" x14ac:dyDescent="0.3">
      <c r="B611" s="5">
        <v>23986</v>
      </c>
      <c r="C611" s="4">
        <v>1965.666666655</v>
      </c>
      <c r="D611" t="s">
        <v>161</v>
      </c>
      <c r="E611">
        <v>1965</v>
      </c>
      <c r="F611">
        <v>5905</v>
      </c>
      <c r="G611" s="8">
        <f t="shared" si="14"/>
        <v>-0.52221118461781557</v>
      </c>
      <c r="H611" s="3">
        <f>STANDARDIZE(F611,K$16,L$16)</f>
        <v>-0.8362699159867657</v>
      </c>
    </row>
    <row r="612" spans="2:8" x14ac:dyDescent="0.3">
      <c r="B612" s="5">
        <v>23955</v>
      </c>
      <c r="C612" s="4">
        <v>1965.5833333216401</v>
      </c>
      <c r="D612" t="s">
        <v>162</v>
      </c>
      <c r="E612">
        <v>1965</v>
      </c>
      <c r="F612">
        <v>5239</v>
      </c>
      <c r="G612" s="8">
        <f t="shared" si="14"/>
        <v>-0.77762957028036928</v>
      </c>
      <c r="H612" s="3">
        <f>STANDARDIZE(F612,K$15,L$15)</f>
        <v>-1.0814911754107508</v>
      </c>
    </row>
    <row r="613" spans="2:8" x14ac:dyDescent="0.3">
      <c r="B613" s="5">
        <v>23924</v>
      </c>
      <c r="C613" s="4">
        <v>1965.49999998828</v>
      </c>
      <c r="D613" t="s">
        <v>163</v>
      </c>
      <c r="E613">
        <v>1965</v>
      </c>
      <c r="F613">
        <v>4865</v>
      </c>
      <c r="G613" s="8">
        <f t="shared" si="14"/>
        <v>-0.92106271778456617</v>
      </c>
      <c r="H613" s="3">
        <f>STANDARDIZE(F613,K$14,L$14)</f>
        <v>-1.5425381968424061</v>
      </c>
    </row>
    <row r="614" spans="2:8" x14ac:dyDescent="0.3">
      <c r="B614" s="5">
        <v>23894</v>
      </c>
      <c r="C614" s="4">
        <v>1965.4166666549199</v>
      </c>
      <c r="D614" t="s">
        <v>164</v>
      </c>
      <c r="E614">
        <v>1965</v>
      </c>
      <c r="F614">
        <v>6375</v>
      </c>
      <c r="G614" s="8">
        <f t="shared" si="14"/>
        <v>-0.34196097251361107</v>
      </c>
      <c r="H614" s="3">
        <f>STANDARDIZE(F614,K$13,L$13)</f>
        <v>-1.0936489378259984</v>
      </c>
    </row>
    <row r="615" spans="2:8" x14ac:dyDescent="0.3">
      <c r="B615" s="5">
        <v>23863</v>
      </c>
      <c r="C615" s="4">
        <v>1965.3333333215601</v>
      </c>
      <c r="D615" t="s">
        <v>165</v>
      </c>
      <c r="E615">
        <v>1965</v>
      </c>
      <c r="F615">
        <v>5872</v>
      </c>
      <c r="G615" s="8">
        <f t="shared" si="14"/>
        <v>-0.53486705057406825</v>
      </c>
      <c r="H615" s="3">
        <f>STANDARDIZE(F615,K$12,L$12)</f>
        <v>-0.71170602229089219</v>
      </c>
    </row>
    <row r="616" spans="2:8" x14ac:dyDescent="0.3">
      <c r="B616" s="5">
        <v>23833</v>
      </c>
      <c r="C616" s="4">
        <v>1965.2499999882</v>
      </c>
      <c r="D616" t="s">
        <v>167</v>
      </c>
      <c r="E616">
        <v>1965</v>
      </c>
      <c r="F616">
        <v>3984</v>
      </c>
      <c r="G616" s="8">
        <f t="shared" si="14"/>
        <v>-1.2589359877075539</v>
      </c>
      <c r="H616" s="3">
        <f>STANDARDIZE(F616,K$11,L$11)</f>
        <v>-0.76628425319265492</v>
      </c>
    </row>
    <row r="617" spans="2:8" x14ac:dyDescent="0.3">
      <c r="B617" s="5">
        <v>23802</v>
      </c>
      <c r="C617" s="4">
        <v>1965.1666666548399</v>
      </c>
      <c r="D617" t="s">
        <v>169</v>
      </c>
      <c r="E617">
        <v>1965</v>
      </c>
      <c r="F617">
        <v>2894</v>
      </c>
      <c r="G617" s="8">
        <f t="shared" si="14"/>
        <v>-1.676963075353475</v>
      </c>
      <c r="H617" s="3">
        <f>STANDARDIZE(F617,K$10,L$10)</f>
        <v>-0.9120116962792445</v>
      </c>
    </row>
    <row r="618" spans="2:8" x14ac:dyDescent="0.3">
      <c r="B618" s="5">
        <v>23774</v>
      </c>
      <c r="C618" s="4">
        <v>1965.08333332148</v>
      </c>
      <c r="D618" t="s">
        <v>171</v>
      </c>
      <c r="E618">
        <v>1965</v>
      </c>
      <c r="F618">
        <v>3269</v>
      </c>
      <c r="G618" s="8">
        <f t="shared" si="14"/>
        <v>-1.5331464167596949</v>
      </c>
      <c r="H618" s="3">
        <f>STANDARDIZE(F618,K$9,L$9)</f>
        <v>-0.80552909162585939</v>
      </c>
    </row>
    <row r="619" spans="2:8" x14ac:dyDescent="0.3">
      <c r="B619" s="5">
        <v>23743</v>
      </c>
      <c r="C619" s="4">
        <v>1964.99999998812</v>
      </c>
      <c r="D619" t="s">
        <v>173</v>
      </c>
      <c r="E619">
        <v>1965</v>
      </c>
      <c r="F619">
        <v>5614</v>
      </c>
      <c r="G619" s="8">
        <f t="shared" si="14"/>
        <v>-0.63381291168658904</v>
      </c>
      <c r="H619" s="3">
        <f>STANDARDIZE(F619,K$8,L$8)</f>
        <v>-0.60725846687020313</v>
      </c>
    </row>
    <row r="620" spans="2:8" x14ac:dyDescent="0.3">
      <c r="B620" s="5">
        <v>23712</v>
      </c>
      <c r="C620" s="4">
        <v>1964.9166666547601</v>
      </c>
      <c r="D620" t="s">
        <v>157</v>
      </c>
      <c r="E620">
        <v>1964</v>
      </c>
      <c r="F620">
        <v>9146</v>
      </c>
      <c r="G620" s="8">
        <f t="shared" si="14"/>
        <v>0.72074825672202902</v>
      </c>
      <c r="H620" s="3">
        <f>STANDARDIZE(F620,K$19,L$19)</f>
        <v>-0.25784148859472839</v>
      </c>
    </row>
    <row r="621" spans="2:8" x14ac:dyDescent="0.3">
      <c r="B621" s="5">
        <v>23682</v>
      </c>
      <c r="C621" s="4">
        <v>1964.8333333214</v>
      </c>
      <c r="D621" t="s">
        <v>158</v>
      </c>
      <c r="E621">
        <v>1964</v>
      </c>
      <c r="F621">
        <v>10615</v>
      </c>
      <c r="G621" s="8">
        <f t="shared" si="14"/>
        <v>1.2841260473200642</v>
      </c>
      <c r="H621" s="3">
        <f>STANDARDIZE(F621,K$18,L$18)</f>
        <v>0.26765149323804549</v>
      </c>
    </row>
    <row r="622" spans="2:8" x14ac:dyDescent="0.3">
      <c r="B622" s="5">
        <v>23651</v>
      </c>
      <c r="C622" s="4">
        <v>1964.7499999880399</v>
      </c>
      <c r="D622" t="s">
        <v>160</v>
      </c>
      <c r="E622">
        <v>1964</v>
      </c>
      <c r="F622">
        <v>10006</v>
      </c>
      <c r="G622" s="8">
        <f t="shared" si="14"/>
        <v>1.050567793763765</v>
      </c>
      <c r="H622" s="3">
        <f>STANDARDIZE(F622,K$17,L$17)</f>
        <v>0.71611222385341455</v>
      </c>
    </row>
    <row r="623" spans="2:8" x14ac:dyDescent="0.3">
      <c r="B623" s="5">
        <v>23621</v>
      </c>
      <c r="C623" s="4">
        <v>1964.6666666546801</v>
      </c>
      <c r="D623" t="s">
        <v>161</v>
      </c>
      <c r="E623">
        <v>1964</v>
      </c>
      <c r="F623">
        <v>10150</v>
      </c>
      <c r="G623" s="8">
        <f t="shared" si="14"/>
        <v>1.1057933906637767</v>
      </c>
      <c r="H623" s="3">
        <f>STANDARDIZE(F623,K$16,L$16)</f>
        <v>1.2181264500904849</v>
      </c>
    </row>
    <row r="624" spans="2:8" x14ac:dyDescent="0.3">
      <c r="B624" s="5">
        <v>23590</v>
      </c>
      <c r="C624" s="4">
        <v>1964.58333332132</v>
      </c>
      <c r="D624" t="s">
        <v>162</v>
      </c>
      <c r="E624">
        <v>1964</v>
      </c>
      <c r="F624">
        <v>9936</v>
      </c>
      <c r="G624" s="8">
        <f t="shared" si="14"/>
        <v>1.023722017492926</v>
      </c>
      <c r="H624" s="3">
        <f>STANDARDIZE(F624,K$15,L$15)</f>
        <v>1.21728099613907</v>
      </c>
    </row>
    <row r="625" spans="2:8" x14ac:dyDescent="0.3">
      <c r="B625" s="5">
        <v>23559</v>
      </c>
      <c r="C625" s="4">
        <v>1964.4999999879601</v>
      </c>
      <c r="D625" t="s">
        <v>163</v>
      </c>
      <c r="E625">
        <v>1964</v>
      </c>
      <c r="F625">
        <v>9300</v>
      </c>
      <c r="G625" s="8">
        <f t="shared" si="14"/>
        <v>0.77980896451787485</v>
      </c>
      <c r="H625" s="3">
        <f>STANDARDIZE(F625,K$14,L$14)</f>
        <v>0.61065669289197477</v>
      </c>
    </row>
    <row r="626" spans="2:8" x14ac:dyDescent="0.3">
      <c r="B626" s="5">
        <v>23529</v>
      </c>
      <c r="C626" s="4">
        <v>1964.4166666546</v>
      </c>
      <c r="D626" t="s">
        <v>164</v>
      </c>
      <c r="E626">
        <v>1964</v>
      </c>
      <c r="F626">
        <v>7704</v>
      </c>
      <c r="G626" s="8">
        <f t="shared" si="14"/>
        <v>0.16772526554274611</v>
      </c>
      <c r="H626" s="3">
        <f>STANDARDIZE(F626,K$13,L$13)</f>
        <v>-0.30713846423502994</v>
      </c>
    </row>
    <row r="627" spans="2:8" x14ac:dyDescent="0.3">
      <c r="B627" s="5">
        <v>23498</v>
      </c>
      <c r="C627" s="4">
        <v>1964.3333333212399</v>
      </c>
      <c r="D627" t="s">
        <v>165</v>
      </c>
      <c r="E627">
        <v>1964</v>
      </c>
      <c r="F627">
        <v>5625</v>
      </c>
      <c r="G627" s="8">
        <f t="shared" si="14"/>
        <v>-0.62959428970117148</v>
      </c>
      <c r="H627" s="3">
        <f>STANDARDIZE(F627,K$12,L$12)</f>
        <v>-0.88145585879744137</v>
      </c>
    </row>
    <row r="628" spans="2:8" x14ac:dyDescent="0.3">
      <c r="B628" s="5">
        <v>23468</v>
      </c>
      <c r="C628" s="4">
        <v>1964.2499999878801</v>
      </c>
      <c r="D628" t="s">
        <v>167</v>
      </c>
      <c r="E628">
        <v>1964</v>
      </c>
      <c r="F628">
        <v>4125</v>
      </c>
      <c r="G628" s="8">
        <f t="shared" si="14"/>
        <v>-1.2048609240762924</v>
      </c>
      <c r="H628" s="3">
        <f>STANDARDIZE(F628,K$11,L$11)</f>
        <v>-0.65885669579267236</v>
      </c>
    </row>
    <row r="629" spans="2:8" x14ac:dyDescent="0.3">
      <c r="B629" s="5">
        <v>23437</v>
      </c>
      <c r="C629" s="4">
        <v>1964.16666665452</v>
      </c>
      <c r="D629" t="s">
        <v>169</v>
      </c>
      <c r="E629">
        <v>1964</v>
      </c>
      <c r="F629">
        <v>2779</v>
      </c>
      <c r="G629" s="8">
        <f t="shared" si="14"/>
        <v>-1.7210668506555677</v>
      </c>
      <c r="H629" s="3">
        <f>STANDARDIZE(F629,K$10,L$10)</f>
        <v>-0.99412715304879373</v>
      </c>
    </row>
    <row r="630" spans="2:8" x14ac:dyDescent="0.3">
      <c r="B630" s="5">
        <v>23408</v>
      </c>
      <c r="C630" s="4">
        <v>1964.0833333211599</v>
      </c>
      <c r="D630" t="s">
        <v>171</v>
      </c>
      <c r="E630">
        <v>1964</v>
      </c>
      <c r="F630">
        <v>2799</v>
      </c>
      <c r="G630" s="8">
        <f t="shared" si="14"/>
        <v>-1.7133966288638993</v>
      </c>
      <c r="H630" s="3">
        <f>STANDARDIZE(F630,K$9,L$9)</f>
        <v>-1.1031801943457746</v>
      </c>
    </row>
    <row r="631" spans="2:8" x14ac:dyDescent="0.3">
      <c r="B631" s="5">
        <v>23377</v>
      </c>
      <c r="C631" s="4">
        <v>1963.9999999878</v>
      </c>
      <c r="D631" t="s">
        <v>173</v>
      </c>
      <c r="E631">
        <v>1964</v>
      </c>
      <c r="F631">
        <v>5307</v>
      </c>
      <c r="G631" s="8">
        <f t="shared" si="14"/>
        <v>-0.75155081618869712</v>
      </c>
      <c r="H631" s="3">
        <f>STANDARDIZE(F631,K$8,L$8)</f>
        <v>-0.74128462073681245</v>
      </c>
    </row>
    <row r="632" spans="2:8" x14ac:dyDescent="0.3">
      <c r="B632" s="5">
        <v>23346</v>
      </c>
      <c r="C632" s="4">
        <v>1963.91666665444</v>
      </c>
      <c r="D632" t="s">
        <v>157</v>
      </c>
      <c r="E632">
        <v>1963</v>
      </c>
      <c r="F632">
        <v>9221</v>
      </c>
      <c r="G632" s="8">
        <f t="shared" si="14"/>
        <v>0.74951158844078514</v>
      </c>
      <c r="H632" s="3">
        <f>STANDARDIZE(F632,K$19,L$19)</f>
        <v>-0.23193156866559955</v>
      </c>
    </row>
    <row r="633" spans="2:8" x14ac:dyDescent="0.3">
      <c r="B633" s="5">
        <v>23316</v>
      </c>
      <c r="C633" s="4">
        <v>1963.8333333210801</v>
      </c>
      <c r="D633" t="s">
        <v>158</v>
      </c>
      <c r="E633">
        <v>1963</v>
      </c>
      <c r="F633">
        <v>9039</v>
      </c>
      <c r="G633" s="8">
        <f t="shared" si="14"/>
        <v>0.6797125701366038</v>
      </c>
      <c r="H633" s="3">
        <f>STANDARDIZE(F633,K$18,L$18)</f>
        <v>-0.33185551779795686</v>
      </c>
    </row>
    <row r="634" spans="2:8" x14ac:dyDescent="0.3">
      <c r="B634" s="5">
        <v>23285</v>
      </c>
      <c r="C634" s="4">
        <v>1963.74999998772</v>
      </c>
      <c r="D634" t="s">
        <v>160</v>
      </c>
      <c r="E634">
        <v>1963</v>
      </c>
      <c r="F634">
        <v>7791</v>
      </c>
      <c r="G634" s="8">
        <f t="shared" si="14"/>
        <v>0.20109073033650313</v>
      </c>
      <c r="H634" s="3">
        <f>STANDARDIZE(F634,K$17,L$17)</f>
        <v>-0.40755222820719361</v>
      </c>
    </row>
    <row r="635" spans="2:8" x14ac:dyDescent="0.3">
      <c r="B635" s="5">
        <v>23255</v>
      </c>
      <c r="C635" s="4">
        <v>1963.6666666543599</v>
      </c>
      <c r="D635" t="s">
        <v>161</v>
      </c>
      <c r="E635">
        <v>1963</v>
      </c>
      <c r="F635">
        <v>7457</v>
      </c>
      <c r="G635" s="8">
        <f t="shared" si="14"/>
        <v>7.2998026415642847E-2</v>
      </c>
      <c r="H635" s="3">
        <f>STANDARDIZE(F635,K$16,L$16)</f>
        <v>-8.5169053760171351E-2</v>
      </c>
    </row>
    <row r="636" spans="2:8" x14ac:dyDescent="0.3">
      <c r="B636" s="5">
        <v>23224</v>
      </c>
      <c r="C636" s="4">
        <v>1963.5833333210001</v>
      </c>
      <c r="D636" t="s">
        <v>162</v>
      </c>
      <c r="E636">
        <v>1963</v>
      </c>
      <c r="F636">
        <v>8263</v>
      </c>
      <c r="G636" s="8">
        <f t="shared" si="14"/>
        <v>0.38210796461987451</v>
      </c>
      <c r="H636" s="3">
        <f>STANDARDIZE(F636,K$15,L$15)</f>
        <v>0.39849329271074335</v>
      </c>
    </row>
    <row r="637" spans="2:8" x14ac:dyDescent="0.3">
      <c r="B637" s="5">
        <v>23193</v>
      </c>
      <c r="C637" s="4">
        <v>1963.49999998764</v>
      </c>
      <c r="D637" t="s">
        <v>163</v>
      </c>
      <c r="E637">
        <v>1963</v>
      </c>
      <c r="F637">
        <v>8926</v>
      </c>
      <c r="G637" s="8">
        <f t="shared" si="14"/>
        <v>0.63637581701367796</v>
      </c>
      <c r="H637" s="3">
        <f>STANDARDIZE(F637,K$14,L$14)</f>
        <v>0.42907949136758727</v>
      </c>
    </row>
    <row r="638" spans="2:8" x14ac:dyDescent="0.3">
      <c r="B638" s="5">
        <v>23163</v>
      </c>
      <c r="C638" s="4">
        <v>1963.4166666542801</v>
      </c>
      <c r="D638" t="s">
        <v>164</v>
      </c>
      <c r="E638">
        <v>1963</v>
      </c>
      <c r="F638">
        <v>9394</v>
      </c>
      <c r="G638" s="8">
        <f t="shared" si="14"/>
        <v>0.81585900693871571</v>
      </c>
      <c r="H638" s="3">
        <f>STANDARDIZE(F638,K$13,L$13)</f>
        <v>0.69301405673467398</v>
      </c>
    </row>
    <row r="639" spans="2:8" x14ac:dyDescent="0.3">
      <c r="B639" s="5">
        <v>23132</v>
      </c>
      <c r="C639" s="4">
        <v>1963.33333332092</v>
      </c>
      <c r="D639" t="s">
        <v>165</v>
      </c>
      <c r="E639">
        <v>1963</v>
      </c>
      <c r="F639">
        <v>8281</v>
      </c>
      <c r="G639" s="8">
        <f t="shared" si="14"/>
        <v>0.38901116423237597</v>
      </c>
      <c r="H639" s="3">
        <f>STANDARDIZE(F639,K$12,L$12)</f>
        <v>0.94387031837419622</v>
      </c>
    </row>
    <row r="640" spans="2:8" x14ac:dyDescent="0.3">
      <c r="B640" s="5">
        <v>23102</v>
      </c>
      <c r="C640" s="4">
        <v>1963.2499999875599</v>
      </c>
      <c r="D640" t="s">
        <v>167</v>
      </c>
      <c r="E640">
        <v>1963</v>
      </c>
      <c r="F640">
        <v>6373</v>
      </c>
      <c r="G640" s="8">
        <f t="shared" si="14"/>
        <v>-0.34272799469277787</v>
      </c>
      <c r="H640" s="3">
        <f>STANDARDIZE(F640,K$11,L$11)</f>
        <v>1.0538890420453482</v>
      </c>
    </row>
    <row r="641" spans="2:8" x14ac:dyDescent="0.3">
      <c r="B641" s="5">
        <v>23071</v>
      </c>
      <c r="C641" s="4">
        <v>1963.1666666542001</v>
      </c>
      <c r="D641" t="s">
        <v>169</v>
      </c>
      <c r="E641">
        <v>1963</v>
      </c>
      <c r="F641">
        <v>4632</v>
      </c>
      <c r="G641" s="8">
        <f t="shared" si="14"/>
        <v>-1.0104208016575016</v>
      </c>
      <c r="H641" s="3">
        <f>STANDARDIZE(F641,K$10,L$10)</f>
        <v>0.32900277211620493</v>
      </c>
    </row>
    <row r="642" spans="2:8" x14ac:dyDescent="0.3">
      <c r="B642" s="5">
        <v>23043</v>
      </c>
      <c r="C642" s="4">
        <v>1963.08333332084</v>
      </c>
      <c r="D642" t="s">
        <v>171</v>
      </c>
      <c r="E642">
        <v>1963</v>
      </c>
      <c r="F642">
        <v>4493</v>
      </c>
      <c r="G642" s="8">
        <f t="shared" si="14"/>
        <v>-1.0637288431095961</v>
      </c>
      <c r="H642" s="3">
        <f>STANDARDIZE(F642,K$9,L$9)</f>
        <v>-3.0369624116973682E-2</v>
      </c>
    </row>
    <row r="643" spans="2:8" x14ac:dyDescent="0.3">
      <c r="B643" s="5">
        <v>23012</v>
      </c>
      <c r="C643" s="4">
        <v>1962.9999999874799</v>
      </c>
      <c r="D643" t="s">
        <v>173</v>
      </c>
      <c r="E643">
        <v>1963</v>
      </c>
      <c r="F643">
        <v>6048</v>
      </c>
      <c r="G643" s="8">
        <f t="shared" si="14"/>
        <v>-0.46736909880738742</v>
      </c>
      <c r="H643" s="3">
        <f>STANDARDIZE(F643,K$8,L$8)</f>
        <v>-0.4177882688959087</v>
      </c>
    </row>
    <row r="644" spans="2:8" x14ac:dyDescent="0.3">
      <c r="B644" s="5">
        <v>22981</v>
      </c>
      <c r="C644" s="4">
        <v>1962.91666665412</v>
      </c>
      <c r="D644" t="s">
        <v>157</v>
      </c>
      <c r="E644">
        <v>1962</v>
      </c>
      <c r="F644">
        <v>9448</v>
      </c>
      <c r="G644" s="8">
        <f t="shared" si="14"/>
        <v>0.83656860577622005</v>
      </c>
      <c r="H644" s="3">
        <f>STANDARDIZE(F644,K$19,L$19)</f>
        <v>-0.15351087768010299</v>
      </c>
    </row>
    <row r="645" spans="2:8" x14ac:dyDescent="0.3">
      <c r="B645" s="5">
        <v>22951</v>
      </c>
      <c r="C645" s="4">
        <v>1962.8333333207599</v>
      </c>
      <c r="D645" t="s">
        <v>158</v>
      </c>
      <c r="E645">
        <v>1962</v>
      </c>
      <c r="F645">
        <v>9980</v>
      </c>
      <c r="G645" s="8">
        <f t="shared" si="14"/>
        <v>1.0405965054345963</v>
      </c>
      <c r="H645" s="3">
        <f>STANDARDIZE(F645,K$18,L$18)</f>
        <v>2.6098858715290749E-2</v>
      </c>
    </row>
    <row r="646" spans="2:8" x14ac:dyDescent="0.3">
      <c r="B646" s="5">
        <v>22920</v>
      </c>
      <c r="C646" s="4">
        <v>1962.7499999874001</v>
      </c>
      <c r="D646" t="s">
        <v>160</v>
      </c>
      <c r="E646">
        <v>1962</v>
      </c>
      <c r="F646">
        <v>9180</v>
      </c>
      <c r="G646" s="8">
        <f t="shared" si="14"/>
        <v>0.73378763376786516</v>
      </c>
      <c r="H646" s="3">
        <f>STANDARDIZE(F646,K$17,L$17)</f>
        <v>0.29708430629040672</v>
      </c>
    </row>
    <row r="647" spans="2:8" x14ac:dyDescent="0.3">
      <c r="B647" s="5">
        <v>22890</v>
      </c>
      <c r="C647" s="4">
        <v>1962.66666665404</v>
      </c>
      <c r="D647" t="s">
        <v>161</v>
      </c>
      <c r="E647">
        <v>1962</v>
      </c>
      <c r="F647">
        <v>9232</v>
      </c>
      <c r="G647" s="8">
        <f t="shared" si="14"/>
        <v>0.7537302104262027</v>
      </c>
      <c r="H647" s="3">
        <f>STANDARDIZE(F647,K$16,L$16)</f>
        <v>0.77385416173738342</v>
      </c>
    </row>
    <row r="648" spans="2:8" x14ac:dyDescent="0.3">
      <c r="B648" s="5">
        <v>22859</v>
      </c>
      <c r="C648" s="4">
        <v>1962.5833333206799</v>
      </c>
      <c r="D648" t="s">
        <v>162</v>
      </c>
      <c r="E648">
        <v>1962</v>
      </c>
      <c r="F648">
        <v>9716</v>
      </c>
      <c r="G648" s="8">
        <f t="shared" ref="G648:G711" si="15">STANDARDIZE(F648,F$4,F$5)</f>
        <v>0.93934957778457495</v>
      </c>
      <c r="H648" s="3">
        <f>STANDARDIZE(F648,K$15,L$15)</f>
        <v>1.1096101684318185</v>
      </c>
    </row>
    <row r="649" spans="2:8" x14ac:dyDescent="0.3">
      <c r="B649" s="5">
        <v>22828</v>
      </c>
      <c r="C649" s="4">
        <v>1962.4999999873201</v>
      </c>
      <c r="D649" t="s">
        <v>163</v>
      </c>
      <c r="E649">
        <v>1962</v>
      </c>
      <c r="F649">
        <v>10054</v>
      </c>
      <c r="G649" s="8">
        <f t="shared" si="15"/>
        <v>1.068976326063769</v>
      </c>
      <c r="H649" s="3">
        <f>STANDARDIZE(F649,K$14,L$14)</f>
        <v>0.97672409917376124</v>
      </c>
    </row>
    <row r="650" spans="2:8" x14ac:dyDescent="0.3">
      <c r="B650" s="5">
        <v>22798</v>
      </c>
      <c r="C650" s="4">
        <v>1962.41666665396</v>
      </c>
      <c r="D650" t="s">
        <v>164</v>
      </c>
      <c r="E650">
        <v>1962</v>
      </c>
      <c r="F650">
        <v>9211</v>
      </c>
      <c r="G650" s="8">
        <f t="shared" si="15"/>
        <v>0.74567647754495092</v>
      </c>
      <c r="H650" s="3">
        <f>STANDARDIZE(F650,K$13,L$13)</f>
        <v>0.58471351748174161</v>
      </c>
    </row>
    <row r="651" spans="2:8" x14ac:dyDescent="0.3">
      <c r="B651" s="5">
        <v>22767</v>
      </c>
      <c r="C651" s="4">
        <v>1962.3333333206001</v>
      </c>
      <c r="D651" t="s">
        <v>165</v>
      </c>
      <c r="E651">
        <v>1962</v>
      </c>
      <c r="F651">
        <v>7250</v>
      </c>
      <c r="G651" s="8">
        <f t="shared" si="15"/>
        <v>-6.3887691281238378E-3</v>
      </c>
      <c r="H651" s="3">
        <f>STANDARDIZE(F651,K$12,L$12)</f>
        <v>0.23531938137722394</v>
      </c>
    </row>
    <row r="652" spans="2:8" x14ac:dyDescent="0.3">
      <c r="B652" s="5">
        <v>22737</v>
      </c>
      <c r="C652" s="4">
        <v>1962.24999998724</v>
      </c>
      <c r="D652" t="s">
        <v>167</v>
      </c>
      <c r="E652">
        <v>1962</v>
      </c>
      <c r="F652">
        <v>4828</v>
      </c>
      <c r="G652" s="8">
        <f t="shared" si="15"/>
        <v>-0.93525262809915244</v>
      </c>
      <c r="H652" s="3">
        <f>STANDARDIZE(F652,K$11,L$11)</f>
        <v>-0.12324270393318459</v>
      </c>
    </row>
    <row r="653" spans="2:8" x14ac:dyDescent="0.3">
      <c r="B653" s="5">
        <v>22706</v>
      </c>
      <c r="C653" s="4">
        <v>1962.1666666538799</v>
      </c>
      <c r="D653" t="s">
        <v>169</v>
      </c>
      <c r="E653">
        <v>1962</v>
      </c>
      <c r="F653">
        <v>4031</v>
      </c>
      <c r="G653" s="8">
        <f t="shared" si="15"/>
        <v>-1.2409109664971334</v>
      </c>
      <c r="H653" s="3">
        <f>STANDARDIZE(F653,K$10,L$10)</f>
        <v>-0.10013974543596141</v>
      </c>
    </row>
    <row r="654" spans="2:8" x14ac:dyDescent="0.3">
      <c r="B654" s="5">
        <v>22678</v>
      </c>
      <c r="C654" s="4">
        <v>1962.0833333205201</v>
      </c>
      <c r="D654" t="s">
        <v>171</v>
      </c>
      <c r="E654">
        <v>1962</v>
      </c>
      <c r="F654">
        <v>4102</v>
      </c>
      <c r="G654" s="8">
        <f t="shared" si="15"/>
        <v>-1.2136816791367111</v>
      </c>
      <c r="H654" s="3">
        <f>STANDARDIZE(F654,K$9,L$9)</f>
        <v>-0.27799000957120107</v>
      </c>
    </row>
    <row r="655" spans="2:8" x14ac:dyDescent="0.3">
      <c r="B655" s="5">
        <v>22647</v>
      </c>
      <c r="C655" s="4">
        <v>1961.99999998716</v>
      </c>
      <c r="D655" t="s">
        <v>173</v>
      </c>
      <c r="E655">
        <v>1962</v>
      </c>
      <c r="F655">
        <v>7141</v>
      </c>
      <c r="G655" s="8">
        <f t="shared" si="15"/>
        <v>-4.819147789271596E-2</v>
      </c>
      <c r="H655" s="3">
        <f>STANDARDIZE(F655,K$8,L$8)</f>
        <v>5.937976425133526E-2</v>
      </c>
    </row>
    <row r="656" spans="2:8" x14ac:dyDescent="0.3">
      <c r="B656" s="5">
        <v>22616</v>
      </c>
      <c r="C656" s="4">
        <v>1961.9166666537999</v>
      </c>
      <c r="D656" t="s">
        <v>157</v>
      </c>
      <c r="E656">
        <v>1961</v>
      </c>
      <c r="F656">
        <v>10821</v>
      </c>
      <c r="G656" s="8">
        <f t="shared" si="15"/>
        <v>1.3631293317742474</v>
      </c>
      <c r="H656" s="3">
        <f>STANDARDIZE(F656,K$19,L$19)</f>
        <v>0.32081338982248186</v>
      </c>
    </row>
    <row r="657" spans="2:8" x14ac:dyDescent="0.3">
      <c r="B657" s="5">
        <v>22586</v>
      </c>
      <c r="C657" s="4">
        <v>1961.83333332044</v>
      </c>
      <c r="D657" t="s">
        <v>158</v>
      </c>
      <c r="E657">
        <v>1961</v>
      </c>
      <c r="F657">
        <v>9698</v>
      </c>
      <c r="G657" s="8">
        <f t="shared" si="15"/>
        <v>0.93244637817207354</v>
      </c>
      <c r="H657" s="3">
        <f>STANDARDIZE(F657,K$18,L$18)</f>
        <v>-8.1173334883790887E-2</v>
      </c>
    </row>
    <row r="658" spans="2:8" x14ac:dyDescent="0.3">
      <c r="B658" s="5">
        <v>22555</v>
      </c>
      <c r="C658" s="4">
        <v>1961.7499999870799</v>
      </c>
      <c r="D658" t="s">
        <v>160</v>
      </c>
      <c r="E658">
        <v>1961</v>
      </c>
      <c r="F658">
        <v>7490</v>
      </c>
      <c r="G658" s="8">
        <f t="shared" si="15"/>
        <v>8.565389237189551E-2</v>
      </c>
      <c r="H658" s="3">
        <f>STANDARDIZE(F658,K$17,L$17)</f>
        <v>-0.56024884223439142</v>
      </c>
    </row>
    <row r="659" spans="2:8" x14ac:dyDescent="0.3">
      <c r="B659" s="5">
        <v>22525</v>
      </c>
      <c r="C659" s="4">
        <v>1961.6666666537201</v>
      </c>
      <c r="D659" t="s">
        <v>161</v>
      </c>
      <c r="E659">
        <v>1961</v>
      </c>
      <c r="F659">
        <v>6797</v>
      </c>
      <c r="G659" s="8">
        <f t="shared" si="15"/>
        <v>-0.18011929270941038</v>
      </c>
      <c r="H659" s="3">
        <f>STANDARDIZE(F659,K$16,L$16)</f>
        <v>-0.40458050290292408</v>
      </c>
    </row>
    <row r="660" spans="2:8" x14ac:dyDescent="0.3">
      <c r="B660" s="5">
        <v>22494</v>
      </c>
      <c r="C660" s="4">
        <v>1961.58333332036</v>
      </c>
      <c r="D660" t="s">
        <v>162</v>
      </c>
      <c r="E660">
        <v>1961</v>
      </c>
      <c r="F660">
        <v>5872</v>
      </c>
      <c r="G660" s="8">
        <f t="shared" si="15"/>
        <v>-0.53486705057406825</v>
      </c>
      <c r="H660" s="3">
        <f>STANDARDIZE(F660,K$15,L$15)</f>
        <v>-0.77169283932579513</v>
      </c>
    </row>
    <row r="661" spans="2:8" x14ac:dyDescent="0.3">
      <c r="B661" s="5">
        <v>22463</v>
      </c>
      <c r="C661" s="4">
        <v>1961.4999999869999</v>
      </c>
      <c r="D661" t="s">
        <v>163</v>
      </c>
      <c r="E661">
        <v>1961</v>
      </c>
      <c r="F661">
        <v>6121</v>
      </c>
      <c r="G661" s="8">
        <f t="shared" si="15"/>
        <v>-0.43937278926779821</v>
      </c>
      <c r="H661" s="3">
        <f>STANDARDIZE(F661,K$14,L$14)</f>
        <v>-0.93274952006531886</v>
      </c>
    </row>
    <row r="662" spans="2:8" x14ac:dyDescent="0.3">
      <c r="B662" s="5">
        <v>22433</v>
      </c>
      <c r="C662" s="4">
        <v>1961.41666665364</v>
      </c>
      <c r="D662" t="s">
        <v>164</v>
      </c>
      <c r="E662">
        <v>1961</v>
      </c>
      <c r="F662">
        <v>5772</v>
      </c>
      <c r="G662" s="8">
        <f t="shared" si="15"/>
        <v>-0.57321815953240973</v>
      </c>
      <c r="H662" s="3">
        <f>STANDARDIZE(F662,K$13,L$13)</f>
        <v>-1.4505080917577922</v>
      </c>
    </row>
    <row r="663" spans="2:8" x14ac:dyDescent="0.3">
      <c r="B663" s="5">
        <v>22402</v>
      </c>
      <c r="C663" s="4">
        <v>1961.33333332028</v>
      </c>
      <c r="D663" t="s">
        <v>165</v>
      </c>
      <c r="E663">
        <v>1961</v>
      </c>
      <c r="F663">
        <v>5702</v>
      </c>
      <c r="G663" s="8">
        <f t="shared" si="15"/>
        <v>-0.60006393580324868</v>
      </c>
      <c r="H663" s="3">
        <f>STANDARDIZE(F663,K$12,L$12)</f>
        <v>-0.8285378935707034</v>
      </c>
    </row>
    <row r="664" spans="2:8" x14ac:dyDescent="0.3">
      <c r="B664" s="5">
        <v>22372</v>
      </c>
      <c r="C664" s="4">
        <v>1961.2499999869201</v>
      </c>
      <c r="D664" t="s">
        <v>167</v>
      </c>
      <c r="E664">
        <v>1961</v>
      </c>
      <c r="F664">
        <v>4407</v>
      </c>
      <c r="G664" s="8">
        <f t="shared" si="15"/>
        <v>-1.0967107968137697</v>
      </c>
      <c r="H664" s="3">
        <f>STANDARDIZE(F664,K$11,L$11)</f>
        <v>-0.44400158099270715</v>
      </c>
    </row>
    <row r="665" spans="2:8" x14ac:dyDescent="0.3">
      <c r="B665" s="5">
        <v>22341</v>
      </c>
      <c r="C665" s="4">
        <v>1961.16666665356</v>
      </c>
      <c r="D665" t="s">
        <v>169</v>
      </c>
      <c r="E665">
        <v>1961</v>
      </c>
      <c r="F665">
        <v>3098</v>
      </c>
      <c r="G665" s="8">
        <f t="shared" si="15"/>
        <v>-1.5987268130784587</v>
      </c>
      <c r="H665" s="3">
        <f>STANDARDIZE(F665,K$10,L$10)</f>
        <v>-0.76634601644456568</v>
      </c>
    </row>
    <row r="666" spans="2:8" x14ac:dyDescent="0.3">
      <c r="B666" s="5">
        <v>22313</v>
      </c>
      <c r="C666" s="4">
        <v>1961.0833333201999</v>
      </c>
      <c r="D666" t="s">
        <v>171</v>
      </c>
      <c r="E666">
        <v>1961</v>
      </c>
      <c r="F666">
        <v>4318</v>
      </c>
      <c r="G666" s="8">
        <f t="shared" si="15"/>
        <v>-1.1308432837866935</v>
      </c>
      <c r="H666" s="3">
        <f>STANDARDIZE(F666,K$9,L$9)</f>
        <v>-0.14119716236375063</v>
      </c>
    </row>
    <row r="667" spans="2:8" x14ac:dyDescent="0.3">
      <c r="B667" s="5">
        <v>22282</v>
      </c>
      <c r="C667" s="4">
        <v>1960.9999999868401</v>
      </c>
      <c r="D667" t="s">
        <v>173</v>
      </c>
      <c r="E667">
        <v>1961</v>
      </c>
      <c r="F667">
        <v>7496</v>
      </c>
      <c r="G667" s="8">
        <f t="shared" si="15"/>
        <v>8.7954958909396003E-2</v>
      </c>
      <c r="H667" s="3">
        <f>STANDARDIZE(F667,K$8,L$8)</f>
        <v>0.21436114738699089</v>
      </c>
    </row>
    <row r="668" spans="2:8" x14ac:dyDescent="0.3">
      <c r="B668" s="5">
        <v>22251</v>
      </c>
      <c r="C668" s="4">
        <v>1960.91666665348</v>
      </c>
      <c r="D668" t="s">
        <v>157</v>
      </c>
      <c r="E668">
        <v>1960</v>
      </c>
      <c r="F668">
        <v>10340</v>
      </c>
      <c r="G668" s="8">
        <f t="shared" si="15"/>
        <v>1.1786604976846253</v>
      </c>
      <c r="H668" s="3">
        <f>STANDARDIZE(F668,K$19,L$19)</f>
        <v>0.15464443667700239</v>
      </c>
    </row>
    <row r="669" spans="2:8" x14ac:dyDescent="0.3">
      <c r="B669" s="5">
        <v>22221</v>
      </c>
      <c r="C669" s="4">
        <v>1960.8333333201199</v>
      </c>
      <c r="D669" t="s">
        <v>158</v>
      </c>
      <c r="E669">
        <v>1960</v>
      </c>
      <c r="F669">
        <v>9379</v>
      </c>
      <c r="G669" s="8">
        <f t="shared" si="15"/>
        <v>0.81010634059496445</v>
      </c>
      <c r="H669" s="3">
        <f>STANDARDIZE(F669,K$18,L$18)</f>
        <v>-0.20252024891963147</v>
      </c>
    </row>
    <row r="670" spans="2:8" x14ac:dyDescent="0.3">
      <c r="B670" s="5">
        <v>22190</v>
      </c>
      <c r="C670" s="4">
        <v>1960.74999998676</v>
      </c>
      <c r="D670" t="s">
        <v>160</v>
      </c>
      <c r="E670">
        <v>1960</v>
      </c>
      <c r="F670">
        <v>7585</v>
      </c>
      <c r="G670" s="8">
        <f t="shared" si="15"/>
        <v>0.12208744588231984</v>
      </c>
      <c r="H670" s="3">
        <f>STANDARDIZE(F670,K$17,L$17)</f>
        <v>-0.51205555873743536</v>
      </c>
    </row>
    <row r="671" spans="2:8" x14ac:dyDescent="0.3">
      <c r="B671" s="5">
        <v>22160</v>
      </c>
      <c r="C671" s="4">
        <v>1960.6666666533999</v>
      </c>
      <c r="D671" t="s">
        <v>161</v>
      </c>
      <c r="E671">
        <v>1960</v>
      </c>
      <c r="F671">
        <v>7813</v>
      </c>
      <c r="G671" s="8">
        <f t="shared" si="15"/>
        <v>0.20952797430733822</v>
      </c>
      <c r="H671" s="3">
        <f>STANDARDIZE(F671,K$16,L$16)</f>
        <v>8.7119546080464988E-2</v>
      </c>
    </row>
    <row r="672" spans="2:8" x14ac:dyDescent="0.3">
      <c r="B672" s="5">
        <v>22129</v>
      </c>
      <c r="C672" s="4">
        <v>1960.5833333200401</v>
      </c>
      <c r="D672" t="s">
        <v>162</v>
      </c>
      <c r="E672">
        <v>1960</v>
      </c>
      <c r="F672">
        <v>7157</v>
      </c>
      <c r="G672" s="8">
        <f t="shared" si="15"/>
        <v>-4.2055300459381335E-2</v>
      </c>
      <c r="H672" s="3">
        <f>STANDARDIZE(F672,K$15,L$15)</f>
        <v>-0.14279732294480313</v>
      </c>
    </row>
    <row r="673" spans="2:8" x14ac:dyDescent="0.3">
      <c r="B673" s="5">
        <v>22098</v>
      </c>
      <c r="C673" s="4">
        <v>1960.49999998668</v>
      </c>
      <c r="D673" t="s">
        <v>163</v>
      </c>
      <c r="E673">
        <v>1960</v>
      </c>
      <c r="F673">
        <v>7877</v>
      </c>
      <c r="G673" s="8">
        <f t="shared" si="15"/>
        <v>0.23407268404067672</v>
      </c>
      <c r="H673" s="3">
        <f>STANDARDIZE(F673,K$14,L$14)</f>
        <v>-8.0210573870601154E-2</v>
      </c>
    </row>
    <row r="674" spans="2:8" x14ac:dyDescent="0.3">
      <c r="B674" s="5">
        <v>22068</v>
      </c>
      <c r="C674" s="4">
        <v>1960.4166666533199</v>
      </c>
      <c r="D674" t="s">
        <v>164</v>
      </c>
      <c r="E674">
        <v>1960</v>
      </c>
      <c r="F674">
        <v>7877</v>
      </c>
      <c r="G674" s="8">
        <f t="shared" si="15"/>
        <v>0.23407268404067672</v>
      </c>
      <c r="H674" s="3">
        <f>STANDARDIZE(F674,K$13,L$13)</f>
        <v>-0.2047559872363561</v>
      </c>
    </row>
    <row r="675" spans="2:8" x14ac:dyDescent="0.3">
      <c r="B675" s="5">
        <v>22037</v>
      </c>
      <c r="C675" s="4">
        <v>1960.33333331996</v>
      </c>
      <c r="D675" t="s">
        <v>165</v>
      </c>
      <c r="E675">
        <v>1960</v>
      </c>
      <c r="F675">
        <v>6926</v>
      </c>
      <c r="G675" s="8">
        <f t="shared" si="15"/>
        <v>-0.13064636215314995</v>
      </c>
      <c r="H675" s="3">
        <f>STANDARDIZE(F675,K$12,L$12)</f>
        <v>1.2651579643936824E-2</v>
      </c>
    </row>
    <row r="676" spans="2:8" x14ac:dyDescent="0.3">
      <c r="B676" s="5">
        <v>22007</v>
      </c>
      <c r="C676" s="4">
        <v>1960.2499999866</v>
      </c>
      <c r="D676" t="s">
        <v>167</v>
      </c>
      <c r="E676">
        <v>1960</v>
      </c>
      <c r="F676">
        <v>4725</v>
      </c>
      <c r="G676" s="8">
        <f t="shared" si="15"/>
        <v>-0.97475427032624407</v>
      </c>
      <c r="H676" s="3">
        <f>STANDARDIZE(F676,K$11,L$11)</f>
        <v>-0.20171815366508677</v>
      </c>
    </row>
    <row r="677" spans="2:8" x14ac:dyDescent="0.3">
      <c r="B677" s="5">
        <v>21976</v>
      </c>
      <c r="C677" s="4">
        <v>1960.1666666532401</v>
      </c>
      <c r="D677" t="s">
        <v>169</v>
      </c>
      <c r="E677">
        <v>1960</v>
      </c>
      <c r="F677">
        <v>3722</v>
      </c>
      <c r="G677" s="8">
        <f t="shared" si="15"/>
        <v>-1.3594158931784084</v>
      </c>
      <c r="H677" s="3">
        <f>STANDARDIZE(F677,K$10,L$10)</f>
        <v>-0.32078040753848952</v>
      </c>
    </row>
    <row r="678" spans="2:8" x14ac:dyDescent="0.3">
      <c r="B678" s="5">
        <v>21947</v>
      </c>
      <c r="C678" s="4">
        <v>1960.08333331988</v>
      </c>
      <c r="D678" t="s">
        <v>171</v>
      </c>
      <c r="E678">
        <v>1960</v>
      </c>
      <c r="F678">
        <v>4808</v>
      </c>
      <c r="G678" s="8">
        <f t="shared" si="15"/>
        <v>-0.94292284989082076</v>
      </c>
      <c r="H678" s="3">
        <f>STANDARDIZE(F678,K$9,L$9)</f>
        <v>0.16911994472722483</v>
      </c>
    </row>
    <row r="679" spans="2:8" x14ac:dyDescent="0.3">
      <c r="B679" s="5">
        <v>21916</v>
      </c>
      <c r="C679" s="4">
        <v>1959.9999999865199</v>
      </c>
      <c r="D679" t="s">
        <v>173</v>
      </c>
      <c r="E679">
        <v>1960</v>
      </c>
      <c r="F679">
        <v>6761</v>
      </c>
      <c r="G679" s="8">
        <f t="shared" si="15"/>
        <v>-0.19392569193441328</v>
      </c>
      <c r="H679" s="3">
        <f>STANDARDIZE(F679,K$8,L$8)</f>
        <v>-0.10651580079528203</v>
      </c>
    </row>
    <row r="680" spans="2:8" x14ac:dyDescent="0.3">
      <c r="B680" s="5">
        <v>21885</v>
      </c>
      <c r="C680" s="4">
        <v>1959.9166666531601</v>
      </c>
      <c r="D680" t="s">
        <v>157</v>
      </c>
      <c r="E680">
        <v>1959</v>
      </c>
      <c r="F680">
        <v>8926</v>
      </c>
      <c r="G680" s="8">
        <f t="shared" si="15"/>
        <v>0.63637581701367796</v>
      </c>
      <c r="H680" s="3">
        <f>STANDARDIZE(F680,K$19,L$19)</f>
        <v>-0.33384392038683958</v>
      </c>
    </row>
    <row r="681" spans="2:8" x14ac:dyDescent="0.3">
      <c r="B681" s="5">
        <v>21855</v>
      </c>
      <c r="C681" s="4">
        <v>1959.8333333198</v>
      </c>
      <c r="D681" t="s">
        <v>158</v>
      </c>
      <c r="E681">
        <v>1959</v>
      </c>
      <c r="F681">
        <v>9129</v>
      </c>
      <c r="G681" s="8">
        <f t="shared" si="15"/>
        <v>0.71422856819911096</v>
      </c>
      <c r="H681" s="3">
        <f>STANDARDIZE(F681,K$18,L$18)</f>
        <v>-0.29761971133016485</v>
      </c>
    </row>
    <row r="682" spans="2:8" x14ac:dyDescent="0.3">
      <c r="B682" s="5">
        <v>21824</v>
      </c>
      <c r="C682" s="4">
        <v>1959.7499999864399</v>
      </c>
      <c r="D682" t="s">
        <v>160</v>
      </c>
      <c r="E682">
        <v>1959</v>
      </c>
      <c r="F682">
        <v>7289</v>
      </c>
      <c r="G682" s="8">
        <f t="shared" si="15"/>
        <v>8.5681633656293065E-3</v>
      </c>
      <c r="H682" s="3">
        <f>STANDARDIZE(F682,K$17,L$17)</f>
        <v>-0.66221568415953014</v>
      </c>
    </row>
    <row r="683" spans="2:8" x14ac:dyDescent="0.3">
      <c r="B683" s="5">
        <v>21794</v>
      </c>
      <c r="C683" s="4">
        <v>1959.66666665308</v>
      </c>
      <c r="D683" t="s">
        <v>161</v>
      </c>
      <c r="E683">
        <v>1959</v>
      </c>
      <c r="F683">
        <v>6218</v>
      </c>
      <c r="G683" s="8">
        <f t="shared" si="15"/>
        <v>-0.40217221357820704</v>
      </c>
      <c r="H683" s="3">
        <f>STANDARDIZE(F683,K$16,L$16)</f>
        <v>-0.68479145601452085</v>
      </c>
    </row>
    <row r="684" spans="2:8" x14ac:dyDescent="0.3">
      <c r="B684" s="5">
        <v>21763</v>
      </c>
      <c r="C684" s="4">
        <v>1959.5833333197199</v>
      </c>
      <c r="D684" t="s">
        <v>162</v>
      </c>
      <c r="E684">
        <v>1959</v>
      </c>
      <c r="F684">
        <v>6096</v>
      </c>
      <c r="G684" s="8">
        <f t="shared" si="15"/>
        <v>-0.44896056650738353</v>
      </c>
      <c r="H684" s="3">
        <f>STANDARDIZE(F684,K$15,L$15)</f>
        <v>-0.66206436020568449</v>
      </c>
    </row>
    <row r="685" spans="2:8" x14ac:dyDescent="0.3">
      <c r="B685" s="5">
        <v>21732</v>
      </c>
      <c r="C685" s="4">
        <v>1959.4999999863601</v>
      </c>
      <c r="D685" t="s">
        <v>163</v>
      </c>
      <c r="E685">
        <v>1959</v>
      </c>
      <c r="F685">
        <v>6924</v>
      </c>
      <c r="G685" s="8">
        <f t="shared" si="15"/>
        <v>-0.13141338433231678</v>
      </c>
      <c r="H685" s="3">
        <f>STANDARDIZE(F685,K$14,L$14)</f>
        <v>-0.54289258738060453</v>
      </c>
    </row>
    <row r="686" spans="2:8" x14ac:dyDescent="0.3">
      <c r="B686" s="5">
        <v>21702</v>
      </c>
      <c r="C686" s="4">
        <v>1959.416666653</v>
      </c>
      <c r="D686" t="s">
        <v>164</v>
      </c>
      <c r="E686">
        <v>1959</v>
      </c>
      <c r="F686">
        <v>6802</v>
      </c>
      <c r="G686" s="8">
        <f t="shared" si="15"/>
        <v>-0.1782017372614933</v>
      </c>
      <c r="H686" s="3">
        <f>STANDARDIZE(F686,K$13,L$13)</f>
        <v>-0.84094767956915595</v>
      </c>
    </row>
    <row r="687" spans="2:8" x14ac:dyDescent="0.3">
      <c r="B687" s="5">
        <v>21671</v>
      </c>
      <c r="C687" s="4">
        <v>1959.3333333196399</v>
      </c>
      <c r="D687" t="s">
        <v>165</v>
      </c>
      <c r="E687">
        <v>1959</v>
      </c>
      <c r="F687">
        <v>5828</v>
      </c>
      <c r="G687" s="8">
        <f t="shared" si="15"/>
        <v>-0.55174153851573848</v>
      </c>
      <c r="H687" s="3">
        <f>STANDARDIZE(F687,K$12,L$12)</f>
        <v>-0.74194485956331391</v>
      </c>
    </row>
    <row r="688" spans="2:8" x14ac:dyDescent="0.3">
      <c r="B688" s="5">
        <v>21641</v>
      </c>
      <c r="C688" s="4">
        <v>1959.24999998628</v>
      </c>
      <c r="D688" t="s">
        <v>167</v>
      </c>
      <c r="E688">
        <v>1959</v>
      </c>
      <c r="F688">
        <v>3098</v>
      </c>
      <c r="G688" s="8">
        <f t="shared" si="15"/>
        <v>-1.5987268130784587</v>
      </c>
      <c r="H688" s="3">
        <f>STANDARDIZE(F688,K$11,L$11)</f>
        <v>-1.4413255004010563</v>
      </c>
    </row>
    <row r="689" spans="2:8" x14ac:dyDescent="0.3">
      <c r="B689" s="5">
        <v>21610</v>
      </c>
      <c r="C689" s="4">
        <v>1959.16666665291</v>
      </c>
      <c r="D689" t="s">
        <v>169</v>
      </c>
      <c r="E689">
        <v>1959</v>
      </c>
      <c r="F689">
        <v>2299</v>
      </c>
      <c r="G689" s="8">
        <f t="shared" si="15"/>
        <v>-1.9051521736556063</v>
      </c>
      <c r="H689" s="3">
        <f>STANDARDIZE(F689,K$10,L$10)</f>
        <v>-1.3368699291303909</v>
      </c>
    </row>
    <row r="690" spans="2:8" x14ac:dyDescent="0.3">
      <c r="B690" s="5">
        <v>21582</v>
      </c>
      <c r="C690" s="4">
        <v>1959.0833333195501</v>
      </c>
      <c r="D690" t="s">
        <v>171</v>
      </c>
      <c r="E690">
        <v>1959</v>
      </c>
      <c r="F690">
        <v>2138</v>
      </c>
      <c r="G690" s="8">
        <f t="shared" si="15"/>
        <v>-1.966897459078536</v>
      </c>
      <c r="H690" s="3">
        <f>STANDARDIZE(F690,K$9,L$9)</f>
        <v>-1.5217916388093149</v>
      </c>
    </row>
    <row r="691" spans="2:8" x14ac:dyDescent="0.3">
      <c r="B691" s="5">
        <v>21551</v>
      </c>
      <c r="C691" s="4">
        <v>1958.99999998619</v>
      </c>
      <c r="D691" t="s">
        <v>173</v>
      </c>
      <c r="E691">
        <v>1959</v>
      </c>
      <c r="F691">
        <v>3454</v>
      </c>
      <c r="G691" s="8">
        <f t="shared" si="15"/>
        <v>-1.4621968651867632</v>
      </c>
      <c r="H691" s="3">
        <f>STANDARDIZE(F691,K$8,L$8)</f>
        <v>-1.5502437839772909</v>
      </c>
    </row>
    <row r="692" spans="2:8" x14ac:dyDescent="0.3">
      <c r="B692" s="5">
        <v>21520</v>
      </c>
      <c r="C692" s="4">
        <v>1958.9166666528299</v>
      </c>
      <c r="D692" t="s">
        <v>157</v>
      </c>
      <c r="E692">
        <v>1958</v>
      </c>
      <c r="F692">
        <v>5562</v>
      </c>
      <c r="G692" s="8">
        <f t="shared" si="15"/>
        <v>-0.65375548834492658</v>
      </c>
      <c r="H692" s="3">
        <f>STANDARDIZE(F692,K$19,L$19)</f>
        <v>-1.4959901956080308</v>
      </c>
    </row>
    <row r="693" spans="2:8" x14ac:dyDescent="0.3">
      <c r="B693" s="5">
        <v>21490</v>
      </c>
      <c r="C693" s="4">
        <v>1958.8333333194701</v>
      </c>
      <c r="D693" t="s">
        <v>158</v>
      </c>
      <c r="E693">
        <v>1958</v>
      </c>
      <c r="F693">
        <v>7208</v>
      </c>
      <c r="G693" s="8">
        <f t="shared" si="15"/>
        <v>-2.2496234890627225E-2</v>
      </c>
      <c r="H693" s="3">
        <f>STANDARDIZE(F693,K$18,L$18)</f>
        <v>-1.0283639804927032</v>
      </c>
    </row>
    <row r="694" spans="2:8" x14ac:dyDescent="0.3">
      <c r="B694" s="5">
        <v>21459</v>
      </c>
      <c r="C694" s="4">
        <v>1958.74999998611</v>
      </c>
      <c r="D694" t="s">
        <v>160</v>
      </c>
      <c r="E694">
        <v>1958</v>
      </c>
      <c r="F694">
        <v>5663</v>
      </c>
      <c r="G694" s="8">
        <f t="shared" si="15"/>
        <v>-0.61502086829700175</v>
      </c>
      <c r="H694" s="3">
        <f>STANDARDIZE(F694,K$17,L$17)</f>
        <v>-1.4870817785390105</v>
      </c>
    </row>
    <row r="695" spans="2:8" x14ac:dyDescent="0.3">
      <c r="B695" s="5">
        <v>21429</v>
      </c>
      <c r="C695" s="4">
        <v>1958.6666666527501</v>
      </c>
      <c r="D695" t="s">
        <v>161</v>
      </c>
      <c r="E695">
        <v>1958</v>
      </c>
      <c r="F695">
        <v>5019</v>
      </c>
      <c r="G695" s="8">
        <f t="shared" si="15"/>
        <v>-0.86200200998872045</v>
      </c>
      <c r="H695" s="3">
        <f>STANDARDIZE(F695,K$16,L$16)</f>
        <v>-1.265055588623855</v>
      </c>
    </row>
    <row r="696" spans="2:8" x14ac:dyDescent="0.3">
      <c r="B696" s="5">
        <v>21398</v>
      </c>
      <c r="C696" s="4">
        <v>1958.58333331939</v>
      </c>
      <c r="D696" t="s">
        <v>162</v>
      </c>
      <c r="E696">
        <v>1958</v>
      </c>
      <c r="F696">
        <v>5607</v>
      </c>
      <c r="G696" s="8">
        <f t="shared" si="15"/>
        <v>-0.636497489313673</v>
      </c>
      <c r="H696" s="3">
        <f>STANDARDIZE(F696,K$15,L$15)</f>
        <v>-0.90138724542771187</v>
      </c>
    </row>
    <row r="697" spans="2:8" x14ac:dyDescent="0.3">
      <c r="B697" s="5">
        <v>21367</v>
      </c>
      <c r="C697" s="4">
        <v>1958.4999999860299</v>
      </c>
      <c r="D697" t="s">
        <v>163</v>
      </c>
      <c r="E697">
        <v>1958</v>
      </c>
      <c r="F697">
        <v>4748</v>
      </c>
      <c r="G697" s="8">
        <f t="shared" si="15"/>
        <v>-0.9659335152658256</v>
      </c>
      <c r="H697" s="3">
        <f>STANDARDIZE(F697,K$14,L$14)</f>
        <v>-1.5993417598861317</v>
      </c>
    </row>
    <row r="698" spans="2:8" x14ac:dyDescent="0.3">
      <c r="B698" s="5">
        <v>21337</v>
      </c>
      <c r="C698" s="4">
        <v>1958.4166666526701</v>
      </c>
      <c r="D698" t="s">
        <v>164</v>
      </c>
      <c r="E698">
        <v>1958</v>
      </c>
      <c r="F698">
        <v>6442</v>
      </c>
      <c r="G698" s="8">
        <f t="shared" si="15"/>
        <v>-0.31626572951152232</v>
      </c>
      <c r="H698" s="3">
        <f>STANDARDIZE(F698,K$13,L$13)</f>
        <v>-1.0539979207224657</v>
      </c>
    </row>
    <row r="699" spans="2:8" x14ac:dyDescent="0.3">
      <c r="B699" s="5">
        <v>21306</v>
      </c>
      <c r="C699" s="4">
        <v>1958.33333331931</v>
      </c>
      <c r="D699" t="s">
        <v>165</v>
      </c>
      <c r="E699">
        <v>1958</v>
      </c>
      <c r="F699">
        <v>5668</v>
      </c>
      <c r="G699" s="8">
        <f t="shared" si="15"/>
        <v>-0.6131033128490847</v>
      </c>
      <c r="H699" s="3">
        <f>STANDARDIZE(F699,K$12,L$12)</f>
        <v>-0.85190426782666562</v>
      </c>
    </row>
    <row r="700" spans="2:8" x14ac:dyDescent="0.3">
      <c r="B700" s="5">
        <v>21276</v>
      </c>
      <c r="C700" s="4">
        <v>1958.2499999859499</v>
      </c>
      <c r="D700" t="s">
        <v>167</v>
      </c>
      <c r="E700">
        <v>1958</v>
      </c>
      <c r="F700">
        <v>3441</v>
      </c>
      <c r="G700" s="8">
        <f t="shared" si="15"/>
        <v>-1.4671825093513475</v>
      </c>
      <c r="H700" s="3">
        <f>STANDARDIZE(F700,K$11,L$11)</f>
        <v>-1.17999463381812</v>
      </c>
    </row>
    <row r="701" spans="2:8" x14ac:dyDescent="0.3">
      <c r="B701" s="5">
        <v>21245</v>
      </c>
      <c r="C701" s="4">
        <v>1958.16666665259</v>
      </c>
      <c r="D701" t="s">
        <v>169</v>
      </c>
      <c r="E701">
        <v>1958</v>
      </c>
      <c r="F701">
        <v>2527</v>
      </c>
      <c r="G701" s="8">
        <f t="shared" si="15"/>
        <v>-1.8177116452305879</v>
      </c>
      <c r="H701" s="3">
        <f>STANDARDIZE(F701,K$10,L$10)</f>
        <v>-1.1740671104916323</v>
      </c>
    </row>
    <row r="702" spans="2:8" x14ac:dyDescent="0.3">
      <c r="B702" s="5">
        <v>21217</v>
      </c>
      <c r="C702" s="4">
        <v>1958.08333331923</v>
      </c>
      <c r="D702" t="s">
        <v>171</v>
      </c>
      <c r="E702">
        <v>1958</v>
      </c>
      <c r="F702">
        <v>2651</v>
      </c>
      <c r="G702" s="8">
        <f t="shared" si="15"/>
        <v>-1.7701562701222446</v>
      </c>
      <c r="H702" s="3">
        <f>STANDARDIZE(F702,K$9,L$9)</f>
        <v>-1.1969086266916202</v>
      </c>
    </row>
    <row r="703" spans="2:8" x14ac:dyDescent="0.3">
      <c r="B703" s="5">
        <v>21186</v>
      </c>
      <c r="C703" s="4">
        <v>1957.9999999858701</v>
      </c>
      <c r="D703" t="s">
        <v>173</v>
      </c>
      <c r="E703">
        <v>1958</v>
      </c>
      <c r="F703">
        <v>3656</v>
      </c>
      <c r="G703" s="8">
        <f t="shared" si="15"/>
        <v>-1.3847276250909137</v>
      </c>
      <c r="H703" s="3">
        <f>STANDARDIZE(F703,K$8,L$8)</f>
        <v>-1.4620571941367206</v>
      </c>
    </row>
    <row r="704" spans="2:8" x14ac:dyDescent="0.3">
      <c r="B704" s="5">
        <v>21155</v>
      </c>
      <c r="C704" s="4">
        <v>1957.91666665251</v>
      </c>
      <c r="D704" t="s">
        <v>157</v>
      </c>
      <c r="E704">
        <v>1957</v>
      </c>
      <c r="F704">
        <v>6407</v>
      </c>
      <c r="G704" s="8">
        <f t="shared" si="15"/>
        <v>-0.3296886176469418</v>
      </c>
      <c r="H704" s="3">
        <f>STANDARDIZE(F704,K$19,L$19)</f>
        <v>-1.2040717644065129</v>
      </c>
    </row>
    <row r="705" spans="2:8" x14ac:dyDescent="0.3">
      <c r="B705" s="5">
        <v>21125</v>
      </c>
      <c r="C705" s="4">
        <v>1957.8333333191499</v>
      </c>
      <c r="D705" t="s">
        <v>158</v>
      </c>
      <c r="E705">
        <v>1957</v>
      </c>
      <c r="F705">
        <v>7167</v>
      </c>
      <c r="G705" s="8">
        <f t="shared" si="15"/>
        <v>-3.8220189563547197E-2</v>
      </c>
      <c r="H705" s="3">
        <f>STANDARDIZE(F705,K$18,L$18)</f>
        <v>-1.0439602923280307</v>
      </c>
    </row>
    <row r="706" spans="2:8" x14ac:dyDescent="0.3">
      <c r="B706" s="5">
        <v>21094</v>
      </c>
      <c r="C706" s="4">
        <v>1957.7499999857901</v>
      </c>
      <c r="D706" t="s">
        <v>160</v>
      </c>
      <c r="E706">
        <v>1957</v>
      </c>
      <c r="F706">
        <v>6284</v>
      </c>
      <c r="G706" s="8">
        <f t="shared" si="15"/>
        <v>-0.37686048166570174</v>
      </c>
      <c r="H706" s="3">
        <f>STANDARDIZE(F706,K$17,L$17)</f>
        <v>-1.1720498937852237</v>
      </c>
    </row>
    <row r="707" spans="2:8" x14ac:dyDescent="0.3">
      <c r="B707" s="5">
        <v>21064</v>
      </c>
      <c r="C707" s="4">
        <v>1957.66666665243</v>
      </c>
      <c r="D707" t="s">
        <v>161</v>
      </c>
      <c r="E707">
        <v>1957</v>
      </c>
      <c r="F707">
        <v>5136</v>
      </c>
      <c r="G707" s="8">
        <f t="shared" si="15"/>
        <v>-0.81713121250746101</v>
      </c>
      <c r="H707" s="3">
        <f>STANDARDIZE(F707,K$16,L$16)</f>
        <v>-1.2084326499121851</v>
      </c>
    </row>
    <row r="708" spans="2:8" x14ac:dyDescent="0.3">
      <c r="B708" s="5">
        <v>21033</v>
      </c>
      <c r="C708" s="4">
        <v>1957.5833333190701</v>
      </c>
      <c r="D708" t="s">
        <v>162</v>
      </c>
      <c r="E708">
        <v>1957</v>
      </c>
      <c r="F708">
        <v>5317</v>
      </c>
      <c r="G708" s="8">
        <f t="shared" si="15"/>
        <v>-0.74771570529286302</v>
      </c>
      <c r="H708" s="3">
        <f>STANDARDIZE(F708,K$15,L$15)</f>
        <v>-1.043316972859998</v>
      </c>
    </row>
    <row r="709" spans="2:8" x14ac:dyDescent="0.3">
      <c r="B709" s="5">
        <v>21002</v>
      </c>
      <c r="C709" s="4">
        <v>1957.49999998571</v>
      </c>
      <c r="D709" t="s">
        <v>163</v>
      </c>
      <c r="E709">
        <v>1957</v>
      </c>
      <c r="F709">
        <v>6377</v>
      </c>
      <c r="G709" s="8">
        <f t="shared" si="15"/>
        <v>-0.34119395033444422</v>
      </c>
      <c r="H709" s="3">
        <f>STANDARDIZE(F709,K$14,L$14)</f>
        <v>-0.80846138212349206</v>
      </c>
    </row>
    <row r="710" spans="2:8" x14ac:dyDescent="0.3">
      <c r="B710" s="5">
        <v>20972</v>
      </c>
      <c r="C710" s="4">
        <v>1957.4166666523499</v>
      </c>
      <c r="D710" t="s">
        <v>164</v>
      </c>
      <c r="E710">
        <v>1957</v>
      </c>
      <c r="F710">
        <v>7896</v>
      </c>
      <c r="G710" s="8">
        <f t="shared" si="15"/>
        <v>0.24135939474276158</v>
      </c>
      <c r="H710" s="3">
        <f>STANDARDIZE(F710,K$13,L$13)</f>
        <v>-0.19351166895326477</v>
      </c>
    </row>
    <row r="711" spans="2:8" x14ac:dyDescent="0.3">
      <c r="B711" s="5">
        <v>20941</v>
      </c>
      <c r="C711" s="4">
        <v>1957.3333333189901</v>
      </c>
      <c r="D711" t="s">
        <v>165</v>
      </c>
      <c r="E711">
        <v>1957</v>
      </c>
      <c r="F711">
        <v>5821</v>
      </c>
      <c r="G711" s="8">
        <f t="shared" si="15"/>
        <v>-0.55442611614282244</v>
      </c>
      <c r="H711" s="3">
        <f>STANDARDIZE(F711,K$12,L$12)</f>
        <v>-0.74675558367483552</v>
      </c>
    </row>
    <row r="712" spans="2:8" x14ac:dyDescent="0.3">
      <c r="B712" s="5">
        <v>20911</v>
      </c>
      <c r="C712" s="4">
        <v>1957.24999998563</v>
      </c>
      <c r="D712" t="s">
        <v>167</v>
      </c>
      <c r="E712">
        <v>1957</v>
      </c>
      <c r="F712">
        <v>4337</v>
      </c>
      <c r="G712" s="8">
        <f t="shared" ref="G712:G715" si="16">STANDARDIZE(F712,F$4,F$5)</f>
        <v>-1.1235565730846087</v>
      </c>
      <c r="H712" s="3">
        <f>STANDARDIZE(F712,K$11,L$11)</f>
        <v>-0.49733441090759212</v>
      </c>
    </row>
    <row r="713" spans="2:8" x14ac:dyDescent="0.3">
      <c r="B713" s="5">
        <v>20880</v>
      </c>
      <c r="C713" s="4">
        <v>1957.1666666522699</v>
      </c>
      <c r="D713" t="s">
        <v>169</v>
      </c>
      <c r="E713">
        <v>1957</v>
      </c>
      <c r="F713">
        <v>3838</v>
      </c>
      <c r="G713" s="8">
        <f t="shared" si="16"/>
        <v>-1.3149286067867323</v>
      </c>
      <c r="H713" s="3">
        <f>STANDARDIZE(F713,K$10,L$10)</f>
        <v>-0.23795090331877022</v>
      </c>
    </row>
    <row r="714" spans="2:8" x14ac:dyDescent="0.3">
      <c r="B714" s="5">
        <v>20852</v>
      </c>
      <c r="C714" s="4">
        <v>1957.08333331891</v>
      </c>
      <c r="D714" t="s">
        <v>171</v>
      </c>
      <c r="E714">
        <v>1957</v>
      </c>
      <c r="F714">
        <v>4213</v>
      </c>
      <c r="G714" s="8">
        <f t="shared" si="16"/>
        <v>-1.1711119481929522</v>
      </c>
      <c r="H714" s="3">
        <f>STANDARDIZE(F714,K$9,L$9)</f>
        <v>-0.20769368531181681</v>
      </c>
    </row>
    <row r="715" spans="2:8" x14ac:dyDescent="0.3">
      <c r="B715" s="5">
        <v>20821</v>
      </c>
      <c r="C715" s="4">
        <v>1956.9999999855499</v>
      </c>
      <c r="D715" t="s">
        <v>173</v>
      </c>
      <c r="E715">
        <v>1957</v>
      </c>
      <c r="F715">
        <v>8189</v>
      </c>
      <c r="G715" s="8">
        <f t="shared" si="16"/>
        <v>0.3537281439907019</v>
      </c>
      <c r="H715" s="3">
        <f>STANDARDIZE(F715,K$8,L$8)</f>
        <v>0.51690226995884825</v>
      </c>
    </row>
    <row r="716" spans="2:8" x14ac:dyDescent="0.3">
      <c r="B716" s="5">
        <v>20790</v>
      </c>
      <c r="C716" s="4">
        <v>1956.9166666521901</v>
      </c>
      <c r="D716" t="s">
        <v>157</v>
      </c>
      <c r="E716">
        <v>1956</v>
      </c>
      <c r="G716" s="8"/>
      <c r="H716" s="3">
        <f>STANDARDIZE(F716,K$19,L$19)</f>
        <v>-3.417469857552224</v>
      </c>
    </row>
    <row r="717" spans="2:8" x14ac:dyDescent="0.3">
      <c r="B717" s="5">
        <v>20760</v>
      </c>
      <c r="C717" s="4">
        <v>1956.83333331883</v>
      </c>
      <c r="D717" t="s">
        <v>158</v>
      </c>
      <c r="E717">
        <v>1956</v>
      </c>
      <c r="G717" s="8"/>
      <c r="H717" s="3">
        <f>STANDARDIZE(F717,K$18,L$18)</f>
        <v>-3.7702716807132011</v>
      </c>
    </row>
    <row r="718" spans="2:8" x14ac:dyDescent="0.3">
      <c r="B718" s="5">
        <v>20729</v>
      </c>
      <c r="C718" s="4">
        <v>1956.7499999854699</v>
      </c>
      <c r="D718" t="s">
        <v>160</v>
      </c>
      <c r="E718">
        <v>1956</v>
      </c>
      <c r="F718">
        <v>9777</v>
      </c>
      <c r="G718" s="8">
        <f t="shared" ref="G718:G727" si="17">STANDARDIZE(F718,F$4,F$5)</f>
        <v>0.96274375424916325</v>
      </c>
      <c r="H718" s="3">
        <f>STANDARDIZE(F718,K$17,L$17)</f>
        <v>0.59994104573969931</v>
      </c>
    </row>
    <row r="719" spans="2:8" x14ac:dyDescent="0.3">
      <c r="B719" s="5">
        <v>20699</v>
      </c>
      <c r="C719" s="4">
        <v>1956.6666666521101</v>
      </c>
      <c r="D719" t="s">
        <v>161</v>
      </c>
      <c r="E719">
        <v>1956</v>
      </c>
      <c r="F719">
        <v>8480</v>
      </c>
      <c r="G719" s="8">
        <f t="shared" si="17"/>
        <v>0.46532987105947532</v>
      </c>
      <c r="H719" s="3">
        <f>STANDARDIZE(F719,K$16,L$16)</f>
        <v>0.40991869241109541</v>
      </c>
    </row>
    <row r="720" spans="2:8" x14ac:dyDescent="0.3">
      <c r="B720" s="5">
        <v>20668</v>
      </c>
      <c r="C720" s="4">
        <v>1956.58333331875</v>
      </c>
      <c r="D720" t="s">
        <v>162</v>
      </c>
      <c r="E720">
        <v>1956</v>
      </c>
      <c r="F720">
        <v>8293</v>
      </c>
      <c r="G720" s="8">
        <f t="shared" si="17"/>
        <v>0.39361329730737693</v>
      </c>
      <c r="H720" s="3">
        <f>STANDARDIZE(F720,K$15,L$15)</f>
        <v>0.41317567830718671</v>
      </c>
    </row>
    <row r="721" spans="2:8" x14ac:dyDescent="0.3">
      <c r="B721" s="5">
        <v>20637</v>
      </c>
      <c r="C721" s="4">
        <v>1956.4999999853901</v>
      </c>
      <c r="D721" t="s">
        <v>163</v>
      </c>
      <c r="E721">
        <v>1956</v>
      </c>
      <c r="F721">
        <v>9889</v>
      </c>
      <c r="G721" s="8">
        <f t="shared" si="17"/>
        <v>1.0056969962825055</v>
      </c>
      <c r="H721" s="3">
        <f>STANDARDIZE(F721,K$14,L$14)</f>
        <v>0.89661651026594325</v>
      </c>
    </row>
    <row r="722" spans="2:8" x14ac:dyDescent="0.3">
      <c r="B722" s="5">
        <v>20607</v>
      </c>
      <c r="C722" s="4">
        <v>1956.41666665203</v>
      </c>
      <c r="D722" t="s">
        <v>164</v>
      </c>
      <c r="E722">
        <v>1956</v>
      </c>
      <c r="F722">
        <v>9496</v>
      </c>
      <c r="G722" s="8">
        <f t="shared" si="17"/>
        <v>0.85497713807622389</v>
      </c>
      <c r="H722" s="3">
        <f>STANDARDIZE(F722,K$13,L$13)</f>
        <v>0.75337829172811177</v>
      </c>
    </row>
    <row r="723" spans="2:8" x14ac:dyDescent="0.3">
      <c r="B723" s="5">
        <v>20576</v>
      </c>
      <c r="C723" s="4">
        <v>1956.3333333186699</v>
      </c>
      <c r="D723" t="s">
        <v>165</v>
      </c>
      <c r="E723">
        <v>1956</v>
      </c>
      <c r="F723">
        <v>7264</v>
      </c>
      <c r="G723" s="8">
        <f t="shared" si="17"/>
        <v>-1.019613873956042E-3</v>
      </c>
      <c r="H723" s="3">
        <f>STANDARDIZE(F723,K$12,L$12)</f>
        <v>0.2449408296002672</v>
      </c>
    </row>
    <row r="724" spans="2:8" x14ac:dyDescent="0.3">
      <c r="B724" s="5">
        <v>20546</v>
      </c>
      <c r="C724" s="4">
        <v>1956.2499999853101</v>
      </c>
      <c r="D724" t="s">
        <v>167</v>
      </c>
      <c r="E724">
        <v>1956</v>
      </c>
      <c r="F724">
        <v>6521</v>
      </c>
      <c r="G724" s="8">
        <f t="shared" si="17"/>
        <v>-0.28596835343443261</v>
      </c>
      <c r="H724" s="3">
        <f>STANDARDIZE(F724,K$11,L$11)</f>
        <v>1.1666498824368194</v>
      </c>
    </row>
    <row r="725" spans="2:8" x14ac:dyDescent="0.3">
      <c r="B725" s="5">
        <v>20515</v>
      </c>
      <c r="C725" s="4">
        <v>1956.16666665195</v>
      </c>
      <c r="D725" t="s">
        <v>169</v>
      </c>
      <c r="E725">
        <v>1956</v>
      </c>
      <c r="F725">
        <v>7076</v>
      </c>
      <c r="G725" s="8">
        <f t="shared" si="17"/>
        <v>-7.3119698715637865E-2</v>
      </c>
      <c r="H725" s="3">
        <f>STANDARDIZE(F725,K$10,L$10)</f>
        <v>2.0741347403316701</v>
      </c>
    </row>
    <row r="726" spans="2:8" x14ac:dyDescent="0.3">
      <c r="B726" s="5">
        <v>20486</v>
      </c>
      <c r="C726" s="4">
        <v>1956.0833333185899</v>
      </c>
      <c r="D726" t="s">
        <v>171</v>
      </c>
      <c r="E726">
        <v>1956</v>
      </c>
      <c r="F726">
        <v>8184</v>
      </c>
      <c r="G726" s="8">
        <f t="shared" si="17"/>
        <v>0.3518105885427848</v>
      </c>
      <c r="H726" s="3">
        <f>STANDARDIZE(F726,K$9,L$9)</f>
        <v>2.3071414825621903</v>
      </c>
    </row>
    <row r="727" spans="2:8" x14ac:dyDescent="0.3">
      <c r="B727" s="5">
        <v>20455</v>
      </c>
      <c r="C727" s="4">
        <v>1955.99999998523</v>
      </c>
      <c r="D727" t="s">
        <v>173</v>
      </c>
      <c r="E727">
        <v>1956</v>
      </c>
      <c r="F727">
        <v>10684</v>
      </c>
      <c r="G727" s="8">
        <f t="shared" si="17"/>
        <v>1.3105883125013198</v>
      </c>
      <c r="H727" s="3">
        <f>STANDARDIZE(F727,K$8,L$8)</f>
        <v>1.6061376246728223</v>
      </c>
    </row>
    <row r="728" spans="2:8" x14ac:dyDescent="0.3">
      <c r="B728" s="5">
        <v>20424</v>
      </c>
      <c r="C728" s="4">
        <v>1955.9166666518699</v>
      </c>
      <c r="D728" t="s">
        <v>157</v>
      </c>
      <c r="E728">
        <v>1955</v>
      </c>
      <c r="G728" s="8"/>
      <c r="H728" s="3">
        <f>STANDARDIZE(F728,K$19,L$19)</f>
        <v>-3.417469857552224</v>
      </c>
    </row>
    <row r="729" spans="2:8" x14ac:dyDescent="0.3">
      <c r="B729" s="5">
        <v>20394</v>
      </c>
      <c r="C729" s="4">
        <v>1955.8333333185101</v>
      </c>
      <c r="D729" t="s">
        <v>158</v>
      </c>
      <c r="E729">
        <v>1955</v>
      </c>
      <c r="G729" s="8"/>
      <c r="H729" s="3">
        <f>STANDARDIZE(F729,K$18,L$18)</f>
        <v>-3.7702716807132011</v>
      </c>
    </row>
    <row r="730" spans="2:8" x14ac:dyDescent="0.3">
      <c r="B730" s="5">
        <v>20363</v>
      </c>
      <c r="C730" s="4">
        <v>1955.74999998515</v>
      </c>
      <c r="D730" t="s">
        <v>160</v>
      </c>
      <c r="E730">
        <v>1955</v>
      </c>
      <c r="F730">
        <v>10622</v>
      </c>
      <c r="G730" s="8">
        <f t="shared" ref="G730:G761" si="18">STANDARDIZE(F730,F$4,F$5)</f>
        <v>1.286810624947148</v>
      </c>
      <c r="H730" s="3">
        <f>STANDARDIZE(F730,K$17,L$17)</f>
        <v>1.0286076200020984</v>
      </c>
    </row>
    <row r="731" spans="2:8" x14ac:dyDescent="0.3">
      <c r="B731" s="5">
        <v>20333</v>
      </c>
      <c r="C731" s="4">
        <v>1955.6666666517899</v>
      </c>
      <c r="D731" t="s">
        <v>161</v>
      </c>
      <c r="E731">
        <v>1955</v>
      </c>
      <c r="F731">
        <v>10162</v>
      </c>
      <c r="G731" s="8">
        <f t="shared" si="18"/>
        <v>1.1103955237387777</v>
      </c>
      <c r="H731" s="3">
        <f>STANDARDIZE(F731,K$16,L$16)</f>
        <v>1.2239339309839896</v>
      </c>
    </row>
    <row r="732" spans="2:8" x14ac:dyDescent="0.3">
      <c r="B732" s="5">
        <v>20302</v>
      </c>
      <c r="C732" s="4">
        <v>1955.58333331843</v>
      </c>
      <c r="D732" t="s">
        <v>162</v>
      </c>
      <c r="E732">
        <v>1955</v>
      </c>
      <c r="F732">
        <v>10252</v>
      </c>
      <c r="G732" s="8">
        <f t="shared" si="18"/>
        <v>1.1449115218012849</v>
      </c>
      <c r="H732" s="3">
        <f>STANDARDIZE(F732,K$15,L$15)</f>
        <v>1.3719354577549403</v>
      </c>
    </row>
    <row r="733" spans="2:8" x14ac:dyDescent="0.3">
      <c r="B733" s="5">
        <v>20271</v>
      </c>
      <c r="C733" s="4">
        <v>1955.49999998507</v>
      </c>
      <c r="D733" t="s">
        <v>163</v>
      </c>
      <c r="E733">
        <v>1955</v>
      </c>
      <c r="F733">
        <v>10142</v>
      </c>
      <c r="G733" s="8">
        <f t="shared" si="18"/>
        <v>1.1027253019471093</v>
      </c>
      <c r="H733" s="3">
        <f>STANDARDIZE(F733,K$14,L$14)</f>
        <v>1.0194481465912641</v>
      </c>
    </row>
    <row r="734" spans="2:8" x14ac:dyDescent="0.3">
      <c r="B734" s="5">
        <v>20241</v>
      </c>
      <c r="C734" s="4">
        <v>1955.4166666517101</v>
      </c>
      <c r="D734" t="s">
        <v>164</v>
      </c>
      <c r="E734">
        <v>1955</v>
      </c>
      <c r="F734">
        <v>9442</v>
      </c>
      <c r="G734" s="8">
        <f t="shared" si="18"/>
        <v>0.83426753923871955</v>
      </c>
      <c r="H734" s="3">
        <f>STANDARDIZE(F734,K$13,L$13)</f>
        <v>0.72142075555511531</v>
      </c>
    </row>
    <row r="735" spans="2:8" x14ac:dyDescent="0.3">
      <c r="B735" s="5">
        <v>20210</v>
      </c>
      <c r="C735" s="4">
        <v>1955.33333331835</v>
      </c>
      <c r="D735" t="s">
        <v>165</v>
      </c>
      <c r="E735">
        <v>1955</v>
      </c>
      <c r="F735">
        <v>8350</v>
      </c>
      <c r="G735" s="8">
        <f t="shared" si="18"/>
        <v>0.41547342941363152</v>
      </c>
      <c r="H735" s="3">
        <f>STANDARDIZE(F735,K$12,L$12)</f>
        <v>0.99129031318776661</v>
      </c>
    </row>
    <row r="736" spans="2:8" x14ac:dyDescent="0.3">
      <c r="B736" s="5">
        <v>20180</v>
      </c>
      <c r="C736" s="4">
        <v>1955.2499999849899</v>
      </c>
      <c r="D736" t="s">
        <v>167</v>
      </c>
      <c r="E736">
        <v>1955</v>
      </c>
      <c r="F736">
        <v>6480</v>
      </c>
      <c r="G736" s="8">
        <f t="shared" si="18"/>
        <v>-0.30169230810735259</v>
      </c>
      <c r="H736" s="3">
        <f>STANDARDIZE(F736,K$11,L$11)</f>
        <v>1.1354120820581011</v>
      </c>
    </row>
    <row r="737" spans="2:8" x14ac:dyDescent="0.3">
      <c r="B737" s="5">
        <v>20149</v>
      </c>
      <c r="C737" s="4">
        <v>1955.1666666516301</v>
      </c>
      <c r="D737" t="s">
        <v>169</v>
      </c>
      <c r="E737">
        <v>1955</v>
      </c>
      <c r="F737">
        <v>4535</v>
      </c>
      <c r="G737" s="8">
        <f t="shared" si="18"/>
        <v>-1.0476213773470928</v>
      </c>
      <c r="H737" s="3">
        <f>STANDARDIZE(F737,K$10,L$10)</f>
        <v>0.25974016944971551</v>
      </c>
    </row>
    <row r="738" spans="2:8" x14ac:dyDescent="0.3">
      <c r="B738" s="5">
        <v>20121</v>
      </c>
      <c r="C738" s="4">
        <v>1955.08333331827</v>
      </c>
      <c r="D738" t="s">
        <v>171</v>
      </c>
      <c r="E738">
        <v>1955</v>
      </c>
      <c r="F738">
        <v>4973</v>
      </c>
      <c r="G738" s="8">
        <f t="shared" si="18"/>
        <v>-0.87964352010955749</v>
      </c>
      <c r="H738" s="3">
        <f>STANDARDIZE(F738,K$9,L$9)</f>
        <v>0.27361448078847167</v>
      </c>
    </row>
    <row r="739" spans="2:8" x14ac:dyDescent="0.3">
      <c r="B739" s="5">
        <v>20090</v>
      </c>
      <c r="C739" s="4">
        <v>1954.9999999849099</v>
      </c>
      <c r="D739" t="s">
        <v>173</v>
      </c>
      <c r="E739">
        <v>1955</v>
      </c>
      <c r="F739">
        <v>9458</v>
      </c>
      <c r="G739" s="8">
        <f t="shared" si="18"/>
        <v>0.84040371667205416</v>
      </c>
      <c r="H739" s="3">
        <f>STANDARDIZE(F739,K$8,L$8)</f>
        <v>1.0709061437592622</v>
      </c>
    </row>
    <row r="740" spans="2:8" x14ac:dyDescent="0.3">
      <c r="B740" s="5">
        <v>20059</v>
      </c>
      <c r="C740" s="4">
        <v>1954.91666665155</v>
      </c>
      <c r="D740" t="s">
        <v>157</v>
      </c>
      <c r="E740">
        <v>1954</v>
      </c>
      <c r="F740">
        <v>11458</v>
      </c>
      <c r="G740" s="8">
        <f t="shared" si="18"/>
        <v>1.6074258958388821</v>
      </c>
      <c r="H740" s="3">
        <f>STANDARDIZE(F740,K$19,L$19)</f>
        <v>0.54087497642054927</v>
      </c>
    </row>
    <row r="741" spans="2:8" x14ac:dyDescent="0.3">
      <c r="B741" s="5">
        <v>20029</v>
      </c>
      <c r="C741" s="4">
        <v>1954.8333333181899</v>
      </c>
      <c r="D741" t="s">
        <v>158</v>
      </c>
      <c r="E741">
        <v>1954</v>
      </c>
      <c r="F741">
        <v>10989</v>
      </c>
      <c r="G741" s="8">
        <f t="shared" si="18"/>
        <v>1.427559194824261</v>
      </c>
      <c r="H741" s="3">
        <f>STANDARDIZE(F741,K$18,L$18)</f>
        <v>0.40992028900420341</v>
      </c>
    </row>
    <row r="742" spans="2:8" x14ac:dyDescent="0.3">
      <c r="B742" s="5">
        <v>19998</v>
      </c>
      <c r="C742" s="4">
        <v>1954.7499999848301</v>
      </c>
      <c r="D742" t="s">
        <v>160</v>
      </c>
      <c r="E742">
        <v>1954</v>
      </c>
      <c r="F742">
        <v>9536</v>
      </c>
      <c r="G742" s="8">
        <f t="shared" si="18"/>
        <v>0.87031758165956052</v>
      </c>
      <c r="H742" s="3">
        <f>STANDARDIZE(F742,K$17,L$17)</f>
        <v>0.47768229497373699</v>
      </c>
    </row>
    <row r="743" spans="2:8" x14ac:dyDescent="0.3">
      <c r="B743" s="5">
        <v>19968</v>
      </c>
      <c r="C743" s="4">
        <v>1954.66666665147</v>
      </c>
      <c r="D743" t="s">
        <v>161</v>
      </c>
      <c r="E743">
        <v>1954</v>
      </c>
      <c r="F743">
        <v>9183</v>
      </c>
      <c r="G743" s="8">
        <f t="shared" si="18"/>
        <v>0.73493816703661541</v>
      </c>
      <c r="H743" s="3">
        <f>STANDARDIZE(F743,K$16,L$16)</f>
        <v>0.75014028142223965</v>
      </c>
    </row>
    <row r="744" spans="2:8" x14ac:dyDescent="0.3">
      <c r="B744" s="5">
        <v>19937</v>
      </c>
      <c r="C744" s="4">
        <v>1954.5833333181099</v>
      </c>
      <c r="D744" t="s">
        <v>162</v>
      </c>
      <c r="E744">
        <v>1954</v>
      </c>
      <c r="F744">
        <v>10413</v>
      </c>
      <c r="G744" s="8">
        <f t="shared" si="18"/>
        <v>1.2066568072242145</v>
      </c>
      <c r="H744" s="3">
        <f>STANDARDIZE(F744,K$15,L$15)</f>
        <v>1.4507309271225199</v>
      </c>
    </row>
    <row r="745" spans="2:8" x14ac:dyDescent="0.3">
      <c r="B745" s="5">
        <v>19906</v>
      </c>
      <c r="C745" s="4">
        <v>1954.49999998475</v>
      </c>
      <c r="D745" t="s">
        <v>163</v>
      </c>
      <c r="E745">
        <v>1954</v>
      </c>
      <c r="F745">
        <v>9701</v>
      </c>
      <c r="G745" s="8">
        <f t="shared" si="18"/>
        <v>0.9335969114408238</v>
      </c>
      <c r="H745" s="3">
        <f>STANDARDIZE(F745,K$14,L$14)</f>
        <v>0.80534240896491427</v>
      </c>
    </row>
    <row r="746" spans="2:8" x14ac:dyDescent="0.3">
      <c r="B746" s="5">
        <v>19876</v>
      </c>
      <c r="C746" s="4">
        <v>1954.41666665139</v>
      </c>
      <c r="D746" t="s">
        <v>164</v>
      </c>
      <c r="E746">
        <v>1954</v>
      </c>
      <c r="F746">
        <v>7892</v>
      </c>
      <c r="G746" s="8">
        <f t="shared" si="18"/>
        <v>0.23982535038442793</v>
      </c>
      <c r="H746" s="3">
        <f>STANDARDIZE(F746,K$13,L$13)</f>
        <v>-0.19587889385496821</v>
      </c>
    </row>
    <row r="747" spans="2:8" x14ac:dyDescent="0.3">
      <c r="B747" s="5">
        <v>19845</v>
      </c>
      <c r="C747" s="4">
        <v>1954.3333333180301</v>
      </c>
      <c r="D747" t="s">
        <v>165</v>
      </c>
      <c r="E747">
        <v>1954</v>
      </c>
      <c r="F747">
        <v>6684</v>
      </c>
      <c r="G747" s="8">
        <f t="shared" si="18"/>
        <v>-0.22345604583233614</v>
      </c>
      <c r="H747" s="3">
        <f>STANDARDIZE(F747,K$12,L$12)</f>
        <v>-0.15366202535438256</v>
      </c>
    </row>
    <row r="748" spans="2:8" x14ac:dyDescent="0.3">
      <c r="B748" s="5">
        <v>19815</v>
      </c>
      <c r="C748" s="4">
        <v>1954.24999998467</v>
      </c>
      <c r="D748" t="s">
        <v>167</v>
      </c>
      <c r="E748">
        <v>1954</v>
      </c>
      <c r="F748">
        <v>4445</v>
      </c>
      <c r="G748" s="8">
        <f t="shared" si="18"/>
        <v>-1.0821373754096</v>
      </c>
      <c r="H748" s="3">
        <f>STANDARDIZE(F748,K$11,L$11)</f>
        <v>-0.41504947332462672</v>
      </c>
    </row>
    <row r="749" spans="2:8" x14ac:dyDescent="0.3">
      <c r="B749" s="5">
        <v>19784</v>
      </c>
      <c r="C749" s="4">
        <v>1954.1666666513099</v>
      </c>
      <c r="D749" t="s">
        <v>169</v>
      </c>
      <c r="E749">
        <v>1954</v>
      </c>
      <c r="F749">
        <v>3534</v>
      </c>
      <c r="G749" s="8">
        <f t="shared" si="18"/>
        <v>-1.4315159780200901</v>
      </c>
      <c r="H749" s="3">
        <f>STANDARDIZE(F749,K$10,L$10)</f>
        <v>-0.45502132817044838</v>
      </c>
    </row>
    <row r="750" spans="2:8" x14ac:dyDescent="0.3">
      <c r="B750" s="5">
        <v>19756</v>
      </c>
      <c r="C750" s="4">
        <v>1954.0833333179501</v>
      </c>
      <c r="D750" t="s">
        <v>171</v>
      </c>
      <c r="E750">
        <v>1954</v>
      </c>
      <c r="F750">
        <v>3853</v>
      </c>
      <c r="G750" s="8">
        <f t="shared" si="18"/>
        <v>-1.309175940442981</v>
      </c>
      <c r="H750" s="3">
        <f>STANDARDIZE(F750,K$9,L$9)</f>
        <v>-0.43568176399090081</v>
      </c>
    </row>
    <row r="751" spans="2:8" x14ac:dyDescent="0.3">
      <c r="B751" s="5">
        <v>19725</v>
      </c>
      <c r="C751" s="4">
        <v>1953.99999998459</v>
      </c>
      <c r="D751" t="s">
        <v>173</v>
      </c>
      <c r="E751">
        <v>1954</v>
      </c>
      <c r="F751">
        <v>6971</v>
      </c>
      <c r="G751" s="8">
        <f t="shared" si="18"/>
        <v>-0.11338836312189633</v>
      </c>
      <c r="H751" s="3">
        <f>STANDARDIZE(F751,K$8,L$8)</f>
        <v>-1.4836672743204058E-2</v>
      </c>
    </row>
    <row r="752" spans="2:8" x14ac:dyDescent="0.3">
      <c r="B752" s="5">
        <v>19694</v>
      </c>
      <c r="C752" s="4">
        <v>1953.9166666512299</v>
      </c>
      <c r="D752" t="s">
        <v>157</v>
      </c>
      <c r="E752">
        <v>1953</v>
      </c>
      <c r="F752">
        <v>8587</v>
      </c>
      <c r="G752" s="8">
        <f t="shared" si="18"/>
        <v>0.50636555764490065</v>
      </c>
      <c r="H752" s="3">
        <f>STANDARDIZE(F752,K$19,L$19)</f>
        <v>-0.45095675846650179</v>
      </c>
    </row>
    <row r="753" spans="2:8" x14ac:dyDescent="0.3">
      <c r="B753" s="5">
        <v>19664</v>
      </c>
      <c r="C753" s="4">
        <v>1953.83333331787</v>
      </c>
      <c r="D753" t="s">
        <v>158</v>
      </c>
      <c r="E753">
        <v>1953</v>
      </c>
      <c r="F753">
        <v>8330</v>
      </c>
      <c r="G753" s="8">
        <f t="shared" si="18"/>
        <v>0.40780320762196326</v>
      </c>
      <c r="H753" s="3">
        <f>STANDARDIZE(F753,K$18,L$18)</f>
        <v>-0.60155759319422941</v>
      </c>
    </row>
    <row r="754" spans="2:8" x14ac:dyDescent="0.3">
      <c r="B754" s="5">
        <v>19633</v>
      </c>
      <c r="C754" s="4">
        <v>1953.7499999845099</v>
      </c>
      <c r="D754" t="s">
        <v>160</v>
      </c>
      <c r="E754">
        <v>1953</v>
      </c>
      <c r="F754">
        <v>7031</v>
      </c>
      <c r="G754" s="8">
        <f t="shared" si="18"/>
        <v>-9.03776977468915E-2</v>
      </c>
      <c r="H754" s="3">
        <f>STANDARDIZE(F754,K$17,L$17)</f>
        <v>-0.79309849618284256</v>
      </c>
    </row>
    <row r="755" spans="2:8" x14ac:dyDescent="0.3">
      <c r="B755" s="5">
        <v>19603</v>
      </c>
      <c r="C755" s="4">
        <v>1953.6666666511501</v>
      </c>
      <c r="D755" t="s">
        <v>161</v>
      </c>
      <c r="E755">
        <v>1953</v>
      </c>
      <c r="F755">
        <v>5212</v>
      </c>
      <c r="G755" s="8">
        <f t="shared" si="18"/>
        <v>-0.78798436969912156</v>
      </c>
      <c r="H755" s="3">
        <f>STANDARDIZE(F755,K$16,L$16)</f>
        <v>-1.1716519375866561</v>
      </c>
    </row>
    <row r="756" spans="2:8" x14ac:dyDescent="0.3">
      <c r="B756" s="5">
        <v>19572</v>
      </c>
      <c r="C756" s="4">
        <v>1953.58333331779</v>
      </c>
      <c r="D756" t="s">
        <v>162</v>
      </c>
      <c r="E756">
        <v>1953</v>
      </c>
      <c r="F756">
        <v>5152</v>
      </c>
      <c r="G756" s="8">
        <f t="shared" si="18"/>
        <v>-0.81099503507412629</v>
      </c>
      <c r="H756" s="3">
        <f>STANDARDIZE(F756,K$15,L$15)</f>
        <v>-1.1240700936404366</v>
      </c>
    </row>
    <row r="757" spans="2:8" x14ac:dyDescent="0.3">
      <c r="B757" s="5">
        <v>19541</v>
      </c>
      <c r="C757" s="4">
        <v>1953.4999999844299</v>
      </c>
      <c r="D757" t="s">
        <v>163</v>
      </c>
      <c r="E757">
        <v>1953</v>
      </c>
      <c r="F757">
        <v>6538</v>
      </c>
      <c r="G757" s="8">
        <f t="shared" si="18"/>
        <v>-0.2794486649115146</v>
      </c>
      <c r="H757" s="3">
        <f>STANDARDIZE(F757,K$14,L$14)</f>
        <v>-0.73029579537101508</v>
      </c>
    </row>
    <row r="758" spans="2:8" x14ac:dyDescent="0.3">
      <c r="B758" s="5">
        <v>19511</v>
      </c>
      <c r="C758" s="4">
        <v>1953.41666665107</v>
      </c>
      <c r="D758" t="s">
        <v>164</v>
      </c>
      <c r="E758">
        <v>1953</v>
      </c>
      <c r="F758">
        <v>7406</v>
      </c>
      <c r="G758" s="8">
        <f t="shared" si="18"/>
        <v>5.343896084688874E-2</v>
      </c>
      <c r="H758" s="3">
        <f>STANDARDIZE(F758,K$13,L$13)</f>
        <v>-0.48349671941193634</v>
      </c>
    </row>
    <row r="759" spans="2:8" x14ac:dyDescent="0.3">
      <c r="B759" s="5">
        <v>19480</v>
      </c>
      <c r="C759" s="4">
        <v>1953.33333331771</v>
      </c>
      <c r="D759" t="s">
        <v>165</v>
      </c>
      <c r="E759">
        <v>1953</v>
      </c>
      <c r="F759">
        <v>5998</v>
      </c>
      <c r="G759" s="8">
        <f t="shared" si="18"/>
        <v>-0.4865446532865581</v>
      </c>
      <c r="H759" s="3">
        <f>STANDARDIZE(F759,K$12,L$12)</f>
        <v>-0.62511298828350281</v>
      </c>
    </row>
    <row r="760" spans="2:8" x14ac:dyDescent="0.3">
      <c r="B760" s="5">
        <v>19450</v>
      </c>
      <c r="C760" s="4">
        <v>1953.2499999843501</v>
      </c>
      <c r="D760" t="s">
        <v>167</v>
      </c>
      <c r="E760">
        <v>1953</v>
      </c>
      <c r="F760">
        <v>4524</v>
      </c>
      <c r="G760" s="8">
        <f t="shared" si="18"/>
        <v>-1.0518399993325103</v>
      </c>
      <c r="H760" s="3">
        <f>STANDARDIZE(F760,K$11,L$11)</f>
        <v>-0.35485956527782797</v>
      </c>
    </row>
    <row r="761" spans="2:8" x14ac:dyDescent="0.3">
      <c r="B761" s="5">
        <v>19419</v>
      </c>
      <c r="C761" s="4">
        <v>1953.16666665099</v>
      </c>
      <c r="D761" t="s">
        <v>169</v>
      </c>
      <c r="E761">
        <v>1953</v>
      </c>
      <c r="F761">
        <v>3222</v>
      </c>
      <c r="G761" s="8">
        <f t="shared" si="18"/>
        <v>-1.5511714379701154</v>
      </c>
      <c r="H761" s="3">
        <f>STANDARDIZE(F761,K$10,L$10)</f>
        <v>-0.67780413262348649</v>
      </c>
    </row>
    <row r="762" spans="2:8" x14ac:dyDescent="0.3">
      <c r="B762" s="5">
        <v>19391</v>
      </c>
      <c r="C762" s="4">
        <v>1953.0833333176299</v>
      </c>
      <c r="D762" t="s">
        <v>171</v>
      </c>
      <c r="E762">
        <v>1953</v>
      </c>
      <c r="F762">
        <v>4516</v>
      </c>
      <c r="G762" s="8">
        <f t="shared" ref="G762:G793" si="19">STANDARDIZE(F762,F$4,F$5)</f>
        <v>-1.0549080880491777</v>
      </c>
      <c r="H762" s="3">
        <f>STANDARDIZE(F762,K$9,L$9)</f>
        <v>-1.5803719090254426E-2</v>
      </c>
    </row>
    <row r="763" spans="2:8" x14ac:dyDescent="0.3">
      <c r="B763" s="5">
        <v>19360</v>
      </c>
      <c r="C763" s="4">
        <v>1952.9999999842701</v>
      </c>
      <c r="D763" t="s">
        <v>173</v>
      </c>
      <c r="E763">
        <v>1953</v>
      </c>
      <c r="F763">
        <v>6437</v>
      </c>
      <c r="G763" s="8">
        <f t="shared" si="19"/>
        <v>-0.31818328495943937</v>
      </c>
      <c r="H763" s="3">
        <f>STANDARDIZE(F763,K$8,L$8)</f>
        <v>-0.24796359836134518</v>
      </c>
    </row>
    <row r="764" spans="2:8" x14ac:dyDescent="0.3">
      <c r="B764" s="5">
        <v>19329</v>
      </c>
      <c r="C764" s="4">
        <v>1952.91666665091</v>
      </c>
      <c r="D764" t="s">
        <v>157</v>
      </c>
      <c r="E764">
        <v>1952</v>
      </c>
      <c r="F764">
        <v>8351</v>
      </c>
      <c r="G764" s="8">
        <f t="shared" si="19"/>
        <v>0.41585694050321492</v>
      </c>
      <c r="H764" s="3">
        <f>STANDARDIZE(F764,K$19,L$19)</f>
        <v>-0.53248663984349387</v>
      </c>
    </row>
    <row r="765" spans="2:8" x14ac:dyDescent="0.3">
      <c r="B765" s="5">
        <v>19299</v>
      </c>
      <c r="C765" s="4">
        <v>1952.8333333175499</v>
      </c>
      <c r="D765" t="s">
        <v>158</v>
      </c>
      <c r="E765">
        <v>1952</v>
      </c>
      <c r="F765">
        <v>7878</v>
      </c>
      <c r="G765" s="8">
        <f t="shared" si="19"/>
        <v>0.23445619513026014</v>
      </c>
      <c r="H765" s="3">
        <f>STANDARDIZE(F765,K$18,L$18)</f>
        <v>-0.77349742123247378</v>
      </c>
    </row>
    <row r="766" spans="2:8" x14ac:dyDescent="0.3">
      <c r="B766" s="5">
        <v>19268</v>
      </c>
      <c r="C766" s="4">
        <v>1952.74999998419</v>
      </c>
      <c r="D766" t="s">
        <v>160</v>
      </c>
      <c r="E766">
        <v>1952</v>
      </c>
      <c r="F766">
        <v>7105</v>
      </c>
      <c r="G766" s="8">
        <f t="shared" si="19"/>
        <v>-6.1997877117718862E-2</v>
      </c>
      <c r="H766" s="3">
        <f>STANDARDIZE(F766,K$17,L$17)</f>
        <v>-0.75555846482731881</v>
      </c>
    </row>
    <row r="767" spans="2:8" x14ac:dyDescent="0.3">
      <c r="B767" s="5">
        <v>19238</v>
      </c>
      <c r="C767" s="4">
        <v>1952.6666666508299</v>
      </c>
      <c r="D767" t="s">
        <v>161</v>
      </c>
      <c r="E767">
        <v>1952</v>
      </c>
      <c r="F767">
        <v>6427</v>
      </c>
      <c r="G767" s="8">
        <f t="shared" si="19"/>
        <v>-0.32201839585527353</v>
      </c>
      <c r="H767" s="3">
        <f>STANDARDIZE(F767,K$16,L$16)</f>
        <v>-0.58364449711931576</v>
      </c>
    </row>
    <row r="768" spans="2:8" x14ac:dyDescent="0.3">
      <c r="B768" s="5">
        <v>19207</v>
      </c>
      <c r="C768" s="4">
        <v>1952.5833333174701</v>
      </c>
      <c r="D768" t="s">
        <v>162</v>
      </c>
      <c r="E768">
        <v>1952</v>
      </c>
      <c r="F768">
        <v>6938</v>
      </c>
      <c r="G768" s="8">
        <f t="shared" si="19"/>
        <v>-0.12604422907814899</v>
      </c>
      <c r="H768" s="3">
        <f>STANDARDIZE(F768,K$15,L$15)</f>
        <v>-0.24997873779883992</v>
      </c>
    </row>
    <row r="769" spans="2:8" x14ac:dyDescent="0.3">
      <c r="B769" s="5">
        <v>19176</v>
      </c>
      <c r="C769" s="4">
        <v>1952.49999998411</v>
      </c>
      <c r="D769" t="s">
        <v>163</v>
      </c>
      <c r="E769">
        <v>1952</v>
      </c>
      <c r="F769">
        <v>7043</v>
      </c>
      <c r="G769" s="8">
        <f t="shared" si="19"/>
        <v>-8.5775564671890528E-2</v>
      </c>
      <c r="H769" s="3">
        <f>STANDARDIZE(F769,K$14,L$14)</f>
        <v>-0.4851180232592085</v>
      </c>
    </row>
    <row r="770" spans="2:8" x14ac:dyDescent="0.3">
      <c r="B770" s="5">
        <v>19146</v>
      </c>
      <c r="C770" s="4">
        <v>1952.4166666507499</v>
      </c>
      <c r="D770" t="s">
        <v>164</v>
      </c>
      <c r="E770">
        <v>1952</v>
      </c>
      <c r="F770">
        <v>7027</v>
      </c>
      <c r="G770" s="8">
        <f t="shared" si="19"/>
        <v>-9.1911742105225153E-2</v>
      </c>
      <c r="H770" s="3">
        <f>STANDARDIZE(F770,K$13,L$13)</f>
        <v>-0.70779127884833737</v>
      </c>
    </row>
    <row r="771" spans="2:8" x14ac:dyDescent="0.3">
      <c r="B771" s="5">
        <v>19115</v>
      </c>
      <c r="C771" s="4">
        <v>1952.33333331739</v>
      </c>
      <c r="D771" t="s">
        <v>165</v>
      </c>
      <c r="E771">
        <v>1952</v>
      </c>
      <c r="F771">
        <v>6504</v>
      </c>
      <c r="G771" s="8">
        <f t="shared" si="19"/>
        <v>-0.29248804195735068</v>
      </c>
      <c r="H771" s="3">
        <f>STANDARDIZE(F771,K$12,L$12)</f>
        <v>-0.27736635965065315</v>
      </c>
    </row>
    <row r="772" spans="2:8" x14ac:dyDescent="0.3">
      <c r="B772" s="5">
        <v>19085</v>
      </c>
      <c r="C772" s="4">
        <v>1952.24999998403</v>
      </c>
      <c r="D772" t="s">
        <v>167</v>
      </c>
      <c r="E772">
        <v>1952</v>
      </c>
      <c r="F772">
        <v>3841</v>
      </c>
      <c r="G772" s="8">
        <f t="shared" si="19"/>
        <v>-1.313778073517982</v>
      </c>
      <c r="H772" s="3">
        <f>STANDARDIZE(F772,K$11,L$11)</f>
        <v>-0.8752356057330628</v>
      </c>
    </row>
    <row r="773" spans="2:8" x14ac:dyDescent="0.3">
      <c r="B773" s="5">
        <v>19054</v>
      </c>
      <c r="C773" s="4">
        <v>1952.1666666506701</v>
      </c>
      <c r="D773" t="s">
        <v>169</v>
      </c>
      <c r="E773">
        <v>1952</v>
      </c>
      <c r="F773">
        <v>3061</v>
      </c>
      <c r="G773" s="8">
        <f t="shared" si="19"/>
        <v>-1.612916723393045</v>
      </c>
      <c r="H773" s="3">
        <f>STANDARDIZE(F773,K$10,L$10)</f>
        <v>-0.79276577210085553</v>
      </c>
    </row>
    <row r="774" spans="2:8" x14ac:dyDescent="0.3">
      <c r="B774" s="5">
        <v>19025</v>
      </c>
      <c r="C774" s="4">
        <v>1952.08333331731</v>
      </c>
      <c r="D774" t="s">
        <v>171</v>
      </c>
      <c r="E774">
        <v>1952</v>
      </c>
      <c r="F774">
        <v>3573</v>
      </c>
      <c r="G774" s="8">
        <f t="shared" si="19"/>
        <v>-1.416559045526337</v>
      </c>
      <c r="H774" s="3">
        <f>STANDARDIZE(F774,K$9,L$9)</f>
        <v>-0.61300582518574398</v>
      </c>
    </row>
    <row r="775" spans="2:8" x14ac:dyDescent="0.3">
      <c r="B775" s="5">
        <v>18994</v>
      </c>
      <c r="C775" s="4">
        <v>1951.9999999839499</v>
      </c>
      <c r="D775" t="s">
        <v>173</v>
      </c>
      <c r="E775">
        <v>1952</v>
      </c>
      <c r="F775">
        <v>6398</v>
      </c>
      <c r="G775" s="8">
        <f t="shared" si="19"/>
        <v>-0.33314021745319256</v>
      </c>
      <c r="H775" s="3">
        <f>STANDARDIZE(F775,K$8,L$8)</f>
        <v>-0.26498972214244537</v>
      </c>
    </row>
    <row r="776" spans="2:8" x14ac:dyDescent="0.3">
      <c r="B776" s="5">
        <v>18963</v>
      </c>
      <c r="C776" s="4">
        <v>1951.9166666505901</v>
      </c>
      <c r="D776" t="s">
        <v>157</v>
      </c>
      <c r="E776">
        <v>1951</v>
      </c>
      <c r="F776">
        <v>8980</v>
      </c>
      <c r="G776" s="8">
        <f t="shared" si="19"/>
        <v>0.6570854158511823</v>
      </c>
      <c r="H776" s="3">
        <f>STANDARDIZE(F776,K$19,L$19)</f>
        <v>-0.31518877803786682</v>
      </c>
    </row>
    <row r="777" spans="2:8" x14ac:dyDescent="0.3">
      <c r="B777" s="5">
        <v>18933</v>
      </c>
      <c r="C777" s="4">
        <v>1951.83333331723</v>
      </c>
      <c r="D777" t="s">
        <v>158</v>
      </c>
      <c r="E777">
        <v>1951</v>
      </c>
      <c r="F777">
        <v>8344</v>
      </c>
      <c r="G777" s="8">
        <f t="shared" si="19"/>
        <v>0.41317236287613102</v>
      </c>
      <c r="H777" s="3">
        <f>STANDARDIZE(F777,K$18,L$18)</f>
        <v>-0.59623202329923963</v>
      </c>
    </row>
    <row r="778" spans="2:8" x14ac:dyDescent="0.3">
      <c r="B778" s="5">
        <v>18902</v>
      </c>
      <c r="C778" s="4">
        <v>1951.7499999838701</v>
      </c>
      <c r="D778" t="s">
        <v>160</v>
      </c>
      <c r="E778">
        <v>1951</v>
      </c>
      <c r="F778">
        <v>7360</v>
      </c>
      <c r="G778" s="8">
        <f t="shared" si="19"/>
        <v>3.5797450726051699E-2</v>
      </c>
      <c r="H778" s="3">
        <f>STANDARDIZE(F778,K$17,L$17)</f>
        <v>-0.62619754596706823</v>
      </c>
    </row>
    <row r="779" spans="2:8" x14ac:dyDescent="0.3">
      <c r="B779" s="5">
        <v>18872</v>
      </c>
      <c r="C779" s="4">
        <v>1951.66666665051</v>
      </c>
      <c r="D779" t="s">
        <v>161</v>
      </c>
      <c r="E779">
        <v>1951</v>
      </c>
      <c r="F779">
        <v>7237</v>
      </c>
      <c r="G779" s="8">
        <f t="shared" si="19"/>
        <v>-1.1374413292708219E-2</v>
      </c>
      <c r="H779" s="3">
        <f>STANDARDIZE(F779,K$16,L$16)</f>
        <v>-0.19163953680775558</v>
      </c>
    </row>
    <row r="780" spans="2:8" x14ac:dyDescent="0.3">
      <c r="B780" s="5">
        <v>18841</v>
      </c>
      <c r="C780" s="4">
        <v>1951.5833333171499</v>
      </c>
      <c r="D780" t="s">
        <v>162</v>
      </c>
      <c r="E780">
        <v>1951</v>
      </c>
      <c r="F780">
        <v>6825</v>
      </c>
      <c r="G780" s="8">
        <f t="shared" si="19"/>
        <v>-0.16938098220107478</v>
      </c>
      <c r="H780" s="3">
        <f>STANDARDIZE(F780,K$15,L$15)</f>
        <v>-0.30528239021211001</v>
      </c>
    </row>
    <row r="781" spans="2:8" x14ac:dyDescent="0.3">
      <c r="B781" s="5">
        <v>18810</v>
      </c>
      <c r="C781" s="4">
        <v>1951.4999999837901</v>
      </c>
      <c r="D781" t="s">
        <v>163</v>
      </c>
      <c r="E781">
        <v>1951</v>
      </c>
      <c r="F781">
        <v>7150</v>
      </c>
      <c r="G781" s="8">
        <f t="shared" si="19"/>
        <v>-4.4739878086465235E-2</v>
      </c>
      <c r="H781" s="3">
        <f>STANDARDIZE(F781,K$14,L$14)</f>
        <v>-0.43316946560383562</v>
      </c>
    </row>
    <row r="782" spans="2:8" x14ac:dyDescent="0.3">
      <c r="B782" s="5">
        <v>18780</v>
      </c>
      <c r="C782" s="4">
        <v>1951.41666665043</v>
      </c>
      <c r="D782" t="s">
        <v>164</v>
      </c>
      <c r="E782">
        <v>1951</v>
      </c>
      <c r="F782">
        <v>7035</v>
      </c>
      <c r="G782" s="8">
        <f t="shared" si="19"/>
        <v>-8.8843653388557847E-2</v>
      </c>
      <c r="H782" s="3">
        <f>STANDARDIZE(F782,K$13,L$13)</f>
        <v>-0.7030568290449305</v>
      </c>
    </row>
    <row r="783" spans="2:8" x14ac:dyDescent="0.3">
      <c r="B783" s="5">
        <v>18749</v>
      </c>
      <c r="C783" s="4">
        <v>1951.3333333170699</v>
      </c>
      <c r="D783" t="s">
        <v>165</v>
      </c>
      <c r="E783">
        <v>1951</v>
      </c>
      <c r="F783">
        <v>6072</v>
      </c>
      <c r="G783" s="8">
        <f t="shared" si="19"/>
        <v>-0.4581648326573855</v>
      </c>
      <c r="H783" s="3">
        <f>STANDARDIZE(F783,K$12,L$12)</f>
        <v>-0.57425676196170261</v>
      </c>
    </row>
    <row r="784" spans="2:8" x14ac:dyDescent="0.3">
      <c r="B784" s="5">
        <v>18719</v>
      </c>
      <c r="C784" s="4">
        <v>1951.24999998371</v>
      </c>
      <c r="D784" t="s">
        <v>167</v>
      </c>
      <c r="E784">
        <v>1951</v>
      </c>
      <c r="F784">
        <v>4544</v>
      </c>
      <c r="G784" s="8">
        <f t="shared" si="19"/>
        <v>-1.0441697775408421</v>
      </c>
      <c r="H784" s="3">
        <f>STANDARDIZE(F784,K$11,L$11)</f>
        <v>-0.33962161387357509</v>
      </c>
    </row>
    <row r="785" spans="2:8" x14ac:dyDescent="0.3">
      <c r="B785" s="5">
        <v>18688</v>
      </c>
      <c r="C785" s="4">
        <v>1951.16666665035</v>
      </c>
      <c r="D785" t="s">
        <v>169</v>
      </c>
      <c r="E785">
        <v>1951</v>
      </c>
      <c r="F785">
        <v>5335</v>
      </c>
      <c r="G785" s="8">
        <f t="shared" si="19"/>
        <v>-0.74081250568036161</v>
      </c>
      <c r="H785" s="3">
        <f>STANDARDIZE(F785,K$10,L$10)</f>
        <v>0.8309781295857106</v>
      </c>
    </row>
    <row r="786" spans="2:8" x14ac:dyDescent="0.3">
      <c r="B786" s="5">
        <v>18660</v>
      </c>
      <c r="C786" s="4">
        <v>1951.0833333169901</v>
      </c>
      <c r="D786" t="s">
        <v>171</v>
      </c>
      <c r="E786">
        <v>1951</v>
      </c>
      <c r="F786">
        <v>6822</v>
      </c>
      <c r="G786" s="8">
        <f t="shared" si="19"/>
        <v>-0.17053151546982501</v>
      </c>
      <c r="H786" s="3">
        <f>STANDARDIZE(F786,K$9,L$9)</f>
        <v>1.4445865848929893</v>
      </c>
    </row>
    <row r="787" spans="2:8" x14ac:dyDescent="0.3">
      <c r="B787" s="5">
        <v>18629</v>
      </c>
      <c r="C787" s="4">
        <v>1950.99999998363</v>
      </c>
      <c r="D787" t="s">
        <v>173</v>
      </c>
      <c r="E787">
        <v>1951</v>
      </c>
      <c r="F787">
        <v>8832</v>
      </c>
      <c r="G787" s="8">
        <f t="shared" si="19"/>
        <v>0.60032577459283709</v>
      </c>
      <c r="H787" s="3">
        <f>STANDARDIZE(F787,K$8,L$8)</f>
        <v>0.7976150287087822</v>
      </c>
    </row>
    <row r="788" spans="2:8" x14ac:dyDescent="0.3">
      <c r="B788" s="5">
        <v>18598</v>
      </c>
      <c r="C788" s="4">
        <v>1950.9166666502699</v>
      </c>
      <c r="D788" t="s">
        <v>157</v>
      </c>
      <c r="E788">
        <v>1950</v>
      </c>
      <c r="F788">
        <v>11606</v>
      </c>
      <c r="G788" s="8">
        <f t="shared" si="19"/>
        <v>1.6641855370972274</v>
      </c>
      <c r="H788" s="3">
        <f>STANDARDIZE(F788,K$19,L$19)</f>
        <v>0.59200388508069679</v>
      </c>
    </row>
    <row r="789" spans="2:8" x14ac:dyDescent="0.3">
      <c r="B789" s="5">
        <v>18568</v>
      </c>
      <c r="C789" s="4">
        <v>1950.8333333169101</v>
      </c>
      <c r="D789" t="s">
        <v>158</v>
      </c>
      <c r="E789">
        <v>1950</v>
      </c>
      <c r="F789">
        <v>10763</v>
      </c>
      <c r="G789" s="8">
        <f t="shared" si="19"/>
        <v>1.3408856885784095</v>
      </c>
      <c r="H789" s="3">
        <f>STANDARDIZE(F789,K$18,L$18)</f>
        <v>0.32395037498508122</v>
      </c>
    </row>
    <row r="790" spans="2:8" x14ac:dyDescent="0.3">
      <c r="B790" s="5">
        <v>18537</v>
      </c>
      <c r="C790" s="4">
        <v>1950.74999998355</v>
      </c>
      <c r="D790" t="s">
        <v>160</v>
      </c>
      <c r="E790">
        <v>1950</v>
      </c>
      <c r="F790">
        <v>9762</v>
      </c>
      <c r="G790" s="8">
        <f t="shared" si="19"/>
        <v>0.9569910879054121</v>
      </c>
      <c r="H790" s="3">
        <f>STANDARDIZE(F790,K$17,L$17)</f>
        <v>0.59233157992439045</v>
      </c>
    </row>
    <row r="791" spans="2:8" x14ac:dyDescent="0.3">
      <c r="B791" s="5">
        <v>18507</v>
      </c>
      <c r="C791" s="4">
        <v>1950.6666666501901</v>
      </c>
      <c r="D791" t="s">
        <v>161</v>
      </c>
      <c r="E791">
        <v>1950</v>
      </c>
      <c r="F791">
        <v>10746</v>
      </c>
      <c r="G791" s="8">
        <f t="shared" si="19"/>
        <v>1.3343660000554913</v>
      </c>
      <c r="H791" s="3">
        <f>STANDARDIZE(F791,K$16,L$16)</f>
        <v>1.5065646678012132</v>
      </c>
    </row>
    <row r="792" spans="2:8" x14ac:dyDescent="0.3">
      <c r="B792" s="5">
        <v>18476</v>
      </c>
      <c r="C792" s="4">
        <v>1950.58333331683</v>
      </c>
      <c r="D792" t="s">
        <v>162</v>
      </c>
      <c r="E792">
        <v>1950</v>
      </c>
      <c r="F792">
        <v>11015</v>
      </c>
      <c r="G792" s="8">
        <f t="shared" si="19"/>
        <v>1.4375304831534297</v>
      </c>
      <c r="H792" s="3">
        <f>STANDARDIZE(F792,K$15,L$15)</f>
        <v>1.7453574647578174</v>
      </c>
    </row>
    <row r="793" spans="2:8" x14ac:dyDescent="0.3">
      <c r="B793" s="5">
        <v>18445</v>
      </c>
      <c r="C793" s="4">
        <v>1950.4999999834699</v>
      </c>
      <c r="D793" t="s">
        <v>163</v>
      </c>
      <c r="E793">
        <v>1950</v>
      </c>
      <c r="F793">
        <v>11480</v>
      </c>
      <c r="G793" s="8">
        <f t="shared" si="19"/>
        <v>1.6158631398097172</v>
      </c>
      <c r="H793" s="3">
        <f>STANDARDIZE(F793,K$14,L$14)</f>
        <v>1.6690478675528428</v>
      </c>
    </row>
    <row r="794" spans="2:8" x14ac:dyDescent="0.3">
      <c r="B794" s="5">
        <v>18415</v>
      </c>
      <c r="C794" s="4">
        <v>1950.4166666501101</v>
      </c>
      <c r="D794" t="s">
        <v>164</v>
      </c>
      <c r="E794">
        <v>1950</v>
      </c>
      <c r="F794">
        <v>9653</v>
      </c>
      <c r="G794" s="8">
        <f t="shared" ref="G794:G820" si="20">STANDARDIZE(F794,F$4,F$5)</f>
        <v>0.91518837914081996</v>
      </c>
      <c r="H794" s="3">
        <f>STANDARDIZE(F794,K$13,L$13)</f>
        <v>0.84629186911997178</v>
      </c>
    </row>
    <row r="795" spans="2:8" x14ac:dyDescent="0.3">
      <c r="B795" s="5">
        <v>18384</v>
      </c>
      <c r="C795" s="4">
        <v>1950.33333331675</v>
      </c>
      <c r="D795" t="s">
        <v>165</v>
      </c>
      <c r="E795">
        <v>1950</v>
      </c>
      <c r="F795">
        <v>7553</v>
      </c>
      <c r="G795" s="8">
        <f t="shared" si="20"/>
        <v>0.1098150910156506</v>
      </c>
      <c r="H795" s="3">
        <f>STANDARDIZE(F795,K$12,L$12)</f>
        <v>0.44355501077594611</v>
      </c>
    </row>
    <row r="796" spans="2:8" x14ac:dyDescent="0.3">
      <c r="B796" s="5">
        <v>18354</v>
      </c>
      <c r="C796" s="4">
        <v>1950.2499999833899</v>
      </c>
      <c r="D796" t="s">
        <v>167</v>
      </c>
      <c r="E796">
        <v>1950</v>
      </c>
      <c r="F796">
        <v>6032</v>
      </c>
      <c r="G796" s="8">
        <f t="shared" si="20"/>
        <v>-0.47350527624072203</v>
      </c>
      <c r="H796" s="3">
        <f>STANDARDIZE(F796,K$11,L$11)</f>
        <v>0.79408197060283714</v>
      </c>
    </row>
    <row r="797" spans="2:8" x14ac:dyDescent="0.3">
      <c r="B797" s="5">
        <v>18323</v>
      </c>
      <c r="C797" s="4">
        <v>1950.16666665003</v>
      </c>
      <c r="D797" t="s">
        <v>169</v>
      </c>
      <c r="E797">
        <v>1950</v>
      </c>
      <c r="F797">
        <v>6485</v>
      </c>
      <c r="G797" s="8">
        <f t="shared" si="20"/>
        <v>-0.29977475265943554</v>
      </c>
      <c r="H797" s="3">
        <f>STANDARDIZE(F797,K$10,L$10)</f>
        <v>1.6521326972812036</v>
      </c>
    </row>
    <row r="798" spans="2:8" x14ac:dyDescent="0.3">
      <c r="B798" s="5">
        <v>18295</v>
      </c>
      <c r="C798" s="4">
        <v>1950.08333331667</v>
      </c>
      <c r="D798" t="s">
        <v>171</v>
      </c>
      <c r="E798">
        <v>1950</v>
      </c>
      <c r="F798">
        <v>6180</v>
      </c>
      <c r="G798" s="8">
        <f t="shared" si="20"/>
        <v>-0.41674563498237677</v>
      </c>
      <c r="H798" s="3">
        <f>STANDARDIZE(F798,K$9,L$9)</f>
        <v>1.0380078445819561</v>
      </c>
    </row>
    <row r="799" spans="2:8" x14ac:dyDescent="0.3">
      <c r="B799" s="5">
        <v>18264</v>
      </c>
      <c r="C799" s="4">
        <v>1949.9999999833101</v>
      </c>
      <c r="D799" t="s">
        <v>173</v>
      </c>
      <c r="E799">
        <v>1950</v>
      </c>
      <c r="F799">
        <v>6431</v>
      </c>
      <c r="G799" s="8">
        <f t="shared" si="20"/>
        <v>-0.32048435149693988</v>
      </c>
      <c r="H799" s="3">
        <f>STANDARDIZE(F799,K$8,L$8)</f>
        <v>-0.25058300201997602</v>
      </c>
    </row>
    <row r="800" spans="2:8" x14ac:dyDescent="0.3">
      <c r="B800" s="5">
        <v>18233</v>
      </c>
      <c r="C800" s="4">
        <v>1949.91666664995</v>
      </c>
      <c r="D800" t="s">
        <v>157</v>
      </c>
      <c r="E800">
        <v>1949</v>
      </c>
      <c r="F800">
        <v>10975</v>
      </c>
      <c r="G800" s="8">
        <f t="shared" si="20"/>
        <v>1.4221900395700933</v>
      </c>
      <c r="H800" s="3">
        <f>STANDARDIZE(F800,K$19,L$19)</f>
        <v>0.37401509207695971</v>
      </c>
    </row>
    <row r="801" spans="2:8" x14ac:dyDescent="0.3">
      <c r="B801" s="5">
        <v>18203</v>
      </c>
      <c r="C801" s="4">
        <v>1949.8333333165899</v>
      </c>
      <c r="D801" t="s">
        <v>158</v>
      </c>
      <c r="E801">
        <v>1949</v>
      </c>
      <c r="F801">
        <v>10715</v>
      </c>
      <c r="G801" s="8">
        <f t="shared" si="20"/>
        <v>1.3224771562784055</v>
      </c>
      <c r="H801" s="3">
        <f>STANDARDIZE(F801,K$18,L$18)</f>
        <v>0.30569127820225883</v>
      </c>
    </row>
    <row r="802" spans="2:8" x14ac:dyDescent="0.3">
      <c r="B802" s="5">
        <v>18172</v>
      </c>
      <c r="C802" s="4">
        <v>1949.7499999832301</v>
      </c>
      <c r="D802" t="s">
        <v>160</v>
      </c>
      <c r="E802">
        <v>1949</v>
      </c>
      <c r="F802">
        <v>9084</v>
      </c>
      <c r="G802" s="8">
        <f t="shared" si="20"/>
        <v>0.69697056916785738</v>
      </c>
      <c r="H802" s="3">
        <f>STANDARDIZE(F802,K$17,L$17)</f>
        <v>0.24838372507243003</v>
      </c>
    </row>
    <row r="803" spans="2:8" x14ac:dyDescent="0.3">
      <c r="B803" s="5">
        <v>18142</v>
      </c>
      <c r="C803" s="4">
        <v>1949.66666664986</v>
      </c>
      <c r="D803" t="s">
        <v>161</v>
      </c>
      <c r="E803">
        <v>1949</v>
      </c>
      <c r="F803">
        <v>8033</v>
      </c>
      <c r="G803" s="8">
        <f t="shared" si="20"/>
        <v>0.29390041401568928</v>
      </c>
      <c r="H803" s="3">
        <f>STANDARDIZE(F803,K$16,L$16)</f>
        <v>0.19359002912804923</v>
      </c>
    </row>
    <row r="804" spans="2:8" x14ac:dyDescent="0.3">
      <c r="B804" s="5">
        <v>18111</v>
      </c>
      <c r="C804" s="4">
        <v>1949.5833333165001</v>
      </c>
      <c r="D804" t="s">
        <v>162</v>
      </c>
      <c r="E804">
        <v>1949</v>
      </c>
      <c r="F804">
        <v>7080</v>
      </c>
      <c r="G804" s="8">
        <f t="shared" si="20"/>
        <v>-7.1585654357304213E-2</v>
      </c>
      <c r="H804" s="3">
        <f>STANDARDIZE(F804,K$15,L$15)</f>
        <v>-0.18048211264234118</v>
      </c>
    </row>
    <row r="805" spans="2:8" x14ac:dyDescent="0.3">
      <c r="B805" s="5">
        <v>18080</v>
      </c>
      <c r="C805" s="4">
        <v>1949.49999998314</v>
      </c>
      <c r="D805" t="s">
        <v>163</v>
      </c>
      <c r="E805">
        <v>1949</v>
      </c>
      <c r="F805">
        <v>7744</v>
      </c>
      <c r="G805" s="8">
        <f t="shared" si="20"/>
        <v>0.18306570912608267</v>
      </c>
      <c r="H805" s="3">
        <f>STANDARDIZE(F805,K$14,L$14)</f>
        <v>-0.1447821455356908</v>
      </c>
    </row>
    <row r="806" spans="2:8" x14ac:dyDescent="0.3">
      <c r="B806" s="5">
        <v>18050</v>
      </c>
      <c r="C806" s="4">
        <v>1949.4166666497799</v>
      </c>
      <c r="D806" t="s">
        <v>164</v>
      </c>
      <c r="E806">
        <v>1949</v>
      </c>
      <c r="F806">
        <v>6284</v>
      </c>
      <c r="G806" s="8">
        <f t="shared" si="20"/>
        <v>-0.37686048166570174</v>
      </c>
      <c r="H806" s="3">
        <f>STANDARDIZE(F806,K$13,L$13)</f>
        <v>-1.1475033043397516</v>
      </c>
    </row>
    <row r="807" spans="2:8" x14ac:dyDescent="0.3">
      <c r="B807" s="5">
        <v>18019</v>
      </c>
      <c r="C807" s="4">
        <v>1949.3333333164201</v>
      </c>
      <c r="D807" t="s">
        <v>165</v>
      </c>
      <c r="E807">
        <v>1949</v>
      </c>
      <c r="F807">
        <v>5449</v>
      </c>
      <c r="G807" s="8">
        <f t="shared" si="20"/>
        <v>-0.69709224146785242</v>
      </c>
      <c r="H807" s="3">
        <f>STANDARDIZE(F807,K$12,L$12)</f>
        <v>-1.0024112078871281</v>
      </c>
    </row>
    <row r="808" spans="2:8" x14ac:dyDescent="0.3">
      <c r="B808" s="5">
        <v>17989</v>
      </c>
      <c r="C808" s="4">
        <v>1949.24999998306</v>
      </c>
      <c r="D808" t="s">
        <v>167</v>
      </c>
      <c r="E808">
        <v>1949</v>
      </c>
      <c r="F808">
        <v>3504</v>
      </c>
      <c r="G808" s="8">
        <f t="shared" si="20"/>
        <v>-1.4430213107075927</v>
      </c>
      <c r="H808" s="3">
        <f>STANDARDIZE(F808,K$11,L$11)</f>
        <v>-1.1319950868947235</v>
      </c>
    </row>
    <row r="809" spans="2:8" x14ac:dyDescent="0.3">
      <c r="B809" s="5">
        <v>17958</v>
      </c>
      <c r="C809" s="4">
        <v>1949.1666666496999</v>
      </c>
      <c r="D809" t="s">
        <v>169</v>
      </c>
      <c r="E809">
        <v>1949</v>
      </c>
      <c r="F809">
        <v>3119</v>
      </c>
      <c r="G809" s="8">
        <f t="shared" si="20"/>
        <v>-1.5906730801972069</v>
      </c>
      <c r="H809" s="3">
        <f>STANDARDIZE(F809,K$10,L$10)</f>
        <v>-0.75135101999099585</v>
      </c>
    </row>
    <row r="810" spans="2:8" x14ac:dyDescent="0.3">
      <c r="B810" s="5">
        <v>17930</v>
      </c>
      <c r="C810" s="4">
        <v>1949.08333331634</v>
      </c>
      <c r="D810" t="s">
        <v>171</v>
      </c>
      <c r="E810">
        <v>1949</v>
      </c>
      <c r="F810">
        <v>2847</v>
      </c>
      <c r="G810" s="8">
        <f t="shared" si="20"/>
        <v>-1.6949880965638955</v>
      </c>
      <c r="H810" s="3">
        <f>STANDARDIZE(F810,K$9,L$9)</f>
        <v>-1.07278178385523</v>
      </c>
    </row>
    <row r="811" spans="2:8" x14ac:dyDescent="0.3">
      <c r="B811" s="5">
        <v>17899</v>
      </c>
      <c r="C811" s="4">
        <v>1948.9999999829799</v>
      </c>
      <c r="D811" t="s">
        <v>173</v>
      </c>
      <c r="E811">
        <v>1949</v>
      </c>
      <c r="F811">
        <v>4148</v>
      </c>
      <c r="G811" s="8">
        <f t="shared" si="20"/>
        <v>-1.196040169015874</v>
      </c>
      <c r="H811" s="3">
        <f>STANDARDIZE(F811,K$8,L$8)</f>
        <v>-1.247266094128995</v>
      </c>
    </row>
    <row r="812" spans="2:8" x14ac:dyDescent="0.3">
      <c r="B812" s="5">
        <v>17868</v>
      </c>
      <c r="C812" s="4">
        <v>1948.9166666496201</v>
      </c>
      <c r="D812" t="s">
        <v>157</v>
      </c>
      <c r="E812">
        <v>1948</v>
      </c>
      <c r="F812">
        <v>8291</v>
      </c>
      <c r="G812" s="8">
        <f t="shared" si="20"/>
        <v>0.39284627512821008</v>
      </c>
      <c r="H812" s="3">
        <f>STANDARDIZE(F812,K$19,L$19)</f>
        <v>-0.55321457578679689</v>
      </c>
    </row>
    <row r="813" spans="2:8" x14ac:dyDescent="0.3">
      <c r="B813" s="5">
        <v>17838</v>
      </c>
      <c r="C813" s="4">
        <v>1948.83333331626</v>
      </c>
      <c r="D813" t="s">
        <v>158</v>
      </c>
      <c r="E813">
        <v>1948</v>
      </c>
      <c r="F813">
        <v>8838</v>
      </c>
      <c r="G813" s="8">
        <f t="shared" si="20"/>
        <v>0.6026268411303376</v>
      </c>
      <c r="H813" s="3">
        <f>STANDARDIZE(F813,K$18,L$18)</f>
        <v>-0.40831548557602565</v>
      </c>
    </row>
    <row r="814" spans="2:8" x14ac:dyDescent="0.3">
      <c r="B814" s="5">
        <v>17807</v>
      </c>
      <c r="C814" s="4">
        <v>1948.7499999828999</v>
      </c>
      <c r="D814" t="s">
        <v>160</v>
      </c>
      <c r="E814">
        <v>1948</v>
      </c>
      <c r="F814">
        <v>6882</v>
      </c>
      <c r="G814" s="8">
        <f t="shared" si="20"/>
        <v>-0.14752085009482019</v>
      </c>
      <c r="H814" s="3">
        <f>STANDARDIZE(F814,K$17,L$17)</f>
        <v>-0.86868585661491049</v>
      </c>
    </row>
    <row r="815" spans="2:8" x14ac:dyDescent="0.3">
      <c r="B815" s="5">
        <v>17777</v>
      </c>
      <c r="C815" s="4">
        <v>1948.66666664954</v>
      </c>
      <c r="D815" t="s">
        <v>161</v>
      </c>
      <c r="E815">
        <v>1948</v>
      </c>
      <c r="F815">
        <v>4586</v>
      </c>
      <c r="G815" s="8">
        <f t="shared" si="20"/>
        <v>-1.0280623117783387</v>
      </c>
      <c r="H815" s="3">
        <f>STANDARDIZE(F815,K$16,L$16)</f>
        <v>-1.4746088575311458</v>
      </c>
    </row>
    <row r="816" spans="2:8" x14ac:dyDescent="0.3">
      <c r="B816" s="5">
        <v>17746</v>
      </c>
      <c r="C816" s="4">
        <v>1948.58333331618</v>
      </c>
      <c r="D816" t="s">
        <v>162</v>
      </c>
      <c r="E816">
        <v>1948</v>
      </c>
      <c r="F816">
        <v>5131</v>
      </c>
      <c r="G816" s="8">
        <f t="shared" si="20"/>
        <v>-0.81904876795537807</v>
      </c>
      <c r="H816" s="3">
        <f>STANDARDIZE(F816,K$15,L$15)</f>
        <v>-1.1343477635579471</v>
      </c>
    </row>
    <row r="817" spans="2:8" x14ac:dyDescent="0.3">
      <c r="B817" s="5">
        <v>17715</v>
      </c>
      <c r="C817" s="4">
        <v>1948.4999999828201</v>
      </c>
      <c r="D817" t="s">
        <v>163</v>
      </c>
      <c r="E817">
        <v>1948</v>
      </c>
      <c r="F817">
        <v>5847</v>
      </c>
      <c r="G817" s="8">
        <f t="shared" si="20"/>
        <v>-0.54445482781365362</v>
      </c>
      <c r="H817" s="3">
        <f>STANDARDIZE(F817,K$14,L$14)</f>
        <v>-1.0657766677061802</v>
      </c>
    </row>
    <row r="818" spans="2:8" x14ac:dyDescent="0.3">
      <c r="B818" s="5">
        <v>17685</v>
      </c>
      <c r="C818" s="4">
        <v>1948.41666664946</v>
      </c>
      <c r="D818" t="s">
        <v>164</v>
      </c>
      <c r="E818">
        <v>1948</v>
      </c>
      <c r="F818">
        <v>7166</v>
      </c>
      <c r="G818" s="8">
        <f t="shared" si="20"/>
        <v>-3.860370065313061E-2</v>
      </c>
      <c r="H818" s="3">
        <f>STANDARDIZE(F818,K$13,L$13)</f>
        <v>-0.62553021351414284</v>
      </c>
    </row>
    <row r="819" spans="2:8" x14ac:dyDescent="0.3">
      <c r="B819" s="5">
        <v>17654</v>
      </c>
      <c r="C819" s="4">
        <v>1948.3333333160999</v>
      </c>
      <c r="D819" t="s">
        <v>165</v>
      </c>
      <c r="E819">
        <v>1948</v>
      </c>
      <c r="F819">
        <v>5519</v>
      </c>
      <c r="G819" s="8">
        <f t="shared" si="20"/>
        <v>-0.67024646519701336</v>
      </c>
      <c r="H819" s="3">
        <f>STANDARDIZE(F819,K$12,L$12)</f>
        <v>-0.95430396677191176</v>
      </c>
    </row>
    <row r="820" spans="2:8" x14ac:dyDescent="0.3">
      <c r="B820" s="5">
        <v>17624</v>
      </c>
      <c r="C820" s="4">
        <v>1948.2499999827401</v>
      </c>
      <c r="D820" t="s">
        <v>167</v>
      </c>
      <c r="E820">
        <v>1948</v>
      </c>
      <c r="F820">
        <v>4174</v>
      </c>
      <c r="G820" s="8">
        <f t="shared" si="20"/>
        <v>-1.1860688806867052</v>
      </c>
      <c r="H820" s="3">
        <f>STANDARDIZE(F820,K$11,L$11)</f>
        <v>-0.62152371485225288</v>
      </c>
    </row>
    <row r="821" spans="2:8" x14ac:dyDescent="0.3">
      <c r="B821" s="5">
        <v>17593</v>
      </c>
      <c r="C821" s="4">
        <v>1948.16666664938</v>
      </c>
      <c r="D821" t="s">
        <v>169</v>
      </c>
      <c r="E821">
        <v>1948</v>
      </c>
      <c r="G821" s="8"/>
      <c r="H821" s="3">
        <f>STANDARDIZE(F821,K$10,L$10)</f>
        <v>-2.978465017071207</v>
      </c>
    </row>
    <row r="822" spans="2:8" x14ac:dyDescent="0.3">
      <c r="B822" s="5">
        <v>17564</v>
      </c>
      <c r="C822" s="4">
        <v>1948.0833333160199</v>
      </c>
      <c r="D822" t="s">
        <v>171</v>
      </c>
      <c r="E822">
        <v>1948</v>
      </c>
      <c r="F822">
        <v>2266</v>
      </c>
      <c r="G822" s="8">
        <f t="shared" ref="G822:G855" si="21">STANDARDIZE(F822,F$4,F$5)</f>
        <v>-1.9178080396118591</v>
      </c>
      <c r="H822" s="3">
        <f>STANDARDIZE(F822,K$9,L$9)</f>
        <v>-1.4407292108345295</v>
      </c>
    </row>
    <row r="823" spans="2:8" x14ac:dyDescent="0.3">
      <c r="B823" s="5">
        <v>17533</v>
      </c>
      <c r="C823" s="4">
        <v>1947.99999998266</v>
      </c>
      <c r="D823" t="s">
        <v>173</v>
      </c>
      <c r="E823">
        <v>1948</v>
      </c>
      <c r="F823">
        <v>3641</v>
      </c>
      <c r="G823" s="8">
        <f t="shared" si="21"/>
        <v>-1.3904802914346648</v>
      </c>
      <c r="H823" s="3">
        <f>STANDARDIZE(F823,K$8,L$8)</f>
        <v>-1.4686057032832978</v>
      </c>
    </row>
    <row r="824" spans="2:8" x14ac:dyDescent="0.3">
      <c r="B824" s="5">
        <v>17502</v>
      </c>
      <c r="C824" s="4">
        <v>1947.9166666492999</v>
      </c>
      <c r="D824" t="s">
        <v>157</v>
      </c>
      <c r="E824">
        <v>1947</v>
      </c>
      <c r="F824">
        <v>7617</v>
      </c>
      <c r="G824" s="8">
        <f t="shared" si="21"/>
        <v>0.13435980074898909</v>
      </c>
      <c r="H824" s="3">
        <f>STANDARDIZE(F824,K$19,L$19)</f>
        <v>-0.78605838954990115</v>
      </c>
    </row>
    <row r="825" spans="2:8" x14ac:dyDescent="0.3">
      <c r="B825" s="5">
        <v>17472</v>
      </c>
      <c r="C825" s="4">
        <v>1947.8333333159401</v>
      </c>
      <c r="D825" t="s">
        <v>158</v>
      </c>
      <c r="E825">
        <v>1947</v>
      </c>
      <c r="F825">
        <v>10102</v>
      </c>
      <c r="G825" s="8">
        <f t="shared" si="21"/>
        <v>1.0873848583637729</v>
      </c>
      <c r="H825" s="3">
        <f>STANDARDIZE(F825,K$18,L$18)</f>
        <v>7.2507396371631033E-2</v>
      </c>
    </row>
    <row r="826" spans="2:8" x14ac:dyDescent="0.3">
      <c r="B826" s="5">
        <v>17441</v>
      </c>
      <c r="C826" s="4">
        <v>1947.74999998258</v>
      </c>
      <c r="D826" t="s">
        <v>160</v>
      </c>
      <c r="E826">
        <v>1947</v>
      </c>
      <c r="F826">
        <v>8705</v>
      </c>
      <c r="G826" s="8">
        <f t="shared" si="21"/>
        <v>0.55161986621574344</v>
      </c>
      <c r="H826" s="3">
        <f>STANDARDIZE(F826,K$17,L$17)</f>
        <v>5.6117888805626188E-2</v>
      </c>
    </row>
    <row r="827" spans="2:8" x14ac:dyDescent="0.3">
      <c r="B827" s="5">
        <v>17411</v>
      </c>
      <c r="C827" s="4">
        <v>1947.6666666492199</v>
      </c>
      <c r="D827" t="s">
        <v>161</v>
      </c>
      <c r="E827">
        <v>1947</v>
      </c>
      <c r="F827">
        <v>7436</v>
      </c>
      <c r="G827" s="8">
        <f t="shared" si="21"/>
        <v>6.4944293534391156E-2</v>
      </c>
      <c r="H827" s="3">
        <f>STANDARDIZE(F827,K$16,L$16)</f>
        <v>-9.5332145323804393E-2</v>
      </c>
    </row>
    <row r="828" spans="2:8" x14ac:dyDescent="0.3">
      <c r="B828" s="5">
        <v>17380</v>
      </c>
      <c r="C828" s="4">
        <v>1947.58333331586</v>
      </c>
      <c r="D828" t="s">
        <v>162</v>
      </c>
      <c r="E828">
        <v>1947</v>
      </c>
      <c r="F828">
        <v>8159</v>
      </c>
      <c r="G828" s="8">
        <f t="shared" si="21"/>
        <v>0.34222281130319948</v>
      </c>
      <c r="H828" s="3">
        <f>STANDARDIZE(F828,K$15,L$15)</f>
        <v>0.34759435597640626</v>
      </c>
    </row>
    <row r="829" spans="2:8" x14ac:dyDescent="0.3">
      <c r="B829" s="5">
        <v>17349</v>
      </c>
      <c r="C829" s="4">
        <v>1947.4999999825</v>
      </c>
      <c r="D829" t="s">
        <v>163</v>
      </c>
      <c r="E829">
        <v>1947</v>
      </c>
      <c r="F829">
        <v>7789</v>
      </c>
      <c r="G829" s="8">
        <f t="shared" si="21"/>
        <v>0.2003237081573363</v>
      </c>
      <c r="H829" s="3">
        <f>STANDARDIZE(F829,K$14,L$14)</f>
        <v>-0.12293462128810409</v>
      </c>
    </row>
    <row r="830" spans="2:8" x14ac:dyDescent="0.3">
      <c r="B830" s="5">
        <v>17319</v>
      </c>
      <c r="C830" s="4">
        <v>1947.4166666491401</v>
      </c>
      <c r="D830" t="s">
        <v>164</v>
      </c>
      <c r="E830">
        <v>1947</v>
      </c>
      <c r="F830">
        <v>7198</v>
      </c>
      <c r="G830" s="8">
        <f t="shared" si="21"/>
        <v>-2.6331345786461364E-2</v>
      </c>
      <c r="H830" s="3">
        <f>STANDARDIZE(F830,K$13,L$13)</f>
        <v>-0.60659241430051525</v>
      </c>
    </row>
    <row r="831" spans="2:8" x14ac:dyDescent="0.3">
      <c r="B831" s="5">
        <v>17288</v>
      </c>
      <c r="C831" s="4">
        <v>1947.33333331578</v>
      </c>
      <c r="D831" t="s">
        <v>165</v>
      </c>
      <c r="E831">
        <v>1947</v>
      </c>
      <c r="F831">
        <v>5089</v>
      </c>
      <c r="G831" s="8">
        <f t="shared" si="21"/>
        <v>-0.83515623371788139</v>
      </c>
      <c r="H831" s="3">
        <f>STANDARDIZE(F831,K$12,L$12)</f>
        <v>-1.2498198764796693</v>
      </c>
    </row>
    <row r="832" spans="2:8" x14ac:dyDescent="0.3">
      <c r="B832" s="5">
        <v>17258</v>
      </c>
      <c r="C832" s="4">
        <v>1947.2499999824199</v>
      </c>
      <c r="D832" t="s">
        <v>167</v>
      </c>
      <c r="E832">
        <v>1947</v>
      </c>
      <c r="F832">
        <v>3392</v>
      </c>
      <c r="G832" s="8">
        <f t="shared" si="21"/>
        <v>-1.4859745527409349</v>
      </c>
      <c r="H832" s="3">
        <f>STANDARDIZE(F832,K$11,L$11)</f>
        <v>-1.2173276147585395</v>
      </c>
    </row>
    <row r="833" spans="2:8" x14ac:dyDescent="0.3">
      <c r="B833" s="5">
        <v>17227</v>
      </c>
      <c r="C833" s="4">
        <v>1947.1666666490601</v>
      </c>
      <c r="D833" t="s">
        <v>169</v>
      </c>
      <c r="E833">
        <v>1947</v>
      </c>
      <c r="F833">
        <v>2640</v>
      </c>
      <c r="G833" s="8">
        <f t="shared" si="21"/>
        <v>-1.7743748921076623</v>
      </c>
      <c r="H833" s="3">
        <f>STANDARDIZE(F833,K$10,L$10)</f>
        <v>-1.0933797486224228</v>
      </c>
    </row>
    <row r="834" spans="2:8" x14ac:dyDescent="0.3">
      <c r="B834" s="5">
        <v>17199</v>
      </c>
      <c r="C834" s="4">
        <v>1947.0833333157</v>
      </c>
      <c r="D834" t="s">
        <v>171</v>
      </c>
      <c r="E834">
        <v>1947</v>
      </c>
      <c r="F834">
        <v>3217</v>
      </c>
      <c r="G834" s="8">
        <f t="shared" si="21"/>
        <v>-1.5530889934180323</v>
      </c>
      <c r="H834" s="3">
        <f>STANDARDIZE(F834,K$9,L$9)</f>
        <v>-0.83846070299061592</v>
      </c>
    </row>
    <row r="835" spans="2:8" x14ac:dyDescent="0.3">
      <c r="B835" s="5">
        <v>17168</v>
      </c>
      <c r="C835" s="4">
        <v>1946.9999999823399</v>
      </c>
      <c r="D835" t="s">
        <v>173</v>
      </c>
      <c r="E835">
        <v>1947</v>
      </c>
      <c r="F835">
        <v>5320</v>
      </c>
      <c r="G835" s="8">
        <f t="shared" si="21"/>
        <v>-0.74656517202411277</v>
      </c>
      <c r="H835" s="3">
        <f>STANDARDIZE(F835,K$8,L$8)</f>
        <v>-0.73560924614311229</v>
      </c>
    </row>
    <row r="836" spans="2:8" x14ac:dyDescent="0.3">
      <c r="B836" s="5">
        <v>17137</v>
      </c>
      <c r="C836" s="4">
        <v>1946.91666664898</v>
      </c>
      <c r="D836" t="s">
        <v>157</v>
      </c>
      <c r="E836">
        <v>1946</v>
      </c>
      <c r="F836">
        <v>7541</v>
      </c>
      <c r="G836" s="8">
        <f t="shared" si="21"/>
        <v>0.10521295794064962</v>
      </c>
      <c r="H836" s="3">
        <f>STANDARDIZE(F836,K$19,L$19)</f>
        <v>-0.812313775078085</v>
      </c>
    </row>
    <row r="837" spans="2:8" x14ac:dyDescent="0.3">
      <c r="B837" s="5">
        <v>17107</v>
      </c>
      <c r="C837" s="4">
        <v>1946.8333333156199</v>
      </c>
      <c r="D837" t="s">
        <v>158</v>
      </c>
      <c r="E837">
        <v>1946</v>
      </c>
      <c r="F837">
        <v>7000</v>
      </c>
      <c r="G837" s="8">
        <f t="shared" si="21"/>
        <v>-0.10226654152397734</v>
      </c>
      <c r="H837" s="3">
        <f>STANDARDIZE(F837,K$18,L$18)</f>
        <v>-1.107486733218267</v>
      </c>
    </row>
    <row r="838" spans="2:8" x14ac:dyDescent="0.3">
      <c r="B838" s="5">
        <v>17076</v>
      </c>
      <c r="C838" s="4">
        <v>1946.7499999822601</v>
      </c>
      <c r="D838" t="s">
        <v>160</v>
      </c>
      <c r="E838">
        <v>1946</v>
      </c>
      <c r="F838">
        <v>5507</v>
      </c>
      <c r="G838" s="8">
        <f t="shared" si="21"/>
        <v>-0.67484859827201438</v>
      </c>
      <c r="H838" s="3">
        <f>STANDARDIZE(F838,K$17,L$17)</f>
        <v>-1.5662202230182225</v>
      </c>
    </row>
    <row r="839" spans="2:8" x14ac:dyDescent="0.3">
      <c r="B839" s="5">
        <v>17046</v>
      </c>
      <c r="C839" s="4">
        <v>1946.6666666489</v>
      </c>
      <c r="D839" t="s">
        <v>161</v>
      </c>
      <c r="E839">
        <v>1946</v>
      </c>
      <c r="F839">
        <v>4883</v>
      </c>
      <c r="G839" s="8">
        <f t="shared" si="21"/>
        <v>-0.91415951817206464</v>
      </c>
      <c r="H839" s="3">
        <f>STANDARDIZE(F839,K$16,L$16)</f>
        <v>-1.3308737054169071</v>
      </c>
    </row>
    <row r="840" spans="2:8" x14ac:dyDescent="0.3">
      <c r="B840" s="5">
        <v>17015</v>
      </c>
      <c r="C840" s="4">
        <v>1946.5833333155399</v>
      </c>
      <c r="D840" t="s">
        <v>162</v>
      </c>
      <c r="E840">
        <v>1946</v>
      </c>
      <c r="F840">
        <v>4942</v>
      </c>
      <c r="G840" s="8">
        <f t="shared" si="21"/>
        <v>-0.89153236388664325</v>
      </c>
      <c r="H840" s="3">
        <f>STANDARDIZE(F840,K$15,L$15)</f>
        <v>-1.2268467928155404</v>
      </c>
    </row>
    <row r="841" spans="2:8" x14ac:dyDescent="0.3">
      <c r="B841" s="5">
        <v>16984</v>
      </c>
      <c r="C841" s="4">
        <v>1946.49999998218</v>
      </c>
      <c r="D841" t="s">
        <v>163</v>
      </c>
      <c r="E841">
        <v>1946</v>
      </c>
      <c r="F841">
        <v>4665</v>
      </c>
      <c r="G841" s="8">
        <f t="shared" si="21"/>
        <v>-0.99776493570124891</v>
      </c>
      <c r="H841" s="3">
        <f>STANDARDIZE(F841,K$14,L$14)</f>
        <v>-1.6396383046094583</v>
      </c>
    </row>
    <row r="842" spans="2:8" x14ac:dyDescent="0.3">
      <c r="B842" s="5">
        <v>16954</v>
      </c>
      <c r="C842" s="4">
        <v>1946.41666664882</v>
      </c>
      <c r="D842" t="s">
        <v>164</v>
      </c>
      <c r="E842">
        <v>1946</v>
      </c>
      <c r="F842">
        <v>6498</v>
      </c>
      <c r="G842" s="8">
        <f t="shared" si="21"/>
        <v>-0.29478910849485113</v>
      </c>
      <c r="H842" s="3">
        <f>STANDARDIZE(F842,K$13,L$13)</f>
        <v>-1.0208567720986175</v>
      </c>
    </row>
    <row r="843" spans="2:8" x14ac:dyDescent="0.3">
      <c r="B843" s="5">
        <v>16923</v>
      </c>
      <c r="C843" s="4">
        <v>1946.3333333154601</v>
      </c>
      <c r="D843" t="s">
        <v>165</v>
      </c>
      <c r="E843">
        <v>1946</v>
      </c>
      <c r="F843">
        <v>6217</v>
      </c>
      <c r="G843" s="8">
        <f t="shared" si="21"/>
        <v>-0.40255572466779049</v>
      </c>
      <c r="H843" s="3">
        <f>STANDARDIZE(F843,K$12,L$12)</f>
        <v>-0.4746060482230402</v>
      </c>
    </row>
    <row r="844" spans="2:8" x14ac:dyDescent="0.3">
      <c r="B844" s="5">
        <v>16893</v>
      </c>
      <c r="C844" s="4">
        <v>1946.2499999821</v>
      </c>
      <c r="D844" t="s">
        <v>167</v>
      </c>
      <c r="E844">
        <v>1946</v>
      </c>
      <c r="F844">
        <v>4691</v>
      </c>
      <c r="G844" s="8">
        <f t="shared" si="21"/>
        <v>-0.9877936473720802</v>
      </c>
      <c r="H844" s="3">
        <f>STANDARDIZE(F844,K$11,L$11)</f>
        <v>-0.22762267105231665</v>
      </c>
    </row>
    <row r="845" spans="2:8" x14ac:dyDescent="0.3">
      <c r="B845" s="5">
        <v>16862</v>
      </c>
      <c r="C845" s="4">
        <v>1946.1666666487399</v>
      </c>
      <c r="D845" t="s">
        <v>169</v>
      </c>
      <c r="E845">
        <v>1946</v>
      </c>
      <c r="F845">
        <v>3487</v>
      </c>
      <c r="G845" s="8">
        <f t="shared" si="21"/>
        <v>-1.4495409992305106</v>
      </c>
      <c r="H845" s="3">
        <f>STANDARDIZE(F845,K$10,L$10)</f>
        <v>-0.48858155832843808</v>
      </c>
    </row>
    <row r="846" spans="2:8" x14ac:dyDescent="0.3">
      <c r="B846" s="5">
        <v>16834</v>
      </c>
      <c r="C846" s="4">
        <v>1946.0833333153801</v>
      </c>
      <c r="D846" t="s">
        <v>171</v>
      </c>
      <c r="E846">
        <v>1946</v>
      </c>
      <c r="F846">
        <v>3629</v>
      </c>
      <c r="G846" s="8">
        <f t="shared" si="21"/>
        <v>-1.3950824245096658</v>
      </c>
      <c r="H846" s="3">
        <f>STANDARDIZE(F846,K$9,L$9)</f>
        <v>-0.57754101294677529</v>
      </c>
    </row>
    <row r="847" spans="2:8" x14ac:dyDescent="0.3">
      <c r="B847" s="5">
        <v>16803</v>
      </c>
      <c r="C847" s="4">
        <v>1945.99999998202</v>
      </c>
      <c r="D847" t="s">
        <v>173</v>
      </c>
      <c r="E847">
        <v>1946</v>
      </c>
      <c r="F847">
        <v>6392</v>
      </c>
      <c r="G847" s="8">
        <f t="shared" si="21"/>
        <v>-0.33544128399069301</v>
      </c>
      <c r="H847" s="3">
        <f>STANDARDIZE(F847,K$8,L$8)</f>
        <v>-0.26760912580107621</v>
      </c>
    </row>
    <row r="848" spans="2:8" x14ac:dyDescent="0.3">
      <c r="B848" s="5">
        <v>16772</v>
      </c>
      <c r="C848" s="4">
        <v>1945.9166666486601</v>
      </c>
      <c r="D848" t="s">
        <v>157</v>
      </c>
      <c r="E848">
        <v>1945</v>
      </c>
      <c r="F848">
        <v>9418</v>
      </c>
      <c r="G848" s="8">
        <f t="shared" si="21"/>
        <v>0.82506327308871763</v>
      </c>
      <c r="H848" s="3">
        <f>STANDARDIZE(F848,K$19,L$19)</f>
        <v>-0.16387484565175453</v>
      </c>
    </row>
    <row r="849" spans="2:8" x14ac:dyDescent="0.3">
      <c r="B849" s="5">
        <v>16742</v>
      </c>
      <c r="C849" s="4">
        <v>1945.8333333153</v>
      </c>
      <c r="D849" t="s">
        <v>158</v>
      </c>
      <c r="E849">
        <v>1945</v>
      </c>
      <c r="F849">
        <v>9493</v>
      </c>
      <c r="G849" s="8">
        <f t="shared" si="21"/>
        <v>0.85382660480747374</v>
      </c>
      <c r="H849" s="3">
        <f>STANDARDIZE(F849,K$18,L$18)</f>
        <v>-0.15915489406042824</v>
      </c>
    </row>
    <row r="850" spans="2:8" x14ac:dyDescent="0.3">
      <c r="B850" s="5">
        <v>16711</v>
      </c>
      <c r="C850" s="4">
        <v>1945.7499999819399</v>
      </c>
      <c r="D850" t="s">
        <v>160</v>
      </c>
      <c r="E850">
        <v>1945</v>
      </c>
      <c r="F850">
        <v>8127</v>
      </c>
      <c r="G850" s="8">
        <f t="shared" si="21"/>
        <v>0.3299504564365302</v>
      </c>
      <c r="H850" s="3">
        <f>STANDARDIZE(F850,K$17,L$17)</f>
        <v>-0.2371001939442752</v>
      </c>
    </row>
    <row r="851" spans="2:8" x14ac:dyDescent="0.3">
      <c r="B851" s="5">
        <v>16681</v>
      </c>
      <c r="C851" s="4">
        <v>1945.6666666485801</v>
      </c>
      <c r="D851" t="s">
        <v>161</v>
      </c>
      <c r="E851">
        <v>1945</v>
      </c>
      <c r="F851">
        <v>7468</v>
      </c>
      <c r="G851" s="8">
        <f t="shared" si="21"/>
        <v>7.7216648401060406E-2</v>
      </c>
      <c r="H851" s="3">
        <f>STANDARDIZE(F851,K$16,L$16)</f>
        <v>-7.9845529607792134E-2</v>
      </c>
    </row>
    <row r="852" spans="2:8" x14ac:dyDescent="0.3">
      <c r="B852" s="5">
        <v>16650</v>
      </c>
      <c r="C852" s="4">
        <v>1945.58333331522</v>
      </c>
      <c r="D852" t="s">
        <v>162</v>
      </c>
      <c r="E852">
        <v>1945</v>
      </c>
      <c r="F852">
        <v>7082</v>
      </c>
      <c r="G852" s="8">
        <f t="shared" si="21"/>
        <v>-7.0818632178137386E-2</v>
      </c>
      <c r="H852" s="3">
        <f>STANDARDIZE(F852,K$15,L$15)</f>
        <v>-0.17950328693591161</v>
      </c>
    </row>
    <row r="853" spans="2:8" x14ac:dyDescent="0.3">
      <c r="B853" s="5">
        <v>16619</v>
      </c>
      <c r="C853" s="4">
        <v>1945.4999999818599</v>
      </c>
      <c r="D853" t="s">
        <v>163</v>
      </c>
      <c r="E853">
        <v>1945</v>
      </c>
      <c r="F853">
        <v>7487</v>
      </c>
      <c r="G853" s="8">
        <f t="shared" si="21"/>
        <v>8.450335910314527E-2</v>
      </c>
      <c r="H853" s="3">
        <f>STANDARDIZE(F853,K$14,L$14)</f>
        <v>-0.26955578401635277</v>
      </c>
    </row>
    <row r="854" spans="2:8" x14ac:dyDescent="0.3">
      <c r="B854" s="5">
        <v>16589</v>
      </c>
      <c r="C854" s="4">
        <v>1945.4166666485</v>
      </c>
      <c r="D854" t="s">
        <v>164</v>
      </c>
      <c r="E854">
        <v>1945</v>
      </c>
      <c r="F854">
        <v>8560</v>
      </c>
      <c r="G854" s="8">
        <f t="shared" si="21"/>
        <v>0.49601075822614848</v>
      </c>
      <c r="H854" s="3">
        <f>STANDARDIZE(F854,K$13,L$13)</f>
        <v>0.19944766472950648</v>
      </c>
    </row>
    <row r="855" spans="2:8" x14ac:dyDescent="0.3">
      <c r="B855" s="5">
        <v>16558</v>
      </c>
      <c r="C855" s="4">
        <v>1945.33333331514</v>
      </c>
      <c r="D855" t="s">
        <v>165</v>
      </c>
      <c r="E855">
        <v>1945</v>
      </c>
      <c r="F855">
        <v>6974</v>
      </c>
      <c r="G855" s="8">
        <f t="shared" si="21"/>
        <v>-0.11223782985314609</v>
      </c>
      <c r="H855" s="3">
        <f>STANDARDIZE(F855,K$12,L$12)</f>
        <v>4.5639402122942319E-2</v>
      </c>
    </row>
    <row r="856" spans="2:8" x14ac:dyDescent="0.3">
      <c r="B856" s="5">
        <v>16528</v>
      </c>
      <c r="C856" s="4">
        <v>1945.2499999817801</v>
      </c>
      <c r="D856" t="s">
        <v>167</v>
      </c>
      <c r="E856">
        <v>1945</v>
      </c>
      <c r="G856" s="8"/>
      <c r="H856" s="3">
        <f>STANDARDIZE(F856,K$11,L$11)</f>
        <v>-3.8016841729198232</v>
      </c>
    </row>
    <row r="857" spans="2:8" x14ac:dyDescent="0.3">
      <c r="B857" s="5">
        <v>16497</v>
      </c>
      <c r="C857" s="4">
        <v>1945.16666664842</v>
      </c>
      <c r="D857" t="s">
        <v>169</v>
      </c>
      <c r="E857">
        <v>1945</v>
      </c>
      <c r="G857" s="8"/>
      <c r="H857" s="3">
        <f>STANDARDIZE(F857,K$10,L$10)</f>
        <v>-2.978465017071207</v>
      </c>
    </row>
    <row r="858" spans="2:8" x14ac:dyDescent="0.3">
      <c r="B858" s="5">
        <v>16469</v>
      </c>
      <c r="C858" s="4">
        <v>1945.0833333150599</v>
      </c>
      <c r="D858" t="s">
        <v>171</v>
      </c>
      <c r="E858">
        <v>1945</v>
      </c>
      <c r="G858" s="8"/>
      <c r="H858" s="3">
        <f>STANDARDIZE(F858,K$9,L$9)</f>
        <v>-2.8757875060756528</v>
      </c>
    </row>
    <row r="859" spans="2:8" x14ac:dyDescent="0.3">
      <c r="B859" s="5">
        <v>16438</v>
      </c>
      <c r="C859" s="4">
        <v>1944.9999999817001</v>
      </c>
      <c r="D859" t="s">
        <v>173</v>
      </c>
      <c r="E859">
        <v>1945</v>
      </c>
      <c r="F859">
        <v>6042</v>
      </c>
      <c r="G859" s="8">
        <f t="shared" ref="G859:G868" si="22">STANDARDIZE(F859,F$4,F$5)</f>
        <v>-0.46967016534488792</v>
      </c>
      <c r="H859" s="3">
        <f>STANDARDIZE(F859,K$8,L$8)</f>
        <v>-0.42040767255453948</v>
      </c>
    </row>
    <row r="860" spans="2:8" x14ac:dyDescent="0.3">
      <c r="B860" s="5">
        <v>16407</v>
      </c>
      <c r="C860" s="4">
        <v>1944.91666664834</v>
      </c>
      <c r="D860" t="s">
        <v>157</v>
      </c>
      <c r="E860">
        <v>1944</v>
      </c>
      <c r="F860">
        <v>10852</v>
      </c>
      <c r="G860" s="8">
        <f t="shared" si="22"/>
        <v>1.3750181755513333</v>
      </c>
      <c r="H860" s="3">
        <f>STANDARDIZE(F860,K$19,L$19)</f>
        <v>0.33152282339318845</v>
      </c>
    </row>
    <row r="861" spans="2:8" x14ac:dyDescent="0.3">
      <c r="B861" s="5">
        <v>16377</v>
      </c>
      <c r="C861" s="4">
        <v>1944.8333333149801</v>
      </c>
      <c r="D861" t="s">
        <v>158</v>
      </c>
      <c r="E861">
        <v>1944</v>
      </c>
      <c r="F861">
        <v>11151</v>
      </c>
      <c r="G861" s="8">
        <f t="shared" si="22"/>
        <v>1.489687991336774</v>
      </c>
      <c r="H861" s="3">
        <f>STANDARDIZE(F861,K$18,L$18)</f>
        <v>0.47154474064622903</v>
      </c>
    </row>
    <row r="862" spans="2:8" x14ac:dyDescent="0.3">
      <c r="B862" s="5">
        <v>16346</v>
      </c>
      <c r="C862" s="4">
        <v>1944.74999998162</v>
      </c>
      <c r="D862" t="s">
        <v>160</v>
      </c>
      <c r="E862">
        <v>1944</v>
      </c>
      <c r="F862">
        <v>9207</v>
      </c>
      <c r="G862" s="8">
        <f t="shared" si="22"/>
        <v>0.74414243318661732</v>
      </c>
      <c r="H862" s="3">
        <f>STANDARDIZE(F862,K$17,L$17)</f>
        <v>0.31078134475796265</v>
      </c>
    </row>
    <row r="863" spans="2:8" x14ac:dyDescent="0.3">
      <c r="B863" s="5">
        <v>16316</v>
      </c>
      <c r="C863" s="4">
        <v>1944.6666666482599</v>
      </c>
      <c r="D863" t="s">
        <v>161</v>
      </c>
      <c r="E863">
        <v>1944</v>
      </c>
      <c r="F863">
        <v>8086</v>
      </c>
      <c r="G863" s="8">
        <f t="shared" si="22"/>
        <v>0.31422650176361022</v>
      </c>
      <c r="H863" s="3">
        <f>STANDARDIZE(F863,K$16,L$16)</f>
        <v>0.21923973640769454</v>
      </c>
    </row>
    <row r="864" spans="2:8" x14ac:dyDescent="0.3">
      <c r="B864" s="5">
        <v>16285</v>
      </c>
      <c r="C864" s="4">
        <v>1944.5833333149001</v>
      </c>
      <c r="D864" t="s">
        <v>162</v>
      </c>
      <c r="E864">
        <v>1944</v>
      </c>
      <c r="F864">
        <v>7487</v>
      </c>
      <c r="G864" s="8">
        <f t="shared" si="22"/>
        <v>8.450335910314527E-2</v>
      </c>
      <c r="H864" s="3">
        <f>STANDARDIZE(F864,K$15,L$15)</f>
        <v>1.8708918616074204E-2</v>
      </c>
    </row>
    <row r="865" spans="2:8" x14ac:dyDescent="0.3">
      <c r="B865" s="5">
        <v>16254</v>
      </c>
      <c r="C865" s="4">
        <v>1944.49999998154</v>
      </c>
      <c r="D865" t="s">
        <v>163</v>
      </c>
      <c r="E865">
        <v>1944</v>
      </c>
      <c r="F865">
        <v>9520</v>
      </c>
      <c r="G865" s="8">
        <f t="shared" si="22"/>
        <v>0.86418140422622591</v>
      </c>
      <c r="H865" s="3">
        <f>STANDARDIZE(F865,K$14,L$14)</f>
        <v>0.7174668114357321</v>
      </c>
    </row>
    <row r="866" spans="2:8" x14ac:dyDescent="0.3">
      <c r="B866" s="5">
        <v>16224</v>
      </c>
      <c r="C866" s="4">
        <v>1944.4166666481799</v>
      </c>
      <c r="D866" t="s">
        <v>164</v>
      </c>
      <c r="E866">
        <v>1944</v>
      </c>
      <c r="F866">
        <v>8982</v>
      </c>
      <c r="G866" s="8">
        <f t="shared" si="22"/>
        <v>0.65785243803034921</v>
      </c>
      <c r="H866" s="3">
        <f>STANDARDIZE(F866,K$13,L$13)</f>
        <v>0.44918989185921954</v>
      </c>
    </row>
    <row r="867" spans="2:8" x14ac:dyDescent="0.3">
      <c r="B867" s="5">
        <v>16193</v>
      </c>
      <c r="C867" s="4">
        <v>1944.33333331482</v>
      </c>
      <c r="D867" t="s">
        <v>165</v>
      </c>
      <c r="E867">
        <v>1944</v>
      </c>
      <c r="F867">
        <v>6889</v>
      </c>
      <c r="G867" s="8">
        <f t="shared" si="22"/>
        <v>-0.14483627246773628</v>
      </c>
      <c r="H867" s="3">
        <f>STANDARDIZE(F867,K$12,L$12)</f>
        <v>-1.2776533516963246E-2</v>
      </c>
    </row>
    <row r="868" spans="2:8" x14ac:dyDescent="0.3">
      <c r="B868" s="5">
        <v>16163</v>
      </c>
      <c r="C868" s="4">
        <v>1944.24999998146</v>
      </c>
      <c r="D868" t="s">
        <v>167</v>
      </c>
      <c r="E868">
        <v>1944</v>
      </c>
      <c r="F868">
        <v>4846</v>
      </c>
      <c r="G868" s="8">
        <f t="shared" si="22"/>
        <v>-0.92834942848665103</v>
      </c>
      <c r="H868" s="3">
        <f>STANDARDIZE(F868,K$11,L$11)</f>
        <v>-0.10952854766935703</v>
      </c>
    </row>
    <row r="869" spans="2:8" x14ac:dyDescent="0.3">
      <c r="B869" s="5">
        <v>16132</v>
      </c>
      <c r="C869" s="4">
        <v>1944.1666666481001</v>
      </c>
      <c r="D869" t="s">
        <v>169</v>
      </c>
      <c r="E869">
        <v>1944</v>
      </c>
      <c r="G869" s="8"/>
      <c r="H869" s="3">
        <f>STANDARDIZE(F869,K$10,L$10)</f>
        <v>-2.978465017071207</v>
      </c>
    </row>
    <row r="870" spans="2:8" x14ac:dyDescent="0.3">
      <c r="B870" s="5">
        <v>16103</v>
      </c>
      <c r="C870" s="4">
        <v>1944.08333331474</v>
      </c>
      <c r="D870" t="s">
        <v>171</v>
      </c>
      <c r="E870">
        <v>1944</v>
      </c>
      <c r="G870" s="8"/>
      <c r="H870" s="3">
        <f>STANDARDIZE(F870,K$9,L$9)</f>
        <v>-2.8757875060756528</v>
      </c>
    </row>
    <row r="871" spans="2:8" x14ac:dyDescent="0.3">
      <c r="B871" s="5">
        <v>16072</v>
      </c>
      <c r="C871" s="4">
        <v>1943.9999999813799</v>
      </c>
      <c r="D871" t="s">
        <v>173</v>
      </c>
      <c r="E871">
        <v>1944</v>
      </c>
      <c r="F871">
        <v>5497</v>
      </c>
      <c r="G871" s="8">
        <f t="shared" ref="G871:G907" si="23">STANDARDIZE(F871,F$4,F$5)</f>
        <v>-0.67868370916784848</v>
      </c>
      <c r="H871" s="3">
        <f>STANDARDIZE(F871,K$8,L$8)</f>
        <v>-0.65833683821350375</v>
      </c>
    </row>
    <row r="872" spans="2:8" x14ac:dyDescent="0.3">
      <c r="B872" s="5">
        <v>16041</v>
      </c>
      <c r="C872" s="4">
        <v>1943.9166666480201</v>
      </c>
      <c r="D872" t="s">
        <v>157</v>
      </c>
      <c r="E872">
        <v>1943</v>
      </c>
      <c r="F872">
        <v>8518</v>
      </c>
      <c r="G872" s="8">
        <f t="shared" si="23"/>
        <v>0.47990329246364505</v>
      </c>
      <c r="H872" s="3">
        <f>STANDARDIZE(F872,K$19,L$19)</f>
        <v>-0.47479388480130036</v>
      </c>
    </row>
    <row r="873" spans="2:8" x14ac:dyDescent="0.3">
      <c r="B873" s="5">
        <v>16011</v>
      </c>
      <c r="C873" s="4">
        <v>1943.83333331466</v>
      </c>
      <c r="D873" t="s">
        <v>158</v>
      </c>
      <c r="E873">
        <v>1943</v>
      </c>
      <c r="F873">
        <v>9599</v>
      </c>
      <c r="G873" s="8">
        <f t="shared" si="23"/>
        <v>0.89447878030331562</v>
      </c>
      <c r="H873" s="3">
        <f>STANDARDIZE(F873,K$18,L$18)</f>
        <v>-0.1188327219983621</v>
      </c>
    </row>
    <row r="874" spans="2:8" x14ac:dyDescent="0.3">
      <c r="B874" s="5">
        <v>15980</v>
      </c>
      <c r="C874" s="4">
        <v>1943.7499999813001</v>
      </c>
      <c r="D874" t="s">
        <v>160</v>
      </c>
      <c r="E874">
        <v>1943</v>
      </c>
      <c r="F874">
        <v>6989</v>
      </c>
      <c r="G874" s="8">
        <f t="shared" si="23"/>
        <v>-0.10648516350939488</v>
      </c>
      <c r="H874" s="3">
        <f>STANDARDIZE(F874,K$17,L$17)</f>
        <v>-0.8144050004657073</v>
      </c>
    </row>
    <row r="875" spans="2:8" x14ac:dyDescent="0.3">
      <c r="B875" s="5">
        <v>15950</v>
      </c>
      <c r="C875" s="4">
        <v>1943.66666664794</v>
      </c>
      <c r="D875" t="s">
        <v>161</v>
      </c>
      <c r="E875">
        <v>1943</v>
      </c>
      <c r="F875">
        <v>6042</v>
      </c>
      <c r="G875" s="8">
        <f t="shared" si="23"/>
        <v>-0.46967016534488792</v>
      </c>
      <c r="H875" s="3">
        <f>STANDARDIZE(F875,K$16,L$16)</f>
        <v>-0.7699678424525882</v>
      </c>
    </row>
    <row r="876" spans="2:8" x14ac:dyDescent="0.3">
      <c r="B876" s="5">
        <v>15919</v>
      </c>
      <c r="C876" s="4">
        <v>1943.5833333145799</v>
      </c>
      <c r="D876" t="s">
        <v>162</v>
      </c>
      <c r="E876">
        <v>1943</v>
      </c>
      <c r="F876">
        <v>6155</v>
      </c>
      <c r="G876" s="8">
        <f t="shared" si="23"/>
        <v>-0.42633341222196214</v>
      </c>
      <c r="H876" s="3">
        <f>STANDARDIZE(F876,K$15,L$15)</f>
        <v>-0.63318900186601246</v>
      </c>
    </row>
    <row r="877" spans="2:8" x14ac:dyDescent="0.3">
      <c r="B877" s="5">
        <v>15888</v>
      </c>
      <c r="C877" s="4">
        <v>1943.4999999812201</v>
      </c>
      <c r="D877" t="s">
        <v>163</v>
      </c>
      <c r="E877">
        <v>1943</v>
      </c>
      <c r="F877">
        <v>7372</v>
      </c>
      <c r="G877" s="8">
        <f t="shared" si="23"/>
        <v>4.0399583801052665E-2</v>
      </c>
      <c r="H877" s="3">
        <f>STANDARDIZE(F877,K$14,L$14)</f>
        <v>-0.32538834598240779</v>
      </c>
    </row>
    <row r="878" spans="2:8" x14ac:dyDescent="0.3">
      <c r="B878" s="5">
        <v>15858</v>
      </c>
      <c r="C878" s="4">
        <v>1943.41666664786</v>
      </c>
      <c r="D878" t="s">
        <v>164</v>
      </c>
      <c r="E878">
        <v>1943</v>
      </c>
      <c r="F878">
        <v>9086</v>
      </c>
      <c r="G878" s="8">
        <f t="shared" si="23"/>
        <v>0.69773759134702418</v>
      </c>
      <c r="H878" s="3">
        <f>STANDARDIZE(F878,K$13,L$13)</f>
        <v>0.51073773930350896</v>
      </c>
    </row>
    <row r="879" spans="2:8" x14ac:dyDescent="0.3">
      <c r="B879" s="5">
        <v>15827</v>
      </c>
      <c r="C879" s="4">
        <v>1943.3333333144999</v>
      </c>
      <c r="D879" t="s">
        <v>165</v>
      </c>
      <c r="E879">
        <v>1943</v>
      </c>
      <c r="F879">
        <v>8425</v>
      </c>
      <c r="G879" s="8">
        <f t="shared" si="23"/>
        <v>0.44423676113238758</v>
      </c>
      <c r="H879" s="3">
        <f>STANDARDIZE(F879,K$12,L$12)</f>
        <v>1.0428337858112127</v>
      </c>
    </row>
    <row r="880" spans="2:8" x14ac:dyDescent="0.3">
      <c r="B880" s="5">
        <v>15797</v>
      </c>
      <c r="C880" s="4">
        <v>1943.24999998114</v>
      </c>
      <c r="D880" t="s">
        <v>167</v>
      </c>
      <c r="E880">
        <v>1943</v>
      </c>
      <c r="F880">
        <v>6418</v>
      </c>
      <c r="G880" s="8">
        <f t="shared" si="23"/>
        <v>-0.32546999566152424</v>
      </c>
      <c r="H880" s="3">
        <f>STANDARDIZE(F880,K$11,L$11)</f>
        <v>1.0881744327049172</v>
      </c>
    </row>
    <row r="881" spans="2:8" x14ac:dyDescent="0.3">
      <c r="B881" s="5">
        <v>15766</v>
      </c>
      <c r="C881" s="4">
        <v>1943.1666666477799</v>
      </c>
      <c r="D881" t="s">
        <v>169</v>
      </c>
      <c r="E881">
        <v>1943</v>
      </c>
      <c r="F881">
        <v>5347</v>
      </c>
      <c r="G881" s="8">
        <f t="shared" si="23"/>
        <v>-0.7362103726053606</v>
      </c>
      <c r="H881" s="3">
        <f>STANDARDIZE(F881,K$10,L$10)</f>
        <v>0.83954669898775058</v>
      </c>
    </row>
    <row r="882" spans="2:8" x14ac:dyDescent="0.3">
      <c r="B882" s="5">
        <v>15738</v>
      </c>
      <c r="C882" s="4">
        <v>1943.0833333144201</v>
      </c>
      <c r="D882" t="s">
        <v>171</v>
      </c>
      <c r="E882">
        <v>1943</v>
      </c>
      <c r="F882">
        <v>6596</v>
      </c>
      <c r="G882" s="8">
        <f t="shared" si="23"/>
        <v>-0.25720502171567655</v>
      </c>
      <c r="H882" s="3">
        <f>STANDARDIZE(F882,K$9,L$9)</f>
        <v>1.3014607355000087</v>
      </c>
    </row>
    <row r="883" spans="2:8" x14ac:dyDescent="0.3">
      <c r="B883" s="5">
        <v>15707</v>
      </c>
      <c r="C883" s="4">
        <v>1942.99999998106</v>
      </c>
      <c r="D883" t="s">
        <v>173</v>
      </c>
      <c r="E883">
        <v>1943</v>
      </c>
      <c r="F883">
        <v>9677</v>
      </c>
      <c r="G883" s="8">
        <f t="shared" si="23"/>
        <v>0.92439264529082188</v>
      </c>
      <c r="H883" s="3">
        <f>STANDARDIZE(F883,K$8,L$8)</f>
        <v>1.1665143772992865</v>
      </c>
    </row>
    <row r="884" spans="2:8" x14ac:dyDescent="0.3">
      <c r="B884" s="5">
        <v>15676</v>
      </c>
      <c r="C884" s="4">
        <v>1942.9166666476999</v>
      </c>
      <c r="D884" t="s">
        <v>157</v>
      </c>
      <c r="E884">
        <v>1942</v>
      </c>
      <c r="F884">
        <v>11422</v>
      </c>
      <c r="G884" s="8">
        <f t="shared" si="23"/>
        <v>1.5936194966138792</v>
      </c>
      <c r="H884" s="3">
        <f>STANDARDIZE(F884,K$19,L$19)</f>
        <v>0.52843821485456743</v>
      </c>
    </row>
    <row r="885" spans="2:8" x14ac:dyDescent="0.3">
      <c r="B885" s="5">
        <v>15646</v>
      </c>
      <c r="C885" s="4">
        <v>1942.8333333143401</v>
      </c>
      <c r="D885" t="s">
        <v>158</v>
      </c>
      <c r="E885">
        <v>1942</v>
      </c>
      <c r="F885">
        <v>10606</v>
      </c>
      <c r="G885" s="8">
        <f t="shared" si="23"/>
        <v>1.2806744475138134</v>
      </c>
      <c r="H885" s="3">
        <f>STANDARDIZE(F885,K$18,L$18)</f>
        <v>0.26422791259126632</v>
      </c>
    </row>
    <row r="886" spans="2:8" x14ac:dyDescent="0.3">
      <c r="B886" s="5">
        <v>15615</v>
      </c>
      <c r="C886" s="4">
        <v>1942.74999998098</v>
      </c>
      <c r="D886" t="s">
        <v>160</v>
      </c>
      <c r="E886">
        <v>1942</v>
      </c>
      <c r="F886">
        <v>8154</v>
      </c>
      <c r="G886" s="8">
        <f t="shared" si="23"/>
        <v>0.34030525585528237</v>
      </c>
      <c r="H886" s="3">
        <f>STANDARDIZE(F886,K$17,L$17)</f>
        <v>-0.22340315547671924</v>
      </c>
    </row>
    <row r="887" spans="2:8" x14ac:dyDescent="0.3">
      <c r="B887" s="5">
        <v>15585</v>
      </c>
      <c r="C887" s="4">
        <v>1942.6666666476201</v>
      </c>
      <c r="D887" t="s">
        <v>161</v>
      </c>
      <c r="E887">
        <v>1942</v>
      </c>
      <c r="F887">
        <v>7434</v>
      </c>
      <c r="G887" s="8">
        <f t="shared" si="23"/>
        <v>6.417727135522433E-2</v>
      </c>
      <c r="H887" s="3">
        <f>STANDARDIZE(F887,K$16,L$16)</f>
        <v>-9.6300058806055147E-2</v>
      </c>
    </row>
    <row r="888" spans="2:8" x14ac:dyDescent="0.3">
      <c r="B888" s="5">
        <v>15554</v>
      </c>
      <c r="C888" s="4">
        <v>1942.58333331426</v>
      </c>
      <c r="D888" t="s">
        <v>162</v>
      </c>
      <c r="E888">
        <v>1942</v>
      </c>
      <c r="F888">
        <v>7356</v>
      </c>
      <c r="G888" s="8">
        <f t="shared" si="23"/>
        <v>3.426340636771804E-2</v>
      </c>
      <c r="H888" s="3">
        <f>STANDARDIZE(F888,K$15,L$15)</f>
        <v>-4.5404165155061953E-2</v>
      </c>
    </row>
    <row r="889" spans="2:8" x14ac:dyDescent="0.3">
      <c r="B889" s="5">
        <v>15523</v>
      </c>
      <c r="C889" s="4">
        <v>1942.4999999808999</v>
      </c>
      <c r="D889" t="s">
        <v>163</v>
      </c>
      <c r="E889">
        <v>1942</v>
      </c>
      <c r="F889">
        <v>7044</v>
      </c>
      <c r="G889" s="8">
        <f t="shared" si="23"/>
        <v>-8.5392053582307115E-2</v>
      </c>
      <c r="H889" s="3">
        <f>STANDARDIZE(F889,K$14,L$14)</f>
        <v>-0.48463252272037327</v>
      </c>
    </row>
    <row r="890" spans="2:8" x14ac:dyDescent="0.3">
      <c r="B890" s="5">
        <v>15493</v>
      </c>
      <c r="C890" s="4">
        <v>1942.4166666475401</v>
      </c>
      <c r="D890" t="s">
        <v>164</v>
      </c>
      <c r="E890">
        <v>1942</v>
      </c>
      <c r="F890">
        <v>10101</v>
      </c>
      <c r="G890" s="8">
        <f t="shared" si="23"/>
        <v>1.0870013472741893</v>
      </c>
      <c r="H890" s="3">
        <f>STANDARDIZE(F890,K$13,L$13)</f>
        <v>1.1114210581107573</v>
      </c>
    </row>
    <row r="891" spans="2:8" x14ac:dyDescent="0.3">
      <c r="B891" s="5">
        <v>15462</v>
      </c>
      <c r="C891" s="4">
        <v>1942.33333331418</v>
      </c>
      <c r="D891" t="s">
        <v>165</v>
      </c>
      <c r="E891">
        <v>1942</v>
      </c>
      <c r="F891">
        <v>8773</v>
      </c>
      <c r="G891" s="8">
        <f t="shared" si="23"/>
        <v>0.57769862030741559</v>
      </c>
      <c r="H891" s="3">
        <f>STANDARDIZE(F891,K$12,L$12)</f>
        <v>1.2819954987840025</v>
      </c>
    </row>
    <row r="892" spans="2:8" x14ac:dyDescent="0.3">
      <c r="B892" s="5">
        <v>15432</v>
      </c>
      <c r="C892" s="4">
        <v>1942.2499999808199</v>
      </c>
      <c r="D892" t="s">
        <v>167</v>
      </c>
      <c r="E892">
        <v>1942</v>
      </c>
      <c r="F892">
        <v>5011</v>
      </c>
      <c r="G892" s="8">
        <f t="shared" si="23"/>
        <v>-0.86507009870538776</v>
      </c>
      <c r="H892" s="3">
        <f>STANDARDIZE(F892,K$11,L$11)</f>
        <v>1.6184551415728998E-2</v>
      </c>
    </row>
    <row r="893" spans="2:8" x14ac:dyDescent="0.3">
      <c r="B893" s="5">
        <v>15401</v>
      </c>
      <c r="C893" s="4">
        <v>1942.16666664746</v>
      </c>
      <c r="D893" t="s">
        <v>169</v>
      </c>
      <c r="E893">
        <v>1942</v>
      </c>
      <c r="F893">
        <v>3717</v>
      </c>
      <c r="G893" s="8">
        <f t="shared" si="23"/>
        <v>-1.3613334486263253</v>
      </c>
      <c r="H893" s="3">
        <f>STANDARDIZE(F893,K$10,L$10)</f>
        <v>-0.3243506447893395</v>
      </c>
    </row>
    <row r="894" spans="2:8" x14ac:dyDescent="0.3">
      <c r="B894" s="5">
        <v>15373</v>
      </c>
      <c r="C894" s="4">
        <v>1942.0833333140999</v>
      </c>
      <c r="D894" t="s">
        <v>171</v>
      </c>
      <c r="E894">
        <v>1942</v>
      </c>
      <c r="F894">
        <v>3111</v>
      </c>
      <c r="G894" s="8">
        <f t="shared" si="23"/>
        <v>-1.5937411689138743</v>
      </c>
      <c r="H894" s="3">
        <f>STANDARDIZE(F894,K$9,L$9)</f>
        <v>-0.90559052615723512</v>
      </c>
    </row>
    <row r="895" spans="2:8" x14ac:dyDescent="0.3">
      <c r="B895" s="5">
        <v>15342</v>
      </c>
      <c r="C895" s="4">
        <v>1941.9999999807401</v>
      </c>
      <c r="D895" t="s">
        <v>173</v>
      </c>
      <c r="E895">
        <v>1942</v>
      </c>
      <c r="F895">
        <v>3326</v>
      </c>
      <c r="G895" s="8">
        <f t="shared" si="23"/>
        <v>-1.5112862846534403</v>
      </c>
      <c r="H895" s="3">
        <f>STANDARDIZE(F895,K$8,L$8)</f>
        <v>-1.6061243953614146</v>
      </c>
    </row>
    <row r="896" spans="2:8" x14ac:dyDescent="0.3">
      <c r="B896" s="5">
        <v>15311</v>
      </c>
      <c r="C896" s="4">
        <v>1941.91666664738</v>
      </c>
      <c r="D896" t="s">
        <v>157</v>
      </c>
      <c r="E896">
        <v>1941</v>
      </c>
      <c r="F896">
        <v>5299</v>
      </c>
      <c r="G896" s="8">
        <f t="shared" si="23"/>
        <v>-0.75461890490536454</v>
      </c>
      <c r="H896" s="3">
        <f>STANDARDIZE(F896,K$19,L$19)</f>
        <v>-1.5868476481595091</v>
      </c>
    </row>
    <row r="897" spans="2:8" x14ac:dyDescent="0.3">
      <c r="B897" s="5">
        <v>15281</v>
      </c>
      <c r="C897" s="4">
        <v>1941.8333333140199</v>
      </c>
      <c r="D897" t="s">
        <v>158</v>
      </c>
      <c r="E897">
        <v>1941</v>
      </c>
      <c r="F897">
        <v>5356</v>
      </c>
      <c r="G897" s="8">
        <f t="shared" si="23"/>
        <v>-0.73275877279910995</v>
      </c>
      <c r="H897" s="3">
        <f>STANDARDIZE(F897,K$18,L$18)</f>
        <v>-1.7328607980299344</v>
      </c>
    </row>
    <row r="898" spans="2:8" x14ac:dyDescent="0.3">
      <c r="B898" s="5">
        <v>15250</v>
      </c>
      <c r="C898" s="4">
        <v>1941.74999998066</v>
      </c>
      <c r="D898" t="s">
        <v>160</v>
      </c>
      <c r="E898">
        <v>1941</v>
      </c>
      <c r="F898">
        <v>5232</v>
      </c>
      <c r="G898" s="8">
        <f t="shared" si="23"/>
        <v>-0.78031414790745324</v>
      </c>
      <c r="H898" s="3">
        <f>STANDARDIZE(F898,K$17,L$17)</f>
        <v>-1.7057270962988851</v>
      </c>
    </row>
    <row r="899" spans="2:8" x14ac:dyDescent="0.3">
      <c r="B899" s="5">
        <v>15220</v>
      </c>
      <c r="C899" s="4">
        <v>1941.6666666473</v>
      </c>
      <c r="D899" t="s">
        <v>161</v>
      </c>
      <c r="E899">
        <v>1941</v>
      </c>
      <c r="F899">
        <v>4996</v>
      </c>
      <c r="G899" s="8">
        <f t="shared" si="23"/>
        <v>-0.87082276504913891</v>
      </c>
      <c r="H899" s="3">
        <f>STANDARDIZE(F899,K$16,L$16)</f>
        <v>-1.2761865936697387</v>
      </c>
    </row>
    <row r="900" spans="2:8" x14ac:dyDescent="0.3">
      <c r="B900" s="5">
        <v>15189</v>
      </c>
      <c r="C900" s="4">
        <v>1941.5833333139401</v>
      </c>
      <c r="D900" t="s">
        <v>162</v>
      </c>
      <c r="E900">
        <v>1941</v>
      </c>
      <c r="F900">
        <v>4872</v>
      </c>
      <c r="G900" s="8">
        <f t="shared" si="23"/>
        <v>-0.9183781401574822</v>
      </c>
      <c r="H900" s="3">
        <f>STANDARDIZE(F900,K$15,L$15)</f>
        <v>-1.261105692540575</v>
      </c>
    </row>
    <row r="901" spans="2:8" x14ac:dyDescent="0.3">
      <c r="B901" s="5">
        <v>15158</v>
      </c>
      <c r="C901" s="4">
        <v>1941.49999998058</v>
      </c>
      <c r="D901" t="s">
        <v>163</v>
      </c>
      <c r="E901">
        <v>1941</v>
      </c>
      <c r="F901">
        <v>4880</v>
      </c>
      <c r="G901" s="8">
        <f t="shared" si="23"/>
        <v>-0.9153100514408149</v>
      </c>
      <c r="H901" s="3">
        <f>STANDARDIZE(F901,K$14,L$14)</f>
        <v>-1.5352556887598772</v>
      </c>
    </row>
    <row r="902" spans="2:8" x14ac:dyDescent="0.3">
      <c r="B902" s="5">
        <v>15128</v>
      </c>
      <c r="C902" s="4">
        <v>1941.4166666472199</v>
      </c>
      <c r="D902" t="s">
        <v>164</v>
      </c>
      <c r="E902">
        <v>1941</v>
      </c>
      <c r="F902">
        <v>4879</v>
      </c>
      <c r="G902" s="8">
        <f t="shared" si="23"/>
        <v>-0.91569356253039835</v>
      </c>
      <c r="H902" s="3">
        <f>STANDARDIZE(F902,K$13,L$13)</f>
        <v>-1.9789910510630853</v>
      </c>
    </row>
    <row r="903" spans="2:8" x14ac:dyDescent="0.3">
      <c r="B903" s="5">
        <v>15097</v>
      </c>
      <c r="C903" s="4">
        <v>1941.3333333138601</v>
      </c>
      <c r="D903" t="s">
        <v>165</v>
      </c>
      <c r="E903">
        <v>1941</v>
      </c>
      <c r="F903">
        <v>4867</v>
      </c>
      <c r="G903" s="8">
        <f t="shared" si="23"/>
        <v>-0.92029569560539937</v>
      </c>
      <c r="H903" s="3">
        <f>STANDARDIZE(F903,K$12,L$12)</f>
        <v>-1.4023885554450699</v>
      </c>
    </row>
    <row r="904" spans="2:8" x14ac:dyDescent="0.3">
      <c r="B904" s="5">
        <v>15067</v>
      </c>
      <c r="C904" s="4">
        <v>1941.2499999805</v>
      </c>
      <c r="D904" t="s">
        <v>167</v>
      </c>
      <c r="E904">
        <v>1941</v>
      </c>
      <c r="F904">
        <v>3985</v>
      </c>
      <c r="G904" s="8">
        <f t="shared" si="23"/>
        <v>-1.2585524766179705</v>
      </c>
      <c r="H904" s="3">
        <f>STANDARDIZE(F904,K$11,L$11)</f>
        <v>-0.76552235562244231</v>
      </c>
    </row>
    <row r="905" spans="2:8" x14ac:dyDescent="0.3">
      <c r="B905" s="5">
        <v>15036</v>
      </c>
      <c r="C905" s="4">
        <v>1941.1666666471399</v>
      </c>
      <c r="D905" t="s">
        <v>169</v>
      </c>
      <c r="E905">
        <v>1941</v>
      </c>
      <c r="F905">
        <v>3003</v>
      </c>
      <c r="G905" s="8">
        <f t="shared" si="23"/>
        <v>-1.635160366588883</v>
      </c>
      <c r="H905" s="3">
        <f>STANDARDIZE(F905,K$10,L$10)</f>
        <v>-0.83418052421071509</v>
      </c>
    </row>
    <row r="906" spans="2:8" x14ac:dyDescent="0.3">
      <c r="B906" s="5">
        <v>15008</v>
      </c>
      <c r="C906" s="4">
        <v>1941.08333331378</v>
      </c>
      <c r="D906" t="s">
        <v>171</v>
      </c>
      <c r="E906">
        <v>1941</v>
      </c>
      <c r="F906">
        <v>3707</v>
      </c>
      <c r="G906" s="8">
        <f t="shared" si="23"/>
        <v>-1.3651685595221594</v>
      </c>
      <c r="H906" s="3">
        <f>STANDARDIZE(F906,K$9,L$9)</f>
        <v>-0.52814359589964044</v>
      </c>
    </row>
    <row r="907" spans="2:8" x14ac:dyDescent="0.3">
      <c r="B907" s="5">
        <v>14977</v>
      </c>
      <c r="C907" s="4">
        <v>1940.9999999804199</v>
      </c>
      <c r="D907" t="s">
        <v>173</v>
      </c>
      <c r="E907">
        <v>1941</v>
      </c>
      <c r="F907">
        <v>4993</v>
      </c>
      <c r="G907" s="8">
        <f t="shared" si="23"/>
        <v>-0.87197329831788917</v>
      </c>
      <c r="H907" s="3">
        <f>STANDARDIZE(F907,K$8,L$8)</f>
        <v>-0.87836674553849092</v>
      </c>
    </row>
  </sheetData>
  <autoFilter ref="B6:H6" xr:uid="{00000000-0009-0000-0000-000001000000}">
    <sortState xmlns:xlrd2="http://schemas.microsoft.com/office/spreadsheetml/2017/richdata2" ref="B7:H907">
      <sortCondition descending="1" ref="C6"/>
    </sortState>
  </autoFilter>
  <sortState xmlns:xlrd2="http://schemas.microsoft.com/office/spreadsheetml/2017/richdata2" ref="F4:J79">
    <sortCondition descending="1" ref="F4"/>
  </sortState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43"/>
  <sheetViews>
    <sheetView zoomScale="85" zoomScaleNormal="85" workbookViewId="0">
      <selection activeCell="H23" sqref="H23"/>
    </sheetView>
  </sheetViews>
  <sheetFormatPr baseColWidth="10" defaultRowHeight="14.4" x14ac:dyDescent="0.3"/>
  <cols>
    <col min="1" max="1" width="6.5546875" customWidth="1"/>
    <col min="2" max="2" width="9.109375" customWidth="1"/>
    <col min="3" max="3" width="8.6640625" customWidth="1"/>
    <col min="4" max="4" width="6.6640625" customWidth="1"/>
    <col min="5" max="5" width="10.88671875" customWidth="1"/>
    <col min="6" max="6" width="5.44140625" customWidth="1"/>
    <col min="7" max="7" width="8.33203125" customWidth="1"/>
    <col min="8" max="8" width="7.88671875" customWidth="1"/>
    <col min="9" max="9" width="6" customWidth="1"/>
    <col min="10" max="10" width="9.109375" customWidth="1"/>
    <col min="11" max="11" width="7.5546875" customWidth="1"/>
    <col min="12" max="12" width="9.88671875" customWidth="1"/>
    <col min="13" max="13" width="4.5546875" customWidth="1"/>
    <col min="14" max="14" width="7.88671875" customWidth="1"/>
    <col min="15" max="15" width="8.5546875" customWidth="1"/>
    <col min="16" max="16" width="7.5546875" customWidth="1"/>
  </cols>
  <sheetData>
    <row r="1" spans="1:16" x14ac:dyDescent="0.3">
      <c r="D1" t="s">
        <v>148</v>
      </c>
      <c r="E1" s="3">
        <f>AVERAGE(C4:C48)</f>
        <v>546.26666666666665</v>
      </c>
      <c r="I1" t="s">
        <v>148</v>
      </c>
      <c r="J1" s="3">
        <f>AVERAGE(J4:J543)</f>
        <v>546.23518518518517</v>
      </c>
    </row>
    <row r="2" spans="1:16" x14ac:dyDescent="0.3">
      <c r="A2" t="s">
        <v>139</v>
      </c>
      <c r="D2" t="s">
        <v>149</v>
      </c>
      <c r="E2" s="3">
        <f>_xlfn.STDEV.S(C4:C48)</f>
        <v>88.82014513508858</v>
      </c>
      <c r="I2" t="s">
        <v>149</v>
      </c>
      <c r="J2" s="3">
        <f>_xlfn.STDEV.S(J4:J543)</f>
        <v>166.97511358170786</v>
      </c>
    </row>
    <row r="3" spans="1:16" x14ac:dyDescent="0.3">
      <c r="B3" s="2" t="s">
        <v>137</v>
      </c>
      <c r="C3" s="2" t="s">
        <v>136</v>
      </c>
      <c r="D3" s="2" t="s">
        <v>22</v>
      </c>
      <c r="E3" s="2" t="s">
        <v>141</v>
      </c>
      <c r="F3" s="2"/>
      <c r="G3" s="2" t="s">
        <v>199</v>
      </c>
      <c r="H3" s="2" t="s">
        <v>137</v>
      </c>
      <c r="I3" s="2" t="s">
        <v>144</v>
      </c>
      <c r="J3" s="2" t="s">
        <v>200</v>
      </c>
      <c r="K3" s="2" t="s">
        <v>151</v>
      </c>
      <c r="L3" s="2" t="s">
        <v>196</v>
      </c>
      <c r="N3" s="2" t="s">
        <v>144</v>
      </c>
      <c r="O3" s="2" t="s">
        <v>148</v>
      </c>
      <c r="P3" s="2" t="s">
        <v>149</v>
      </c>
    </row>
    <row r="4" spans="1:16" x14ac:dyDescent="0.3">
      <c r="B4">
        <v>2015</v>
      </c>
      <c r="C4">
        <v>385</v>
      </c>
      <c r="D4">
        <v>12</v>
      </c>
      <c r="E4" s="3">
        <f>STANDARDIZE(C4,E$1,E$2)</f>
        <v>-1.815654167434567</v>
      </c>
      <c r="F4" s="3"/>
      <c r="G4" s="4">
        <v>2015.9166666666665</v>
      </c>
      <c r="H4">
        <v>2015</v>
      </c>
      <c r="I4">
        <v>12</v>
      </c>
      <c r="J4">
        <v>370</v>
      </c>
      <c r="K4" s="3">
        <f>STANDARDIZE(J4,O$15,P$15)</f>
        <v>-2.5110549318626658</v>
      </c>
      <c r="L4" s="3">
        <f>STANDARDIZE(J4,J$1,J$2)</f>
        <v>-1.0554577949063408</v>
      </c>
      <c r="N4" s="15">
        <v>1</v>
      </c>
      <c r="O4" s="4">
        <f>AVERAGEIFS(J$4:J$543,I$4:I$543,N4)</f>
        <v>525.42222222222222</v>
      </c>
      <c r="P4" s="3">
        <f t="array" ref="P4">_xlfn.STDEV.S(IF(I$4:I$543=N4,J$4:J$543))</f>
        <v>158.06493039957411</v>
      </c>
    </row>
    <row r="5" spans="1:16" x14ac:dyDescent="0.3">
      <c r="B5">
        <v>2014</v>
      </c>
      <c r="C5">
        <v>462</v>
      </c>
      <c r="D5">
        <v>12</v>
      </c>
      <c r="E5" s="3">
        <f t="shared" ref="E5:E48" si="0">STANDARDIZE(C5,E$1,E$2)</f>
        <v>-0.94873371956895092</v>
      </c>
      <c r="F5" s="3"/>
      <c r="G5" s="4">
        <v>2015.8333333333333</v>
      </c>
      <c r="H5">
        <v>2015</v>
      </c>
      <c r="I5">
        <v>11</v>
      </c>
      <c r="J5">
        <v>469</v>
      </c>
      <c r="K5" s="3">
        <f>STANDARDIZE(J5,O$14,P$14)</f>
        <v>-2.2944783369011503</v>
      </c>
      <c r="L5" s="3">
        <f t="shared" ref="L5:L68" si="1">STANDARDIZE(J5,J$1,J$2)</f>
        <v>-0.46255506900668036</v>
      </c>
      <c r="N5" s="15">
        <v>2</v>
      </c>
      <c r="O5" s="4">
        <f t="shared" ref="O5:O15" si="2">AVERAGEIFS(J$4:J$543,I$4:I$543,N5)</f>
        <v>363.04444444444442</v>
      </c>
      <c r="P5" s="3">
        <f t="array" ref="P5">_xlfn.STDEV.S(IF(I$4:I$543=N5,J$4:J$543))</f>
        <v>130.75931316658853</v>
      </c>
    </row>
    <row r="6" spans="1:16" x14ac:dyDescent="0.3">
      <c r="B6">
        <v>2013</v>
      </c>
      <c r="C6">
        <v>478</v>
      </c>
      <c r="D6">
        <v>12</v>
      </c>
      <c r="E6" s="3">
        <f t="shared" si="0"/>
        <v>-0.76859440572674509</v>
      </c>
      <c r="F6" s="3"/>
      <c r="G6" s="4">
        <v>2015.7499999999998</v>
      </c>
      <c r="H6">
        <v>2015</v>
      </c>
      <c r="I6">
        <v>10</v>
      </c>
      <c r="J6">
        <v>367</v>
      </c>
      <c r="K6" s="3">
        <f>STANDARDIZE(J6,O$13,P$13)</f>
        <v>-2.3654539703288799</v>
      </c>
      <c r="L6" s="3">
        <f t="shared" si="1"/>
        <v>-1.0734245441760275</v>
      </c>
      <c r="N6" s="15">
        <v>3</v>
      </c>
      <c r="O6" s="4">
        <f t="shared" si="2"/>
        <v>341.11111111111109</v>
      </c>
      <c r="P6" s="3">
        <f t="array" ref="P6">_xlfn.STDEV.S(IF(I$4:I$543=N6,J$4:J$543))</f>
        <v>119.14033402638748</v>
      </c>
    </row>
    <row r="7" spans="1:16" x14ac:dyDescent="0.3">
      <c r="B7">
        <v>2012</v>
      </c>
      <c r="C7">
        <v>559</v>
      </c>
      <c r="D7">
        <v>12</v>
      </c>
      <c r="E7" s="3">
        <f t="shared" si="0"/>
        <v>0.14336087059942237</v>
      </c>
      <c r="F7" s="3"/>
      <c r="G7" s="4">
        <v>2015.6666666666665</v>
      </c>
      <c r="H7">
        <v>2015</v>
      </c>
      <c r="I7">
        <v>9</v>
      </c>
      <c r="J7">
        <v>374</v>
      </c>
      <c r="K7" s="3">
        <f>STANDARDIZE(J7,O$12,P$12)</f>
        <v>-1.4974700652520767</v>
      </c>
      <c r="L7" s="3">
        <f t="shared" si="1"/>
        <v>-1.0315021292134252</v>
      </c>
      <c r="N7" s="15">
        <v>4</v>
      </c>
      <c r="O7" s="4">
        <f t="shared" si="2"/>
        <v>410.71111111111111</v>
      </c>
      <c r="P7" s="3">
        <f t="array" ref="P7">_xlfn.STDEV.S(IF(I$4:I$543=N7,J$4:J$543))</f>
        <v>109.20760509278196</v>
      </c>
    </row>
    <row r="8" spans="1:16" x14ac:dyDescent="0.3">
      <c r="B8">
        <v>2011</v>
      </c>
      <c r="C8">
        <v>722</v>
      </c>
      <c r="D8">
        <v>12</v>
      </c>
      <c r="E8" s="3">
        <f t="shared" si="0"/>
        <v>1.978530130366895</v>
      </c>
      <c r="F8" s="3"/>
      <c r="G8" s="4">
        <v>2015.5833333333333</v>
      </c>
      <c r="H8">
        <v>2015</v>
      </c>
      <c r="I8">
        <v>8</v>
      </c>
      <c r="J8">
        <v>353</v>
      </c>
      <c r="K8" s="3">
        <f>STANDARDIZE(J8,O$11,P$11)</f>
        <v>-1.5873409906160663</v>
      </c>
      <c r="L8" s="3">
        <f t="shared" si="1"/>
        <v>-1.1572693741012319</v>
      </c>
      <c r="N8" s="15">
        <v>5</v>
      </c>
      <c r="O8" s="4">
        <f t="shared" si="2"/>
        <v>541.93333333333328</v>
      </c>
      <c r="P8" s="3">
        <f t="array" ref="P8">_xlfn.STDEV.S(IF(I$4:I$543=N8,J$4:J$543))</f>
        <v>102.13947683081574</v>
      </c>
    </row>
    <row r="9" spans="1:16" x14ac:dyDescent="0.3">
      <c r="B9">
        <v>2010</v>
      </c>
      <c r="C9">
        <v>629</v>
      </c>
      <c r="D9">
        <v>12</v>
      </c>
      <c r="E9" s="3">
        <f t="shared" si="0"/>
        <v>0.93147036865907318</v>
      </c>
      <c r="F9" s="3"/>
      <c r="G9" s="4">
        <v>2015.4999999999998</v>
      </c>
      <c r="H9">
        <v>2015</v>
      </c>
      <c r="I9">
        <v>7</v>
      </c>
      <c r="J9">
        <v>369</v>
      </c>
      <c r="K9" s="3">
        <f>STANDARDIZE(J9,O$10,P$10)</f>
        <v>-1.7865046994215319</v>
      </c>
      <c r="L9" s="3">
        <f t="shared" si="1"/>
        <v>-1.0614467113295696</v>
      </c>
      <c r="N9" s="15">
        <v>6</v>
      </c>
      <c r="O9" s="4">
        <f t="shared" si="2"/>
        <v>617.24444444444441</v>
      </c>
      <c r="P9" s="3">
        <f t="array" ref="P9">_xlfn.STDEV.S(IF(I$4:I$543=N9,J$4:J$543))</f>
        <v>106.33825864911111</v>
      </c>
    </row>
    <row r="10" spans="1:16" x14ac:dyDescent="0.3">
      <c r="B10">
        <v>2009</v>
      </c>
      <c r="C10">
        <v>578</v>
      </c>
      <c r="D10">
        <v>12</v>
      </c>
      <c r="E10" s="3">
        <f t="shared" si="0"/>
        <v>0.35727630578704189</v>
      </c>
      <c r="F10" s="3"/>
      <c r="G10" s="4">
        <v>2015.4166666666665</v>
      </c>
      <c r="H10">
        <v>2015</v>
      </c>
      <c r="I10">
        <v>6</v>
      </c>
      <c r="J10">
        <v>475</v>
      </c>
      <c r="K10" s="3">
        <f>STANDARDIZE(J10,O$9,P$9)</f>
        <v>-1.3376600882078995</v>
      </c>
      <c r="L10" s="3">
        <f t="shared" si="1"/>
        <v>-0.42662157046730703</v>
      </c>
      <c r="N10" s="15">
        <v>7</v>
      </c>
      <c r="O10" s="4">
        <f t="shared" si="2"/>
        <v>594.66666666666663</v>
      </c>
      <c r="P10" s="3">
        <f t="array" ref="P10">_xlfn.STDEV.S(IF(I$4:I$543=N10,J$4:J$543))</f>
        <v>126.3174212414539</v>
      </c>
    </row>
    <row r="11" spans="1:16" x14ac:dyDescent="0.3">
      <c r="B11">
        <v>2008</v>
      </c>
      <c r="C11">
        <v>713</v>
      </c>
      <c r="D11">
        <v>12</v>
      </c>
      <c r="E11" s="3">
        <f t="shared" si="0"/>
        <v>1.8772017663306542</v>
      </c>
      <c r="F11" s="3"/>
      <c r="G11" s="4">
        <v>2015.3333333333333</v>
      </c>
      <c r="H11">
        <v>2015</v>
      </c>
      <c r="I11">
        <v>5</v>
      </c>
      <c r="J11">
        <v>424</v>
      </c>
      <c r="K11" s="3">
        <f>STANDARDIZE(J11,O$8,P$8)</f>
        <v>-1.1546302858852366</v>
      </c>
      <c r="L11" s="3">
        <f t="shared" si="1"/>
        <v>-0.73205630805198052</v>
      </c>
      <c r="N11" s="15">
        <v>8</v>
      </c>
      <c r="O11" s="4">
        <f t="shared" si="2"/>
        <v>554.04444444444448</v>
      </c>
      <c r="P11" s="3">
        <f t="array" ref="P11">_xlfn.STDEV.S(IF(I$4:I$543=N11,J$4:J$543))</f>
        <v>126.65485590869589</v>
      </c>
    </row>
    <row r="12" spans="1:16" x14ac:dyDescent="0.3">
      <c r="B12">
        <v>2007</v>
      </c>
      <c r="C12">
        <v>657</v>
      </c>
      <c r="D12">
        <v>12</v>
      </c>
      <c r="E12" s="3">
        <f t="shared" si="0"/>
        <v>1.2467141678829337</v>
      </c>
      <c r="F12" s="3"/>
      <c r="G12" s="4">
        <v>2015.2499999999998</v>
      </c>
      <c r="H12">
        <v>2015</v>
      </c>
      <c r="I12">
        <v>4</v>
      </c>
      <c r="J12">
        <v>408</v>
      </c>
      <c r="K12" s="3">
        <f>STANDARDIZE(J12,O$7,P$7)</f>
        <v>-2.4825295901395959E-2</v>
      </c>
      <c r="L12" s="3">
        <f t="shared" si="1"/>
        <v>-0.82787897082364281</v>
      </c>
      <c r="N12" s="15">
        <v>9</v>
      </c>
      <c r="O12" s="4">
        <f t="shared" si="2"/>
        <v>568.62222222222226</v>
      </c>
      <c r="P12" s="3">
        <f t="array" ref="P12">_xlfn.STDEV.S(IF(I$4:I$543=N12,J$4:J$543))</f>
        <v>129.9673540983008</v>
      </c>
    </row>
    <row r="13" spans="1:16" x14ac:dyDescent="0.3">
      <c r="B13">
        <v>2006</v>
      </c>
      <c r="C13">
        <v>632</v>
      </c>
      <c r="D13">
        <v>12</v>
      </c>
      <c r="E13" s="3">
        <f t="shared" si="0"/>
        <v>0.96524649000448681</v>
      </c>
      <c r="F13" s="3"/>
      <c r="G13" s="4">
        <v>2015.1666666666665</v>
      </c>
      <c r="H13">
        <v>2015</v>
      </c>
      <c r="I13">
        <v>3</v>
      </c>
      <c r="J13">
        <v>283</v>
      </c>
      <c r="K13" s="3">
        <f>STANDARDIZE(J13,O$6,P$6)</f>
        <v>-0.48775346809285008</v>
      </c>
      <c r="L13" s="3">
        <f t="shared" si="1"/>
        <v>-1.5764935237272546</v>
      </c>
      <c r="N13" s="15">
        <v>10</v>
      </c>
      <c r="O13" s="4">
        <f t="shared" si="2"/>
        <v>634.37777777777774</v>
      </c>
      <c r="P13" s="3">
        <f t="array" ref="P13">_xlfn.STDEV.S(IF(I$4:I$543=N13,J$4:J$543))</f>
        <v>113.03444545175527</v>
      </c>
    </row>
    <row r="14" spans="1:16" x14ac:dyDescent="0.3">
      <c r="B14">
        <v>2005</v>
      </c>
      <c r="C14">
        <v>585</v>
      </c>
      <c r="D14">
        <v>12</v>
      </c>
      <c r="E14" s="3">
        <f t="shared" si="0"/>
        <v>0.43608725559300698</v>
      </c>
      <c r="F14" s="3"/>
      <c r="G14" s="4">
        <v>2015.083333333333</v>
      </c>
      <c r="H14">
        <v>2015</v>
      </c>
      <c r="I14">
        <v>2</v>
      </c>
      <c r="J14">
        <v>341</v>
      </c>
      <c r="K14" s="3">
        <f>STANDARDIZE(J14,O$5,P$5)</f>
        <v>-0.16858794919150122</v>
      </c>
      <c r="L14" s="3">
        <f t="shared" si="1"/>
        <v>-1.2291363711799788</v>
      </c>
      <c r="N14" s="15">
        <v>11</v>
      </c>
      <c r="O14" s="4">
        <f t="shared" si="2"/>
        <v>707.24444444444441</v>
      </c>
      <c r="P14" s="3">
        <f t="array" ref="P14">_xlfn.STDEV.S(IF(I$4:I$543=N14,J$4:J$543))</f>
        <v>103.83381730516132</v>
      </c>
    </row>
    <row r="15" spans="1:16" x14ac:dyDescent="0.3">
      <c r="B15">
        <v>2004</v>
      </c>
      <c r="C15">
        <v>547</v>
      </c>
      <c r="D15">
        <v>12</v>
      </c>
      <c r="E15" s="3">
        <f t="shared" si="0"/>
        <v>8.2563852177679406E-3</v>
      </c>
      <c r="F15" s="3"/>
      <c r="G15" s="4">
        <v>2014.9999999999998</v>
      </c>
      <c r="H15">
        <v>2015</v>
      </c>
      <c r="I15">
        <v>1</v>
      </c>
      <c r="J15">
        <v>381</v>
      </c>
      <c r="K15" s="3">
        <f>STANDARDIZE(J15,O$4,P$4)</f>
        <v>-0.91368921529358638</v>
      </c>
      <c r="L15" s="3">
        <f t="shared" si="1"/>
        <v>-0.98957971425082303</v>
      </c>
      <c r="N15" s="15">
        <v>12</v>
      </c>
      <c r="O15" s="4">
        <f t="shared" si="2"/>
        <v>696.4</v>
      </c>
      <c r="P15" s="3">
        <f t="array" ref="P15">_xlfn.STDEV.S(IF(I$4:I$543=N15,J$4:J$543))</f>
        <v>129.9852089487668</v>
      </c>
    </row>
    <row r="16" spans="1:16" x14ac:dyDescent="0.3">
      <c r="B16">
        <v>2003</v>
      </c>
      <c r="C16">
        <v>514</v>
      </c>
      <c r="D16">
        <v>12</v>
      </c>
      <c r="E16" s="3">
        <f t="shared" si="0"/>
        <v>-0.36328094958178175</v>
      </c>
      <c r="F16" s="3"/>
      <c r="G16" s="4">
        <v>2014.9166666666665</v>
      </c>
      <c r="H16">
        <v>2014</v>
      </c>
      <c r="I16">
        <v>12</v>
      </c>
      <c r="J16">
        <v>626</v>
      </c>
      <c r="K16" s="3">
        <f>STANDARDIZE(J16,O$15,P$15)</f>
        <v>-0.54160008334292775</v>
      </c>
      <c r="L16" s="3">
        <f t="shared" si="1"/>
        <v>0.47770480944025584</v>
      </c>
    </row>
    <row r="17" spans="2:12" x14ac:dyDescent="0.3">
      <c r="B17">
        <v>2002</v>
      </c>
      <c r="C17">
        <v>483</v>
      </c>
      <c r="D17">
        <v>12</v>
      </c>
      <c r="E17" s="3">
        <f t="shared" si="0"/>
        <v>-0.7123008701510557</v>
      </c>
      <c r="F17" s="3"/>
      <c r="G17" s="4">
        <v>2014.8333333333333</v>
      </c>
      <c r="H17">
        <v>2014</v>
      </c>
      <c r="I17">
        <v>11</v>
      </c>
      <c r="J17">
        <v>617</v>
      </c>
      <c r="K17" s="3">
        <f>STANDARDIZE(J17,O$14,P$14)</f>
        <v>-0.86912382484428397</v>
      </c>
      <c r="L17" s="3">
        <f t="shared" si="1"/>
        <v>0.42380456163119579</v>
      </c>
    </row>
    <row r="18" spans="2:12" x14ac:dyDescent="0.3">
      <c r="B18">
        <v>2001</v>
      </c>
      <c r="C18">
        <v>462</v>
      </c>
      <c r="D18">
        <v>12</v>
      </c>
      <c r="E18" s="3">
        <f t="shared" si="0"/>
        <v>-0.94873371956895092</v>
      </c>
      <c r="F18" s="3"/>
      <c r="G18" s="4">
        <v>2014.75</v>
      </c>
      <c r="H18">
        <v>2014</v>
      </c>
      <c r="I18">
        <v>10</v>
      </c>
      <c r="J18">
        <v>543</v>
      </c>
      <c r="K18" s="3">
        <f>STANDARDIZE(J18,O$13,P$13)</f>
        <v>-0.80840647656186437</v>
      </c>
      <c r="L18" s="3">
        <f t="shared" si="1"/>
        <v>-1.9375253687742292E-2</v>
      </c>
    </row>
    <row r="19" spans="2:12" x14ac:dyDescent="0.3">
      <c r="B19">
        <v>2000</v>
      </c>
      <c r="C19">
        <v>655</v>
      </c>
      <c r="D19">
        <v>12</v>
      </c>
      <c r="E19" s="3">
        <f t="shared" si="0"/>
        <v>1.2241967536526579</v>
      </c>
      <c r="F19" s="3"/>
      <c r="G19" s="4">
        <v>2014.6666666666665</v>
      </c>
      <c r="H19">
        <v>2014</v>
      </c>
      <c r="I19">
        <v>9</v>
      </c>
      <c r="J19">
        <v>449</v>
      </c>
      <c r="K19" s="3">
        <f>STANDARDIZE(J19,O$12,P$12)</f>
        <v>-0.92040207367571703</v>
      </c>
      <c r="L19" s="3">
        <f t="shared" si="1"/>
        <v>-0.58233339747125823</v>
      </c>
    </row>
    <row r="20" spans="2:12" x14ac:dyDescent="0.3">
      <c r="B20">
        <v>1999</v>
      </c>
      <c r="C20">
        <v>735</v>
      </c>
      <c r="D20">
        <v>12</v>
      </c>
      <c r="E20" s="3">
        <f t="shared" si="0"/>
        <v>2.1248933228636875</v>
      </c>
      <c r="F20" s="3"/>
      <c r="G20" s="4">
        <v>2014.5833333333333</v>
      </c>
      <c r="H20">
        <v>2014</v>
      </c>
      <c r="I20">
        <v>8</v>
      </c>
      <c r="J20">
        <v>356</v>
      </c>
      <c r="K20" s="3">
        <f>STANDARDIZE(J20,O$11,P$11)</f>
        <v>-1.5636545715010923</v>
      </c>
      <c r="L20" s="3">
        <f t="shared" si="1"/>
        <v>-1.1393026248315452</v>
      </c>
    </row>
    <row r="21" spans="2:12" x14ac:dyDescent="0.3">
      <c r="B21">
        <v>1998</v>
      </c>
      <c r="C21">
        <v>540</v>
      </c>
      <c r="D21">
        <v>12</v>
      </c>
      <c r="E21" s="3">
        <f t="shared" si="0"/>
        <v>-7.0554564588197144E-2</v>
      </c>
      <c r="F21" s="3"/>
      <c r="G21" s="4">
        <v>2014.5</v>
      </c>
      <c r="H21">
        <v>2014</v>
      </c>
      <c r="I21">
        <v>7</v>
      </c>
      <c r="J21">
        <v>398</v>
      </c>
      <c r="K21" s="3">
        <f>STANDARDIZE(J21,O$10,P$10)</f>
        <v>-1.5569243318444665</v>
      </c>
      <c r="L21" s="3">
        <f t="shared" si="1"/>
        <v>-0.88776813505593177</v>
      </c>
    </row>
    <row r="22" spans="2:12" x14ac:dyDescent="0.3">
      <c r="B22">
        <v>1997</v>
      </c>
      <c r="C22">
        <v>436</v>
      </c>
      <c r="D22">
        <v>12</v>
      </c>
      <c r="E22" s="3">
        <f t="shared" si="0"/>
        <v>-1.2414601045625355</v>
      </c>
      <c r="F22" s="3"/>
      <c r="G22" s="4">
        <v>2014.4166666666665</v>
      </c>
      <c r="H22">
        <v>2014</v>
      </c>
      <c r="I22">
        <v>6</v>
      </c>
      <c r="J22">
        <v>520</v>
      </c>
      <c r="K22" s="3">
        <f>STANDARDIZE(J22,O$9,P$9)</f>
        <v>-0.91448219746879678</v>
      </c>
      <c r="L22" s="3">
        <f t="shared" si="1"/>
        <v>-0.15712033142200682</v>
      </c>
    </row>
    <row r="23" spans="2:12" x14ac:dyDescent="0.3">
      <c r="B23">
        <v>1996</v>
      </c>
      <c r="C23">
        <v>661</v>
      </c>
      <c r="D23">
        <v>12</v>
      </c>
      <c r="E23" s="3">
        <f t="shared" si="0"/>
        <v>1.2917489963434849</v>
      </c>
      <c r="F23" s="3"/>
      <c r="G23" s="4">
        <v>2014.3333333333333</v>
      </c>
      <c r="H23">
        <v>2014</v>
      </c>
      <c r="I23">
        <v>5</v>
      </c>
      <c r="J23">
        <v>509</v>
      </c>
      <c r="K23" s="3">
        <f>STANDARDIZE(J23,O$8,P$8)</f>
        <v>-0.32243491307366096</v>
      </c>
      <c r="L23" s="3">
        <f t="shared" si="1"/>
        <v>-0.22299841207752466</v>
      </c>
    </row>
    <row r="24" spans="2:12" x14ac:dyDescent="0.3">
      <c r="B24">
        <v>1995</v>
      </c>
      <c r="C24">
        <v>567</v>
      </c>
      <c r="D24">
        <v>12</v>
      </c>
      <c r="E24" s="3">
        <f t="shared" si="0"/>
        <v>0.23343052752052532</v>
      </c>
      <c r="F24" s="3"/>
      <c r="G24" s="4">
        <v>2014.25</v>
      </c>
      <c r="H24">
        <v>2014</v>
      </c>
      <c r="I24">
        <v>4</v>
      </c>
      <c r="J24">
        <v>348</v>
      </c>
      <c r="K24" s="3">
        <f>STANDARDIZE(J24,O$7,P$7)</f>
        <v>-0.57423758224376609</v>
      </c>
      <c r="L24" s="3">
        <f t="shared" si="1"/>
        <v>-1.1872139562173765</v>
      </c>
    </row>
    <row r="25" spans="2:12" x14ac:dyDescent="0.3">
      <c r="B25">
        <v>1994</v>
      </c>
      <c r="C25">
        <v>572</v>
      </c>
      <c r="D25">
        <v>12</v>
      </c>
      <c r="E25" s="3">
        <f t="shared" si="0"/>
        <v>0.28972406309621468</v>
      </c>
      <c r="F25" s="3"/>
      <c r="G25" s="4">
        <v>2014.1666666666665</v>
      </c>
      <c r="H25">
        <v>2014</v>
      </c>
      <c r="I25">
        <v>3</v>
      </c>
      <c r="J25">
        <v>386</v>
      </c>
      <c r="K25" s="3">
        <f>STANDARDIZE(J25,O$6,P$6)</f>
        <v>0.37677323347898972</v>
      </c>
      <c r="L25" s="3">
        <f t="shared" si="1"/>
        <v>-0.95963513213467855</v>
      </c>
    </row>
    <row r="26" spans="2:12" x14ac:dyDescent="0.3">
      <c r="B26">
        <v>1993</v>
      </c>
      <c r="C26">
        <v>510</v>
      </c>
      <c r="D26">
        <v>12</v>
      </c>
      <c r="E26" s="3">
        <f t="shared" si="0"/>
        <v>-0.40831577804233321</v>
      </c>
      <c r="F26" s="3"/>
      <c r="G26" s="4">
        <v>2014.0833333333333</v>
      </c>
      <c r="H26">
        <v>2014</v>
      </c>
      <c r="I26">
        <v>2</v>
      </c>
      <c r="J26">
        <v>322</v>
      </c>
      <c r="K26" s="3">
        <f>STANDARDIZE(J26,O$5,P$5)</f>
        <v>-0.31389308685151501</v>
      </c>
      <c r="L26" s="3">
        <f t="shared" si="1"/>
        <v>-1.3429257832213277</v>
      </c>
    </row>
    <row r="27" spans="2:12" x14ac:dyDescent="0.3">
      <c r="B27">
        <v>1992</v>
      </c>
      <c r="C27">
        <v>387</v>
      </c>
      <c r="D27">
        <v>12</v>
      </c>
      <c r="E27" s="3">
        <f t="shared" si="0"/>
        <v>-1.7931367532042912</v>
      </c>
      <c r="F27" s="3"/>
      <c r="G27" s="4">
        <v>2014</v>
      </c>
      <c r="H27">
        <v>2014</v>
      </c>
      <c r="I27">
        <v>1</v>
      </c>
      <c r="J27">
        <v>466</v>
      </c>
      <c r="K27" s="3">
        <f>STANDARDIZE(J27,O$4,P$4)</f>
        <v>-0.37593552264887675</v>
      </c>
      <c r="L27" s="3">
        <f t="shared" si="1"/>
        <v>-0.48052181827636709</v>
      </c>
    </row>
    <row r="28" spans="2:12" x14ac:dyDescent="0.3">
      <c r="B28">
        <v>1991</v>
      </c>
      <c r="C28">
        <v>432</v>
      </c>
      <c r="D28">
        <v>12</v>
      </c>
      <c r="E28" s="3">
        <f t="shared" si="0"/>
        <v>-1.286494933023087</v>
      </c>
      <c r="F28" s="3"/>
      <c r="G28" s="4">
        <v>2013.9166666666599</v>
      </c>
      <c r="H28">
        <v>2013</v>
      </c>
      <c r="I28">
        <v>12</v>
      </c>
      <c r="J28">
        <v>622</v>
      </c>
      <c r="K28" s="3">
        <f>STANDARDIZE(J28,O$15,P$15)</f>
        <v>-0.57237281535104867</v>
      </c>
      <c r="L28" s="3">
        <f t="shared" si="1"/>
        <v>0.45374914374734027</v>
      </c>
    </row>
    <row r="29" spans="2:12" x14ac:dyDescent="0.3">
      <c r="B29">
        <v>1990</v>
      </c>
      <c r="C29">
        <v>483</v>
      </c>
      <c r="D29">
        <v>12</v>
      </c>
      <c r="E29" s="3">
        <f t="shared" si="0"/>
        <v>-0.7123008701510557</v>
      </c>
      <c r="F29" s="3"/>
      <c r="G29" s="4">
        <v>2013.8333333333301</v>
      </c>
      <c r="H29">
        <v>2013</v>
      </c>
      <c r="I29">
        <v>11</v>
      </c>
      <c r="J29">
        <v>629</v>
      </c>
      <c r="K29" s="3">
        <f>STANDARDIZE(J29,O$14,P$14)</f>
        <v>-0.75355454008291645</v>
      </c>
      <c r="L29" s="3">
        <f t="shared" si="1"/>
        <v>0.49567155870994251</v>
      </c>
    </row>
    <row r="30" spans="2:12" x14ac:dyDescent="0.3">
      <c r="B30">
        <v>1989</v>
      </c>
      <c r="C30">
        <v>575</v>
      </c>
      <c r="D30">
        <v>12</v>
      </c>
      <c r="E30" s="3">
        <f t="shared" si="0"/>
        <v>0.32350018444162826</v>
      </c>
      <c r="F30" s="3"/>
      <c r="G30" s="4">
        <v>2013.75</v>
      </c>
      <c r="H30">
        <v>2013</v>
      </c>
      <c r="I30">
        <v>10</v>
      </c>
      <c r="J30">
        <v>591</v>
      </c>
      <c r="K30" s="3">
        <f>STANDARDIZE(J30,O$13,P$13)</f>
        <v>-0.38375716007995098</v>
      </c>
      <c r="L30" s="3">
        <f t="shared" si="1"/>
        <v>0.26809273462724459</v>
      </c>
    </row>
    <row r="31" spans="2:12" x14ac:dyDescent="0.3">
      <c r="B31">
        <v>1988</v>
      </c>
      <c r="C31">
        <v>559</v>
      </c>
      <c r="D31">
        <v>12</v>
      </c>
      <c r="E31" s="3">
        <f t="shared" si="0"/>
        <v>0.14336087059942237</v>
      </c>
      <c r="F31" s="3"/>
      <c r="G31" s="4">
        <v>2013.6666666666599</v>
      </c>
      <c r="H31">
        <v>2013</v>
      </c>
      <c r="I31">
        <v>9</v>
      </c>
      <c r="J31">
        <v>563</v>
      </c>
      <c r="K31" s="3">
        <f>STANDARDIZE(J31,O$12,P$12)</f>
        <v>-4.3258726479650386E-2</v>
      </c>
      <c r="L31" s="3">
        <f t="shared" si="1"/>
        <v>0.10040307477683556</v>
      </c>
    </row>
    <row r="32" spans="2:12" x14ac:dyDescent="0.3">
      <c r="B32">
        <v>1987</v>
      </c>
      <c r="C32">
        <v>477</v>
      </c>
      <c r="D32">
        <v>12</v>
      </c>
      <c r="E32" s="3">
        <f t="shared" si="0"/>
        <v>-0.77985311284188286</v>
      </c>
      <c r="F32" s="3"/>
      <c r="G32" s="4">
        <v>2013.5833333333301</v>
      </c>
      <c r="H32">
        <v>2013</v>
      </c>
      <c r="I32">
        <v>8</v>
      </c>
      <c r="J32">
        <v>453</v>
      </c>
      <c r="K32" s="3">
        <f>STANDARDIZE(J32,O$11,P$11)</f>
        <v>-0.79779368678360285</v>
      </c>
      <c r="L32" s="3">
        <f t="shared" si="1"/>
        <v>-0.55837773177834271</v>
      </c>
    </row>
    <row r="33" spans="2:12" x14ac:dyDescent="0.3">
      <c r="B33">
        <v>1986</v>
      </c>
      <c r="C33">
        <v>500</v>
      </c>
      <c r="D33">
        <v>12</v>
      </c>
      <c r="E33" s="3">
        <f t="shared" si="0"/>
        <v>-0.52090284919371188</v>
      </c>
      <c r="F33" s="3"/>
      <c r="G33" s="4">
        <v>2013.5</v>
      </c>
      <c r="H33">
        <v>2013</v>
      </c>
      <c r="I33">
        <v>7</v>
      </c>
      <c r="J33">
        <v>520</v>
      </c>
      <c r="K33" s="3">
        <f>STANDARDIZE(J33,O$10,P$10)</f>
        <v>-0.59110347514094974</v>
      </c>
      <c r="L33" s="3">
        <f t="shared" si="1"/>
        <v>-0.15712033142200682</v>
      </c>
    </row>
    <row r="34" spans="2:12" x14ac:dyDescent="0.3">
      <c r="B34">
        <v>1985</v>
      </c>
      <c r="C34">
        <v>478</v>
      </c>
      <c r="D34">
        <v>12</v>
      </c>
      <c r="E34" s="3">
        <f t="shared" si="0"/>
        <v>-0.76859440572674509</v>
      </c>
      <c r="F34" s="3"/>
      <c r="G34" s="4">
        <v>2013.4166666666599</v>
      </c>
      <c r="H34">
        <v>2013</v>
      </c>
      <c r="I34">
        <v>6</v>
      </c>
      <c r="J34">
        <v>612</v>
      </c>
      <c r="K34" s="3">
        <f>STANDARDIZE(J34,O$9,P$9)</f>
        <v>-4.9318509735519822E-2</v>
      </c>
      <c r="L34" s="3">
        <f t="shared" si="1"/>
        <v>0.39385997951505131</v>
      </c>
    </row>
    <row r="35" spans="2:12" x14ac:dyDescent="0.3">
      <c r="B35">
        <v>1984</v>
      </c>
      <c r="C35">
        <v>605</v>
      </c>
      <c r="D35">
        <v>12</v>
      </c>
      <c r="E35" s="3">
        <f t="shared" si="0"/>
        <v>0.66126139789576432</v>
      </c>
      <c r="F35" s="3"/>
      <c r="G35" s="4">
        <v>2013.3333333333301</v>
      </c>
      <c r="H35">
        <v>2013</v>
      </c>
      <c r="I35">
        <v>5</v>
      </c>
      <c r="J35">
        <v>496</v>
      </c>
      <c r="K35" s="3">
        <f>STANDARDIZE(J35,O$8,P$8)</f>
        <v>-0.44971185244484313</v>
      </c>
      <c r="L35" s="3">
        <f t="shared" si="1"/>
        <v>-0.30085432557950026</v>
      </c>
    </row>
    <row r="36" spans="2:12" x14ac:dyDescent="0.3">
      <c r="B36">
        <v>1983</v>
      </c>
      <c r="C36">
        <v>467</v>
      </c>
      <c r="D36">
        <v>12</v>
      </c>
      <c r="E36" s="3">
        <f t="shared" si="0"/>
        <v>-0.89244018399326164</v>
      </c>
      <c r="F36" s="3"/>
      <c r="G36" s="4">
        <v>2013.25</v>
      </c>
      <c r="H36">
        <v>2013</v>
      </c>
      <c r="I36">
        <v>4</v>
      </c>
      <c r="J36">
        <v>361</v>
      </c>
      <c r="K36" s="3">
        <f>STANDARDIZE(J36,O$7,P$7)</f>
        <v>-0.45519825353625254</v>
      </c>
      <c r="L36" s="3">
        <f t="shared" si="1"/>
        <v>-1.1093580427154008</v>
      </c>
    </row>
    <row r="37" spans="2:12" x14ac:dyDescent="0.3">
      <c r="B37">
        <v>1982</v>
      </c>
      <c r="C37">
        <v>586</v>
      </c>
      <c r="D37">
        <v>12</v>
      </c>
      <c r="E37" s="3">
        <f t="shared" si="0"/>
        <v>0.44734596270814486</v>
      </c>
      <c r="F37" s="3"/>
      <c r="G37" s="4">
        <v>2013.1666666666599</v>
      </c>
      <c r="H37">
        <v>2013</v>
      </c>
      <c r="I37">
        <v>3</v>
      </c>
      <c r="J37">
        <v>324</v>
      </c>
      <c r="K37" s="3">
        <f>STANDARDIZE(J37,O$6,P$6)</f>
        <v>-0.14362148008852549</v>
      </c>
      <c r="L37" s="3">
        <f t="shared" si="1"/>
        <v>-1.3309479503748698</v>
      </c>
    </row>
    <row r="38" spans="2:12" x14ac:dyDescent="0.3">
      <c r="B38">
        <v>1981</v>
      </c>
      <c r="C38">
        <v>592</v>
      </c>
      <c r="D38">
        <v>12</v>
      </c>
      <c r="E38" s="3">
        <f t="shared" si="0"/>
        <v>0.51489820539897202</v>
      </c>
      <c r="F38" s="3"/>
      <c r="G38" s="4">
        <v>2013.0833333333301</v>
      </c>
      <c r="H38">
        <v>2013</v>
      </c>
      <c r="I38">
        <v>2</v>
      </c>
      <c r="J38">
        <v>262</v>
      </c>
      <c r="K38" s="3">
        <f>STANDARDIZE(J38,O$5,P$5)</f>
        <v>-0.7727514163041902</v>
      </c>
      <c r="L38" s="3">
        <f t="shared" si="1"/>
        <v>-1.7022607686150613</v>
      </c>
    </row>
    <row r="39" spans="2:12" x14ac:dyDescent="0.3">
      <c r="B39">
        <v>1980</v>
      </c>
      <c r="C39">
        <v>459</v>
      </c>
      <c r="D39">
        <v>12</v>
      </c>
      <c r="E39" s="3">
        <f t="shared" si="0"/>
        <v>-0.98250984091436455</v>
      </c>
      <c r="F39" s="3"/>
      <c r="G39" s="4">
        <v>2013</v>
      </c>
      <c r="H39">
        <v>2013</v>
      </c>
      <c r="I39">
        <v>1</v>
      </c>
      <c r="J39">
        <v>303</v>
      </c>
      <c r="K39" s="3">
        <f>STANDARDIZE(J39,O$4,P$4)</f>
        <v>-1.4071573097204964</v>
      </c>
      <c r="L39" s="3">
        <f t="shared" si="1"/>
        <v>-1.4567151952626767</v>
      </c>
    </row>
    <row r="40" spans="2:12" x14ac:dyDescent="0.3">
      <c r="B40">
        <v>1979</v>
      </c>
      <c r="C40">
        <v>522</v>
      </c>
      <c r="D40">
        <v>12</v>
      </c>
      <c r="E40" s="3">
        <f t="shared" si="0"/>
        <v>-0.27321129266067878</v>
      </c>
      <c r="F40" s="3"/>
      <c r="G40" s="4">
        <v>2012.9166666666599</v>
      </c>
      <c r="H40">
        <v>2012</v>
      </c>
      <c r="I40">
        <v>12</v>
      </c>
      <c r="J40">
        <v>532</v>
      </c>
      <c r="K40" s="3">
        <f>STANDARDIZE(J40,O$15,P$15)</f>
        <v>-1.264759285533769</v>
      </c>
      <c r="L40" s="3">
        <f t="shared" si="1"/>
        <v>-8.5253334343260115E-2</v>
      </c>
    </row>
    <row r="41" spans="2:12" x14ac:dyDescent="0.3">
      <c r="B41">
        <v>1978</v>
      </c>
      <c r="C41">
        <v>503</v>
      </c>
      <c r="D41">
        <v>12</v>
      </c>
      <c r="E41" s="3">
        <f t="shared" si="0"/>
        <v>-0.4871267278482983</v>
      </c>
      <c r="F41" s="3"/>
      <c r="G41" s="4">
        <v>2012.8333333333301</v>
      </c>
      <c r="H41">
        <v>2012</v>
      </c>
      <c r="I41">
        <v>11</v>
      </c>
      <c r="J41">
        <v>592</v>
      </c>
      <c r="K41" s="3">
        <f>STANDARDIZE(J41,O$14,P$14)</f>
        <v>-1.1098931680971331</v>
      </c>
      <c r="L41" s="3">
        <f t="shared" si="1"/>
        <v>0.2740816510504735</v>
      </c>
    </row>
    <row r="42" spans="2:12" x14ac:dyDescent="0.3">
      <c r="B42">
        <v>1977</v>
      </c>
      <c r="C42">
        <v>418</v>
      </c>
      <c r="D42">
        <v>12</v>
      </c>
      <c r="E42" s="3">
        <f t="shared" si="0"/>
        <v>-1.4441168326350171</v>
      </c>
      <c r="F42" s="3"/>
      <c r="G42" s="4">
        <v>2012.75</v>
      </c>
      <c r="H42">
        <v>2012</v>
      </c>
      <c r="I42">
        <v>10</v>
      </c>
      <c r="J42">
        <v>506</v>
      </c>
      <c r="K42" s="3">
        <f>STANDARDIZE(J42,O$13,P$13)</f>
        <v>-1.1357403246833393</v>
      </c>
      <c r="L42" s="3">
        <f t="shared" si="1"/>
        <v>-0.24096516134721133</v>
      </c>
    </row>
    <row r="43" spans="2:12" x14ac:dyDescent="0.3">
      <c r="B43">
        <v>1976</v>
      </c>
      <c r="C43">
        <v>516</v>
      </c>
      <c r="D43">
        <v>12</v>
      </c>
      <c r="E43" s="3">
        <f t="shared" si="0"/>
        <v>-0.340763535351506</v>
      </c>
      <c r="F43" s="3"/>
      <c r="G43" s="4">
        <v>2012.6666666666599</v>
      </c>
      <c r="H43">
        <v>2012</v>
      </c>
      <c r="I43">
        <v>9</v>
      </c>
      <c r="J43">
        <v>511</v>
      </c>
      <c r="K43" s="3">
        <f>STANDARDIZE(J43,O$12,P$12)</f>
        <v>-0.44335920063925977</v>
      </c>
      <c r="L43" s="3">
        <f t="shared" si="1"/>
        <v>-0.21102057923106687</v>
      </c>
    </row>
    <row r="44" spans="2:12" x14ac:dyDescent="0.3">
      <c r="B44">
        <v>1975</v>
      </c>
      <c r="C44">
        <v>587</v>
      </c>
      <c r="D44">
        <v>12</v>
      </c>
      <c r="E44" s="3">
        <f t="shared" si="0"/>
        <v>0.45860466982328268</v>
      </c>
      <c r="F44" s="3"/>
      <c r="G44" s="4">
        <v>2012.5833333333301</v>
      </c>
      <c r="H44">
        <v>2012</v>
      </c>
      <c r="I44">
        <v>8</v>
      </c>
      <c r="J44">
        <v>493</v>
      </c>
      <c r="K44" s="3">
        <f>STANDARDIZE(J44,O$11,P$11)</f>
        <v>-0.48197476525061744</v>
      </c>
      <c r="L44" s="3">
        <f t="shared" si="1"/>
        <v>-0.31882107484918693</v>
      </c>
    </row>
    <row r="45" spans="2:12" x14ac:dyDescent="0.3">
      <c r="B45">
        <v>1974</v>
      </c>
      <c r="C45">
        <v>618</v>
      </c>
      <c r="D45">
        <v>12</v>
      </c>
      <c r="E45" s="3">
        <f t="shared" si="0"/>
        <v>0.80762459039255663</v>
      </c>
      <c r="F45" s="3"/>
      <c r="G45" s="4">
        <v>2012.5</v>
      </c>
      <c r="H45">
        <v>2012</v>
      </c>
      <c r="I45">
        <v>7</v>
      </c>
      <c r="J45">
        <v>506</v>
      </c>
      <c r="K45" s="3">
        <f>STANDARDIZE(J45,O$10,P$10)</f>
        <v>-0.70193537672987794</v>
      </c>
      <c r="L45" s="3">
        <f t="shared" si="1"/>
        <v>-0.24096516134721133</v>
      </c>
    </row>
    <row r="46" spans="2:12" x14ac:dyDescent="0.3">
      <c r="B46">
        <v>1973</v>
      </c>
      <c r="C46">
        <v>486</v>
      </c>
      <c r="D46">
        <v>12</v>
      </c>
      <c r="E46" s="3">
        <f t="shared" si="0"/>
        <v>-0.67852474880564206</v>
      </c>
      <c r="F46" s="3"/>
      <c r="G46" s="4">
        <v>2012.4166666666599</v>
      </c>
      <c r="H46">
        <v>2012</v>
      </c>
      <c r="I46">
        <v>6</v>
      </c>
      <c r="J46">
        <v>655</v>
      </c>
      <c r="K46" s="3">
        <f>STANDARDIZE(J46,O$9,P$9)</f>
        <v>0.35505147474851179</v>
      </c>
      <c r="L46" s="3">
        <f t="shared" si="1"/>
        <v>0.65138338571389376</v>
      </c>
    </row>
    <row r="47" spans="2:12" x14ac:dyDescent="0.3">
      <c r="B47">
        <v>1972</v>
      </c>
      <c r="C47">
        <v>537</v>
      </c>
      <c r="D47">
        <v>12</v>
      </c>
      <c r="E47" s="3">
        <f t="shared" si="0"/>
        <v>-0.10433068593361075</v>
      </c>
      <c r="F47" s="3"/>
      <c r="G47" s="4">
        <v>2012.3333333333301</v>
      </c>
      <c r="H47">
        <v>2012</v>
      </c>
      <c r="I47">
        <v>5</v>
      </c>
      <c r="J47">
        <v>692</v>
      </c>
      <c r="K47" s="3">
        <f>STANDARDIZE(J47,O$8,P$8)</f>
        <v>1.4692327719206726</v>
      </c>
      <c r="L47" s="3">
        <f t="shared" si="1"/>
        <v>0.87297329337336282</v>
      </c>
    </row>
    <row r="48" spans="2:12" x14ac:dyDescent="0.3">
      <c r="B48">
        <v>1971</v>
      </c>
      <c r="C48">
        <v>713</v>
      </c>
      <c r="D48">
        <v>12</v>
      </c>
      <c r="E48" s="3">
        <f t="shared" si="0"/>
        <v>1.8772017663306542</v>
      </c>
      <c r="F48" s="3"/>
      <c r="G48" s="4">
        <v>2012.24999999999</v>
      </c>
      <c r="H48">
        <v>2012</v>
      </c>
      <c r="I48">
        <v>4</v>
      </c>
      <c r="J48">
        <v>516</v>
      </c>
      <c r="K48" s="3">
        <f>STANDARDIZE(J48,O$7,P$7)</f>
        <v>0.96411681951487027</v>
      </c>
      <c r="L48" s="3">
        <f t="shared" si="1"/>
        <v>-0.18107599711492239</v>
      </c>
    </row>
    <row r="49" spans="6:12" x14ac:dyDescent="0.3">
      <c r="F49" s="3"/>
      <c r="G49" s="4">
        <v>2012.1666666666599</v>
      </c>
      <c r="H49">
        <v>2012</v>
      </c>
      <c r="I49">
        <v>3</v>
      </c>
      <c r="J49">
        <v>385</v>
      </c>
      <c r="K49" s="3">
        <f>STANDARDIZE(J49,O$6,P$6)</f>
        <v>0.36837977035693303</v>
      </c>
      <c r="L49" s="3">
        <f t="shared" si="1"/>
        <v>-0.9656240485579074</v>
      </c>
    </row>
    <row r="50" spans="6:12" x14ac:dyDescent="0.3">
      <c r="F50" s="3"/>
      <c r="G50" s="4">
        <v>2012.0833333333301</v>
      </c>
      <c r="H50">
        <v>2012</v>
      </c>
      <c r="I50">
        <v>2</v>
      </c>
      <c r="J50">
        <v>539</v>
      </c>
      <c r="K50" s="3">
        <f>STANDARDIZE(J50,O$5,P$5)</f>
        <v>1.3456445380023268</v>
      </c>
      <c r="L50" s="3">
        <f t="shared" si="1"/>
        <v>-4.3330919380657862E-2</v>
      </c>
    </row>
    <row r="51" spans="6:12" x14ac:dyDescent="0.3">
      <c r="G51" s="4">
        <v>2012</v>
      </c>
      <c r="H51">
        <v>2012</v>
      </c>
      <c r="I51">
        <v>1</v>
      </c>
      <c r="J51">
        <v>784</v>
      </c>
      <c r="K51" s="3">
        <f>STANDARDIZE(J51,O$4,P$4)</f>
        <v>1.6358959392454488</v>
      </c>
      <c r="L51" s="3">
        <f t="shared" si="1"/>
        <v>1.4239536043104208</v>
      </c>
    </row>
    <row r="52" spans="6:12" x14ac:dyDescent="0.3">
      <c r="G52" s="4">
        <v>2011.9166666666599</v>
      </c>
      <c r="H52">
        <v>2011</v>
      </c>
      <c r="I52">
        <v>12</v>
      </c>
      <c r="J52">
        <v>894</v>
      </c>
      <c r="K52" s="3">
        <f>STANDARDIZE(J52,O$15,P$15)</f>
        <v>1.520172961201173</v>
      </c>
      <c r="L52" s="3">
        <f t="shared" si="1"/>
        <v>2.0827344108655992</v>
      </c>
    </row>
    <row r="53" spans="6:12" x14ac:dyDescent="0.3">
      <c r="G53" s="4">
        <v>2011.8333333333301</v>
      </c>
      <c r="H53">
        <v>2011</v>
      </c>
      <c r="I53">
        <v>11</v>
      </c>
      <c r="J53">
        <v>789</v>
      </c>
      <c r="K53" s="3">
        <f>STANDARDIZE(J53,O$14,P$14)</f>
        <v>0.78736925673531721</v>
      </c>
      <c r="L53" s="3">
        <f t="shared" si="1"/>
        <v>1.4538981864265654</v>
      </c>
    </row>
    <row r="54" spans="6:12" x14ac:dyDescent="0.3">
      <c r="G54" s="4">
        <v>2011.74999999999</v>
      </c>
      <c r="H54">
        <v>2011</v>
      </c>
      <c r="I54">
        <v>10</v>
      </c>
      <c r="J54">
        <v>687</v>
      </c>
      <c r="K54" s="3">
        <f>STANDARDIZE(J54,O$13,P$13)</f>
        <v>0.46554147288387576</v>
      </c>
      <c r="L54" s="3">
        <f t="shared" si="1"/>
        <v>0.84302871125721834</v>
      </c>
    </row>
    <row r="55" spans="6:12" x14ac:dyDescent="0.3">
      <c r="G55" s="4">
        <v>2011.6666666666599</v>
      </c>
      <c r="H55">
        <v>2011</v>
      </c>
      <c r="I55">
        <v>9</v>
      </c>
      <c r="J55">
        <v>662</v>
      </c>
      <c r="K55" s="3">
        <f>STANDARDIZE(J55,O$12,P$12)</f>
        <v>0.71847102240114435</v>
      </c>
      <c r="L55" s="3">
        <f t="shared" si="1"/>
        <v>0.69330580067649594</v>
      </c>
    </row>
    <row r="56" spans="6:12" x14ac:dyDescent="0.3">
      <c r="G56" s="4">
        <v>2011.5833333333301</v>
      </c>
      <c r="H56">
        <v>2011</v>
      </c>
      <c r="I56">
        <v>8</v>
      </c>
      <c r="J56">
        <v>718</v>
      </c>
      <c r="K56" s="3">
        <f>STANDARDIZE(J56,O$11,P$11)</f>
        <v>1.2945066683724253</v>
      </c>
      <c r="L56" s="3">
        <f t="shared" si="1"/>
        <v>1.028685120377314</v>
      </c>
    </row>
    <row r="57" spans="6:12" x14ac:dyDescent="0.3">
      <c r="G57" s="4">
        <v>2011.49999999999</v>
      </c>
      <c r="H57">
        <v>2011</v>
      </c>
      <c r="I57">
        <v>7</v>
      </c>
      <c r="J57">
        <v>780</v>
      </c>
      <c r="K57" s="3">
        <f>STANDARDIZE(J57,O$10,P$10)</f>
        <v>1.46720326865343</v>
      </c>
      <c r="L57" s="3">
        <f t="shared" si="1"/>
        <v>1.3999979386175054</v>
      </c>
    </row>
    <row r="58" spans="6:12" x14ac:dyDescent="0.3">
      <c r="G58" s="4">
        <v>2011.4166666666599</v>
      </c>
      <c r="H58">
        <v>2011</v>
      </c>
      <c r="I58">
        <v>6</v>
      </c>
      <c r="J58">
        <v>865</v>
      </c>
      <c r="K58" s="3">
        <f>STANDARDIZE(J58,O$9,P$9)</f>
        <v>2.3298816315309918</v>
      </c>
      <c r="L58" s="3">
        <f t="shared" si="1"/>
        <v>1.9090558345919613</v>
      </c>
    </row>
    <row r="59" spans="6:12" x14ac:dyDescent="0.3">
      <c r="G59" s="4">
        <v>2011.3333333333301</v>
      </c>
      <c r="H59">
        <v>2011</v>
      </c>
      <c r="I59">
        <v>5</v>
      </c>
      <c r="J59">
        <v>820</v>
      </c>
      <c r="K59" s="3">
        <f>STANDARDIZE(J59,O$8,P$8)</f>
        <v>2.7224210980369277</v>
      </c>
      <c r="L59" s="3">
        <f t="shared" si="1"/>
        <v>1.6395545955466611</v>
      </c>
    </row>
    <row r="60" spans="6:12" x14ac:dyDescent="0.3">
      <c r="G60" s="4">
        <v>2011.24999999999</v>
      </c>
      <c r="H60">
        <v>2011</v>
      </c>
      <c r="I60">
        <v>4</v>
      </c>
      <c r="J60">
        <v>614</v>
      </c>
      <c r="K60" s="3">
        <f>STANDARDIZE(J60,O$7,P$7)</f>
        <v>1.8614902205407415</v>
      </c>
      <c r="L60" s="3">
        <f t="shared" si="1"/>
        <v>0.40583781236150912</v>
      </c>
    </row>
    <row r="61" spans="6:12" x14ac:dyDescent="0.3">
      <c r="G61" s="4">
        <v>2011.1666666666599</v>
      </c>
      <c r="H61">
        <v>2011</v>
      </c>
      <c r="I61">
        <v>3</v>
      </c>
      <c r="J61">
        <v>517</v>
      </c>
      <c r="K61" s="3">
        <f>STANDARDIZE(J61,O$6,P$6)</f>
        <v>1.4763169024684171</v>
      </c>
      <c r="L61" s="3">
        <f t="shared" si="1"/>
        <v>-0.17508708069169351</v>
      </c>
    </row>
    <row r="62" spans="6:12" x14ac:dyDescent="0.3">
      <c r="G62" s="4">
        <v>2011.0833333333301</v>
      </c>
      <c r="H62">
        <v>2011</v>
      </c>
      <c r="I62">
        <v>2</v>
      </c>
      <c r="J62">
        <v>524</v>
      </c>
      <c r="K62" s="3">
        <f>STANDARDIZE(J62,O$5,P$5)</f>
        <v>1.230929955639158</v>
      </c>
      <c r="L62" s="3">
        <f t="shared" si="1"/>
        <v>-0.13316466572909127</v>
      </c>
    </row>
    <row r="63" spans="6:12" x14ac:dyDescent="0.3">
      <c r="G63" s="4">
        <v>2011</v>
      </c>
      <c r="H63">
        <v>2011</v>
      </c>
      <c r="I63">
        <v>1</v>
      </c>
      <c r="J63">
        <v>790</v>
      </c>
      <c r="K63" s="3">
        <f>STANDARDIZE(J63,O$4,P$4)</f>
        <v>1.6738550234321341</v>
      </c>
      <c r="L63" s="3">
        <f t="shared" si="1"/>
        <v>1.4598871028497944</v>
      </c>
    </row>
    <row r="64" spans="6:12" x14ac:dyDescent="0.3">
      <c r="G64" s="4">
        <v>2010.9166666666599</v>
      </c>
      <c r="H64">
        <v>2010</v>
      </c>
      <c r="I64">
        <v>12</v>
      </c>
      <c r="J64">
        <v>923</v>
      </c>
      <c r="K64" s="3">
        <f>STANDARDIZE(J64,O$15,P$15)</f>
        <v>1.7432752682600494</v>
      </c>
      <c r="L64" s="3">
        <f t="shared" si="1"/>
        <v>2.2564129871392371</v>
      </c>
    </row>
    <row r="65" spans="7:12" x14ac:dyDescent="0.3">
      <c r="G65" s="4">
        <v>2010.8333333333301</v>
      </c>
      <c r="H65">
        <v>2010</v>
      </c>
      <c r="I65">
        <v>11</v>
      </c>
      <c r="J65">
        <v>911</v>
      </c>
      <c r="K65" s="3">
        <f>STANDARDIZE(J65,O$14,P$14)</f>
        <v>1.9623236518092204</v>
      </c>
      <c r="L65" s="3">
        <f t="shared" si="1"/>
        <v>2.1845459900604904</v>
      </c>
    </row>
    <row r="66" spans="7:12" x14ac:dyDescent="0.3">
      <c r="G66" s="4">
        <v>2010.74999999999</v>
      </c>
      <c r="H66">
        <v>2010</v>
      </c>
      <c r="I66">
        <v>10</v>
      </c>
      <c r="J66">
        <v>910</v>
      </c>
      <c r="K66" s="3">
        <f>STANDARDIZE(J66,O$13,P$13)</f>
        <v>2.438391422372765</v>
      </c>
      <c r="L66" s="3">
        <f t="shared" si="1"/>
        <v>2.1785570736372613</v>
      </c>
    </row>
    <row r="67" spans="7:12" x14ac:dyDescent="0.3">
      <c r="G67" s="4">
        <v>2010.6666666666599</v>
      </c>
      <c r="H67">
        <v>2010</v>
      </c>
      <c r="I67">
        <v>9</v>
      </c>
      <c r="J67">
        <v>865</v>
      </c>
      <c r="K67" s="3">
        <f>STANDARDIZE(J67,O$12,P$12)</f>
        <v>2.2804017196011577</v>
      </c>
      <c r="L67" s="3">
        <f t="shared" si="1"/>
        <v>1.9090558345919613</v>
      </c>
    </row>
    <row r="68" spans="7:12" x14ac:dyDescent="0.3">
      <c r="G68" s="4">
        <v>2010.5833333333301</v>
      </c>
      <c r="H68">
        <v>2010</v>
      </c>
      <c r="I68">
        <v>8</v>
      </c>
      <c r="J68">
        <v>860</v>
      </c>
      <c r="K68" s="3">
        <f>STANDARDIZE(J68,O$11,P$11)</f>
        <v>2.4156638398145236</v>
      </c>
      <c r="L68" s="3">
        <f t="shared" si="1"/>
        <v>1.8791112524758169</v>
      </c>
    </row>
    <row r="69" spans="7:12" x14ac:dyDescent="0.3">
      <c r="G69" s="4">
        <v>2010.49999999999</v>
      </c>
      <c r="H69">
        <v>2010</v>
      </c>
      <c r="I69">
        <v>7</v>
      </c>
      <c r="J69">
        <v>766</v>
      </c>
      <c r="K69" s="3">
        <f>STANDARDIZE(J69,O$10,P$10)</f>
        <v>1.3563713670645019</v>
      </c>
      <c r="L69" s="3">
        <f t="shared" ref="L69:L132" si="3">STANDARDIZE(J69,J$1,J$2)</f>
        <v>1.3161531086923008</v>
      </c>
    </row>
    <row r="70" spans="7:12" x14ac:dyDescent="0.3">
      <c r="G70" s="4">
        <v>2010.4166666666599</v>
      </c>
      <c r="H70">
        <v>2010</v>
      </c>
      <c r="I70">
        <v>6</v>
      </c>
      <c r="J70">
        <v>670</v>
      </c>
      <c r="K70" s="3">
        <f>STANDARDIZE(J70,O$9,P$9)</f>
        <v>0.49611077166154605</v>
      </c>
      <c r="L70" s="3">
        <f t="shared" si="3"/>
        <v>0.74121713206232709</v>
      </c>
    </row>
    <row r="71" spans="7:12" x14ac:dyDescent="0.3">
      <c r="G71" s="4">
        <v>2010.3333333333201</v>
      </c>
      <c r="H71">
        <v>2010</v>
      </c>
      <c r="I71">
        <v>5</v>
      </c>
      <c r="J71">
        <v>551</v>
      </c>
      <c r="K71" s="3">
        <f>STANDARDIZE(J71,O$8,P$8)</f>
        <v>8.8767506433235263E-2</v>
      </c>
      <c r="L71" s="3">
        <f t="shared" si="3"/>
        <v>2.8536077698088851E-2</v>
      </c>
    </row>
    <row r="72" spans="7:12" x14ac:dyDescent="0.3">
      <c r="G72" s="4">
        <v>2010.24999999999</v>
      </c>
      <c r="H72">
        <v>2010</v>
      </c>
      <c r="I72">
        <v>4</v>
      </c>
      <c r="J72">
        <v>378</v>
      </c>
      <c r="K72" s="3">
        <f>STANDARDIZE(J72,O$7,P$7)</f>
        <v>-0.29953143907258101</v>
      </c>
      <c r="L72" s="3">
        <f t="shared" si="3"/>
        <v>-1.0075464635205096</v>
      </c>
    </row>
    <row r="73" spans="7:12" x14ac:dyDescent="0.3">
      <c r="G73" s="4">
        <v>2010.1666666666599</v>
      </c>
      <c r="H73">
        <v>2010</v>
      </c>
      <c r="I73">
        <v>3</v>
      </c>
      <c r="J73">
        <v>265</v>
      </c>
      <c r="K73" s="3">
        <f>STANDARDIZE(J73,O$6,P$6)</f>
        <v>-0.63883580428987063</v>
      </c>
      <c r="L73" s="3">
        <f t="shared" si="3"/>
        <v>-1.6842940193453746</v>
      </c>
    </row>
    <row r="74" spans="7:12" x14ac:dyDescent="0.3">
      <c r="G74" s="4">
        <v>2010.0833333333201</v>
      </c>
      <c r="H74">
        <v>2010</v>
      </c>
      <c r="I74">
        <v>2</v>
      </c>
      <c r="J74">
        <v>173</v>
      </c>
      <c r="K74" s="3">
        <f>STANDARDIZE(J74,O$5,P$5)</f>
        <v>-1.4533912716589916</v>
      </c>
      <c r="L74" s="3">
        <f t="shared" si="3"/>
        <v>-2.2352743302824329</v>
      </c>
    </row>
    <row r="75" spans="7:12" x14ac:dyDescent="0.3">
      <c r="G75" s="4">
        <v>2010</v>
      </c>
      <c r="H75">
        <v>2010</v>
      </c>
      <c r="I75">
        <v>1</v>
      </c>
      <c r="J75">
        <v>276</v>
      </c>
      <c r="K75" s="3">
        <f>STANDARDIZE(J75,O$4,P$4)</f>
        <v>-1.5779731885605808</v>
      </c>
      <c r="L75" s="3">
        <f t="shared" si="3"/>
        <v>-1.6184159386898567</v>
      </c>
    </row>
    <row r="76" spans="7:12" x14ac:dyDescent="0.3">
      <c r="G76" s="4">
        <v>2009.9166666666599</v>
      </c>
      <c r="H76">
        <v>2009</v>
      </c>
      <c r="I76">
        <v>12</v>
      </c>
      <c r="J76">
        <v>489</v>
      </c>
      <c r="K76" s="3">
        <f>STANDARDIZE(J76,O$15,P$15)</f>
        <v>-1.5955661546210689</v>
      </c>
      <c r="L76" s="3">
        <f t="shared" si="3"/>
        <v>-0.3427767405421025</v>
      </c>
    </row>
    <row r="77" spans="7:12" x14ac:dyDescent="0.3">
      <c r="G77" s="4">
        <v>2009.8333333333201</v>
      </c>
      <c r="H77">
        <v>2009</v>
      </c>
      <c r="I77">
        <v>11</v>
      </c>
      <c r="J77">
        <v>596</v>
      </c>
      <c r="K77" s="3">
        <f>STANDARDIZE(J77,O$14,P$14)</f>
        <v>-1.0713700731766771</v>
      </c>
      <c r="L77" s="3">
        <f t="shared" si="3"/>
        <v>0.29803731674338901</v>
      </c>
    </row>
    <row r="78" spans="7:12" x14ac:dyDescent="0.3">
      <c r="G78" s="4">
        <v>2009.74999999999</v>
      </c>
      <c r="H78">
        <v>2009</v>
      </c>
      <c r="I78">
        <v>10</v>
      </c>
      <c r="J78">
        <v>486</v>
      </c>
      <c r="K78" s="3">
        <f>STANDARDIZE(J78,O$13,P$13)</f>
        <v>-1.3126775398841366</v>
      </c>
      <c r="L78" s="3">
        <f t="shared" si="3"/>
        <v>-0.36074348981178922</v>
      </c>
    </row>
    <row r="79" spans="7:12" x14ac:dyDescent="0.3">
      <c r="G79" s="4">
        <v>2009.6666666666599</v>
      </c>
      <c r="H79">
        <v>2009</v>
      </c>
      <c r="I79">
        <v>9</v>
      </c>
      <c r="J79">
        <v>538</v>
      </c>
      <c r="K79" s="3">
        <f>STANDARDIZE(J79,O$12,P$12)</f>
        <v>-0.23561472367177028</v>
      </c>
      <c r="L79" s="3">
        <f t="shared" si="3"/>
        <v>-4.9319835803886755E-2</v>
      </c>
    </row>
    <row r="80" spans="7:12" x14ac:dyDescent="0.3">
      <c r="G80" s="4">
        <v>2009.5833333333201</v>
      </c>
      <c r="H80">
        <v>2009</v>
      </c>
      <c r="I80">
        <v>8</v>
      </c>
      <c r="J80">
        <v>535</v>
      </c>
      <c r="K80" s="3">
        <f>STANDARDIZE(J80,O$11,P$11)</f>
        <v>-0.15036489764098276</v>
      </c>
      <c r="L80" s="3">
        <f t="shared" si="3"/>
        <v>-6.7286585073573435E-2</v>
      </c>
    </row>
    <row r="81" spans="7:12" x14ac:dyDescent="0.3">
      <c r="G81" s="4">
        <v>2009.49999999999</v>
      </c>
      <c r="H81">
        <v>2009</v>
      </c>
      <c r="I81">
        <v>7</v>
      </c>
      <c r="J81">
        <v>611</v>
      </c>
      <c r="K81" s="3">
        <f>STANDARDIZE(J81,O$10,P$10)</f>
        <v>0.12930388518708313</v>
      </c>
      <c r="L81" s="3">
        <f t="shared" si="3"/>
        <v>0.38787106309182245</v>
      </c>
    </row>
    <row r="82" spans="7:12" x14ac:dyDescent="0.3">
      <c r="G82" s="4">
        <v>2009.4166666666599</v>
      </c>
      <c r="H82">
        <v>2009</v>
      </c>
      <c r="I82">
        <v>6</v>
      </c>
      <c r="J82">
        <v>631</v>
      </c>
      <c r="K82" s="3">
        <f>STANDARDIZE(J82,O$9,P$9)</f>
        <v>0.12935659968765692</v>
      </c>
      <c r="L82" s="3">
        <f t="shared" si="3"/>
        <v>0.50764939155640032</v>
      </c>
    </row>
    <row r="83" spans="7:12" x14ac:dyDescent="0.3">
      <c r="G83" s="4">
        <v>2009.3333333333201</v>
      </c>
      <c r="H83">
        <v>2009</v>
      </c>
      <c r="I83">
        <v>5</v>
      </c>
      <c r="J83">
        <v>634</v>
      </c>
      <c r="K83" s="3">
        <f>STANDARDIZE(J83,O$8,P$8)</f>
        <v>0.90138181164924447</v>
      </c>
      <c r="L83" s="3">
        <f t="shared" si="3"/>
        <v>0.52561614082608699</v>
      </c>
    </row>
    <row r="84" spans="7:12" x14ac:dyDescent="0.3">
      <c r="G84" s="4">
        <v>2009.24999999999</v>
      </c>
      <c r="H84">
        <v>2009</v>
      </c>
      <c r="I84">
        <v>4</v>
      </c>
      <c r="J84">
        <v>587</v>
      </c>
      <c r="K84" s="3">
        <f>STANDARDIZE(J84,O$7,P$7)</f>
        <v>1.6142546916866749</v>
      </c>
      <c r="L84" s="3">
        <f t="shared" si="3"/>
        <v>0.24413706893432902</v>
      </c>
    </row>
    <row r="85" spans="7:12" x14ac:dyDescent="0.3">
      <c r="G85" s="4">
        <v>2009.1666666666599</v>
      </c>
      <c r="H85">
        <v>2009</v>
      </c>
      <c r="I85">
        <v>3</v>
      </c>
      <c r="J85">
        <v>510</v>
      </c>
      <c r="K85" s="3">
        <f>STANDARDIZE(J85,O$6,P$6)</f>
        <v>1.4175626606140201</v>
      </c>
      <c r="L85" s="3">
        <f t="shared" si="3"/>
        <v>-0.21700949565429575</v>
      </c>
    </row>
    <row r="86" spans="7:12" x14ac:dyDescent="0.3">
      <c r="G86" s="4">
        <v>2009.0833333333201</v>
      </c>
      <c r="H86">
        <v>2009</v>
      </c>
      <c r="I86">
        <v>2</v>
      </c>
      <c r="J86">
        <v>577</v>
      </c>
      <c r="K86" s="3">
        <f>STANDARDIZE(J86,O$5,P$5)</f>
        <v>1.6362548133223542</v>
      </c>
      <c r="L86" s="3">
        <f t="shared" si="3"/>
        <v>0.18424790470204008</v>
      </c>
    </row>
    <row r="87" spans="7:12" x14ac:dyDescent="0.3">
      <c r="G87" s="4">
        <v>2009</v>
      </c>
      <c r="H87">
        <v>2009</v>
      </c>
      <c r="I87">
        <v>1</v>
      </c>
      <c r="J87">
        <v>742</v>
      </c>
      <c r="K87" s="3">
        <f>STANDARDIZE(J87,O$4,P$4)</f>
        <v>1.3701823499386512</v>
      </c>
      <c r="L87" s="3">
        <f t="shared" si="3"/>
        <v>1.1724191145348075</v>
      </c>
    </row>
    <row r="88" spans="7:12" x14ac:dyDescent="0.3">
      <c r="G88" s="4">
        <v>2008.9166666666599</v>
      </c>
      <c r="H88">
        <v>2008</v>
      </c>
      <c r="I88">
        <v>12</v>
      </c>
      <c r="J88">
        <v>902</v>
      </c>
      <c r="K88" s="3">
        <f>STANDARDIZE(J88,O$15,P$15)</f>
        <v>1.5817184252174148</v>
      </c>
      <c r="L88" s="3">
        <f t="shared" si="3"/>
        <v>2.1306457422514304</v>
      </c>
    </row>
    <row r="89" spans="7:12" x14ac:dyDescent="0.3">
      <c r="G89" s="4">
        <v>2008.8333333333201</v>
      </c>
      <c r="H89">
        <v>2008</v>
      </c>
      <c r="I89">
        <v>11</v>
      </c>
      <c r="J89">
        <v>863</v>
      </c>
      <c r="K89" s="3">
        <f>STANDARDIZE(J89,O$14,P$14)</f>
        <v>1.5000465127637503</v>
      </c>
      <c r="L89" s="3">
        <f t="shared" si="3"/>
        <v>1.8970780017455036</v>
      </c>
    </row>
    <row r="90" spans="7:12" x14ac:dyDescent="0.3">
      <c r="G90" s="4">
        <v>2008.74999999999</v>
      </c>
      <c r="H90">
        <v>2008</v>
      </c>
      <c r="I90">
        <v>10</v>
      </c>
      <c r="J90">
        <v>816</v>
      </c>
      <c r="K90" s="3">
        <f>STANDARDIZE(J90,O$13,P$13)</f>
        <v>1.606786510929018</v>
      </c>
      <c r="L90" s="3">
        <f t="shared" si="3"/>
        <v>1.6155989298537454</v>
      </c>
    </row>
    <row r="91" spans="7:12" x14ac:dyDescent="0.3">
      <c r="G91" s="4">
        <v>2008.6666666666599</v>
      </c>
      <c r="H91">
        <v>2008</v>
      </c>
      <c r="I91">
        <v>9</v>
      </c>
      <c r="J91">
        <v>819</v>
      </c>
      <c r="K91" s="3">
        <f>STANDARDIZE(J91,O$12,P$12)</f>
        <v>1.9264666847676573</v>
      </c>
      <c r="L91" s="3">
        <f t="shared" si="3"/>
        <v>1.6335656791234321</v>
      </c>
    </row>
    <row r="92" spans="7:12" x14ac:dyDescent="0.3">
      <c r="G92" s="4">
        <v>2008.5833333333201</v>
      </c>
      <c r="H92">
        <v>2008</v>
      </c>
      <c r="I92">
        <v>8</v>
      </c>
      <c r="J92">
        <v>812</v>
      </c>
      <c r="K92" s="3">
        <f>STANDARDIZE(J92,O$11,P$11)</f>
        <v>2.0366811339749411</v>
      </c>
      <c r="L92" s="3">
        <f t="shared" si="3"/>
        <v>1.59164326416083</v>
      </c>
    </row>
    <row r="93" spans="7:12" x14ac:dyDescent="0.3">
      <c r="G93" s="4">
        <v>2008.49999999999</v>
      </c>
      <c r="H93">
        <v>2008</v>
      </c>
      <c r="I93">
        <v>7</v>
      </c>
      <c r="J93">
        <v>796</v>
      </c>
      <c r="K93" s="3">
        <f>STANDARDIZE(J93,O$10,P$10)</f>
        <v>1.5938682990407764</v>
      </c>
      <c r="L93" s="3">
        <f t="shared" si="3"/>
        <v>1.4958206013891677</v>
      </c>
    </row>
    <row r="94" spans="7:12" x14ac:dyDescent="0.3">
      <c r="G94" s="4">
        <v>2008.4166666666499</v>
      </c>
      <c r="H94">
        <v>2008</v>
      </c>
      <c r="I94">
        <v>6</v>
      </c>
      <c r="J94">
        <v>732</v>
      </c>
      <c r="K94" s="3">
        <f>STANDARDIZE(J94,O$9,P$9)</f>
        <v>1.0791558655687545</v>
      </c>
      <c r="L94" s="3">
        <f t="shared" si="3"/>
        <v>1.1125299503025186</v>
      </c>
    </row>
    <row r="95" spans="7:12" x14ac:dyDescent="0.3">
      <c r="G95" s="4">
        <v>2008.3333333333201</v>
      </c>
      <c r="H95">
        <v>2008</v>
      </c>
      <c r="I95">
        <v>5</v>
      </c>
      <c r="J95">
        <v>627</v>
      </c>
      <c r="K95" s="3">
        <f>STANDARDIZE(J95,O$8,P$8)</f>
        <v>0.83284807506476177</v>
      </c>
      <c r="L95" s="3">
        <f t="shared" si="3"/>
        <v>0.48369372586348475</v>
      </c>
    </row>
    <row r="96" spans="7:12" x14ac:dyDescent="0.3">
      <c r="G96" s="4">
        <v>2008.24999999999</v>
      </c>
      <c r="H96">
        <v>2008</v>
      </c>
      <c r="I96">
        <v>4</v>
      </c>
      <c r="J96">
        <v>512</v>
      </c>
      <c r="K96" s="3">
        <f>STANDARDIZE(J96,O$7,P$7)</f>
        <v>0.92748933375871223</v>
      </c>
      <c r="L96" s="3">
        <f t="shared" si="3"/>
        <v>-0.20503166280783797</v>
      </c>
    </row>
    <row r="97" spans="7:12" x14ac:dyDescent="0.3">
      <c r="G97" s="4">
        <v>2008.1666666666499</v>
      </c>
      <c r="H97">
        <v>2008</v>
      </c>
      <c r="I97">
        <v>3</v>
      </c>
      <c r="J97">
        <v>496</v>
      </c>
      <c r="K97" s="3">
        <f>STANDARDIZE(J97,O$6,P$6)</f>
        <v>1.3000541769052265</v>
      </c>
      <c r="L97" s="3">
        <f t="shared" si="3"/>
        <v>-0.30085432557950026</v>
      </c>
    </row>
    <row r="98" spans="7:12" x14ac:dyDescent="0.3">
      <c r="G98" s="4">
        <v>2008.0833333333201</v>
      </c>
      <c r="H98">
        <v>2008</v>
      </c>
      <c r="I98">
        <v>2</v>
      </c>
      <c r="J98">
        <v>496</v>
      </c>
      <c r="K98" s="3">
        <f>STANDARDIZE(J98,O$5,P$5)</f>
        <v>1.0167960685612429</v>
      </c>
      <c r="L98" s="3">
        <f t="shared" si="3"/>
        <v>-0.30085432557950026</v>
      </c>
    </row>
    <row r="99" spans="7:12" x14ac:dyDescent="0.3">
      <c r="G99" s="4">
        <v>2008</v>
      </c>
      <c r="H99">
        <v>2008</v>
      </c>
      <c r="I99">
        <v>1</v>
      </c>
      <c r="J99">
        <v>684</v>
      </c>
      <c r="K99" s="3">
        <f>STANDARDIZE(J99,O$4,P$4)</f>
        <v>1.0032445361340256</v>
      </c>
      <c r="L99" s="3">
        <f t="shared" si="3"/>
        <v>0.82506196198753168</v>
      </c>
    </row>
    <row r="100" spans="7:12" x14ac:dyDescent="0.3">
      <c r="G100" s="4">
        <v>2007.9166666666499</v>
      </c>
      <c r="H100">
        <v>2007</v>
      </c>
      <c r="I100">
        <v>12</v>
      </c>
      <c r="J100">
        <v>832</v>
      </c>
      <c r="K100" s="3">
        <f>STANDARDIZE(J100,O$15,P$15)</f>
        <v>1.0431956150752988</v>
      </c>
      <c r="L100" s="3">
        <f t="shared" si="3"/>
        <v>1.7114215926254077</v>
      </c>
    </row>
    <row r="101" spans="7:12" x14ac:dyDescent="0.3">
      <c r="G101" s="4">
        <v>2007.8333333333201</v>
      </c>
      <c r="H101">
        <v>2007</v>
      </c>
      <c r="I101">
        <v>11</v>
      </c>
      <c r="J101">
        <v>855</v>
      </c>
      <c r="K101" s="3">
        <f>STANDARDIZE(J101,O$14,P$14)</f>
        <v>1.4230003229228387</v>
      </c>
      <c r="L101" s="3">
        <f t="shared" si="3"/>
        <v>1.8491666703596723</v>
      </c>
    </row>
    <row r="102" spans="7:12" x14ac:dyDescent="0.3">
      <c r="G102" s="4">
        <v>2007.74999999999</v>
      </c>
      <c r="H102">
        <v>2007</v>
      </c>
      <c r="I102">
        <v>10</v>
      </c>
      <c r="J102">
        <v>752</v>
      </c>
      <c r="K102" s="3">
        <f>STANDARDIZE(J102,O$13,P$13)</f>
        <v>1.0405874222864668</v>
      </c>
      <c r="L102" s="3">
        <f t="shared" si="3"/>
        <v>1.2323082787670963</v>
      </c>
    </row>
    <row r="103" spans="7:12" x14ac:dyDescent="0.3">
      <c r="G103" s="4">
        <v>2007.6666666666499</v>
      </c>
      <c r="H103">
        <v>2007</v>
      </c>
      <c r="I103">
        <v>9</v>
      </c>
      <c r="J103">
        <v>751</v>
      </c>
      <c r="K103" s="3">
        <f>STANDARDIZE(J103,O$12,P$12)</f>
        <v>1.4032583724050911</v>
      </c>
      <c r="L103" s="3">
        <f t="shared" si="3"/>
        <v>1.2263193623438675</v>
      </c>
    </row>
    <row r="104" spans="7:12" x14ac:dyDescent="0.3">
      <c r="G104" s="4">
        <v>2007.5833333333201</v>
      </c>
      <c r="H104">
        <v>2007</v>
      </c>
      <c r="I104">
        <v>8</v>
      </c>
      <c r="J104">
        <v>703</v>
      </c>
      <c r="K104" s="3">
        <f>STANDARDIZE(J104,O$11,P$11)</f>
        <v>1.1760745727975559</v>
      </c>
      <c r="L104" s="3">
        <f t="shared" si="3"/>
        <v>0.93885137402888064</v>
      </c>
    </row>
    <row r="105" spans="7:12" x14ac:dyDescent="0.3">
      <c r="G105" s="4">
        <v>2007.49999999999</v>
      </c>
      <c r="H105">
        <v>2007</v>
      </c>
      <c r="I105">
        <v>7</v>
      </c>
      <c r="J105">
        <v>778</v>
      </c>
      <c r="K105" s="3">
        <f>STANDARDIZE(J105,O$10,P$10)</f>
        <v>1.4513701398550116</v>
      </c>
      <c r="L105" s="3">
        <f t="shared" si="3"/>
        <v>1.3880201057710475</v>
      </c>
    </row>
    <row r="106" spans="7:12" x14ac:dyDescent="0.3">
      <c r="G106" s="4">
        <v>2007.4166666666499</v>
      </c>
      <c r="H106">
        <v>2007</v>
      </c>
      <c r="I106">
        <v>6</v>
      </c>
      <c r="J106">
        <v>785</v>
      </c>
      <c r="K106" s="3">
        <f>STANDARDIZE(J106,O$9,P$9)</f>
        <v>1.5775653813281423</v>
      </c>
      <c r="L106" s="3">
        <f t="shared" si="3"/>
        <v>1.4299425207336498</v>
      </c>
    </row>
    <row r="107" spans="7:12" x14ac:dyDescent="0.3">
      <c r="G107" s="4">
        <v>2007.3333333333201</v>
      </c>
      <c r="H107">
        <v>2007</v>
      </c>
      <c r="I107">
        <v>5</v>
      </c>
      <c r="J107">
        <v>662</v>
      </c>
      <c r="K107" s="3">
        <f>STANDARDIZE(J107,O$8,P$8)</f>
        <v>1.1755167579871753</v>
      </c>
      <c r="L107" s="3">
        <f t="shared" si="3"/>
        <v>0.69330580067649594</v>
      </c>
    </row>
    <row r="108" spans="7:12" x14ac:dyDescent="0.3">
      <c r="G108" s="4">
        <v>2007.24999999999</v>
      </c>
      <c r="H108">
        <v>2007</v>
      </c>
      <c r="I108">
        <v>4</v>
      </c>
      <c r="J108">
        <v>509</v>
      </c>
      <c r="K108" s="3">
        <f>STANDARDIZE(J108,O$7,P$7)</f>
        <v>0.90001871944159373</v>
      </c>
      <c r="L108" s="3">
        <f t="shared" si="3"/>
        <v>-0.22299841207752466</v>
      </c>
    </row>
    <row r="109" spans="7:12" x14ac:dyDescent="0.3">
      <c r="G109" s="4">
        <v>2007.1666666666499</v>
      </c>
      <c r="H109">
        <v>2007</v>
      </c>
      <c r="I109">
        <v>3</v>
      </c>
      <c r="J109">
        <v>266</v>
      </c>
      <c r="K109" s="3">
        <f>STANDARDIZE(J109,O$6,P$6)</f>
        <v>-0.63044234116781395</v>
      </c>
      <c r="L109" s="3">
        <f t="shared" si="3"/>
        <v>-1.6783051029221456</v>
      </c>
    </row>
    <row r="110" spans="7:12" x14ac:dyDescent="0.3">
      <c r="G110" s="4">
        <v>2007.0833333333201</v>
      </c>
      <c r="H110">
        <v>2007</v>
      </c>
      <c r="I110">
        <v>2</v>
      </c>
      <c r="J110">
        <v>358</v>
      </c>
      <c r="K110" s="3">
        <f>STANDARDIZE(J110,O$5,P$5)</f>
        <v>-3.857808917990993E-2</v>
      </c>
      <c r="L110" s="3">
        <f t="shared" si="3"/>
        <v>-1.1273247919850875</v>
      </c>
    </row>
    <row r="111" spans="7:12" x14ac:dyDescent="0.3">
      <c r="G111" s="4">
        <v>2007</v>
      </c>
      <c r="H111">
        <v>2007</v>
      </c>
      <c r="I111">
        <v>1</v>
      </c>
      <c r="J111">
        <v>631</v>
      </c>
      <c r="K111" s="3">
        <f>STANDARDIZE(J111,O$4,P$4)</f>
        <v>0.66793929248497141</v>
      </c>
      <c r="L111" s="3">
        <f t="shared" si="3"/>
        <v>0.50764939155640032</v>
      </c>
    </row>
    <row r="112" spans="7:12" x14ac:dyDescent="0.3">
      <c r="G112" s="4">
        <v>2006.9166666666499</v>
      </c>
      <c r="H112">
        <v>2006</v>
      </c>
      <c r="I112">
        <v>12</v>
      </c>
      <c r="J112">
        <v>758</v>
      </c>
      <c r="K112" s="3">
        <f>STANDARDIZE(J112,O$15,P$15)</f>
        <v>0.47390007292506214</v>
      </c>
      <c r="L112" s="3">
        <f t="shared" si="3"/>
        <v>1.2682417773064698</v>
      </c>
    </row>
    <row r="113" spans="7:12" x14ac:dyDescent="0.3">
      <c r="G113" s="4">
        <v>2006.8333333333201</v>
      </c>
      <c r="H113">
        <v>2006</v>
      </c>
      <c r="I113">
        <v>11</v>
      </c>
      <c r="J113">
        <v>694</v>
      </c>
      <c r="K113" s="3">
        <f>STANDARDIZE(J113,O$14,P$14)</f>
        <v>-0.12755424762550904</v>
      </c>
      <c r="L113" s="3">
        <f t="shared" si="3"/>
        <v>0.88495112621982053</v>
      </c>
    </row>
    <row r="114" spans="7:12" x14ac:dyDescent="0.3">
      <c r="G114" s="4">
        <v>2006.74999999998</v>
      </c>
      <c r="H114">
        <v>2006</v>
      </c>
      <c r="I114">
        <v>10</v>
      </c>
      <c r="J114">
        <v>602</v>
      </c>
      <c r="K114" s="3">
        <f>STANDARDIZE(J114,O$13,P$13)</f>
        <v>-0.2864416917195125</v>
      </c>
      <c r="L114" s="3">
        <f t="shared" si="3"/>
        <v>0.3339708152827624</v>
      </c>
    </row>
    <row r="115" spans="7:12" x14ac:dyDescent="0.3">
      <c r="G115" s="4">
        <v>2006.6666666666499</v>
      </c>
      <c r="H115">
        <v>2006</v>
      </c>
      <c r="I115">
        <v>9</v>
      </c>
      <c r="J115">
        <v>593</v>
      </c>
      <c r="K115" s="3">
        <f>STANDARDIZE(J115,O$12,P$12)</f>
        <v>0.18756847015089348</v>
      </c>
      <c r="L115" s="3">
        <f t="shared" si="3"/>
        <v>0.28007056747370235</v>
      </c>
    </row>
    <row r="116" spans="7:12" x14ac:dyDescent="0.3">
      <c r="G116" s="4">
        <v>2006.5833333333201</v>
      </c>
      <c r="H116">
        <v>2006</v>
      </c>
      <c r="I116">
        <v>8</v>
      </c>
      <c r="J116">
        <v>589</v>
      </c>
      <c r="K116" s="3">
        <f>STANDARDIZE(J116,O$11,P$11)</f>
        <v>0.27599064642854754</v>
      </c>
      <c r="L116" s="3">
        <f t="shared" si="3"/>
        <v>0.25611490178078677</v>
      </c>
    </row>
    <row r="117" spans="7:12" x14ac:dyDescent="0.3">
      <c r="G117" s="4">
        <v>2006.49999999998</v>
      </c>
      <c r="H117">
        <v>2006</v>
      </c>
      <c r="I117">
        <v>7</v>
      </c>
      <c r="J117">
        <v>739</v>
      </c>
      <c r="K117" s="3">
        <f>STANDARDIZE(J117,O$10,P$10)</f>
        <v>1.1426241282858547</v>
      </c>
      <c r="L117" s="3">
        <f t="shared" si="3"/>
        <v>1.1544523652651209</v>
      </c>
    </row>
    <row r="118" spans="7:12" x14ac:dyDescent="0.3">
      <c r="G118" s="4">
        <v>2006.4166666666499</v>
      </c>
      <c r="H118">
        <v>2006</v>
      </c>
      <c r="I118">
        <v>6</v>
      </c>
      <c r="J118">
        <v>777</v>
      </c>
      <c r="K118" s="3">
        <f>STANDARDIZE(J118,O$9,P$9)</f>
        <v>1.5023337563078574</v>
      </c>
      <c r="L118" s="3">
        <f t="shared" si="3"/>
        <v>1.3820311893478188</v>
      </c>
    </row>
    <row r="119" spans="7:12" x14ac:dyDescent="0.3">
      <c r="G119" s="4">
        <v>2006.3333333333201</v>
      </c>
      <c r="H119">
        <v>2006</v>
      </c>
      <c r="I119">
        <v>5</v>
      </c>
      <c r="J119">
        <v>677</v>
      </c>
      <c r="K119" s="3">
        <f>STANDARDIZE(J119,O$8,P$8)</f>
        <v>1.3223747649539239</v>
      </c>
      <c r="L119" s="3">
        <f t="shared" si="3"/>
        <v>0.78313954702492938</v>
      </c>
    </row>
    <row r="120" spans="7:12" x14ac:dyDescent="0.3">
      <c r="G120" s="4">
        <v>2006.24999999998</v>
      </c>
      <c r="H120">
        <v>2006</v>
      </c>
      <c r="I120">
        <v>4</v>
      </c>
      <c r="J120">
        <v>549</v>
      </c>
      <c r="K120" s="3">
        <f>STANDARDIZE(J120,O$7,P$7)</f>
        <v>1.2662935770031738</v>
      </c>
      <c r="L120" s="3">
        <f t="shared" si="3"/>
        <v>1.6558244851631067E-2</v>
      </c>
    </row>
    <row r="121" spans="7:12" x14ac:dyDescent="0.3">
      <c r="G121" s="4">
        <v>2006.1666666666499</v>
      </c>
      <c r="H121">
        <v>2006</v>
      </c>
      <c r="I121">
        <v>3</v>
      </c>
      <c r="J121">
        <v>414</v>
      </c>
      <c r="K121" s="3">
        <f>STANDARDIZE(J121,O$6,P$6)</f>
        <v>0.61179020089657721</v>
      </c>
      <c r="L121" s="3">
        <f t="shared" si="3"/>
        <v>-0.79194547228426948</v>
      </c>
    </row>
    <row r="122" spans="7:12" x14ac:dyDescent="0.3">
      <c r="G122" s="4">
        <v>2006.0833333333201</v>
      </c>
      <c r="H122">
        <v>2006</v>
      </c>
      <c r="I122">
        <v>2</v>
      </c>
      <c r="J122">
        <v>500</v>
      </c>
      <c r="K122" s="3">
        <f>STANDARDIZE(J122,O$5,P$5)</f>
        <v>1.0473866238580878</v>
      </c>
      <c r="L122" s="3">
        <f t="shared" si="3"/>
        <v>-0.27689865988658469</v>
      </c>
    </row>
    <row r="123" spans="7:12" x14ac:dyDescent="0.3">
      <c r="G123" s="4">
        <v>2006</v>
      </c>
      <c r="H123">
        <v>2006</v>
      </c>
      <c r="I123">
        <v>1</v>
      </c>
      <c r="J123">
        <v>696</v>
      </c>
      <c r="K123" s="3">
        <f>STANDARDIZE(J123,O$4,P$4)</f>
        <v>1.0791627045073964</v>
      </c>
      <c r="L123" s="3">
        <f t="shared" si="3"/>
        <v>0.89692895906627834</v>
      </c>
    </row>
    <row r="124" spans="7:12" x14ac:dyDescent="0.3">
      <c r="G124" s="4">
        <v>2005.9166666666499</v>
      </c>
      <c r="H124">
        <v>2005</v>
      </c>
      <c r="I124">
        <v>12</v>
      </c>
      <c r="J124">
        <v>840</v>
      </c>
      <c r="K124" s="3">
        <f>STANDARDIZE(J124,O$15,P$15)</f>
        <v>1.1047410790915406</v>
      </c>
      <c r="L124" s="3">
        <f t="shared" si="3"/>
        <v>1.759332924011239</v>
      </c>
    </row>
    <row r="125" spans="7:12" x14ac:dyDescent="0.3">
      <c r="G125" s="4">
        <v>2005.8333333333201</v>
      </c>
      <c r="H125">
        <v>2005</v>
      </c>
      <c r="I125">
        <v>11</v>
      </c>
      <c r="J125">
        <v>735</v>
      </c>
      <c r="K125" s="3">
        <f>STANDARDIZE(J125,O$14,P$14)</f>
        <v>0.26730747530916338</v>
      </c>
      <c r="L125" s="3">
        <f t="shared" si="3"/>
        <v>1.1304966995722052</v>
      </c>
    </row>
    <row r="126" spans="7:12" x14ac:dyDescent="0.3">
      <c r="G126" s="4">
        <v>2005.74999999998</v>
      </c>
      <c r="H126">
        <v>2005</v>
      </c>
      <c r="I126">
        <v>10</v>
      </c>
      <c r="J126">
        <v>617</v>
      </c>
      <c r="K126" s="3">
        <f>STANDARDIZE(J126,O$13,P$13)</f>
        <v>-0.15373878031891458</v>
      </c>
      <c r="L126" s="3">
        <f t="shared" si="3"/>
        <v>0.42380456163119579</v>
      </c>
    </row>
    <row r="127" spans="7:12" x14ac:dyDescent="0.3">
      <c r="G127" s="4">
        <v>2005.6666666666499</v>
      </c>
      <c r="H127">
        <v>2005</v>
      </c>
      <c r="I127">
        <v>9</v>
      </c>
      <c r="J127">
        <v>552</v>
      </c>
      <c r="K127" s="3">
        <f>STANDARDIZE(J127,O$12,P$12)</f>
        <v>-0.12789536524418313</v>
      </c>
      <c r="L127" s="3">
        <f t="shared" si="3"/>
        <v>3.4524994121317744E-2</v>
      </c>
    </row>
    <row r="128" spans="7:12" x14ac:dyDescent="0.3">
      <c r="G128" s="4">
        <v>2005.5833333333201</v>
      </c>
      <c r="H128">
        <v>2005</v>
      </c>
      <c r="I128">
        <v>8</v>
      </c>
      <c r="J128">
        <v>572</v>
      </c>
      <c r="K128" s="3">
        <f>STANDARDIZE(J128,O$11,P$11)</f>
        <v>0.14176760477702871</v>
      </c>
      <c r="L128" s="3">
        <f t="shared" si="3"/>
        <v>0.1543033225858956</v>
      </c>
    </row>
    <row r="129" spans="7:12" x14ac:dyDescent="0.3">
      <c r="G129" s="4">
        <v>2005.49999999998</v>
      </c>
      <c r="H129">
        <v>2005</v>
      </c>
      <c r="I129">
        <v>7</v>
      </c>
      <c r="J129">
        <v>655</v>
      </c>
      <c r="K129" s="3">
        <f>STANDARDIZE(J129,O$10,P$10)</f>
        <v>0.47763271875228586</v>
      </c>
      <c r="L129" s="3">
        <f t="shared" si="3"/>
        <v>0.65138338571389376</v>
      </c>
    </row>
    <row r="130" spans="7:12" x14ac:dyDescent="0.3">
      <c r="G130" s="4">
        <v>2005.4166666666499</v>
      </c>
      <c r="H130">
        <v>2005</v>
      </c>
      <c r="I130">
        <v>6</v>
      </c>
      <c r="J130">
        <v>663</v>
      </c>
      <c r="K130" s="3">
        <f>STANDARDIZE(J130,O$9,P$9)</f>
        <v>0.43028309976879675</v>
      </c>
      <c r="L130" s="3">
        <f t="shared" si="3"/>
        <v>0.69929471709972491</v>
      </c>
    </row>
    <row r="131" spans="7:12" x14ac:dyDescent="0.3">
      <c r="G131" s="4">
        <v>2005.3333333333201</v>
      </c>
      <c r="H131">
        <v>2005</v>
      </c>
      <c r="I131">
        <v>5</v>
      </c>
      <c r="J131">
        <v>568</v>
      </c>
      <c r="K131" s="3">
        <f>STANDARDIZE(J131,O$8,P$8)</f>
        <v>0.25520658099555038</v>
      </c>
      <c r="L131" s="3">
        <f t="shared" si="3"/>
        <v>0.13034765689298003</v>
      </c>
    </row>
    <row r="132" spans="7:12" x14ac:dyDescent="0.3">
      <c r="G132" s="4">
        <v>2005.24999999998</v>
      </c>
      <c r="H132">
        <v>2005</v>
      </c>
      <c r="I132">
        <v>4</v>
      </c>
      <c r="J132">
        <v>423</v>
      </c>
      <c r="K132" s="3">
        <f>STANDARDIZE(J132,O$7,P$7)</f>
        <v>0.11252777568419657</v>
      </c>
      <c r="L132" s="3">
        <f t="shared" si="3"/>
        <v>-0.73804522447520948</v>
      </c>
    </row>
    <row r="133" spans="7:12" x14ac:dyDescent="0.3">
      <c r="G133" s="4">
        <v>2005.1666666666499</v>
      </c>
      <c r="H133">
        <v>2005</v>
      </c>
      <c r="I133">
        <v>3</v>
      </c>
      <c r="J133">
        <v>374</v>
      </c>
      <c r="K133" s="3">
        <f>STANDARDIZE(J133,O$6,P$6)</f>
        <v>0.27605167601430936</v>
      </c>
      <c r="L133" s="3">
        <f t="shared" ref="L133:L196" si="4">STANDARDIZE(J133,J$1,J$2)</f>
        <v>-1.0315021292134252</v>
      </c>
    </row>
    <row r="134" spans="7:12" x14ac:dyDescent="0.3">
      <c r="G134" s="4">
        <v>2005.0833333333201</v>
      </c>
      <c r="H134">
        <v>2005</v>
      </c>
      <c r="I134">
        <v>2</v>
      </c>
      <c r="J134">
        <v>435</v>
      </c>
      <c r="K134" s="3">
        <f>STANDARDIZE(J134,O$5,P$5)</f>
        <v>0.55029010028435654</v>
      </c>
      <c r="L134" s="3">
        <f t="shared" si="4"/>
        <v>-0.66617822739646271</v>
      </c>
    </row>
    <row r="135" spans="7:12" x14ac:dyDescent="0.3">
      <c r="G135" s="4">
        <v>2005</v>
      </c>
      <c r="H135">
        <v>2005</v>
      </c>
      <c r="I135">
        <v>1</v>
      </c>
      <c r="J135">
        <v>590</v>
      </c>
      <c r="K135" s="3">
        <f>STANDARDIZE(J135,O$4,P$4)</f>
        <v>0.40855221720928797</v>
      </c>
      <c r="L135" s="3">
        <f t="shared" si="4"/>
        <v>0.26210381820401568</v>
      </c>
    </row>
    <row r="136" spans="7:12" x14ac:dyDescent="0.3">
      <c r="G136" s="4">
        <v>2004.9166666666499</v>
      </c>
      <c r="H136">
        <v>2004</v>
      </c>
      <c r="I136">
        <v>12</v>
      </c>
      <c r="J136">
        <v>779</v>
      </c>
      <c r="K136" s="3">
        <f>STANDARDIZE(J136,O$15,P$15)</f>
        <v>0.63545691596769693</v>
      </c>
      <c r="L136" s="3">
        <f t="shared" si="4"/>
        <v>1.3940090221942765</v>
      </c>
    </row>
    <row r="137" spans="7:12" x14ac:dyDescent="0.3">
      <c r="G137" s="4">
        <v>2004.8333333333101</v>
      </c>
      <c r="H137">
        <v>2004</v>
      </c>
      <c r="I137">
        <v>11</v>
      </c>
      <c r="J137">
        <v>740</v>
      </c>
      <c r="K137" s="3">
        <f>STANDARDIZE(J137,O$14,P$14)</f>
        <v>0.31546134395973319</v>
      </c>
      <c r="L137" s="3">
        <f t="shared" si="4"/>
        <v>1.1604412816883496</v>
      </c>
    </row>
    <row r="138" spans="7:12" x14ac:dyDescent="0.3">
      <c r="G138" s="4">
        <v>2004.74999999998</v>
      </c>
      <c r="H138">
        <v>2004</v>
      </c>
      <c r="I138">
        <v>10</v>
      </c>
      <c r="J138">
        <v>644</v>
      </c>
      <c r="K138" s="3">
        <f>STANDARDIZE(J138,O$13,P$13)</f>
        <v>8.5126460202161691E-2</v>
      </c>
      <c r="L138" s="3">
        <f t="shared" si="4"/>
        <v>0.58550530505837595</v>
      </c>
    </row>
    <row r="139" spans="7:12" x14ac:dyDescent="0.3">
      <c r="G139" s="4">
        <v>2004.6666666666499</v>
      </c>
      <c r="H139">
        <v>2004</v>
      </c>
      <c r="I139">
        <v>9</v>
      </c>
      <c r="J139">
        <v>547</v>
      </c>
      <c r="K139" s="3">
        <f>STANDARDIZE(J139,O$12,P$12)</f>
        <v>-0.1663665646826071</v>
      </c>
      <c r="L139" s="3">
        <f t="shared" si="4"/>
        <v>4.5804120051732792E-3</v>
      </c>
    </row>
    <row r="140" spans="7:12" x14ac:dyDescent="0.3">
      <c r="G140" s="4">
        <v>2004.5833333333101</v>
      </c>
      <c r="H140">
        <v>2004</v>
      </c>
      <c r="I140">
        <v>8</v>
      </c>
      <c r="J140">
        <v>528</v>
      </c>
      <c r="K140" s="3">
        <f>STANDARDIZE(J140,O$11,P$11)</f>
        <v>-0.20563320890925521</v>
      </c>
      <c r="L140" s="3">
        <f t="shared" si="4"/>
        <v>-0.10920900003617569</v>
      </c>
    </row>
    <row r="141" spans="7:12" x14ac:dyDescent="0.3">
      <c r="G141" s="4">
        <v>2004.49999999998</v>
      </c>
      <c r="H141">
        <v>2004</v>
      </c>
      <c r="I141">
        <v>7</v>
      </c>
      <c r="J141">
        <v>545</v>
      </c>
      <c r="K141" s="3">
        <f>STANDARDIZE(J141,O$10,P$10)</f>
        <v>-0.39318936516072095</v>
      </c>
      <c r="L141" s="3">
        <f t="shared" si="4"/>
        <v>-7.3974208412845065E-3</v>
      </c>
    </row>
    <row r="142" spans="7:12" x14ac:dyDescent="0.3">
      <c r="G142" s="4">
        <v>2004.4166666666499</v>
      </c>
      <c r="H142">
        <v>2004</v>
      </c>
      <c r="I142">
        <v>6</v>
      </c>
      <c r="J142">
        <v>620</v>
      </c>
      <c r="K142" s="3">
        <f>STANDARDIZE(J142,O$9,P$9)</f>
        <v>2.5913115284765125E-2</v>
      </c>
      <c r="L142" s="3">
        <f t="shared" si="4"/>
        <v>0.44177131090088245</v>
      </c>
    </row>
    <row r="143" spans="7:12" x14ac:dyDescent="0.3">
      <c r="G143" s="4">
        <v>2004.3333333333101</v>
      </c>
      <c r="H143">
        <v>2004</v>
      </c>
      <c r="I143">
        <v>5</v>
      </c>
      <c r="J143">
        <v>532</v>
      </c>
      <c r="K143" s="3">
        <f>STANDARDIZE(J143,O$8,P$8)</f>
        <v>-9.7252635724646361E-2</v>
      </c>
      <c r="L143" s="3">
        <f t="shared" si="4"/>
        <v>-8.5253334343260115E-2</v>
      </c>
    </row>
    <row r="144" spans="7:12" x14ac:dyDescent="0.3">
      <c r="G144" s="4">
        <v>2004.24999999998</v>
      </c>
      <c r="H144">
        <v>2004</v>
      </c>
      <c r="I144">
        <v>4</v>
      </c>
      <c r="J144">
        <v>344</v>
      </c>
      <c r="K144" s="3">
        <f>STANDARDIZE(J144,O$7,P$7)</f>
        <v>-0.61086506799992413</v>
      </c>
      <c r="L144" s="3">
        <f t="shared" si="4"/>
        <v>-1.2111696219102921</v>
      </c>
    </row>
    <row r="145" spans="7:12" x14ac:dyDescent="0.3">
      <c r="G145" s="4">
        <v>2004.1666666666499</v>
      </c>
      <c r="H145">
        <v>2004</v>
      </c>
      <c r="I145">
        <v>3</v>
      </c>
      <c r="J145">
        <v>269</v>
      </c>
      <c r="K145" s="3">
        <f>STANDARDIZE(J145,O$6,P$6)</f>
        <v>-0.60526195180164388</v>
      </c>
      <c r="L145" s="3">
        <f t="shared" si="4"/>
        <v>-1.660338353652459</v>
      </c>
    </row>
    <row r="146" spans="7:12" x14ac:dyDescent="0.3">
      <c r="G146" s="4">
        <v>2004.0833333333101</v>
      </c>
      <c r="H146">
        <v>2004</v>
      </c>
      <c r="I146">
        <v>2</v>
      </c>
      <c r="J146">
        <v>356</v>
      </c>
      <c r="K146" s="3">
        <f>STANDARDIZE(J146,O$5,P$5)</f>
        <v>-5.3873366828332436E-2</v>
      </c>
      <c r="L146" s="3">
        <f t="shared" si="4"/>
        <v>-1.1393026248315452</v>
      </c>
    </row>
    <row r="147" spans="7:12" x14ac:dyDescent="0.3">
      <c r="G147" s="4">
        <v>2004</v>
      </c>
      <c r="H147">
        <v>2004</v>
      </c>
      <c r="I147">
        <v>1</v>
      </c>
      <c r="J147">
        <v>654</v>
      </c>
      <c r="K147" s="3">
        <f>STANDARDIZE(J147,O$4,P$4)</f>
        <v>0.8134491152005987</v>
      </c>
      <c r="L147" s="3">
        <f t="shared" si="4"/>
        <v>0.6453944692906648</v>
      </c>
    </row>
    <row r="148" spans="7:12" x14ac:dyDescent="0.3">
      <c r="G148" s="4">
        <v>2003.9166666666499</v>
      </c>
      <c r="H148">
        <v>2003</v>
      </c>
      <c r="I148">
        <v>12</v>
      </c>
      <c r="J148">
        <v>781</v>
      </c>
      <c r="K148" s="3">
        <f>STANDARDIZE(J148,O$15,P$15)</f>
        <v>0.65084328197175734</v>
      </c>
      <c r="L148" s="3">
        <f t="shared" si="4"/>
        <v>1.4059868550407342</v>
      </c>
    </row>
    <row r="149" spans="7:12" x14ac:dyDescent="0.3">
      <c r="G149" s="4">
        <v>2003.8333333333101</v>
      </c>
      <c r="H149">
        <v>2003</v>
      </c>
      <c r="I149">
        <v>11</v>
      </c>
      <c r="J149">
        <v>734</v>
      </c>
      <c r="K149" s="3">
        <f>STANDARDIZE(J149,O$14,P$14)</f>
        <v>0.25767670157904943</v>
      </c>
      <c r="L149" s="3">
        <f t="shared" si="4"/>
        <v>1.1245077831489763</v>
      </c>
    </row>
    <row r="150" spans="7:12" x14ac:dyDescent="0.3">
      <c r="G150" s="4">
        <v>2003.74999999998</v>
      </c>
      <c r="H150">
        <v>2003</v>
      </c>
      <c r="I150">
        <v>10</v>
      </c>
      <c r="J150">
        <v>636</v>
      </c>
      <c r="K150" s="3">
        <f>STANDARDIZE(J150,O$13,P$13)</f>
        <v>1.43515741218428E-2</v>
      </c>
      <c r="L150" s="3">
        <f t="shared" si="4"/>
        <v>0.5375939736725448</v>
      </c>
    </row>
    <row r="151" spans="7:12" x14ac:dyDescent="0.3">
      <c r="G151" s="4">
        <v>2003.6666666666499</v>
      </c>
      <c r="H151">
        <v>2003</v>
      </c>
      <c r="I151">
        <v>9</v>
      </c>
      <c r="J151">
        <v>541</v>
      </c>
      <c r="K151" s="3">
        <f>STANDARDIZE(J151,O$12,P$12)</f>
        <v>-0.21253200400871589</v>
      </c>
      <c r="L151" s="3">
        <f t="shared" si="4"/>
        <v>-3.1353086534200082E-2</v>
      </c>
    </row>
    <row r="152" spans="7:12" x14ac:dyDescent="0.3">
      <c r="G152" s="4">
        <v>2003.5833333333101</v>
      </c>
      <c r="H152">
        <v>2003</v>
      </c>
      <c r="I152">
        <v>8</v>
      </c>
      <c r="J152">
        <v>585</v>
      </c>
      <c r="K152" s="3">
        <f>STANDARDIZE(J152,O$11,P$11)</f>
        <v>0.24440875427524897</v>
      </c>
      <c r="L152" s="3">
        <f t="shared" si="4"/>
        <v>0.23215923608787123</v>
      </c>
    </row>
    <row r="153" spans="7:12" x14ac:dyDescent="0.3">
      <c r="G153" s="4">
        <v>2003.49999999998</v>
      </c>
      <c r="H153">
        <v>2003</v>
      </c>
      <c r="I153">
        <v>7</v>
      </c>
      <c r="J153">
        <v>627</v>
      </c>
      <c r="K153" s="3">
        <f>STANDARDIZE(J153,O$10,P$10)</f>
        <v>0.25596891557442958</v>
      </c>
      <c r="L153" s="3">
        <f t="shared" si="4"/>
        <v>0.48369372586348475</v>
      </c>
    </row>
    <row r="154" spans="7:12" x14ac:dyDescent="0.3">
      <c r="G154" s="4">
        <v>2003.4166666666499</v>
      </c>
      <c r="H154">
        <v>2003</v>
      </c>
      <c r="I154">
        <v>6</v>
      </c>
      <c r="J154">
        <v>598</v>
      </c>
      <c r="K154" s="3">
        <f>STANDARDIZE(J154,O$9,P$9)</f>
        <v>-0.1809738535210185</v>
      </c>
      <c r="L154" s="3">
        <f t="shared" si="4"/>
        <v>0.31001514958984683</v>
      </c>
    </row>
    <row r="155" spans="7:12" x14ac:dyDescent="0.3">
      <c r="G155" s="4">
        <v>2003.3333333333101</v>
      </c>
      <c r="H155">
        <v>2003</v>
      </c>
      <c r="I155">
        <v>5</v>
      </c>
      <c r="J155">
        <v>530</v>
      </c>
      <c r="K155" s="3">
        <f>STANDARDIZE(J155,O$8,P$8)</f>
        <v>-0.11683370332021285</v>
      </c>
      <c r="L155" s="3">
        <f t="shared" si="4"/>
        <v>-9.7231167189717901E-2</v>
      </c>
    </row>
    <row r="156" spans="7:12" x14ac:dyDescent="0.3">
      <c r="G156" s="4">
        <v>2003.24999999998</v>
      </c>
      <c r="H156">
        <v>2003</v>
      </c>
      <c r="I156">
        <v>4</v>
      </c>
      <c r="J156">
        <v>359</v>
      </c>
      <c r="K156" s="3">
        <f>STANDARDIZE(J156,O$7,P$7)</f>
        <v>-0.47351199641433156</v>
      </c>
      <c r="L156" s="3">
        <f t="shared" si="4"/>
        <v>-1.1213358755618585</v>
      </c>
    </row>
    <row r="157" spans="7:12" x14ac:dyDescent="0.3">
      <c r="G157" s="4">
        <v>2003.1666666666499</v>
      </c>
      <c r="H157">
        <v>2003</v>
      </c>
      <c r="I157">
        <v>3</v>
      </c>
      <c r="J157">
        <v>234</v>
      </c>
      <c r="K157" s="3">
        <f>STANDARDIZE(J157,O$6,P$6)</f>
        <v>-0.8990331610736283</v>
      </c>
      <c r="L157" s="3">
        <f t="shared" si="4"/>
        <v>-1.8699504284654702</v>
      </c>
    </row>
    <row r="158" spans="7:12" x14ac:dyDescent="0.3">
      <c r="G158" s="4">
        <v>2003.0833333333101</v>
      </c>
      <c r="H158">
        <v>2003</v>
      </c>
      <c r="I158">
        <v>2</v>
      </c>
      <c r="J158">
        <v>216</v>
      </c>
      <c r="K158" s="3">
        <f>STANDARDIZE(J158,O$5,P$5)</f>
        <v>-1.1245428022179078</v>
      </c>
      <c r="L158" s="3">
        <f t="shared" si="4"/>
        <v>-1.9777509240835904</v>
      </c>
    </row>
    <row r="159" spans="7:12" x14ac:dyDescent="0.3">
      <c r="G159" s="4">
        <v>2003</v>
      </c>
      <c r="H159">
        <v>2003</v>
      </c>
      <c r="I159">
        <v>1</v>
      </c>
      <c r="J159">
        <v>332</v>
      </c>
      <c r="K159" s="3">
        <f>STANDARDIZE(J159,O$4,P$4)</f>
        <v>-1.2236884028181838</v>
      </c>
      <c r="L159" s="3">
        <f t="shared" si="4"/>
        <v>-1.2830366189890388</v>
      </c>
    </row>
    <row r="160" spans="7:12" x14ac:dyDescent="0.3">
      <c r="G160" s="4">
        <v>2002.9166666666399</v>
      </c>
      <c r="H160">
        <v>2002</v>
      </c>
      <c r="I160">
        <v>12</v>
      </c>
      <c r="J160">
        <v>545</v>
      </c>
      <c r="K160" s="3">
        <f>STANDARDIZE(J160,O$15,P$15)</f>
        <v>-1.164747906507376</v>
      </c>
      <c r="L160" s="3">
        <f t="shared" si="4"/>
        <v>-7.3974208412845065E-3</v>
      </c>
    </row>
    <row r="161" spans="7:12" x14ac:dyDescent="0.3">
      <c r="G161" s="4">
        <v>2002.8333333333101</v>
      </c>
      <c r="H161">
        <v>2002</v>
      </c>
      <c r="I161">
        <v>11</v>
      </c>
      <c r="J161">
        <v>621</v>
      </c>
      <c r="K161" s="3">
        <f>STANDARDIZE(J161,O$14,P$14)</f>
        <v>-0.83060072992382816</v>
      </c>
      <c r="L161" s="3">
        <f t="shared" si="4"/>
        <v>0.44776022732411136</v>
      </c>
    </row>
    <row r="162" spans="7:12" x14ac:dyDescent="0.3">
      <c r="G162" s="4">
        <v>2002.74999999998</v>
      </c>
      <c r="H162">
        <v>2002</v>
      </c>
      <c r="I162">
        <v>10</v>
      </c>
      <c r="J162">
        <v>473</v>
      </c>
      <c r="K162" s="3">
        <f>STANDARDIZE(J162,O$13,P$13)</f>
        <v>-1.4276867297646547</v>
      </c>
      <c r="L162" s="3">
        <f t="shared" si="4"/>
        <v>-0.43859940331376479</v>
      </c>
    </row>
    <row r="163" spans="7:12" x14ac:dyDescent="0.3">
      <c r="G163" s="4">
        <v>2002.6666666666399</v>
      </c>
      <c r="H163">
        <v>2002</v>
      </c>
      <c r="I163">
        <v>9</v>
      </c>
      <c r="J163">
        <v>436</v>
      </c>
      <c r="K163" s="3">
        <f>STANDARDIZE(J163,O$12,P$12)</f>
        <v>-1.0204271922156194</v>
      </c>
      <c r="L163" s="3">
        <f t="shared" si="4"/>
        <v>-0.66018931097323386</v>
      </c>
    </row>
    <row r="164" spans="7:12" x14ac:dyDescent="0.3">
      <c r="G164" s="4">
        <v>2002.5833333333101</v>
      </c>
      <c r="H164">
        <v>2002</v>
      </c>
      <c r="I164">
        <v>8</v>
      </c>
      <c r="J164">
        <v>424</v>
      </c>
      <c r="K164" s="3">
        <f>STANDARDIZE(J164,O$11,P$11)</f>
        <v>-1.0267624048950172</v>
      </c>
      <c r="L164" s="3">
        <f t="shared" si="4"/>
        <v>-0.73205630805198052</v>
      </c>
    </row>
    <row r="165" spans="7:12" x14ac:dyDescent="0.3">
      <c r="G165" s="4">
        <v>2002.49999999998</v>
      </c>
      <c r="H165">
        <v>2002</v>
      </c>
      <c r="I165">
        <v>7</v>
      </c>
      <c r="J165">
        <v>574</v>
      </c>
      <c r="K165" s="3">
        <f>STANDARDIZE(J165,O$10,P$10)</f>
        <v>-0.16360899758365552</v>
      </c>
      <c r="L165" s="3">
        <f t="shared" si="4"/>
        <v>0.16628115543235339</v>
      </c>
    </row>
    <row r="166" spans="7:12" x14ac:dyDescent="0.3">
      <c r="G166" s="4">
        <v>2002.4166666666399</v>
      </c>
      <c r="H166">
        <v>2002</v>
      </c>
      <c r="I166">
        <v>6</v>
      </c>
      <c r="J166">
        <v>620</v>
      </c>
      <c r="K166" s="3">
        <f>STANDARDIZE(J166,O$9,P$9)</f>
        <v>2.5913115284765125E-2</v>
      </c>
      <c r="L166" s="3">
        <f t="shared" si="4"/>
        <v>0.44177131090088245</v>
      </c>
    </row>
    <row r="167" spans="7:12" x14ac:dyDescent="0.3">
      <c r="G167" s="4">
        <v>2002.3333333333101</v>
      </c>
      <c r="H167">
        <v>2002</v>
      </c>
      <c r="I167">
        <v>5</v>
      </c>
      <c r="J167">
        <v>530</v>
      </c>
      <c r="K167" s="3">
        <f>STANDARDIZE(J167,O$8,P$8)</f>
        <v>-0.11683370332021285</v>
      </c>
      <c r="L167" s="3">
        <f t="shared" si="4"/>
        <v>-9.7231167189717901E-2</v>
      </c>
    </row>
    <row r="168" spans="7:12" x14ac:dyDescent="0.3">
      <c r="G168" s="4">
        <v>2002.24999999998</v>
      </c>
      <c r="H168">
        <v>2002</v>
      </c>
      <c r="I168">
        <v>4</v>
      </c>
      <c r="J168">
        <v>429</v>
      </c>
      <c r="K168" s="3">
        <f>STANDARDIZE(J168,O$7,P$7)</f>
        <v>0.16746900431843359</v>
      </c>
      <c r="L168" s="3">
        <f t="shared" si="4"/>
        <v>-0.70211172593583615</v>
      </c>
    </row>
    <row r="169" spans="7:12" x14ac:dyDescent="0.3">
      <c r="G169" s="4">
        <v>2002.1666666666399</v>
      </c>
      <c r="H169">
        <v>2002</v>
      </c>
      <c r="I169">
        <v>3</v>
      </c>
      <c r="J169">
        <v>262</v>
      </c>
      <c r="K169" s="3">
        <f>STANDARDIZE(J169,O$6,P$6)</f>
        <v>-0.6640161936560407</v>
      </c>
      <c r="L169" s="3">
        <f t="shared" si="4"/>
        <v>-1.7022607686150613</v>
      </c>
    </row>
    <row r="170" spans="7:12" x14ac:dyDescent="0.3">
      <c r="G170" s="4">
        <v>2002.0833333333101</v>
      </c>
      <c r="H170">
        <v>2002</v>
      </c>
      <c r="I170">
        <v>2</v>
      </c>
      <c r="J170">
        <v>318</v>
      </c>
      <c r="K170" s="3">
        <f>STANDARDIZE(J170,O$5,P$5)</f>
        <v>-0.34448364214836003</v>
      </c>
      <c r="L170" s="3">
        <f t="shared" si="4"/>
        <v>-1.3668814489142433</v>
      </c>
    </row>
    <row r="171" spans="7:12" x14ac:dyDescent="0.3">
      <c r="G171" s="4">
        <v>2002</v>
      </c>
      <c r="H171">
        <v>2002</v>
      </c>
      <c r="I171">
        <v>1</v>
      </c>
      <c r="J171">
        <v>568</v>
      </c>
      <c r="K171" s="3">
        <f>STANDARDIZE(J171,O$4,P$4)</f>
        <v>0.26936890852477485</v>
      </c>
      <c r="L171" s="3">
        <f t="shared" si="4"/>
        <v>0.13034765689298003</v>
      </c>
    </row>
    <row r="172" spans="7:12" x14ac:dyDescent="0.3">
      <c r="G172" s="4">
        <v>2001.9166666666399</v>
      </c>
      <c r="H172">
        <v>2001</v>
      </c>
      <c r="I172">
        <v>12</v>
      </c>
      <c r="J172">
        <v>668</v>
      </c>
      <c r="K172" s="3">
        <f>STANDARDIZE(J172,O$15,P$15)</f>
        <v>-0.21848639725765825</v>
      </c>
      <c r="L172" s="3">
        <f t="shared" si="4"/>
        <v>0.72923929921586939</v>
      </c>
    </row>
    <row r="173" spans="7:12" x14ac:dyDescent="0.3">
      <c r="G173" s="4">
        <v>2001.8333333333101</v>
      </c>
      <c r="H173">
        <v>2001</v>
      </c>
      <c r="I173">
        <v>11</v>
      </c>
      <c r="J173">
        <v>634</v>
      </c>
      <c r="K173" s="3">
        <f>STANDARDIZE(J173,O$14,P$14)</f>
        <v>-0.70540067143234664</v>
      </c>
      <c r="L173" s="3">
        <f t="shared" si="4"/>
        <v>0.52561614082608699</v>
      </c>
    </row>
    <row r="174" spans="7:12" x14ac:dyDescent="0.3">
      <c r="G174" s="4">
        <v>2001.74999999998</v>
      </c>
      <c r="H174">
        <v>2001</v>
      </c>
      <c r="I174">
        <v>10</v>
      </c>
      <c r="J174">
        <v>546</v>
      </c>
      <c r="K174" s="3">
        <f>STANDARDIZE(J174,O$13,P$13)</f>
        <v>-0.7818658942817448</v>
      </c>
      <c r="L174" s="3">
        <f t="shared" si="4"/>
        <v>-1.4085044180556134E-3</v>
      </c>
    </row>
    <row r="175" spans="7:12" x14ac:dyDescent="0.3">
      <c r="G175" s="4">
        <v>2001.6666666666399</v>
      </c>
      <c r="H175">
        <v>2001</v>
      </c>
      <c r="I175">
        <v>9</v>
      </c>
      <c r="J175">
        <v>434</v>
      </c>
      <c r="K175" s="3">
        <f>STANDARDIZE(J175,O$12,P$12)</f>
        <v>-1.035815671990989</v>
      </c>
      <c r="L175" s="3">
        <f t="shared" si="4"/>
        <v>-0.67216714381969167</v>
      </c>
    </row>
    <row r="176" spans="7:12" x14ac:dyDescent="0.3">
      <c r="G176" s="4">
        <v>2001.5833333333101</v>
      </c>
      <c r="H176">
        <v>2001</v>
      </c>
      <c r="I176">
        <v>8</v>
      </c>
      <c r="J176">
        <v>411</v>
      </c>
      <c r="K176" s="3">
        <f>STANDARDIZE(J176,O$11,P$11)</f>
        <v>-1.1294035543932375</v>
      </c>
      <c r="L176" s="3">
        <f t="shared" si="4"/>
        <v>-0.80991222155395615</v>
      </c>
    </row>
    <row r="177" spans="7:12" x14ac:dyDescent="0.3">
      <c r="G177" s="4">
        <v>2001.49999999998</v>
      </c>
      <c r="H177">
        <v>2001</v>
      </c>
      <c r="I177">
        <v>7</v>
      </c>
      <c r="J177">
        <v>459</v>
      </c>
      <c r="K177" s="3">
        <f>STANDARDIZE(J177,O$10,P$10)</f>
        <v>-1.0740139034927081</v>
      </c>
      <c r="L177" s="3">
        <f t="shared" si="4"/>
        <v>-0.52244423323896927</v>
      </c>
    </row>
    <row r="178" spans="7:12" x14ac:dyDescent="0.3">
      <c r="G178" s="4">
        <v>2001.4166666666399</v>
      </c>
      <c r="H178">
        <v>2001</v>
      </c>
      <c r="I178">
        <v>6</v>
      </c>
      <c r="J178">
        <v>525</v>
      </c>
      <c r="K178" s="3">
        <f>STANDARDIZE(J178,O$9,P$9)</f>
        <v>-0.86746243183111871</v>
      </c>
      <c r="L178" s="3">
        <f t="shared" si="4"/>
        <v>-0.12717574930586237</v>
      </c>
    </row>
    <row r="179" spans="7:12" x14ac:dyDescent="0.3">
      <c r="G179" s="4">
        <v>2001.3333333333101</v>
      </c>
      <c r="H179">
        <v>2001</v>
      </c>
      <c r="I179">
        <v>5</v>
      </c>
      <c r="J179">
        <v>430</v>
      </c>
      <c r="K179" s="3">
        <f>STANDARDIZE(J179,O$8,P$8)</f>
        <v>-1.0958870830985372</v>
      </c>
      <c r="L179" s="3">
        <f t="shared" si="4"/>
        <v>-0.69612280951260719</v>
      </c>
    </row>
    <row r="180" spans="7:12" x14ac:dyDescent="0.3">
      <c r="G180" s="4">
        <v>2001.24999999997</v>
      </c>
      <c r="H180">
        <v>2001</v>
      </c>
      <c r="I180">
        <v>4</v>
      </c>
      <c r="J180">
        <v>366</v>
      </c>
      <c r="K180" s="3">
        <f>STANDARDIZE(J180,O$7,P$7)</f>
        <v>-0.40941389634105502</v>
      </c>
      <c r="L180" s="3">
        <f t="shared" si="4"/>
        <v>-1.0794134605992565</v>
      </c>
    </row>
    <row r="181" spans="7:12" x14ac:dyDescent="0.3">
      <c r="G181" s="4">
        <v>2001.1666666666399</v>
      </c>
      <c r="H181">
        <v>2001</v>
      </c>
      <c r="I181">
        <v>3</v>
      </c>
      <c r="J181">
        <v>313</v>
      </c>
      <c r="K181" s="3">
        <f>STANDARDIZE(J181,O$6,P$6)</f>
        <v>-0.23594957443114917</v>
      </c>
      <c r="L181" s="3">
        <f t="shared" si="4"/>
        <v>-1.3968260310303877</v>
      </c>
    </row>
    <row r="182" spans="7:12" x14ac:dyDescent="0.3">
      <c r="G182" s="4">
        <v>2001.0833333333101</v>
      </c>
      <c r="H182">
        <v>2001</v>
      </c>
      <c r="I182">
        <v>2</v>
      </c>
      <c r="J182">
        <v>273</v>
      </c>
      <c r="K182" s="3">
        <f>STANDARDIZE(J182,O$5,P$5)</f>
        <v>-0.68862738923786637</v>
      </c>
      <c r="L182" s="3">
        <f t="shared" si="4"/>
        <v>-1.6363826879595433</v>
      </c>
    </row>
    <row r="183" spans="7:12" x14ac:dyDescent="0.3">
      <c r="G183" s="4">
        <v>2001</v>
      </c>
      <c r="H183">
        <v>2001</v>
      </c>
      <c r="I183">
        <v>1</v>
      </c>
      <c r="J183">
        <v>479</v>
      </c>
      <c r="K183" s="3">
        <f>STANDARDIZE(J183,O$4,P$4)</f>
        <v>-0.29369084024439174</v>
      </c>
      <c r="L183" s="3">
        <f t="shared" si="4"/>
        <v>-0.40266590477439146</v>
      </c>
    </row>
    <row r="184" spans="7:12" x14ac:dyDescent="0.3">
      <c r="G184" s="4">
        <v>2000.9166666666399</v>
      </c>
      <c r="H184">
        <v>2000</v>
      </c>
      <c r="I184">
        <v>12</v>
      </c>
      <c r="J184">
        <v>695</v>
      </c>
      <c r="K184" s="3">
        <f>STANDARDIZE(J184,O$15,P$15)</f>
        <v>-1.0770456202842142E-2</v>
      </c>
      <c r="L184" s="3">
        <f t="shared" si="4"/>
        <v>0.89094004264304949</v>
      </c>
    </row>
    <row r="185" spans="7:12" x14ac:dyDescent="0.3">
      <c r="G185" s="4">
        <v>2000.8333333333101</v>
      </c>
      <c r="H185">
        <v>2000</v>
      </c>
      <c r="I185">
        <v>11</v>
      </c>
      <c r="J185">
        <v>758</v>
      </c>
      <c r="K185" s="3">
        <f>STANDARDIZE(J185,O$14,P$14)</f>
        <v>0.48881527110178447</v>
      </c>
      <c r="L185" s="3">
        <f t="shared" si="4"/>
        <v>1.2682417773064698</v>
      </c>
    </row>
    <row r="186" spans="7:12" x14ac:dyDescent="0.3">
      <c r="G186" s="4">
        <v>2000.74999999997</v>
      </c>
      <c r="H186">
        <v>2000</v>
      </c>
      <c r="I186">
        <v>10</v>
      </c>
      <c r="J186">
        <v>744</v>
      </c>
      <c r="K186" s="3">
        <f>STANDARDIZE(J186,O$13,P$13)</f>
        <v>0.96981253620614793</v>
      </c>
      <c r="L186" s="3">
        <f t="shared" si="4"/>
        <v>1.1843969473812652</v>
      </c>
    </row>
    <row r="187" spans="7:12" x14ac:dyDescent="0.3">
      <c r="G187" s="4">
        <v>2000.6666666666399</v>
      </c>
      <c r="H187">
        <v>2000</v>
      </c>
      <c r="I187">
        <v>9</v>
      </c>
      <c r="J187">
        <v>669</v>
      </c>
      <c r="K187" s="3">
        <f>STANDARDIZE(J187,O$12,P$12)</f>
        <v>0.77233070161493789</v>
      </c>
      <c r="L187" s="3">
        <f t="shared" si="4"/>
        <v>0.73522821563909824</v>
      </c>
    </row>
    <row r="188" spans="7:12" x14ac:dyDescent="0.3">
      <c r="G188" s="4">
        <v>2000.5833333333101</v>
      </c>
      <c r="H188">
        <v>2000</v>
      </c>
      <c r="I188">
        <v>8</v>
      </c>
      <c r="J188">
        <v>669</v>
      </c>
      <c r="K188" s="3">
        <f>STANDARDIZE(J188,O$11,P$11)</f>
        <v>0.90762848949451835</v>
      </c>
      <c r="L188" s="3">
        <f t="shared" si="4"/>
        <v>0.73522821563909824</v>
      </c>
    </row>
    <row r="189" spans="7:12" x14ac:dyDescent="0.3">
      <c r="G189" s="4">
        <v>2000.49999999997</v>
      </c>
      <c r="H189">
        <v>2000</v>
      </c>
      <c r="I189">
        <v>7</v>
      </c>
      <c r="J189">
        <v>715</v>
      </c>
      <c r="K189" s="3">
        <f>STANDARDIZE(J189,O$10,P$10)</f>
        <v>0.95262658270483502</v>
      </c>
      <c r="L189" s="3">
        <f t="shared" si="4"/>
        <v>1.0107183711076273</v>
      </c>
    </row>
    <row r="190" spans="7:12" x14ac:dyDescent="0.3">
      <c r="G190" s="4">
        <v>2000.4166666666399</v>
      </c>
      <c r="H190">
        <v>2000</v>
      </c>
      <c r="I190">
        <v>6</v>
      </c>
      <c r="J190">
        <v>688</v>
      </c>
      <c r="K190" s="3">
        <f>STANDARDIZE(J190,O$9,P$9)</f>
        <v>0.6653819279571872</v>
      </c>
      <c r="L190" s="3">
        <f t="shared" si="4"/>
        <v>0.8490176276804472</v>
      </c>
    </row>
    <row r="191" spans="7:12" x14ac:dyDescent="0.3">
      <c r="G191" s="4">
        <v>2000.3333333333101</v>
      </c>
      <c r="H191">
        <v>2000</v>
      </c>
      <c r="I191">
        <v>5</v>
      </c>
      <c r="J191">
        <v>585</v>
      </c>
      <c r="K191" s="3">
        <f>STANDARDIZE(J191,O$8,P$8)</f>
        <v>0.42164565555786554</v>
      </c>
      <c r="L191" s="3">
        <f t="shared" si="4"/>
        <v>0.23215923608787123</v>
      </c>
    </row>
    <row r="192" spans="7:12" x14ac:dyDescent="0.3">
      <c r="G192" s="4">
        <v>2000.24999999997</v>
      </c>
      <c r="H192">
        <v>2000</v>
      </c>
      <c r="I192">
        <v>4</v>
      </c>
      <c r="J192">
        <v>509</v>
      </c>
      <c r="K192" s="3">
        <f>STANDARDIZE(J192,O$7,P$7)</f>
        <v>0.90001871944159373</v>
      </c>
      <c r="L192" s="3">
        <f t="shared" si="4"/>
        <v>-0.22299841207752466</v>
      </c>
    </row>
    <row r="193" spans="7:12" x14ac:dyDescent="0.3">
      <c r="G193" s="4">
        <v>2000.1666666666399</v>
      </c>
      <c r="H193">
        <v>2000</v>
      </c>
      <c r="I193">
        <v>3</v>
      </c>
      <c r="J193">
        <v>531</v>
      </c>
      <c r="K193" s="3">
        <f>STANDARDIZE(J193,O$6,P$6)</f>
        <v>1.5938253861772109</v>
      </c>
      <c r="L193" s="3">
        <f t="shared" si="4"/>
        <v>-9.1242250766489008E-2</v>
      </c>
    </row>
    <row r="194" spans="7:12" x14ac:dyDescent="0.3">
      <c r="G194" s="4">
        <v>2000.0833333333101</v>
      </c>
      <c r="H194">
        <v>2000</v>
      </c>
      <c r="I194">
        <v>2</v>
      </c>
      <c r="J194">
        <v>535</v>
      </c>
      <c r="K194" s="3">
        <f>STANDARDIZE(J194,O$5,P$5)</f>
        <v>1.3150539827054817</v>
      </c>
      <c r="L194" s="3">
        <f t="shared" si="4"/>
        <v>-6.7286585073573435E-2</v>
      </c>
    </row>
    <row r="195" spans="7:12" x14ac:dyDescent="0.3">
      <c r="G195" s="4">
        <v>2000</v>
      </c>
      <c r="H195">
        <v>2000</v>
      </c>
      <c r="I195">
        <v>1</v>
      </c>
      <c r="J195">
        <v>765</v>
      </c>
      <c r="K195" s="3">
        <f>STANDARDIZE(J195,O$4,P$4)</f>
        <v>1.5156921726542785</v>
      </c>
      <c r="L195" s="3">
        <f t="shared" si="4"/>
        <v>1.3101641922690719</v>
      </c>
    </row>
    <row r="196" spans="7:12" x14ac:dyDescent="0.3">
      <c r="G196" s="4">
        <v>1999.9166666660001</v>
      </c>
      <c r="H196">
        <v>1999</v>
      </c>
      <c r="I196">
        <v>12</v>
      </c>
      <c r="J196">
        <v>852</v>
      </c>
      <c r="K196" s="3">
        <f>STANDARDIZE(J196,O$15,P$15)</f>
        <v>1.1970592751159035</v>
      </c>
      <c r="L196" s="3">
        <f t="shared" si="4"/>
        <v>1.8311999210899856</v>
      </c>
    </row>
    <row r="197" spans="7:12" x14ac:dyDescent="0.3">
      <c r="G197" s="4">
        <v>1999.83333333264</v>
      </c>
      <c r="H197">
        <v>1999</v>
      </c>
      <c r="I197">
        <v>11</v>
      </c>
      <c r="J197">
        <v>865</v>
      </c>
      <c r="K197" s="3">
        <f>STANDARDIZE(J197,O$14,P$14)</f>
        <v>1.5193080602239784</v>
      </c>
      <c r="L197" s="3">
        <f t="shared" ref="L197:L260" si="5">STANDARDIZE(J197,J$1,J$2)</f>
        <v>1.9090558345919613</v>
      </c>
    </row>
    <row r="198" spans="7:12" x14ac:dyDescent="0.3">
      <c r="G198" s="4">
        <v>1999.7499999992799</v>
      </c>
      <c r="H198">
        <v>1999</v>
      </c>
      <c r="I198">
        <v>10</v>
      </c>
      <c r="J198">
        <v>792</v>
      </c>
      <c r="K198" s="3">
        <f>STANDARDIZE(J198,O$13,P$13)</f>
        <v>1.3944618526880612</v>
      </c>
      <c r="L198" s="3">
        <f t="shared" si="5"/>
        <v>1.4718649356962521</v>
      </c>
    </row>
    <row r="199" spans="7:12" x14ac:dyDescent="0.3">
      <c r="G199" s="4">
        <v>1999.66666666592</v>
      </c>
      <c r="H199">
        <v>1999</v>
      </c>
      <c r="I199">
        <v>9</v>
      </c>
      <c r="J199">
        <v>716</v>
      </c>
      <c r="K199" s="3">
        <f>STANDARDIZE(J199,O$12,P$12)</f>
        <v>1.1339599763361232</v>
      </c>
      <c r="L199" s="3">
        <f t="shared" si="5"/>
        <v>1.0167072875308563</v>
      </c>
    </row>
    <row r="200" spans="7:12" x14ac:dyDescent="0.3">
      <c r="G200" s="4">
        <v>1999.58333333256</v>
      </c>
      <c r="H200">
        <v>1999</v>
      </c>
      <c r="I200">
        <v>8</v>
      </c>
      <c r="J200">
        <v>722</v>
      </c>
      <c r="K200" s="3">
        <f>STANDARDIZE(J200,O$11,P$11)</f>
        <v>1.326088560525724</v>
      </c>
      <c r="L200" s="3">
        <f t="shared" si="5"/>
        <v>1.0526407860702296</v>
      </c>
    </row>
    <row r="201" spans="7:12" x14ac:dyDescent="0.3">
      <c r="G201" s="4">
        <v>1999.4999999992001</v>
      </c>
      <c r="H201">
        <v>1999</v>
      </c>
      <c r="I201">
        <v>7</v>
      </c>
      <c r="J201">
        <v>775</v>
      </c>
      <c r="K201" s="3">
        <f>STANDARDIZE(J201,O$10,P$10)</f>
        <v>1.4276204466573843</v>
      </c>
      <c r="L201" s="3">
        <f t="shared" si="5"/>
        <v>1.3700533565013608</v>
      </c>
    </row>
    <row r="202" spans="7:12" x14ac:dyDescent="0.3">
      <c r="G202" s="4">
        <v>1999.41666666584</v>
      </c>
      <c r="H202">
        <v>1999</v>
      </c>
      <c r="I202">
        <v>6</v>
      </c>
      <c r="J202">
        <v>748</v>
      </c>
      <c r="K202" s="3">
        <f>STANDARDIZE(J202,O$9,P$9)</f>
        <v>1.2296191156093244</v>
      </c>
      <c r="L202" s="3">
        <f t="shared" si="5"/>
        <v>1.2083526130741808</v>
      </c>
    </row>
    <row r="203" spans="7:12" x14ac:dyDescent="0.3">
      <c r="G203" s="4">
        <v>1999.3333333324799</v>
      </c>
      <c r="H203">
        <v>1999</v>
      </c>
      <c r="I203">
        <v>5</v>
      </c>
      <c r="J203">
        <v>704</v>
      </c>
      <c r="K203" s="3">
        <f>STANDARDIZE(J203,O$8,P$8)</f>
        <v>1.5867191774940714</v>
      </c>
      <c r="L203" s="3">
        <f t="shared" si="5"/>
        <v>0.94484029045210949</v>
      </c>
    </row>
    <row r="204" spans="7:12" x14ac:dyDescent="0.3">
      <c r="G204" s="4">
        <v>1999.2499999991201</v>
      </c>
      <c r="H204">
        <v>1999</v>
      </c>
      <c r="I204">
        <v>4</v>
      </c>
      <c r="J204">
        <v>663</v>
      </c>
      <c r="K204" s="3">
        <f>STANDARDIZE(J204,O$7,P$7)</f>
        <v>2.3101769210536771</v>
      </c>
      <c r="L204" s="3">
        <f t="shared" si="5"/>
        <v>0.69929471709972491</v>
      </c>
    </row>
    <row r="205" spans="7:12" x14ac:dyDescent="0.3">
      <c r="G205" s="4">
        <v>1999.16666666576</v>
      </c>
      <c r="H205">
        <v>1999</v>
      </c>
      <c r="I205">
        <v>3</v>
      </c>
      <c r="J205">
        <v>646</v>
      </c>
      <c r="K205" s="3">
        <f>STANDARDIZE(J205,O$6,P$6)</f>
        <v>2.559073645213731</v>
      </c>
      <c r="L205" s="3">
        <f t="shared" si="5"/>
        <v>0.59748313790483365</v>
      </c>
    </row>
    <row r="206" spans="7:12" x14ac:dyDescent="0.3">
      <c r="G206" s="4">
        <v>1999.0833333323999</v>
      </c>
      <c r="H206">
        <v>1999</v>
      </c>
      <c r="I206">
        <v>2</v>
      </c>
      <c r="J206">
        <v>607</v>
      </c>
      <c r="K206" s="3">
        <f>STANDARDIZE(J206,O$5,P$5)</f>
        <v>1.8656839780486918</v>
      </c>
      <c r="L206" s="3">
        <f t="shared" si="5"/>
        <v>0.36391539739890688</v>
      </c>
    </row>
    <row r="207" spans="7:12" x14ac:dyDescent="0.3">
      <c r="G207" s="4">
        <v>1998.99999999904</v>
      </c>
      <c r="H207">
        <v>1999</v>
      </c>
      <c r="I207">
        <v>1</v>
      </c>
      <c r="J207">
        <v>726</v>
      </c>
      <c r="K207" s="3">
        <f>STANDARDIZE(J207,O$4,P$4)</f>
        <v>1.2689581254408233</v>
      </c>
      <c r="L207" s="3">
        <f t="shared" si="5"/>
        <v>1.0765964517631452</v>
      </c>
    </row>
    <row r="208" spans="7:12" x14ac:dyDescent="0.3">
      <c r="G208" s="4">
        <v>1998.9166666656799</v>
      </c>
      <c r="H208">
        <v>1998</v>
      </c>
      <c r="I208">
        <v>12</v>
      </c>
      <c r="J208">
        <v>776</v>
      </c>
      <c r="K208" s="3">
        <f>STANDARDIZE(J208,O$15,P$15)</f>
        <v>0.61237736696160616</v>
      </c>
      <c r="L208" s="3">
        <f t="shared" si="5"/>
        <v>1.3760422729245898</v>
      </c>
    </row>
    <row r="209" spans="7:12" x14ac:dyDescent="0.3">
      <c r="G209" s="4">
        <v>1998.8333333323201</v>
      </c>
      <c r="H209">
        <v>1998</v>
      </c>
      <c r="I209">
        <v>11</v>
      </c>
      <c r="J209">
        <v>733</v>
      </c>
      <c r="K209" s="3">
        <f>STANDARDIZE(J209,O$14,P$14)</f>
        <v>0.24804592784893545</v>
      </c>
      <c r="L209" s="3">
        <f t="shared" si="5"/>
        <v>1.1185188667257473</v>
      </c>
    </row>
    <row r="210" spans="7:12" x14ac:dyDescent="0.3">
      <c r="G210" s="4">
        <v>1998.74999999896</v>
      </c>
      <c r="H210">
        <v>1998</v>
      </c>
      <c r="I210">
        <v>10</v>
      </c>
      <c r="J210">
        <v>703</v>
      </c>
      <c r="K210" s="3">
        <f>STANDARDIZE(J210,O$13,P$13)</f>
        <v>0.60709124504451351</v>
      </c>
      <c r="L210" s="3">
        <f t="shared" si="5"/>
        <v>0.93885137402888064</v>
      </c>
    </row>
    <row r="211" spans="7:12" x14ac:dyDescent="0.3">
      <c r="G211" s="4">
        <v>1998.6666666655999</v>
      </c>
      <c r="H211">
        <v>1998</v>
      </c>
      <c r="I211">
        <v>9</v>
      </c>
      <c r="J211">
        <v>665</v>
      </c>
      <c r="K211" s="3">
        <f>STANDARDIZE(J211,O$12,P$12)</f>
        <v>0.74155374206419877</v>
      </c>
      <c r="L211" s="3">
        <f t="shared" si="5"/>
        <v>0.71127254994618272</v>
      </c>
    </row>
    <row r="212" spans="7:12" x14ac:dyDescent="0.3">
      <c r="G212" s="4">
        <v>1998.58333333224</v>
      </c>
      <c r="H212">
        <v>1998</v>
      </c>
      <c r="I212">
        <v>8</v>
      </c>
      <c r="J212">
        <v>657</v>
      </c>
      <c r="K212" s="3">
        <f>STANDARDIZE(J212,O$11,P$11)</f>
        <v>0.81288281303462273</v>
      </c>
      <c r="L212" s="3">
        <f t="shared" si="5"/>
        <v>0.66336121856035157</v>
      </c>
    </row>
    <row r="213" spans="7:12" x14ac:dyDescent="0.3">
      <c r="G213" s="4">
        <v>1998.49999999888</v>
      </c>
      <c r="H213">
        <v>1998</v>
      </c>
      <c r="I213">
        <v>7</v>
      </c>
      <c r="J213">
        <v>673</v>
      </c>
      <c r="K213" s="3">
        <f>STANDARDIZE(J213,O$10,P$10)</f>
        <v>0.62013087793805066</v>
      </c>
      <c r="L213" s="3">
        <f t="shared" si="5"/>
        <v>0.75918388133201375</v>
      </c>
    </row>
    <row r="214" spans="7:12" x14ac:dyDescent="0.3">
      <c r="G214" s="4">
        <v>1998.4166666655201</v>
      </c>
      <c r="H214">
        <v>1998</v>
      </c>
      <c r="I214">
        <v>6</v>
      </c>
      <c r="J214">
        <v>642</v>
      </c>
      <c r="K214" s="3">
        <f>STANDARDIZE(J214,O$9,P$9)</f>
        <v>0.23280008409054873</v>
      </c>
      <c r="L214" s="3">
        <f t="shared" si="5"/>
        <v>0.57352747221191813</v>
      </c>
    </row>
    <row r="215" spans="7:12" x14ac:dyDescent="0.3">
      <c r="G215" s="4">
        <v>1998.33333333216</v>
      </c>
      <c r="H215">
        <v>1998</v>
      </c>
      <c r="I215">
        <v>5</v>
      </c>
      <c r="J215">
        <v>562</v>
      </c>
      <c r="K215" s="3">
        <f>STANDARDIZE(J215,O$8,P$8)</f>
        <v>0.19646337820885093</v>
      </c>
      <c r="L215" s="3">
        <f t="shared" si="5"/>
        <v>9.441415835360667E-2</v>
      </c>
    </row>
    <row r="216" spans="7:12" x14ac:dyDescent="0.3">
      <c r="G216" s="4">
        <v>1998.2499999987999</v>
      </c>
      <c r="H216">
        <v>1998</v>
      </c>
      <c r="I216">
        <v>4</v>
      </c>
      <c r="J216">
        <v>394</v>
      </c>
      <c r="K216" s="3">
        <f>STANDARDIZE(J216,O$7,P$7)</f>
        <v>-0.15302149604794898</v>
      </c>
      <c r="L216" s="3">
        <f t="shared" si="5"/>
        <v>-0.9117238007488474</v>
      </c>
    </row>
    <row r="217" spans="7:12" x14ac:dyDescent="0.3">
      <c r="G217" s="4">
        <v>1998.1666666654401</v>
      </c>
      <c r="H217">
        <v>1998</v>
      </c>
      <c r="I217">
        <v>3</v>
      </c>
      <c r="J217">
        <v>210</v>
      </c>
      <c r="K217" s="3">
        <f>STANDARDIZE(J217,O$6,P$6)</f>
        <v>-1.1004762760029889</v>
      </c>
      <c r="L217" s="3">
        <f t="shared" si="5"/>
        <v>-2.0136844226229638</v>
      </c>
    </row>
    <row r="218" spans="7:12" x14ac:dyDescent="0.3">
      <c r="G218" s="4">
        <v>1998.08333333208</v>
      </c>
      <c r="H218">
        <v>1998</v>
      </c>
      <c r="I218">
        <v>2</v>
      </c>
      <c r="J218">
        <v>241</v>
      </c>
      <c r="K218" s="3">
        <f>STANDARDIZE(J218,O$5,P$5)</f>
        <v>-0.93335183161262647</v>
      </c>
      <c r="L218" s="3">
        <f t="shared" si="5"/>
        <v>-1.8280280135028679</v>
      </c>
    </row>
    <row r="219" spans="7:12" x14ac:dyDescent="0.3">
      <c r="G219" s="4">
        <v>1997.9999999987201</v>
      </c>
      <c r="H219">
        <v>1998</v>
      </c>
      <c r="I219">
        <v>1</v>
      </c>
      <c r="J219">
        <v>226</v>
      </c>
      <c r="K219" s="3">
        <f>STANDARDIZE(J219,O$4,P$4)</f>
        <v>-1.8942988901162923</v>
      </c>
      <c r="L219" s="3">
        <f t="shared" si="5"/>
        <v>-1.9178617598513015</v>
      </c>
    </row>
    <row r="220" spans="7:12" x14ac:dyDescent="0.3">
      <c r="G220" s="4">
        <v>1997.91666666536</v>
      </c>
      <c r="H220">
        <v>1997</v>
      </c>
      <c r="I220">
        <v>12</v>
      </c>
      <c r="J220">
        <v>443</v>
      </c>
      <c r="K220" s="3">
        <f>STANDARDIZE(J220,O$15,P$15)</f>
        <v>-1.9494525727144592</v>
      </c>
      <c r="L220" s="3">
        <f t="shared" si="5"/>
        <v>-0.61826689601063156</v>
      </c>
    </row>
    <row r="221" spans="7:12" x14ac:dyDescent="0.3">
      <c r="G221" s="4">
        <v>1997.8333333319999</v>
      </c>
      <c r="H221">
        <v>1997</v>
      </c>
      <c r="I221">
        <v>11</v>
      </c>
      <c r="J221">
        <v>509</v>
      </c>
      <c r="K221" s="3">
        <f>STANDARDIZE(J221,O$14,P$14)</f>
        <v>-1.9092473876965919</v>
      </c>
      <c r="L221" s="3">
        <f t="shared" si="5"/>
        <v>-0.22299841207752466</v>
      </c>
    </row>
    <row r="222" spans="7:12" x14ac:dyDescent="0.3">
      <c r="G222" s="4">
        <v>1997.7499999986401</v>
      </c>
      <c r="H222">
        <v>1997</v>
      </c>
      <c r="I222">
        <v>10</v>
      </c>
      <c r="J222">
        <v>470</v>
      </c>
      <c r="K222" s="3">
        <f>STANDARDIZE(J222,O$13,P$13)</f>
        <v>-1.4542273120447744</v>
      </c>
      <c r="L222" s="3">
        <f t="shared" si="5"/>
        <v>-0.45656615258345151</v>
      </c>
    </row>
    <row r="223" spans="7:12" x14ac:dyDescent="0.3">
      <c r="G223" s="4">
        <v>1997.66666666528</v>
      </c>
      <c r="H223">
        <v>1997</v>
      </c>
      <c r="I223">
        <v>9</v>
      </c>
      <c r="J223">
        <v>355</v>
      </c>
      <c r="K223" s="3">
        <f>STANDARDIZE(J223,O$12,P$12)</f>
        <v>-1.6436606231180879</v>
      </c>
      <c r="L223" s="3">
        <f t="shared" si="5"/>
        <v>-1.1452915412547742</v>
      </c>
    </row>
    <row r="224" spans="7:12" x14ac:dyDescent="0.3">
      <c r="G224" s="4">
        <v>1997.5833333319199</v>
      </c>
      <c r="H224">
        <v>1997</v>
      </c>
      <c r="I224">
        <v>8</v>
      </c>
      <c r="J224">
        <v>363</v>
      </c>
      <c r="K224" s="3">
        <f>STANDARDIZE(J224,O$11,P$11)</f>
        <v>-1.50838626023282</v>
      </c>
      <c r="L224" s="3">
        <f t="shared" si="5"/>
        <v>-1.0973802098689431</v>
      </c>
    </row>
    <row r="225" spans="7:12" x14ac:dyDescent="0.3">
      <c r="G225" s="4">
        <v>1997.49999999856</v>
      </c>
      <c r="H225">
        <v>1997</v>
      </c>
      <c r="I225">
        <v>7</v>
      </c>
      <c r="J225">
        <v>470</v>
      </c>
      <c r="K225" s="3">
        <f>STANDARDIZE(J225,O$10,P$10)</f>
        <v>-0.98693169510140744</v>
      </c>
      <c r="L225" s="3">
        <f t="shared" si="5"/>
        <v>-0.45656615258345151</v>
      </c>
    </row>
    <row r="226" spans="7:12" x14ac:dyDescent="0.3">
      <c r="G226" s="4">
        <v>1997.4166666652</v>
      </c>
      <c r="H226">
        <v>1997</v>
      </c>
      <c r="I226">
        <v>6</v>
      </c>
      <c r="J226">
        <v>496</v>
      </c>
      <c r="K226" s="3">
        <f>STANDARDIZE(J226,O$9,P$9)</f>
        <v>-1.1401770725296516</v>
      </c>
      <c r="L226" s="3">
        <f t="shared" si="5"/>
        <v>-0.30085432557950026</v>
      </c>
    </row>
    <row r="227" spans="7:12" x14ac:dyDescent="0.3">
      <c r="G227" s="4">
        <v>1997.3333333318401</v>
      </c>
      <c r="H227">
        <v>1997</v>
      </c>
      <c r="I227">
        <v>5</v>
      </c>
      <c r="J227">
        <v>436</v>
      </c>
      <c r="K227" s="3">
        <f>STANDARDIZE(J227,O$8,P$8)</f>
        <v>-1.0371438803118378</v>
      </c>
      <c r="L227" s="3">
        <f t="shared" si="5"/>
        <v>-0.66018931097323386</v>
      </c>
    </row>
    <row r="228" spans="7:12" x14ac:dyDescent="0.3">
      <c r="G228" s="4">
        <v>1997.24999999848</v>
      </c>
      <c r="H228">
        <v>1997</v>
      </c>
      <c r="I228">
        <v>4</v>
      </c>
      <c r="J228">
        <v>358</v>
      </c>
      <c r="K228" s="3">
        <f>STANDARDIZE(J228,O$7,P$7)</f>
        <v>-0.48266886785337104</v>
      </c>
      <c r="L228" s="3">
        <f t="shared" si="5"/>
        <v>-1.1273247919850875</v>
      </c>
    </row>
    <row r="229" spans="7:12" x14ac:dyDescent="0.3">
      <c r="G229" s="4">
        <v>1997.1666666651099</v>
      </c>
      <c r="H229">
        <v>1997</v>
      </c>
      <c r="I229">
        <v>3</v>
      </c>
      <c r="J229">
        <v>358</v>
      </c>
      <c r="K229" s="3">
        <f>STANDARDIZE(J229,O$6,P$6)</f>
        <v>0.14175626606140221</v>
      </c>
      <c r="L229" s="3">
        <f t="shared" si="5"/>
        <v>-1.1273247919850875</v>
      </c>
    </row>
    <row r="230" spans="7:12" x14ac:dyDescent="0.3">
      <c r="G230" s="4">
        <v>1997.0833333317501</v>
      </c>
      <c r="H230">
        <v>1997</v>
      </c>
      <c r="I230">
        <v>2</v>
      </c>
      <c r="J230">
        <v>463</v>
      </c>
      <c r="K230" s="3">
        <f>STANDARDIZE(J230,O$5,P$5)</f>
        <v>0.76442398736227157</v>
      </c>
      <c r="L230" s="3">
        <f t="shared" si="5"/>
        <v>-0.49848856754605375</v>
      </c>
    </row>
    <row r="231" spans="7:12" x14ac:dyDescent="0.3">
      <c r="G231" s="4">
        <v>1996.99999999839</v>
      </c>
      <c r="H231">
        <v>1997</v>
      </c>
      <c r="I231">
        <v>1</v>
      </c>
      <c r="J231">
        <v>512</v>
      </c>
      <c r="K231" s="3">
        <f>STANDARDIZE(J231,O$4,P$4)</f>
        <v>-8.4915877217622102E-2</v>
      </c>
      <c r="L231" s="3">
        <f t="shared" si="5"/>
        <v>-0.20503166280783797</v>
      </c>
    </row>
    <row r="232" spans="7:12" x14ac:dyDescent="0.3">
      <c r="G232" s="4">
        <v>1996.9166666650301</v>
      </c>
      <c r="H232">
        <v>1996</v>
      </c>
      <c r="I232">
        <v>12</v>
      </c>
      <c r="J232">
        <v>707</v>
      </c>
      <c r="K232" s="3">
        <f>STANDARDIZE(J232,O$15,P$15)</f>
        <v>8.1547739821520582E-2</v>
      </c>
      <c r="L232" s="3">
        <f t="shared" si="5"/>
        <v>0.96280703972179615</v>
      </c>
    </row>
    <row r="233" spans="7:12" x14ac:dyDescent="0.3">
      <c r="G233" s="4">
        <v>1996.83333333167</v>
      </c>
      <c r="H233">
        <v>1996</v>
      </c>
      <c r="I233">
        <v>11</v>
      </c>
      <c r="J233">
        <v>755</v>
      </c>
      <c r="K233" s="3">
        <f>STANDARDIZE(J233,O$14,P$14)</f>
        <v>0.45992294991144256</v>
      </c>
      <c r="L233" s="3">
        <f t="shared" si="5"/>
        <v>1.2502750280367831</v>
      </c>
    </row>
    <row r="234" spans="7:12" x14ac:dyDescent="0.3">
      <c r="G234" s="4">
        <v>1996.7499999983099</v>
      </c>
      <c r="H234">
        <v>1996</v>
      </c>
      <c r="I234">
        <v>10</v>
      </c>
      <c r="J234">
        <v>729</v>
      </c>
      <c r="K234" s="3">
        <f>STANDARDIZE(J234,O$13,P$13)</f>
        <v>0.83710962480554996</v>
      </c>
      <c r="L234" s="3">
        <f t="shared" si="5"/>
        <v>1.0945632010328319</v>
      </c>
    </row>
    <row r="235" spans="7:12" x14ac:dyDescent="0.3">
      <c r="G235" s="4">
        <v>1996.6666666649501</v>
      </c>
      <c r="H235">
        <v>1996</v>
      </c>
      <c r="I235">
        <v>9</v>
      </c>
      <c r="J235">
        <v>744</v>
      </c>
      <c r="K235" s="3">
        <f>STANDARDIZE(J235,O$12,P$12)</f>
        <v>1.3493986931912976</v>
      </c>
      <c r="L235" s="3">
        <f t="shared" si="5"/>
        <v>1.1843969473812652</v>
      </c>
    </row>
    <row r="236" spans="7:12" x14ac:dyDescent="0.3">
      <c r="G236" s="4">
        <v>1996.58333333159</v>
      </c>
      <c r="H236">
        <v>1996</v>
      </c>
      <c r="I236">
        <v>8</v>
      </c>
      <c r="J236">
        <v>780</v>
      </c>
      <c r="K236" s="3">
        <f>STANDARDIZE(J236,O$11,P$11)</f>
        <v>1.7840259967485528</v>
      </c>
      <c r="L236" s="3">
        <f t="shared" si="5"/>
        <v>1.3999979386175054</v>
      </c>
    </row>
    <row r="237" spans="7:12" x14ac:dyDescent="0.3">
      <c r="G237" s="4">
        <v>1996.4999999982299</v>
      </c>
      <c r="H237">
        <v>1996</v>
      </c>
      <c r="I237">
        <v>7</v>
      </c>
      <c r="J237">
        <v>776</v>
      </c>
      <c r="K237" s="3">
        <f>STANDARDIZE(J237,O$10,P$10)</f>
        <v>1.4355370110565935</v>
      </c>
      <c r="L237" s="3">
        <f t="shared" si="5"/>
        <v>1.3760422729245898</v>
      </c>
    </row>
    <row r="238" spans="7:12" x14ac:dyDescent="0.3">
      <c r="G238" s="4">
        <v>1996.41666666487</v>
      </c>
      <c r="H238">
        <v>1996</v>
      </c>
      <c r="I238">
        <v>6</v>
      </c>
      <c r="J238">
        <v>699</v>
      </c>
      <c r="K238" s="3">
        <f>STANDARDIZE(J238,O$9,P$9)</f>
        <v>0.76882541236007906</v>
      </c>
      <c r="L238" s="3">
        <f t="shared" si="5"/>
        <v>0.91489570833596501</v>
      </c>
    </row>
    <row r="239" spans="7:12" x14ac:dyDescent="0.3">
      <c r="G239" s="4">
        <v>1996.3333333315099</v>
      </c>
      <c r="H239">
        <v>1996</v>
      </c>
      <c r="I239">
        <v>5</v>
      </c>
      <c r="J239">
        <v>601</v>
      </c>
      <c r="K239" s="3">
        <f>STANDARDIZE(J239,O$8,P$8)</f>
        <v>0.57829419632239742</v>
      </c>
      <c r="L239" s="3">
        <f t="shared" si="5"/>
        <v>0.32798189885953349</v>
      </c>
    </row>
    <row r="240" spans="7:12" x14ac:dyDescent="0.3">
      <c r="G240" s="4">
        <v>1996.2499999981501</v>
      </c>
      <c r="H240">
        <v>1996</v>
      </c>
      <c r="I240">
        <v>4</v>
      </c>
      <c r="J240">
        <v>570</v>
      </c>
      <c r="K240" s="3">
        <f>STANDARDIZE(J240,O$7,P$7)</f>
        <v>1.4585878772230034</v>
      </c>
      <c r="L240" s="3">
        <f t="shared" si="5"/>
        <v>0.14232548973943782</v>
      </c>
    </row>
    <row r="241" spans="7:12" x14ac:dyDescent="0.3">
      <c r="G241" s="4">
        <v>1996.16666666479</v>
      </c>
      <c r="H241">
        <v>1996</v>
      </c>
      <c r="I241">
        <v>3</v>
      </c>
      <c r="J241">
        <v>523</v>
      </c>
      <c r="K241" s="3">
        <f>STANDARDIZE(J241,O$6,P$6)</f>
        <v>1.5266776812007572</v>
      </c>
      <c r="L241" s="3">
        <f t="shared" si="5"/>
        <v>-0.13915358215232015</v>
      </c>
    </row>
    <row r="242" spans="7:12" x14ac:dyDescent="0.3">
      <c r="G242" s="4">
        <v>1996.0833333314299</v>
      </c>
      <c r="H242">
        <v>1996</v>
      </c>
      <c r="I242">
        <v>2</v>
      </c>
      <c r="J242">
        <v>466</v>
      </c>
      <c r="K242" s="3">
        <f>STANDARDIZE(J242,O$5,P$5)</f>
        <v>0.78736690383490526</v>
      </c>
      <c r="L242" s="3">
        <f t="shared" si="5"/>
        <v>-0.48052181827636709</v>
      </c>
    </row>
    <row r="243" spans="7:12" x14ac:dyDescent="0.3">
      <c r="G243" s="4">
        <v>1995.9999999980701</v>
      </c>
      <c r="H243">
        <v>1996</v>
      </c>
      <c r="I243">
        <v>1</v>
      </c>
      <c r="J243">
        <v>577</v>
      </c>
      <c r="K243" s="3">
        <f>STANDARDIZE(J243,O$4,P$4)</f>
        <v>0.32630753480480296</v>
      </c>
      <c r="L243" s="3">
        <f t="shared" si="5"/>
        <v>0.18424790470204008</v>
      </c>
    </row>
    <row r="244" spans="7:12" x14ac:dyDescent="0.3">
      <c r="G244" s="4">
        <v>1995.91666666471</v>
      </c>
      <c r="H244">
        <v>1995</v>
      </c>
      <c r="I244">
        <v>12</v>
      </c>
      <c r="J244">
        <v>743</v>
      </c>
      <c r="K244" s="3">
        <f>STANDARDIZE(J244,O$15,P$15)</f>
        <v>0.35850232789460873</v>
      </c>
      <c r="L244" s="3">
        <f t="shared" si="5"/>
        <v>1.1784080309580363</v>
      </c>
    </row>
    <row r="245" spans="7:12" x14ac:dyDescent="0.3">
      <c r="G245" s="4">
        <v>1995.8333333313501</v>
      </c>
      <c r="H245">
        <v>1995</v>
      </c>
      <c r="I245">
        <v>11</v>
      </c>
      <c r="J245">
        <v>785</v>
      </c>
      <c r="K245" s="3">
        <f>STANDARDIZE(J245,O$14,P$14)</f>
        <v>0.74884616181486141</v>
      </c>
      <c r="L245" s="3">
        <f t="shared" si="5"/>
        <v>1.4299425207336498</v>
      </c>
    </row>
    <row r="246" spans="7:12" x14ac:dyDescent="0.3">
      <c r="G246" s="4">
        <v>1995.74999999799</v>
      </c>
      <c r="H246">
        <v>1995</v>
      </c>
      <c r="I246">
        <v>10</v>
      </c>
      <c r="J246">
        <v>731</v>
      </c>
      <c r="K246" s="3">
        <f>STANDARDIZE(J246,O$13,P$13)</f>
        <v>0.85480334632562971</v>
      </c>
      <c r="L246" s="3">
        <f t="shared" si="5"/>
        <v>1.1065410338792896</v>
      </c>
    </row>
    <row r="247" spans="7:12" x14ac:dyDescent="0.3">
      <c r="G247" s="4">
        <v>1995.6666666646299</v>
      </c>
      <c r="H247">
        <v>1995</v>
      </c>
      <c r="I247">
        <v>9</v>
      </c>
      <c r="J247">
        <v>752</v>
      </c>
      <c r="K247" s="3">
        <f>STANDARDIZE(J247,O$12,P$12)</f>
        <v>1.410952612292776</v>
      </c>
      <c r="L247" s="3">
        <f t="shared" si="5"/>
        <v>1.2323082787670963</v>
      </c>
    </row>
    <row r="248" spans="7:12" x14ac:dyDescent="0.3">
      <c r="G248" s="4">
        <v>1995.5833333312701</v>
      </c>
      <c r="H248">
        <v>1995</v>
      </c>
      <c r="I248">
        <v>8</v>
      </c>
      <c r="J248">
        <v>712</v>
      </c>
      <c r="K248" s="3">
        <f>STANDARDIZE(J248,O$11,P$11)</f>
        <v>1.2471338301424777</v>
      </c>
      <c r="L248" s="3">
        <f t="shared" si="5"/>
        <v>0.99275162183794063</v>
      </c>
    </row>
    <row r="249" spans="7:12" x14ac:dyDescent="0.3">
      <c r="G249" s="4">
        <v>1995.49999999791</v>
      </c>
      <c r="H249">
        <v>1995</v>
      </c>
      <c r="I249">
        <v>7</v>
      </c>
      <c r="J249">
        <v>643</v>
      </c>
      <c r="K249" s="3">
        <f>STANDARDIZE(J249,O$10,P$10)</f>
        <v>0.38263394596177602</v>
      </c>
      <c r="L249" s="3">
        <f t="shared" si="5"/>
        <v>0.57951638863514698</v>
      </c>
    </row>
    <row r="250" spans="7:12" x14ac:dyDescent="0.3">
      <c r="G250" s="4">
        <v>1995.4166666645499</v>
      </c>
      <c r="H250">
        <v>1995</v>
      </c>
      <c r="I250">
        <v>6</v>
      </c>
      <c r="J250">
        <v>610</v>
      </c>
      <c r="K250" s="3">
        <f>STANDARDIZE(J250,O$9,P$9)</f>
        <v>-6.8126415990591063E-2</v>
      </c>
      <c r="L250" s="3">
        <f t="shared" si="5"/>
        <v>0.38188214666859355</v>
      </c>
    </row>
    <row r="251" spans="7:12" x14ac:dyDescent="0.3">
      <c r="G251" s="4">
        <v>1995.33333333119</v>
      </c>
      <c r="H251">
        <v>1995</v>
      </c>
      <c r="I251">
        <v>5</v>
      </c>
      <c r="J251">
        <v>517</v>
      </c>
      <c r="K251" s="3">
        <f>STANDARDIZE(J251,O$8,P$8)</f>
        <v>-0.24411064269139501</v>
      </c>
      <c r="L251" s="3">
        <f t="shared" si="5"/>
        <v>-0.17508708069169351</v>
      </c>
    </row>
    <row r="252" spans="7:12" x14ac:dyDescent="0.3">
      <c r="G252" s="4">
        <v>1995.2499999978299</v>
      </c>
      <c r="H252">
        <v>1995</v>
      </c>
      <c r="I252">
        <v>4</v>
      </c>
      <c r="J252">
        <v>350</v>
      </c>
      <c r="K252" s="3">
        <f>STANDARDIZE(J252,O$7,P$7)</f>
        <v>-0.55592383936568712</v>
      </c>
      <c r="L252" s="3">
        <f t="shared" si="5"/>
        <v>-1.1752361233709188</v>
      </c>
    </row>
    <row r="253" spans="7:12" x14ac:dyDescent="0.3">
      <c r="G253" s="4">
        <v>1995.1666666644701</v>
      </c>
      <c r="H253">
        <v>1995</v>
      </c>
      <c r="I253">
        <v>3</v>
      </c>
      <c r="J253">
        <v>250</v>
      </c>
      <c r="K253" s="3">
        <f>STANDARDIZE(J253,O$6,P$6)</f>
        <v>-0.76473775112072107</v>
      </c>
      <c r="L253" s="3">
        <f t="shared" si="5"/>
        <v>-1.7741277656938079</v>
      </c>
    </row>
    <row r="254" spans="7:12" x14ac:dyDescent="0.3">
      <c r="G254" s="4">
        <v>1995.08333333111</v>
      </c>
      <c r="H254">
        <v>1995</v>
      </c>
      <c r="I254">
        <v>2</v>
      </c>
      <c r="J254">
        <v>240</v>
      </c>
      <c r="K254" s="3">
        <f>STANDARDIZE(J254,O$5,P$5)</f>
        <v>-0.94099947043683774</v>
      </c>
      <c r="L254" s="3">
        <f t="shared" si="5"/>
        <v>-1.8340169299260969</v>
      </c>
    </row>
    <row r="255" spans="7:12" x14ac:dyDescent="0.3">
      <c r="G255" s="4">
        <v>1994.9999999977499</v>
      </c>
      <c r="H255">
        <v>1995</v>
      </c>
      <c r="I255">
        <v>1</v>
      </c>
      <c r="J255">
        <v>470</v>
      </c>
      <c r="K255" s="3">
        <f>STANDARDIZE(J255,O$4,P$4)</f>
        <v>-0.35062946652441979</v>
      </c>
      <c r="L255" s="3">
        <f t="shared" si="5"/>
        <v>-0.45656615258345151</v>
      </c>
    </row>
    <row r="256" spans="7:12" x14ac:dyDescent="0.3">
      <c r="G256" s="4">
        <v>1994.91666666439</v>
      </c>
      <c r="H256">
        <v>1994</v>
      </c>
      <c r="I256">
        <v>12</v>
      </c>
      <c r="J256">
        <v>719</v>
      </c>
      <c r="K256" s="3">
        <f>STANDARDIZE(J256,O$15,P$15)</f>
        <v>0.17386593584588328</v>
      </c>
      <c r="L256" s="3">
        <f t="shared" si="5"/>
        <v>1.0346740368005429</v>
      </c>
    </row>
    <row r="257" spans="7:12" x14ac:dyDescent="0.3">
      <c r="G257" s="4">
        <v>1994.83333333103</v>
      </c>
      <c r="H257">
        <v>1994</v>
      </c>
      <c r="I257">
        <v>11</v>
      </c>
      <c r="J257">
        <v>694</v>
      </c>
      <c r="K257" s="3">
        <f>STANDARDIZE(J257,O$14,P$14)</f>
        <v>-0.12755424762550904</v>
      </c>
      <c r="L257" s="3">
        <f t="shared" si="5"/>
        <v>0.88495112621982053</v>
      </c>
    </row>
    <row r="258" spans="7:12" x14ac:dyDescent="0.3">
      <c r="G258" s="4">
        <v>1994.7499999976701</v>
      </c>
      <c r="H258">
        <v>1994</v>
      </c>
      <c r="I258">
        <v>10</v>
      </c>
      <c r="J258">
        <v>596</v>
      </c>
      <c r="K258" s="3">
        <f>STANDARDIZE(J258,O$13,P$13)</f>
        <v>-0.33952285627975171</v>
      </c>
      <c r="L258" s="3">
        <f t="shared" si="5"/>
        <v>0.29803731674338901</v>
      </c>
    </row>
    <row r="259" spans="7:12" x14ac:dyDescent="0.3">
      <c r="G259" s="4">
        <v>1994.66666666431</v>
      </c>
      <c r="H259">
        <v>1994</v>
      </c>
      <c r="I259">
        <v>9</v>
      </c>
      <c r="J259">
        <v>511</v>
      </c>
      <c r="K259" s="3">
        <f>STANDARDIZE(J259,O$12,P$12)</f>
        <v>-0.44335920063925977</v>
      </c>
      <c r="L259" s="3">
        <f t="shared" si="5"/>
        <v>-0.21102057923106687</v>
      </c>
    </row>
    <row r="260" spans="7:12" x14ac:dyDescent="0.3">
      <c r="G260" s="4">
        <v>1994.5833333309499</v>
      </c>
      <c r="H260">
        <v>1994</v>
      </c>
      <c r="I260">
        <v>8</v>
      </c>
      <c r="J260">
        <v>530</v>
      </c>
      <c r="K260" s="3">
        <f>STANDARDIZE(J260,O$11,P$11)</f>
        <v>-0.18984226283260594</v>
      </c>
      <c r="L260" s="3">
        <f t="shared" si="5"/>
        <v>-9.7231167189717901E-2</v>
      </c>
    </row>
    <row r="261" spans="7:12" x14ac:dyDescent="0.3">
      <c r="G261" s="4">
        <v>1994.4999999975901</v>
      </c>
      <c r="H261">
        <v>1994</v>
      </c>
      <c r="I261">
        <v>7</v>
      </c>
      <c r="J261">
        <v>623</v>
      </c>
      <c r="K261" s="3">
        <f>STANDARDIZE(J261,O$10,P$10)</f>
        <v>0.22430265797759297</v>
      </c>
      <c r="L261" s="3">
        <f t="shared" ref="L261:L324" si="6">STANDARDIZE(J261,J$1,J$2)</f>
        <v>0.45973806017056917</v>
      </c>
    </row>
    <row r="262" spans="7:12" x14ac:dyDescent="0.3">
      <c r="G262" s="4">
        <v>1994.41666666423</v>
      </c>
      <c r="H262">
        <v>1994</v>
      </c>
      <c r="I262">
        <v>6</v>
      </c>
      <c r="J262">
        <v>666</v>
      </c>
      <c r="K262" s="3">
        <f>STANDARDIZE(J262,O$9,P$9)</f>
        <v>0.45849495915140359</v>
      </c>
      <c r="L262" s="3">
        <f t="shared" si="6"/>
        <v>0.71726146636941157</v>
      </c>
    </row>
    <row r="263" spans="7:12" x14ac:dyDescent="0.3">
      <c r="G263" s="4">
        <v>1994.3333333308699</v>
      </c>
      <c r="H263">
        <v>1994</v>
      </c>
      <c r="I263">
        <v>5</v>
      </c>
      <c r="J263">
        <v>605</v>
      </c>
      <c r="K263" s="3">
        <f>STANDARDIZE(J263,O$8,P$8)</f>
        <v>0.61745633151353041</v>
      </c>
      <c r="L263" s="3">
        <f t="shared" si="6"/>
        <v>0.35193756455244907</v>
      </c>
    </row>
    <row r="264" spans="7:12" x14ac:dyDescent="0.3">
      <c r="G264" s="4">
        <v>1994.24999999751</v>
      </c>
      <c r="H264">
        <v>1994</v>
      </c>
      <c r="I264">
        <v>4</v>
      </c>
      <c r="J264">
        <v>502</v>
      </c>
      <c r="K264" s="3">
        <f>STANDARDIZE(J264,O$7,P$7)</f>
        <v>0.83592061936831719</v>
      </c>
      <c r="L264" s="3">
        <f t="shared" si="6"/>
        <v>-0.26492082704012693</v>
      </c>
    </row>
    <row r="265" spans="7:12" x14ac:dyDescent="0.3">
      <c r="G265" s="4">
        <v>1994.1666666641499</v>
      </c>
      <c r="H265">
        <v>1994</v>
      </c>
      <c r="I265">
        <v>3</v>
      </c>
      <c r="J265">
        <v>409</v>
      </c>
      <c r="K265" s="3">
        <f>STANDARDIZE(J265,O$6,P$6)</f>
        <v>0.56982288528629377</v>
      </c>
      <c r="L265" s="3">
        <f t="shared" si="6"/>
        <v>-0.82189005440041396</v>
      </c>
    </row>
    <row r="266" spans="7:12" x14ac:dyDescent="0.3">
      <c r="G266" s="4">
        <v>1994.0833333307901</v>
      </c>
      <c r="H266">
        <v>1994</v>
      </c>
      <c r="I266">
        <v>2</v>
      </c>
      <c r="J266">
        <v>409</v>
      </c>
      <c r="K266" s="3">
        <f>STANDARDIZE(J266,O$5,P$5)</f>
        <v>0.35145149085486393</v>
      </c>
      <c r="L266" s="3">
        <f t="shared" si="6"/>
        <v>-0.82189005440041396</v>
      </c>
    </row>
    <row r="267" spans="7:12" x14ac:dyDescent="0.3">
      <c r="G267" s="4">
        <v>1993.99999999743</v>
      </c>
      <c r="H267">
        <v>1994</v>
      </c>
      <c r="I267">
        <v>1</v>
      </c>
      <c r="J267">
        <v>603</v>
      </c>
      <c r="K267" s="3">
        <f>STANDARDIZE(J267,O$4,P$4)</f>
        <v>0.49079689961377293</v>
      </c>
      <c r="L267" s="3">
        <f t="shared" si="6"/>
        <v>0.33995973170599131</v>
      </c>
    </row>
    <row r="268" spans="7:12" x14ac:dyDescent="0.3">
      <c r="G268" s="4">
        <v>1993.9166666640699</v>
      </c>
      <c r="H268">
        <v>1993</v>
      </c>
      <c r="I268">
        <v>12</v>
      </c>
      <c r="J268">
        <v>707</v>
      </c>
      <c r="K268" s="3">
        <f>STANDARDIZE(J268,O$15,P$15)</f>
        <v>8.1547739821520582E-2</v>
      </c>
      <c r="L268" s="3">
        <f t="shared" si="6"/>
        <v>0.96280703972179615</v>
      </c>
    </row>
    <row r="269" spans="7:12" x14ac:dyDescent="0.3">
      <c r="G269" s="4">
        <v>1993.83333333071</v>
      </c>
      <c r="H269">
        <v>1993</v>
      </c>
      <c r="I269">
        <v>11</v>
      </c>
      <c r="J269">
        <v>647</v>
      </c>
      <c r="K269" s="3">
        <f>STANDARDIZE(J269,O$14,P$14)</f>
        <v>-0.58020061294086522</v>
      </c>
      <c r="L269" s="3">
        <f t="shared" si="6"/>
        <v>0.60347205432806261</v>
      </c>
    </row>
    <row r="270" spans="7:12" x14ac:dyDescent="0.3">
      <c r="G270" s="4">
        <v>1993.74999999735</v>
      </c>
      <c r="H270">
        <v>1993</v>
      </c>
      <c r="I270">
        <v>10</v>
      </c>
      <c r="J270">
        <v>606</v>
      </c>
      <c r="K270" s="3">
        <f>STANDARDIZE(J270,O$13,P$13)</f>
        <v>-0.25105424867935305</v>
      </c>
      <c r="L270" s="3">
        <f t="shared" si="6"/>
        <v>0.35792648097567797</v>
      </c>
    </row>
    <row r="271" spans="7:12" x14ac:dyDescent="0.3">
      <c r="G271" s="4">
        <v>1993.6666666639901</v>
      </c>
      <c r="H271">
        <v>1993</v>
      </c>
      <c r="I271">
        <v>9</v>
      </c>
      <c r="J271">
        <v>543</v>
      </c>
      <c r="K271" s="3">
        <f>STANDARDIZE(J271,O$12,P$12)</f>
        <v>-0.1971435242333463</v>
      </c>
      <c r="L271" s="3">
        <f t="shared" si="6"/>
        <v>-1.9375253687742292E-2</v>
      </c>
    </row>
    <row r="272" spans="7:12" x14ac:dyDescent="0.3">
      <c r="G272" s="4">
        <v>1993.58333333063</v>
      </c>
      <c r="H272">
        <v>1993</v>
      </c>
      <c r="I272">
        <v>8</v>
      </c>
      <c r="J272">
        <v>482</v>
      </c>
      <c r="K272" s="3">
        <f>STANDARDIZE(J272,O$11,P$11)</f>
        <v>-0.56882496867218846</v>
      </c>
      <c r="L272" s="3">
        <f t="shared" si="6"/>
        <v>-0.38469915550470479</v>
      </c>
    </row>
    <row r="273" spans="7:12" x14ac:dyDescent="0.3">
      <c r="G273" s="4">
        <v>1993.4999999972699</v>
      </c>
      <c r="H273">
        <v>1993</v>
      </c>
      <c r="I273">
        <v>7</v>
      </c>
      <c r="J273">
        <v>576</v>
      </c>
      <c r="K273" s="3">
        <f>STANDARDIZE(J273,O$10,P$10)</f>
        <v>-0.14777586878523721</v>
      </c>
      <c r="L273" s="3">
        <f t="shared" si="6"/>
        <v>0.17825898827881118</v>
      </c>
    </row>
    <row r="274" spans="7:12" x14ac:dyDescent="0.3">
      <c r="G274" s="4">
        <v>1993.4166666639101</v>
      </c>
      <c r="H274">
        <v>1993</v>
      </c>
      <c r="I274">
        <v>6</v>
      </c>
      <c r="J274">
        <v>623</v>
      </c>
      <c r="K274" s="3">
        <f>STANDARDIZE(J274,O$9,P$9)</f>
        <v>5.4124974667371983E-2</v>
      </c>
      <c r="L274" s="3">
        <f t="shared" si="6"/>
        <v>0.45973806017056917</v>
      </c>
    </row>
    <row r="275" spans="7:12" x14ac:dyDescent="0.3">
      <c r="G275" s="4">
        <v>1993.33333333055</v>
      </c>
      <c r="H275">
        <v>1993</v>
      </c>
      <c r="I275">
        <v>5</v>
      </c>
      <c r="J275">
        <v>554</v>
      </c>
      <c r="K275" s="3">
        <f>STANDARDIZE(J275,O$8,P$8)</f>
        <v>0.11813910782658499</v>
      </c>
      <c r="L275" s="3">
        <f t="shared" si="6"/>
        <v>4.650282696777553E-2</v>
      </c>
    </row>
    <row r="276" spans="7:12" x14ac:dyDescent="0.3">
      <c r="G276" s="4">
        <v>1993.2499999971899</v>
      </c>
      <c r="H276">
        <v>1993</v>
      </c>
      <c r="I276">
        <v>4</v>
      </c>
      <c r="J276">
        <v>411</v>
      </c>
      <c r="K276" s="3">
        <f>STANDARDIZE(J276,O$7,P$7)</f>
        <v>2.645318415722546E-3</v>
      </c>
      <c r="L276" s="3">
        <f t="shared" si="6"/>
        <v>-0.80991222155395615</v>
      </c>
    </row>
    <row r="277" spans="7:12" x14ac:dyDescent="0.3">
      <c r="G277" s="4">
        <v>1993.16666666383</v>
      </c>
      <c r="H277">
        <v>1993</v>
      </c>
      <c r="I277">
        <v>3</v>
      </c>
      <c r="J277">
        <v>270</v>
      </c>
      <c r="K277" s="3">
        <f>STANDARDIZE(J277,O$6,P$6)</f>
        <v>-0.59686848867958719</v>
      </c>
      <c r="L277" s="3">
        <f t="shared" si="6"/>
        <v>-1.65434943722923</v>
      </c>
    </row>
    <row r="278" spans="7:12" x14ac:dyDescent="0.3">
      <c r="G278" s="4">
        <v>1993.0833333304699</v>
      </c>
      <c r="H278">
        <v>1993</v>
      </c>
      <c r="I278">
        <v>2</v>
      </c>
      <c r="J278">
        <v>295</v>
      </c>
      <c r="K278" s="3">
        <f>STANDARDIZE(J278,O$5,P$5)</f>
        <v>-0.52037933510521883</v>
      </c>
      <c r="L278" s="3">
        <f t="shared" si="6"/>
        <v>-1.5046265266485077</v>
      </c>
    </row>
    <row r="279" spans="7:12" x14ac:dyDescent="0.3">
      <c r="G279" s="4">
        <v>1992.9999999971101</v>
      </c>
      <c r="H279">
        <v>1993</v>
      </c>
      <c r="I279">
        <v>1</v>
      </c>
      <c r="J279">
        <v>400</v>
      </c>
      <c r="K279" s="3">
        <f>STANDARDIZE(J279,O$4,P$4)</f>
        <v>-0.793485448702416</v>
      </c>
      <c r="L279" s="3">
        <f t="shared" si="6"/>
        <v>-0.87579030220947396</v>
      </c>
    </row>
    <row r="280" spans="7:12" x14ac:dyDescent="0.3">
      <c r="G280" s="4">
        <v>1992.91666666375</v>
      </c>
      <c r="H280">
        <v>1992</v>
      </c>
      <c r="I280">
        <v>12</v>
      </c>
      <c r="J280">
        <v>535</v>
      </c>
      <c r="K280" s="3">
        <f>STANDARDIZE(J280,O$15,P$15)</f>
        <v>-1.2416797365276784</v>
      </c>
      <c r="L280" s="3">
        <f t="shared" si="6"/>
        <v>-6.7286585073573435E-2</v>
      </c>
    </row>
    <row r="281" spans="7:12" x14ac:dyDescent="0.3">
      <c r="G281" s="4">
        <v>1992.8333333303899</v>
      </c>
      <c r="H281">
        <v>1992</v>
      </c>
      <c r="I281">
        <v>11</v>
      </c>
      <c r="J281">
        <v>524</v>
      </c>
      <c r="K281" s="3">
        <f>STANDARDIZE(J281,O$14,P$14)</f>
        <v>-1.7647857817448824</v>
      </c>
      <c r="L281" s="3">
        <f t="shared" si="6"/>
        <v>-0.13316466572909127</v>
      </c>
    </row>
    <row r="282" spans="7:12" x14ac:dyDescent="0.3">
      <c r="G282" s="4">
        <v>1992.74999999703</v>
      </c>
      <c r="H282">
        <v>1992</v>
      </c>
      <c r="I282">
        <v>10</v>
      </c>
      <c r="J282">
        <v>524</v>
      </c>
      <c r="K282" s="3">
        <f>STANDARDIZE(J282,O$13,P$13)</f>
        <v>-0.97649683100262175</v>
      </c>
      <c r="L282" s="3">
        <f t="shared" si="6"/>
        <v>-0.13316466572909127</v>
      </c>
    </row>
    <row r="283" spans="7:12" x14ac:dyDescent="0.3">
      <c r="G283" s="4">
        <v>1992.66666666367</v>
      </c>
      <c r="H283">
        <v>1992</v>
      </c>
      <c r="I283">
        <v>9</v>
      </c>
      <c r="J283">
        <v>469</v>
      </c>
      <c r="K283" s="3">
        <f>STANDARDIZE(J283,O$12,P$12)</f>
        <v>-0.76651727592202112</v>
      </c>
      <c r="L283" s="3">
        <f t="shared" si="6"/>
        <v>-0.46255506900668036</v>
      </c>
    </row>
    <row r="284" spans="7:12" x14ac:dyDescent="0.3">
      <c r="G284" s="4">
        <v>1992.5833333303101</v>
      </c>
      <c r="H284">
        <v>1992</v>
      </c>
      <c r="I284">
        <v>8</v>
      </c>
      <c r="J284">
        <v>444</v>
      </c>
      <c r="K284" s="3">
        <f>STANDARDIZE(J284,O$11,P$11)</f>
        <v>-0.86885294412852454</v>
      </c>
      <c r="L284" s="3">
        <f t="shared" si="6"/>
        <v>-0.61227797958740271</v>
      </c>
    </row>
    <row r="285" spans="7:12" x14ac:dyDescent="0.3">
      <c r="G285" s="4">
        <v>1992.49999999695</v>
      </c>
      <c r="H285">
        <v>1992</v>
      </c>
      <c r="I285">
        <v>7</v>
      </c>
      <c r="J285">
        <v>384</v>
      </c>
      <c r="K285" s="3">
        <f>STANDARDIZE(J285,O$10,P$10)</f>
        <v>-1.6677562334333946</v>
      </c>
      <c r="L285" s="3">
        <f t="shared" si="6"/>
        <v>-0.97161296498113625</v>
      </c>
    </row>
    <row r="286" spans="7:12" x14ac:dyDescent="0.3">
      <c r="G286" s="4">
        <v>1992.4166666635899</v>
      </c>
      <c r="H286">
        <v>1992</v>
      </c>
      <c r="I286">
        <v>6</v>
      </c>
      <c r="J286">
        <v>429</v>
      </c>
      <c r="K286" s="3">
        <f>STANDARDIZE(J286,O$9,P$9)</f>
        <v>-1.7702419320745382</v>
      </c>
      <c r="L286" s="3">
        <f t="shared" si="6"/>
        <v>-0.70211172593583615</v>
      </c>
    </row>
    <row r="287" spans="7:12" x14ac:dyDescent="0.3">
      <c r="G287" s="4">
        <v>1992.3333333302301</v>
      </c>
      <c r="H287">
        <v>1992</v>
      </c>
      <c r="I287">
        <v>5</v>
      </c>
      <c r="J287">
        <v>360</v>
      </c>
      <c r="K287" s="3">
        <f>STANDARDIZE(J287,O$8,P$8)</f>
        <v>-1.7812244489433642</v>
      </c>
      <c r="L287" s="3">
        <f t="shared" si="6"/>
        <v>-1.1153469591386298</v>
      </c>
    </row>
    <row r="288" spans="7:12" x14ac:dyDescent="0.3">
      <c r="G288" s="4">
        <v>1992.24999999687</v>
      </c>
      <c r="H288">
        <v>1992</v>
      </c>
      <c r="I288">
        <v>4</v>
      </c>
      <c r="J288">
        <v>195</v>
      </c>
      <c r="K288" s="3">
        <f>STANDARDIZE(J288,O$7,P$7)</f>
        <v>-1.9752389124168099</v>
      </c>
      <c r="L288" s="3">
        <f t="shared" si="6"/>
        <v>-2.1035181689713971</v>
      </c>
    </row>
    <row r="289" spans="7:12" x14ac:dyDescent="0.3">
      <c r="G289" s="4">
        <v>1992.1666666635101</v>
      </c>
      <c r="H289">
        <v>1992</v>
      </c>
      <c r="I289">
        <v>3</v>
      </c>
      <c r="J289">
        <v>202</v>
      </c>
      <c r="K289" s="3">
        <f>STANDARDIZE(J289,O$6,P$6)</f>
        <v>-1.1676239809794426</v>
      </c>
      <c r="L289" s="3">
        <f t="shared" si="6"/>
        <v>-2.061595754008795</v>
      </c>
    </row>
    <row r="290" spans="7:12" x14ac:dyDescent="0.3">
      <c r="G290" s="4">
        <v>1992.08333333015</v>
      </c>
      <c r="H290">
        <v>1992</v>
      </c>
      <c r="I290">
        <v>2</v>
      </c>
      <c r="J290">
        <v>223</v>
      </c>
      <c r="K290" s="3">
        <f>STANDARDIZE(J290,O$5,P$5)</f>
        <v>-1.0710093304484289</v>
      </c>
      <c r="L290" s="3">
        <f t="shared" si="6"/>
        <v>-1.9358285091209881</v>
      </c>
    </row>
    <row r="291" spans="7:12" x14ac:dyDescent="0.3">
      <c r="G291" s="4">
        <v>1991.9999999967899</v>
      </c>
      <c r="H291">
        <v>1992</v>
      </c>
      <c r="I291">
        <v>1</v>
      </c>
      <c r="J291">
        <v>351</v>
      </c>
      <c r="K291" s="3">
        <f>STANDARDIZE(J291,O$4,P$4)</f>
        <v>-1.1034846362270134</v>
      </c>
      <c r="L291" s="3">
        <f t="shared" si="6"/>
        <v>-1.1692472069476898</v>
      </c>
    </row>
    <row r="292" spans="7:12" x14ac:dyDescent="0.3">
      <c r="G292" s="4">
        <v>1991.9166666634301</v>
      </c>
      <c r="H292">
        <v>1991</v>
      </c>
      <c r="I292">
        <v>12</v>
      </c>
      <c r="J292">
        <v>566</v>
      </c>
      <c r="K292" s="3">
        <f>STANDARDIZE(J292,O$15,P$15)</f>
        <v>-1.0031910634647414</v>
      </c>
      <c r="L292" s="3">
        <f t="shared" si="6"/>
        <v>0.11836982404652224</v>
      </c>
    </row>
    <row r="293" spans="7:12" x14ac:dyDescent="0.3">
      <c r="G293" s="4">
        <v>1991.83333333007</v>
      </c>
      <c r="H293">
        <v>1991</v>
      </c>
      <c r="I293">
        <v>11</v>
      </c>
      <c r="J293">
        <v>554</v>
      </c>
      <c r="K293" s="3">
        <f>STANDARDIZE(J293,O$14,P$14)</f>
        <v>-1.4758625698414636</v>
      </c>
      <c r="L293" s="3">
        <f t="shared" si="6"/>
        <v>4.650282696777553E-2</v>
      </c>
    </row>
    <row r="294" spans="7:12" x14ac:dyDescent="0.3">
      <c r="G294" s="4">
        <v>1991.7499999967099</v>
      </c>
      <c r="H294">
        <v>1991</v>
      </c>
      <c r="I294">
        <v>10</v>
      </c>
      <c r="J294">
        <v>527</v>
      </c>
      <c r="K294" s="3">
        <f>STANDARDIZE(J294,O$13,P$13)</f>
        <v>-0.94995624872250217</v>
      </c>
      <c r="L294" s="3">
        <f t="shared" si="6"/>
        <v>-0.11519791645940458</v>
      </c>
    </row>
    <row r="295" spans="7:12" x14ac:dyDescent="0.3">
      <c r="G295" s="4">
        <v>1991.66666666335</v>
      </c>
      <c r="H295">
        <v>1991</v>
      </c>
      <c r="I295">
        <v>9</v>
      </c>
      <c r="J295">
        <v>375</v>
      </c>
      <c r="K295" s="3">
        <f>STANDARDIZE(J295,O$12,P$12)</f>
        <v>-1.489775825364392</v>
      </c>
      <c r="L295" s="3">
        <f t="shared" si="6"/>
        <v>-1.0255132127901962</v>
      </c>
    </row>
    <row r="296" spans="7:12" x14ac:dyDescent="0.3">
      <c r="G296" s="4">
        <v>1991.58333332999</v>
      </c>
      <c r="H296">
        <v>1991</v>
      </c>
      <c r="I296">
        <v>8</v>
      </c>
      <c r="J296">
        <v>438</v>
      </c>
      <c r="K296" s="3">
        <f>STANDARDIZE(J296,O$11,P$11)</f>
        <v>-0.91622578235847241</v>
      </c>
      <c r="L296" s="3">
        <f t="shared" si="6"/>
        <v>-0.64821147812677604</v>
      </c>
    </row>
    <row r="297" spans="7:12" x14ac:dyDescent="0.3">
      <c r="G297" s="4">
        <v>1991.4999999966301</v>
      </c>
      <c r="H297">
        <v>1991</v>
      </c>
      <c r="I297">
        <v>7</v>
      </c>
      <c r="J297">
        <v>463</v>
      </c>
      <c r="K297" s="3">
        <f>STANDARDIZE(J297,O$10,P$10)</f>
        <v>-1.0423476458958716</v>
      </c>
      <c r="L297" s="3">
        <f t="shared" si="6"/>
        <v>-0.49848856754605375</v>
      </c>
    </row>
    <row r="298" spans="7:12" x14ac:dyDescent="0.3">
      <c r="G298" s="4">
        <v>1991.41666666327</v>
      </c>
      <c r="H298">
        <v>1991</v>
      </c>
      <c r="I298">
        <v>6</v>
      </c>
      <c r="J298">
        <v>487</v>
      </c>
      <c r="K298" s="3">
        <f>STANDARDIZE(J298,O$9,P$9)</f>
        <v>-1.2248126506774721</v>
      </c>
      <c r="L298" s="3">
        <f t="shared" si="6"/>
        <v>-0.35475457338856031</v>
      </c>
    </row>
    <row r="299" spans="7:12" x14ac:dyDescent="0.3">
      <c r="G299" s="4">
        <v>1991.3333333299099</v>
      </c>
      <c r="H299">
        <v>1991</v>
      </c>
      <c r="I299">
        <v>5</v>
      </c>
      <c r="J299">
        <v>441</v>
      </c>
      <c r="K299" s="3">
        <f>STANDARDIZE(J299,O$8,P$8)</f>
        <v>-0.98819121132292154</v>
      </c>
      <c r="L299" s="3">
        <f t="shared" si="6"/>
        <v>-0.63024472885708938</v>
      </c>
    </row>
    <row r="300" spans="7:12" x14ac:dyDescent="0.3">
      <c r="G300" s="4">
        <v>1991.2499999965501</v>
      </c>
      <c r="H300">
        <v>1991</v>
      </c>
      <c r="I300">
        <v>4</v>
      </c>
      <c r="J300">
        <v>334</v>
      </c>
      <c r="K300" s="3">
        <f>STANDARDIZE(J300,O$7,P$7)</f>
        <v>-0.70243378239031906</v>
      </c>
      <c r="L300" s="3">
        <f t="shared" si="6"/>
        <v>-1.2710587861425811</v>
      </c>
    </row>
    <row r="301" spans="7:12" x14ac:dyDescent="0.3">
      <c r="G301" s="4">
        <v>1991.16666666319</v>
      </c>
      <c r="H301">
        <v>1991</v>
      </c>
      <c r="I301">
        <v>3</v>
      </c>
      <c r="J301">
        <v>282</v>
      </c>
      <c r="K301" s="3">
        <f>STANDARDIZE(J301,O$6,P$6)</f>
        <v>-0.49614693121490677</v>
      </c>
      <c r="L301" s="3">
        <f t="shared" si="6"/>
        <v>-1.5824824401504833</v>
      </c>
    </row>
    <row r="302" spans="7:12" x14ac:dyDescent="0.3">
      <c r="G302" s="4">
        <v>1991.0833333298301</v>
      </c>
      <c r="H302">
        <v>1991</v>
      </c>
      <c r="I302">
        <v>2</v>
      </c>
      <c r="J302">
        <v>243</v>
      </c>
      <c r="K302" s="3">
        <f>STANDARDIZE(J302,O$5,P$5)</f>
        <v>-0.91805655396420394</v>
      </c>
      <c r="L302" s="3">
        <f t="shared" si="6"/>
        <v>-1.8160501806564102</v>
      </c>
    </row>
    <row r="303" spans="7:12" x14ac:dyDescent="0.3">
      <c r="G303" s="4">
        <v>1990.99999999647</v>
      </c>
      <c r="H303">
        <v>1991</v>
      </c>
      <c r="I303">
        <v>1</v>
      </c>
      <c r="J303">
        <v>479</v>
      </c>
      <c r="K303" s="3">
        <f>STANDARDIZE(J303,O$4,P$4)</f>
        <v>-0.29369084024439174</v>
      </c>
      <c r="L303" s="3">
        <f t="shared" si="6"/>
        <v>-0.40266590477439146</v>
      </c>
    </row>
    <row r="304" spans="7:12" x14ac:dyDescent="0.3">
      <c r="G304" s="4">
        <v>1990.9166666631099</v>
      </c>
      <c r="H304">
        <v>1990</v>
      </c>
      <c r="I304">
        <v>12</v>
      </c>
      <c r="J304">
        <v>694</v>
      </c>
      <c r="K304" s="3">
        <f>STANDARDIZE(J304,O$15,P$15)</f>
        <v>-1.846363920487237E-2</v>
      </c>
      <c r="L304" s="3">
        <f t="shared" si="6"/>
        <v>0.88495112621982053</v>
      </c>
    </row>
    <row r="305" spans="7:12" x14ac:dyDescent="0.3">
      <c r="G305" s="4">
        <v>1990.8333333297501</v>
      </c>
      <c r="H305">
        <v>1990</v>
      </c>
      <c r="I305">
        <v>11</v>
      </c>
      <c r="J305">
        <v>681</v>
      </c>
      <c r="K305" s="3">
        <f>STANDARDIZE(J305,O$14,P$14)</f>
        <v>-0.25275430611699051</v>
      </c>
      <c r="L305" s="3">
        <f t="shared" si="6"/>
        <v>0.8070952127178449</v>
      </c>
    </row>
    <row r="306" spans="7:12" x14ac:dyDescent="0.3">
      <c r="G306" s="4">
        <v>1990.74999999639</v>
      </c>
      <c r="H306">
        <v>1990</v>
      </c>
      <c r="I306">
        <v>10</v>
      </c>
      <c r="J306">
        <v>564</v>
      </c>
      <c r="K306" s="3">
        <f>STANDARDIZE(J306,O$13,P$13)</f>
        <v>-0.62262240060102725</v>
      </c>
      <c r="L306" s="3">
        <f t="shared" si="6"/>
        <v>0.10639199120006446</v>
      </c>
    </row>
    <row r="307" spans="7:12" x14ac:dyDescent="0.3">
      <c r="G307" s="4">
        <v>1990.6666666630299</v>
      </c>
      <c r="H307">
        <v>1990</v>
      </c>
      <c r="I307">
        <v>9</v>
      </c>
      <c r="J307">
        <v>460</v>
      </c>
      <c r="K307" s="3">
        <f>STANDARDIZE(J307,O$12,P$12)</f>
        <v>-0.83576543491118427</v>
      </c>
      <c r="L307" s="3">
        <f t="shared" si="6"/>
        <v>-0.51645531681574042</v>
      </c>
    </row>
    <row r="308" spans="7:12" x14ac:dyDescent="0.3">
      <c r="G308" s="4">
        <v>1990.58333332967</v>
      </c>
      <c r="H308">
        <v>1990</v>
      </c>
      <c r="I308">
        <v>8</v>
      </c>
      <c r="J308">
        <v>437</v>
      </c>
      <c r="K308" s="3">
        <f>STANDARDIZE(J308,O$11,P$11)</f>
        <v>-0.92412125539679701</v>
      </c>
      <c r="L308" s="3">
        <f t="shared" si="6"/>
        <v>-0.654200394550005</v>
      </c>
    </row>
    <row r="309" spans="7:12" x14ac:dyDescent="0.3">
      <c r="G309" s="4">
        <v>1990.49999999631</v>
      </c>
      <c r="H309">
        <v>1990</v>
      </c>
      <c r="I309">
        <v>7</v>
      </c>
      <c r="J309">
        <v>502</v>
      </c>
      <c r="K309" s="3">
        <f>STANDARDIZE(J309,O$10,P$10)</f>
        <v>-0.73360163432671455</v>
      </c>
      <c r="L309" s="3">
        <f t="shared" si="6"/>
        <v>-0.26492082704012693</v>
      </c>
    </row>
    <row r="310" spans="7:12" x14ac:dyDescent="0.3">
      <c r="G310" s="4">
        <v>1990.4166666629501</v>
      </c>
      <c r="H310">
        <v>1990</v>
      </c>
      <c r="I310">
        <v>6</v>
      </c>
      <c r="J310">
        <v>544</v>
      </c>
      <c r="K310" s="3">
        <f>STANDARDIZE(J310,O$9,P$9)</f>
        <v>-0.68878732240794194</v>
      </c>
      <c r="L310" s="3">
        <f t="shared" si="6"/>
        <v>-1.3386337264513399E-2</v>
      </c>
    </row>
    <row r="311" spans="7:12" x14ac:dyDescent="0.3">
      <c r="G311" s="4">
        <v>1990.33333332959</v>
      </c>
      <c r="H311">
        <v>1990</v>
      </c>
      <c r="I311">
        <v>5</v>
      </c>
      <c r="J311">
        <v>522</v>
      </c>
      <c r="K311" s="3">
        <f>STANDARDIZE(J311,O$8,P$8)</f>
        <v>-0.19515797370247881</v>
      </c>
      <c r="L311" s="3">
        <f t="shared" si="6"/>
        <v>-0.14514249857554906</v>
      </c>
    </row>
    <row r="312" spans="7:12" x14ac:dyDescent="0.3">
      <c r="G312" s="4">
        <v>1990.2499999962299</v>
      </c>
      <c r="H312">
        <v>1990</v>
      </c>
      <c r="I312">
        <v>4</v>
      </c>
      <c r="J312">
        <v>344</v>
      </c>
      <c r="K312" s="3">
        <f>STANDARDIZE(J312,O$7,P$7)</f>
        <v>-0.61086506799992413</v>
      </c>
      <c r="L312" s="3">
        <f t="shared" si="6"/>
        <v>-1.2111696219102921</v>
      </c>
    </row>
    <row r="313" spans="7:12" x14ac:dyDescent="0.3">
      <c r="G313" s="4">
        <v>1990.1666666628701</v>
      </c>
      <c r="H313">
        <v>1990</v>
      </c>
      <c r="I313">
        <v>3</v>
      </c>
      <c r="J313">
        <v>268</v>
      </c>
      <c r="K313" s="3">
        <f>STANDARDIZE(J313,O$6,P$6)</f>
        <v>-0.61365541492370057</v>
      </c>
      <c r="L313" s="3">
        <f t="shared" si="6"/>
        <v>-1.6663272700756879</v>
      </c>
    </row>
    <row r="314" spans="7:12" x14ac:dyDescent="0.3">
      <c r="G314" s="4">
        <v>1990.08333332951</v>
      </c>
      <c r="H314">
        <v>1990</v>
      </c>
      <c r="I314">
        <v>2</v>
      </c>
      <c r="J314">
        <v>320</v>
      </c>
      <c r="K314" s="3">
        <f>STANDARDIZE(J314,O$5,P$5)</f>
        <v>-0.32918836449993749</v>
      </c>
      <c r="L314" s="3">
        <f t="shared" si="6"/>
        <v>-1.3549036160677854</v>
      </c>
    </row>
    <row r="315" spans="7:12" x14ac:dyDescent="0.3">
      <c r="G315" s="4">
        <v>1989.9999999961501</v>
      </c>
      <c r="H315">
        <v>1990</v>
      </c>
      <c r="I315">
        <v>1</v>
      </c>
      <c r="J315">
        <v>463</v>
      </c>
      <c r="K315" s="3">
        <f>STANDARDIZE(J315,O$4,P$4)</f>
        <v>-0.39491506474221943</v>
      </c>
      <c r="L315" s="3">
        <f t="shared" si="6"/>
        <v>-0.49848856754605375</v>
      </c>
    </row>
    <row r="316" spans="7:12" x14ac:dyDescent="0.3">
      <c r="G316" s="4">
        <v>1989.91666666279</v>
      </c>
      <c r="H316">
        <v>1989</v>
      </c>
      <c r="I316">
        <v>12</v>
      </c>
      <c r="J316">
        <v>695</v>
      </c>
      <c r="K316" s="3">
        <f>STANDARDIZE(J316,O$15,P$15)</f>
        <v>-1.0770456202842142E-2</v>
      </c>
      <c r="L316" s="3">
        <f t="shared" si="6"/>
        <v>0.89094004264304949</v>
      </c>
    </row>
    <row r="317" spans="7:12" x14ac:dyDescent="0.3">
      <c r="G317" s="4">
        <v>1989.8333333294299</v>
      </c>
      <c r="H317">
        <v>1989</v>
      </c>
      <c r="I317">
        <v>11</v>
      </c>
      <c r="J317">
        <v>748</v>
      </c>
      <c r="K317" s="3">
        <f>STANDARDIZE(J317,O$14,P$14)</f>
        <v>0.39250753380064485</v>
      </c>
      <c r="L317" s="3">
        <f t="shared" si="6"/>
        <v>1.2083526130741808</v>
      </c>
    </row>
    <row r="318" spans="7:12" x14ac:dyDescent="0.3">
      <c r="G318" s="4">
        <v>1989.7499999960701</v>
      </c>
      <c r="H318">
        <v>1989</v>
      </c>
      <c r="I318">
        <v>10</v>
      </c>
      <c r="J318">
        <v>689</v>
      </c>
      <c r="K318" s="3">
        <f>STANDARDIZE(J318,O$13,P$13)</f>
        <v>0.48323519440395551</v>
      </c>
      <c r="L318" s="3">
        <f t="shared" si="6"/>
        <v>0.85500654410367605</v>
      </c>
    </row>
    <row r="319" spans="7:12" x14ac:dyDescent="0.3">
      <c r="G319" s="4">
        <v>1989.66666666271</v>
      </c>
      <c r="H319">
        <v>1989</v>
      </c>
      <c r="I319">
        <v>9</v>
      </c>
      <c r="J319">
        <v>584</v>
      </c>
      <c r="K319" s="3">
        <f>STANDARDIZE(J319,O$12,P$12)</f>
        <v>0.11832031116173032</v>
      </c>
      <c r="L319" s="3">
        <f t="shared" si="6"/>
        <v>0.22617031966464232</v>
      </c>
    </row>
    <row r="320" spans="7:12" x14ac:dyDescent="0.3">
      <c r="G320" s="4">
        <v>1989.5833333293499</v>
      </c>
      <c r="H320">
        <v>1989</v>
      </c>
      <c r="I320">
        <v>8</v>
      </c>
      <c r="J320">
        <v>505</v>
      </c>
      <c r="K320" s="3">
        <f>STANDARDIZE(J320,O$11,P$11)</f>
        <v>-0.38722908879072182</v>
      </c>
      <c r="L320" s="3">
        <f t="shared" si="6"/>
        <v>-0.24695407777044023</v>
      </c>
    </row>
    <row r="321" spans="7:12" x14ac:dyDescent="0.3">
      <c r="G321" s="4">
        <v>1989.49999999599</v>
      </c>
      <c r="H321">
        <v>1989</v>
      </c>
      <c r="I321">
        <v>7</v>
      </c>
      <c r="J321">
        <v>525</v>
      </c>
      <c r="K321" s="3">
        <f>STANDARDIZE(J321,O$10,P$10)</f>
        <v>-0.55152065314490406</v>
      </c>
      <c r="L321" s="3">
        <f t="shared" si="6"/>
        <v>-0.12717574930586237</v>
      </c>
    </row>
    <row r="322" spans="7:12" x14ac:dyDescent="0.3">
      <c r="G322" s="4">
        <v>1989.41666666263</v>
      </c>
      <c r="H322">
        <v>1989</v>
      </c>
      <c r="I322">
        <v>6</v>
      </c>
      <c r="J322">
        <v>545</v>
      </c>
      <c r="K322" s="3">
        <f>STANDARDIZE(J322,O$9,P$9)</f>
        <v>-0.67938336928040632</v>
      </c>
      <c r="L322" s="3">
        <f t="shared" si="6"/>
        <v>-7.3974208412845065E-3</v>
      </c>
    </row>
    <row r="323" spans="7:12" x14ac:dyDescent="0.3">
      <c r="G323" s="4">
        <v>1989.3333333292701</v>
      </c>
      <c r="H323">
        <v>1989</v>
      </c>
      <c r="I323">
        <v>5</v>
      </c>
      <c r="J323">
        <v>475</v>
      </c>
      <c r="K323" s="3">
        <f>STANDARDIZE(J323,O$8,P$8)</f>
        <v>-0.65531306219829122</v>
      </c>
      <c r="L323" s="3">
        <f t="shared" si="6"/>
        <v>-0.42662157046730703</v>
      </c>
    </row>
    <row r="324" spans="7:12" x14ac:dyDescent="0.3">
      <c r="G324" s="4">
        <v>1989.24999999591</v>
      </c>
      <c r="H324">
        <v>1989</v>
      </c>
      <c r="I324">
        <v>4</v>
      </c>
      <c r="J324">
        <v>432</v>
      </c>
      <c r="K324" s="3">
        <f>STANDARDIZE(J324,O$7,P$7)</f>
        <v>0.19493961863555209</v>
      </c>
      <c r="L324" s="3">
        <f t="shared" si="6"/>
        <v>-0.68414497666614937</v>
      </c>
    </row>
    <row r="325" spans="7:12" x14ac:dyDescent="0.3">
      <c r="G325" s="4">
        <v>1989.1666666625499</v>
      </c>
      <c r="H325">
        <v>1989</v>
      </c>
      <c r="I325">
        <v>3</v>
      </c>
      <c r="J325">
        <v>453</v>
      </c>
      <c r="K325" s="3">
        <f>STANDARDIZE(J325,O$6,P$6)</f>
        <v>0.93913526265678848</v>
      </c>
      <c r="L325" s="3">
        <f t="shared" ref="L325:L388" si="7">STANDARDIZE(J325,J$1,J$2)</f>
        <v>-0.55837773177834271</v>
      </c>
    </row>
    <row r="326" spans="7:12" x14ac:dyDescent="0.3">
      <c r="G326" s="4">
        <v>1989.0833333291901</v>
      </c>
      <c r="H326">
        <v>1989</v>
      </c>
      <c r="I326">
        <v>2</v>
      </c>
      <c r="J326">
        <v>523</v>
      </c>
      <c r="K326" s="3">
        <f>STANDARDIZE(J326,O$5,P$5)</f>
        <v>1.2232823168149467</v>
      </c>
      <c r="L326" s="3">
        <f t="shared" si="7"/>
        <v>-0.13915358215232015</v>
      </c>
    </row>
    <row r="327" spans="7:12" x14ac:dyDescent="0.3">
      <c r="G327" s="4">
        <v>1988.99999999583</v>
      </c>
      <c r="H327">
        <v>1989</v>
      </c>
      <c r="I327">
        <v>1</v>
      </c>
      <c r="J327">
        <v>728</v>
      </c>
      <c r="K327" s="3">
        <f>STANDARDIZE(J327,O$4,P$4)</f>
        <v>1.2816111535030519</v>
      </c>
      <c r="L327" s="3">
        <f t="shared" si="7"/>
        <v>1.0885742846096029</v>
      </c>
    </row>
    <row r="328" spans="7:12" x14ac:dyDescent="0.3">
      <c r="G328" s="4">
        <v>1988.9166666624701</v>
      </c>
      <c r="H328">
        <v>1988</v>
      </c>
      <c r="I328">
        <v>12</v>
      </c>
      <c r="J328">
        <v>844</v>
      </c>
      <c r="K328" s="3">
        <f>STANDARDIZE(J328,O$15,P$15)</f>
        <v>1.1355138110996617</v>
      </c>
      <c r="L328" s="3">
        <f t="shared" si="7"/>
        <v>1.7832885897041546</v>
      </c>
    </row>
    <row r="329" spans="7:12" x14ac:dyDescent="0.3">
      <c r="G329" s="4">
        <v>1988.83333332911</v>
      </c>
      <c r="H329">
        <v>1988</v>
      </c>
      <c r="I329">
        <v>11</v>
      </c>
      <c r="J329">
        <v>828</v>
      </c>
      <c r="K329" s="3">
        <f>STANDARDIZE(J329,O$14,P$14)</f>
        <v>1.1629694322097617</v>
      </c>
      <c r="L329" s="3">
        <f t="shared" si="7"/>
        <v>1.6874659269324923</v>
      </c>
    </row>
    <row r="330" spans="7:12" x14ac:dyDescent="0.3">
      <c r="G330" s="4">
        <v>1988.7499999957499</v>
      </c>
      <c r="H330">
        <v>1988</v>
      </c>
      <c r="I330">
        <v>10</v>
      </c>
      <c r="J330">
        <v>817</v>
      </c>
      <c r="K330" s="3">
        <f>STANDARDIZE(J330,O$13,P$13)</f>
        <v>1.6156333716890579</v>
      </c>
      <c r="L330" s="3">
        <f t="shared" si="7"/>
        <v>1.6215878462769744</v>
      </c>
    </row>
    <row r="331" spans="7:12" x14ac:dyDescent="0.3">
      <c r="G331" s="4">
        <v>1988.6666666623901</v>
      </c>
      <c r="H331">
        <v>1988</v>
      </c>
      <c r="I331">
        <v>9</v>
      </c>
      <c r="J331">
        <v>759</v>
      </c>
      <c r="K331" s="3">
        <f>STANDARDIZE(J331,O$12,P$12)</f>
        <v>1.4648122915065696</v>
      </c>
      <c r="L331" s="3">
        <f t="shared" si="7"/>
        <v>1.2742306937296985</v>
      </c>
    </row>
    <row r="332" spans="7:12" x14ac:dyDescent="0.3">
      <c r="G332" s="4">
        <v>1988.58333332903</v>
      </c>
      <c r="H332">
        <v>1988</v>
      </c>
      <c r="I332">
        <v>8</v>
      </c>
      <c r="J332">
        <v>671</v>
      </c>
      <c r="K332" s="3">
        <f>STANDARDIZE(J332,O$11,P$11)</f>
        <v>0.92341943557116757</v>
      </c>
      <c r="L332" s="3">
        <f t="shared" si="7"/>
        <v>0.74720604848555605</v>
      </c>
    </row>
    <row r="333" spans="7:12" x14ac:dyDescent="0.3">
      <c r="G333" s="4">
        <v>1988.4999999956699</v>
      </c>
      <c r="H333">
        <v>1988</v>
      </c>
      <c r="I333">
        <v>7</v>
      </c>
      <c r="J333">
        <v>618</v>
      </c>
      <c r="K333" s="3">
        <f>STANDARDIZE(J333,O$10,P$10)</f>
        <v>0.1847198359815472</v>
      </c>
      <c r="L333" s="3">
        <f t="shared" si="7"/>
        <v>0.42979347805442469</v>
      </c>
    </row>
    <row r="334" spans="7:12" x14ac:dyDescent="0.3">
      <c r="G334" s="4">
        <v>1988.41666666231</v>
      </c>
      <c r="H334">
        <v>1988</v>
      </c>
      <c r="I334">
        <v>6</v>
      </c>
      <c r="J334">
        <v>478</v>
      </c>
      <c r="K334" s="3">
        <f>STANDARDIZE(J334,O$9,P$9)</f>
        <v>-1.3094482288252927</v>
      </c>
      <c r="L334" s="3">
        <f t="shared" si="7"/>
        <v>-0.40865482119762037</v>
      </c>
    </row>
    <row r="335" spans="7:12" x14ac:dyDescent="0.3">
      <c r="G335" s="4">
        <v>1988.3333333289499</v>
      </c>
      <c r="H335">
        <v>1988</v>
      </c>
      <c r="I335">
        <v>5</v>
      </c>
      <c r="J335">
        <v>428</v>
      </c>
      <c r="K335" s="3">
        <f>STANDARDIZE(J335,O$8,P$8)</f>
        <v>-1.1154681506941038</v>
      </c>
      <c r="L335" s="3">
        <f t="shared" si="7"/>
        <v>-0.708100642359065</v>
      </c>
    </row>
    <row r="336" spans="7:12" x14ac:dyDescent="0.3">
      <c r="G336" s="4">
        <v>1988.2499999955901</v>
      </c>
      <c r="H336">
        <v>1988</v>
      </c>
      <c r="I336">
        <v>4</v>
      </c>
      <c r="J336">
        <v>304</v>
      </c>
      <c r="K336" s="3">
        <f>STANDARDIZE(J336,O$7,P$7)</f>
        <v>-0.9771399255615042</v>
      </c>
      <c r="L336" s="3">
        <f t="shared" si="7"/>
        <v>-1.4507262788394477</v>
      </c>
    </row>
    <row r="337" spans="7:12" x14ac:dyDescent="0.3">
      <c r="G337" s="4">
        <v>1988.16666666223</v>
      </c>
      <c r="H337">
        <v>1988</v>
      </c>
      <c r="I337">
        <v>3</v>
      </c>
      <c r="J337">
        <v>212</v>
      </c>
      <c r="K337" s="3">
        <f>STANDARDIZE(J337,O$6,P$6)</f>
        <v>-1.0836893497588755</v>
      </c>
      <c r="L337" s="3">
        <f t="shared" si="7"/>
        <v>-2.0017065897765058</v>
      </c>
    </row>
    <row r="338" spans="7:12" x14ac:dyDescent="0.3">
      <c r="G338" s="4">
        <v>1988.0833333288699</v>
      </c>
      <c r="H338">
        <v>1988</v>
      </c>
      <c r="I338">
        <v>2</v>
      </c>
      <c r="J338">
        <v>274</v>
      </c>
      <c r="K338" s="3">
        <f>STANDARDIZE(J338,O$5,P$5)</f>
        <v>-0.6809797504136551</v>
      </c>
      <c r="L338" s="3">
        <f t="shared" si="7"/>
        <v>-1.6303937715363146</v>
      </c>
    </row>
    <row r="339" spans="7:12" x14ac:dyDescent="0.3">
      <c r="G339" s="4">
        <v>1987.9999999955101</v>
      </c>
      <c r="H339">
        <v>1988</v>
      </c>
      <c r="I339">
        <v>1</v>
      </c>
      <c r="J339">
        <v>477</v>
      </c>
      <c r="K339" s="3">
        <f>STANDARDIZE(J339,O$4,P$4)</f>
        <v>-0.30634386830662019</v>
      </c>
      <c r="L339" s="3">
        <f t="shared" si="7"/>
        <v>-0.41464373762084922</v>
      </c>
    </row>
    <row r="340" spans="7:12" x14ac:dyDescent="0.3">
      <c r="G340" s="4">
        <v>1987.91666666215</v>
      </c>
      <c r="H340">
        <v>1987</v>
      </c>
      <c r="I340">
        <v>12</v>
      </c>
      <c r="J340">
        <v>739</v>
      </c>
      <c r="K340" s="3">
        <f>STANDARDIZE(J340,O$15,P$15)</f>
        <v>0.32772959588648781</v>
      </c>
      <c r="L340" s="3">
        <f t="shared" si="7"/>
        <v>1.1544523652651209</v>
      </c>
    </row>
    <row r="341" spans="7:12" x14ac:dyDescent="0.3">
      <c r="G341" s="4">
        <v>1987.8333333287901</v>
      </c>
      <c r="H341">
        <v>1987</v>
      </c>
      <c r="I341">
        <v>11</v>
      </c>
      <c r="J341">
        <v>737</v>
      </c>
      <c r="K341" s="3">
        <f>STANDARDIZE(J341,O$14,P$14)</f>
        <v>0.28656902276939128</v>
      </c>
      <c r="L341" s="3">
        <f t="shared" si="7"/>
        <v>1.1424745324186629</v>
      </c>
    </row>
    <row r="342" spans="7:12" x14ac:dyDescent="0.3">
      <c r="G342" s="4">
        <v>1987.74999999543</v>
      </c>
      <c r="H342">
        <v>1987</v>
      </c>
      <c r="I342">
        <v>10</v>
      </c>
      <c r="J342">
        <v>632</v>
      </c>
      <c r="K342" s="3">
        <f>STANDARDIZE(J342,O$13,P$13)</f>
        <v>-2.1035868918316648E-2</v>
      </c>
      <c r="L342" s="3">
        <f t="shared" si="7"/>
        <v>0.51363830797962917</v>
      </c>
    </row>
    <row r="343" spans="7:12" x14ac:dyDescent="0.3">
      <c r="G343" s="4">
        <v>1987.6666666620599</v>
      </c>
      <c r="H343">
        <v>1987</v>
      </c>
      <c r="I343">
        <v>9</v>
      </c>
      <c r="J343">
        <v>561</v>
      </c>
      <c r="K343" s="3">
        <f>STANDARDIZE(J343,O$12,P$12)</f>
        <v>-5.8647206255019971E-2</v>
      </c>
      <c r="L343" s="3">
        <f t="shared" si="7"/>
        <v>8.8425241930377776E-2</v>
      </c>
    </row>
    <row r="344" spans="7:12" x14ac:dyDescent="0.3">
      <c r="G344" s="4">
        <v>1987.5833333287001</v>
      </c>
      <c r="H344">
        <v>1987</v>
      </c>
      <c r="I344">
        <v>8</v>
      </c>
      <c r="J344">
        <v>555</v>
      </c>
      <c r="K344" s="3">
        <f>STANDARDIZE(J344,O$11,P$11)</f>
        <v>7.5445631255099278E-3</v>
      </c>
      <c r="L344" s="3">
        <f t="shared" si="7"/>
        <v>5.2491743391004424E-2</v>
      </c>
    </row>
    <row r="345" spans="7:12" x14ac:dyDescent="0.3">
      <c r="G345" s="4">
        <v>1987.49999999534</v>
      </c>
      <c r="H345">
        <v>1987</v>
      </c>
      <c r="I345">
        <v>7</v>
      </c>
      <c r="J345">
        <v>441</v>
      </c>
      <c r="K345" s="3">
        <f>STANDARDIZE(J345,O$10,P$10)</f>
        <v>-1.2165120626784729</v>
      </c>
      <c r="L345" s="3">
        <f t="shared" si="7"/>
        <v>-0.63024472885708938</v>
      </c>
    </row>
    <row r="346" spans="7:12" x14ac:dyDescent="0.3">
      <c r="G346" s="4">
        <v>1987.4166666619799</v>
      </c>
      <c r="H346">
        <v>1987</v>
      </c>
      <c r="I346">
        <v>6</v>
      </c>
      <c r="J346">
        <v>516</v>
      </c>
      <c r="K346" s="3">
        <f>STANDARDIZE(J346,O$9,P$9)</f>
        <v>-0.95209800997893923</v>
      </c>
      <c r="L346" s="3">
        <f t="shared" si="7"/>
        <v>-0.18107599711492239</v>
      </c>
    </row>
    <row r="347" spans="7:12" x14ac:dyDescent="0.3">
      <c r="G347" s="4">
        <v>1987.33333332862</v>
      </c>
      <c r="H347">
        <v>1987</v>
      </c>
      <c r="I347">
        <v>5</v>
      </c>
      <c r="J347">
        <v>455</v>
      </c>
      <c r="K347" s="3">
        <f>STANDARDIZE(J347,O$8,P$8)</f>
        <v>-0.85112373815395614</v>
      </c>
      <c r="L347" s="3">
        <f t="shared" si="7"/>
        <v>-0.5463998989318849</v>
      </c>
    </row>
    <row r="348" spans="7:12" x14ac:dyDescent="0.3">
      <c r="G348" s="4">
        <v>1987.2499999952599</v>
      </c>
      <c r="H348">
        <v>1987</v>
      </c>
      <c r="I348">
        <v>4</v>
      </c>
      <c r="J348">
        <v>282</v>
      </c>
      <c r="K348" s="3">
        <f>STANDARDIZE(J348,O$7,P$7)</f>
        <v>-1.1785910972203733</v>
      </c>
      <c r="L348" s="3">
        <f t="shared" si="7"/>
        <v>-1.5824824401504833</v>
      </c>
    </row>
    <row r="349" spans="7:12" x14ac:dyDescent="0.3">
      <c r="G349" s="4">
        <v>1987.1666666619001</v>
      </c>
      <c r="H349">
        <v>1987</v>
      </c>
      <c r="I349">
        <v>3</v>
      </c>
      <c r="J349">
        <v>203</v>
      </c>
      <c r="K349" s="3">
        <f>STANDARDIZE(J349,O$6,P$6)</f>
        <v>-1.1592305178573858</v>
      </c>
      <c r="L349" s="3">
        <f t="shared" si="7"/>
        <v>-2.0556068375855658</v>
      </c>
    </row>
    <row r="350" spans="7:12" x14ac:dyDescent="0.3">
      <c r="G350" s="4">
        <v>1987.08333332854</v>
      </c>
      <c r="H350">
        <v>1987</v>
      </c>
      <c r="I350">
        <v>2</v>
      </c>
      <c r="J350">
        <v>242</v>
      </c>
      <c r="K350" s="3">
        <f>STANDARDIZE(J350,O$5,P$5)</f>
        <v>-0.9257041927884152</v>
      </c>
      <c r="L350" s="3">
        <f t="shared" si="7"/>
        <v>-1.8220390970796392</v>
      </c>
    </row>
    <row r="351" spans="7:12" x14ac:dyDescent="0.3">
      <c r="G351" s="4">
        <v>1986.9999999951799</v>
      </c>
      <c r="H351">
        <v>1987</v>
      </c>
      <c r="I351">
        <v>1</v>
      </c>
      <c r="J351">
        <v>356</v>
      </c>
      <c r="K351" s="3">
        <f>STANDARDIZE(J351,O$4,P$4)</f>
        <v>-1.0718520660714421</v>
      </c>
      <c r="L351" s="3">
        <f t="shared" si="7"/>
        <v>-1.1393026248315452</v>
      </c>
    </row>
    <row r="352" spans="7:12" x14ac:dyDescent="0.3">
      <c r="G352" s="4">
        <v>1986.91666666182</v>
      </c>
      <c r="H352">
        <v>1986</v>
      </c>
      <c r="I352">
        <v>12</v>
      </c>
      <c r="J352">
        <v>626</v>
      </c>
      <c r="K352" s="3">
        <f>STANDARDIZE(J352,O$15,P$15)</f>
        <v>-0.54160008334292775</v>
      </c>
      <c r="L352" s="3">
        <f t="shared" si="7"/>
        <v>0.47770480944025584</v>
      </c>
    </row>
    <row r="353" spans="7:12" x14ac:dyDescent="0.3">
      <c r="G353" s="4">
        <v>1986.83333332846</v>
      </c>
      <c r="H353">
        <v>1986</v>
      </c>
      <c r="I353">
        <v>11</v>
      </c>
      <c r="J353">
        <v>690</v>
      </c>
      <c r="K353" s="3">
        <f>STANDARDIZE(J353,O$14,P$14)</f>
        <v>-0.16607734254596487</v>
      </c>
      <c r="L353" s="3">
        <f t="shared" si="7"/>
        <v>0.86099546052690501</v>
      </c>
    </row>
    <row r="354" spans="7:12" x14ac:dyDescent="0.3">
      <c r="G354" s="4">
        <v>1986.7499999951001</v>
      </c>
      <c r="H354">
        <v>1986</v>
      </c>
      <c r="I354">
        <v>10</v>
      </c>
      <c r="J354">
        <v>552</v>
      </c>
      <c r="K354" s="3">
        <f>STANDARDIZE(J354,O$13,P$13)</f>
        <v>-0.72878472972150565</v>
      </c>
      <c r="L354" s="3">
        <f t="shared" si="7"/>
        <v>3.4524994121317744E-2</v>
      </c>
    </row>
    <row r="355" spans="7:12" x14ac:dyDescent="0.3">
      <c r="G355" s="4">
        <v>1986.66666666174</v>
      </c>
      <c r="H355">
        <v>1986</v>
      </c>
      <c r="I355">
        <v>9</v>
      </c>
      <c r="J355">
        <v>411</v>
      </c>
      <c r="K355" s="3">
        <f>STANDARDIZE(J355,O$12,P$12)</f>
        <v>-1.2127831894077392</v>
      </c>
      <c r="L355" s="3">
        <f t="shared" si="7"/>
        <v>-0.80991222155395615</v>
      </c>
    </row>
    <row r="356" spans="7:12" x14ac:dyDescent="0.3">
      <c r="G356" s="4">
        <v>1986.5833333283799</v>
      </c>
      <c r="H356">
        <v>1986</v>
      </c>
      <c r="I356">
        <v>8</v>
      </c>
      <c r="J356">
        <v>412</v>
      </c>
      <c r="K356" s="3">
        <f>STANDARDIZE(J356,O$11,P$11)</f>
        <v>-1.1215080813549128</v>
      </c>
      <c r="L356" s="3">
        <f t="shared" si="7"/>
        <v>-0.80392330513072729</v>
      </c>
    </row>
    <row r="357" spans="7:12" x14ac:dyDescent="0.3">
      <c r="G357" s="4">
        <v>1986.4999999950201</v>
      </c>
      <c r="H357">
        <v>1986</v>
      </c>
      <c r="I357">
        <v>7</v>
      </c>
      <c r="J357">
        <v>572</v>
      </c>
      <c r="K357" s="3">
        <f>STANDARDIZE(J357,O$10,P$10)</f>
        <v>-0.17944212638207382</v>
      </c>
      <c r="L357" s="3">
        <f t="shared" si="7"/>
        <v>0.1543033225858956</v>
      </c>
    </row>
    <row r="358" spans="7:12" x14ac:dyDescent="0.3">
      <c r="G358" s="4">
        <v>1986.41666666166</v>
      </c>
      <c r="H358">
        <v>1986</v>
      </c>
      <c r="I358">
        <v>6</v>
      </c>
      <c r="J358">
        <v>604</v>
      </c>
      <c r="K358" s="3">
        <f>STANDARDIZE(J358,O$9,P$9)</f>
        <v>-0.12455013475580477</v>
      </c>
      <c r="L358" s="3">
        <f t="shared" si="7"/>
        <v>0.34594864812922016</v>
      </c>
    </row>
    <row r="359" spans="7:12" x14ac:dyDescent="0.3">
      <c r="G359" s="4">
        <v>1986.3333333282999</v>
      </c>
      <c r="H359">
        <v>1986</v>
      </c>
      <c r="I359">
        <v>5</v>
      </c>
      <c r="J359">
        <v>550</v>
      </c>
      <c r="K359" s="3">
        <f>STANDARDIZE(J359,O$8,P$8)</f>
        <v>7.8976972635452017E-2</v>
      </c>
      <c r="L359" s="3">
        <f t="shared" si="7"/>
        <v>2.2547161274859957E-2</v>
      </c>
    </row>
    <row r="360" spans="7:12" x14ac:dyDescent="0.3">
      <c r="G360" s="4">
        <v>1986.24999999494</v>
      </c>
      <c r="H360">
        <v>1986</v>
      </c>
      <c r="I360">
        <v>4</v>
      </c>
      <c r="J360">
        <v>434</v>
      </c>
      <c r="K360" s="3">
        <f>STANDARDIZE(J360,O$7,P$7)</f>
        <v>0.21325336151363108</v>
      </c>
      <c r="L360" s="3">
        <f t="shared" si="7"/>
        <v>-0.67216714381969167</v>
      </c>
    </row>
    <row r="361" spans="7:12" x14ac:dyDescent="0.3">
      <c r="G361" s="4">
        <v>1986.1666666615799</v>
      </c>
      <c r="H361">
        <v>1986</v>
      </c>
      <c r="I361">
        <v>3</v>
      </c>
      <c r="J361">
        <v>376</v>
      </c>
      <c r="K361" s="3">
        <f>STANDARDIZE(J361,O$6,P$6)</f>
        <v>0.29283860225842279</v>
      </c>
      <c r="L361" s="3">
        <f t="shared" si="7"/>
        <v>-1.0195242963669675</v>
      </c>
    </row>
    <row r="362" spans="7:12" x14ac:dyDescent="0.3">
      <c r="G362" s="4">
        <v>1986.0833333282201</v>
      </c>
      <c r="H362">
        <v>1986</v>
      </c>
      <c r="I362">
        <v>2</v>
      </c>
      <c r="J362">
        <v>336</v>
      </c>
      <c r="K362" s="3">
        <f>STANDARDIZE(J362,O$5,P$5)</f>
        <v>-0.20682614331255747</v>
      </c>
      <c r="L362" s="3">
        <f t="shared" si="7"/>
        <v>-1.2590809532961231</v>
      </c>
    </row>
    <row r="363" spans="7:12" x14ac:dyDescent="0.3">
      <c r="G363" s="4">
        <v>1985.99999999486</v>
      </c>
      <c r="H363">
        <v>1986</v>
      </c>
      <c r="I363">
        <v>1</v>
      </c>
      <c r="J363">
        <v>433</v>
      </c>
      <c r="K363" s="3">
        <f>STANDARDIZE(J363,O$4,P$4)</f>
        <v>-0.58471048567564632</v>
      </c>
      <c r="L363" s="3">
        <f t="shared" si="7"/>
        <v>-0.67815606024292052</v>
      </c>
    </row>
    <row r="364" spans="7:12" x14ac:dyDescent="0.3">
      <c r="G364" s="4">
        <v>1985.9166666614999</v>
      </c>
      <c r="H364">
        <v>1985</v>
      </c>
      <c r="I364">
        <v>12</v>
      </c>
      <c r="J364">
        <v>666</v>
      </c>
      <c r="K364" s="3">
        <f>STANDARDIZE(J364,O$15,P$15)</f>
        <v>-0.23387276326171871</v>
      </c>
      <c r="L364" s="3">
        <f t="shared" si="7"/>
        <v>0.71726146636941157</v>
      </c>
    </row>
    <row r="365" spans="7:12" x14ac:dyDescent="0.3">
      <c r="G365" s="4">
        <v>1985.83333332814</v>
      </c>
      <c r="H365">
        <v>1985</v>
      </c>
      <c r="I365">
        <v>11</v>
      </c>
      <c r="J365">
        <v>674</v>
      </c>
      <c r="K365" s="3">
        <f>STANDARDIZE(J365,O$14,P$14)</f>
        <v>-0.32016972222778822</v>
      </c>
      <c r="L365" s="3">
        <f t="shared" si="7"/>
        <v>0.76517279775524272</v>
      </c>
    </row>
    <row r="366" spans="7:12" x14ac:dyDescent="0.3">
      <c r="G366" s="4">
        <v>1985.74999999478</v>
      </c>
      <c r="H366">
        <v>1985</v>
      </c>
      <c r="I366">
        <v>10</v>
      </c>
      <c r="J366">
        <v>632</v>
      </c>
      <c r="K366" s="3">
        <f>STANDARDIZE(J366,O$13,P$13)</f>
        <v>-2.1035868918316648E-2</v>
      </c>
      <c r="L366" s="3">
        <f t="shared" si="7"/>
        <v>0.51363830797962917</v>
      </c>
    </row>
    <row r="367" spans="7:12" x14ac:dyDescent="0.3">
      <c r="G367" s="4">
        <v>1985.6666666614201</v>
      </c>
      <c r="H367">
        <v>1985</v>
      </c>
      <c r="I367">
        <v>9</v>
      </c>
      <c r="J367">
        <v>567</v>
      </c>
      <c r="K367" s="3">
        <f>STANDARDIZE(J367,O$12,P$12)</f>
        <v>-1.2481766928911201E-2</v>
      </c>
      <c r="L367" s="3">
        <f t="shared" si="7"/>
        <v>0.12435874046975114</v>
      </c>
    </row>
    <row r="368" spans="7:12" x14ac:dyDescent="0.3">
      <c r="G368" s="4">
        <v>1985.58333332806</v>
      </c>
      <c r="H368">
        <v>1985</v>
      </c>
      <c r="I368">
        <v>8</v>
      </c>
      <c r="J368">
        <v>467</v>
      </c>
      <c r="K368" s="3">
        <f>STANDARDIZE(J368,O$11,P$11)</f>
        <v>-0.6872570642470579</v>
      </c>
      <c r="L368" s="3">
        <f t="shared" si="7"/>
        <v>-0.47453290185313818</v>
      </c>
    </row>
    <row r="369" spans="7:12" x14ac:dyDescent="0.3">
      <c r="G369" s="4">
        <v>1985.4999999946999</v>
      </c>
      <c r="H369">
        <v>1985</v>
      </c>
      <c r="I369">
        <v>7</v>
      </c>
      <c r="J369">
        <v>374</v>
      </c>
      <c r="K369" s="3">
        <f>STANDARDIZE(J369,O$10,P$10)</f>
        <v>-1.7469218774254862</v>
      </c>
      <c r="L369" s="3">
        <f t="shared" si="7"/>
        <v>-1.0315021292134252</v>
      </c>
    </row>
    <row r="370" spans="7:12" x14ac:dyDescent="0.3">
      <c r="G370" s="4">
        <v>1985.4166666613401</v>
      </c>
      <c r="H370">
        <v>1985</v>
      </c>
      <c r="I370">
        <v>6</v>
      </c>
      <c r="J370">
        <v>478</v>
      </c>
      <c r="K370" s="3">
        <f>STANDARDIZE(J370,O$9,P$9)</f>
        <v>-1.3094482288252927</v>
      </c>
      <c r="L370" s="3">
        <f t="shared" si="7"/>
        <v>-0.40865482119762037</v>
      </c>
    </row>
    <row r="371" spans="7:12" x14ac:dyDescent="0.3">
      <c r="G371" s="4">
        <v>1985.33333332798</v>
      </c>
      <c r="H371">
        <v>1985</v>
      </c>
      <c r="I371">
        <v>5</v>
      </c>
      <c r="J371">
        <v>433</v>
      </c>
      <c r="K371" s="3">
        <f>STANDARDIZE(J371,O$8,P$8)</f>
        <v>-1.0665154817051874</v>
      </c>
      <c r="L371" s="3">
        <f t="shared" si="7"/>
        <v>-0.67815606024292052</v>
      </c>
    </row>
    <row r="372" spans="7:12" x14ac:dyDescent="0.3">
      <c r="G372" s="4">
        <v>1985.2499999946201</v>
      </c>
      <c r="H372">
        <v>1985</v>
      </c>
      <c r="I372">
        <v>4</v>
      </c>
      <c r="J372">
        <v>317</v>
      </c>
      <c r="K372" s="3">
        <f>STANDARDIZE(J372,O$7,P$7)</f>
        <v>-0.85810059685399065</v>
      </c>
      <c r="L372" s="3">
        <f t="shared" si="7"/>
        <v>-1.3728703653374721</v>
      </c>
    </row>
    <row r="373" spans="7:12" x14ac:dyDescent="0.3">
      <c r="G373" s="4">
        <v>1985.16666666126</v>
      </c>
      <c r="H373">
        <v>1985</v>
      </c>
      <c r="I373">
        <v>3</v>
      </c>
      <c r="J373">
        <v>239</v>
      </c>
      <c r="K373" s="3">
        <f>STANDARDIZE(J373,O$6,P$6)</f>
        <v>-0.85706584546334474</v>
      </c>
      <c r="L373" s="3">
        <f t="shared" si="7"/>
        <v>-1.8400058463493258</v>
      </c>
    </row>
    <row r="374" spans="7:12" x14ac:dyDescent="0.3">
      <c r="G374" s="4">
        <v>1985.0833333278999</v>
      </c>
      <c r="H374">
        <v>1985</v>
      </c>
      <c r="I374">
        <v>2</v>
      </c>
      <c r="J374">
        <v>312</v>
      </c>
      <c r="K374" s="3">
        <f>STANDARDIZE(J374,O$5,P$5)</f>
        <v>-0.39036947509362752</v>
      </c>
      <c r="L374" s="3">
        <f t="shared" si="7"/>
        <v>-1.4028149474536167</v>
      </c>
    </row>
    <row r="375" spans="7:12" x14ac:dyDescent="0.3">
      <c r="G375" s="4">
        <v>1984.9999999945401</v>
      </c>
      <c r="H375">
        <v>1985</v>
      </c>
      <c r="I375">
        <v>1</v>
      </c>
      <c r="J375">
        <v>571</v>
      </c>
      <c r="K375" s="3">
        <f>STANDARDIZE(J375,O$4,P$4)</f>
        <v>0.28834845061811754</v>
      </c>
      <c r="L375" s="3">
        <f t="shared" si="7"/>
        <v>0.14831440616266672</v>
      </c>
    </row>
    <row r="376" spans="7:12" x14ac:dyDescent="0.3">
      <c r="G376" s="4">
        <v>1984.91666666118</v>
      </c>
      <c r="H376">
        <v>1984</v>
      </c>
      <c r="I376">
        <v>12</v>
      </c>
      <c r="J376">
        <v>808</v>
      </c>
      <c r="K376" s="3">
        <f>STANDARDIZE(J376,O$15,P$15)</f>
        <v>0.85855922302657339</v>
      </c>
      <c r="L376" s="3">
        <f t="shared" si="7"/>
        <v>1.5676875984679144</v>
      </c>
    </row>
    <row r="377" spans="7:12" x14ac:dyDescent="0.3">
      <c r="G377" s="4">
        <v>1984.8333333278199</v>
      </c>
      <c r="H377">
        <v>1984</v>
      </c>
      <c r="I377">
        <v>11</v>
      </c>
      <c r="J377">
        <v>821</v>
      </c>
      <c r="K377" s="3">
        <f>STANDARDIZE(J377,O$14,P$14)</f>
        <v>1.0955540160989641</v>
      </c>
      <c r="L377" s="3">
        <f t="shared" si="7"/>
        <v>1.64554351196989</v>
      </c>
    </row>
    <row r="378" spans="7:12" x14ac:dyDescent="0.3">
      <c r="G378" s="4">
        <v>1984.74999999446</v>
      </c>
      <c r="H378">
        <v>1984</v>
      </c>
      <c r="I378">
        <v>10</v>
      </c>
      <c r="J378">
        <v>749</v>
      </c>
      <c r="K378" s="3">
        <f>STANDARDIZE(J378,O$13,P$13)</f>
        <v>1.0140468400063471</v>
      </c>
      <c r="L378" s="3">
        <f t="shared" si="7"/>
        <v>1.2143415294974096</v>
      </c>
    </row>
    <row r="379" spans="7:12" x14ac:dyDescent="0.3">
      <c r="G379" s="4">
        <v>1984.6666666611</v>
      </c>
      <c r="H379">
        <v>1984</v>
      </c>
      <c r="I379">
        <v>9</v>
      </c>
      <c r="J379">
        <v>690</v>
      </c>
      <c r="K379" s="3">
        <f>STANDARDIZE(J379,O$12,P$12)</f>
        <v>0.93390973925631859</v>
      </c>
      <c r="L379" s="3">
        <f t="shared" si="7"/>
        <v>0.86099546052690501</v>
      </c>
    </row>
    <row r="380" spans="7:12" x14ac:dyDescent="0.3">
      <c r="G380" s="4">
        <v>1984.5833333277401</v>
      </c>
      <c r="H380">
        <v>1984</v>
      </c>
      <c r="I380">
        <v>8</v>
      </c>
      <c r="J380">
        <v>705</v>
      </c>
      <c r="K380" s="3">
        <f>STANDARDIZE(J380,O$11,P$11)</f>
        <v>1.1918655188742051</v>
      </c>
      <c r="L380" s="3">
        <f t="shared" si="7"/>
        <v>0.95082920687533834</v>
      </c>
    </row>
    <row r="381" spans="7:12" x14ac:dyDescent="0.3">
      <c r="G381" s="4">
        <v>1984.49999999438</v>
      </c>
      <c r="H381">
        <v>1984</v>
      </c>
      <c r="I381">
        <v>7</v>
      </c>
      <c r="J381">
        <v>704</v>
      </c>
      <c r="K381" s="3">
        <f>STANDARDIZE(J381,O$10,P$10)</f>
        <v>0.86554437431353437</v>
      </c>
      <c r="L381" s="3">
        <f t="shared" si="7"/>
        <v>0.94484029045210949</v>
      </c>
    </row>
    <row r="382" spans="7:12" x14ac:dyDescent="0.3">
      <c r="G382" s="4">
        <v>1984.4166666610199</v>
      </c>
      <c r="H382">
        <v>1984</v>
      </c>
      <c r="I382">
        <v>6</v>
      </c>
      <c r="J382">
        <v>638</v>
      </c>
      <c r="K382" s="3">
        <f>STANDARDIZE(J382,O$9,P$9)</f>
        <v>0.19518427158040627</v>
      </c>
      <c r="L382" s="3">
        <f t="shared" si="7"/>
        <v>0.5495718065190025</v>
      </c>
    </row>
    <row r="383" spans="7:12" x14ac:dyDescent="0.3">
      <c r="G383" s="4">
        <v>1984.3333333276601</v>
      </c>
      <c r="H383">
        <v>1984</v>
      </c>
      <c r="I383">
        <v>5</v>
      </c>
      <c r="J383">
        <v>494</v>
      </c>
      <c r="K383" s="3">
        <f>STANDARDIZE(J383,O$8,P$8)</f>
        <v>-0.46929292004040962</v>
      </c>
      <c r="L383" s="3">
        <f t="shared" si="7"/>
        <v>-0.31283215842595807</v>
      </c>
    </row>
    <row r="384" spans="7:12" x14ac:dyDescent="0.3">
      <c r="G384" s="4">
        <v>1984.2499999943</v>
      </c>
      <c r="H384">
        <v>1984</v>
      </c>
      <c r="I384">
        <v>4</v>
      </c>
      <c r="J384">
        <v>343</v>
      </c>
      <c r="K384" s="3">
        <f>STANDARDIZE(J384,O$7,P$7)</f>
        <v>-0.62002193943896355</v>
      </c>
      <c r="L384" s="3">
        <f t="shared" si="7"/>
        <v>-1.2171585383335208</v>
      </c>
    </row>
    <row r="385" spans="7:12" x14ac:dyDescent="0.3">
      <c r="G385" s="4">
        <v>1984.1666666609401</v>
      </c>
      <c r="H385">
        <v>1984</v>
      </c>
      <c r="I385">
        <v>3</v>
      </c>
      <c r="J385">
        <v>372</v>
      </c>
      <c r="K385" s="3">
        <f>STANDARDIZE(J385,O$6,P$6)</f>
        <v>0.25926474977019598</v>
      </c>
      <c r="L385" s="3">
        <f t="shared" si="7"/>
        <v>-1.0434799620598829</v>
      </c>
    </row>
    <row r="386" spans="7:12" x14ac:dyDescent="0.3">
      <c r="G386" s="4">
        <v>1984.08333332758</v>
      </c>
      <c r="H386">
        <v>1984</v>
      </c>
      <c r="I386">
        <v>2</v>
      </c>
      <c r="J386">
        <v>428</v>
      </c>
      <c r="K386" s="3">
        <f>STANDARDIZE(J386,O$5,P$5)</f>
        <v>0.49675662851487773</v>
      </c>
      <c r="L386" s="3">
        <f t="shared" si="7"/>
        <v>-0.708100642359065</v>
      </c>
    </row>
    <row r="387" spans="7:12" x14ac:dyDescent="0.3">
      <c r="G387" s="4">
        <v>1983.9999999942199</v>
      </c>
      <c r="H387">
        <v>1984</v>
      </c>
      <c r="I387">
        <v>1</v>
      </c>
      <c r="J387">
        <v>512</v>
      </c>
      <c r="K387" s="3">
        <f>STANDARDIZE(J387,O$4,P$4)</f>
        <v>-8.4915877217622102E-2</v>
      </c>
      <c r="L387" s="3">
        <f t="shared" si="7"/>
        <v>-0.20503166280783797</v>
      </c>
    </row>
    <row r="388" spans="7:12" x14ac:dyDescent="0.3">
      <c r="G388" s="4">
        <v>1983.9166666608601</v>
      </c>
      <c r="H388">
        <v>1983</v>
      </c>
      <c r="I388">
        <v>12</v>
      </c>
      <c r="J388">
        <v>576</v>
      </c>
      <c r="K388" s="3">
        <f>STANDARDIZE(J388,O$15,P$15)</f>
        <v>-0.92625923344443906</v>
      </c>
      <c r="L388" s="3">
        <f t="shared" si="7"/>
        <v>0.17825898827881118</v>
      </c>
    </row>
    <row r="389" spans="7:12" x14ac:dyDescent="0.3">
      <c r="G389" s="4">
        <v>1983.8333333275</v>
      </c>
      <c r="H389">
        <v>1983</v>
      </c>
      <c r="I389">
        <v>11</v>
      </c>
      <c r="J389">
        <v>607</v>
      </c>
      <c r="K389" s="3">
        <f>STANDARDIZE(J389,O$14,P$14)</f>
        <v>-0.96543156214542358</v>
      </c>
      <c r="L389" s="3">
        <f t="shared" ref="L389:L452" si="8">STANDARDIZE(J389,J$1,J$2)</f>
        <v>0.36391539739890688</v>
      </c>
    </row>
    <row r="390" spans="7:12" x14ac:dyDescent="0.3">
      <c r="G390" s="4">
        <v>1983.7499999941399</v>
      </c>
      <c r="H390">
        <v>1983</v>
      </c>
      <c r="I390">
        <v>10</v>
      </c>
      <c r="J390">
        <v>560</v>
      </c>
      <c r="K390" s="3">
        <f>STANDARDIZE(J390,O$13,P$13)</f>
        <v>-0.65800984364118675</v>
      </c>
      <c r="L390" s="3">
        <f t="shared" si="8"/>
        <v>8.2436325507148883E-2</v>
      </c>
    </row>
    <row r="391" spans="7:12" x14ac:dyDescent="0.3">
      <c r="G391" s="4">
        <v>1983.66666666078</v>
      </c>
      <c r="H391">
        <v>1983</v>
      </c>
      <c r="I391">
        <v>9</v>
      </c>
      <c r="J391">
        <v>512</v>
      </c>
      <c r="K391" s="3">
        <f>STANDARDIZE(J391,O$12,P$12)</f>
        <v>-0.43566496075157496</v>
      </c>
      <c r="L391" s="3">
        <f t="shared" si="8"/>
        <v>-0.20503166280783797</v>
      </c>
    </row>
    <row r="392" spans="7:12" x14ac:dyDescent="0.3">
      <c r="G392" s="4">
        <v>1983.58333332742</v>
      </c>
      <c r="H392">
        <v>1983</v>
      </c>
      <c r="I392">
        <v>8</v>
      </c>
      <c r="J392">
        <v>470</v>
      </c>
      <c r="K392" s="3">
        <f>STANDARDIZE(J392,O$11,P$11)</f>
        <v>-0.66357064513208408</v>
      </c>
      <c r="L392" s="3">
        <f t="shared" si="8"/>
        <v>-0.45656615258345151</v>
      </c>
    </row>
    <row r="393" spans="7:12" x14ac:dyDescent="0.3">
      <c r="G393" s="4">
        <v>1983.4999999940601</v>
      </c>
      <c r="H393">
        <v>1983</v>
      </c>
      <c r="I393">
        <v>7</v>
      </c>
      <c r="J393">
        <v>505</v>
      </c>
      <c r="K393" s="3">
        <f>STANDARDIZE(J393,O$10,P$10)</f>
        <v>-0.70985194112908712</v>
      </c>
      <c r="L393" s="3">
        <f t="shared" si="8"/>
        <v>-0.24695407777044023</v>
      </c>
    </row>
    <row r="394" spans="7:12" x14ac:dyDescent="0.3">
      <c r="G394" s="4">
        <v>1983.4166666607</v>
      </c>
      <c r="H394">
        <v>1983</v>
      </c>
      <c r="I394">
        <v>6</v>
      </c>
      <c r="J394">
        <v>618</v>
      </c>
      <c r="K394" s="3">
        <f>STANDARDIZE(J394,O$9,P$9)</f>
        <v>7.1052090296938875E-3</v>
      </c>
      <c r="L394" s="3">
        <f t="shared" si="8"/>
        <v>0.42979347805442469</v>
      </c>
    </row>
    <row r="395" spans="7:12" x14ac:dyDescent="0.3">
      <c r="G395" s="4">
        <v>1983.3333333273399</v>
      </c>
      <c r="H395">
        <v>1983</v>
      </c>
      <c r="I395">
        <v>5</v>
      </c>
      <c r="J395">
        <v>566</v>
      </c>
      <c r="K395" s="3">
        <f>STANDARDIZE(J395,O$8,P$8)</f>
        <v>0.23562551339998392</v>
      </c>
      <c r="L395" s="3">
        <f t="shared" si="8"/>
        <v>0.11836982404652224</v>
      </c>
    </row>
    <row r="396" spans="7:12" x14ac:dyDescent="0.3">
      <c r="G396" s="4">
        <v>1983.2499999939801</v>
      </c>
      <c r="H396">
        <v>1983</v>
      </c>
      <c r="I396">
        <v>4</v>
      </c>
      <c r="J396">
        <v>372</v>
      </c>
      <c r="K396" s="3">
        <f>STANDARDIZE(J396,O$7,P$7)</f>
        <v>-0.35447266770681801</v>
      </c>
      <c r="L396" s="3">
        <f t="shared" si="8"/>
        <v>-1.0434799620598829</v>
      </c>
    </row>
    <row r="397" spans="7:12" x14ac:dyDescent="0.3">
      <c r="G397" s="4">
        <v>1983.16666666062</v>
      </c>
      <c r="H397">
        <v>1983</v>
      </c>
      <c r="I397">
        <v>3</v>
      </c>
      <c r="J397">
        <v>235</v>
      </c>
      <c r="K397" s="3">
        <f>STANDARDIZE(J397,O$6,P$6)</f>
        <v>-0.8906396979515715</v>
      </c>
      <c r="L397" s="3">
        <f t="shared" si="8"/>
        <v>-1.8639615120422415</v>
      </c>
    </row>
    <row r="398" spans="7:12" x14ac:dyDescent="0.3">
      <c r="G398" s="4">
        <v>1983.0833333272601</v>
      </c>
      <c r="H398">
        <v>1983</v>
      </c>
      <c r="I398">
        <v>2</v>
      </c>
      <c r="J398">
        <v>211</v>
      </c>
      <c r="K398" s="3">
        <f>STANDARDIZE(J398,O$5,P$5)</f>
        <v>-1.1627809963389639</v>
      </c>
      <c r="L398" s="3">
        <f t="shared" si="8"/>
        <v>-2.0076955061997346</v>
      </c>
    </row>
    <row r="399" spans="7:12" x14ac:dyDescent="0.3">
      <c r="G399" s="4">
        <v>1982.9999999939</v>
      </c>
      <c r="H399">
        <v>1983</v>
      </c>
      <c r="I399">
        <v>1</v>
      </c>
      <c r="J399">
        <v>371</v>
      </c>
      <c r="K399" s="3">
        <f>STANDARDIZE(J399,O$4,P$4)</f>
        <v>-0.97695435560472865</v>
      </c>
      <c r="L399" s="3">
        <f t="shared" si="8"/>
        <v>-1.0494688784831119</v>
      </c>
    </row>
    <row r="400" spans="7:12" x14ac:dyDescent="0.3">
      <c r="G400" s="4">
        <v>1982.9166666605399</v>
      </c>
      <c r="H400">
        <v>1982</v>
      </c>
      <c r="I400">
        <v>12</v>
      </c>
      <c r="J400">
        <v>580</v>
      </c>
      <c r="K400" s="3">
        <f>STANDARDIZE(J400,O$15,P$15)</f>
        <v>-0.89548650143631814</v>
      </c>
      <c r="L400" s="3">
        <f t="shared" si="8"/>
        <v>0.20221465397172675</v>
      </c>
    </row>
    <row r="401" spans="7:12" x14ac:dyDescent="0.3">
      <c r="G401" s="4">
        <v>1982.8333333271801</v>
      </c>
      <c r="H401">
        <v>1982</v>
      </c>
      <c r="I401">
        <v>11</v>
      </c>
      <c r="J401">
        <v>686</v>
      </c>
      <c r="K401" s="3">
        <f>STANDARDIZE(J401,O$14,P$14)</f>
        <v>-0.2046004374664207</v>
      </c>
      <c r="L401" s="3">
        <f t="shared" si="8"/>
        <v>0.83703979483398938</v>
      </c>
    </row>
    <row r="402" spans="7:12" x14ac:dyDescent="0.3">
      <c r="G402" s="4">
        <v>1982.74999999382</v>
      </c>
      <c r="H402">
        <v>1982</v>
      </c>
      <c r="I402">
        <v>10</v>
      </c>
      <c r="J402">
        <v>589</v>
      </c>
      <c r="K402" s="3">
        <f>STANDARDIZE(J402,O$13,P$13)</f>
        <v>-0.40145088160003073</v>
      </c>
      <c r="L402" s="3">
        <f t="shared" si="8"/>
        <v>0.25611490178078677</v>
      </c>
    </row>
    <row r="403" spans="7:12" x14ac:dyDescent="0.3">
      <c r="G403" s="4">
        <v>1982.6666666604599</v>
      </c>
      <c r="H403">
        <v>1982</v>
      </c>
      <c r="I403">
        <v>9</v>
      </c>
      <c r="J403">
        <v>483</v>
      </c>
      <c r="K403" s="3">
        <f>STANDARDIZE(J403,O$12,P$12)</f>
        <v>-0.65879791749443406</v>
      </c>
      <c r="L403" s="3">
        <f t="shared" si="8"/>
        <v>-0.37871023908147589</v>
      </c>
    </row>
    <row r="404" spans="7:12" x14ac:dyDescent="0.3">
      <c r="G404" s="4">
        <v>1982.5833333271</v>
      </c>
      <c r="H404">
        <v>1982</v>
      </c>
      <c r="I404">
        <v>8</v>
      </c>
      <c r="J404">
        <v>538</v>
      </c>
      <c r="K404" s="3">
        <f>STANDARDIZE(J404,O$11,P$11)</f>
        <v>-0.12667847852600886</v>
      </c>
      <c r="L404" s="3">
        <f t="shared" si="8"/>
        <v>-4.9319835803886755E-2</v>
      </c>
    </row>
    <row r="405" spans="7:12" x14ac:dyDescent="0.3">
      <c r="G405" s="4">
        <v>1982.4999999937399</v>
      </c>
      <c r="H405">
        <v>1982</v>
      </c>
      <c r="I405">
        <v>7</v>
      </c>
      <c r="J405">
        <v>694</v>
      </c>
      <c r="K405" s="3">
        <f>STANDARDIZE(J405,O$10,P$10)</f>
        <v>0.78637873032144279</v>
      </c>
      <c r="L405" s="3">
        <f t="shared" si="8"/>
        <v>0.88495112621982053</v>
      </c>
    </row>
    <row r="406" spans="7:12" x14ac:dyDescent="0.3">
      <c r="G406" s="4">
        <v>1982.4166666603801</v>
      </c>
      <c r="H406">
        <v>1982</v>
      </c>
      <c r="I406">
        <v>6</v>
      </c>
      <c r="J406">
        <v>775</v>
      </c>
      <c r="K406" s="3">
        <f>STANDARDIZE(J406,O$9,P$9)</f>
        <v>1.4835258500527861</v>
      </c>
      <c r="L406" s="3">
        <f t="shared" si="8"/>
        <v>1.3700533565013608</v>
      </c>
    </row>
    <row r="407" spans="7:12" x14ac:dyDescent="0.3">
      <c r="G407" s="4">
        <v>1982.33333332702</v>
      </c>
      <c r="H407">
        <v>1982</v>
      </c>
      <c r="I407">
        <v>5</v>
      </c>
      <c r="J407">
        <v>665</v>
      </c>
      <c r="K407" s="3">
        <f>STANDARDIZE(J407,O$8,P$8)</f>
        <v>1.2048883593805251</v>
      </c>
      <c r="L407" s="3">
        <f t="shared" si="8"/>
        <v>0.71127254994618272</v>
      </c>
    </row>
    <row r="408" spans="7:12" x14ac:dyDescent="0.3">
      <c r="G408" s="4">
        <v>1982.2499999936599</v>
      </c>
      <c r="H408">
        <v>1982</v>
      </c>
      <c r="I408">
        <v>4</v>
      </c>
      <c r="J408">
        <v>505</v>
      </c>
      <c r="K408" s="3">
        <f>STANDARDIZE(J408,O$7,P$7)</f>
        <v>0.86339123368543569</v>
      </c>
      <c r="L408" s="3">
        <f t="shared" si="8"/>
        <v>-0.24695407777044023</v>
      </c>
    </row>
    <row r="409" spans="7:12" x14ac:dyDescent="0.3">
      <c r="G409" s="4">
        <v>1982.1666666603001</v>
      </c>
      <c r="H409">
        <v>1982</v>
      </c>
      <c r="I409">
        <v>3</v>
      </c>
      <c r="J409">
        <v>424</v>
      </c>
      <c r="K409" s="3">
        <f>STANDARDIZE(J409,O$6,P$6)</f>
        <v>0.6957248321171442</v>
      </c>
      <c r="L409" s="3">
        <f t="shared" si="8"/>
        <v>-0.73205630805198052</v>
      </c>
    </row>
    <row r="410" spans="7:12" x14ac:dyDescent="0.3">
      <c r="G410" s="4">
        <v>1982.08333332694</v>
      </c>
      <c r="H410">
        <v>1982</v>
      </c>
      <c r="I410">
        <v>2</v>
      </c>
      <c r="J410">
        <v>470</v>
      </c>
      <c r="K410" s="3">
        <f>STANDARDIZE(J410,O$5,P$5)</f>
        <v>0.81795745913175033</v>
      </c>
      <c r="L410" s="3">
        <f t="shared" si="8"/>
        <v>-0.45656615258345151</v>
      </c>
    </row>
    <row r="411" spans="7:12" x14ac:dyDescent="0.3">
      <c r="G411" s="4">
        <v>1981.9999999935801</v>
      </c>
      <c r="H411">
        <v>1982</v>
      </c>
      <c r="I411">
        <v>1</v>
      </c>
      <c r="J411">
        <v>625</v>
      </c>
      <c r="K411" s="3">
        <f>STANDARDIZE(J411,O$4,P$4)</f>
        <v>0.62998020829828605</v>
      </c>
      <c r="L411" s="3">
        <f t="shared" si="8"/>
        <v>0.47171589301702693</v>
      </c>
    </row>
    <row r="412" spans="7:12" x14ac:dyDescent="0.3">
      <c r="G412" s="4">
        <v>1981.91666666022</v>
      </c>
      <c r="H412">
        <v>1981</v>
      </c>
      <c r="I412">
        <v>12</v>
      </c>
      <c r="J412">
        <v>719</v>
      </c>
      <c r="K412" s="3">
        <f>STANDARDIZE(J412,O$15,P$15)</f>
        <v>0.17386593584588328</v>
      </c>
      <c r="L412" s="3">
        <f t="shared" si="8"/>
        <v>1.0346740368005429</v>
      </c>
    </row>
    <row r="413" spans="7:12" x14ac:dyDescent="0.3">
      <c r="G413" s="4">
        <v>1981.8333333268599</v>
      </c>
      <c r="H413">
        <v>1981</v>
      </c>
      <c r="I413">
        <v>11</v>
      </c>
      <c r="J413">
        <v>700</v>
      </c>
      <c r="K413" s="3">
        <f>STANDARDIZE(J413,O$14,P$14)</f>
        <v>-6.976960524482527E-2</v>
      </c>
      <c r="L413" s="3">
        <f t="shared" si="8"/>
        <v>0.92088462475919397</v>
      </c>
    </row>
    <row r="414" spans="7:12" x14ac:dyDescent="0.3">
      <c r="G414" s="4">
        <v>1981.7499999935001</v>
      </c>
      <c r="H414">
        <v>1981</v>
      </c>
      <c r="I414">
        <v>10</v>
      </c>
      <c r="J414">
        <v>641</v>
      </c>
      <c r="K414" s="3">
        <f>STANDARDIZE(J414,O$13,P$13)</f>
        <v>5.8585877922042111E-2</v>
      </c>
      <c r="L414" s="3">
        <f t="shared" si="8"/>
        <v>0.56753855578868928</v>
      </c>
    </row>
    <row r="415" spans="7:12" x14ac:dyDescent="0.3">
      <c r="G415" s="4">
        <v>1981.66666666014</v>
      </c>
      <c r="H415">
        <v>1981</v>
      </c>
      <c r="I415">
        <v>9</v>
      </c>
      <c r="J415">
        <v>662</v>
      </c>
      <c r="K415" s="3">
        <f>STANDARDIZE(J415,O$12,P$12)</f>
        <v>0.71847102240114435</v>
      </c>
      <c r="L415" s="3">
        <f t="shared" si="8"/>
        <v>0.69330580067649594</v>
      </c>
    </row>
    <row r="416" spans="7:12" x14ac:dyDescent="0.3">
      <c r="G416" s="4">
        <v>1981.5833333267799</v>
      </c>
      <c r="H416">
        <v>1981</v>
      </c>
      <c r="I416">
        <v>8</v>
      </c>
      <c r="J416">
        <v>685</v>
      </c>
      <c r="K416" s="3">
        <f>STANDARDIZE(J416,O$11,P$11)</f>
        <v>1.0339560581077125</v>
      </c>
      <c r="L416" s="3">
        <f t="shared" si="8"/>
        <v>0.83105087841076053</v>
      </c>
    </row>
    <row r="417" spans="7:12" x14ac:dyDescent="0.3">
      <c r="G417" s="4">
        <v>1981.49999999342</v>
      </c>
      <c r="H417">
        <v>1981</v>
      </c>
      <c r="I417">
        <v>7</v>
      </c>
      <c r="J417">
        <v>803</v>
      </c>
      <c r="K417" s="3">
        <f>STANDARDIZE(J417,O$10,P$10)</f>
        <v>1.6492842498352405</v>
      </c>
      <c r="L417" s="3">
        <f t="shared" si="8"/>
        <v>1.53774301635177</v>
      </c>
    </row>
    <row r="418" spans="7:12" x14ac:dyDescent="0.3">
      <c r="G418" s="4">
        <v>1981.4166666600599</v>
      </c>
      <c r="H418">
        <v>1981</v>
      </c>
      <c r="I418">
        <v>6</v>
      </c>
      <c r="J418">
        <v>801</v>
      </c>
      <c r="K418" s="3">
        <f>STANDARDIZE(J418,O$9,P$9)</f>
        <v>1.7280286313687121</v>
      </c>
      <c r="L418" s="3">
        <f t="shared" si="8"/>
        <v>1.5257651835053121</v>
      </c>
    </row>
    <row r="419" spans="7:12" x14ac:dyDescent="0.3">
      <c r="G419" s="4">
        <v>1981.3333333267001</v>
      </c>
      <c r="H419">
        <v>1981</v>
      </c>
      <c r="I419">
        <v>5</v>
      </c>
      <c r="J419">
        <v>627</v>
      </c>
      <c r="K419" s="3">
        <f>STANDARDIZE(J419,O$8,P$8)</f>
        <v>0.83284807506476177</v>
      </c>
      <c r="L419" s="3">
        <f t="shared" si="8"/>
        <v>0.48369372586348475</v>
      </c>
    </row>
    <row r="420" spans="7:12" x14ac:dyDescent="0.3">
      <c r="G420" s="4">
        <v>1981.24999999334</v>
      </c>
      <c r="H420">
        <v>1981</v>
      </c>
      <c r="I420">
        <v>4</v>
      </c>
      <c r="J420">
        <v>359</v>
      </c>
      <c r="K420" s="3">
        <f>STANDARDIZE(J420,O$7,P$7)</f>
        <v>-0.47351199641433156</v>
      </c>
      <c r="L420" s="3">
        <f t="shared" si="8"/>
        <v>-1.1213358755618585</v>
      </c>
    </row>
    <row r="421" spans="7:12" x14ac:dyDescent="0.3">
      <c r="G421" s="4">
        <v>1981.1666666599799</v>
      </c>
      <c r="H421">
        <v>1981</v>
      </c>
      <c r="I421">
        <v>3</v>
      </c>
      <c r="J421">
        <v>360</v>
      </c>
      <c r="K421" s="3">
        <f>STANDARDIZE(J421,O$6,P$6)</f>
        <v>0.15854319230551561</v>
      </c>
      <c r="L421" s="3">
        <f t="shared" si="8"/>
        <v>-1.1153469591386298</v>
      </c>
    </row>
    <row r="422" spans="7:12" x14ac:dyDescent="0.3">
      <c r="G422" s="4">
        <v>1981.08333332662</v>
      </c>
      <c r="H422">
        <v>1981</v>
      </c>
      <c r="I422">
        <v>2</v>
      </c>
      <c r="J422">
        <v>281</v>
      </c>
      <c r="K422" s="3">
        <f>STANDARDIZE(J422,O$5,P$5)</f>
        <v>-0.62744627864417635</v>
      </c>
      <c r="L422" s="3">
        <f t="shared" si="8"/>
        <v>-1.5884713565737123</v>
      </c>
    </row>
    <row r="423" spans="7:12" x14ac:dyDescent="0.3">
      <c r="G423" s="4">
        <v>1980.99999999326</v>
      </c>
      <c r="H423">
        <v>1981</v>
      </c>
      <c r="I423">
        <v>1</v>
      </c>
      <c r="J423">
        <v>464</v>
      </c>
      <c r="K423" s="3">
        <f>STANDARDIZE(J423,O$4,P$4)</f>
        <v>-0.38858855071110521</v>
      </c>
      <c r="L423" s="3">
        <f t="shared" si="8"/>
        <v>-0.49249965112282484</v>
      </c>
    </row>
    <row r="424" spans="7:12" x14ac:dyDescent="0.3">
      <c r="G424" s="4">
        <v>1980.9166666599001</v>
      </c>
      <c r="H424">
        <v>1980</v>
      </c>
      <c r="I424">
        <v>12</v>
      </c>
      <c r="J424">
        <v>625</v>
      </c>
      <c r="K424" s="3">
        <f>STANDARDIZE(J424,O$15,P$15)</f>
        <v>-0.54929326634495801</v>
      </c>
      <c r="L424" s="3">
        <f t="shared" si="8"/>
        <v>0.47171589301702693</v>
      </c>
    </row>
    <row r="425" spans="7:12" x14ac:dyDescent="0.3">
      <c r="G425" s="4">
        <v>1980.83333332654</v>
      </c>
      <c r="H425">
        <v>1980</v>
      </c>
      <c r="I425">
        <v>11</v>
      </c>
      <c r="J425">
        <v>646</v>
      </c>
      <c r="K425" s="3">
        <f>STANDARDIZE(J425,O$14,P$14)</f>
        <v>-0.58983138667097912</v>
      </c>
      <c r="L425" s="3">
        <f t="shared" si="8"/>
        <v>0.59748313790483365</v>
      </c>
    </row>
    <row r="426" spans="7:12" x14ac:dyDescent="0.3">
      <c r="G426" s="4">
        <v>1980.7499999931799</v>
      </c>
      <c r="H426">
        <v>1980</v>
      </c>
      <c r="I426">
        <v>10</v>
      </c>
      <c r="J426">
        <v>581</v>
      </c>
      <c r="K426" s="3">
        <f>STANDARDIZE(J426,O$13,P$13)</f>
        <v>-0.47222576768034963</v>
      </c>
      <c r="L426" s="3">
        <f t="shared" si="8"/>
        <v>0.20820357039495566</v>
      </c>
    </row>
    <row r="427" spans="7:12" x14ac:dyDescent="0.3">
      <c r="G427" s="4">
        <v>1980.6666666598201</v>
      </c>
      <c r="H427">
        <v>1980</v>
      </c>
      <c r="I427">
        <v>9</v>
      </c>
      <c r="J427">
        <v>459</v>
      </c>
      <c r="K427" s="3">
        <f>STANDARDIZE(J427,O$12,P$12)</f>
        <v>-0.84345967479886907</v>
      </c>
      <c r="L427" s="3">
        <f t="shared" si="8"/>
        <v>-0.52244423323896927</v>
      </c>
    </row>
    <row r="428" spans="7:12" x14ac:dyDescent="0.3">
      <c r="G428" s="4">
        <v>1980.58333332646</v>
      </c>
      <c r="H428">
        <v>1980</v>
      </c>
      <c r="I428">
        <v>8</v>
      </c>
      <c r="J428">
        <v>467</v>
      </c>
      <c r="K428" s="3">
        <f>STANDARDIZE(J428,O$11,P$11)</f>
        <v>-0.6872570642470579</v>
      </c>
      <c r="L428" s="3">
        <f t="shared" si="8"/>
        <v>-0.47453290185313818</v>
      </c>
    </row>
    <row r="429" spans="7:12" x14ac:dyDescent="0.3">
      <c r="G429" s="4">
        <v>1980.4999999930999</v>
      </c>
      <c r="H429">
        <v>1980</v>
      </c>
      <c r="I429">
        <v>7</v>
      </c>
      <c r="J429">
        <v>441</v>
      </c>
      <c r="K429" s="3">
        <f>STANDARDIZE(J429,O$10,P$10)</f>
        <v>-1.2165120626784729</v>
      </c>
      <c r="L429" s="3">
        <f t="shared" si="8"/>
        <v>-0.63024472885708938</v>
      </c>
    </row>
    <row r="430" spans="7:12" x14ac:dyDescent="0.3">
      <c r="G430" s="4">
        <v>1980.41666665974</v>
      </c>
      <c r="H430">
        <v>1980</v>
      </c>
      <c r="I430">
        <v>6</v>
      </c>
      <c r="J430">
        <v>492</v>
      </c>
      <c r="K430" s="3">
        <f>STANDARDIZE(J430,O$9,P$9)</f>
        <v>-1.1777928850397941</v>
      </c>
      <c r="L430" s="3">
        <f t="shared" si="8"/>
        <v>-0.32480999127241583</v>
      </c>
    </row>
    <row r="431" spans="7:12" x14ac:dyDescent="0.3">
      <c r="G431" s="4">
        <v>1980.3333333263799</v>
      </c>
      <c r="H431">
        <v>1980</v>
      </c>
      <c r="I431">
        <v>5</v>
      </c>
      <c r="J431">
        <v>388</v>
      </c>
      <c r="K431" s="3">
        <f>STANDARDIZE(J431,O$8,P$8)</f>
        <v>-1.5070895026054334</v>
      </c>
      <c r="L431" s="3">
        <f t="shared" si="8"/>
        <v>-0.94765729928822073</v>
      </c>
    </row>
    <row r="432" spans="7:12" x14ac:dyDescent="0.3">
      <c r="G432" s="4">
        <v>1980.2499999930201</v>
      </c>
      <c r="H432">
        <v>1980</v>
      </c>
      <c r="I432">
        <v>4</v>
      </c>
      <c r="J432">
        <v>260</v>
      </c>
      <c r="K432" s="3">
        <f>STANDARDIZE(J432,O$7,P$7)</f>
        <v>-1.3800422688792422</v>
      </c>
      <c r="L432" s="3">
        <f t="shared" si="8"/>
        <v>-1.714238601461519</v>
      </c>
    </row>
    <row r="433" spans="7:12" x14ac:dyDescent="0.3">
      <c r="G433" s="4">
        <v>1980.16666665966</v>
      </c>
      <c r="H433">
        <v>1980</v>
      </c>
      <c r="I433">
        <v>3</v>
      </c>
      <c r="J433">
        <v>245</v>
      </c>
      <c r="K433" s="3">
        <f>STANDARDIZE(J433,O$6,P$6)</f>
        <v>-0.80670506673100462</v>
      </c>
      <c r="L433" s="3">
        <f t="shared" si="8"/>
        <v>-1.8040723478099525</v>
      </c>
    </row>
    <row r="434" spans="7:12" x14ac:dyDescent="0.3">
      <c r="G434" s="4">
        <v>1980.0833333262999</v>
      </c>
      <c r="H434">
        <v>1980</v>
      </c>
      <c r="I434">
        <v>2</v>
      </c>
      <c r="J434">
        <v>355</v>
      </c>
      <c r="K434" s="3">
        <f>STANDARDIZE(J434,O$5,P$5)</f>
        <v>-6.1521005652543689E-2</v>
      </c>
      <c r="L434" s="3">
        <f t="shared" si="8"/>
        <v>-1.1452915412547742</v>
      </c>
    </row>
    <row r="435" spans="7:12" x14ac:dyDescent="0.3">
      <c r="G435" s="4">
        <v>1979.99999999294</v>
      </c>
      <c r="H435">
        <v>1980</v>
      </c>
      <c r="I435">
        <v>1</v>
      </c>
      <c r="J435">
        <v>547</v>
      </c>
      <c r="K435" s="3">
        <f>STANDARDIZE(J435,O$4,P$4)</f>
        <v>0.13651211387137599</v>
      </c>
      <c r="L435" s="3">
        <f t="shared" si="8"/>
        <v>4.5804120051732792E-3</v>
      </c>
    </row>
    <row r="436" spans="7:12" x14ac:dyDescent="0.3">
      <c r="G436" s="4">
        <v>1979.91666665958</v>
      </c>
      <c r="H436">
        <v>1979</v>
      </c>
      <c r="I436">
        <v>12</v>
      </c>
      <c r="J436">
        <v>786</v>
      </c>
      <c r="K436" s="3">
        <f>STANDARDIZE(J436,O$15,P$15)</f>
        <v>0.68930919698190851</v>
      </c>
      <c r="L436" s="3">
        <f t="shared" si="8"/>
        <v>1.4359314371568788</v>
      </c>
    </row>
    <row r="437" spans="7:12" x14ac:dyDescent="0.3">
      <c r="G437" s="4">
        <v>1979.8333333262201</v>
      </c>
      <c r="H437">
        <v>1979</v>
      </c>
      <c r="I437">
        <v>11</v>
      </c>
      <c r="J437">
        <v>737</v>
      </c>
      <c r="K437" s="3">
        <f>STANDARDIZE(J437,O$14,P$14)</f>
        <v>0.28656902276939128</v>
      </c>
      <c r="L437" s="3">
        <f t="shared" si="8"/>
        <v>1.1424745324186629</v>
      </c>
    </row>
    <row r="438" spans="7:12" x14ac:dyDescent="0.3">
      <c r="G438" s="4">
        <v>1979.74999999286</v>
      </c>
      <c r="H438">
        <v>1979</v>
      </c>
      <c r="I438">
        <v>10</v>
      </c>
      <c r="J438">
        <v>651</v>
      </c>
      <c r="K438" s="3">
        <f>STANDARDIZE(J438,O$13,P$13)</f>
        <v>0.14705448552244074</v>
      </c>
      <c r="L438" s="3">
        <f t="shared" si="8"/>
        <v>0.62742772002097813</v>
      </c>
    </row>
    <row r="439" spans="7:12" x14ac:dyDescent="0.3">
      <c r="G439" s="4">
        <v>1979.6666666594999</v>
      </c>
      <c r="H439">
        <v>1979</v>
      </c>
      <c r="I439">
        <v>9</v>
      </c>
      <c r="J439">
        <v>592</v>
      </c>
      <c r="K439" s="3">
        <f>STANDARDIZE(J439,O$12,P$12)</f>
        <v>0.17987423026320867</v>
      </c>
      <c r="L439" s="3">
        <f t="shared" si="8"/>
        <v>0.2740816510504735</v>
      </c>
    </row>
    <row r="440" spans="7:12" x14ac:dyDescent="0.3">
      <c r="G440" s="4">
        <v>1979.5833333261401</v>
      </c>
      <c r="H440">
        <v>1979</v>
      </c>
      <c r="I440">
        <v>8</v>
      </c>
      <c r="J440">
        <v>512</v>
      </c>
      <c r="K440" s="3">
        <f>STANDARDIZE(J440,O$11,P$11)</f>
        <v>-0.33196077752244935</v>
      </c>
      <c r="L440" s="3">
        <f t="shared" si="8"/>
        <v>-0.20503166280783797</v>
      </c>
    </row>
    <row r="441" spans="7:12" x14ac:dyDescent="0.3">
      <c r="G441" s="4">
        <v>1979.49999999278</v>
      </c>
      <c r="H441">
        <v>1979</v>
      </c>
      <c r="I441">
        <v>7</v>
      </c>
      <c r="J441">
        <v>629</v>
      </c>
      <c r="K441" s="3">
        <f>STANDARDIZE(J441,O$10,P$10)</f>
        <v>0.27180204437284788</v>
      </c>
      <c r="L441" s="3">
        <f t="shared" si="8"/>
        <v>0.49567155870994251</v>
      </c>
    </row>
    <row r="442" spans="7:12" x14ac:dyDescent="0.3">
      <c r="G442" s="4">
        <v>1979.4166666594199</v>
      </c>
      <c r="H442">
        <v>1979</v>
      </c>
      <c r="I442">
        <v>6</v>
      </c>
      <c r="J442">
        <v>632</v>
      </c>
      <c r="K442" s="3">
        <f>STANDARDIZE(J442,O$9,P$9)</f>
        <v>0.13876055281519256</v>
      </c>
      <c r="L442" s="3">
        <f t="shared" si="8"/>
        <v>0.51363830797962917</v>
      </c>
    </row>
    <row r="443" spans="7:12" x14ac:dyDescent="0.3">
      <c r="G443" s="4">
        <v>1979.33333332606</v>
      </c>
      <c r="H443">
        <v>1979</v>
      </c>
      <c r="I443">
        <v>5</v>
      </c>
      <c r="J443">
        <v>514</v>
      </c>
      <c r="K443" s="3">
        <f>STANDARDIZE(J443,O$8,P$8)</f>
        <v>-0.27348224408474475</v>
      </c>
      <c r="L443" s="3">
        <f t="shared" si="8"/>
        <v>-0.19305382996138018</v>
      </c>
    </row>
    <row r="444" spans="7:12" x14ac:dyDescent="0.3">
      <c r="G444" s="4">
        <v>1979.2499999926999</v>
      </c>
      <c r="H444">
        <v>1979</v>
      </c>
      <c r="I444">
        <v>4</v>
      </c>
      <c r="J444">
        <v>325</v>
      </c>
      <c r="K444" s="3">
        <f>STANDARDIZE(J444,O$7,P$7)</f>
        <v>-0.78484562534167468</v>
      </c>
      <c r="L444" s="3">
        <f t="shared" si="8"/>
        <v>-1.3249590339516411</v>
      </c>
    </row>
    <row r="445" spans="7:12" x14ac:dyDescent="0.3">
      <c r="G445" s="4">
        <v>1979.1666666593401</v>
      </c>
      <c r="H445">
        <v>1979</v>
      </c>
      <c r="I445">
        <v>3</v>
      </c>
      <c r="J445">
        <v>259</v>
      </c>
      <c r="K445" s="3">
        <f>STANDARDIZE(J445,O$6,P$6)</f>
        <v>-0.68919658302221076</v>
      </c>
      <c r="L445" s="3">
        <f t="shared" si="8"/>
        <v>-1.7202275178847479</v>
      </c>
    </row>
    <row r="446" spans="7:12" x14ac:dyDescent="0.3">
      <c r="G446" s="4">
        <v>1979.08333332598</v>
      </c>
      <c r="H446">
        <v>1979</v>
      </c>
      <c r="I446">
        <v>2</v>
      </c>
      <c r="J446">
        <v>220</v>
      </c>
      <c r="K446" s="3">
        <f>STANDARDIZE(J446,O$5,P$5)</f>
        <v>-1.0939522469210627</v>
      </c>
      <c r="L446" s="3">
        <f t="shared" si="8"/>
        <v>-1.9537952583906748</v>
      </c>
    </row>
    <row r="447" spans="7:12" x14ac:dyDescent="0.3">
      <c r="G447" s="4">
        <v>1978.9999999926199</v>
      </c>
      <c r="H447">
        <v>1979</v>
      </c>
      <c r="I447">
        <v>1</v>
      </c>
      <c r="J447">
        <v>410</v>
      </c>
      <c r="K447" s="3">
        <f>STANDARDIZE(J447,O$4,P$4)</f>
        <v>-0.73022030839127372</v>
      </c>
      <c r="L447" s="3">
        <f t="shared" si="8"/>
        <v>-0.81590113797718511</v>
      </c>
    </row>
    <row r="448" spans="7:12" x14ac:dyDescent="0.3">
      <c r="G448" s="4">
        <v>1978.91666665926</v>
      </c>
      <c r="H448">
        <v>1978</v>
      </c>
      <c r="I448">
        <v>12</v>
      </c>
      <c r="J448">
        <v>652</v>
      </c>
      <c r="K448" s="3">
        <f>STANDARDIZE(J448,O$15,P$15)</f>
        <v>-0.3415773252901419</v>
      </c>
      <c r="L448" s="3">
        <f t="shared" si="8"/>
        <v>0.63341663644420709</v>
      </c>
    </row>
    <row r="449" spans="7:12" x14ac:dyDescent="0.3">
      <c r="G449" s="4">
        <v>1978.8333333259</v>
      </c>
      <c r="H449">
        <v>1978</v>
      </c>
      <c r="I449">
        <v>11</v>
      </c>
      <c r="J449">
        <v>672</v>
      </c>
      <c r="K449" s="3">
        <f>STANDARDIZE(J449,O$14,P$14)</f>
        <v>-0.33943126968801618</v>
      </c>
      <c r="L449" s="3">
        <f t="shared" si="8"/>
        <v>0.7531949649087849</v>
      </c>
    </row>
    <row r="450" spans="7:12" x14ac:dyDescent="0.3">
      <c r="G450" s="4">
        <v>1978.7499999925401</v>
      </c>
      <c r="H450">
        <v>1978</v>
      </c>
      <c r="I450">
        <v>10</v>
      </c>
      <c r="J450">
        <v>577</v>
      </c>
      <c r="K450" s="3">
        <f>STANDARDIZE(J450,O$13,P$13)</f>
        <v>-0.50761321072050902</v>
      </c>
      <c r="L450" s="3">
        <f t="shared" si="8"/>
        <v>0.18424790470204008</v>
      </c>
    </row>
    <row r="451" spans="7:12" x14ac:dyDescent="0.3">
      <c r="G451" s="4">
        <v>1978.66666665918</v>
      </c>
      <c r="H451">
        <v>1978</v>
      </c>
      <c r="I451">
        <v>9</v>
      </c>
      <c r="J451">
        <v>487</v>
      </c>
      <c r="K451" s="3">
        <f>STANDARDIZE(J451,O$12,P$12)</f>
        <v>-0.62802095794369484</v>
      </c>
      <c r="L451" s="3">
        <f t="shared" si="8"/>
        <v>-0.35475457338856031</v>
      </c>
    </row>
    <row r="452" spans="7:12" x14ac:dyDescent="0.3">
      <c r="G452" s="4">
        <v>1978.5833333258199</v>
      </c>
      <c r="H452">
        <v>1978</v>
      </c>
      <c r="I452">
        <v>8</v>
      </c>
      <c r="J452">
        <v>517</v>
      </c>
      <c r="K452" s="3">
        <f>STANDARDIZE(J452,O$11,P$11)</f>
        <v>-0.2924834123308262</v>
      </c>
      <c r="L452" s="3">
        <f t="shared" si="8"/>
        <v>-0.17508708069169351</v>
      </c>
    </row>
    <row r="453" spans="7:12" x14ac:dyDescent="0.3">
      <c r="G453" s="4">
        <v>1978.4999999924601</v>
      </c>
      <c r="H453">
        <v>1978</v>
      </c>
      <c r="I453">
        <v>7</v>
      </c>
      <c r="J453">
        <v>624</v>
      </c>
      <c r="K453" s="3">
        <f>STANDARDIZE(J453,O$10,P$10)</f>
        <v>0.23221922237680212</v>
      </c>
      <c r="L453" s="3">
        <f t="shared" ref="L453:L516" si="9">STANDARDIZE(J453,J$1,J$2)</f>
        <v>0.46572697659379803</v>
      </c>
    </row>
    <row r="454" spans="7:12" x14ac:dyDescent="0.3">
      <c r="G454" s="4">
        <v>1978.4166666591</v>
      </c>
      <c r="H454">
        <v>1978</v>
      </c>
      <c r="I454">
        <v>6</v>
      </c>
      <c r="J454">
        <v>646</v>
      </c>
      <c r="K454" s="3">
        <f>STANDARDIZE(J454,O$9,P$9)</f>
        <v>0.27041589660069121</v>
      </c>
      <c r="L454" s="3">
        <f t="shared" si="9"/>
        <v>0.59748313790483365</v>
      </c>
    </row>
    <row r="455" spans="7:12" x14ac:dyDescent="0.3">
      <c r="G455" s="4">
        <v>1978.3333333257401</v>
      </c>
      <c r="H455">
        <v>1978</v>
      </c>
      <c r="I455">
        <v>5</v>
      </c>
      <c r="J455">
        <v>604</v>
      </c>
      <c r="K455" s="3">
        <f>STANDARDIZE(J455,O$8,P$8)</f>
        <v>0.60766579771574714</v>
      </c>
      <c r="L455" s="3">
        <f t="shared" si="9"/>
        <v>0.34594864812922016</v>
      </c>
    </row>
    <row r="456" spans="7:12" x14ac:dyDescent="0.3">
      <c r="G456" s="4">
        <v>1978.24999999238</v>
      </c>
      <c r="H456">
        <v>1978</v>
      </c>
      <c r="I456">
        <v>4</v>
      </c>
      <c r="J456">
        <v>442</v>
      </c>
      <c r="K456" s="3">
        <f>STANDARDIZE(J456,O$7,P$7)</f>
        <v>0.28650833302594708</v>
      </c>
      <c r="L456" s="3">
        <f t="shared" si="9"/>
        <v>-0.62425581243386052</v>
      </c>
    </row>
    <row r="457" spans="7:12" x14ac:dyDescent="0.3">
      <c r="G457" s="4">
        <v>1978.1666666590099</v>
      </c>
      <c r="H457">
        <v>1978</v>
      </c>
      <c r="I457">
        <v>3</v>
      </c>
      <c r="J457">
        <v>209</v>
      </c>
      <c r="K457" s="3">
        <f>STANDARDIZE(J457,O$6,P$6)</f>
        <v>-1.1088697391250457</v>
      </c>
      <c r="L457" s="3">
        <f t="shared" si="9"/>
        <v>-2.0196733390461925</v>
      </c>
    </row>
    <row r="458" spans="7:12" x14ac:dyDescent="0.3">
      <c r="G458" s="4">
        <v>1978.0833333256501</v>
      </c>
      <c r="H458">
        <v>1978</v>
      </c>
      <c r="I458">
        <v>2</v>
      </c>
      <c r="J458">
        <v>215</v>
      </c>
      <c r="K458" s="3">
        <f>STANDARDIZE(J458,O$5,P$5)</f>
        <v>-1.1321904410421191</v>
      </c>
      <c r="L458" s="3">
        <f t="shared" si="9"/>
        <v>-1.9837398405068192</v>
      </c>
    </row>
    <row r="459" spans="7:12" x14ac:dyDescent="0.3">
      <c r="G459" s="4">
        <v>1977.99999999229</v>
      </c>
      <c r="H459">
        <v>1978</v>
      </c>
      <c r="I459">
        <v>1</v>
      </c>
      <c r="J459">
        <v>388</v>
      </c>
      <c r="K459" s="3">
        <f>STANDARDIZE(J459,O$4,P$4)</f>
        <v>-0.86940361707578673</v>
      </c>
      <c r="L459" s="3">
        <f t="shared" si="9"/>
        <v>-0.94765729928822073</v>
      </c>
    </row>
    <row r="460" spans="7:12" x14ac:dyDescent="0.3">
      <c r="G460" s="4">
        <v>1977.9166666589299</v>
      </c>
      <c r="H460">
        <v>1977</v>
      </c>
      <c r="I460">
        <v>12</v>
      </c>
      <c r="J460">
        <v>685</v>
      </c>
      <c r="K460" s="3">
        <f>STANDARDIZE(J460,O$15,P$15)</f>
        <v>-8.770228622314441E-2</v>
      </c>
      <c r="L460" s="3">
        <f t="shared" si="9"/>
        <v>0.83105087841076053</v>
      </c>
    </row>
    <row r="461" spans="7:12" x14ac:dyDescent="0.3">
      <c r="G461" s="4">
        <v>1977.83333332557</v>
      </c>
      <c r="H461">
        <v>1977</v>
      </c>
      <c r="I461">
        <v>11</v>
      </c>
      <c r="J461">
        <v>713</v>
      </c>
      <c r="K461" s="3">
        <f>STANDARDIZE(J461,O$14,P$14)</f>
        <v>5.5430453246656221E-2</v>
      </c>
      <c r="L461" s="3">
        <f t="shared" si="9"/>
        <v>0.99874053826116949</v>
      </c>
    </row>
    <row r="462" spans="7:12" x14ac:dyDescent="0.3">
      <c r="G462" s="4">
        <v>1977.74999999221</v>
      </c>
      <c r="H462">
        <v>1977</v>
      </c>
      <c r="I462">
        <v>10</v>
      </c>
      <c r="J462">
        <v>598</v>
      </c>
      <c r="K462" s="3">
        <f>STANDARDIZE(J462,O$13,P$13)</f>
        <v>-0.32182913475967195</v>
      </c>
      <c r="L462" s="3">
        <f t="shared" si="9"/>
        <v>0.31001514958984683</v>
      </c>
    </row>
    <row r="463" spans="7:12" x14ac:dyDescent="0.3">
      <c r="G463" s="4">
        <v>1977.6666666588501</v>
      </c>
      <c r="H463">
        <v>1977</v>
      </c>
      <c r="I463">
        <v>9</v>
      </c>
      <c r="J463">
        <v>430</v>
      </c>
      <c r="K463" s="3">
        <f>STANDARDIZE(J463,O$12,P$12)</f>
        <v>-1.0665926315417282</v>
      </c>
      <c r="L463" s="3">
        <f t="shared" si="9"/>
        <v>-0.69612280951260719</v>
      </c>
    </row>
    <row r="464" spans="7:12" x14ac:dyDescent="0.3">
      <c r="G464" s="4">
        <v>1977.58333332549</v>
      </c>
      <c r="H464">
        <v>1977</v>
      </c>
      <c r="I464">
        <v>8</v>
      </c>
      <c r="J464">
        <v>475</v>
      </c>
      <c r="K464" s="3">
        <f>STANDARDIZE(J464,O$11,P$11)</f>
        <v>-0.62409327994046082</v>
      </c>
      <c r="L464" s="3">
        <f t="shared" si="9"/>
        <v>-0.42662157046730703</v>
      </c>
    </row>
    <row r="465" spans="7:12" x14ac:dyDescent="0.3">
      <c r="G465" s="4">
        <v>1977.4999999921299</v>
      </c>
      <c r="H465">
        <v>1977</v>
      </c>
      <c r="I465">
        <v>7</v>
      </c>
      <c r="J465">
        <v>468</v>
      </c>
      <c r="K465" s="3">
        <f>STANDARDIZE(J465,O$10,P$10)</f>
        <v>-1.0027648238998257</v>
      </c>
      <c r="L465" s="3">
        <f t="shared" si="9"/>
        <v>-0.46854398542990927</v>
      </c>
    </row>
    <row r="466" spans="7:12" x14ac:dyDescent="0.3">
      <c r="G466" s="4">
        <v>1977.4166666587701</v>
      </c>
      <c r="H466">
        <v>1977</v>
      </c>
      <c r="I466">
        <v>6</v>
      </c>
      <c r="J466">
        <v>502</v>
      </c>
      <c r="K466" s="3">
        <f>STANDARDIZE(J466,O$9,P$9)</f>
        <v>-1.0837533537644379</v>
      </c>
      <c r="L466" s="3">
        <f t="shared" si="9"/>
        <v>-0.26492082704012693</v>
      </c>
    </row>
    <row r="467" spans="7:12" x14ac:dyDescent="0.3">
      <c r="G467" s="4">
        <v>1977.33333332541</v>
      </c>
      <c r="H467">
        <v>1977</v>
      </c>
      <c r="I467">
        <v>5</v>
      </c>
      <c r="J467">
        <v>365</v>
      </c>
      <c r="K467" s="3">
        <f>STANDARDIZE(J467,O$8,P$8)</f>
        <v>-1.732271779954448</v>
      </c>
      <c r="L467" s="3">
        <f t="shared" si="9"/>
        <v>-1.0854023770224852</v>
      </c>
    </row>
    <row r="468" spans="7:12" x14ac:dyDescent="0.3">
      <c r="G468" s="4">
        <v>1977.2499999920501</v>
      </c>
      <c r="H468">
        <v>1977</v>
      </c>
      <c r="I468">
        <v>4</v>
      </c>
      <c r="J468">
        <v>232</v>
      </c>
      <c r="K468" s="3">
        <f>STANDARDIZE(J468,O$7,P$7)</f>
        <v>-1.6364346691723484</v>
      </c>
      <c r="L468" s="3">
        <f t="shared" si="9"/>
        <v>-1.8819282613119281</v>
      </c>
    </row>
    <row r="469" spans="7:12" x14ac:dyDescent="0.3">
      <c r="G469" s="4">
        <v>1977.16666665869</v>
      </c>
      <c r="H469">
        <v>1977</v>
      </c>
      <c r="I469">
        <v>3</v>
      </c>
      <c r="J469">
        <v>148</v>
      </c>
      <c r="K469" s="3">
        <f>STANDARDIZE(J469,O$6,P$6)</f>
        <v>-1.6208709895705042</v>
      </c>
      <c r="L469" s="3">
        <f t="shared" si="9"/>
        <v>-2.384997240863155</v>
      </c>
    </row>
    <row r="470" spans="7:12" x14ac:dyDescent="0.3">
      <c r="G470" s="4">
        <v>1977.0833333253299</v>
      </c>
      <c r="H470">
        <v>1977</v>
      </c>
      <c r="I470">
        <v>2</v>
      </c>
      <c r="J470">
        <v>162</v>
      </c>
      <c r="K470" s="3">
        <f>STANDARDIZE(J470,O$5,P$5)</f>
        <v>-1.5375152987253153</v>
      </c>
      <c r="L470" s="3">
        <f t="shared" si="9"/>
        <v>-2.3011524109379504</v>
      </c>
    </row>
    <row r="471" spans="7:12" x14ac:dyDescent="0.3">
      <c r="G471" s="4">
        <v>1976.9999999919701</v>
      </c>
      <c r="H471">
        <v>1977</v>
      </c>
      <c r="I471">
        <v>1</v>
      </c>
      <c r="J471">
        <v>241</v>
      </c>
      <c r="K471" s="3">
        <f>STANDARDIZE(J471,O$4,P$4)</f>
        <v>-1.7994011796495788</v>
      </c>
      <c r="L471" s="3">
        <f t="shared" si="9"/>
        <v>-1.8280280135028679</v>
      </c>
    </row>
    <row r="472" spans="7:12" x14ac:dyDescent="0.3">
      <c r="G472" s="4">
        <v>1976.91666665861</v>
      </c>
      <c r="H472">
        <v>1976</v>
      </c>
      <c r="I472">
        <v>12</v>
      </c>
      <c r="J472">
        <v>511</v>
      </c>
      <c r="K472" s="3">
        <f>STANDARDIZE(J472,O$15,P$15)</f>
        <v>-1.4263161285764039</v>
      </c>
      <c r="L472" s="3">
        <f t="shared" si="9"/>
        <v>-0.21102057923106687</v>
      </c>
    </row>
    <row r="473" spans="7:12" x14ac:dyDescent="0.3">
      <c r="G473" s="4">
        <v>1976.8333333252499</v>
      </c>
      <c r="H473">
        <v>1976</v>
      </c>
      <c r="I473">
        <v>11</v>
      </c>
      <c r="J473">
        <v>646</v>
      </c>
      <c r="K473" s="3">
        <f>STANDARDIZE(J473,O$14,P$14)</f>
        <v>-0.58983138667097912</v>
      </c>
      <c r="L473" s="3">
        <f t="shared" si="9"/>
        <v>0.59748313790483365</v>
      </c>
    </row>
    <row r="474" spans="7:12" x14ac:dyDescent="0.3">
      <c r="G474" s="4">
        <v>1976.74999999189</v>
      </c>
      <c r="H474">
        <v>1976</v>
      </c>
      <c r="I474">
        <v>10</v>
      </c>
      <c r="J474">
        <v>529</v>
      </c>
      <c r="K474" s="3">
        <f>STANDARDIZE(J474,O$13,P$13)</f>
        <v>-0.93226252720242242</v>
      </c>
      <c r="L474" s="3">
        <f t="shared" si="9"/>
        <v>-0.10322008361294679</v>
      </c>
    </row>
    <row r="475" spans="7:12" x14ac:dyDescent="0.3">
      <c r="G475" s="4">
        <v>1976.6666666585299</v>
      </c>
      <c r="H475">
        <v>1976</v>
      </c>
      <c r="I475">
        <v>9</v>
      </c>
      <c r="J475">
        <v>348</v>
      </c>
      <c r="K475" s="3">
        <f>STANDARDIZE(J475,O$12,P$12)</f>
        <v>-1.6975203023318814</v>
      </c>
      <c r="L475" s="3">
        <f t="shared" si="9"/>
        <v>-1.1872139562173765</v>
      </c>
    </row>
    <row r="476" spans="7:12" x14ac:dyDescent="0.3">
      <c r="G476" s="4">
        <v>1976.5833333251701</v>
      </c>
      <c r="H476">
        <v>1976</v>
      </c>
      <c r="I476">
        <v>8</v>
      </c>
      <c r="J476">
        <v>421</v>
      </c>
      <c r="K476" s="3">
        <f>STANDARDIZE(J476,O$11,P$11)</f>
        <v>-1.0504488240099912</v>
      </c>
      <c r="L476" s="3">
        <f t="shared" si="9"/>
        <v>-0.7500230573216673</v>
      </c>
    </row>
    <row r="477" spans="7:12" x14ac:dyDescent="0.3">
      <c r="G477" s="4">
        <v>1976.49999999181</v>
      </c>
      <c r="H477">
        <v>1976</v>
      </c>
      <c r="I477">
        <v>7</v>
      </c>
      <c r="J477">
        <v>544</v>
      </c>
      <c r="K477" s="3">
        <f>STANDARDIZE(J477,O$10,P$10)</f>
        <v>-0.40110592955993013</v>
      </c>
      <c r="L477" s="3">
        <f t="shared" si="9"/>
        <v>-1.3386337264513399E-2</v>
      </c>
    </row>
    <row r="478" spans="7:12" x14ac:dyDescent="0.3">
      <c r="G478" s="4">
        <v>1976.4166666584499</v>
      </c>
      <c r="H478">
        <v>1976</v>
      </c>
      <c r="I478">
        <v>6</v>
      </c>
      <c r="J478">
        <v>600</v>
      </c>
      <c r="K478" s="3">
        <f>STANDARDIZE(J478,O$9,P$9)</f>
        <v>-0.16216594726594724</v>
      </c>
      <c r="L478" s="3">
        <f t="shared" si="9"/>
        <v>0.32199298243630459</v>
      </c>
    </row>
    <row r="479" spans="7:12" x14ac:dyDescent="0.3">
      <c r="G479" s="4">
        <v>1976.3333333250901</v>
      </c>
      <c r="H479">
        <v>1976</v>
      </c>
      <c r="I479">
        <v>5</v>
      </c>
      <c r="J479">
        <v>574</v>
      </c>
      <c r="K479" s="3">
        <f>STANDARDIZE(J479,O$8,P$8)</f>
        <v>0.31394978378224986</v>
      </c>
      <c r="L479" s="3">
        <f t="shared" si="9"/>
        <v>0.16628115543235339</v>
      </c>
    </row>
    <row r="480" spans="7:12" x14ac:dyDescent="0.3">
      <c r="G480" s="4">
        <v>1976.24999999173</v>
      </c>
      <c r="H480">
        <v>1976</v>
      </c>
      <c r="I480">
        <v>4</v>
      </c>
      <c r="J480">
        <v>447</v>
      </c>
      <c r="K480" s="3">
        <f>STANDARDIZE(J480,O$7,P$7)</f>
        <v>0.3322926902211446</v>
      </c>
      <c r="L480" s="3">
        <f t="shared" si="9"/>
        <v>-0.59431123031771604</v>
      </c>
    </row>
    <row r="481" spans="7:12" x14ac:dyDescent="0.3">
      <c r="G481" s="4">
        <v>1976.1666666583701</v>
      </c>
      <c r="H481">
        <v>1976</v>
      </c>
      <c r="I481">
        <v>3</v>
      </c>
      <c r="J481">
        <v>408</v>
      </c>
      <c r="K481" s="3">
        <f>STANDARDIZE(J481,O$6,P$6)</f>
        <v>0.56142942216423708</v>
      </c>
      <c r="L481" s="3">
        <f t="shared" si="9"/>
        <v>-0.82787897082364281</v>
      </c>
    </row>
    <row r="482" spans="7:12" x14ac:dyDescent="0.3">
      <c r="G482" s="4">
        <v>1976.08333332501</v>
      </c>
      <c r="H482">
        <v>1976</v>
      </c>
      <c r="I482">
        <v>2</v>
      </c>
      <c r="J482">
        <v>452</v>
      </c>
      <c r="K482" s="3">
        <f>STANDARDIZE(J482,O$5,P$5)</f>
        <v>0.68029996029594775</v>
      </c>
      <c r="L482" s="3">
        <f t="shared" si="9"/>
        <v>-0.56436664820157156</v>
      </c>
    </row>
    <row r="483" spans="7:12" x14ac:dyDescent="0.3">
      <c r="G483" s="4">
        <v>1975.9999999916499</v>
      </c>
      <c r="H483">
        <v>1976</v>
      </c>
      <c r="I483">
        <v>1</v>
      </c>
      <c r="J483">
        <v>708</v>
      </c>
      <c r="K483" s="3">
        <f>STANDARDIZE(J483,O$4,P$4)</f>
        <v>1.1550808728807673</v>
      </c>
      <c r="L483" s="3">
        <f t="shared" si="9"/>
        <v>0.96879595614502512</v>
      </c>
    </row>
    <row r="484" spans="7:12" x14ac:dyDescent="0.3">
      <c r="G484" s="4">
        <v>1975.9166666582901</v>
      </c>
      <c r="H484">
        <v>1975</v>
      </c>
      <c r="I484">
        <v>12</v>
      </c>
      <c r="J484">
        <v>857</v>
      </c>
      <c r="K484" s="3">
        <f>STANDARDIZE(J484,O$15,P$15)</f>
        <v>1.2355251901260544</v>
      </c>
      <c r="L484" s="3">
        <f t="shared" si="9"/>
        <v>1.8611445032061302</v>
      </c>
    </row>
    <row r="485" spans="7:12" x14ac:dyDescent="0.3">
      <c r="G485" s="4">
        <v>1975.83333332493</v>
      </c>
      <c r="H485">
        <v>1975</v>
      </c>
      <c r="I485">
        <v>11</v>
      </c>
      <c r="J485">
        <v>858</v>
      </c>
      <c r="K485" s="3">
        <f>STANDARDIZE(J485,O$14,P$14)</f>
        <v>1.4518926441131805</v>
      </c>
      <c r="L485" s="3">
        <f t="shared" si="9"/>
        <v>1.867133419629359</v>
      </c>
    </row>
    <row r="486" spans="7:12" x14ac:dyDescent="0.3">
      <c r="G486" s="4">
        <v>1975.7499999915699</v>
      </c>
      <c r="H486">
        <v>1975</v>
      </c>
      <c r="I486">
        <v>10</v>
      </c>
      <c r="J486">
        <v>791</v>
      </c>
      <c r="K486" s="3">
        <f>STANDARDIZE(J486,O$13,P$13)</f>
        <v>1.3856149919280214</v>
      </c>
      <c r="L486" s="3">
        <f t="shared" si="9"/>
        <v>1.4658760192730231</v>
      </c>
    </row>
    <row r="487" spans="7:12" x14ac:dyDescent="0.3">
      <c r="G487" s="4">
        <v>1975.66666665821</v>
      </c>
      <c r="H487">
        <v>1975</v>
      </c>
      <c r="I487">
        <v>9</v>
      </c>
      <c r="J487">
        <v>714</v>
      </c>
      <c r="K487" s="3">
        <f>STANDARDIZE(J487,O$12,P$12)</f>
        <v>1.1185714965607538</v>
      </c>
      <c r="L487" s="3">
        <f t="shared" si="9"/>
        <v>1.0047294546843983</v>
      </c>
    </row>
    <row r="488" spans="7:12" x14ac:dyDescent="0.3">
      <c r="G488" s="4">
        <v>1975.5833333248499</v>
      </c>
      <c r="H488">
        <v>1975</v>
      </c>
      <c r="I488">
        <v>8</v>
      </c>
      <c r="J488">
        <v>644</v>
      </c>
      <c r="K488" s="3">
        <f>STANDARDIZE(J488,O$11,P$11)</f>
        <v>0.71024166353640239</v>
      </c>
      <c r="L488" s="3">
        <f t="shared" si="9"/>
        <v>0.58550530505837595</v>
      </c>
    </row>
    <row r="489" spans="7:12" x14ac:dyDescent="0.3">
      <c r="G489" s="4">
        <v>1975.4999999914901</v>
      </c>
      <c r="H489">
        <v>1975</v>
      </c>
      <c r="I489">
        <v>7</v>
      </c>
      <c r="J489">
        <v>612</v>
      </c>
      <c r="K489" s="3">
        <f>STANDARDIZE(J489,O$10,P$10)</f>
        <v>0.13722044958629229</v>
      </c>
      <c r="L489" s="3">
        <f t="shared" si="9"/>
        <v>0.39385997951505131</v>
      </c>
    </row>
    <row r="490" spans="7:12" x14ac:dyDescent="0.3">
      <c r="G490" s="4">
        <v>1975.41666665813</v>
      </c>
      <c r="H490">
        <v>1975</v>
      </c>
      <c r="I490">
        <v>6</v>
      </c>
      <c r="J490">
        <v>569</v>
      </c>
      <c r="K490" s="3">
        <f>STANDARDIZE(J490,O$9,P$9)</f>
        <v>-0.45368849421955143</v>
      </c>
      <c r="L490" s="3">
        <f t="shared" si="9"/>
        <v>0.13633657331620894</v>
      </c>
    </row>
    <row r="491" spans="7:12" x14ac:dyDescent="0.3">
      <c r="G491" s="4">
        <v>1975.3333333247699</v>
      </c>
      <c r="H491">
        <v>1975</v>
      </c>
      <c r="I491">
        <v>5</v>
      </c>
      <c r="J491">
        <v>472</v>
      </c>
      <c r="K491" s="3">
        <f>STANDARDIZE(J491,O$8,P$8)</f>
        <v>-0.68468466359164093</v>
      </c>
      <c r="L491" s="3">
        <f t="shared" si="9"/>
        <v>-0.4445883197369937</v>
      </c>
    </row>
    <row r="492" spans="7:12" x14ac:dyDescent="0.3">
      <c r="G492" s="4">
        <v>1975.24999999141</v>
      </c>
      <c r="H492">
        <v>1975</v>
      </c>
      <c r="I492">
        <v>4</v>
      </c>
      <c r="J492">
        <v>331</v>
      </c>
      <c r="K492" s="3">
        <f>STANDARDIZE(J492,O$7,P$7)</f>
        <v>-0.72990439670743756</v>
      </c>
      <c r="L492" s="3">
        <f t="shared" si="9"/>
        <v>-1.2890255354122677</v>
      </c>
    </row>
    <row r="493" spans="7:12" x14ac:dyDescent="0.3">
      <c r="G493" s="4">
        <v>1975.16666665805</v>
      </c>
      <c r="H493">
        <v>1975</v>
      </c>
      <c r="I493">
        <v>3</v>
      </c>
      <c r="J493">
        <v>382</v>
      </c>
      <c r="K493" s="3">
        <f>STANDARDIZE(J493,O$6,P$6)</f>
        <v>0.34319938099076297</v>
      </c>
      <c r="L493" s="3">
        <f t="shared" si="9"/>
        <v>-0.98359079782759407</v>
      </c>
    </row>
    <row r="494" spans="7:12" x14ac:dyDescent="0.3">
      <c r="G494" s="4">
        <v>1975.0833333246901</v>
      </c>
      <c r="H494">
        <v>1975</v>
      </c>
      <c r="I494">
        <v>2</v>
      </c>
      <c r="J494">
        <v>303</v>
      </c>
      <c r="K494" s="3">
        <f>STANDARDIZE(J494,O$5,P$5)</f>
        <v>-0.45919822451152881</v>
      </c>
      <c r="L494" s="3">
        <f t="shared" si="9"/>
        <v>-1.4567151952626767</v>
      </c>
    </row>
    <row r="495" spans="7:12" x14ac:dyDescent="0.3">
      <c r="G495" s="4">
        <v>1974.99999999133</v>
      </c>
      <c r="H495">
        <v>1975</v>
      </c>
      <c r="I495">
        <v>1</v>
      </c>
      <c r="J495">
        <v>515</v>
      </c>
      <c r="K495" s="3">
        <f>STANDARDIZE(J495,O$4,P$4)</f>
        <v>-6.5936335124279405E-2</v>
      </c>
      <c r="L495" s="3">
        <f t="shared" si="9"/>
        <v>-0.1870649135381513</v>
      </c>
    </row>
    <row r="496" spans="7:12" x14ac:dyDescent="0.3">
      <c r="G496" s="4">
        <v>1974.9166666579699</v>
      </c>
      <c r="H496">
        <v>1974</v>
      </c>
      <c r="I496">
        <v>12</v>
      </c>
      <c r="J496">
        <v>829</v>
      </c>
      <c r="K496" s="3">
        <f>STANDARDIZE(J496,O$15,P$15)</f>
        <v>1.0201160660692081</v>
      </c>
      <c r="L496" s="3">
        <f t="shared" si="9"/>
        <v>1.6934548433557211</v>
      </c>
    </row>
    <row r="497" spans="7:12" x14ac:dyDescent="0.3">
      <c r="G497" s="4">
        <v>1974.8333333246101</v>
      </c>
      <c r="H497">
        <v>1974</v>
      </c>
      <c r="I497">
        <v>11</v>
      </c>
      <c r="J497">
        <v>840</v>
      </c>
      <c r="K497" s="3">
        <f>STANDARDIZE(J497,O$14,P$14)</f>
        <v>1.2785387169711293</v>
      </c>
      <c r="L497" s="3">
        <f t="shared" si="9"/>
        <v>1.759332924011239</v>
      </c>
    </row>
    <row r="498" spans="7:12" x14ac:dyDescent="0.3">
      <c r="G498" s="4">
        <v>1974.74999999125</v>
      </c>
      <c r="H498">
        <v>1974</v>
      </c>
      <c r="I498">
        <v>10</v>
      </c>
      <c r="J498">
        <v>708</v>
      </c>
      <c r="K498" s="3">
        <f>STANDARDIZE(J498,O$13,P$13)</f>
        <v>0.65132554884471283</v>
      </c>
      <c r="L498" s="3">
        <f t="shared" si="9"/>
        <v>0.96879595614502512</v>
      </c>
    </row>
    <row r="499" spans="7:12" x14ac:dyDescent="0.3">
      <c r="G499" s="4">
        <v>1974.6666666578899</v>
      </c>
      <c r="H499">
        <v>1974</v>
      </c>
      <c r="I499">
        <v>9</v>
      </c>
      <c r="J499">
        <v>542</v>
      </c>
      <c r="K499" s="3">
        <f>STANDARDIZE(J499,O$12,P$12)</f>
        <v>-0.20483776412103108</v>
      </c>
      <c r="L499" s="3">
        <f t="shared" si="9"/>
        <v>-2.5364170110971185E-2</v>
      </c>
    </row>
    <row r="500" spans="7:12" x14ac:dyDescent="0.3">
      <c r="G500" s="4">
        <v>1974.58333332453</v>
      </c>
      <c r="H500">
        <v>1974</v>
      </c>
      <c r="I500">
        <v>8</v>
      </c>
      <c r="J500">
        <v>525</v>
      </c>
      <c r="K500" s="3">
        <f>STANDARDIZE(J500,O$11,P$11)</f>
        <v>-0.22931962802422912</v>
      </c>
      <c r="L500" s="3">
        <f t="shared" si="9"/>
        <v>-0.12717574930586237</v>
      </c>
    </row>
    <row r="501" spans="7:12" x14ac:dyDescent="0.3">
      <c r="G501" s="4">
        <v>1974.4999999911699</v>
      </c>
      <c r="H501">
        <v>1974</v>
      </c>
      <c r="I501">
        <v>7</v>
      </c>
      <c r="J501">
        <v>548</v>
      </c>
      <c r="K501" s="3">
        <f>STANDARDIZE(J501,O$10,P$10)</f>
        <v>-0.36943967196309352</v>
      </c>
      <c r="L501" s="3">
        <f t="shared" si="9"/>
        <v>1.0569328428402172E-2</v>
      </c>
    </row>
    <row r="502" spans="7:12" x14ac:dyDescent="0.3">
      <c r="G502" s="4">
        <v>1974.4166666578101</v>
      </c>
      <c r="H502">
        <v>1974</v>
      </c>
      <c r="I502">
        <v>6</v>
      </c>
      <c r="J502">
        <v>591</v>
      </c>
      <c r="K502" s="3">
        <f>STANDARDIZE(J502,O$9,P$9)</f>
        <v>-0.24680152541376782</v>
      </c>
      <c r="L502" s="3">
        <f t="shared" si="9"/>
        <v>0.26809273462724459</v>
      </c>
    </row>
    <row r="503" spans="7:12" x14ac:dyDescent="0.3">
      <c r="G503" s="4">
        <v>1974.33333332445</v>
      </c>
      <c r="H503">
        <v>1974</v>
      </c>
      <c r="I503">
        <v>5</v>
      </c>
      <c r="J503">
        <v>573</v>
      </c>
      <c r="K503" s="3">
        <f>STANDARDIZE(J503,O$8,P$8)</f>
        <v>0.30415924998446664</v>
      </c>
      <c r="L503" s="3">
        <f t="shared" si="9"/>
        <v>0.16029223900912451</v>
      </c>
    </row>
    <row r="504" spans="7:12" x14ac:dyDescent="0.3">
      <c r="G504" s="4">
        <v>1974.2499999910899</v>
      </c>
      <c r="H504">
        <v>1974</v>
      </c>
      <c r="I504">
        <v>4</v>
      </c>
      <c r="J504">
        <v>479</v>
      </c>
      <c r="K504" s="3">
        <f>STANDARDIZE(J504,O$7,P$7)</f>
        <v>0.6253125762704087</v>
      </c>
      <c r="L504" s="3">
        <f t="shared" si="9"/>
        <v>-0.40266590477439146</v>
      </c>
    </row>
    <row r="505" spans="7:12" x14ac:dyDescent="0.3">
      <c r="G505" s="4">
        <v>1974.16666665773</v>
      </c>
      <c r="H505">
        <v>1974</v>
      </c>
      <c r="I505">
        <v>3</v>
      </c>
      <c r="J505">
        <v>495</v>
      </c>
      <c r="K505" s="3">
        <f>STANDARDIZE(J505,O$6,P$6)</f>
        <v>1.2916607137831697</v>
      </c>
      <c r="L505" s="3">
        <f t="shared" si="9"/>
        <v>-0.30684324200272917</v>
      </c>
    </row>
    <row r="506" spans="7:12" x14ac:dyDescent="0.3">
      <c r="G506" s="4">
        <v>1974.08333332437</v>
      </c>
      <c r="H506">
        <v>1974</v>
      </c>
      <c r="I506">
        <v>2</v>
      </c>
      <c r="J506">
        <v>550</v>
      </c>
      <c r="K506" s="3">
        <f>STANDARDIZE(J506,O$5,P$5)</f>
        <v>1.4297685650686505</v>
      </c>
      <c r="L506" s="3">
        <f t="shared" si="9"/>
        <v>2.2547161274859957E-2</v>
      </c>
    </row>
    <row r="507" spans="7:12" x14ac:dyDescent="0.3">
      <c r="G507" s="4">
        <v>1973.9999999910101</v>
      </c>
      <c r="H507">
        <v>1974</v>
      </c>
      <c r="I507">
        <v>1</v>
      </c>
      <c r="J507">
        <v>734</v>
      </c>
      <c r="K507" s="3">
        <f>STANDARDIZE(J507,O$4,P$4)</f>
        <v>1.3195702376897374</v>
      </c>
      <c r="L507" s="3">
        <f t="shared" si="9"/>
        <v>1.1245077831489763</v>
      </c>
    </row>
    <row r="508" spans="7:12" x14ac:dyDescent="0.3">
      <c r="G508" s="4">
        <v>1973.91666665765</v>
      </c>
      <c r="H508">
        <v>1973</v>
      </c>
      <c r="I508">
        <v>12</v>
      </c>
      <c r="J508">
        <v>839</v>
      </c>
      <c r="K508" s="3">
        <f>STANDARDIZE(J508,O$15,P$15)</f>
        <v>1.0970478960895105</v>
      </c>
      <c r="L508" s="3">
        <f t="shared" si="9"/>
        <v>1.75334400758801</v>
      </c>
    </row>
    <row r="509" spans="7:12" x14ac:dyDescent="0.3">
      <c r="G509" s="4">
        <v>1973.8333333242899</v>
      </c>
      <c r="H509">
        <v>1973</v>
      </c>
      <c r="I509">
        <v>11</v>
      </c>
      <c r="J509">
        <v>826</v>
      </c>
      <c r="K509" s="3">
        <f>STANDARDIZE(J509,O$14,P$14)</f>
        <v>1.1437078847495339</v>
      </c>
      <c r="L509" s="3">
        <f t="shared" si="9"/>
        <v>1.6754880940860344</v>
      </c>
    </row>
    <row r="510" spans="7:12" x14ac:dyDescent="0.3">
      <c r="G510" s="4">
        <v>1973.7499999909301</v>
      </c>
      <c r="H510">
        <v>1973</v>
      </c>
      <c r="I510">
        <v>10</v>
      </c>
      <c r="J510">
        <v>780</v>
      </c>
      <c r="K510" s="3">
        <f>STANDARDIZE(J510,O$13,P$13)</f>
        <v>1.2882995235675829</v>
      </c>
      <c r="L510" s="3">
        <f t="shared" si="9"/>
        <v>1.3999979386175054</v>
      </c>
    </row>
    <row r="511" spans="7:12" x14ac:dyDescent="0.3">
      <c r="G511" s="4">
        <v>1973.66666665757</v>
      </c>
      <c r="H511">
        <v>1973</v>
      </c>
      <c r="I511">
        <v>9</v>
      </c>
      <c r="J511">
        <v>660</v>
      </c>
      <c r="K511" s="3">
        <f>STANDARDIZE(J511,O$12,P$12)</f>
        <v>0.70308254262577474</v>
      </c>
      <c r="L511" s="3">
        <f t="shared" si="9"/>
        <v>0.68132796783003824</v>
      </c>
    </row>
    <row r="512" spans="7:12" x14ac:dyDescent="0.3">
      <c r="G512" s="4">
        <v>1973.5833333242099</v>
      </c>
      <c r="H512">
        <v>1973</v>
      </c>
      <c r="I512">
        <v>8</v>
      </c>
      <c r="J512">
        <v>558</v>
      </c>
      <c r="K512" s="3">
        <f>STANDARDIZE(J512,O$11,P$11)</f>
        <v>3.1230982240483832E-2</v>
      </c>
      <c r="L512" s="3">
        <f t="shared" si="9"/>
        <v>7.045849266069111E-2</v>
      </c>
    </row>
    <row r="513" spans="7:12" x14ac:dyDescent="0.3">
      <c r="G513" s="4">
        <v>1973.49999999085</v>
      </c>
      <c r="H513">
        <v>1973</v>
      </c>
      <c r="I513">
        <v>7</v>
      </c>
      <c r="J513">
        <v>502</v>
      </c>
      <c r="K513" s="3">
        <f>STANDARDIZE(J513,O$10,P$10)</f>
        <v>-0.73360163432671455</v>
      </c>
      <c r="L513" s="3">
        <f t="shared" si="9"/>
        <v>-0.26492082704012693</v>
      </c>
    </row>
    <row r="514" spans="7:12" x14ac:dyDescent="0.3">
      <c r="G514" s="4">
        <v>1973.4166666574899</v>
      </c>
      <c r="H514">
        <v>1973</v>
      </c>
      <c r="I514">
        <v>6</v>
      </c>
      <c r="J514">
        <v>423</v>
      </c>
      <c r="K514" s="3">
        <f>STANDARDIZE(J514,O$9,P$9)</f>
        <v>-1.8266656508397519</v>
      </c>
      <c r="L514" s="3">
        <f t="shared" si="9"/>
        <v>-0.73804522447520948</v>
      </c>
    </row>
    <row r="515" spans="7:12" x14ac:dyDescent="0.3">
      <c r="G515" s="4">
        <v>1973.3333333241301</v>
      </c>
      <c r="H515">
        <v>1973</v>
      </c>
      <c r="I515">
        <v>5</v>
      </c>
      <c r="J515">
        <v>354</v>
      </c>
      <c r="K515" s="3">
        <f>STANDARDIZE(J515,O$8,P$8)</f>
        <v>-1.8399676517300636</v>
      </c>
      <c r="L515" s="3">
        <f t="shared" si="9"/>
        <v>-1.1512804576780031</v>
      </c>
    </row>
    <row r="516" spans="7:12" x14ac:dyDescent="0.3">
      <c r="G516" s="4">
        <v>1973.24999999077</v>
      </c>
      <c r="H516">
        <v>1973</v>
      </c>
      <c r="I516">
        <v>4</v>
      </c>
      <c r="J516">
        <v>228</v>
      </c>
      <c r="K516" s="3">
        <f>STANDARDIZE(J516,O$7,P$7)</f>
        <v>-1.6730621549285063</v>
      </c>
      <c r="L516" s="3">
        <f t="shared" si="9"/>
        <v>-1.9058839270048435</v>
      </c>
    </row>
    <row r="517" spans="7:12" x14ac:dyDescent="0.3">
      <c r="G517" s="4">
        <v>1973.1666666574099</v>
      </c>
      <c r="H517">
        <v>1973</v>
      </c>
      <c r="I517">
        <v>3</v>
      </c>
      <c r="J517">
        <v>166</v>
      </c>
      <c r="K517" s="3">
        <f>STANDARDIZE(J517,O$6,P$6)</f>
        <v>-1.4697886533734836</v>
      </c>
      <c r="L517" s="3">
        <f t="shared" ref="L517:L543" si="10">STANDARDIZE(J517,J$1,J$2)</f>
        <v>-2.277196745245035</v>
      </c>
    </row>
    <row r="518" spans="7:12" x14ac:dyDescent="0.3">
      <c r="G518" s="4">
        <v>1973.08333332405</v>
      </c>
      <c r="H518">
        <v>1973</v>
      </c>
      <c r="I518">
        <v>2</v>
      </c>
      <c r="J518">
        <v>176</v>
      </c>
      <c r="K518" s="3">
        <f>STANDARDIZE(J518,O$5,P$5)</f>
        <v>-1.4304483551863578</v>
      </c>
      <c r="L518" s="3">
        <f t="shared" si="10"/>
        <v>-2.2173075810127463</v>
      </c>
    </row>
    <row r="519" spans="7:12" x14ac:dyDescent="0.3">
      <c r="G519" s="4">
        <v>1972.99999999069</v>
      </c>
      <c r="H519">
        <v>1973</v>
      </c>
      <c r="I519">
        <v>1</v>
      </c>
      <c r="J519">
        <v>324</v>
      </c>
      <c r="K519" s="3">
        <f>STANDARDIZE(J519,O$4,P$4)</f>
        <v>-1.2743005150670976</v>
      </c>
      <c r="L519" s="3">
        <f t="shared" si="10"/>
        <v>-1.3309479503748698</v>
      </c>
    </row>
    <row r="520" spans="7:12" x14ac:dyDescent="0.3">
      <c r="G520" s="4">
        <v>1972.9166666573401</v>
      </c>
      <c r="H520">
        <v>1972</v>
      </c>
      <c r="I520">
        <v>12</v>
      </c>
      <c r="J520">
        <v>566</v>
      </c>
      <c r="K520" s="3">
        <f>STANDARDIZE(J520,O$15,P$15)</f>
        <v>-1.0031910634647414</v>
      </c>
      <c r="L520" s="3">
        <f t="shared" si="10"/>
        <v>0.11836982404652224</v>
      </c>
    </row>
    <row r="521" spans="7:12" x14ac:dyDescent="0.3">
      <c r="G521" s="4">
        <v>1972.83333332398</v>
      </c>
      <c r="H521">
        <v>1972</v>
      </c>
      <c r="I521">
        <v>11</v>
      </c>
      <c r="J521">
        <v>596</v>
      </c>
      <c r="K521" s="3">
        <f>STANDARDIZE(J521,O$14,P$14)</f>
        <v>-1.0713700731766771</v>
      </c>
      <c r="L521" s="3">
        <f t="shared" si="10"/>
        <v>0.29803731674338901</v>
      </c>
    </row>
    <row r="522" spans="7:12" x14ac:dyDescent="0.3">
      <c r="G522" s="4">
        <v>1972.7499999906199</v>
      </c>
      <c r="H522">
        <v>1972</v>
      </c>
      <c r="I522">
        <v>10</v>
      </c>
      <c r="J522">
        <v>535</v>
      </c>
      <c r="K522" s="3">
        <f>STANDARDIZE(J522,O$13,P$13)</f>
        <v>-0.87918136264218327</v>
      </c>
      <c r="L522" s="3">
        <f t="shared" si="10"/>
        <v>-6.7286585073573435E-2</v>
      </c>
    </row>
    <row r="523" spans="7:12" x14ac:dyDescent="0.3">
      <c r="G523" s="4">
        <v>1972.6666666572601</v>
      </c>
      <c r="H523">
        <v>1972</v>
      </c>
      <c r="I523">
        <v>9</v>
      </c>
      <c r="J523">
        <v>505</v>
      </c>
      <c r="K523" s="3">
        <f>STANDARDIZE(J523,O$12,P$12)</f>
        <v>-0.48952463996536849</v>
      </c>
      <c r="L523" s="3">
        <f t="shared" si="10"/>
        <v>-0.24695407777044023</v>
      </c>
    </row>
    <row r="524" spans="7:12" x14ac:dyDescent="0.3">
      <c r="G524" s="4">
        <v>1972.5833333239</v>
      </c>
      <c r="H524">
        <v>1972</v>
      </c>
      <c r="I524">
        <v>8</v>
      </c>
      <c r="J524">
        <v>502</v>
      </c>
      <c r="K524" s="3">
        <f>STANDARDIZE(J524,O$11,P$11)</f>
        <v>-0.4109155079056957</v>
      </c>
      <c r="L524" s="3">
        <f t="shared" si="10"/>
        <v>-0.26492082704012693</v>
      </c>
    </row>
    <row r="525" spans="7:12" x14ac:dyDescent="0.3">
      <c r="G525" s="4">
        <v>1972.4999999905399</v>
      </c>
      <c r="H525">
        <v>1972</v>
      </c>
      <c r="I525">
        <v>7</v>
      </c>
      <c r="J525">
        <v>683</v>
      </c>
      <c r="K525" s="3">
        <f>STANDARDIZE(J525,O$10,P$10)</f>
        <v>0.69929652193014213</v>
      </c>
      <c r="L525" s="3">
        <f t="shared" si="10"/>
        <v>0.81907304556430272</v>
      </c>
    </row>
    <row r="526" spans="7:12" x14ac:dyDescent="0.3">
      <c r="G526" s="4">
        <v>1972.41666665718</v>
      </c>
      <c r="H526">
        <v>1972</v>
      </c>
      <c r="I526">
        <v>6</v>
      </c>
      <c r="J526">
        <v>704</v>
      </c>
      <c r="K526" s="3">
        <f>STANDARDIZE(J526,O$9,P$9)</f>
        <v>0.81584517799775713</v>
      </c>
      <c r="L526" s="3">
        <f t="shared" si="10"/>
        <v>0.94484029045210949</v>
      </c>
    </row>
    <row r="527" spans="7:12" x14ac:dyDescent="0.3">
      <c r="G527" s="4">
        <v>1972.3333333238199</v>
      </c>
      <c r="H527">
        <v>1972</v>
      </c>
      <c r="I527">
        <v>5</v>
      </c>
      <c r="J527">
        <v>591</v>
      </c>
      <c r="K527" s="3">
        <f>STANDARDIZE(J527,O$8,P$8)</f>
        <v>0.48038885834456502</v>
      </c>
      <c r="L527" s="3">
        <f t="shared" si="10"/>
        <v>0.26809273462724459</v>
      </c>
    </row>
    <row r="528" spans="7:12" x14ac:dyDescent="0.3">
      <c r="G528" s="4">
        <v>1972.2499999904601</v>
      </c>
      <c r="H528">
        <v>1972</v>
      </c>
      <c r="I528">
        <v>4</v>
      </c>
      <c r="J528">
        <v>422</v>
      </c>
      <c r="K528" s="3">
        <f>STANDARDIZE(J528,O$7,P$7)</f>
        <v>0.10337090424515707</v>
      </c>
      <c r="L528" s="3">
        <f t="shared" si="10"/>
        <v>-0.74403414089843833</v>
      </c>
    </row>
    <row r="529" spans="7:12" x14ac:dyDescent="0.3">
      <c r="G529" s="4">
        <v>1972.1666666571</v>
      </c>
      <c r="H529">
        <v>1972</v>
      </c>
      <c r="I529">
        <v>3</v>
      </c>
      <c r="J529">
        <v>340</v>
      </c>
      <c r="K529" s="3">
        <f>STANDARDIZE(J529,O$6,P$6)</f>
        <v>-9.32607013561834E-3</v>
      </c>
      <c r="L529" s="3">
        <f t="shared" si="10"/>
        <v>-1.2351252876032075</v>
      </c>
    </row>
    <row r="530" spans="7:12" x14ac:dyDescent="0.3">
      <c r="G530" s="4">
        <v>1972.0833333237399</v>
      </c>
      <c r="H530">
        <v>1972</v>
      </c>
      <c r="I530">
        <v>2</v>
      </c>
      <c r="J530">
        <v>458</v>
      </c>
      <c r="K530" s="3">
        <f>STANDARDIZE(J530,O$5,P$5)</f>
        <v>0.72618579324121535</v>
      </c>
      <c r="L530" s="3">
        <f t="shared" si="10"/>
        <v>-0.52843314966219823</v>
      </c>
    </row>
    <row r="531" spans="7:12" x14ac:dyDescent="0.3">
      <c r="G531" s="4">
        <v>1971.99999999038</v>
      </c>
      <c r="H531">
        <v>1972</v>
      </c>
      <c r="I531" s="6">
        <v>1</v>
      </c>
      <c r="J531">
        <v>546</v>
      </c>
      <c r="K531" s="3">
        <f>STANDARDIZE(J531,O$4,P$4)</f>
        <v>0.13018559984026176</v>
      </c>
      <c r="L531" s="3">
        <f t="shared" si="10"/>
        <v>-1.4085044180556134E-3</v>
      </c>
    </row>
    <row r="532" spans="7:12" x14ac:dyDescent="0.3">
      <c r="G532" s="4">
        <v>1971.9166666578485</v>
      </c>
      <c r="H532">
        <v>1971</v>
      </c>
      <c r="I532">
        <v>12</v>
      </c>
      <c r="J532">
        <v>737</v>
      </c>
      <c r="K532" s="3">
        <f>STANDARDIZE(J532,O$15,P$15)</f>
        <v>0.31234322988242735</v>
      </c>
      <c r="L532" s="3">
        <f t="shared" si="10"/>
        <v>1.1424745324186629</v>
      </c>
    </row>
    <row r="533" spans="7:12" x14ac:dyDescent="0.3">
      <c r="G533" s="4">
        <v>1971.8333333253167</v>
      </c>
      <c r="H533">
        <v>1971</v>
      </c>
      <c r="I533">
        <v>11</v>
      </c>
      <c r="J533">
        <v>817</v>
      </c>
      <c r="K533" s="3">
        <f>STANDARDIZE(J533,O$14,P$14)</f>
        <v>1.0570309211785081</v>
      </c>
      <c r="L533" s="3">
        <f t="shared" si="10"/>
        <v>1.6215878462769744</v>
      </c>
    </row>
    <row r="534" spans="7:12" x14ac:dyDescent="0.3">
      <c r="G534" s="4">
        <v>1971.7499999927852</v>
      </c>
      <c r="H534">
        <v>1971</v>
      </c>
      <c r="I534">
        <v>10</v>
      </c>
      <c r="J534">
        <v>774</v>
      </c>
      <c r="K534" s="3">
        <f>STANDARDIZE(J534,O$13,P$13)</f>
        <v>1.2352183590073438</v>
      </c>
      <c r="L534" s="3">
        <f t="shared" si="10"/>
        <v>1.3640644400781321</v>
      </c>
    </row>
    <row r="535" spans="7:12" x14ac:dyDescent="0.3">
      <c r="G535" s="4">
        <v>1971.6666666602534</v>
      </c>
      <c r="H535">
        <v>1971</v>
      </c>
      <c r="I535">
        <v>9</v>
      </c>
      <c r="J535">
        <v>728</v>
      </c>
      <c r="K535" s="3">
        <f>STANDARDIZE(J535,O$12,P$12)</f>
        <v>1.2262908549883409</v>
      </c>
      <c r="L535" s="3">
        <f t="shared" si="10"/>
        <v>1.0885742846096029</v>
      </c>
    </row>
    <row r="536" spans="7:12" x14ac:dyDescent="0.3">
      <c r="G536" s="4">
        <v>1971.5833333277217</v>
      </c>
      <c r="H536">
        <v>1971</v>
      </c>
      <c r="I536">
        <v>8</v>
      </c>
      <c r="J536">
        <v>677</v>
      </c>
      <c r="K536" s="3">
        <f>STANDARDIZE(J536,O$11,P$11)</f>
        <v>0.97079227380111544</v>
      </c>
      <c r="L536" s="3">
        <f t="shared" si="10"/>
        <v>0.78313954702492938</v>
      </c>
    </row>
    <row r="537" spans="7:12" x14ac:dyDescent="0.3">
      <c r="G537" s="4">
        <v>1971.4999999951901</v>
      </c>
      <c r="H537">
        <v>1971</v>
      </c>
      <c r="I537">
        <v>7</v>
      </c>
      <c r="J537">
        <v>750</v>
      </c>
      <c r="K537" s="3">
        <f>STANDARDIZE(J537,O$10,P$10)</f>
        <v>1.2297063366771555</v>
      </c>
      <c r="L537" s="3">
        <f t="shared" si="10"/>
        <v>1.2203304459206386</v>
      </c>
    </row>
    <row r="538" spans="7:12" x14ac:dyDescent="0.3">
      <c r="G538" s="4">
        <v>1971.4166666626584</v>
      </c>
      <c r="H538">
        <v>1971</v>
      </c>
      <c r="I538">
        <v>6</v>
      </c>
      <c r="J538">
        <v>784</v>
      </c>
      <c r="K538" s="3">
        <f>STANDARDIZE(J538,O$9,P$9)</f>
        <v>1.5681614282006067</v>
      </c>
      <c r="L538" s="3">
        <f t="shared" si="10"/>
        <v>1.4239536043104208</v>
      </c>
    </row>
    <row r="539" spans="7:12" x14ac:dyDescent="0.3">
      <c r="G539" s="4">
        <v>1971.3333333301268</v>
      </c>
      <c r="H539">
        <v>1971</v>
      </c>
      <c r="I539">
        <v>5</v>
      </c>
      <c r="J539">
        <v>690</v>
      </c>
      <c r="K539" s="3">
        <f>STANDARDIZE(J539,O$8,P$8)</f>
        <v>1.449651704325106</v>
      </c>
      <c r="L539" s="3">
        <f t="shared" si="10"/>
        <v>0.86099546052690501</v>
      </c>
    </row>
    <row r="540" spans="7:12" x14ac:dyDescent="0.3">
      <c r="G540" s="4">
        <v>1971.2499999975951</v>
      </c>
      <c r="H540">
        <v>1971</v>
      </c>
      <c r="I540">
        <v>4</v>
      </c>
      <c r="J540">
        <v>635</v>
      </c>
      <c r="K540" s="3">
        <f>STANDARDIZE(J540,O$7,P$7)</f>
        <v>2.0537845207605709</v>
      </c>
      <c r="L540" s="3">
        <f t="shared" si="10"/>
        <v>0.53160505724931584</v>
      </c>
    </row>
    <row r="541" spans="7:12" x14ac:dyDescent="0.3">
      <c r="G541" s="4">
        <v>1971.1666666650635</v>
      </c>
      <c r="H541">
        <v>1971</v>
      </c>
      <c r="I541">
        <v>3</v>
      </c>
      <c r="J541">
        <v>577</v>
      </c>
      <c r="K541" s="3">
        <f>STANDARDIZE(J541,O$6,P$6)</f>
        <v>1.9799246897918188</v>
      </c>
      <c r="L541" s="3">
        <f t="shared" si="10"/>
        <v>0.18424790470204008</v>
      </c>
    </row>
    <row r="542" spans="7:12" x14ac:dyDescent="0.3">
      <c r="G542" s="4">
        <v>1971.0833333325318</v>
      </c>
      <c r="H542">
        <v>1971</v>
      </c>
      <c r="I542">
        <v>2</v>
      </c>
      <c r="J542">
        <v>637</v>
      </c>
      <c r="K542" s="3">
        <f>STANDARDIZE(J542,O$5,P$5)</f>
        <v>2.0951131427750296</v>
      </c>
      <c r="L542" s="3">
        <f t="shared" si="10"/>
        <v>0.54358289009577365</v>
      </c>
    </row>
    <row r="543" spans="7:12" x14ac:dyDescent="0.3">
      <c r="G543" s="4">
        <v>1971</v>
      </c>
      <c r="H543">
        <v>1971</v>
      </c>
      <c r="I543" s="6">
        <v>1</v>
      </c>
      <c r="J543">
        <v>746</v>
      </c>
      <c r="K543" s="3">
        <f>STANDARDIZE(J543,O$4,P$4)</f>
        <v>1.3954884060631081</v>
      </c>
      <c r="L543" s="3">
        <f t="shared" si="10"/>
        <v>1.1963747802277229</v>
      </c>
    </row>
  </sheetData>
  <autoFilter ref="G3:K3" xr:uid="{00000000-0009-0000-0000-000002000000}">
    <sortState xmlns:xlrd2="http://schemas.microsoft.com/office/spreadsheetml/2017/richdata2" ref="G4:K543">
      <sortCondition descending="1" ref="H3"/>
    </sortState>
  </autoFilter>
  <sortState xmlns:xlrd2="http://schemas.microsoft.com/office/spreadsheetml/2017/richdata2" ref="B4:F48">
    <sortCondition descending="1" ref="B4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20"/>
  <sheetViews>
    <sheetView topLeftCell="B1" zoomScale="85" zoomScaleNormal="85" workbookViewId="0">
      <selection activeCell="I5" sqref="I5:I16"/>
    </sheetView>
  </sheetViews>
  <sheetFormatPr baseColWidth="10" defaultRowHeight="14.4" x14ac:dyDescent="0.3"/>
  <cols>
    <col min="1" max="1" width="7.33203125" customWidth="1"/>
    <col min="2" max="2" width="8.5546875" customWidth="1"/>
    <col min="3" max="4" width="8.88671875" customWidth="1"/>
    <col min="5" max="5" width="6.88671875" customWidth="1"/>
    <col min="6" max="6" width="9.109375" customWidth="1"/>
    <col min="7" max="7" width="4.44140625" customWidth="1"/>
    <col min="8" max="8" width="7" customWidth="1"/>
    <col min="9" max="9" width="8.5546875" customWidth="1"/>
    <col min="10" max="10" width="8.44140625" customWidth="1"/>
    <col min="11" max="12" width="7" customWidth="1"/>
    <col min="13" max="13" width="7.33203125" customWidth="1"/>
    <col min="14" max="14" width="6" customWidth="1"/>
    <col min="15" max="15" width="9" customWidth="1"/>
    <col min="16" max="16" width="7.109375" customWidth="1"/>
    <col min="17" max="17" width="10.5546875" customWidth="1"/>
  </cols>
  <sheetData>
    <row r="1" spans="1:17" x14ac:dyDescent="0.3">
      <c r="A1" s="1" t="s">
        <v>135</v>
      </c>
    </row>
    <row r="2" spans="1:17" x14ac:dyDescent="0.3">
      <c r="B2" t="s">
        <v>148</v>
      </c>
      <c r="C2">
        <f>AVERAGE(C5:C47)</f>
        <v>143196.75609756098</v>
      </c>
      <c r="N2" t="s">
        <v>148</v>
      </c>
      <c r="O2">
        <f>AVERAGE(O5:O520)</f>
        <v>12030.875</v>
      </c>
    </row>
    <row r="3" spans="1:17" x14ac:dyDescent="0.3">
      <c r="B3" t="s">
        <v>149</v>
      </c>
      <c r="C3">
        <f>_xlfn.STDEV.S(C5:C47)</f>
        <v>50627.201078462022</v>
      </c>
      <c r="N3" t="s">
        <v>149</v>
      </c>
      <c r="O3" s="3">
        <f>_xlfn.STDEV.S(O5:O520)</f>
        <v>7695.4193790631834</v>
      </c>
    </row>
    <row r="4" spans="1:17" x14ac:dyDescent="0.3">
      <c r="B4" s="2" t="s">
        <v>137</v>
      </c>
      <c r="C4" s="2" t="s">
        <v>206</v>
      </c>
      <c r="D4" s="2" t="s">
        <v>207</v>
      </c>
      <c r="E4" s="2" t="s">
        <v>22</v>
      </c>
      <c r="F4" s="2" t="s">
        <v>140</v>
      </c>
      <c r="G4" s="2"/>
      <c r="H4" s="2" t="s">
        <v>144</v>
      </c>
      <c r="I4" s="2" t="s">
        <v>148</v>
      </c>
      <c r="J4" s="2" t="s">
        <v>149</v>
      </c>
      <c r="K4" s="2"/>
      <c r="L4" s="2" t="s">
        <v>137</v>
      </c>
      <c r="M4" s="2" t="s">
        <v>137</v>
      </c>
      <c r="N4" s="2" t="s">
        <v>144</v>
      </c>
      <c r="O4" s="2" t="s">
        <v>205</v>
      </c>
      <c r="P4" s="2" t="s">
        <v>151</v>
      </c>
      <c r="Q4" s="2" t="s">
        <v>197</v>
      </c>
    </row>
    <row r="5" spans="1:17" x14ac:dyDescent="0.3">
      <c r="B5">
        <v>2014</v>
      </c>
      <c r="C5">
        <v>94645</v>
      </c>
      <c r="D5">
        <f>AVERAGEIF(M$5:M$520,B5,O$5:O$520)</f>
        <v>7887.083333333333</v>
      </c>
      <c r="E5">
        <v>12</v>
      </c>
      <c r="F5" s="3">
        <f>STANDARDIZE(C5,C$2,C$3)</f>
        <v>-0.95900533830253587</v>
      </c>
      <c r="G5" s="3"/>
      <c r="H5" s="15">
        <v>1</v>
      </c>
      <c r="I5" s="4">
        <f>AVERAGEIFS(O$5:O$520,N$5:N$520,H5)</f>
        <v>11198.365853658537</v>
      </c>
      <c r="J5" s="3">
        <f t="array" ref="J5">_xlfn.STDEV.S(IF(N$5:N$520=H5,O$5:O$520))</f>
        <v>6789.0618026775883</v>
      </c>
      <c r="K5" s="3"/>
      <c r="L5" s="4">
        <v>2014.9166666666665</v>
      </c>
      <c r="M5">
        <v>2014</v>
      </c>
      <c r="N5">
        <v>12</v>
      </c>
      <c r="O5">
        <v>13733</v>
      </c>
      <c r="P5" s="3">
        <f t="shared" ref="P5:P16" si="0">STANDARDIZE(O5,O$2,O$3)</f>
        <v>0.22118677568514938</v>
      </c>
      <c r="Q5" s="3">
        <f>STANDARDIZE(O5,I$16,J$16)</f>
        <v>-0.63732342610665471</v>
      </c>
    </row>
    <row r="6" spans="1:17" x14ac:dyDescent="0.3">
      <c r="B6">
        <v>2013</v>
      </c>
      <c r="E6">
        <v>0</v>
      </c>
      <c r="F6" s="3"/>
      <c r="G6" s="3"/>
      <c r="H6" s="15">
        <v>2</v>
      </c>
      <c r="I6" s="4">
        <f t="shared" ref="I6:I16" si="1">AVERAGEIFS(O$5:O$520,N$5:N$520,H6)</f>
        <v>4801.5365853658541</v>
      </c>
      <c r="J6" s="3">
        <f t="array" ref="J6">_xlfn.STDEV.S(IF(N$5:N$520=H6,O$5:O$520))</f>
        <v>2740.8924907091291</v>
      </c>
      <c r="K6" s="3"/>
      <c r="L6" s="4">
        <v>2014.8333333333333</v>
      </c>
      <c r="M6">
        <v>2014</v>
      </c>
      <c r="N6">
        <v>11</v>
      </c>
      <c r="O6">
        <v>12934</v>
      </c>
      <c r="P6" s="3">
        <f t="shared" si="0"/>
        <v>0.11735877611259488</v>
      </c>
      <c r="Q6" s="3">
        <f>STANDARDIZE(O6,I$15,J$15)</f>
        <v>-0.6899869717749626</v>
      </c>
    </row>
    <row r="7" spans="1:17" x14ac:dyDescent="0.3">
      <c r="B7">
        <v>2012</v>
      </c>
      <c r="C7">
        <v>134527</v>
      </c>
      <c r="D7">
        <f t="shared" ref="D7:D19" si="2">AVERAGEIF(M$5:M$520,B7,O$5:O$520)</f>
        <v>11210.583333333334</v>
      </c>
      <c r="E7">
        <v>12</v>
      </c>
      <c r="F7" s="3">
        <f t="shared" ref="F7:F20" si="3">STANDARDIZE(C8,C$2,C$3)</f>
        <v>1.9730943400885632</v>
      </c>
      <c r="G7" s="3"/>
      <c r="H7" s="15">
        <v>3</v>
      </c>
      <c r="I7" s="4">
        <f t="shared" si="1"/>
        <v>4688.6585365853662</v>
      </c>
      <c r="J7" s="3">
        <f t="array" ref="J7">_xlfn.STDEV.S(IF(N$5:N$520=H7,O$5:O$520))</f>
        <v>2453.629743020756</v>
      </c>
      <c r="K7" s="3"/>
      <c r="L7" s="4">
        <v>2014.75</v>
      </c>
      <c r="M7">
        <v>2014</v>
      </c>
      <c r="N7">
        <v>10</v>
      </c>
      <c r="O7">
        <v>10429</v>
      </c>
      <c r="P7" s="3">
        <f>STANDARDIZE(O7,O$2,O$3)</f>
        <v>-0.20815954545092086</v>
      </c>
      <c r="Q7" s="3">
        <f>STANDARDIZE(O7,I$14,J$14)</f>
        <v>-0.67873438096808414</v>
      </c>
    </row>
    <row r="8" spans="1:17" x14ac:dyDescent="0.3">
      <c r="B8">
        <v>2011</v>
      </c>
      <c r="C8">
        <v>243089</v>
      </c>
      <c r="D8">
        <f t="shared" si="2"/>
        <v>20257.416666666668</v>
      </c>
      <c r="E8">
        <v>12</v>
      </c>
      <c r="F8" s="3">
        <f t="shared" si="3"/>
        <v>1.5905529475674751</v>
      </c>
      <c r="G8" s="3"/>
      <c r="H8" s="15">
        <v>4</v>
      </c>
      <c r="I8" s="4">
        <f t="shared" si="1"/>
        <v>6079.0243902439024</v>
      </c>
      <c r="J8" s="3">
        <f t="array" ref="J8">_xlfn.STDEV.S(IF(N$5:N$520=H8,O$5:O$520))</f>
        <v>2801.7991611308262</v>
      </c>
      <c r="K8" s="3"/>
      <c r="L8" s="4">
        <v>2014.6666666666665</v>
      </c>
      <c r="M8">
        <v>2014</v>
      </c>
      <c r="N8">
        <v>9</v>
      </c>
      <c r="O8">
        <v>6985</v>
      </c>
      <c r="P8" s="3">
        <f t="shared" si="0"/>
        <v>-0.65569850731309576</v>
      </c>
      <c r="Q8" s="3">
        <f>STANDARDIZE(O8,I$13,J$13)</f>
        <v>-0.74933728515302866</v>
      </c>
    </row>
    <row r="9" spans="1:17" x14ac:dyDescent="0.3">
      <c r="B9">
        <v>2010</v>
      </c>
      <c r="C9">
        <v>223722</v>
      </c>
      <c r="D9">
        <f t="shared" si="2"/>
        <v>18643.5</v>
      </c>
      <c r="E9">
        <v>12</v>
      </c>
      <c r="F9" s="3">
        <f t="shared" si="3"/>
        <v>-0.44993117558006951</v>
      </c>
      <c r="G9" s="3"/>
      <c r="H9" s="15">
        <v>5</v>
      </c>
      <c r="I9" s="4">
        <f t="shared" si="1"/>
        <v>10755.292682926829</v>
      </c>
      <c r="J9" s="3">
        <f t="array" ref="J9">_xlfn.STDEV.S(IF(N$5:N$520=H9,O$5:O$520))</f>
        <v>4649.6637100797707</v>
      </c>
      <c r="K9" s="3"/>
      <c r="L9" s="4">
        <v>2014.5833333333333</v>
      </c>
      <c r="M9">
        <v>2014</v>
      </c>
      <c r="N9">
        <v>8</v>
      </c>
      <c r="O9">
        <v>4832</v>
      </c>
      <c r="P9" s="3">
        <f t="shared" si="0"/>
        <v>-0.93547533219383405</v>
      </c>
      <c r="Q9" s="3">
        <f>STANDARDIZE(O9,I$12,J$12)</f>
        <v>-1.0609372151117986</v>
      </c>
    </row>
    <row r="10" spans="1:17" x14ac:dyDescent="0.3">
      <c r="B10">
        <v>2009</v>
      </c>
      <c r="C10">
        <v>120418</v>
      </c>
      <c r="D10">
        <f t="shared" si="2"/>
        <v>10034.833333333334</v>
      </c>
      <c r="E10">
        <v>12</v>
      </c>
      <c r="F10" s="3">
        <f t="shared" si="3"/>
        <v>1.3548101107967212</v>
      </c>
      <c r="G10" s="3"/>
      <c r="H10" s="15">
        <v>6</v>
      </c>
      <c r="I10" s="4">
        <f t="shared" si="1"/>
        <v>13662.05</v>
      </c>
      <c r="J10" s="3">
        <f t="array" ref="J10">_xlfn.STDEV.S(IF(N$5:N$520=H10,O$5:O$520))</f>
        <v>5970.1073221959932</v>
      </c>
      <c r="K10" s="3"/>
      <c r="L10" s="4">
        <v>2014.5</v>
      </c>
      <c r="M10">
        <v>2014</v>
      </c>
      <c r="N10">
        <v>7</v>
      </c>
      <c r="O10">
        <v>5803</v>
      </c>
      <c r="P10" s="3">
        <f t="shared" si="0"/>
        <v>-0.80929637401492238</v>
      </c>
      <c r="Q10" s="3">
        <f>STANDARDIZE(O10,I$11,J$11)</f>
        <v>-1.1483545918938425</v>
      </c>
    </row>
    <row r="11" spans="1:17" x14ac:dyDescent="0.3">
      <c r="B11">
        <v>2008</v>
      </c>
      <c r="C11">
        <v>211787</v>
      </c>
      <c r="D11">
        <f t="shared" si="2"/>
        <v>17648.916666666668</v>
      </c>
      <c r="E11">
        <v>12</v>
      </c>
      <c r="F11" s="3">
        <f t="shared" si="3"/>
        <v>0.80303163193698057</v>
      </c>
      <c r="G11" s="3"/>
      <c r="H11" s="15">
        <v>7</v>
      </c>
      <c r="I11" s="4">
        <f t="shared" si="1"/>
        <v>13630.7</v>
      </c>
      <c r="J11" s="3">
        <f t="array" ref="J11">_xlfn.STDEV.S(IF(N$5:N$520=H11,O$5:O$520))</f>
        <v>6816.4485562692971</v>
      </c>
      <c r="K11" s="3"/>
      <c r="L11" s="4">
        <v>2014.4166666666665</v>
      </c>
      <c r="M11">
        <v>2014</v>
      </c>
      <c r="N11">
        <v>6</v>
      </c>
      <c r="O11">
        <v>9247</v>
      </c>
      <c r="P11" s="3">
        <f t="shared" si="0"/>
        <v>-0.36175741215274748</v>
      </c>
      <c r="Q11" s="3">
        <f>STANDARDIZE(O11,I$10,J$10)</f>
        <v>-0.73952606908513752</v>
      </c>
    </row>
    <row r="12" spans="1:17" x14ac:dyDescent="0.3">
      <c r="B12">
        <v>2007</v>
      </c>
      <c r="C12">
        <v>183852</v>
      </c>
      <c r="D12">
        <f t="shared" si="2"/>
        <v>15321</v>
      </c>
      <c r="E12">
        <v>12</v>
      </c>
      <c r="F12" s="3">
        <f t="shared" si="3"/>
        <v>0.19849495307600953</v>
      </c>
      <c r="G12" s="3"/>
      <c r="H12" s="15">
        <v>8</v>
      </c>
      <c r="I12" s="4">
        <f t="shared" si="1"/>
        <v>12095.390243902439</v>
      </c>
      <c r="J12" s="3">
        <f t="array" ref="J12">_xlfn.STDEV.S(IF(N$5:N$520=H12,O$5:O$520))</f>
        <v>6846.2017737185733</v>
      </c>
      <c r="K12" s="3"/>
      <c r="L12" s="4">
        <v>2014.3333333333333</v>
      </c>
      <c r="M12">
        <v>2014</v>
      </c>
      <c r="N12">
        <v>5</v>
      </c>
      <c r="O12">
        <v>9219</v>
      </c>
      <c r="P12" s="3">
        <f t="shared" si="0"/>
        <v>-0.3653959402979684</v>
      </c>
      <c r="Q12" s="3">
        <f>STANDARDIZE(O12,I$9,J$9)</f>
        <v>-0.33040941855566408</v>
      </c>
    </row>
    <row r="13" spans="1:17" x14ac:dyDescent="0.3">
      <c r="B13">
        <v>2006</v>
      </c>
      <c r="C13">
        <v>153246</v>
      </c>
      <c r="D13">
        <f t="shared" si="2"/>
        <v>12770.5</v>
      </c>
      <c r="E13">
        <v>12</v>
      </c>
      <c r="F13" s="3">
        <f t="shared" si="3"/>
        <v>-1.5673739493238359</v>
      </c>
      <c r="G13" s="3"/>
      <c r="H13" s="15">
        <v>9</v>
      </c>
      <c r="I13" s="4">
        <f t="shared" si="1"/>
        <v>12338.439024390244</v>
      </c>
      <c r="J13" s="3">
        <f t="array" ref="J13">_xlfn.STDEV.S(IF(N$5:N$520=H13,O$5:O$520))</f>
        <v>7144.2314835527923</v>
      </c>
      <c r="K13" s="3"/>
      <c r="L13" s="4">
        <v>2014.25</v>
      </c>
      <c r="M13">
        <v>2014</v>
      </c>
      <c r="N13">
        <v>4</v>
      </c>
      <c r="O13">
        <v>4464</v>
      </c>
      <c r="P13" s="3">
        <f t="shared" si="0"/>
        <v>-0.98329598781673777</v>
      </c>
      <c r="Q13" s="3">
        <f>STANDARDIZE(O13,I$8,J$8)</f>
        <v>-0.5764240394704333</v>
      </c>
    </row>
    <row r="14" spans="1:17" x14ac:dyDescent="0.3">
      <c r="B14">
        <v>2005</v>
      </c>
      <c r="C14">
        <v>63845</v>
      </c>
      <c r="D14">
        <f t="shared" si="2"/>
        <v>7980.625</v>
      </c>
      <c r="E14">
        <v>8</v>
      </c>
      <c r="F14" s="3">
        <f t="shared" si="3"/>
        <v>-0.47884843683121187</v>
      </c>
      <c r="G14" s="3"/>
      <c r="H14" s="15">
        <v>10</v>
      </c>
      <c r="I14" s="4">
        <f t="shared" si="1"/>
        <v>15963.341463414634</v>
      </c>
      <c r="J14" s="3">
        <f t="array" ref="J14">_xlfn.STDEV.S(IF(N$5:N$520=H14,O$5:O$520))</f>
        <v>8153.9135464464898</v>
      </c>
      <c r="K14" s="3"/>
      <c r="L14" s="4">
        <v>2014.1666666666665</v>
      </c>
      <c r="M14">
        <v>2014</v>
      </c>
      <c r="N14">
        <v>3</v>
      </c>
      <c r="O14">
        <v>5428</v>
      </c>
      <c r="P14" s="3">
        <f t="shared" si="0"/>
        <v>-0.85802666167413133</v>
      </c>
      <c r="Q14" s="3">
        <f>STANDARDIZE(O14,I$7,J$7)</f>
        <v>0.30132560363586181</v>
      </c>
    </row>
    <row r="15" spans="1:17" x14ac:dyDescent="0.3">
      <c r="B15">
        <v>2004</v>
      </c>
      <c r="C15">
        <v>118954</v>
      </c>
      <c r="D15">
        <f t="shared" si="2"/>
        <v>9912.8333333333339</v>
      </c>
      <c r="E15">
        <v>12</v>
      </c>
      <c r="F15" s="3">
        <f t="shared" si="3"/>
        <v>-0.64857932886062841</v>
      </c>
      <c r="G15" s="3"/>
      <c r="H15" s="15">
        <v>11</v>
      </c>
      <c r="I15" s="4">
        <f t="shared" si="1"/>
        <v>19353</v>
      </c>
      <c r="J15" s="3">
        <f t="array" ref="J15">_xlfn.STDEV.S(IF(N$5:N$520=H15,O$5:O$520))</f>
        <v>9303.0742065859467</v>
      </c>
      <c r="K15" s="3"/>
      <c r="L15" s="4">
        <v>2014.0833333333333</v>
      </c>
      <c r="M15">
        <v>2014</v>
      </c>
      <c r="N15">
        <v>2</v>
      </c>
      <c r="O15">
        <v>3702</v>
      </c>
      <c r="P15" s="3">
        <f t="shared" si="0"/>
        <v>-1.0823159323402505</v>
      </c>
      <c r="Q15" s="3">
        <f>STANDARDIZE(O15,I$6,J$6)</f>
        <v>-0.40116005611054806</v>
      </c>
    </row>
    <row r="16" spans="1:17" x14ac:dyDescent="0.3">
      <c r="B16">
        <v>2003</v>
      </c>
      <c r="C16">
        <v>110361</v>
      </c>
      <c r="D16">
        <f t="shared" si="2"/>
        <v>9196.75</v>
      </c>
      <c r="E16">
        <v>12</v>
      </c>
      <c r="F16" s="3">
        <f t="shared" si="3"/>
        <v>-1.1206378170034221</v>
      </c>
      <c r="G16" s="3"/>
      <c r="H16" s="15">
        <v>12</v>
      </c>
      <c r="I16" s="4">
        <f t="shared" si="1"/>
        <v>20262.875</v>
      </c>
      <c r="J16" s="3">
        <f t="array" ref="J16">_xlfn.STDEV.S(IF(N$5:N$520=H16,O$5:O$520))</f>
        <v>10245.779038580702</v>
      </c>
      <c r="K16" s="3"/>
      <c r="L16" s="4">
        <v>2014</v>
      </c>
      <c r="M16">
        <v>2014</v>
      </c>
      <c r="N16">
        <v>1</v>
      </c>
      <c r="O16">
        <v>7869</v>
      </c>
      <c r="P16" s="3">
        <f t="shared" si="0"/>
        <v>-0.54082497587112055</v>
      </c>
      <c r="Q16" s="3">
        <f>STANDARDIZE(O16,I$5,J$5)</f>
        <v>-0.49040146494843279</v>
      </c>
    </row>
    <row r="17" spans="2:17" x14ac:dyDescent="0.3">
      <c r="B17">
        <v>2002</v>
      </c>
      <c r="C17">
        <v>86462</v>
      </c>
      <c r="D17">
        <f t="shared" si="2"/>
        <v>7205.166666666667</v>
      </c>
      <c r="E17">
        <v>12</v>
      </c>
      <c r="F17" s="3">
        <f t="shared" si="3"/>
        <v>-1.2407116087696066</v>
      </c>
      <c r="G17" s="3"/>
      <c r="H17" s="3"/>
      <c r="I17" s="3"/>
      <c r="J17" s="3"/>
      <c r="K17" s="3"/>
      <c r="L17" s="4">
        <v>2013.9166666666599</v>
      </c>
      <c r="M17">
        <v>2013</v>
      </c>
      <c r="N17">
        <v>12</v>
      </c>
      <c r="P17" s="3"/>
      <c r="Q17" s="3"/>
    </row>
    <row r="18" spans="2:17" x14ac:dyDescent="0.3">
      <c r="B18">
        <v>2001</v>
      </c>
      <c r="C18">
        <v>80383</v>
      </c>
      <c r="D18">
        <f t="shared" si="2"/>
        <v>6698.583333333333</v>
      </c>
      <c r="E18">
        <v>12</v>
      </c>
      <c r="F18" s="3">
        <f t="shared" si="3"/>
        <v>0.4084611327888803</v>
      </c>
      <c r="G18" s="3"/>
      <c r="H18" s="3"/>
      <c r="I18" s="3"/>
      <c r="J18" s="3"/>
      <c r="K18" s="3"/>
      <c r="L18" s="4">
        <v>2013.8333333333301</v>
      </c>
      <c r="M18">
        <v>2013</v>
      </c>
      <c r="N18">
        <v>11</v>
      </c>
      <c r="P18" s="3"/>
      <c r="Q18" s="3"/>
    </row>
    <row r="19" spans="2:17" x14ac:dyDescent="0.3">
      <c r="B19">
        <v>2000</v>
      </c>
      <c r="C19">
        <v>163876</v>
      </c>
      <c r="D19">
        <f t="shared" si="2"/>
        <v>13656.333333333334</v>
      </c>
      <c r="E19">
        <v>12</v>
      </c>
      <c r="F19" s="3">
        <f t="shared" si="3"/>
        <v>-2.828454922397047</v>
      </c>
      <c r="G19" s="3"/>
      <c r="H19" s="3"/>
      <c r="I19" s="3"/>
      <c r="J19" s="3"/>
      <c r="K19" s="3"/>
      <c r="L19" s="4">
        <v>2013.75</v>
      </c>
      <c r="M19">
        <v>2013</v>
      </c>
      <c r="N19">
        <v>10</v>
      </c>
      <c r="P19" s="3"/>
      <c r="Q19" s="3"/>
    </row>
    <row r="20" spans="2:17" x14ac:dyDescent="0.3">
      <c r="B20">
        <v>1999</v>
      </c>
      <c r="E20">
        <v>0</v>
      </c>
      <c r="F20" s="3">
        <f t="shared" si="3"/>
        <v>0.52100932582782078</v>
      </c>
      <c r="G20" s="3"/>
      <c r="H20" s="3"/>
      <c r="I20" s="3"/>
      <c r="J20" s="3"/>
      <c r="K20" s="3"/>
      <c r="L20" s="4">
        <v>2013.6666666666599</v>
      </c>
      <c r="M20">
        <v>2013</v>
      </c>
      <c r="N20">
        <v>9</v>
      </c>
      <c r="P20" s="3"/>
      <c r="Q20" s="3"/>
    </row>
    <row r="21" spans="2:17" x14ac:dyDescent="0.3">
      <c r="B21">
        <v>1998</v>
      </c>
      <c r="C21">
        <v>169574</v>
      </c>
      <c r="D21">
        <f t="shared" ref="D21:D47" si="4">AVERAGEIF(M$5:M$520,B21,O$5:O$520)</f>
        <v>14131.166666666666</v>
      </c>
      <c r="E21">
        <v>12</v>
      </c>
      <c r="F21" s="3">
        <f t="shared" ref="F21:F27" si="5">STANDARDIZE(C21,C$2,C$3)</f>
        <v>0.52100932582782078</v>
      </c>
      <c r="G21" s="3"/>
      <c r="H21" s="3"/>
      <c r="I21" s="3"/>
      <c r="J21" s="3"/>
      <c r="K21" s="3"/>
      <c r="L21" s="4">
        <v>2013.5833333333301</v>
      </c>
      <c r="M21">
        <v>2013</v>
      </c>
      <c r="N21">
        <v>8</v>
      </c>
      <c r="P21" s="3"/>
      <c r="Q21" s="3"/>
    </row>
    <row r="22" spans="2:17" x14ac:dyDescent="0.3">
      <c r="B22">
        <v>1997</v>
      </c>
      <c r="C22">
        <v>68259</v>
      </c>
      <c r="D22">
        <f t="shared" si="4"/>
        <v>5688.25</v>
      </c>
      <c r="E22">
        <v>12</v>
      </c>
      <c r="F22" s="3">
        <f t="shared" si="5"/>
        <v>-1.4801876165625365</v>
      </c>
      <c r="G22" s="3"/>
      <c r="H22" s="3"/>
      <c r="I22" s="3"/>
      <c r="J22" s="3"/>
      <c r="K22" s="3"/>
      <c r="L22" s="4">
        <v>2013.5</v>
      </c>
      <c r="M22">
        <v>2013</v>
      </c>
      <c r="N22">
        <v>7</v>
      </c>
      <c r="P22" s="3"/>
      <c r="Q22" s="3"/>
    </row>
    <row r="23" spans="2:17" x14ac:dyDescent="0.3">
      <c r="B23">
        <v>1996</v>
      </c>
      <c r="C23">
        <v>239286</v>
      </c>
      <c r="D23">
        <f t="shared" si="4"/>
        <v>19940.5</v>
      </c>
      <c r="E23">
        <v>12</v>
      </c>
      <c r="F23" s="3">
        <f t="shared" si="5"/>
        <v>1.897976618409537</v>
      </c>
      <c r="G23" s="3"/>
      <c r="H23" s="3"/>
      <c r="I23" s="3"/>
      <c r="J23" s="3"/>
      <c r="K23" s="3"/>
      <c r="L23" s="4">
        <v>2013.4166666666599</v>
      </c>
      <c r="M23">
        <v>2013</v>
      </c>
      <c r="N23">
        <v>6</v>
      </c>
      <c r="P23" s="3"/>
      <c r="Q23" s="3"/>
    </row>
    <row r="24" spans="2:17" x14ac:dyDescent="0.3">
      <c r="B24">
        <v>1995</v>
      </c>
      <c r="C24">
        <v>151604</v>
      </c>
      <c r="D24">
        <f t="shared" si="4"/>
        <v>12633.666666666666</v>
      </c>
      <c r="E24">
        <v>12</v>
      </c>
      <c r="F24" s="3">
        <f t="shared" si="5"/>
        <v>0.16606179530662726</v>
      </c>
      <c r="G24" s="3"/>
      <c r="H24" s="3"/>
      <c r="I24" s="3"/>
      <c r="J24" s="3"/>
      <c r="K24" s="3"/>
      <c r="L24" s="4">
        <v>2013.3333333333301</v>
      </c>
      <c r="M24">
        <v>2013</v>
      </c>
      <c r="N24">
        <v>5</v>
      </c>
      <c r="P24" s="3"/>
      <c r="Q24" s="3"/>
    </row>
    <row r="25" spans="2:17" x14ac:dyDescent="0.3">
      <c r="B25">
        <v>1994</v>
      </c>
      <c r="C25">
        <v>184925</v>
      </c>
      <c r="D25">
        <f t="shared" si="4"/>
        <v>15410.416666666666</v>
      </c>
      <c r="E25">
        <v>12</v>
      </c>
      <c r="F25" s="3">
        <f t="shared" si="5"/>
        <v>0.82422577218457327</v>
      </c>
      <c r="G25" s="3"/>
      <c r="H25" s="3"/>
      <c r="I25" s="3"/>
      <c r="J25" s="3"/>
      <c r="K25" s="3"/>
      <c r="L25" s="4">
        <v>2013.25</v>
      </c>
      <c r="M25">
        <v>2013</v>
      </c>
      <c r="N25">
        <v>4</v>
      </c>
      <c r="P25" s="3"/>
      <c r="Q25" s="3"/>
    </row>
    <row r="26" spans="2:17" x14ac:dyDescent="0.3">
      <c r="B26">
        <v>1993</v>
      </c>
      <c r="C26">
        <v>156803</v>
      </c>
      <c r="D26">
        <f t="shared" si="4"/>
        <v>13066.916666666666</v>
      </c>
      <c r="E26">
        <v>12</v>
      </c>
      <c r="F26" s="3">
        <f t="shared" si="5"/>
        <v>0.26875362675791747</v>
      </c>
      <c r="G26" s="3"/>
      <c r="H26" s="3"/>
      <c r="I26" s="3"/>
      <c r="J26" s="3"/>
      <c r="K26" s="3"/>
      <c r="L26" s="4">
        <v>2013.1666666666599</v>
      </c>
      <c r="M26">
        <v>2013</v>
      </c>
      <c r="N26">
        <v>3</v>
      </c>
      <c r="P26" s="3"/>
      <c r="Q26" s="3"/>
    </row>
    <row r="27" spans="2:17" x14ac:dyDescent="0.3">
      <c r="B27">
        <v>1992</v>
      </c>
      <c r="C27">
        <v>86396</v>
      </c>
      <c r="D27">
        <f t="shared" si="4"/>
        <v>7199.666666666667</v>
      </c>
      <c r="E27">
        <v>12</v>
      </c>
      <c r="F27" s="3">
        <f t="shared" si="5"/>
        <v>-1.1219414640270393</v>
      </c>
      <c r="G27" s="3"/>
      <c r="H27" s="3"/>
      <c r="I27" s="3"/>
      <c r="J27" s="3"/>
      <c r="K27" s="3"/>
      <c r="L27" s="4">
        <v>2013.0833333333301</v>
      </c>
      <c r="M27">
        <v>2013</v>
      </c>
      <c r="N27">
        <v>2</v>
      </c>
      <c r="P27" s="3"/>
      <c r="Q27" s="3"/>
    </row>
    <row r="28" spans="2:17" x14ac:dyDescent="0.3">
      <c r="B28">
        <v>1991</v>
      </c>
      <c r="C28">
        <v>131608</v>
      </c>
      <c r="D28">
        <f t="shared" si="4"/>
        <v>10967.333333333334</v>
      </c>
      <c r="E28">
        <v>12</v>
      </c>
      <c r="F28" s="3">
        <f>STANDARDIZE(C27,C$2,C$3)</f>
        <v>-1.1219414640270393</v>
      </c>
      <c r="G28" s="3"/>
      <c r="H28" s="3"/>
      <c r="I28" s="3"/>
      <c r="J28" s="3"/>
      <c r="K28" s="3"/>
      <c r="L28" s="4">
        <v>2013</v>
      </c>
      <c r="M28">
        <v>2013</v>
      </c>
      <c r="N28">
        <v>1</v>
      </c>
      <c r="P28" s="3"/>
      <c r="Q28" s="3"/>
    </row>
    <row r="29" spans="2:17" x14ac:dyDescent="0.3">
      <c r="B29">
        <v>1990</v>
      </c>
      <c r="C29">
        <v>162392</v>
      </c>
      <c r="D29">
        <f t="shared" si="4"/>
        <v>13532.666666666666</v>
      </c>
      <c r="E29">
        <v>12</v>
      </c>
      <c r="F29" s="3">
        <f>STANDARDIZE(C28,C$2,C$3)</f>
        <v>-0.22890374839408426</v>
      </c>
      <c r="G29" s="3"/>
      <c r="H29" s="3"/>
      <c r="I29" s="3"/>
      <c r="J29" s="3"/>
      <c r="K29" s="3"/>
      <c r="L29" s="4">
        <v>2012.9166666666599</v>
      </c>
      <c r="M29">
        <v>2012</v>
      </c>
      <c r="N29">
        <v>12</v>
      </c>
      <c r="O29">
        <v>10054</v>
      </c>
      <c r="P29" s="3">
        <f t="shared" ref="P29:P60" si="6">STANDARDIZE(O29,O$2,O$3)</f>
        <v>-0.25688983311012981</v>
      </c>
      <c r="Q29" s="3">
        <f>STANDARDIZE(O29,I$16,J$16)</f>
        <v>-0.99639812273505612</v>
      </c>
    </row>
    <row r="30" spans="2:17" x14ac:dyDescent="0.3">
      <c r="B30">
        <v>1989</v>
      </c>
      <c r="C30">
        <v>232773</v>
      </c>
      <c r="D30">
        <f t="shared" si="4"/>
        <v>19397.75</v>
      </c>
      <c r="E30">
        <v>12</v>
      </c>
      <c r="F30" s="3">
        <f t="shared" ref="F30:F47" si="7">STANDARDIZE(C30,C$2,C$3)</f>
        <v>1.769330359851689</v>
      </c>
      <c r="G30" s="3"/>
      <c r="H30" s="3"/>
      <c r="I30" s="3"/>
      <c r="J30" s="3"/>
      <c r="K30" s="3"/>
      <c r="L30" s="4">
        <v>2012.8333333333301</v>
      </c>
      <c r="M30">
        <v>2012</v>
      </c>
      <c r="N30">
        <v>11</v>
      </c>
      <c r="O30">
        <v>11863</v>
      </c>
      <c r="P30" s="3">
        <f t="shared" si="6"/>
        <v>-2.1814925442105872E-2</v>
      </c>
      <c r="Q30" s="3">
        <f>STANDARDIZE(O30,I$15,J$15)</f>
        <v>-0.80511020697841873</v>
      </c>
    </row>
    <row r="31" spans="2:17" x14ac:dyDescent="0.3">
      <c r="B31">
        <v>1988</v>
      </c>
      <c r="C31">
        <v>260352</v>
      </c>
      <c r="D31">
        <f t="shared" si="4"/>
        <v>21696</v>
      </c>
      <c r="E31">
        <v>12</v>
      </c>
      <c r="F31" s="3">
        <f t="shared" si="7"/>
        <v>2.3140770456749498</v>
      </c>
      <c r="G31" s="3"/>
      <c r="H31" s="3"/>
      <c r="I31" s="3"/>
      <c r="J31" s="3"/>
      <c r="K31" s="3"/>
      <c r="L31" s="4">
        <v>2012.75</v>
      </c>
      <c r="M31">
        <v>2012</v>
      </c>
      <c r="N31">
        <v>10</v>
      </c>
      <c r="O31">
        <v>9083</v>
      </c>
      <c r="P31" s="3">
        <f t="shared" si="6"/>
        <v>-0.38306879128904153</v>
      </c>
      <c r="Q31" s="3">
        <f>STANDARDIZE(O31,I$14,J$14)</f>
        <v>-0.84380848830720256</v>
      </c>
    </row>
    <row r="32" spans="2:17" x14ac:dyDescent="0.3">
      <c r="B32">
        <v>1987</v>
      </c>
      <c r="C32">
        <v>166905</v>
      </c>
      <c r="D32">
        <f t="shared" si="4"/>
        <v>13908.75</v>
      </c>
      <c r="E32">
        <v>12</v>
      </c>
      <c r="F32" s="3">
        <f t="shared" si="7"/>
        <v>0.46829063028185164</v>
      </c>
      <c r="G32" s="3"/>
      <c r="H32" s="3"/>
      <c r="I32" s="3"/>
      <c r="J32" s="3"/>
      <c r="K32" s="3"/>
      <c r="L32" s="4">
        <v>2012.6666666666599</v>
      </c>
      <c r="M32">
        <v>2012</v>
      </c>
      <c r="N32">
        <v>9</v>
      </c>
      <c r="O32">
        <v>8957</v>
      </c>
      <c r="P32" s="3">
        <f t="shared" si="6"/>
        <v>-0.39944216794253573</v>
      </c>
      <c r="Q32" s="3">
        <f>STANDARDIZE(O32,I$13,J$13)</f>
        <v>-0.47331039485140952</v>
      </c>
    </row>
    <row r="33" spans="2:17" x14ac:dyDescent="0.3">
      <c r="B33">
        <v>1986</v>
      </c>
      <c r="C33">
        <v>172504</v>
      </c>
      <c r="D33">
        <f t="shared" si="4"/>
        <v>14375.333333333334</v>
      </c>
      <c r="E33">
        <v>12</v>
      </c>
      <c r="F33" s="3">
        <f t="shared" si="7"/>
        <v>0.57888335278536651</v>
      </c>
      <c r="G33" s="3"/>
      <c r="H33" s="3"/>
      <c r="I33" s="3"/>
      <c r="J33" s="3"/>
      <c r="K33" s="3"/>
      <c r="L33" s="4">
        <v>2012.5833333333301</v>
      </c>
      <c r="M33">
        <v>2012</v>
      </c>
      <c r="N33">
        <v>8</v>
      </c>
      <c r="O33">
        <v>8613</v>
      </c>
      <c r="P33" s="3">
        <f t="shared" si="6"/>
        <v>-0.44414408515525006</v>
      </c>
      <c r="Q33" s="3">
        <f>STANDARDIZE(O33,I$12,J$12)</f>
        <v>-0.50866018253665179</v>
      </c>
    </row>
    <row r="34" spans="2:17" x14ac:dyDescent="0.3">
      <c r="B34">
        <v>1985</v>
      </c>
      <c r="C34">
        <v>100487</v>
      </c>
      <c r="D34">
        <f t="shared" si="4"/>
        <v>8373.9166666666661</v>
      </c>
      <c r="E34">
        <v>12</v>
      </c>
      <c r="F34" s="3">
        <f t="shared" si="7"/>
        <v>-0.84361282448479458</v>
      </c>
      <c r="G34" s="3"/>
      <c r="H34" s="3"/>
      <c r="I34" s="3"/>
      <c r="J34" s="3"/>
      <c r="K34" s="3"/>
      <c r="L34" s="4">
        <v>2012.5</v>
      </c>
      <c r="M34">
        <v>2012</v>
      </c>
      <c r="N34">
        <v>7</v>
      </c>
      <c r="O34">
        <v>9084</v>
      </c>
      <c r="P34" s="3">
        <f t="shared" si="6"/>
        <v>-0.38293884385528359</v>
      </c>
      <c r="Q34" s="3">
        <f>STANDARDIZE(O34,I$11,J$11)</f>
        <v>-0.66701889737262976</v>
      </c>
    </row>
    <row r="35" spans="2:17" x14ac:dyDescent="0.3">
      <c r="B35">
        <v>1984</v>
      </c>
      <c r="C35">
        <v>154890</v>
      </c>
      <c r="D35">
        <f t="shared" si="4"/>
        <v>12907.5</v>
      </c>
      <c r="E35">
        <v>12</v>
      </c>
      <c r="F35" s="3">
        <f t="shared" si="7"/>
        <v>0.23096761530065296</v>
      </c>
      <c r="G35" s="3"/>
      <c r="H35" s="3"/>
      <c r="I35" s="3"/>
      <c r="J35" s="3"/>
      <c r="K35" s="3"/>
      <c r="L35" s="4">
        <v>2012.4166666666599</v>
      </c>
      <c r="M35">
        <v>2012</v>
      </c>
      <c r="N35">
        <v>6</v>
      </c>
      <c r="O35">
        <v>14584</v>
      </c>
      <c r="P35" s="3">
        <f t="shared" si="6"/>
        <v>0.3317720418131142</v>
      </c>
      <c r="Q35" s="3">
        <f>STANDARDIZE(O35,I$10,J$10)</f>
        <v>0.1544277096279868</v>
      </c>
    </row>
    <row r="36" spans="2:17" x14ac:dyDescent="0.3">
      <c r="B36">
        <v>1983</v>
      </c>
      <c r="C36">
        <v>87455</v>
      </c>
      <c r="D36">
        <f t="shared" si="4"/>
        <v>7287.916666666667</v>
      </c>
      <c r="E36">
        <v>12</v>
      </c>
      <c r="F36" s="3">
        <f t="shared" si="7"/>
        <v>-1.1010238549662745</v>
      </c>
      <c r="G36" s="3"/>
      <c r="H36" s="3"/>
      <c r="I36" s="3"/>
      <c r="J36" s="3"/>
      <c r="K36" s="3"/>
      <c r="L36" s="4">
        <v>2012.3333333333301</v>
      </c>
      <c r="M36">
        <v>2012</v>
      </c>
      <c r="N36">
        <v>5</v>
      </c>
      <c r="O36">
        <v>16730</v>
      </c>
      <c r="P36" s="3">
        <f t="shared" si="6"/>
        <v>0.61063923465754733</v>
      </c>
      <c r="Q36" s="3">
        <f>STANDARDIZE(O36,I$9,J$9)</f>
        <v>1.2849762240053846</v>
      </c>
    </row>
    <row r="37" spans="2:17" x14ac:dyDescent="0.3">
      <c r="B37">
        <v>1982</v>
      </c>
      <c r="C37">
        <v>126180</v>
      </c>
      <c r="D37">
        <f t="shared" si="4"/>
        <v>10515</v>
      </c>
      <c r="E37">
        <v>12</v>
      </c>
      <c r="F37" s="3">
        <f t="shared" si="7"/>
        <v>-0.33611883997277309</v>
      </c>
      <c r="G37" s="3"/>
      <c r="H37" s="3"/>
      <c r="I37" s="3"/>
      <c r="J37" s="3"/>
      <c r="K37" s="3"/>
      <c r="L37" s="4">
        <v>2012.24999999999</v>
      </c>
      <c r="M37">
        <v>2012</v>
      </c>
      <c r="N37">
        <v>4</v>
      </c>
      <c r="O37">
        <v>9180</v>
      </c>
      <c r="P37" s="3">
        <f t="shared" si="6"/>
        <v>-0.37046389021452614</v>
      </c>
      <c r="Q37" s="3">
        <f>STANDARDIZE(O37,I$8,J$8)</f>
        <v>1.106780119280399</v>
      </c>
    </row>
    <row r="38" spans="2:17" x14ac:dyDescent="0.3">
      <c r="B38">
        <v>1981</v>
      </c>
      <c r="C38">
        <v>167499</v>
      </c>
      <c r="D38">
        <f t="shared" si="4"/>
        <v>13958.25</v>
      </c>
      <c r="E38">
        <v>12</v>
      </c>
      <c r="F38" s="3">
        <f t="shared" si="7"/>
        <v>0.48002345349440528</v>
      </c>
      <c r="G38" s="3"/>
      <c r="H38" s="3"/>
      <c r="I38" s="3"/>
      <c r="J38" s="3"/>
      <c r="K38" s="3"/>
      <c r="L38" s="4">
        <v>2012.1666666666599</v>
      </c>
      <c r="M38">
        <v>2012</v>
      </c>
      <c r="N38">
        <v>3</v>
      </c>
      <c r="O38">
        <v>5412</v>
      </c>
      <c r="P38" s="3">
        <f t="shared" si="6"/>
        <v>-0.86010582061425755</v>
      </c>
      <c r="Q38" s="3">
        <f>STANDARDIZE(O38,I$7,J$7)</f>
        <v>0.29480465236132203</v>
      </c>
    </row>
    <row r="39" spans="2:17" x14ac:dyDescent="0.3">
      <c r="B39">
        <v>1980</v>
      </c>
      <c r="C39">
        <v>93183</v>
      </c>
      <c r="D39">
        <f t="shared" si="4"/>
        <v>7765.25</v>
      </c>
      <c r="E39">
        <v>12</v>
      </c>
      <c r="F39" s="3">
        <f t="shared" si="7"/>
        <v>-0.9878830950984171</v>
      </c>
      <c r="G39" s="3"/>
      <c r="H39" s="3"/>
      <c r="I39" s="3"/>
      <c r="J39" s="3"/>
      <c r="K39" s="3"/>
      <c r="L39" s="4">
        <v>2012.0833333333301</v>
      </c>
      <c r="M39">
        <v>2012</v>
      </c>
      <c r="N39">
        <v>2</v>
      </c>
      <c r="O39">
        <v>9640</v>
      </c>
      <c r="P39" s="3">
        <f t="shared" si="6"/>
        <v>-0.31068807068589649</v>
      </c>
      <c r="Q39" s="3">
        <f>STANDARDIZE(O39,I$6,J$6)</f>
        <v>1.7652875590834753</v>
      </c>
    </row>
    <row r="40" spans="2:17" x14ac:dyDescent="0.3">
      <c r="B40">
        <v>1979</v>
      </c>
      <c r="C40">
        <v>120627</v>
      </c>
      <c r="D40">
        <f t="shared" si="4"/>
        <v>10052.25</v>
      </c>
      <c r="E40">
        <v>12</v>
      </c>
      <c r="F40" s="3">
        <f t="shared" si="7"/>
        <v>-0.44580296000528213</v>
      </c>
      <c r="G40" s="3"/>
      <c r="H40" s="3"/>
      <c r="I40" s="3"/>
      <c r="J40" s="3"/>
      <c r="K40" s="3"/>
      <c r="L40" s="4">
        <v>2012</v>
      </c>
      <c r="M40">
        <v>2012</v>
      </c>
      <c r="N40">
        <v>1</v>
      </c>
      <c r="O40">
        <v>21327</v>
      </c>
      <c r="P40" s="3">
        <f t="shared" si="6"/>
        <v>1.20800758764257</v>
      </c>
      <c r="Q40" s="3">
        <f>STANDARDIZE(O40,I$5,J$5)</f>
        <v>1.4919048376237725</v>
      </c>
    </row>
    <row r="41" spans="2:17" x14ac:dyDescent="0.3">
      <c r="B41">
        <v>1978</v>
      </c>
      <c r="C41">
        <v>109356</v>
      </c>
      <c r="D41">
        <f t="shared" si="4"/>
        <v>9113</v>
      </c>
      <c r="E41">
        <v>12</v>
      </c>
      <c r="F41" s="3">
        <f t="shared" si="7"/>
        <v>-0.66843031762934291</v>
      </c>
      <c r="G41" s="3"/>
      <c r="H41" s="3"/>
      <c r="I41" s="3"/>
      <c r="J41" s="3"/>
      <c r="K41" s="3"/>
      <c r="L41" s="4">
        <v>2011.9166666666599</v>
      </c>
      <c r="M41">
        <v>2011</v>
      </c>
      <c r="N41">
        <v>12</v>
      </c>
      <c r="O41">
        <v>32570</v>
      </c>
      <c r="P41" s="3">
        <f t="shared" si="6"/>
        <v>2.6690065853825331</v>
      </c>
      <c r="Q41" s="3">
        <f>STANDARDIZE(O41,I$16,J$16)</f>
        <v>1.2011897732380579</v>
      </c>
    </row>
    <row r="42" spans="2:17" x14ac:dyDescent="0.3">
      <c r="B42">
        <v>1977</v>
      </c>
      <c r="C42">
        <v>86443</v>
      </c>
      <c r="D42">
        <f t="shared" si="4"/>
        <v>7203.583333333333</v>
      </c>
      <c r="E42">
        <v>12</v>
      </c>
      <c r="F42" s="3">
        <f t="shared" si="7"/>
        <v>-1.1210131093284028</v>
      </c>
      <c r="G42" s="3"/>
      <c r="H42" s="3"/>
      <c r="I42" s="3"/>
      <c r="J42" s="3"/>
      <c r="K42" s="3"/>
      <c r="L42" s="4">
        <v>2011.8333333333301</v>
      </c>
      <c r="M42">
        <v>2011</v>
      </c>
      <c r="N42">
        <v>11</v>
      </c>
      <c r="O42">
        <v>23485</v>
      </c>
      <c r="P42" s="3">
        <f t="shared" si="6"/>
        <v>1.4884341496920976</v>
      </c>
      <c r="Q42" s="3">
        <f>STANDARDIZE(O42,I$15,J$15)</f>
        <v>0.44415425570558426</v>
      </c>
    </row>
    <row r="43" spans="2:17" x14ac:dyDescent="0.3">
      <c r="B43">
        <v>1976</v>
      </c>
      <c r="C43">
        <v>111133</v>
      </c>
      <c r="D43">
        <f t="shared" si="4"/>
        <v>9261.0833333333339</v>
      </c>
      <c r="E43">
        <v>12</v>
      </c>
      <c r="F43" s="3">
        <f t="shared" si="7"/>
        <v>-0.63333060912983474</v>
      </c>
      <c r="G43" s="3"/>
      <c r="H43" s="3"/>
      <c r="I43" s="3"/>
      <c r="J43" s="3"/>
      <c r="K43" s="3"/>
      <c r="L43" s="4">
        <v>2011.74999999999</v>
      </c>
      <c r="M43">
        <v>2011</v>
      </c>
      <c r="N43">
        <v>10</v>
      </c>
      <c r="O43">
        <v>17415</v>
      </c>
      <c r="P43" s="3">
        <f t="shared" si="6"/>
        <v>0.69965322678170228</v>
      </c>
      <c r="Q43" s="3">
        <f>STANDARDIZE(O43,I$14,J$14)</f>
        <v>0.17803212265084722</v>
      </c>
    </row>
    <row r="44" spans="2:17" x14ac:dyDescent="0.3">
      <c r="B44">
        <v>1975</v>
      </c>
      <c r="C44">
        <v>159657</v>
      </c>
      <c r="D44">
        <f t="shared" si="4"/>
        <v>13304.75</v>
      </c>
      <c r="E44">
        <v>12</v>
      </c>
      <c r="F44" s="3">
        <f t="shared" si="7"/>
        <v>0.32512648441554054</v>
      </c>
      <c r="G44" s="3"/>
      <c r="H44" s="3"/>
      <c r="I44" s="3"/>
      <c r="J44" s="3"/>
      <c r="K44" s="3"/>
      <c r="L44" s="4">
        <v>2011.6666666666599</v>
      </c>
      <c r="M44">
        <v>2011</v>
      </c>
      <c r="N44">
        <v>9</v>
      </c>
      <c r="O44">
        <v>15310</v>
      </c>
      <c r="P44" s="3">
        <f t="shared" si="6"/>
        <v>0.42611387872134276</v>
      </c>
      <c r="Q44" s="3">
        <f>STANDARDIZE(O44,I$13,J$13)</f>
        <v>0.41593850681501343</v>
      </c>
    </row>
    <row r="45" spans="2:17" x14ac:dyDescent="0.3">
      <c r="B45">
        <v>1974</v>
      </c>
      <c r="C45">
        <v>156240</v>
      </c>
      <c r="D45">
        <f t="shared" si="4"/>
        <v>13020</v>
      </c>
      <c r="E45">
        <v>12</v>
      </c>
      <c r="F45" s="3">
        <f t="shared" si="7"/>
        <v>0.25763312260191124</v>
      </c>
      <c r="G45" s="3"/>
      <c r="H45" s="3"/>
      <c r="I45" s="3"/>
      <c r="J45" s="3"/>
      <c r="K45" s="3"/>
      <c r="L45" s="4">
        <v>2011.5833333333301</v>
      </c>
      <c r="M45">
        <v>2011</v>
      </c>
      <c r="N45">
        <v>8</v>
      </c>
      <c r="O45">
        <v>19387</v>
      </c>
      <c r="P45" s="3">
        <f t="shared" si="6"/>
        <v>0.95590956615226241</v>
      </c>
      <c r="Q45" s="3">
        <f>STANDARDIZE(O45,I$12,J$12)</f>
        <v>1.0650591374751524</v>
      </c>
    </row>
    <row r="46" spans="2:17" x14ac:dyDescent="0.3">
      <c r="B46">
        <v>1973</v>
      </c>
      <c r="C46">
        <v>112422</v>
      </c>
      <c r="D46">
        <f t="shared" si="4"/>
        <v>9368.5</v>
      </c>
      <c r="E46">
        <v>12</v>
      </c>
      <c r="F46" s="3">
        <f t="shared" si="7"/>
        <v>-0.60786998771404077</v>
      </c>
      <c r="G46" s="3"/>
      <c r="H46" s="3"/>
      <c r="I46" s="3"/>
      <c r="J46" s="3"/>
      <c r="K46" s="3"/>
      <c r="L46" s="4">
        <v>2011.49999999999</v>
      </c>
      <c r="M46">
        <v>2011</v>
      </c>
      <c r="N46">
        <v>7</v>
      </c>
      <c r="O46">
        <v>23579</v>
      </c>
      <c r="P46" s="3">
        <f t="shared" si="6"/>
        <v>1.5006492084653393</v>
      </c>
      <c r="Q46" s="3">
        <f>STANDARDIZE(O46,I$11,J$11)</f>
        <v>1.4594550106081623</v>
      </c>
    </row>
    <row r="47" spans="2:17" x14ac:dyDescent="0.3">
      <c r="B47">
        <v>1972</v>
      </c>
      <c r="C47">
        <v>112947</v>
      </c>
      <c r="D47">
        <f t="shared" si="4"/>
        <v>9412.25</v>
      </c>
      <c r="E47">
        <v>12</v>
      </c>
      <c r="F47" s="3">
        <f t="shared" si="7"/>
        <v>-0.59750006820799595</v>
      </c>
      <c r="G47" s="3"/>
      <c r="H47" s="3"/>
      <c r="I47" s="3"/>
      <c r="J47" s="3"/>
      <c r="K47" s="3"/>
      <c r="L47" s="4">
        <v>2011.4166666666599</v>
      </c>
      <c r="M47">
        <v>2011</v>
      </c>
      <c r="N47">
        <v>6</v>
      </c>
      <c r="O47">
        <v>29180</v>
      </c>
      <c r="P47" s="3">
        <f t="shared" si="6"/>
        <v>2.2284847849432841</v>
      </c>
      <c r="Q47" s="3">
        <f>STANDARDIZE(O47,I$10,J$10)</f>
        <v>2.5992748810907491</v>
      </c>
    </row>
    <row r="48" spans="2:17" x14ac:dyDescent="0.3">
      <c r="C48">
        <f>AVERAGE(C5:C47)</f>
        <v>143196.75609756098</v>
      </c>
      <c r="G48" s="3"/>
      <c r="H48" s="3"/>
      <c r="I48" s="3"/>
      <c r="J48" s="3"/>
      <c r="K48" s="3"/>
      <c r="L48" s="4">
        <v>2011.3333333333301</v>
      </c>
      <c r="M48">
        <v>2011</v>
      </c>
      <c r="N48">
        <v>5</v>
      </c>
      <c r="O48">
        <v>26750</v>
      </c>
      <c r="P48" s="3">
        <f t="shared" si="6"/>
        <v>1.9127125209116103</v>
      </c>
      <c r="Q48" s="3">
        <f>STANDARDIZE(O48,I$9,J$9)</f>
        <v>3.4399707837792772</v>
      </c>
    </row>
    <row r="49" spans="3:17" x14ac:dyDescent="0.3">
      <c r="C49">
        <f>_xlfn.STDEV.S(C5:C47)</f>
        <v>50627.201078462022</v>
      </c>
      <c r="G49" s="3"/>
      <c r="H49" s="3"/>
      <c r="I49" s="3"/>
      <c r="J49" s="3"/>
      <c r="K49" s="3"/>
      <c r="L49" s="4">
        <v>2011.24999999999</v>
      </c>
      <c r="M49">
        <v>2011</v>
      </c>
      <c r="N49">
        <v>4</v>
      </c>
      <c r="O49">
        <v>13049</v>
      </c>
      <c r="P49" s="3">
        <f t="shared" si="6"/>
        <v>0.13230273099475229</v>
      </c>
      <c r="Q49" s="3">
        <f>STANDARDIZE(O49,I$8,J$8)</f>
        <v>2.4876785268730561</v>
      </c>
    </row>
    <row r="50" spans="3:17" x14ac:dyDescent="0.3">
      <c r="L50" s="4">
        <v>2011.1666666666599</v>
      </c>
      <c r="M50">
        <v>2011</v>
      </c>
      <c r="N50">
        <v>3</v>
      </c>
      <c r="O50">
        <v>9190</v>
      </c>
      <c r="P50" s="3">
        <f t="shared" si="6"/>
        <v>-0.36916441587694721</v>
      </c>
      <c r="Q50" s="3">
        <f>STANDARDIZE(O50,I$7,J$7)</f>
        <v>1.8345642720620361</v>
      </c>
    </row>
    <row r="51" spans="3:17" x14ac:dyDescent="0.3">
      <c r="L51" s="4">
        <v>2011.0833333333301</v>
      </c>
      <c r="M51">
        <v>2011</v>
      </c>
      <c r="N51">
        <v>2</v>
      </c>
      <c r="O51">
        <v>8644</v>
      </c>
      <c r="P51" s="3">
        <f t="shared" si="6"/>
        <v>-0.44011571470875543</v>
      </c>
      <c r="Q51" s="3">
        <f>STANDARDIZE(O51,I$6,J$6)</f>
        <v>1.4019022736787521</v>
      </c>
    </row>
    <row r="52" spans="3:17" x14ac:dyDescent="0.3">
      <c r="L52" s="4">
        <v>2011</v>
      </c>
      <c r="M52">
        <v>2011</v>
      </c>
      <c r="N52">
        <v>1</v>
      </c>
      <c r="O52">
        <v>24530</v>
      </c>
      <c r="P52" s="3">
        <f t="shared" si="6"/>
        <v>1.6242292179690934</v>
      </c>
      <c r="Q52" s="3">
        <f>STANDARDIZE(O52,I$5,J$5)</f>
        <v>1.9636931484529279</v>
      </c>
    </row>
    <row r="53" spans="3:17" x14ac:dyDescent="0.3">
      <c r="L53" s="4">
        <v>2010.9166666666599</v>
      </c>
      <c r="M53">
        <v>2010</v>
      </c>
      <c r="N53">
        <v>12</v>
      </c>
      <c r="O53">
        <v>34857</v>
      </c>
      <c r="P53" s="3">
        <f t="shared" si="6"/>
        <v>2.9661963663868285</v>
      </c>
      <c r="Q53" s="3">
        <f>STANDARDIZE(O53,I$16,J$16)</f>
        <v>1.4244036441783008</v>
      </c>
    </row>
    <row r="54" spans="3:17" x14ac:dyDescent="0.3">
      <c r="L54" s="4">
        <v>2010.8333333333301</v>
      </c>
      <c r="M54">
        <v>2010</v>
      </c>
      <c r="N54">
        <v>11</v>
      </c>
      <c r="O54">
        <v>32856</v>
      </c>
      <c r="P54" s="3">
        <f t="shared" si="6"/>
        <v>2.7061715514372899</v>
      </c>
      <c r="Q54" s="3">
        <f>STANDARDIZE(O54,I$15,J$15)</f>
        <v>1.4514556908984764</v>
      </c>
    </row>
    <row r="55" spans="3:17" x14ac:dyDescent="0.3">
      <c r="L55" s="4">
        <v>2010.74999999999</v>
      </c>
      <c r="M55">
        <v>2010</v>
      </c>
      <c r="N55">
        <v>10</v>
      </c>
      <c r="O55">
        <v>33804</v>
      </c>
      <c r="P55" s="3">
        <f t="shared" si="6"/>
        <v>2.8293617186397699</v>
      </c>
      <c r="Q55" s="3">
        <f>STANDARDIZE(O55,I$14,J$14)</f>
        <v>2.1879872082235163</v>
      </c>
    </row>
    <row r="56" spans="3:17" x14ac:dyDescent="0.3">
      <c r="L56" s="4">
        <v>2010.6666666666599</v>
      </c>
      <c r="M56">
        <v>2010</v>
      </c>
      <c r="N56">
        <v>9</v>
      </c>
      <c r="O56">
        <v>29191</v>
      </c>
      <c r="P56" s="3">
        <f t="shared" si="6"/>
        <v>2.2299142067146209</v>
      </c>
      <c r="Q56" s="3">
        <f>STANDARDIZE(O56,I$13,J$13)</f>
        <v>2.3589046651703756</v>
      </c>
    </row>
    <row r="57" spans="3:17" x14ac:dyDescent="0.3">
      <c r="L57" s="4">
        <v>2010.5833333333301</v>
      </c>
      <c r="M57">
        <v>2010</v>
      </c>
      <c r="N57">
        <v>8</v>
      </c>
      <c r="O57">
        <v>29793</v>
      </c>
      <c r="P57" s="3">
        <f t="shared" si="6"/>
        <v>2.3081425618368709</v>
      </c>
      <c r="Q57" s="3">
        <f>STANDARDIZE(O57,I$12,J$12)</f>
        <v>2.5850260248004568</v>
      </c>
    </row>
    <row r="58" spans="3:17" x14ac:dyDescent="0.3">
      <c r="L58" s="4">
        <v>2010.49999999999</v>
      </c>
      <c r="M58">
        <v>2010</v>
      </c>
      <c r="N58">
        <v>7</v>
      </c>
      <c r="O58">
        <v>22569</v>
      </c>
      <c r="P58" s="3">
        <f t="shared" si="6"/>
        <v>1.3694023003698701</v>
      </c>
      <c r="Q58" s="3">
        <f>STANDARDIZE(O58,I$11,J$11)</f>
        <v>1.3112840104660028</v>
      </c>
    </row>
    <row r="59" spans="3:17" x14ac:dyDescent="0.3">
      <c r="L59" s="4">
        <v>2010.4166666666599</v>
      </c>
      <c r="M59">
        <v>2010</v>
      </c>
      <c r="N59">
        <v>6</v>
      </c>
      <c r="O59">
        <v>15899</v>
      </c>
      <c r="P59" s="3">
        <f t="shared" si="6"/>
        <v>0.50265291720474026</v>
      </c>
      <c r="Q59" s="3">
        <f>STANDARDIZE(O59,I$10,J$10)</f>
        <v>0.3746917566596073</v>
      </c>
    </row>
    <row r="60" spans="3:17" x14ac:dyDescent="0.3">
      <c r="L60" s="4">
        <v>2010.3333333333201</v>
      </c>
      <c r="M60">
        <v>2010</v>
      </c>
      <c r="N60">
        <v>5</v>
      </c>
      <c r="O60">
        <v>10630</v>
      </c>
      <c r="P60" s="3">
        <f t="shared" si="6"/>
        <v>-0.18204011126558486</v>
      </c>
      <c r="Q60" s="3">
        <f>STANDARDIZE(O60,I$9,J$9)</f>
        <v>-2.6946611785108959E-2</v>
      </c>
    </row>
    <row r="61" spans="3:17" x14ac:dyDescent="0.3">
      <c r="L61" s="4">
        <v>2010.24999999999</v>
      </c>
      <c r="M61">
        <v>2010</v>
      </c>
      <c r="N61">
        <v>4</v>
      </c>
      <c r="O61">
        <v>5225</v>
      </c>
      <c r="P61" s="3">
        <f t="shared" ref="P61:P92" si="8">STANDARDIZE(O61,O$2,O$3)</f>
        <v>-0.88440599072698312</v>
      </c>
      <c r="Q61" s="3">
        <f>STANDARDIZE(O61,I$8,J$8)</f>
        <v>-0.30481285100364297</v>
      </c>
    </row>
    <row r="62" spans="3:17" x14ac:dyDescent="0.3">
      <c r="L62" s="4">
        <v>2010.1666666666599</v>
      </c>
      <c r="M62">
        <v>2010</v>
      </c>
      <c r="N62">
        <v>3</v>
      </c>
      <c r="O62">
        <v>3231</v>
      </c>
      <c r="P62" s="3">
        <f t="shared" si="8"/>
        <v>-1.1435211736402169</v>
      </c>
      <c r="Q62" s="3">
        <f>STANDARDIZE(O62,I$7,J$7)</f>
        <v>-0.59408251824938663</v>
      </c>
    </row>
    <row r="63" spans="3:17" x14ac:dyDescent="0.3">
      <c r="L63" s="4">
        <v>2010.0833333333201</v>
      </c>
      <c r="M63">
        <v>2010</v>
      </c>
      <c r="N63">
        <v>2</v>
      </c>
      <c r="O63">
        <v>2047</v>
      </c>
      <c r="P63" s="3">
        <f t="shared" si="8"/>
        <v>-1.2973789352095593</v>
      </c>
      <c r="Q63" s="3">
        <f>STANDARDIZE(O63,I$6,J$6)</f>
        <v>-1.0049779751314489</v>
      </c>
    </row>
    <row r="64" spans="3:17" x14ac:dyDescent="0.3">
      <c r="L64" s="4">
        <v>2010</v>
      </c>
      <c r="M64">
        <v>2010</v>
      </c>
      <c r="N64">
        <v>1</v>
      </c>
      <c r="O64">
        <v>3620</v>
      </c>
      <c r="P64" s="3">
        <f t="shared" si="8"/>
        <v>-1.0929716219083974</v>
      </c>
      <c r="Q64" s="3">
        <f>STANDARDIZE(O64,I$5,J$5)</f>
        <v>-1.1162611379778056</v>
      </c>
    </row>
    <row r="65" spans="12:17" x14ac:dyDescent="0.3">
      <c r="L65" s="4">
        <v>2009.9166666666599</v>
      </c>
      <c r="M65">
        <v>2009</v>
      </c>
      <c r="N65">
        <v>12</v>
      </c>
      <c r="O65">
        <v>7124</v>
      </c>
      <c r="P65" s="3">
        <f t="shared" si="8"/>
        <v>-0.63763581402074898</v>
      </c>
      <c r="Q65" s="3">
        <f>STANDARDIZE(O65,I$16,J$16)</f>
        <v>-1.2823695446217689</v>
      </c>
    </row>
    <row r="66" spans="12:17" x14ac:dyDescent="0.3">
      <c r="L66" s="4">
        <v>2009.8333333333201</v>
      </c>
      <c r="M66">
        <v>2009</v>
      </c>
      <c r="N66">
        <v>11</v>
      </c>
      <c r="O66">
        <v>10275</v>
      </c>
      <c r="P66" s="3">
        <f t="shared" si="8"/>
        <v>-0.228171450249636</v>
      </c>
      <c r="Q66" s="3">
        <f>STANDARDIZE(O66,I$15,J$15)</f>
        <v>-0.97580646981977104</v>
      </c>
    </row>
    <row r="67" spans="12:17" x14ac:dyDescent="0.3">
      <c r="L67" s="4">
        <v>2009.74999999999</v>
      </c>
      <c r="M67">
        <v>2009</v>
      </c>
      <c r="N67">
        <v>10</v>
      </c>
      <c r="O67">
        <v>6802</v>
      </c>
      <c r="P67" s="3">
        <f t="shared" si="8"/>
        <v>-0.67947888769078979</v>
      </c>
      <c r="Q67" s="3">
        <f>STANDARDIZE(O67,I$14,J$14)</f>
        <v>-1.123551459213985</v>
      </c>
    </row>
    <row r="68" spans="12:17" x14ac:dyDescent="0.3">
      <c r="L68" s="4">
        <v>2009.6666666666599</v>
      </c>
      <c r="M68">
        <v>2009</v>
      </c>
      <c r="N68">
        <v>9</v>
      </c>
      <c r="O68">
        <v>8097</v>
      </c>
      <c r="P68" s="3">
        <f t="shared" si="8"/>
        <v>-0.51119696097432155</v>
      </c>
      <c r="Q68" s="3">
        <f>STANDARDIZE(O68,I$13,J$13)</f>
        <v>-0.59368723342108121</v>
      </c>
    </row>
    <row r="69" spans="12:17" x14ac:dyDescent="0.3">
      <c r="L69" s="4">
        <v>2009.5833333333201</v>
      </c>
      <c r="M69">
        <v>2009</v>
      </c>
      <c r="N69">
        <v>8</v>
      </c>
      <c r="O69">
        <v>8274</v>
      </c>
      <c r="P69" s="3">
        <f t="shared" si="8"/>
        <v>-0.48819626519917492</v>
      </c>
      <c r="Q69" s="3">
        <f>STANDARDIZE(O69,I$12,J$12)</f>
        <v>-0.55817668982122592</v>
      </c>
    </row>
    <row r="70" spans="12:17" x14ac:dyDescent="0.3">
      <c r="L70" s="4">
        <v>2009.49999999999</v>
      </c>
      <c r="M70">
        <v>2009</v>
      </c>
      <c r="N70">
        <v>7</v>
      </c>
      <c r="O70">
        <v>11240</v>
      </c>
      <c r="P70" s="3">
        <f t="shared" si="8"/>
        <v>-0.10277217667327167</v>
      </c>
      <c r="Q70" s="3">
        <f>STANDARDIZE(O70,I$11,J$11)</f>
        <v>-0.35072515845530744</v>
      </c>
    </row>
    <row r="71" spans="12:17" x14ac:dyDescent="0.3">
      <c r="L71" s="4">
        <v>2009.4166666666599</v>
      </c>
      <c r="M71">
        <v>2009</v>
      </c>
      <c r="N71">
        <v>6</v>
      </c>
      <c r="O71">
        <v>11709</v>
      </c>
      <c r="P71" s="3">
        <f t="shared" si="8"/>
        <v>-4.1826830240821011E-2</v>
      </c>
      <c r="Q71" s="3">
        <f>STANDARDIZE(O71,I$10,J$10)</f>
        <v>-0.32713817266548001</v>
      </c>
    </row>
    <row r="72" spans="12:17" x14ac:dyDescent="0.3">
      <c r="L72" s="4">
        <v>2009.3333333333201</v>
      </c>
      <c r="M72">
        <v>2009</v>
      </c>
      <c r="N72">
        <v>5</v>
      </c>
      <c r="O72">
        <v>12244</v>
      </c>
      <c r="P72" s="3">
        <f t="shared" si="8"/>
        <v>2.7695046819650418E-2</v>
      </c>
      <c r="Q72" s="3">
        <f>STANDARDIZE(O72,I$9,J$9)</f>
        <v>0.32017526640601507</v>
      </c>
    </row>
    <row r="73" spans="12:17" x14ac:dyDescent="0.3">
      <c r="L73" s="4">
        <v>2009.24999999999</v>
      </c>
      <c r="M73">
        <v>2009</v>
      </c>
      <c r="N73">
        <v>4</v>
      </c>
      <c r="O73">
        <v>9875</v>
      </c>
      <c r="P73" s="3">
        <f t="shared" si="8"/>
        <v>-0.2801504237527922</v>
      </c>
      <c r="Q73" s="3">
        <f>STANDARDIZE(O73,I$8,J$8)</f>
        <v>1.3548350154491497</v>
      </c>
    </row>
    <row r="74" spans="12:17" x14ac:dyDescent="0.3">
      <c r="L74" s="4">
        <v>2009.1666666666599</v>
      </c>
      <c r="M74">
        <v>2009</v>
      </c>
      <c r="N74">
        <v>3</v>
      </c>
      <c r="O74">
        <v>7483</v>
      </c>
      <c r="P74" s="3">
        <f t="shared" si="8"/>
        <v>-0.59098468530166637</v>
      </c>
      <c r="Q74" s="3">
        <f>STANDARDIZE(O74,I$7,J$7)</f>
        <v>1.1388602829595695</v>
      </c>
    </row>
    <row r="75" spans="12:17" x14ac:dyDescent="0.3">
      <c r="L75" s="4">
        <v>2009.0833333333201</v>
      </c>
      <c r="M75">
        <v>2009</v>
      </c>
      <c r="N75">
        <v>2</v>
      </c>
      <c r="O75">
        <v>8904</v>
      </c>
      <c r="P75" s="3">
        <f t="shared" si="8"/>
        <v>-0.40632938193170393</v>
      </c>
      <c r="Q75" s="3">
        <f>STANDARDIZE(O75,I$6,J$6)</f>
        <v>1.4967618863346035</v>
      </c>
    </row>
    <row r="76" spans="12:17" x14ac:dyDescent="0.3">
      <c r="L76" s="4">
        <v>2009</v>
      </c>
      <c r="M76">
        <v>2009</v>
      </c>
      <c r="N76">
        <v>1</v>
      </c>
      <c r="O76">
        <v>18391</v>
      </c>
      <c r="P76" s="3">
        <f t="shared" si="8"/>
        <v>0.82648192212940341</v>
      </c>
      <c r="Q76" s="3">
        <f>STANDARDIZE(O76,I$5,J$5)</f>
        <v>1.0594444940101602</v>
      </c>
    </row>
    <row r="77" spans="12:17" x14ac:dyDescent="0.3">
      <c r="L77" s="4">
        <v>2008.9166666666599</v>
      </c>
      <c r="M77">
        <v>2008</v>
      </c>
      <c r="N77">
        <v>12</v>
      </c>
      <c r="O77">
        <v>30406</v>
      </c>
      <c r="P77" s="3">
        <f t="shared" si="8"/>
        <v>2.3878003387304578</v>
      </c>
      <c r="Q77" s="3">
        <f>STANDARDIZE(O77,I$16,J$16)</f>
        <v>0.98998084594698399</v>
      </c>
    </row>
    <row r="78" spans="12:17" x14ac:dyDescent="0.3">
      <c r="L78" s="4">
        <v>2008.8333333333201</v>
      </c>
      <c r="M78">
        <v>2008</v>
      </c>
      <c r="N78">
        <v>11</v>
      </c>
      <c r="O78">
        <v>26105</v>
      </c>
      <c r="P78" s="3">
        <f t="shared" si="8"/>
        <v>1.8288964261377709</v>
      </c>
      <c r="Q78" s="3">
        <f>STANDARDIZE(O78,I$15,J$15)</f>
        <v>0.72578159112393636</v>
      </c>
    </row>
    <row r="79" spans="12:17" x14ac:dyDescent="0.3">
      <c r="L79" s="4">
        <v>2008.74999999999</v>
      </c>
      <c r="M79">
        <v>2008</v>
      </c>
      <c r="N79">
        <v>10</v>
      </c>
      <c r="O79">
        <v>23173</v>
      </c>
      <c r="P79" s="3">
        <f t="shared" si="8"/>
        <v>1.4478905503596358</v>
      </c>
      <c r="Q79" s="3">
        <f>STANDARDIZE(O79,I$14,J$14)</f>
        <v>0.88419609743438665</v>
      </c>
    </row>
    <row r="80" spans="12:17" x14ac:dyDescent="0.3">
      <c r="L80" s="4">
        <v>2008.6666666666599</v>
      </c>
      <c r="M80">
        <v>2008</v>
      </c>
      <c r="N80">
        <v>9</v>
      </c>
      <c r="O80">
        <v>22667</v>
      </c>
      <c r="P80" s="3">
        <f t="shared" si="8"/>
        <v>1.3821371488781433</v>
      </c>
      <c r="Q80" s="3">
        <f>STANDARDIZE(O80,I$13,J$13)</f>
        <v>1.4457203688581228</v>
      </c>
    </row>
    <row r="81" spans="12:17" x14ac:dyDescent="0.3">
      <c r="L81" s="4">
        <v>2008.5833333333201</v>
      </c>
      <c r="M81">
        <v>2008</v>
      </c>
      <c r="N81">
        <v>8</v>
      </c>
      <c r="O81">
        <v>22880</v>
      </c>
      <c r="P81" s="3">
        <f t="shared" si="8"/>
        <v>1.409815952268574</v>
      </c>
      <c r="Q81" s="3">
        <f>STANDARDIZE(O81,I$12,J$12)</f>
        <v>1.5752690488173864</v>
      </c>
    </row>
    <row r="82" spans="12:17" x14ac:dyDescent="0.3">
      <c r="L82" s="4">
        <v>2008.49999999999</v>
      </c>
      <c r="M82">
        <v>2008</v>
      </c>
      <c r="N82">
        <v>7</v>
      </c>
      <c r="O82">
        <v>21718</v>
      </c>
      <c r="P82" s="3">
        <f t="shared" si="8"/>
        <v>1.2588170342419052</v>
      </c>
      <c r="Q82" s="3">
        <f>STANDARDIZE(O82,I$11,J$11)</f>
        <v>1.1864389400491933</v>
      </c>
    </row>
    <row r="83" spans="12:17" x14ac:dyDescent="0.3">
      <c r="L83" s="4">
        <v>2008.4166666666499</v>
      </c>
      <c r="M83">
        <v>2008</v>
      </c>
      <c r="N83">
        <v>6</v>
      </c>
      <c r="O83">
        <v>16964</v>
      </c>
      <c r="P83" s="3">
        <f t="shared" si="8"/>
        <v>0.64104693415689362</v>
      </c>
      <c r="Q83" s="3">
        <f>STANDARDIZE(O83,I$10,J$10)</f>
        <v>0.55308050957875232</v>
      </c>
    </row>
    <row r="84" spans="12:17" x14ac:dyDescent="0.3">
      <c r="L84" s="4">
        <v>2008.3333333333201</v>
      </c>
      <c r="M84">
        <v>2008</v>
      </c>
      <c r="N84">
        <v>5</v>
      </c>
      <c r="O84">
        <v>11940</v>
      </c>
      <c r="P84" s="3">
        <f t="shared" si="8"/>
        <v>-1.18089730427483E-2</v>
      </c>
      <c r="Q84" s="3">
        <f>STANDARDIZE(O84,I$9,J$9)</f>
        <v>0.25479419393383312</v>
      </c>
    </row>
    <row r="85" spans="12:17" x14ac:dyDescent="0.3">
      <c r="L85" s="4">
        <v>2008.24999999999</v>
      </c>
      <c r="M85">
        <v>2008</v>
      </c>
      <c r="N85">
        <v>4</v>
      </c>
      <c r="O85">
        <v>7302</v>
      </c>
      <c r="P85" s="3">
        <f t="shared" si="8"/>
        <v>-0.61450517081184453</v>
      </c>
      <c r="Q85" s="3">
        <f>STANDARDIZE(O85,I$8,J$8)</f>
        <v>0.43649652934527111</v>
      </c>
    </row>
    <row r="86" spans="12:17" x14ac:dyDescent="0.3">
      <c r="L86" s="4">
        <v>2008.1666666666499</v>
      </c>
      <c r="M86">
        <v>2008</v>
      </c>
      <c r="N86">
        <v>3</v>
      </c>
      <c r="O86">
        <v>7041</v>
      </c>
      <c r="P86" s="3">
        <f t="shared" si="8"/>
        <v>-0.64842145102265392</v>
      </c>
      <c r="Q86" s="3">
        <f>STANDARDIZE(O86,I$7,J$7)</f>
        <v>0.95871900400040699</v>
      </c>
    </row>
    <row r="87" spans="12:17" x14ac:dyDescent="0.3">
      <c r="L87" s="4">
        <v>2008.0833333333201</v>
      </c>
      <c r="M87">
        <v>2008</v>
      </c>
      <c r="N87">
        <v>2</v>
      </c>
      <c r="O87">
        <v>6649</v>
      </c>
      <c r="P87" s="3">
        <f t="shared" si="8"/>
        <v>-0.69936084505574703</v>
      </c>
      <c r="Q87" s="3">
        <f>STANDARDIZE(O87,I$6,J$6)</f>
        <v>0.67403716887712239</v>
      </c>
    </row>
    <row r="88" spans="12:17" x14ac:dyDescent="0.3">
      <c r="L88" s="4">
        <v>2008</v>
      </c>
      <c r="M88">
        <v>2008</v>
      </c>
      <c r="N88">
        <v>1</v>
      </c>
      <c r="O88">
        <v>14942</v>
      </c>
      <c r="P88" s="3">
        <f t="shared" si="8"/>
        <v>0.37829322309843905</v>
      </c>
      <c r="Q88" s="3">
        <f>STANDARDIZE(O88,I$5,J$5)</f>
        <v>0.55142142687005491</v>
      </c>
    </row>
    <row r="89" spans="12:17" x14ac:dyDescent="0.3">
      <c r="L89" s="4">
        <v>2007.9166666666499</v>
      </c>
      <c r="M89">
        <v>2007</v>
      </c>
      <c r="N89">
        <v>12</v>
      </c>
      <c r="O89">
        <v>24612</v>
      </c>
      <c r="P89" s="3">
        <f t="shared" si="8"/>
        <v>1.6348849075372403</v>
      </c>
      <c r="Q89" s="3">
        <f>STANDARDIZE(O89,I$16,J$16)</f>
        <v>0.42447967925360053</v>
      </c>
    </row>
    <row r="90" spans="12:17" x14ac:dyDescent="0.3">
      <c r="L90" s="4">
        <v>2007.8333333333201</v>
      </c>
      <c r="M90">
        <v>2007</v>
      </c>
      <c r="N90">
        <v>11</v>
      </c>
      <c r="O90">
        <v>25594</v>
      </c>
      <c r="P90" s="3">
        <f t="shared" si="8"/>
        <v>1.7624932874874888</v>
      </c>
      <c r="Q90" s="3">
        <f>STANDARDIZE(O90,I$15,J$15)</f>
        <v>0.67085351158241802</v>
      </c>
    </row>
    <row r="91" spans="12:17" x14ac:dyDescent="0.3">
      <c r="L91" s="4">
        <v>2007.74999999999</v>
      </c>
      <c r="M91">
        <v>2007</v>
      </c>
      <c r="N91">
        <v>10</v>
      </c>
      <c r="O91">
        <v>18750</v>
      </c>
      <c r="P91" s="3">
        <f t="shared" si="8"/>
        <v>0.87313305084848614</v>
      </c>
      <c r="Q91" s="3">
        <f>STANDARDIZE(O91,I$14,J$14)</f>
        <v>0.3417571845362285</v>
      </c>
    </row>
    <row r="92" spans="12:17" x14ac:dyDescent="0.3">
      <c r="L92" s="4">
        <v>2007.6666666666499</v>
      </c>
      <c r="M92">
        <v>2007</v>
      </c>
      <c r="N92">
        <v>9</v>
      </c>
      <c r="O92">
        <v>18077</v>
      </c>
      <c r="P92" s="3">
        <f t="shared" si="8"/>
        <v>0.78567842792942577</v>
      </c>
      <c r="Q92" s="3">
        <f>STANDARDIZE(O92,I$13,J$13)</f>
        <v>0.80324398625952664</v>
      </c>
    </row>
    <row r="93" spans="12:17" x14ac:dyDescent="0.3">
      <c r="L93" s="4">
        <v>2007.5833333333201</v>
      </c>
      <c r="M93">
        <v>2007</v>
      </c>
      <c r="N93">
        <v>8</v>
      </c>
      <c r="O93">
        <v>15776</v>
      </c>
      <c r="P93" s="3">
        <f t="shared" ref="P93:P112" si="9">STANDARDIZE(O93,O$2,O$3)</f>
        <v>0.48666938285251971</v>
      </c>
      <c r="Q93" s="3">
        <f>STANDARDIZE(O93,I$12,J$12)</f>
        <v>0.53761339173887746</v>
      </c>
    </row>
    <row r="94" spans="12:17" x14ac:dyDescent="0.3">
      <c r="L94" s="4">
        <v>2007.49999999999</v>
      </c>
      <c r="M94">
        <v>2007</v>
      </c>
      <c r="N94">
        <v>7</v>
      </c>
      <c r="O94">
        <v>20584</v>
      </c>
      <c r="P94" s="3">
        <f t="shared" si="9"/>
        <v>1.1114566443604572</v>
      </c>
      <c r="Q94" s="3">
        <f>STANDARDIZE(O94,I$11,J$11)</f>
        <v>1.0200766488004718</v>
      </c>
    </row>
    <row r="95" spans="12:17" x14ac:dyDescent="0.3">
      <c r="L95" s="4">
        <v>2007.4166666666499</v>
      </c>
      <c r="M95">
        <v>2007</v>
      </c>
      <c r="N95">
        <v>6</v>
      </c>
      <c r="O95">
        <v>20340</v>
      </c>
      <c r="P95" s="3">
        <f t="shared" si="9"/>
        <v>1.079749470523532</v>
      </c>
      <c r="Q95" s="3">
        <f>STANDARDIZE(O95,I$10,J$10)</f>
        <v>1.1185644812736197</v>
      </c>
    </row>
    <row r="96" spans="12:17" x14ac:dyDescent="0.3">
      <c r="L96" s="4">
        <v>2007.3333333333201</v>
      </c>
      <c r="M96">
        <v>2007</v>
      </c>
      <c r="N96">
        <v>5</v>
      </c>
      <c r="O96">
        <v>13691</v>
      </c>
      <c r="P96" s="3">
        <f t="shared" si="9"/>
        <v>0.215728983467318</v>
      </c>
      <c r="Q96" s="3">
        <f>STANDARDIZE(O96,I$9,J$9)</f>
        <v>0.63138056860090752</v>
      </c>
    </row>
    <row r="97" spans="12:17" x14ac:dyDescent="0.3">
      <c r="L97" s="4">
        <v>2007.24999999999</v>
      </c>
      <c r="M97">
        <v>2007</v>
      </c>
      <c r="N97">
        <v>4</v>
      </c>
      <c r="O97">
        <v>7312</v>
      </c>
      <c r="P97" s="3">
        <f t="shared" si="9"/>
        <v>-0.61320569647426559</v>
      </c>
      <c r="Q97" s="3">
        <f>STANDARDIZE(O97,I$8,J$8)</f>
        <v>0.44006566454194374</v>
      </c>
    </row>
    <row r="98" spans="12:17" x14ac:dyDescent="0.3">
      <c r="L98" s="4">
        <v>2007.1666666666499</v>
      </c>
      <c r="M98">
        <v>2007</v>
      </c>
      <c r="N98">
        <v>3</v>
      </c>
      <c r="O98">
        <v>2809</v>
      </c>
      <c r="P98" s="3">
        <f t="shared" si="9"/>
        <v>-1.1983589906860466</v>
      </c>
      <c r="Q98" s="3">
        <f>STANDARDIZE(O98,I$7,J$7)</f>
        <v>-0.76607260811537425</v>
      </c>
    </row>
    <row r="99" spans="12:17" x14ac:dyDescent="0.3">
      <c r="L99" s="4">
        <v>2007.0833333333201</v>
      </c>
      <c r="M99">
        <v>2007</v>
      </c>
      <c r="N99">
        <v>2</v>
      </c>
      <c r="O99">
        <v>3732</v>
      </c>
      <c r="P99" s="3">
        <f t="shared" si="9"/>
        <v>-1.0784175093275137</v>
      </c>
      <c r="Q99" s="3">
        <f>STANDARDIZE(O99,I$6,J$6)</f>
        <v>-0.39021471618871906</v>
      </c>
    </row>
    <row r="100" spans="12:17" x14ac:dyDescent="0.3">
      <c r="L100" s="4">
        <v>2007</v>
      </c>
      <c r="M100">
        <v>2007</v>
      </c>
      <c r="N100">
        <v>1</v>
      </c>
      <c r="O100">
        <v>12575</v>
      </c>
      <c r="P100" s="3">
        <f t="shared" si="9"/>
        <v>7.070764739351218E-2</v>
      </c>
      <c r="Q100" s="3">
        <f>STANDARDIZE(O100,I$5,J$5)</f>
        <v>0.20277236919518421</v>
      </c>
    </row>
    <row r="101" spans="12:17" x14ac:dyDescent="0.3">
      <c r="L101" s="4">
        <v>2006.9166666666499</v>
      </c>
      <c r="M101">
        <v>2006</v>
      </c>
      <c r="N101">
        <v>12</v>
      </c>
      <c r="O101">
        <v>19098</v>
      </c>
      <c r="P101" s="3">
        <f t="shared" si="9"/>
        <v>0.91835475779623199</v>
      </c>
      <c r="Q101" s="3">
        <f>STANDARDIZE(O101,I$16,J$16)</f>
        <v>-0.1136931604335442</v>
      </c>
    </row>
    <row r="102" spans="12:17" x14ac:dyDescent="0.3">
      <c r="L102" s="4">
        <v>2006.8333333333201</v>
      </c>
      <c r="M102">
        <v>2006</v>
      </c>
      <c r="N102">
        <v>11</v>
      </c>
      <c r="O102">
        <v>14827</v>
      </c>
      <c r="P102" s="3">
        <f t="shared" si="9"/>
        <v>0.36334926821628161</v>
      </c>
      <c r="Q102" s="3">
        <f>STANDARDIZE(O102,I$15,J$15)</f>
        <v>-0.48650584736773339</v>
      </c>
    </row>
    <row r="103" spans="12:17" x14ac:dyDescent="0.3">
      <c r="L103" s="4">
        <v>2006.74999999998</v>
      </c>
      <c r="M103">
        <v>2006</v>
      </c>
      <c r="N103">
        <v>10</v>
      </c>
      <c r="O103">
        <v>10805</v>
      </c>
      <c r="P103" s="3">
        <f t="shared" si="9"/>
        <v>-0.15929931035795403</v>
      </c>
      <c r="Q103" s="3">
        <f>STANDARDIZE(O103,I$14,J$14)</f>
        <v>-0.63262155454942992</v>
      </c>
    </row>
    <row r="104" spans="12:17" x14ac:dyDescent="0.3">
      <c r="L104" s="4">
        <v>2006.6666666666499</v>
      </c>
      <c r="M104">
        <v>2006</v>
      </c>
      <c r="N104">
        <v>9</v>
      </c>
      <c r="O104">
        <v>10109</v>
      </c>
      <c r="P104" s="3">
        <f t="shared" si="9"/>
        <v>-0.24974272425344585</v>
      </c>
      <c r="Q104" s="3">
        <f>STANDARDIZE(O104,I$13,J$13)</f>
        <v>-0.31206142039529128</v>
      </c>
    </row>
    <row r="105" spans="12:17" x14ac:dyDescent="0.3">
      <c r="L105" s="4">
        <v>2006.5833333333201</v>
      </c>
      <c r="M105">
        <v>2006</v>
      </c>
      <c r="N105">
        <v>8</v>
      </c>
      <c r="O105">
        <v>10301</v>
      </c>
      <c r="P105" s="3">
        <f t="shared" si="9"/>
        <v>-0.22479281697193085</v>
      </c>
      <c r="Q105" s="3">
        <f>STANDARDIZE(O105,I$12,J$12)</f>
        <v>-0.26210011086597002</v>
      </c>
    </row>
    <row r="106" spans="12:17" x14ac:dyDescent="0.3">
      <c r="L106" s="4">
        <v>2006.49999999998</v>
      </c>
      <c r="M106">
        <v>2006</v>
      </c>
      <c r="N106">
        <v>7</v>
      </c>
      <c r="O106">
        <v>18071</v>
      </c>
      <c r="P106" s="3">
        <f t="shared" si="9"/>
        <v>0.78489874332687848</v>
      </c>
      <c r="Q106" s="3">
        <f>STANDARDIZE(O106,I$11,J$11)</f>
        <v>0.65140959597151493</v>
      </c>
    </row>
    <row r="107" spans="12:17" x14ac:dyDescent="0.3">
      <c r="L107" s="4">
        <v>2006.4166666666499</v>
      </c>
      <c r="M107">
        <v>2006</v>
      </c>
      <c r="N107">
        <v>6</v>
      </c>
      <c r="O107">
        <v>19737</v>
      </c>
      <c r="P107" s="3">
        <f t="shared" si="9"/>
        <v>1.001391167967524</v>
      </c>
      <c r="Q107" s="3">
        <f>STANDARDIZE(O107,I$10,J$10)</f>
        <v>1.0175612718743292</v>
      </c>
    </row>
    <row r="108" spans="12:17" x14ac:dyDescent="0.3">
      <c r="L108" s="4">
        <v>2006.3333333333201</v>
      </c>
      <c r="M108">
        <v>2006</v>
      </c>
      <c r="N108">
        <v>5</v>
      </c>
      <c r="O108">
        <v>14451</v>
      </c>
      <c r="P108" s="3">
        <f t="shared" si="9"/>
        <v>0.31448903312331478</v>
      </c>
      <c r="Q108" s="3">
        <f>STANDARDIZE(O108,I$9,J$9)</f>
        <v>0.79483324978136249</v>
      </c>
    </row>
    <row r="109" spans="12:17" x14ac:dyDescent="0.3">
      <c r="L109" s="4">
        <v>2006.24999999998</v>
      </c>
      <c r="M109">
        <v>2006</v>
      </c>
      <c r="N109">
        <v>4</v>
      </c>
      <c r="O109">
        <v>8536</v>
      </c>
      <c r="P109" s="3">
        <f t="shared" si="9"/>
        <v>-0.45415003755460764</v>
      </c>
      <c r="Q109" s="3">
        <f>STANDARDIZE(O109,I$8,J$8)</f>
        <v>0.87692781261467889</v>
      </c>
    </row>
    <row r="110" spans="12:17" x14ac:dyDescent="0.3">
      <c r="L110" s="4">
        <v>2006.1666666666499</v>
      </c>
      <c r="M110">
        <v>2006</v>
      </c>
      <c r="N110">
        <v>3</v>
      </c>
      <c r="O110">
        <v>5064</v>
      </c>
      <c r="P110" s="3">
        <f t="shared" si="9"/>
        <v>-0.90532752756200352</v>
      </c>
      <c r="Q110" s="3">
        <f>STANDARDIZE(O110,I$7,J$7)</f>
        <v>0.15297396214008102</v>
      </c>
    </row>
    <row r="111" spans="12:17" x14ac:dyDescent="0.3">
      <c r="L111" s="4">
        <v>2006.0833333333201</v>
      </c>
      <c r="M111">
        <v>2006</v>
      </c>
      <c r="N111">
        <v>2</v>
      </c>
      <c r="O111">
        <v>6610</v>
      </c>
      <c r="P111" s="3">
        <f t="shared" si="9"/>
        <v>-0.70442879497230471</v>
      </c>
      <c r="Q111" s="3">
        <f>STANDARDIZE(O111,I$6,J$6)</f>
        <v>0.65980822697874464</v>
      </c>
    </row>
    <row r="112" spans="12:17" x14ac:dyDescent="0.3">
      <c r="L112" s="4">
        <v>2006</v>
      </c>
      <c r="M112">
        <v>2006</v>
      </c>
      <c r="N112">
        <v>1</v>
      </c>
      <c r="O112">
        <v>15637</v>
      </c>
      <c r="P112" s="3">
        <f t="shared" si="9"/>
        <v>0.46860668956017293</v>
      </c>
      <c r="Q112" s="3">
        <f>STANDARDIZE(O112,I$5,J$5)</f>
        <v>0.65379197823635615</v>
      </c>
    </row>
    <row r="113" spans="12:17" x14ac:dyDescent="0.3">
      <c r="L113" s="4">
        <v>2005.9166666666499</v>
      </c>
      <c r="M113">
        <v>2005</v>
      </c>
      <c r="N113">
        <v>12</v>
      </c>
      <c r="P113" s="3"/>
      <c r="Q113" s="3"/>
    </row>
    <row r="114" spans="12:17" x14ac:dyDescent="0.3">
      <c r="L114" s="4">
        <v>2005.8333333333201</v>
      </c>
      <c r="M114">
        <v>2005</v>
      </c>
      <c r="N114">
        <v>11</v>
      </c>
      <c r="P114" s="3"/>
      <c r="Q114" s="3"/>
    </row>
    <row r="115" spans="12:17" x14ac:dyDescent="0.3">
      <c r="L115" s="4">
        <v>2005.74999999998</v>
      </c>
      <c r="M115">
        <v>2005</v>
      </c>
      <c r="N115">
        <v>10</v>
      </c>
      <c r="O115">
        <v>11363</v>
      </c>
      <c r="P115" s="3">
        <f>STANDARDIZE(O115,O$2,O$3)</f>
        <v>-8.6788642321051129E-2</v>
      </c>
      <c r="Q115" s="3">
        <f>STANDARDIZE(O115,I$14,J$14)</f>
        <v>-0.56418815789621446</v>
      </c>
    </row>
    <row r="116" spans="12:17" x14ac:dyDescent="0.3">
      <c r="L116" s="4">
        <v>2005.6666666666499</v>
      </c>
      <c r="M116">
        <v>2005</v>
      </c>
      <c r="N116">
        <v>9</v>
      </c>
      <c r="O116">
        <v>8571</v>
      </c>
      <c r="P116" s="3">
        <f>STANDARDIZE(O116,O$2,O$3)</f>
        <v>-0.44960187737308144</v>
      </c>
      <c r="Q116" s="3">
        <f>STANDARDIZE(O116,I$13,J$13)</f>
        <v>-0.52733999913965746</v>
      </c>
    </row>
    <row r="117" spans="12:17" x14ac:dyDescent="0.3">
      <c r="L117" s="4">
        <v>2005.5833333333201</v>
      </c>
      <c r="M117">
        <v>2005</v>
      </c>
      <c r="N117">
        <v>8</v>
      </c>
      <c r="O117">
        <v>9587</v>
      </c>
      <c r="P117" s="3">
        <f>STANDARDIZE(O117,O$2,O$3)</f>
        <v>-0.31757528467506468</v>
      </c>
      <c r="Q117" s="3">
        <f>STANDARDIZE(O117,I$12,J$12)</f>
        <v>-0.36639151558923233</v>
      </c>
    </row>
    <row r="118" spans="12:17" x14ac:dyDescent="0.3">
      <c r="L118" s="4">
        <v>2005.49999999998</v>
      </c>
      <c r="M118">
        <v>2005</v>
      </c>
      <c r="N118">
        <v>7</v>
      </c>
      <c r="P118" s="3"/>
      <c r="Q118" s="3"/>
    </row>
    <row r="119" spans="12:17" x14ac:dyDescent="0.3">
      <c r="L119" s="4">
        <v>2005.4166666666499</v>
      </c>
      <c r="M119">
        <v>2005</v>
      </c>
      <c r="N119">
        <v>6</v>
      </c>
      <c r="P119" s="3"/>
      <c r="Q119" s="3"/>
    </row>
    <row r="120" spans="12:17" x14ac:dyDescent="0.3">
      <c r="L120" s="4">
        <v>2005.3333333333201</v>
      </c>
      <c r="M120">
        <v>2005</v>
      </c>
      <c r="N120">
        <v>5</v>
      </c>
      <c r="O120">
        <v>9492</v>
      </c>
      <c r="P120" s="3">
        <f t="shared" ref="P120:P151" si="10">STANDARDIZE(O120,O$2,O$3)</f>
        <v>-0.32992029088206426</v>
      </c>
      <c r="Q120" s="3">
        <f>STANDARDIZE(O120,I$9,J$9)</f>
        <v>-0.27169549492110595</v>
      </c>
    </row>
    <row r="121" spans="12:17" x14ac:dyDescent="0.3">
      <c r="L121" s="4">
        <v>2005.24999999998</v>
      </c>
      <c r="M121">
        <v>2005</v>
      </c>
      <c r="N121">
        <v>4</v>
      </c>
      <c r="O121">
        <v>5103</v>
      </c>
      <c r="P121" s="3">
        <f t="shared" si="10"/>
        <v>-0.90025957764544573</v>
      </c>
      <c r="Q121" s="3">
        <f>STANDARDIZE(O121,I$8,J$8)</f>
        <v>-0.3483563004030496</v>
      </c>
    </row>
    <row r="122" spans="12:17" x14ac:dyDescent="0.3">
      <c r="L122" s="4">
        <v>2005.1666666666499</v>
      </c>
      <c r="M122">
        <v>2005</v>
      </c>
      <c r="N122">
        <v>3</v>
      </c>
      <c r="O122">
        <v>4210</v>
      </c>
      <c r="P122" s="3">
        <f t="shared" si="10"/>
        <v>-1.0163026359912419</v>
      </c>
      <c r="Q122" s="3">
        <f>STANDARDIZE(O122,I$7,J$7)</f>
        <v>-0.19508181213848166</v>
      </c>
    </row>
    <row r="123" spans="12:17" x14ac:dyDescent="0.3">
      <c r="L123" s="4">
        <v>2005.0833333333201</v>
      </c>
      <c r="M123">
        <v>2005</v>
      </c>
      <c r="N123">
        <v>2</v>
      </c>
      <c r="O123">
        <v>4937</v>
      </c>
      <c r="P123" s="3">
        <f t="shared" si="10"/>
        <v>-0.9218308516492556</v>
      </c>
      <c r="Q123" s="3">
        <f>STANDARDIZE(O123,I$6,J$6)</f>
        <v>4.9423104004746483E-2</v>
      </c>
    </row>
    <row r="124" spans="12:17" x14ac:dyDescent="0.3">
      <c r="L124" s="4">
        <v>2005</v>
      </c>
      <c r="M124">
        <v>2005</v>
      </c>
      <c r="N124">
        <v>1</v>
      </c>
      <c r="O124">
        <v>10582</v>
      </c>
      <c r="P124" s="3">
        <f t="shared" si="10"/>
        <v>-0.18827758808596362</v>
      </c>
      <c r="Q124" s="3">
        <f>STANDARDIZE(O124,I$5,J$5)</f>
        <v>-9.0788075226453838E-2</v>
      </c>
    </row>
    <row r="125" spans="12:17" x14ac:dyDescent="0.3">
      <c r="L125" s="4">
        <v>2004.9166666666499</v>
      </c>
      <c r="M125">
        <v>2004</v>
      </c>
      <c r="N125">
        <v>12</v>
      </c>
      <c r="O125">
        <v>20571</v>
      </c>
      <c r="P125" s="3">
        <f t="shared" si="10"/>
        <v>1.1097673277216047</v>
      </c>
      <c r="Q125" s="3">
        <f>STANDARDIZE(O125,I$16,J$16)</f>
        <v>3.0073359852847564E-2</v>
      </c>
    </row>
    <row r="126" spans="12:17" x14ac:dyDescent="0.3">
      <c r="L126" s="4">
        <v>2004.8333333333101</v>
      </c>
      <c r="M126">
        <v>2004</v>
      </c>
      <c r="N126">
        <v>11</v>
      </c>
      <c r="O126">
        <v>17435</v>
      </c>
      <c r="P126" s="3">
        <f t="shared" si="10"/>
        <v>0.70225217545686014</v>
      </c>
      <c r="Q126" s="3">
        <f>STANDARDIZE(O126,I$15,J$15)</f>
        <v>-0.20616840814213713</v>
      </c>
    </row>
    <row r="127" spans="12:17" x14ac:dyDescent="0.3">
      <c r="L127" s="4">
        <v>2004.74999999998</v>
      </c>
      <c r="M127">
        <v>2004</v>
      </c>
      <c r="N127">
        <v>10</v>
      </c>
      <c r="O127">
        <v>12564</v>
      </c>
      <c r="P127" s="3">
        <f t="shared" si="10"/>
        <v>6.9278225622175379E-2</v>
      </c>
      <c r="Q127" s="3">
        <f>STANDARDIZE(O127,I$14,J$14)</f>
        <v>-0.41689692244726845</v>
      </c>
    </row>
    <row r="128" spans="12:17" x14ac:dyDescent="0.3">
      <c r="L128" s="4">
        <v>2004.6666666666499</v>
      </c>
      <c r="M128">
        <v>2004</v>
      </c>
      <c r="N128">
        <v>9</v>
      </c>
      <c r="O128">
        <v>8509</v>
      </c>
      <c r="P128" s="3">
        <f t="shared" si="10"/>
        <v>-0.45765861826607068</v>
      </c>
      <c r="Q128" s="3">
        <f>STANDARDIZE(O128,I$13,J$13)</f>
        <v>-0.53601832936212224</v>
      </c>
    </row>
    <row r="129" spans="12:17" x14ac:dyDescent="0.3">
      <c r="L129" s="4">
        <v>2004.5833333333101</v>
      </c>
      <c r="M129">
        <v>2004</v>
      </c>
      <c r="N129">
        <v>8</v>
      </c>
      <c r="O129">
        <v>8098</v>
      </c>
      <c r="P129" s="3">
        <f t="shared" si="10"/>
        <v>-0.51106701354056372</v>
      </c>
      <c r="Q129" s="3">
        <f>STANDARDIZE(O129,I$12,J$12)</f>
        <v>-0.58388437501911683</v>
      </c>
    </row>
    <row r="130" spans="12:17" x14ac:dyDescent="0.3">
      <c r="L130" s="4">
        <v>2004.49999999998</v>
      </c>
      <c r="M130">
        <v>2004</v>
      </c>
      <c r="N130">
        <v>7</v>
      </c>
      <c r="O130">
        <v>8598</v>
      </c>
      <c r="P130" s="3">
        <f t="shared" si="10"/>
        <v>-0.4460932966616184</v>
      </c>
      <c r="Q130" s="3">
        <f>STANDARDIZE(O130,I$11,J$11)</f>
        <v>-0.73831702219351047</v>
      </c>
    </row>
    <row r="131" spans="12:17" x14ac:dyDescent="0.3">
      <c r="L131" s="4">
        <v>2004.4166666666499</v>
      </c>
      <c r="M131">
        <v>2004</v>
      </c>
      <c r="N131">
        <v>6</v>
      </c>
      <c r="O131">
        <v>10993</v>
      </c>
      <c r="P131" s="3">
        <f t="shared" si="10"/>
        <v>-0.13486919281147061</v>
      </c>
      <c r="Q131" s="3">
        <f>STANDARDIZE(O131,I$10,J$10)</f>
        <v>-0.44706901500360946</v>
      </c>
    </row>
    <row r="132" spans="12:17" x14ac:dyDescent="0.3">
      <c r="L132" s="4">
        <v>2004.3333333333101</v>
      </c>
      <c r="M132">
        <v>2004</v>
      </c>
      <c r="N132">
        <v>5</v>
      </c>
      <c r="O132">
        <v>8244</v>
      </c>
      <c r="P132" s="3">
        <f t="shared" si="10"/>
        <v>-0.49209468821191166</v>
      </c>
      <c r="Q132" s="3">
        <f>STANDARDIZE(O132,I$9,J$9)</f>
        <v>-0.54010200296480038</v>
      </c>
    </row>
    <row r="133" spans="12:17" x14ac:dyDescent="0.3">
      <c r="L133" s="4">
        <v>2004.24999999998</v>
      </c>
      <c r="M133">
        <v>2004</v>
      </c>
      <c r="N133">
        <v>4</v>
      </c>
      <c r="O133">
        <v>3768</v>
      </c>
      <c r="P133" s="3">
        <f t="shared" si="10"/>
        <v>-1.0737394017122297</v>
      </c>
      <c r="Q133" s="3">
        <f>STANDARDIZE(O133,I$8,J$8)</f>
        <v>-0.82483584915885133</v>
      </c>
    </row>
    <row r="134" spans="12:17" x14ac:dyDescent="0.3">
      <c r="L134" s="4">
        <v>2004.1666666666499</v>
      </c>
      <c r="M134">
        <v>2004</v>
      </c>
      <c r="N134">
        <v>3</v>
      </c>
      <c r="O134">
        <v>2799</v>
      </c>
      <c r="P134" s="3">
        <f t="shared" si="10"/>
        <v>-1.1996584650236255</v>
      </c>
      <c r="Q134" s="3">
        <f>STANDARDIZE(O134,I$7,J$7)</f>
        <v>-0.77014820266196171</v>
      </c>
    </row>
    <row r="135" spans="12:17" x14ac:dyDescent="0.3">
      <c r="L135" s="4">
        <v>2004.0833333333101</v>
      </c>
      <c r="M135">
        <v>2004</v>
      </c>
      <c r="N135">
        <v>2</v>
      </c>
      <c r="O135">
        <v>3812</v>
      </c>
      <c r="P135" s="3">
        <f t="shared" si="10"/>
        <v>-1.0680217146268824</v>
      </c>
      <c r="Q135" s="3">
        <f>STANDARDIZE(O135,I$6,J$6)</f>
        <v>-0.36102714306384165</v>
      </c>
    </row>
    <row r="136" spans="12:17" x14ac:dyDescent="0.3">
      <c r="L136" s="4">
        <v>2004</v>
      </c>
      <c r="M136">
        <v>2004</v>
      </c>
      <c r="N136">
        <v>1</v>
      </c>
      <c r="O136">
        <v>13563</v>
      </c>
      <c r="P136" s="3">
        <f t="shared" si="10"/>
        <v>0.19909571194630801</v>
      </c>
      <c r="Q136" s="3">
        <f>STANDARDIZE(O136,I$5,J$5)</f>
        <v>0.3483005774684298</v>
      </c>
    </row>
    <row r="137" spans="12:17" x14ac:dyDescent="0.3">
      <c r="L137" s="4">
        <v>2003.9166666666499</v>
      </c>
      <c r="M137">
        <v>2003</v>
      </c>
      <c r="N137">
        <v>12</v>
      </c>
      <c r="O137">
        <v>20657</v>
      </c>
      <c r="P137" s="3">
        <f t="shared" si="10"/>
        <v>1.1209428070247833</v>
      </c>
      <c r="Q137" s="3">
        <f>STANDARDIZE(O137,I$16,J$16)</f>
        <v>3.8467060290478042E-2</v>
      </c>
    </row>
    <row r="138" spans="12:17" x14ac:dyDescent="0.3">
      <c r="L138" s="4">
        <v>2003.8333333333101</v>
      </c>
      <c r="M138">
        <v>2003</v>
      </c>
      <c r="N138">
        <v>11</v>
      </c>
      <c r="O138">
        <v>17053</v>
      </c>
      <c r="P138" s="3">
        <f t="shared" si="10"/>
        <v>0.65261225576134596</v>
      </c>
      <c r="Q138" s="3">
        <f>STANDARDIZE(O138,I$15,J$15)</f>
        <v>-0.24723010361153044</v>
      </c>
    </row>
    <row r="139" spans="12:17" x14ac:dyDescent="0.3">
      <c r="L139" s="4">
        <v>2003.74999999998</v>
      </c>
      <c r="M139">
        <v>2003</v>
      </c>
      <c r="N139">
        <v>10</v>
      </c>
      <c r="O139">
        <v>12280</v>
      </c>
      <c r="P139" s="3">
        <f t="shared" si="10"/>
        <v>3.2373154434934472E-2</v>
      </c>
      <c r="Q139" s="3">
        <f>STANDARDIZE(O139,I$14,J$14)</f>
        <v>-0.45172682325284769</v>
      </c>
    </row>
    <row r="140" spans="12:17" x14ac:dyDescent="0.3">
      <c r="L140" s="4">
        <v>2003.6666666666499</v>
      </c>
      <c r="M140">
        <v>2003</v>
      </c>
      <c r="N140">
        <v>9</v>
      </c>
      <c r="O140">
        <v>8210</v>
      </c>
      <c r="P140" s="3">
        <f t="shared" si="10"/>
        <v>-0.49651290095967993</v>
      </c>
      <c r="Q140" s="3">
        <f>STANDARDIZE(O140,I$13,J$13)</f>
        <v>-0.57787027672529867</v>
      </c>
    </row>
    <row r="141" spans="12:17" x14ac:dyDescent="0.3">
      <c r="L141" s="4">
        <v>2003.5833333333101</v>
      </c>
      <c r="M141">
        <v>2003</v>
      </c>
      <c r="N141">
        <v>8</v>
      </c>
      <c r="O141">
        <v>10123</v>
      </c>
      <c r="P141" s="3">
        <f t="shared" si="10"/>
        <v>-0.24792346018083536</v>
      </c>
      <c r="Q141" s="3">
        <f>STANDARDIZE(O141,I$12,J$12)</f>
        <v>-0.28809992885020069</v>
      </c>
    </row>
    <row r="142" spans="12:17" x14ac:dyDescent="0.3">
      <c r="L142" s="4">
        <v>2003.49999999998</v>
      </c>
      <c r="M142">
        <v>2003</v>
      </c>
      <c r="N142">
        <v>7</v>
      </c>
      <c r="O142">
        <v>11497</v>
      </c>
      <c r="P142" s="3">
        <f t="shared" si="10"/>
        <v>-6.9375686197493805E-2</v>
      </c>
      <c r="Q142" s="3">
        <f>STANDARDIZE(O142,I$11,J$11)</f>
        <v>-0.31302224059735201</v>
      </c>
    </row>
    <row r="143" spans="12:17" x14ac:dyDescent="0.3">
      <c r="L143" s="4">
        <v>2003.4166666666499</v>
      </c>
      <c r="M143">
        <v>2003</v>
      </c>
      <c r="N143">
        <v>6</v>
      </c>
      <c r="O143">
        <v>10185</v>
      </c>
      <c r="P143" s="3">
        <f t="shared" si="10"/>
        <v>-0.23986671928784617</v>
      </c>
      <c r="Q143" s="3">
        <f>STANDARDIZE(O143,I$10,J$10)</f>
        <v>-0.58240996557512992</v>
      </c>
    </row>
    <row r="144" spans="12:17" x14ac:dyDescent="0.3">
      <c r="L144" s="4">
        <v>2003.3333333333101</v>
      </c>
      <c r="M144">
        <v>2003</v>
      </c>
      <c r="N144">
        <v>5</v>
      </c>
      <c r="O144">
        <v>8114</v>
      </c>
      <c r="P144" s="3">
        <f t="shared" si="10"/>
        <v>-0.50898785460043738</v>
      </c>
      <c r="Q144" s="3">
        <f>STANDARDIZE(O144,I$9,J$9)</f>
        <v>-0.56806101421935185</v>
      </c>
    </row>
    <row r="145" spans="12:17" x14ac:dyDescent="0.3">
      <c r="L145" s="4">
        <v>2003.24999999998</v>
      </c>
      <c r="M145">
        <v>2003</v>
      </c>
      <c r="N145">
        <v>4</v>
      </c>
      <c r="O145">
        <v>4128</v>
      </c>
      <c r="P145" s="3">
        <f t="shared" si="10"/>
        <v>-1.026958325559389</v>
      </c>
      <c r="Q145" s="3">
        <f>STANDARDIZE(O145,I$8,J$8)</f>
        <v>-0.6963469820786351</v>
      </c>
    </row>
    <row r="146" spans="12:17" x14ac:dyDescent="0.3">
      <c r="L146" s="4">
        <v>2003.1666666666499</v>
      </c>
      <c r="M146">
        <v>2003</v>
      </c>
      <c r="N146">
        <v>3</v>
      </c>
      <c r="O146">
        <v>2472</v>
      </c>
      <c r="P146" s="3">
        <f t="shared" si="10"/>
        <v>-1.2421512758624558</v>
      </c>
      <c r="Q146" s="3">
        <f>STANDARDIZE(O146,I$7,J$7)</f>
        <v>-0.90342014433536921</v>
      </c>
    </row>
    <row r="147" spans="12:17" x14ac:dyDescent="0.3">
      <c r="L147" s="4">
        <v>2003.0833333333101</v>
      </c>
      <c r="M147">
        <v>2003</v>
      </c>
      <c r="N147">
        <v>2</v>
      </c>
      <c r="O147">
        <v>1859</v>
      </c>
      <c r="P147" s="3">
        <f t="shared" si="10"/>
        <v>-1.3218090527560427</v>
      </c>
      <c r="Q147" s="3">
        <f>STANDARDIZE(O147,I$6,J$6)</f>
        <v>-1.0735687719749107</v>
      </c>
    </row>
    <row r="148" spans="12:17" x14ac:dyDescent="0.3">
      <c r="L148" s="4">
        <v>2003</v>
      </c>
      <c r="M148">
        <v>2003</v>
      </c>
      <c r="N148">
        <v>1</v>
      </c>
      <c r="O148">
        <v>3783</v>
      </c>
      <c r="P148" s="3">
        <f t="shared" si="10"/>
        <v>-1.0717901902058613</v>
      </c>
      <c r="Q148" s="3">
        <f>STANDARDIZE(O148,I$5,J$5)</f>
        <v>-1.0922519295278674</v>
      </c>
    </row>
    <row r="149" spans="12:17" x14ac:dyDescent="0.3">
      <c r="L149" s="4">
        <v>2002.9166666666399</v>
      </c>
      <c r="M149">
        <v>2002</v>
      </c>
      <c r="N149">
        <v>12</v>
      </c>
      <c r="O149">
        <v>8688</v>
      </c>
      <c r="P149" s="3">
        <f t="shared" si="10"/>
        <v>-0.43439802762340823</v>
      </c>
      <c r="Q149" s="3">
        <f>STANDARDIZE(O149,I$16,J$16)</f>
        <v>-1.1297213180583496</v>
      </c>
    </row>
    <row r="150" spans="12:17" x14ac:dyDescent="0.3">
      <c r="L150" s="4">
        <v>2002.8333333333101</v>
      </c>
      <c r="M150">
        <v>2002</v>
      </c>
      <c r="N150">
        <v>11</v>
      </c>
      <c r="O150">
        <v>10968</v>
      </c>
      <c r="P150" s="3">
        <f t="shared" si="10"/>
        <v>-0.13811787865541789</v>
      </c>
      <c r="Q150" s="3">
        <f>STANDARDIZE(O150,I$15,J$15)</f>
        <v>-0.901314964688123</v>
      </c>
    </row>
    <row r="151" spans="12:17" x14ac:dyDescent="0.3">
      <c r="L151" s="4">
        <v>2002.74999999998</v>
      </c>
      <c r="M151">
        <v>2002</v>
      </c>
      <c r="N151">
        <v>10</v>
      </c>
      <c r="O151">
        <v>6424</v>
      </c>
      <c r="P151" s="3">
        <f t="shared" si="10"/>
        <v>-0.72859901765127244</v>
      </c>
      <c r="Q151" s="3">
        <f>STANDARDIZE(O151,I$14,J$14)</f>
        <v>-1.1699095666242278</v>
      </c>
    </row>
    <row r="152" spans="12:17" x14ac:dyDescent="0.3">
      <c r="L152" s="4">
        <v>2002.6666666666399</v>
      </c>
      <c r="M152">
        <v>2002</v>
      </c>
      <c r="N152">
        <v>9</v>
      </c>
      <c r="O152">
        <v>5310</v>
      </c>
      <c r="P152" s="3">
        <f t="shared" ref="P152:P183" si="11">STANDARDIZE(O152,O$2,O$3)</f>
        <v>-0.87336045885756242</v>
      </c>
      <c r="Q152" s="3">
        <f>STANDARDIZE(O152,I$13,J$13)</f>
        <v>-0.98379217422767973</v>
      </c>
    </row>
    <row r="153" spans="12:17" x14ac:dyDescent="0.3">
      <c r="L153" s="4">
        <v>2002.5833333333101</v>
      </c>
      <c r="M153">
        <v>2002</v>
      </c>
      <c r="N153">
        <v>8</v>
      </c>
      <c r="O153">
        <v>5245</v>
      </c>
      <c r="P153" s="3">
        <f t="shared" si="11"/>
        <v>-0.88180704205182536</v>
      </c>
      <c r="Q153" s="3">
        <f>STANDARDIZE(O153,I$12,J$12)</f>
        <v>-1.0006117947326567</v>
      </c>
    </row>
    <row r="154" spans="12:17" x14ac:dyDescent="0.3">
      <c r="L154" s="4">
        <v>2002.49999999998</v>
      </c>
      <c r="M154">
        <v>2002</v>
      </c>
      <c r="N154">
        <v>7</v>
      </c>
      <c r="O154">
        <v>9728</v>
      </c>
      <c r="P154" s="3">
        <f t="shared" si="11"/>
        <v>-0.29925269651520214</v>
      </c>
      <c r="Q154" s="3">
        <f>STANDARDIZE(O154,I$11,J$11)</f>
        <v>-0.57254154678693614</v>
      </c>
    </row>
    <row r="155" spans="12:17" x14ac:dyDescent="0.3">
      <c r="L155" s="4">
        <v>2002.4166666666399</v>
      </c>
      <c r="M155">
        <v>2002</v>
      </c>
      <c r="N155">
        <v>6</v>
      </c>
      <c r="O155">
        <v>11108</v>
      </c>
      <c r="P155" s="3">
        <f t="shared" si="11"/>
        <v>-0.11992523792931321</v>
      </c>
      <c r="Q155" s="3">
        <f>STANDARDIZE(O155,I$10,J$10)</f>
        <v>-0.4278063797118708</v>
      </c>
    </row>
    <row r="156" spans="12:17" x14ac:dyDescent="0.3">
      <c r="L156" s="4">
        <v>2002.3333333333101</v>
      </c>
      <c r="M156">
        <v>2002</v>
      </c>
      <c r="N156">
        <v>5</v>
      </c>
      <c r="O156">
        <v>8108</v>
      </c>
      <c r="P156" s="3">
        <f t="shared" si="11"/>
        <v>-0.50976753920298479</v>
      </c>
      <c r="Q156" s="3">
        <f>STANDARDIZE(O156,I$9,J$9)</f>
        <v>-0.56935143012340805</v>
      </c>
    </row>
    <row r="157" spans="12:17" x14ac:dyDescent="0.3">
      <c r="L157" s="4">
        <v>2002.24999999998</v>
      </c>
      <c r="M157">
        <v>2002</v>
      </c>
      <c r="N157">
        <v>4</v>
      </c>
      <c r="O157">
        <v>5226</v>
      </c>
      <c r="P157" s="3">
        <f t="shared" si="11"/>
        <v>-0.88427604329322518</v>
      </c>
      <c r="Q157" s="3">
        <f>STANDARDIZE(O157,I$8,J$8)</f>
        <v>-0.3044559374839757</v>
      </c>
    </row>
    <row r="158" spans="12:17" x14ac:dyDescent="0.3">
      <c r="L158" s="4">
        <v>2002.1666666666399</v>
      </c>
      <c r="M158">
        <v>2002</v>
      </c>
      <c r="N158">
        <v>3</v>
      </c>
      <c r="O158">
        <v>2779</v>
      </c>
      <c r="P158" s="3">
        <f t="shared" si="11"/>
        <v>-1.2022574136987834</v>
      </c>
      <c r="Q158" s="3">
        <f>STANDARDIZE(O158,I$7,J$7)</f>
        <v>-0.7782993917551364</v>
      </c>
    </row>
    <row r="159" spans="12:17" x14ac:dyDescent="0.3">
      <c r="L159" s="4">
        <v>2002.0833333333101</v>
      </c>
      <c r="M159">
        <v>2002</v>
      </c>
      <c r="N159">
        <v>2</v>
      </c>
      <c r="O159">
        <v>3086</v>
      </c>
      <c r="P159" s="3">
        <f t="shared" si="11"/>
        <v>-1.162363551535111</v>
      </c>
      <c r="Q159" s="3">
        <f>STANDARDIZE(O159,I$6,J$6)</f>
        <v>-0.6259043691721039</v>
      </c>
    </row>
    <row r="160" spans="12:17" x14ac:dyDescent="0.3">
      <c r="L160" s="4">
        <v>2002</v>
      </c>
      <c r="M160">
        <v>2002</v>
      </c>
      <c r="N160">
        <v>1</v>
      </c>
      <c r="O160">
        <v>9792</v>
      </c>
      <c r="P160" s="3">
        <f t="shared" si="11"/>
        <v>-0.29093606075469713</v>
      </c>
      <c r="Q160" s="3">
        <f>STANDARDIZE(O160,I$5,J$5)</f>
        <v>-0.20715172354210565</v>
      </c>
    </row>
    <row r="161" spans="12:17" x14ac:dyDescent="0.3">
      <c r="L161" s="4">
        <v>2001.9166666666399</v>
      </c>
      <c r="M161">
        <v>2001</v>
      </c>
      <c r="N161">
        <v>12</v>
      </c>
      <c r="O161">
        <v>13872</v>
      </c>
      <c r="P161" s="3">
        <f t="shared" si="11"/>
        <v>0.23924946897749619</v>
      </c>
      <c r="Q161" s="3">
        <f>STANDARDIZE(O161,I$16,J$16)</f>
        <v>-0.62375686377141482</v>
      </c>
    </row>
    <row r="162" spans="12:17" x14ac:dyDescent="0.3">
      <c r="L162" s="4">
        <v>2001.8333333333101</v>
      </c>
      <c r="M162">
        <v>2001</v>
      </c>
      <c r="N162">
        <v>11</v>
      </c>
      <c r="O162">
        <v>11591</v>
      </c>
      <c r="P162" s="3">
        <f t="shared" si="11"/>
        <v>-5.716062742425209E-2</v>
      </c>
      <c r="Q162" s="3">
        <f>STANDARDIZE(O162,I$15,J$15)</f>
        <v>-0.83434785401421707</v>
      </c>
    </row>
    <row r="163" spans="12:17" x14ac:dyDescent="0.3">
      <c r="L163" s="4">
        <v>2001.74999999998</v>
      </c>
      <c r="M163">
        <v>2001</v>
      </c>
      <c r="N163">
        <v>10</v>
      </c>
      <c r="O163">
        <v>8679</v>
      </c>
      <c r="P163" s="3">
        <f t="shared" si="11"/>
        <v>-0.43556755452722928</v>
      </c>
      <c r="Q163" s="3">
        <f>STANDARDIZE(O163,I$14,J$14)</f>
        <v>-0.89335524860809701</v>
      </c>
    </row>
    <row r="164" spans="12:17" x14ac:dyDescent="0.3">
      <c r="L164" s="4">
        <v>2001.6666666666399</v>
      </c>
      <c r="M164">
        <v>2001</v>
      </c>
      <c r="N164">
        <v>9</v>
      </c>
      <c r="O164">
        <v>5349</v>
      </c>
      <c r="P164" s="3">
        <f t="shared" si="11"/>
        <v>-0.86829250894100474</v>
      </c>
      <c r="Q164" s="3">
        <f>STANDARDIZE(O164,I$13,J$13)</f>
        <v>-0.9783332245716132</v>
      </c>
    </row>
    <row r="165" spans="12:17" x14ac:dyDescent="0.3">
      <c r="L165" s="4">
        <v>2001.5833333333101</v>
      </c>
      <c r="M165">
        <v>2001</v>
      </c>
      <c r="N165">
        <v>8</v>
      </c>
      <c r="O165">
        <v>5003</v>
      </c>
      <c r="P165" s="3">
        <f t="shared" si="11"/>
        <v>-0.91325432102123483</v>
      </c>
      <c r="Q165" s="3">
        <f>STANDARDIZE(O165,I$12,J$12)</f>
        <v>-1.0359598618797567</v>
      </c>
    </row>
    <row r="166" spans="12:17" x14ac:dyDescent="0.3">
      <c r="L166" s="4">
        <v>2001.49999999998</v>
      </c>
      <c r="M166">
        <v>2001</v>
      </c>
      <c r="N166">
        <v>7</v>
      </c>
      <c r="O166">
        <v>6038</v>
      </c>
      <c r="P166" s="3">
        <f t="shared" si="11"/>
        <v>-0.77875872708181815</v>
      </c>
      <c r="Q166" s="3">
        <f>STANDARDIZE(O166,I$11,J$11)</f>
        <v>-1.1138791611676966</v>
      </c>
    </row>
    <row r="167" spans="12:17" x14ac:dyDescent="0.3">
      <c r="L167" s="4">
        <v>2001.4166666666399</v>
      </c>
      <c r="M167">
        <v>2001</v>
      </c>
      <c r="N167">
        <v>6</v>
      </c>
      <c r="O167">
        <v>7683</v>
      </c>
      <c r="P167" s="3">
        <f t="shared" si="11"/>
        <v>-0.56499519855008817</v>
      </c>
      <c r="Q167" s="3">
        <f>STANDARDIZE(O167,I$10,J$10)</f>
        <v>-1.0014979090527834</v>
      </c>
    </row>
    <row r="168" spans="12:17" x14ac:dyDescent="0.3">
      <c r="L168" s="4">
        <v>2001.3333333333101</v>
      </c>
      <c r="M168">
        <v>2001</v>
      </c>
      <c r="N168">
        <v>5</v>
      </c>
      <c r="O168">
        <v>5479</v>
      </c>
      <c r="P168" s="3">
        <f t="shared" si="11"/>
        <v>-0.85139934255247895</v>
      </c>
      <c r="Q168" s="3">
        <f>STANDARDIZE(O168,I$9,J$9)</f>
        <v>-1.1347686654173765</v>
      </c>
    </row>
    <row r="169" spans="12:17" x14ac:dyDescent="0.3">
      <c r="L169" s="4">
        <v>2001.24999999997</v>
      </c>
      <c r="M169">
        <v>2001</v>
      </c>
      <c r="N169">
        <v>4</v>
      </c>
      <c r="O169">
        <v>3952</v>
      </c>
      <c r="P169" s="3">
        <f t="shared" si="11"/>
        <v>-1.0498290739007778</v>
      </c>
      <c r="Q169" s="3">
        <f>STANDARDIZE(O169,I$8,J$8)</f>
        <v>-0.75916376154007414</v>
      </c>
    </row>
    <row r="170" spans="12:17" x14ac:dyDescent="0.3">
      <c r="L170" s="4">
        <v>2001.1666666666399</v>
      </c>
      <c r="M170">
        <v>2001</v>
      </c>
      <c r="N170">
        <v>3</v>
      </c>
      <c r="O170">
        <v>3362</v>
      </c>
      <c r="P170" s="3">
        <f t="shared" si="11"/>
        <v>-1.1264980598179331</v>
      </c>
      <c r="Q170" s="3">
        <f>STANDARDIZE(O170,I$7,J$7)</f>
        <v>-0.54069222968909192</v>
      </c>
    </row>
    <row r="171" spans="12:17" x14ac:dyDescent="0.3">
      <c r="L171" s="4">
        <v>2001.0833333333101</v>
      </c>
      <c r="M171">
        <v>2001</v>
      </c>
      <c r="N171">
        <v>2</v>
      </c>
      <c r="O171">
        <v>2594</v>
      </c>
      <c r="P171" s="3">
        <f t="shared" si="11"/>
        <v>-1.2262976889439932</v>
      </c>
      <c r="Q171" s="3">
        <f>STANDARDIZE(O171,I$6,J$6)</f>
        <v>-0.80540794389009973</v>
      </c>
    </row>
    <row r="172" spans="12:17" x14ac:dyDescent="0.3">
      <c r="L172" s="4">
        <v>2001</v>
      </c>
      <c r="M172">
        <v>2001</v>
      </c>
      <c r="N172">
        <v>1</v>
      </c>
      <c r="O172">
        <v>6781</v>
      </c>
      <c r="P172" s="3">
        <f t="shared" si="11"/>
        <v>-0.68220778379970548</v>
      </c>
      <c r="Q172" s="3">
        <f>STANDARDIZE(O172,I$5,J$5)</f>
        <v>-0.65065924895783678</v>
      </c>
    </row>
    <row r="173" spans="12:17" x14ac:dyDescent="0.3">
      <c r="L173" s="4">
        <v>2000.9166666666399</v>
      </c>
      <c r="M173">
        <v>2000</v>
      </c>
      <c r="N173">
        <v>12</v>
      </c>
      <c r="O173">
        <v>15503</v>
      </c>
      <c r="P173" s="3">
        <f t="shared" si="11"/>
        <v>0.45119373343661562</v>
      </c>
      <c r="Q173" s="3">
        <f>STANDARDIZE(O173,I$16,J$16)</f>
        <v>-0.46456935896007401</v>
      </c>
    </row>
    <row r="174" spans="12:17" x14ac:dyDescent="0.3">
      <c r="L174" s="4">
        <v>2000.8333333333101</v>
      </c>
      <c r="M174">
        <v>2000</v>
      </c>
      <c r="N174">
        <v>11</v>
      </c>
      <c r="O174">
        <v>18466</v>
      </c>
      <c r="P174" s="3">
        <f t="shared" si="11"/>
        <v>0.83622797966124518</v>
      </c>
      <c r="Q174" s="3">
        <f>STANDARDIZE(O174,I$15,J$15)</f>
        <v>-9.5344826914533692E-2</v>
      </c>
    </row>
    <row r="175" spans="12:17" x14ac:dyDescent="0.3">
      <c r="L175" s="4">
        <v>2000.74999999997</v>
      </c>
      <c r="M175">
        <v>2000</v>
      </c>
      <c r="N175">
        <v>10</v>
      </c>
      <c r="O175">
        <v>18190</v>
      </c>
      <c r="P175" s="3">
        <f t="shared" si="11"/>
        <v>0.80036248794406739</v>
      </c>
      <c r="Q175" s="3">
        <f>STANDARDIZE(O175,I$14,J$14)</f>
        <v>0.27307850689142438</v>
      </c>
    </row>
    <row r="176" spans="12:17" x14ac:dyDescent="0.3">
      <c r="L176" s="4">
        <v>2000.6666666666399</v>
      </c>
      <c r="M176">
        <v>2000</v>
      </c>
      <c r="N176">
        <v>9</v>
      </c>
      <c r="O176">
        <v>13526</v>
      </c>
      <c r="P176" s="3">
        <f t="shared" si="11"/>
        <v>0.19428765689726607</v>
      </c>
      <c r="Q176" s="3">
        <f>STANDARDIZE(O176,I$13,J$13)</f>
        <v>0.16622655331699696</v>
      </c>
    </row>
    <row r="177" spans="12:17" x14ac:dyDescent="0.3">
      <c r="L177" s="4">
        <v>2000.5833333333101</v>
      </c>
      <c r="M177">
        <v>2000</v>
      </c>
      <c r="N177">
        <v>8</v>
      </c>
      <c r="O177">
        <v>13949</v>
      </c>
      <c r="P177" s="3">
        <f t="shared" si="11"/>
        <v>0.24925542137685375</v>
      </c>
      <c r="Q177" s="3">
        <f>STANDARDIZE(O177,I$12,J$12)</f>
        <v>0.27075009141758866</v>
      </c>
    </row>
    <row r="178" spans="12:17" x14ac:dyDescent="0.3">
      <c r="L178" s="4">
        <v>2000.49999999997</v>
      </c>
      <c r="M178">
        <v>2000</v>
      </c>
      <c r="N178">
        <v>7</v>
      </c>
      <c r="O178">
        <v>16465</v>
      </c>
      <c r="P178" s="3">
        <f t="shared" si="11"/>
        <v>0.57620316471170629</v>
      </c>
      <c r="Q178" s="3">
        <f>STANDARDIZE(O178,I$11,J$11)</f>
        <v>0.41580303534942792</v>
      </c>
    </row>
    <row r="179" spans="12:17" x14ac:dyDescent="0.3">
      <c r="L179" s="4">
        <v>2000.4166666666399</v>
      </c>
      <c r="M179">
        <v>2000</v>
      </c>
      <c r="N179">
        <v>6</v>
      </c>
      <c r="O179">
        <v>14474</v>
      </c>
      <c r="P179" s="3">
        <f t="shared" si="11"/>
        <v>0.31747782409974629</v>
      </c>
      <c r="Q179" s="3">
        <f>STANDARDIZE(O179,I$10,J$10)</f>
        <v>0.13600258021849765</v>
      </c>
    </row>
    <row r="180" spans="12:17" x14ac:dyDescent="0.3">
      <c r="L180" s="4">
        <v>2000.3333333333101</v>
      </c>
      <c r="M180">
        <v>2000</v>
      </c>
      <c r="N180">
        <v>5</v>
      </c>
      <c r="O180">
        <v>10167</v>
      </c>
      <c r="P180" s="3">
        <f t="shared" si="11"/>
        <v>-0.24220577309548819</v>
      </c>
      <c r="Q180" s="3">
        <f>STANDARDIZE(O180,I$9,J$9)</f>
        <v>-0.12652370571478086</v>
      </c>
    </row>
    <row r="181" spans="12:17" x14ac:dyDescent="0.3">
      <c r="L181" s="4">
        <v>2000.24999999997</v>
      </c>
      <c r="M181">
        <v>2000</v>
      </c>
      <c r="N181">
        <v>4</v>
      </c>
      <c r="O181">
        <v>7215</v>
      </c>
      <c r="P181" s="3">
        <f t="shared" si="11"/>
        <v>-0.62581059754878099</v>
      </c>
      <c r="Q181" s="3">
        <f>STANDARDIZE(O181,I$8,J$8)</f>
        <v>0.40544505313421886</v>
      </c>
    </row>
    <row r="182" spans="12:17" x14ac:dyDescent="0.3">
      <c r="L182" s="4">
        <v>2000.1666666666399</v>
      </c>
      <c r="M182">
        <v>2000</v>
      </c>
      <c r="N182">
        <v>3</v>
      </c>
      <c r="O182">
        <v>8152</v>
      </c>
      <c r="P182" s="3">
        <f t="shared" si="11"/>
        <v>-0.50404985211763753</v>
      </c>
      <c r="Q182" s="3">
        <f>STANDARDIZE(O182,I$7,J$7)</f>
        <v>1.4115175581262656</v>
      </c>
    </row>
    <row r="183" spans="12:17" x14ac:dyDescent="0.3">
      <c r="L183" s="4">
        <v>2000.0833333333101</v>
      </c>
      <c r="M183">
        <v>2000</v>
      </c>
      <c r="N183">
        <v>2</v>
      </c>
      <c r="O183">
        <v>7908</v>
      </c>
      <c r="P183" s="3">
        <f t="shared" si="11"/>
        <v>-0.53575702595456287</v>
      </c>
      <c r="Q183" s="3">
        <f>STANDARDIZE(O183,I$6,J$6)</f>
        <v>1.1333766009298802</v>
      </c>
    </row>
    <row r="184" spans="12:17" x14ac:dyDescent="0.3">
      <c r="L184" s="4">
        <v>2000</v>
      </c>
      <c r="M184">
        <v>2000</v>
      </c>
      <c r="N184">
        <v>1</v>
      </c>
      <c r="O184">
        <v>19861</v>
      </c>
      <c r="P184" s="3">
        <f t="shared" ref="P184" si="12">STANDARDIZE(O184,O$2,O$3)</f>
        <v>1.0175046497535025</v>
      </c>
      <c r="Q184" s="3">
        <f>STANDARDIZE(O184,I$5,J$5)</f>
        <v>1.2759692573316894</v>
      </c>
    </row>
    <row r="185" spans="12:17" x14ac:dyDescent="0.3">
      <c r="L185" s="4">
        <v>1999.9166666660001</v>
      </c>
      <c r="M185">
        <v>1999</v>
      </c>
      <c r="N185">
        <v>12</v>
      </c>
      <c r="P185" s="3"/>
      <c r="Q185" s="3"/>
    </row>
    <row r="186" spans="12:17" x14ac:dyDescent="0.3">
      <c r="L186" s="4">
        <v>1999.83333333264</v>
      </c>
      <c r="M186">
        <v>1999</v>
      </c>
      <c r="N186">
        <v>11</v>
      </c>
      <c r="P186" s="3"/>
      <c r="Q186" s="3"/>
    </row>
    <row r="187" spans="12:17" x14ac:dyDescent="0.3">
      <c r="L187" s="4">
        <v>1999.7499999992799</v>
      </c>
      <c r="M187">
        <v>1999</v>
      </c>
      <c r="N187">
        <v>10</v>
      </c>
      <c r="P187" s="3"/>
      <c r="Q187" s="3"/>
    </row>
    <row r="188" spans="12:17" x14ac:dyDescent="0.3">
      <c r="L188" s="4">
        <v>1999.66666666592</v>
      </c>
      <c r="M188">
        <v>1999</v>
      </c>
      <c r="N188">
        <v>9</v>
      </c>
      <c r="P188" s="3"/>
      <c r="Q188" s="3"/>
    </row>
    <row r="189" spans="12:17" x14ac:dyDescent="0.3">
      <c r="L189" s="4">
        <v>1999.58333333256</v>
      </c>
      <c r="M189">
        <v>1999</v>
      </c>
      <c r="N189">
        <v>8</v>
      </c>
      <c r="P189" s="3"/>
      <c r="Q189" s="3"/>
    </row>
    <row r="190" spans="12:17" x14ac:dyDescent="0.3">
      <c r="L190" s="4">
        <v>1999.4999999992001</v>
      </c>
      <c r="M190">
        <v>1999</v>
      </c>
      <c r="N190">
        <v>7</v>
      </c>
      <c r="P190" s="3"/>
      <c r="Q190" s="3"/>
    </row>
    <row r="191" spans="12:17" x14ac:dyDescent="0.3">
      <c r="L191" s="4">
        <v>1999.41666666584</v>
      </c>
      <c r="M191">
        <v>1999</v>
      </c>
      <c r="N191">
        <v>6</v>
      </c>
      <c r="P191" s="3"/>
      <c r="Q191" s="3"/>
    </row>
    <row r="192" spans="12:17" x14ac:dyDescent="0.3">
      <c r="L192" s="4">
        <v>1999.3333333324799</v>
      </c>
      <c r="M192">
        <v>1999</v>
      </c>
      <c r="N192">
        <v>5</v>
      </c>
      <c r="P192" s="3"/>
      <c r="Q192" s="3"/>
    </row>
    <row r="193" spans="12:17" x14ac:dyDescent="0.3">
      <c r="L193" s="4">
        <v>1999.2499999991201</v>
      </c>
      <c r="M193">
        <v>1999</v>
      </c>
      <c r="N193">
        <v>4</v>
      </c>
      <c r="P193" s="3"/>
      <c r="Q193" s="3"/>
    </row>
    <row r="194" spans="12:17" x14ac:dyDescent="0.3">
      <c r="L194" s="4">
        <v>1999.16666666576</v>
      </c>
      <c r="M194">
        <v>1999</v>
      </c>
      <c r="N194">
        <v>3</v>
      </c>
      <c r="P194" s="3"/>
      <c r="Q194" s="3"/>
    </row>
    <row r="195" spans="12:17" x14ac:dyDescent="0.3">
      <c r="L195" s="4">
        <v>1999.0833333323999</v>
      </c>
      <c r="M195">
        <v>1999</v>
      </c>
      <c r="N195">
        <v>2</v>
      </c>
      <c r="P195" s="3"/>
      <c r="Q195" s="3"/>
    </row>
    <row r="196" spans="12:17" x14ac:dyDescent="0.3">
      <c r="L196" s="4">
        <v>1998.99999999904</v>
      </c>
      <c r="M196">
        <v>1999</v>
      </c>
      <c r="N196">
        <v>1</v>
      </c>
      <c r="P196" s="3"/>
      <c r="Q196" s="3"/>
    </row>
    <row r="197" spans="12:17" x14ac:dyDescent="0.3">
      <c r="L197" s="4">
        <v>1998.9166666656799</v>
      </c>
      <c r="M197">
        <v>1998</v>
      </c>
      <c r="N197">
        <v>12</v>
      </c>
      <c r="O197">
        <v>31579</v>
      </c>
      <c r="P197" s="3">
        <f t="shared" ref="P197:P260" si="13">STANDARDIZE(O197,O$2,O$3)</f>
        <v>2.5402286785284636</v>
      </c>
      <c r="Q197" s="3">
        <f>STANDARDIZE(O197,I$16,J$16)</f>
        <v>1.1044670158695484</v>
      </c>
    </row>
    <row r="198" spans="12:17" x14ac:dyDescent="0.3">
      <c r="L198" s="4">
        <v>1998.8333333323201</v>
      </c>
      <c r="M198">
        <v>1998</v>
      </c>
      <c r="N198">
        <v>11</v>
      </c>
      <c r="O198">
        <v>25031</v>
      </c>
      <c r="P198" s="3">
        <f t="shared" si="13"/>
        <v>1.6893328822817963</v>
      </c>
      <c r="Q198" s="3">
        <f>STANDARDIZE(O198,I$15,J$15)</f>
        <v>0.61033588187229126</v>
      </c>
    </row>
    <row r="199" spans="12:17" x14ac:dyDescent="0.3">
      <c r="L199" s="4">
        <v>1998.74999999896</v>
      </c>
      <c r="M199">
        <v>1998</v>
      </c>
      <c r="N199">
        <v>10</v>
      </c>
      <c r="O199">
        <v>22450</v>
      </c>
      <c r="P199" s="3">
        <f t="shared" si="13"/>
        <v>1.3539385557526811</v>
      </c>
      <c r="Q199" s="3">
        <f>STANDARDIZE(O199,I$14,J$14)</f>
        <v>0.7955270189751128</v>
      </c>
    </row>
    <row r="200" spans="12:17" x14ac:dyDescent="0.3">
      <c r="L200" s="4">
        <v>1998.6666666655999</v>
      </c>
      <c r="M200">
        <v>1998</v>
      </c>
      <c r="N200">
        <v>9</v>
      </c>
      <c r="O200">
        <v>17885</v>
      </c>
      <c r="P200" s="3">
        <f t="shared" si="13"/>
        <v>0.76072852064791086</v>
      </c>
      <c r="Q200" s="3">
        <f>STANDARDIZE(O200,I$13,J$13)</f>
        <v>0.77636915718350685</v>
      </c>
    </row>
    <row r="201" spans="12:17" x14ac:dyDescent="0.3">
      <c r="L201" s="4">
        <v>1998.58333333224</v>
      </c>
      <c r="M201">
        <v>1998</v>
      </c>
      <c r="N201">
        <v>8</v>
      </c>
      <c r="O201">
        <v>17338</v>
      </c>
      <c r="P201" s="3">
        <f t="shared" si="13"/>
        <v>0.68964727438234474</v>
      </c>
      <c r="Q201" s="3">
        <f>STANDARDIZE(O201,I$12,J$12)</f>
        <v>0.76576909787016001</v>
      </c>
    </row>
    <row r="202" spans="12:17" x14ac:dyDescent="0.3">
      <c r="L202" s="4">
        <v>1998.49999999888</v>
      </c>
      <c r="M202">
        <v>1998</v>
      </c>
      <c r="N202">
        <v>7</v>
      </c>
      <c r="O202">
        <v>19257</v>
      </c>
      <c r="P202" s="3">
        <f t="shared" si="13"/>
        <v>0.93901639976373663</v>
      </c>
      <c r="Q202" s="3">
        <f>STANDARDIZE(O202,I$11,J$11)</f>
        <v>0.82540049316814956</v>
      </c>
    </row>
    <row r="203" spans="12:17" x14ac:dyDescent="0.3">
      <c r="L203" s="4">
        <v>1998.4166666655201</v>
      </c>
      <c r="M203">
        <v>1998</v>
      </c>
      <c r="N203">
        <v>6</v>
      </c>
      <c r="O203">
        <v>15554</v>
      </c>
      <c r="P203" s="3">
        <f t="shared" si="13"/>
        <v>0.45782105255826805</v>
      </c>
      <c r="Q203" s="3">
        <f>STANDARDIZE(O203,I$10,J$10)</f>
        <v>0.31690385078439126</v>
      </c>
    </row>
    <row r="204" spans="12:17" x14ac:dyDescent="0.3">
      <c r="L204" s="4">
        <v>1998.33333333216</v>
      </c>
      <c r="M204">
        <v>1998</v>
      </c>
      <c r="N204">
        <v>5</v>
      </c>
      <c r="O204">
        <v>11028</v>
      </c>
      <c r="P204" s="3">
        <f t="shared" si="13"/>
        <v>-0.13032103262994446</v>
      </c>
      <c r="Q204" s="3">
        <f>STANDARDIZE(O204,I$9,J$9)</f>
        <v>5.8650976517287179E-2</v>
      </c>
    </row>
    <row r="205" spans="12:17" x14ac:dyDescent="0.3">
      <c r="L205" s="4">
        <v>1998.2499999987999</v>
      </c>
      <c r="M205">
        <v>1998</v>
      </c>
      <c r="N205">
        <v>4</v>
      </c>
      <c r="O205">
        <v>4329</v>
      </c>
      <c r="P205" s="3">
        <f t="shared" si="13"/>
        <v>-1.0008388913740531</v>
      </c>
      <c r="Q205" s="3">
        <f>STANDARDIZE(O205,I$8,J$8)</f>
        <v>-0.62460736462551447</v>
      </c>
    </row>
    <row r="206" spans="12:17" x14ac:dyDescent="0.3">
      <c r="L206" s="4">
        <v>1998.1666666654401</v>
      </c>
      <c r="M206">
        <v>1998</v>
      </c>
      <c r="N206">
        <v>3</v>
      </c>
      <c r="O206">
        <v>1626</v>
      </c>
      <c r="P206" s="3">
        <f t="shared" si="13"/>
        <v>-1.352086804821631</v>
      </c>
      <c r="Q206" s="3">
        <f>STANDARDIZE(O206,I$7,J$7)</f>
        <v>-1.2482154429766619</v>
      </c>
    </row>
    <row r="207" spans="12:17" x14ac:dyDescent="0.3">
      <c r="L207" s="4">
        <v>1998.08333333208</v>
      </c>
      <c r="M207">
        <v>1998</v>
      </c>
      <c r="N207">
        <v>2</v>
      </c>
      <c r="O207">
        <v>1747</v>
      </c>
      <c r="P207" s="3">
        <f t="shared" si="13"/>
        <v>-1.3363631653369263</v>
      </c>
      <c r="Q207" s="3">
        <f>STANDARDIZE(O207,I$6,J$6)</f>
        <v>-1.1144313743497389</v>
      </c>
    </row>
    <row r="208" spans="12:17" x14ac:dyDescent="0.3">
      <c r="L208" s="4">
        <v>1997.9999999987201</v>
      </c>
      <c r="M208">
        <v>1998</v>
      </c>
      <c r="N208">
        <v>1</v>
      </c>
      <c r="O208">
        <v>1750</v>
      </c>
      <c r="P208" s="3">
        <f t="shared" si="13"/>
        <v>-1.3359733230356527</v>
      </c>
      <c r="Q208" s="3">
        <f>STANDARDIZE(O208,I$5,J$5)</f>
        <v>-1.3917042042439687</v>
      </c>
    </row>
    <row r="209" spans="12:17" x14ac:dyDescent="0.3">
      <c r="L209" s="4">
        <v>1997.91666666536</v>
      </c>
      <c r="M209">
        <v>1997</v>
      </c>
      <c r="N209">
        <v>12</v>
      </c>
      <c r="O209">
        <v>6312</v>
      </c>
      <c r="P209" s="3">
        <f t="shared" si="13"/>
        <v>-0.74315313023215612</v>
      </c>
      <c r="Q209" s="3">
        <f>STANDARDIZE(O209,I$16,J$16)</f>
        <v>-1.3616216929398612</v>
      </c>
    </row>
    <row r="210" spans="12:17" x14ac:dyDescent="0.3">
      <c r="L210" s="4">
        <v>1997.8333333319999</v>
      </c>
      <c r="M210">
        <v>1997</v>
      </c>
      <c r="N210">
        <v>11</v>
      </c>
      <c r="O210">
        <v>8111</v>
      </c>
      <c r="P210" s="3">
        <f t="shared" si="13"/>
        <v>-0.50937769690171109</v>
      </c>
      <c r="Q210" s="3">
        <f>STANDARDIZE(O210,I$15,J$15)</f>
        <v>-1.2084177499134023</v>
      </c>
    </row>
    <row r="211" spans="12:17" x14ac:dyDescent="0.3">
      <c r="L211" s="4">
        <v>1997.7499999986401</v>
      </c>
      <c r="M211">
        <v>1997</v>
      </c>
      <c r="N211">
        <v>10</v>
      </c>
      <c r="O211">
        <v>6523</v>
      </c>
      <c r="P211" s="3">
        <f t="shared" si="13"/>
        <v>-0.71573422170924128</v>
      </c>
      <c r="Q211" s="3">
        <f>STANDARDIZE(O211,I$14,J$14)</f>
        <v>-1.1577681575405929</v>
      </c>
    </row>
    <row r="212" spans="12:17" x14ac:dyDescent="0.3">
      <c r="L212" s="4">
        <v>1997.66666666528</v>
      </c>
      <c r="M212">
        <v>1997</v>
      </c>
      <c r="N212">
        <v>9</v>
      </c>
      <c r="O212">
        <v>3348</v>
      </c>
      <c r="P212" s="3">
        <f t="shared" si="13"/>
        <v>-1.1283173238905435</v>
      </c>
      <c r="Q212" s="3">
        <f>STANDARDIZE(O212,I$13,J$13)</f>
        <v>-1.2584193338482561</v>
      </c>
    </row>
    <row r="213" spans="12:17" x14ac:dyDescent="0.3">
      <c r="L213" s="4">
        <v>1997.5833333319199</v>
      </c>
      <c r="M213">
        <v>1997</v>
      </c>
      <c r="N213">
        <v>8</v>
      </c>
      <c r="O213">
        <v>3550</v>
      </c>
      <c r="P213" s="3">
        <f t="shared" si="13"/>
        <v>-1.1020679422714497</v>
      </c>
      <c r="Q213" s="3">
        <f>STANDARDIZE(O213,I$12,J$12)</f>
        <v>-1.2481943311555272</v>
      </c>
    </row>
    <row r="214" spans="12:17" x14ac:dyDescent="0.3">
      <c r="L214" s="4">
        <v>1997.49999999856</v>
      </c>
      <c r="M214">
        <v>1997</v>
      </c>
      <c r="N214">
        <v>7</v>
      </c>
      <c r="O214">
        <v>6650</v>
      </c>
      <c r="P214" s="3">
        <f t="shared" si="13"/>
        <v>-0.69923089762198909</v>
      </c>
      <c r="Q214" s="3">
        <f>STANDARDIZE(O214,I$11,J$11)</f>
        <v>-1.0240963373191803</v>
      </c>
    </row>
    <row r="215" spans="12:17" x14ac:dyDescent="0.3">
      <c r="L215" s="4">
        <v>1997.4166666652</v>
      </c>
      <c r="M215">
        <v>1997</v>
      </c>
      <c r="N215">
        <v>6</v>
      </c>
      <c r="O215">
        <v>7390</v>
      </c>
      <c r="P215" s="3">
        <f t="shared" si="13"/>
        <v>-0.60306979664115012</v>
      </c>
      <c r="Q215" s="3">
        <f>STANDARDIZE(O215,I$10,J$10)</f>
        <v>-1.0505757537526046</v>
      </c>
    </row>
    <row r="216" spans="12:17" x14ac:dyDescent="0.3">
      <c r="L216" s="4">
        <v>1997.3333333318401</v>
      </c>
      <c r="M216">
        <v>1997</v>
      </c>
      <c r="N216">
        <v>5</v>
      </c>
      <c r="O216">
        <v>5373</v>
      </c>
      <c r="P216" s="3">
        <f t="shared" si="13"/>
        <v>-0.86517377053081534</v>
      </c>
      <c r="Q216" s="3">
        <f>STANDARDIZE(O216,I$9,J$9)</f>
        <v>-1.1575660130557031</v>
      </c>
    </row>
    <row r="217" spans="12:17" x14ac:dyDescent="0.3">
      <c r="L217" s="4">
        <v>1997.24999999848</v>
      </c>
      <c r="M217">
        <v>1997</v>
      </c>
      <c r="N217">
        <v>4</v>
      </c>
      <c r="O217">
        <v>3443</v>
      </c>
      <c r="P217" s="3">
        <f t="shared" si="13"/>
        <v>-1.1159723176835441</v>
      </c>
      <c r="Q217" s="3">
        <f>STANDARDIZE(O217,I$8,J$8)</f>
        <v>-0.94083274305071318</v>
      </c>
    </row>
    <row r="218" spans="12:17" x14ac:dyDescent="0.3">
      <c r="L218" s="4">
        <v>1997.1666666651099</v>
      </c>
      <c r="M218">
        <v>1997</v>
      </c>
      <c r="N218">
        <v>3</v>
      </c>
      <c r="O218">
        <v>3501</v>
      </c>
      <c r="P218" s="3">
        <f t="shared" si="13"/>
        <v>-1.1084353665255864</v>
      </c>
      <c r="Q218" s="3">
        <f>STANDARDIZE(O218,I$7,J$7)</f>
        <v>-0.48404146549152727</v>
      </c>
    </row>
    <row r="219" spans="12:17" x14ac:dyDescent="0.3">
      <c r="L219" s="4">
        <v>1997.0833333317501</v>
      </c>
      <c r="M219">
        <v>1997</v>
      </c>
      <c r="N219">
        <v>2</v>
      </c>
      <c r="O219">
        <v>5632</v>
      </c>
      <c r="P219" s="3">
        <f t="shared" si="13"/>
        <v>-0.83151738518752172</v>
      </c>
      <c r="Q219" s="3">
        <f>STANDARDIZE(O219,I$6,J$6)</f>
        <v>0.30299014552711873</v>
      </c>
    </row>
    <row r="220" spans="12:17" x14ac:dyDescent="0.3">
      <c r="L220" s="4">
        <v>1996.99999999839</v>
      </c>
      <c r="M220">
        <v>1997</v>
      </c>
      <c r="N220">
        <v>1</v>
      </c>
      <c r="O220">
        <v>8426</v>
      </c>
      <c r="P220" s="3">
        <f t="shared" si="13"/>
        <v>-0.46844425526797556</v>
      </c>
      <c r="Q220" s="3">
        <f>STANDARDIZE(O220,I$5,J$5)</f>
        <v>-0.40835772809803017</v>
      </c>
    </row>
    <row r="221" spans="12:17" x14ac:dyDescent="0.3">
      <c r="L221" s="4">
        <v>1996.9166666650301</v>
      </c>
      <c r="M221">
        <v>1996</v>
      </c>
      <c r="N221">
        <v>12</v>
      </c>
      <c r="O221">
        <v>22990</v>
      </c>
      <c r="P221" s="3">
        <f t="shared" si="13"/>
        <v>1.4241101699819418</v>
      </c>
      <c r="Q221" s="3">
        <f>STANDARDIZE(O221,I$16,J$16)</f>
        <v>0.26617058495317458</v>
      </c>
    </row>
    <row r="222" spans="12:17" x14ac:dyDescent="0.3">
      <c r="L222" s="4">
        <v>1996.83333333167</v>
      </c>
      <c r="M222">
        <v>1996</v>
      </c>
      <c r="N222">
        <v>11</v>
      </c>
      <c r="O222">
        <v>27769</v>
      </c>
      <c r="P222" s="3">
        <f t="shared" si="13"/>
        <v>2.0451289559109007</v>
      </c>
      <c r="Q222" s="3">
        <f>STANDARDIZE(O222,I$15,J$15)</f>
        <v>0.90464719651940884</v>
      </c>
    </row>
    <row r="223" spans="12:17" x14ac:dyDescent="0.3">
      <c r="L223" s="4">
        <v>1996.7499999983099</v>
      </c>
      <c r="M223">
        <v>1996</v>
      </c>
      <c r="N223">
        <v>10</v>
      </c>
      <c r="O223">
        <v>25414</v>
      </c>
      <c r="P223" s="3">
        <f t="shared" si="13"/>
        <v>1.7391027494110685</v>
      </c>
      <c r="Q223" s="3">
        <f>STANDARDIZE(O223,I$14,J$14)</f>
        <v>1.1590334485093974</v>
      </c>
    </row>
    <row r="224" spans="12:17" x14ac:dyDescent="0.3">
      <c r="L224" s="4">
        <v>1996.6666666649501</v>
      </c>
      <c r="M224">
        <v>1996</v>
      </c>
      <c r="N224">
        <v>9</v>
      </c>
      <c r="O224">
        <v>26320</v>
      </c>
      <c r="P224" s="3">
        <f t="shared" si="13"/>
        <v>1.8568351243957173</v>
      </c>
      <c r="Q224" s="3">
        <f>STANDARDIZE(O224,I$13,J$13)</f>
        <v>1.9570419866430186</v>
      </c>
    </row>
    <row r="225" spans="12:17" x14ac:dyDescent="0.3">
      <c r="L225" s="4">
        <v>1996.58333333159</v>
      </c>
      <c r="M225">
        <v>1996</v>
      </c>
      <c r="N225">
        <v>8</v>
      </c>
      <c r="O225">
        <v>32200</v>
      </c>
      <c r="P225" s="3">
        <f t="shared" si="13"/>
        <v>2.6209260348921135</v>
      </c>
      <c r="Q225" s="3">
        <f>STANDARDIZE(O225,I$12,J$12)</f>
        <v>2.9366078331602501</v>
      </c>
    </row>
    <row r="226" spans="12:17" x14ac:dyDescent="0.3">
      <c r="L226" s="4">
        <v>1996.4999999982299</v>
      </c>
      <c r="M226">
        <v>1996</v>
      </c>
      <c r="N226">
        <v>7</v>
      </c>
      <c r="O226">
        <v>31709</v>
      </c>
      <c r="P226" s="3">
        <f t="shared" si="13"/>
        <v>2.5571218449169892</v>
      </c>
      <c r="Q226" s="3">
        <f>STANDARDIZE(O226,I$11,J$11)</f>
        <v>2.6521582097722769</v>
      </c>
    </row>
    <row r="227" spans="12:17" x14ac:dyDescent="0.3">
      <c r="L227" s="4">
        <v>1996.41666666487</v>
      </c>
      <c r="M227">
        <v>1996</v>
      </c>
      <c r="N227">
        <v>6</v>
      </c>
      <c r="O227">
        <v>21393</v>
      </c>
      <c r="P227" s="3">
        <f t="shared" si="13"/>
        <v>1.2165841182705908</v>
      </c>
      <c r="Q227" s="3">
        <f>STANDARDIZE(O227,I$10,J$10)</f>
        <v>1.2949432200753661</v>
      </c>
    </row>
    <row r="228" spans="12:17" x14ac:dyDescent="0.3">
      <c r="L228" s="4">
        <v>1996.3333333315099</v>
      </c>
      <c r="M228">
        <v>1996</v>
      </c>
      <c r="N228">
        <v>5</v>
      </c>
      <c r="O228">
        <v>13290</v>
      </c>
      <c r="P228" s="3">
        <f t="shared" si="13"/>
        <v>0.1636200625304039</v>
      </c>
      <c r="Q228" s="3">
        <f>STANDARDIZE(O228,I$9,J$9)</f>
        <v>0.54513777234648331</v>
      </c>
    </row>
    <row r="229" spans="12:17" x14ac:dyDescent="0.3">
      <c r="L229" s="4">
        <v>1996.2499999981501</v>
      </c>
      <c r="M229">
        <v>1996</v>
      </c>
      <c r="N229">
        <v>4</v>
      </c>
      <c r="O229">
        <v>10949</v>
      </c>
      <c r="P229" s="3">
        <f t="shared" si="13"/>
        <v>-0.14058687989681781</v>
      </c>
      <c r="Q229" s="3">
        <f>STANDARDIZE(O229,I$8,J$8)</f>
        <v>1.7381601355717948</v>
      </c>
    </row>
    <row r="230" spans="12:17" x14ac:dyDescent="0.3">
      <c r="L230" s="4">
        <v>1996.16666666479</v>
      </c>
      <c r="M230">
        <v>1996</v>
      </c>
      <c r="N230">
        <v>3</v>
      </c>
      <c r="O230">
        <v>9054</v>
      </c>
      <c r="P230" s="3">
        <f t="shared" si="13"/>
        <v>-0.38683726686802034</v>
      </c>
      <c r="Q230" s="3">
        <f>STANDARDIZE(O230,I$7,J$7)</f>
        <v>1.7791361862284476</v>
      </c>
    </row>
    <row r="231" spans="12:17" x14ac:dyDescent="0.3">
      <c r="L231" s="4">
        <v>1996.0833333314299</v>
      </c>
      <c r="M231">
        <v>1996</v>
      </c>
      <c r="N231">
        <v>2</v>
      </c>
      <c r="O231">
        <v>5953</v>
      </c>
      <c r="P231" s="3">
        <f t="shared" si="13"/>
        <v>-0.78980425895123885</v>
      </c>
      <c r="Q231" s="3">
        <f>STANDARDIZE(O231,I$6,J$6)</f>
        <v>0.4201052826906892</v>
      </c>
    </row>
    <row r="232" spans="12:17" x14ac:dyDescent="0.3">
      <c r="L232" s="4">
        <v>1995.9999999980701</v>
      </c>
      <c r="M232">
        <v>1996</v>
      </c>
      <c r="N232">
        <v>1</v>
      </c>
      <c r="O232">
        <v>12245</v>
      </c>
      <c r="P232" s="3">
        <f t="shared" si="13"/>
        <v>2.7824994253408307E-2</v>
      </c>
      <c r="Q232" s="3">
        <f>STANDARDIZE(O232,I$5,J$5)</f>
        <v>0.15416476926586131</v>
      </c>
    </row>
    <row r="233" spans="12:17" x14ac:dyDescent="0.3">
      <c r="L233" s="4">
        <v>1995.91666666471</v>
      </c>
      <c r="M233">
        <v>1995</v>
      </c>
      <c r="N233">
        <v>12</v>
      </c>
      <c r="O233">
        <v>22700</v>
      </c>
      <c r="P233" s="3">
        <f t="shared" si="13"/>
        <v>1.3864254141921537</v>
      </c>
      <c r="Q233" s="3">
        <f>STANDARDIZE(O233,I$16,J$16)</f>
        <v>0.23786624626814157</v>
      </c>
    </row>
    <row r="234" spans="12:17" x14ac:dyDescent="0.3">
      <c r="L234" s="4">
        <v>1995.8333333313501</v>
      </c>
      <c r="M234">
        <v>1995</v>
      </c>
      <c r="N234">
        <v>11</v>
      </c>
      <c r="O234">
        <v>12625</v>
      </c>
      <c r="P234" s="3">
        <f t="shared" si="13"/>
        <v>7.7205019081406701E-2</v>
      </c>
      <c r="Q234" s="3">
        <f>STANDARDIZE(O234,I$15,J$15)</f>
        <v>-0.72320179873842472</v>
      </c>
    </row>
    <row r="235" spans="12:17" x14ac:dyDescent="0.3">
      <c r="L235" s="4">
        <v>1995.74999999799</v>
      </c>
      <c r="M235">
        <v>1995</v>
      </c>
      <c r="N235">
        <v>10</v>
      </c>
      <c r="O235">
        <v>21754</v>
      </c>
      <c r="P235" s="3">
        <f t="shared" si="13"/>
        <v>1.2634951418571891</v>
      </c>
      <c r="Q235" s="3">
        <f>STANDARDIZE(O235,I$14,J$14)</f>
        <v>0.71016923390228481</v>
      </c>
    </row>
    <row r="236" spans="12:17" x14ac:dyDescent="0.3">
      <c r="L236" s="4">
        <v>1995.6666666646299</v>
      </c>
      <c r="M236">
        <v>1995</v>
      </c>
      <c r="N236">
        <v>9</v>
      </c>
      <c r="O236">
        <v>22612</v>
      </c>
      <c r="P236" s="3">
        <f t="shared" si="13"/>
        <v>1.3749900400214592</v>
      </c>
      <c r="Q236" s="3">
        <f>STANDARDIZE(O236,I$13,J$13)</f>
        <v>1.438021850112388</v>
      </c>
    </row>
    <row r="237" spans="12:17" x14ac:dyDescent="0.3">
      <c r="L237" s="4">
        <v>1995.5833333312701</v>
      </c>
      <c r="M237">
        <v>1995</v>
      </c>
      <c r="N237">
        <v>8</v>
      </c>
      <c r="O237">
        <v>20332</v>
      </c>
      <c r="P237" s="3">
        <f t="shared" si="13"/>
        <v>1.0787098910534689</v>
      </c>
      <c r="Q237" s="3">
        <f>STANDARDIZE(O237,I$12,J$12)</f>
        <v>1.2030918790206464</v>
      </c>
    </row>
    <row r="238" spans="12:17" x14ac:dyDescent="0.3">
      <c r="L238" s="4">
        <v>1995.49999999791</v>
      </c>
      <c r="M238">
        <v>1995</v>
      </c>
      <c r="N238">
        <v>7</v>
      </c>
      <c r="O238">
        <v>15478</v>
      </c>
      <c r="P238" s="3">
        <f t="shared" si="13"/>
        <v>0.44794504759266834</v>
      </c>
      <c r="Q238" s="3">
        <f>STANDARDIZE(O238,I$11,J$11)</f>
        <v>0.27100622629961474</v>
      </c>
    </row>
    <row r="239" spans="12:17" x14ac:dyDescent="0.3">
      <c r="L239" s="4">
        <v>1995.4166666645499</v>
      </c>
      <c r="M239">
        <v>1995</v>
      </c>
      <c r="N239">
        <v>6</v>
      </c>
      <c r="O239">
        <v>13104</v>
      </c>
      <c r="P239" s="3">
        <f t="shared" si="13"/>
        <v>0.13944983985143625</v>
      </c>
      <c r="Q239" s="3">
        <f>STANDARDIZE(O239,I$10,J$10)</f>
        <v>-9.3474031517867415E-2</v>
      </c>
    </row>
    <row r="240" spans="12:17" x14ac:dyDescent="0.3">
      <c r="L240" s="4">
        <v>1995.33333333119</v>
      </c>
      <c r="M240">
        <v>1995</v>
      </c>
      <c r="N240">
        <v>5</v>
      </c>
      <c r="O240">
        <v>8745</v>
      </c>
      <c r="P240" s="3">
        <f t="shared" si="13"/>
        <v>-0.42699102389920851</v>
      </c>
      <c r="Q240" s="3">
        <f>STANDARDIZE(O240,I$9,J$9)</f>
        <v>-0.43235227497610573</v>
      </c>
    </row>
    <row r="241" spans="12:17" x14ac:dyDescent="0.3">
      <c r="L241" s="4">
        <v>1995.2499999978299</v>
      </c>
      <c r="M241">
        <v>1995</v>
      </c>
      <c r="N241">
        <v>4</v>
      </c>
      <c r="O241">
        <v>3423</v>
      </c>
      <c r="P241" s="3">
        <f t="shared" si="13"/>
        <v>-1.1185712663587017</v>
      </c>
      <c r="Q241" s="3">
        <f>STANDARDIZE(O241,I$8,J$8)</f>
        <v>-0.94797101344405854</v>
      </c>
    </row>
    <row r="242" spans="12:17" x14ac:dyDescent="0.3">
      <c r="L242" s="4">
        <v>1995.1666666644701</v>
      </c>
      <c r="M242">
        <v>1995</v>
      </c>
      <c r="N242">
        <v>3</v>
      </c>
      <c r="O242">
        <v>1767</v>
      </c>
      <c r="P242" s="3">
        <f t="shared" si="13"/>
        <v>-1.3337642166617685</v>
      </c>
      <c r="Q242" s="3">
        <f>STANDARDIZE(O242,I$7,J$7)</f>
        <v>-1.1907495598697799</v>
      </c>
    </row>
    <row r="243" spans="12:17" x14ac:dyDescent="0.3">
      <c r="L243" s="4">
        <v>1995.08333333111</v>
      </c>
      <c r="M243">
        <v>1995</v>
      </c>
      <c r="N243">
        <v>2</v>
      </c>
      <c r="O243">
        <v>1497</v>
      </c>
      <c r="P243" s="3">
        <f t="shared" si="13"/>
        <v>-1.368850023776399</v>
      </c>
      <c r="Q243" s="3">
        <f>STANDARDIZE(O243,I$6,J$6)</f>
        <v>-1.2056425403649809</v>
      </c>
    </row>
    <row r="244" spans="12:17" x14ac:dyDescent="0.3">
      <c r="L244" s="4">
        <v>1994.9999999977499</v>
      </c>
      <c r="M244">
        <v>1995</v>
      </c>
      <c r="N244">
        <v>1</v>
      </c>
      <c r="O244">
        <v>7567</v>
      </c>
      <c r="P244" s="3">
        <f t="shared" si="13"/>
        <v>-0.5800691008660035</v>
      </c>
      <c r="Q244" s="3">
        <f>STANDARDIZE(O244,I$5,J$5)</f>
        <v>-0.53488478367163128</v>
      </c>
    </row>
    <row r="245" spans="12:17" x14ac:dyDescent="0.3">
      <c r="L245" s="4">
        <v>1994.91666666439</v>
      </c>
      <c r="M245">
        <v>1994</v>
      </c>
      <c r="N245">
        <v>12</v>
      </c>
      <c r="O245">
        <v>25821</v>
      </c>
      <c r="P245" s="3">
        <f t="shared" si="13"/>
        <v>1.79199135495053</v>
      </c>
      <c r="Q245" s="3">
        <f>STANDARDIZE(O245,I$16,J$16)</f>
        <v>0.54247949121982431</v>
      </c>
    </row>
    <row r="246" spans="12:17" x14ac:dyDescent="0.3">
      <c r="L246" s="4">
        <v>1994.83333333103</v>
      </c>
      <c r="M246">
        <v>1994</v>
      </c>
      <c r="N246">
        <v>11</v>
      </c>
      <c r="O246">
        <v>22969</v>
      </c>
      <c r="P246" s="3">
        <f t="shared" si="13"/>
        <v>1.4213812738730263</v>
      </c>
      <c r="Q246" s="3">
        <f>STANDARDIZE(O246,I$15,J$15)</f>
        <v>0.38868871941708438</v>
      </c>
    </row>
    <row r="247" spans="12:17" x14ac:dyDescent="0.3">
      <c r="L247" s="4">
        <v>1994.7499999976701</v>
      </c>
      <c r="M247">
        <v>1994</v>
      </c>
      <c r="N247">
        <v>10</v>
      </c>
      <c r="O247">
        <v>16391</v>
      </c>
      <c r="P247" s="3">
        <f t="shared" si="13"/>
        <v>0.56658705461362235</v>
      </c>
      <c r="Q247" s="3">
        <f>STANDARDIZE(O247,I$14,J$14)</f>
        <v>5.2448254957491128E-2</v>
      </c>
    </row>
    <row r="248" spans="12:17" x14ac:dyDescent="0.3">
      <c r="L248" s="4">
        <v>1994.66666666431</v>
      </c>
      <c r="M248">
        <v>1994</v>
      </c>
      <c r="N248">
        <v>9</v>
      </c>
      <c r="O248">
        <v>10837</v>
      </c>
      <c r="P248" s="3">
        <f t="shared" si="13"/>
        <v>-0.15514099247770155</v>
      </c>
      <c r="Q248" s="3">
        <f>STANDARDIZE(O248,I$13,J$13)</f>
        <v>-0.21016102681538323</v>
      </c>
    </row>
    <row r="249" spans="12:17" x14ac:dyDescent="0.3">
      <c r="L249" s="4">
        <v>1994.5833333309499</v>
      </c>
      <c r="M249">
        <v>1994</v>
      </c>
      <c r="N249">
        <v>8</v>
      </c>
      <c r="O249">
        <v>12208</v>
      </c>
      <c r="P249" s="3">
        <f t="shared" si="13"/>
        <v>2.3016939204366357E-2</v>
      </c>
      <c r="Q249" s="3">
        <f>STANDARDIZE(O249,I$12,J$12)</f>
        <v>1.6448500908905636E-2</v>
      </c>
    </row>
    <row r="250" spans="12:17" x14ac:dyDescent="0.3">
      <c r="L250" s="4">
        <v>1994.4999999975901</v>
      </c>
      <c r="M250">
        <v>1994</v>
      </c>
      <c r="N250">
        <v>7</v>
      </c>
      <c r="O250">
        <v>18320</v>
      </c>
      <c r="P250" s="3">
        <f t="shared" si="13"/>
        <v>0.81725565433259317</v>
      </c>
      <c r="Q250" s="3">
        <f>STANDARDIZE(O250,I$11,J$11)</f>
        <v>0.68793888214517607</v>
      </c>
    </row>
    <row r="251" spans="12:17" x14ac:dyDescent="0.3">
      <c r="L251" s="4">
        <v>1994.41666666423</v>
      </c>
      <c r="M251">
        <v>1994</v>
      </c>
      <c r="N251">
        <v>6</v>
      </c>
      <c r="O251">
        <v>20773</v>
      </c>
      <c r="P251" s="3">
        <f t="shared" si="13"/>
        <v>1.1360167093406985</v>
      </c>
      <c r="Q251" s="3">
        <f>STANDARDIZE(O251,I$10,J$10)</f>
        <v>1.1910924906764271</v>
      </c>
    </row>
    <row r="252" spans="12:17" x14ac:dyDescent="0.3">
      <c r="L252" s="4">
        <v>1994.3333333308699</v>
      </c>
      <c r="M252">
        <v>1994</v>
      </c>
      <c r="N252">
        <v>5</v>
      </c>
      <c r="O252">
        <v>16971</v>
      </c>
      <c r="P252" s="3">
        <f t="shared" si="13"/>
        <v>0.64195656619319885</v>
      </c>
      <c r="Q252" s="3">
        <f>STANDARDIZE(O252,I$9,J$9)</f>
        <v>1.3368079294849762</v>
      </c>
    </row>
    <row r="253" spans="12:17" x14ac:dyDescent="0.3">
      <c r="L253" s="4">
        <v>1994.24999999751</v>
      </c>
      <c r="M253">
        <v>1994</v>
      </c>
      <c r="N253">
        <v>4</v>
      </c>
      <c r="O253">
        <v>10474</v>
      </c>
      <c r="P253" s="3">
        <f t="shared" si="13"/>
        <v>-0.2023119109318158</v>
      </c>
      <c r="Q253" s="3">
        <f>STANDARDIZE(O253,I$8,J$8)</f>
        <v>1.5686262137298428</v>
      </c>
    </row>
    <row r="254" spans="12:17" x14ac:dyDescent="0.3">
      <c r="L254" s="4">
        <v>1994.1666666641499</v>
      </c>
      <c r="M254">
        <v>1994</v>
      </c>
      <c r="N254">
        <v>3</v>
      </c>
      <c r="O254">
        <v>6830</v>
      </c>
      <c r="P254" s="3">
        <f t="shared" si="13"/>
        <v>-0.67584035954556887</v>
      </c>
      <c r="Q254" s="3">
        <f>STANDARDIZE(O254,I$7,J$7)</f>
        <v>0.87272395906741318</v>
      </c>
    </row>
    <row r="255" spans="12:17" x14ac:dyDescent="0.3">
      <c r="L255" s="4">
        <v>1994.0833333307901</v>
      </c>
      <c r="M255">
        <v>1994</v>
      </c>
      <c r="N255">
        <v>2</v>
      </c>
      <c r="O255">
        <v>6237</v>
      </c>
      <c r="P255" s="3">
        <f t="shared" si="13"/>
        <v>-0.75289918776399789</v>
      </c>
      <c r="Q255" s="3">
        <f>STANDARDIZE(O255,I$6,J$6)</f>
        <v>0.52372116728400386</v>
      </c>
    </row>
    <row r="256" spans="12:17" x14ac:dyDescent="0.3">
      <c r="L256" s="4">
        <v>1993.99999999743</v>
      </c>
      <c r="M256">
        <v>1994</v>
      </c>
      <c r="N256">
        <v>1</v>
      </c>
      <c r="O256">
        <v>17094</v>
      </c>
      <c r="P256" s="3">
        <f t="shared" si="13"/>
        <v>0.6579401005454194</v>
      </c>
      <c r="Q256" s="3">
        <f>STANDARDIZE(O256,I$5,J$5)</f>
        <v>0.86840189671218493</v>
      </c>
    </row>
    <row r="257" spans="12:17" x14ac:dyDescent="0.3">
      <c r="L257" s="4">
        <v>1993.9166666640699</v>
      </c>
      <c r="M257">
        <v>1993</v>
      </c>
      <c r="N257">
        <v>12</v>
      </c>
      <c r="O257">
        <v>26148</v>
      </c>
      <c r="P257" s="3">
        <f t="shared" si="13"/>
        <v>1.8344841657893602</v>
      </c>
      <c r="Q257" s="3">
        <f>STANDARDIZE(O257,I$16,J$16)</f>
        <v>0.57439507311639604</v>
      </c>
    </row>
    <row r="258" spans="12:17" x14ac:dyDescent="0.3">
      <c r="L258" s="4">
        <v>1993.83333333071</v>
      </c>
      <c r="M258">
        <v>1993</v>
      </c>
      <c r="N258">
        <v>11</v>
      </c>
      <c r="O258">
        <v>20331</v>
      </c>
      <c r="P258" s="3">
        <f t="shared" si="13"/>
        <v>1.078579943619711</v>
      </c>
      <c r="Q258" s="3">
        <f>STANDARDIZE(O258,I$15,J$15)</f>
        <v>0.10512653970959859</v>
      </c>
    </row>
    <row r="259" spans="12:17" x14ac:dyDescent="0.3">
      <c r="L259" s="4">
        <v>1993.74999999735</v>
      </c>
      <c r="M259">
        <v>1993</v>
      </c>
      <c r="N259">
        <v>10</v>
      </c>
      <c r="O259">
        <v>17756</v>
      </c>
      <c r="P259" s="3">
        <f t="shared" si="13"/>
        <v>0.7439653016931429</v>
      </c>
      <c r="Q259" s="3">
        <f>STANDARDIZE(O259,I$14,J$14)</f>
        <v>0.21985253171670116</v>
      </c>
    </row>
    <row r="260" spans="12:17" x14ac:dyDescent="0.3">
      <c r="L260" s="4">
        <v>1993.6666666639901</v>
      </c>
      <c r="M260">
        <v>1993</v>
      </c>
      <c r="N260">
        <v>9</v>
      </c>
      <c r="O260">
        <v>13251</v>
      </c>
      <c r="P260" s="3">
        <f t="shared" si="13"/>
        <v>0.15855211261384616</v>
      </c>
      <c r="Q260" s="3">
        <f>STANDARDIZE(O260,I$13,J$13)</f>
        <v>0.1277339595883229</v>
      </c>
    </row>
    <row r="261" spans="12:17" x14ac:dyDescent="0.3">
      <c r="L261" s="4">
        <v>1993.58333333063</v>
      </c>
      <c r="M261">
        <v>1993</v>
      </c>
      <c r="N261">
        <v>8</v>
      </c>
      <c r="O261">
        <v>10202</v>
      </c>
      <c r="P261" s="3">
        <f t="shared" ref="P261:P324" si="14">STANDARDIZE(O261,O$2,O$3)</f>
        <v>-0.23765761291396201</v>
      </c>
      <c r="Q261" s="3">
        <f>STANDARDIZE(O261,I$12,J$12)</f>
        <v>-0.27656068378978371</v>
      </c>
    </row>
    <row r="262" spans="12:17" x14ac:dyDescent="0.3">
      <c r="L262" s="4">
        <v>1993.4999999972699</v>
      </c>
      <c r="M262">
        <v>1993</v>
      </c>
      <c r="N262">
        <v>7</v>
      </c>
      <c r="O262">
        <v>15703</v>
      </c>
      <c r="P262" s="3">
        <f t="shared" si="14"/>
        <v>0.4771832201881937</v>
      </c>
      <c r="Q262" s="3">
        <f>STANDARDIZE(O262,I$11,J$11)</f>
        <v>0.30401461742039282</v>
      </c>
    </row>
    <row r="263" spans="12:17" x14ac:dyDescent="0.3">
      <c r="L263" s="4">
        <v>1993.4166666639101</v>
      </c>
      <c r="M263">
        <v>1993</v>
      </c>
      <c r="N263">
        <v>6</v>
      </c>
      <c r="O263">
        <v>18468</v>
      </c>
      <c r="P263" s="3">
        <f t="shared" si="14"/>
        <v>0.83648787452876094</v>
      </c>
      <c r="Q263" s="3">
        <f>STANDARDIZE(O263,I$10,J$10)</f>
        <v>0.80500227895940424</v>
      </c>
    </row>
    <row r="264" spans="12:17" x14ac:dyDescent="0.3">
      <c r="L264" s="4">
        <v>1993.33333333055</v>
      </c>
      <c r="M264">
        <v>1993</v>
      </c>
      <c r="N264">
        <v>5</v>
      </c>
      <c r="O264">
        <v>14387</v>
      </c>
      <c r="P264" s="3">
        <f t="shared" si="14"/>
        <v>0.30617239736280977</v>
      </c>
      <c r="Q264" s="3">
        <f>STANDARDIZE(O264,I$9,J$9)</f>
        <v>0.78106881347142942</v>
      </c>
    </row>
    <row r="265" spans="12:17" x14ac:dyDescent="0.3">
      <c r="L265" s="4">
        <v>1993.2499999971899</v>
      </c>
      <c r="M265">
        <v>1993</v>
      </c>
      <c r="N265">
        <v>4</v>
      </c>
      <c r="O265">
        <v>6970</v>
      </c>
      <c r="P265" s="3">
        <f t="shared" si="14"/>
        <v>-0.65764771881946416</v>
      </c>
      <c r="Q265" s="3">
        <f>STANDARDIZE(O265,I$8,J$8)</f>
        <v>0.31800124081573838</v>
      </c>
    </row>
    <row r="266" spans="12:17" x14ac:dyDescent="0.3">
      <c r="L266" s="4">
        <v>1993.16666666383</v>
      </c>
      <c r="M266">
        <v>1993</v>
      </c>
      <c r="N266">
        <v>3</v>
      </c>
      <c r="O266">
        <v>3348</v>
      </c>
      <c r="P266" s="3">
        <f t="shared" si="14"/>
        <v>-1.1283173238905435</v>
      </c>
      <c r="Q266" s="3">
        <f>STANDARDIZE(O266,I$7,J$7)</f>
        <v>-0.54639806205431429</v>
      </c>
    </row>
    <row r="267" spans="12:17" x14ac:dyDescent="0.3">
      <c r="L267" s="4">
        <v>1993.0833333304699</v>
      </c>
      <c r="M267">
        <v>1993</v>
      </c>
      <c r="N267">
        <v>2</v>
      </c>
      <c r="O267">
        <v>3469</v>
      </c>
      <c r="P267" s="3">
        <f t="shared" si="14"/>
        <v>-1.1125936844058388</v>
      </c>
      <c r="Q267" s="3">
        <f>STANDARDIZE(O267,I$6,J$6)</f>
        <v>-0.48616886283675342</v>
      </c>
    </row>
    <row r="268" spans="12:17" x14ac:dyDescent="0.3">
      <c r="L268" s="4">
        <v>1992.9999999971101</v>
      </c>
      <c r="M268">
        <v>1993</v>
      </c>
      <c r="N268">
        <v>1</v>
      </c>
      <c r="O268">
        <v>6770</v>
      </c>
      <c r="P268" s="3">
        <f t="shared" si="14"/>
        <v>-0.68363720557104224</v>
      </c>
      <c r="Q268" s="3">
        <f>STANDARDIZE(O268,I$5,J$5)</f>
        <v>-0.65227950228881426</v>
      </c>
    </row>
    <row r="269" spans="12:17" x14ac:dyDescent="0.3">
      <c r="L269" s="4">
        <v>1992.91666666375</v>
      </c>
      <c r="M269">
        <v>1992</v>
      </c>
      <c r="N269">
        <v>12</v>
      </c>
      <c r="O269">
        <v>13090</v>
      </c>
      <c r="P269" s="3">
        <f t="shared" si="14"/>
        <v>0.13763057577882579</v>
      </c>
      <c r="Q269" s="3">
        <f>STANDARDIZE(O269,I$16,J$16)</f>
        <v>-0.70008097705312444</v>
      </c>
    </row>
    <row r="270" spans="12:17" x14ac:dyDescent="0.3">
      <c r="L270" s="4">
        <v>1992.8333333303899</v>
      </c>
      <c r="M270">
        <v>1992</v>
      </c>
      <c r="N270">
        <v>11</v>
      </c>
      <c r="O270">
        <v>11977</v>
      </c>
      <c r="P270" s="3">
        <f t="shared" si="14"/>
        <v>-7.0009179937063513E-3</v>
      </c>
      <c r="Q270" s="3">
        <f>STANDARDIZE(O270,I$15,J$15)</f>
        <v>-0.79285619314723854</v>
      </c>
    </row>
    <row r="271" spans="12:17" x14ac:dyDescent="0.3">
      <c r="L271" s="4">
        <v>1992.74999999703</v>
      </c>
      <c r="M271">
        <v>1992</v>
      </c>
      <c r="N271">
        <v>10</v>
      </c>
      <c r="O271">
        <v>12356</v>
      </c>
      <c r="P271" s="3">
        <f t="shared" si="14"/>
        <v>4.2249159400534156E-2</v>
      </c>
      <c r="Q271" s="3">
        <f>STANDARDIZE(O271,I$14,J$14)</f>
        <v>-0.44240614557248142</v>
      </c>
    </row>
    <row r="272" spans="12:17" x14ac:dyDescent="0.3">
      <c r="L272" s="4">
        <v>1992.66666666367</v>
      </c>
      <c r="M272">
        <v>1992</v>
      </c>
      <c r="N272">
        <v>9</v>
      </c>
      <c r="O272">
        <v>9242</v>
      </c>
      <c r="P272" s="3">
        <f t="shared" si="14"/>
        <v>-0.36240714932153689</v>
      </c>
      <c r="Q272" s="3">
        <f>STANDARDIZE(O272,I$13,J$13)</f>
        <v>-0.43341807044169278</v>
      </c>
    </row>
    <row r="273" spans="12:17" x14ac:dyDescent="0.3">
      <c r="L273" s="4">
        <v>1992.5833333303101</v>
      </c>
      <c r="M273">
        <v>1992</v>
      </c>
      <c r="N273">
        <v>8</v>
      </c>
      <c r="O273">
        <v>8444</v>
      </c>
      <c r="P273" s="3">
        <f t="shared" si="14"/>
        <v>-0.46610520146033357</v>
      </c>
      <c r="Q273" s="3">
        <f>STANDARDIZE(O273,I$12,J$12)</f>
        <v>-0.53334540298235389</v>
      </c>
    </row>
    <row r="274" spans="12:17" x14ac:dyDescent="0.3">
      <c r="L274" s="4">
        <v>1992.49999999695</v>
      </c>
      <c r="M274">
        <v>1992</v>
      </c>
      <c r="N274">
        <v>7</v>
      </c>
      <c r="O274">
        <v>6194</v>
      </c>
      <c r="P274" s="3">
        <f t="shared" si="14"/>
        <v>-0.75848692741558721</v>
      </c>
      <c r="Q274" s="3">
        <f>STANDARDIZE(O274,I$11,J$11)</f>
        <v>-1.0909933433239571</v>
      </c>
    </row>
    <row r="275" spans="12:17" x14ac:dyDescent="0.3">
      <c r="L275" s="4">
        <v>1992.4166666635899</v>
      </c>
      <c r="M275">
        <v>1992</v>
      </c>
      <c r="N275">
        <v>6</v>
      </c>
      <c r="O275">
        <v>7588</v>
      </c>
      <c r="P275" s="3">
        <f t="shared" si="14"/>
        <v>-0.5773402047570878</v>
      </c>
      <c r="Q275" s="3">
        <f>STANDARDIZE(O275,I$10,J$10)</f>
        <v>-1.0174105208155242</v>
      </c>
    </row>
    <row r="276" spans="12:17" x14ac:dyDescent="0.3">
      <c r="L276" s="4">
        <v>1992.3333333302301</v>
      </c>
      <c r="M276">
        <v>1992</v>
      </c>
      <c r="N276">
        <v>5</v>
      </c>
      <c r="O276">
        <v>5545</v>
      </c>
      <c r="P276" s="3">
        <f t="shared" si="14"/>
        <v>-0.84282281192445818</v>
      </c>
      <c r="Q276" s="3">
        <f>STANDARDIZE(O276,I$9,J$9)</f>
        <v>-1.1205740904727581</v>
      </c>
    </row>
    <row r="277" spans="12:17" x14ac:dyDescent="0.3">
      <c r="L277" s="4">
        <v>1992.24999999687</v>
      </c>
      <c r="M277">
        <v>1992</v>
      </c>
      <c r="N277">
        <v>4</v>
      </c>
      <c r="O277">
        <v>2027</v>
      </c>
      <c r="P277" s="3">
        <f t="shared" si="14"/>
        <v>-1.2999778838847169</v>
      </c>
      <c r="Q277" s="3">
        <f>STANDARDIZE(O277,I$8,J$8)</f>
        <v>-1.4462222868995636</v>
      </c>
    </row>
    <row r="278" spans="12:17" x14ac:dyDescent="0.3">
      <c r="L278" s="4">
        <v>1992.1666666635101</v>
      </c>
      <c r="M278">
        <v>1992</v>
      </c>
      <c r="N278">
        <v>3</v>
      </c>
      <c r="O278">
        <v>2122</v>
      </c>
      <c r="P278" s="3">
        <f t="shared" si="14"/>
        <v>-1.2876328776777173</v>
      </c>
      <c r="Q278" s="3">
        <f>STANDARDIZE(O278,I$7,J$7)</f>
        <v>-1.0460659534659276</v>
      </c>
    </row>
    <row r="279" spans="12:17" x14ac:dyDescent="0.3">
      <c r="L279" s="4">
        <v>1992.08333333015</v>
      </c>
      <c r="M279">
        <v>1992</v>
      </c>
      <c r="N279">
        <v>2</v>
      </c>
      <c r="O279">
        <v>2247</v>
      </c>
      <c r="P279" s="3">
        <f t="shared" si="14"/>
        <v>-1.2713894484579811</v>
      </c>
      <c r="Q279" s="3">
        <f>STANDARDIZE(O279,I$6,J$6)</f>
        <v>-0.93200904231925541</v>
      </c>
    </row>
    <row r="280" spans="12:17" x14ac:dyDescent="0.3">
      <c r="L280" s="4">
        <v>1991.9999999967899</v>
      </c>
      <c r="M280">
        <v>1992</v>
      </c>
      <c r="N280">
        <v>1</v>
      </c>
      <c r="O280">
        <v>5564</v>
      </c>
      <c r="P280" s="3">
        <f t="shared" si="14"/>
        <v>-0.84035381068305826</v>
      </c>
      <c r="Q280" s="3">
        <f>STANDARDIZE(O280,I$5,J$5)</f>
        <v>-0.82991818566688524</v>
      </c>
    </row>
    <row r="281" spans="12:17" x14ac:dyDescent="0.3">
      <c r="L281" s="4">
        <v>1991.9166666634301</v>
      </c>
      <c r="M281">
        <v>1991</v>
      </c>
      <c r="N281">
        <v>12</v>
      </c>
      <c r="O281">
        <v>18596</v>
      </c>
      <c r="P281" s="3">
        <f t="shared" si="14"/>
        <v>0.85312114604977096</v>
      </c>
      <c r="Q281" s="3">
        <f>STANDARDIZE(O281,I$16,J$16)</f>
        <v>-0.16268894670901513</v>
      </c>
    </row>
    <row r="282" spans="12:17" x14ac:dyDescent="0.3">
      <c r="L282" s="4">
        <v>1991.83333333007</v>
      </c>
      <c r="M282">
        <v>1991</v>
      </c>
      <c r="N282">
        <v>11</v>
      </c>
      <c r="O282">
        <v>17123</v>
      </c>
      <c r="P282" s="3">
        <f t="shared" si="14"/>
        <v>0.66170857612439826</v>
      </c>
      <c r="Q282" s="3">
        <f>STANDARDIZE(O282,I$15,J$15)</f>
        <v>-0.23970570915378822</v>
      </c>
    </row>
    <row r="283" spans="12:17" x14ac:dyDescent="0.3">
      <c r="L283" s="4">
        <v>1991.7499999967099</v>
      </c>
      <c r="M283">
        <v>1991</v>
      </c>
      <c r="N283">
        <v>10</v>
      </c>
      <c r="O283">
        <v>15690</v>
      </c>
      <c r="P283" s="3">
        <f t="shared" si="14"/>
        <v>0.47549390354934112</v>
      </c>
      <c r="Q283" s="3">
        <f>STANDARDIZE(O283,I$14,J$14)</f>
        <v>-3.352273259430831E-2</v>
      </c>
    </row>
    <row r="284" spans="12:17" x14ac:dyDescent="0.3">
      <c r="L284" s="4">
        <v>1991.66666666335</v>
      </c>
      <c r="M284">
        <v>1991</v>
      </c>
      <c r="N284">
        <v>9</v>
      </c>
      <c r="O284">
        <v>7373</v>
      </c>
      <c r="P284" s="3">
        <f t="shared" si="14"/>
        <v>-0.60527890301503429</v>
      </c>
      <c r="Q284" s="3">
        <f>STANDARDIZE(O284,I$13,J$13)</f>
        <v>-0.69502773472857216</v>
      </c>
    </row>
    <row r="285" spans="12:17" x14ac:dyDescent="0.3">
      <c r="L285" s="4">
        <v>1991.58333332999</v>
      </c>
      <c r="M285">
        <v>1991</v>
      </c>
      <c r="N285">
        <v>8</v>
      </c>
      <c r="O285">
        <v>10448</v>
      </c>
      <c r="P285" s="3">
        <f t="shared" si="14"/>
        <v>-0.20569054420952096</v>
      </c>
      <c r="Q285" s="3">
        <f>STANDARDIZE(O285,I$12,J$12)</f>
        <v>-0.24062835107000424</v>
      </c>
    </row>
    <row r="286" spans="12:17" x14ac:dyDescent="0.3">
      <c r="L286" s="4">
        <v>1991.4999999966301</v>
      </c>
      <c r="M286">
        <v>1991</v>
      </c>
      <c r="N286">
        <v>7</v>
      </c>
      <c r="O286">
        <v>11781</v>
      </c>
      <c r="P286" s="3">
        <f t="shared" si="14"/>
        <v>-3.247061501025289E-2</v>
      </c>
      <c r="Q286" s="3">
        <f>STANDARDIZE(O286,I$11,J$11)</f>
        <v>-0.27135831580490327</v>
      </c>
    </row>
    <row r="287" spans="12:17" x14ac:dyDescent="0.3">
      <c r="L287" s="4">
        <v>1991.41666666327</v>
      </c>
      <c r="M287">
        <v>1991</v>
      </c>
      <c r="N287">
        <v>6</v>
      </c>
      <c r="O287">
        <v>12770</v>
      </c>
      <c r="P287" s="3">
        <f t="shared" si="14"/>
        <v>9.6047396976300825E-2</v>
      </c>
      <c r="Q287" s="3">
        <f>STANDARDIZE(O287,I$10,J$10)</f>
        <v>-0.14941942445213452</v>
      </c>
    </row>
    <row r="288" spans="12:17" x14ac:dyDescent="0.3">
      <c r="L288" s="4">
        <v>1991.3333333299099</v>
      </c>
      <c r="M288">
        <v>1991</v>
      </c>
      <c r="N288">
        <v>5</v>
      </c>
      <c r="O288">
        <v>10803</v>
      </c>
      <c r="P288" s="3">
        <f t="shared" si="14"/>
        <v>-0.15955920522546982</v>
      </c>
      <c r="Q288" s="3">
        <f>STANDARDIZE(O288,I$9,J$9)</f>
        <v>1.0260380115178807E-2</v>
      </c>
    </row>
    <row r="289" spans="12:17" x14ac:dyDescent="0.3">
      <c r="L289" s="4">
        <v>1991.2499999965501</v>
      </c>
      <c r="M289">
        <v>1991</v>
      </c>
      <c r="N289">
        <v>4</v>
      </c>
      <c r="O289">
        <v>5907</v>
      </c>
      <c r="P289" s="3">
        <f t="shared" si="14"/>
        <v>-0.79578184090410176</v>
      </c>
      <c r="Q289" s="3">
        <f>STANDARDIZE(O289,I$8,J$8)</f>
        <v>-6.1397830590566721E-2</v>
      </c>
    </row>
    <row r="290" spans="12:17" x14ac:dyDescent="0.3">
      <c r="L290" s="4">
        <v>1991.16666666319</v>
      </c>
      <c r="M290">
        <v>1991</v>
      </c>
      <c r="N290">
        <v>3</v>
      </c>
      <c r="O290">
        <v>4498</v>
      </c>
      <c r="P290" s="3">
        <f t="shared" si="14"/>
        <v>-0.97887777506896956</v>
      </c>
      <c r="Q290" s="3">
        <f>STANDARDIZE(O290,I$7,J$7)</f>
        <v>-7.7704689196764973E-2</v>
      </c>
    </row>
    <row r="291" spans="12:17" x14ac:dyDescent="0.3">
      <c r="L291" s="4">
        <v>1991.0833333298301</v>
      </c>
      <c r="M291">
        <v>1991</v>
      </c>
      <c r="N291">
        <v>2</v>
      </c>
      <c r="O291">
        <v>3168</v>
      </c>
      <c r="P291" s="3">
        <f t="shared" si="14"/>
        <v>-1.1517078619669638</v>
      </c>
      <c r="Q291" s="3">
        <f>STANDARDIZE(O291,I$6,J$6)</f>
        <v>-0.5959871067191046</v>
      </c>
    </row>
    <row r="292" spans="12:17" x14ac:dyDescent="0.3">
      <c r="L292" s="4">
        <v>1990.99999999647</v>
      </c>
      <c r="M292">
        <v>1991</v>
      </c>
      <c r="N292">
        <v>1</v>
      </c>
      <c r="O292">
        <v>13451</v>
      </c>
      <c r="P292" s="3">
        <f t="shared" si="14"/>
        <v>0.18454159936542427</v>
      </c>
      <c r="Q292" s="3">
        <f>STANDARDIZE(O292,I$5,J$5)</f>
        <v>0.3318034526439323</v>
      </c>
    </row>
    <row r="293" spans="12:17" x14ac:dyDescent="0.3">
      <c r="L293" s="4">
        <v>1990.9166666631099</v>
      </c>
      <c r="M293">
        <v>1990</v>
      </c>
      <c r="N293">
        <v>12</v>
      </c>
      <c r="O293">
        <v>27156</v>
      </c>
      <c r="P293" s="3">
        <f t="shared" si="14"/>
        <v>1.9654711790173138</v>
      </c>
      <c r="Q293" s="3">
        <f>STANDARDIZE(O293,I$16,J$16)</f>
        <v>0.6727770503388556</v>
      </c>
    </row>
    <row r="294" spans="12:17" x14ac:dyDescent="0.3">
      <c r="L294" s="4">
        <v>1990.8333333297501</v>
      </c>
      <c r="M294">
        <v>1990</v>
      </c>
      <c r="N294">
        <v>11</v>
      </c>
      <c r="O294">
        <v>24705</v>
      </c>
      <c r="P294" s="3">
        <f t="shared" si="14"/>
        <v>1.6469700188767242</v>
      </c>
      <c r="Q294" s="3">
        <f>STANDARDIZE(O294,I$15,J$15)</f>
        <v>0.57529370196909169</v>
      </c>
    </row>
    <row r="295" spans="12:17" x14ac:dyDescent="0.3">
      <c r="L295" s="4">
        <v>1990.74999999639</v>
      </c>
      <c r="M295">
        <v>1990</v>
      </c>
      <c r="N295">
        <v>10</v>
      </c>
      <c r="O295">
        <v>16755</v>
      </c>
      <c r="P295" s="3">
        <f t="shared" si="14"/>
        <v>0.61388792050149454</v>
      </c>
      <c r="Q295" s="3">
        <f>STANDARDIZE(O295,I$14,J$14)</f>
        <v>9.7089395426613809E-2</v>
      </c>
    </row>
    <row r="296" spans="12:17" x14ac:dyDescent="0.3">
      <c r="L296" s="4">
        <v>1990.6666666630299</v>
      </c>
      <c r="M296">
        <v>1990</v>
      </c>
      <c r="N296">
        <v>9</v>
      </c>
      <c r="O296">
        <v>10931</v>
      </c>
      <c r="P296" s="3">
        <f t="shared" si="14"/>
        <v>-0.14292593370445983</v>
      </c>
      <c r="Q296" s="3">
        <f>STANDARDIZE(O296,I$13,J$13)</f>
        <v>-0.19700355841358191</v>
      </c>
    </row>
    <row r="297" spans="12:17" x14ac:dyDescent="0.3">
      <c r="L297" s="4">
        <v>1990.58333332967</v>
      </c>
      <c r="M297">
        <v>1990</v>
      </c>
      <c r="N297">
        <v>8</v>
      </c>
      <c r="O297">
        <v>10393</v>
      </c>
      <c r="P297" s="3">
        <f t="shared" si="14"/>
        <v>-0.21283765306620492</v>
      </c>
      <c r="Q297" s="3">
        <f>STANDARDIZE(O297,I$12,J$12)</f>
        <v>-0.24866200269434519</v>
      </c>
    </row>
    <row r="298" spans="12:17" x14ac:dyDescent="0.3">
      <c r="L298" s="4">
        <v>1990.49999999631</v>
      </c>
      <c r="M298">
        <v>1990</v>
      </c>
      <c r="N298">
        <v>7</v>
      </c>
      <c r="O298">
        <v>13023</v>
      </c>
      <c r="P298" s="3">
        <f t="shared" si="14"/>
        <v>0.12892409771704713</v>
      </c>
      <c r="Q298" s="3">
        <f>STANDARDIZE(O298,I$11,J$11)</f>
        <v>-8.9151996818208276E-2</v>
      </c>
    </row>
    <row r="299" spans="12:17" x14ac:dyDescent="0.3">
      <c r="L299" s="4">
        <v>1990.4166666629501</v>
      </c>
      <c r="M299">
        <v>1990</v>
      </c>
      <c r="N299">
        <v>6</v>
      </c>
      <c r="O299">
        <v>14917</v>
      </c>
      <c r="P299" s="3">
        <f t="shared" si="14"/>
        <v>0.37504453725449177</v>
      </c>
      <c r="Q299" s="3">
        <f>STANDARDIZE(O299,I$10,J$10)</f>
        <v>0.21020560138580402</v>
      </c>
    </row>
    <row r="300" spans="12:17" x14ac:dyDescent="0.3">
      <c r="L300" s="4">
        <v>1990.33333332959</v>
      </c>
      <c r="M300">
        <v>1990</v>
      </c>
      <c r="N300">
        <v>5</v>
      </c>
      <c r="O300">
        <v>14255</v>
      </c>
      <c r="P300" s="3">
        <f t="shared" si="14"/>
        <v>0.28901933610676822</v>
      </c>
      <c r="Q300" s="3">
        <f>STANDARDIZE(O300,I$9,J$9)</f>
        <v>0.75267966358219252</v>
      </c>
    </row>
    <row r="301" spans="12:17" x14ac:dyDescent="0.3">
      <c r="L301" s="4">
        <v>1990.2499999962299</v>
      </c>
      <c r="M301">
        <v>1990</v>
      </c>
      <c r="N301">
        <v>4</v>
      </c>
      <c r="O301">
        <v>6965</v>
      </c>
      <c r="P301" s="3">
        <f t="shared" si="14"/>
        <v>-0.65829745598825362</v>
      </c>
      <c r="Q301" s="3">
        <f>STANDARDIZE(O301,I$8,J$8)</f>
        <v>0.31621667321740204</v>
      </c>
    </row>
    <row r="302" spans="12:17" x14ac:dyDescent="0.3">
      <c r="L302" s="4">
        <v>1990.1666666628701</v>
      </c>
      <c r="M302">
        <v>1990</v>
      </c>
      <c r="N302">
        <v>3</v>
      </c>
      <c r="O302">
        <v>5647</v>
      </c>
      <c r="P302" s="3">
        <f t="shared" si="14"/>
        <v>-0.82956817368115332</v>
      </c>
      <c r="Q302" s="3">
        <f>STANDARDIZE(O302,I$7,J$7)</f>
        <v>0.39058112420612556</v>
      </c>
    </row>
    <row r="303" spans="12:17" x14ac:dyDescent="0.3">
      <c r="L303" s="4">
        <v>1990.08333332951</v>
      </c>
      <c r="M303">
        <v>1990</v>
      </c>
      <c r="N303">
        <v>2</v>
      </c>
      <c r="O303">
        <v>5953</v>
      </c>
      <c r="P303" s="3">
        <f t="shared" si="14"/>
        <v>-0.78980425895123885</v>
      </c>
      <c r="Q303" s="3">
        <f>STANDARDIZE(O303,I$6,J$6)</f>
        <v>0.4201052826906892</v>
      </c>
    </row>
    <row r="304" spans="12:17" x14ac:dyDescent="0.3">
      <c r="L304" s="4">
        <v>1989.9999999961501</v>
      </c>
      <c r="M304">
        <v>1990</v>
      </c>
      <c r="N304">
        <v>1</v>
      </c>
      <c r="O304">
        <v>11692</v>
      </c>
      <c r="P304" s="3">
        <f t="shared" si="14"/>
        <v>-4.4035936614705146E-2</v>
      </c>
      <c r="Q304" s="3">
        <f>STANDARDIZE(O304,I$5,J$5)</f>
        <v>7.2710215444905038E-2</v>
      </c>
    </row>
    <row r="305" spans="12:17" x14ac:dyDescent="0.3">
      <c r="L305" s="4">
        <v>1989.91666666279</v>
      </c>
      <c r="M305">
        <v>1989</v>
      </c>
      <c r="N305">
        <v>12</v>
      </c>
      <c r="O305">
        <v>30546</v>
      </c>
      <c r="P305" s="3">
        <f t="shared" si="14"/>
        <v>2.4059929794565624</v>
      </c>
      <c r="Q305" s="3">
        <f>STANDARDIZE(O305,I$16,J$16)</f>
        <v>1.0036450094501035</v>
      </c>
    </row>
    <row r="306" spans="12:17" x14ac:dyDescent="0.3">
      <c r="L306" s="4">
        <v>1989.8333333294299</v>
      </c>
      <c r="M306">
        <v>1989</v>
      </c>
      <c r="N306">
        <v>11</v>
      </c>
      <c r="O306">
        <v>37097</v>
      </c>
      <c r="P306" s="3">
        <f t="shared" si="14"/>
        <v>3.2572786180045035</v>
      </c>
      <c r="Q306" s="3">
        <f>STANDARDIZE(O306,I$15,J$15)</f>
        <v>1.9073265036882592</v>
      </c>
    </row>
    <row r="307" spans="12:17" x14ac:dyDescent="0.3">
      <c r="L307" s="4">
        <v>1989.7499999960701</v>
      </c>
      <c r="M307">
        <v>1989</v>
      </c>
      <c r="N307">
        <v>10</v>
      </c>
      <c r="O307">
        <v>29276</v>
      </c>
      <c r="P307" s="3">
        <f t="shared" si="14"/>
        <v>2.2409597385840416</v>
      </c>
      <c r="Q307" s="3">
        <f>STANDARDIZE(O307,I$14,J$14)</f>
        <v>1.6326710432669573</v>
      </c>
    </row>
    <row r="308" spans="12:17" x14ac:dyDescent="0.3">
      <c r="L308" s="4">
        <v>1989.66666666271</v>
      </c>
      <c r="M308">
        <v>1989</v>
      </c>
      <c r="N308">
        <v>9</v>
      </c>
      <c r="O308">
        <v>17615</v>
      </c>
      <c r="P308" s="3">
        <f t="shared" si="14"/>
        <v>0.72564271353328036</v>
      </c>
      <c r="Q308" s="3">
        <f>STANDARDIZE(O308,I$13,J$13)</f>
        <v>0.73857642879535423</v>
      </c>
    </row>
    <row r="309" spans="12:17" x14ac:dyDescent="0.3">
      <c r="L309" s="4">
        <v>1989.5833333293499</v>
      </c>
      <c r="M309">
        <v>1989</v>
      </c>
      <c r="N309">
        <v>8</v>
      </c>
      <c r="O309">
        <v>12404</v>
      </c>
      <c r="P309" s="3">
        <f t="shared" si="14"/>
        <v>4.8486636220912899E-2</v>
      </c>
      <c r="Q309" s="3">
        <f>STANDARDIZE(O309,I$12,J$12)</f>
        <v>4.5077513970193328E-2</v>
      </c>
    </row>
    <row r="310" spans="12:17" x14ac:dyDescent="0.3">
      <c r="L310" s="4">
        <v>1989.49999999599</v>
      </c>
      <c r="M310">
        <v>1989</v>
      </c>
      <c r="N310">
        <v>7</v>
      </c>
      <c r="O310">
        <v>13639</v>
      </c>
      <c r="P310" s="3">
        <f t="shared" si="14"/>
        <v>0.20897171691190769</v>
      </c>
      <c r="Q310" s="3">
        <f>STANDARDIZE(O310,I$11,J$11)</f>
        <v>1.2176428724552622E-3</v>
      </c>
    </row>
    <row r="311" spans="12:17" x14ac:dyDescent="0.3">
      <c r="L311" s="4">
        <v>1989.41666666263</v>
      </c>
      <c r="M311">
        <v>1989</v>
      </c>
      <c r="N311">
        <v>6</v>
      </c>
      <c r="O311">
        <v>14416</v>
      </c>
      <c r="P311" s="3">
        <f t="shared" si="14"/>
        <v>0.30994087294178863</v>
      </c>
      <c r="Q311" s="3">
        <f>STANDARDIZE(O311,I$10,J$10)</f>
        <v>0.12628751198440336</v>
      </c>
    </row>
    <row r="312" spans="12:17" x14ac:dyDescent="0.3">
      <c r="L312" s="4">
        <v>1989.3333333292701</v>
      </c>
      <c r="M312">
        <v>1989</v>
      </c>
      <c r="N312">
        <v>5</v>
      </c>
      <c r="O312">
        <v>10998</v>
      </c>
      <c r="P312" s="3">
        <f t="shared" si="14"/>
        <v>-0.13421945564268117</v>
      </c>
      <c r="Q312" s="3">
        <f>STANDARDIZE(O312,I$9,J$9)</f>
        <v>5.2198896997006063E-2</v>
      </c>
    </row>
    <row r="313" spans="12:17" x14ac:dyDescent="0.3">
      <c r="L313" s="4">
        <v>1989.24999999591</v>
      </c>
      <c r="M313">
        <v>1989</v>
      </c>
      <c r="N313">
        <v>4</v>
      </c>
      <c r="O313">
        <v>8708</v>
      </c>
      <c r="P313" s="3">
        <f t="shared" si="14"/>
        <v>-0.43179907894825043</v>
      </c>
      <c r="Q313" s="3">
        <f>STANDARDIZE(O313,I$8,J$8)</f>
        <v>0.93831693799744886</v>
      </c>
    </row>
    <row r="314" spans="12:17" x14ac:dyDescent="0.3">
      <c r="L314" s="4">
        <v>1989.1666666625499</v>
      </c>
      <c r="M314">
        <v>1989</v>
      </c>
      <c r="N314">
        <v>3</v>
      </c>
      <c r="O314">
        <v>9785</v>
      </c>
      <c r="P314" s="3">
        <f t="shared" si="14"/>
        <v>-0.29184569279100236</v>
      </c>
      <c r="Q314" s="3">
        <f>STANDARDIZE(O314,I$7,J$7)</f>
        <v>2.0770621475839857</v>
      </c>
    </row>
    <row r="315" spans="12:17" x14ac:dyDescent="0.3">
      <c r="L315" s="4">
        <v>1989.0833333291901</v>
      </c>
      <c r="M315">
        <v>1989</v>
      </c>
      <c r="N315">
        <v>2</v>
      </c>
      <c r="O315">
        <v>12516</v>
      </c>
      <c r="P315" s="3">
        <f t="shared" si="14"/>
        <v>6.3040748801796637E-2</v>
      </c>
      <c r="Q315" s="3">
        <f>STANDARDIZE(O315,I$6,J$6)</f>
        <v>2.8145808129228174</v>
      </c>
    </row>
    <row r="316" spans="12:17" x14ac:dyDescent="0.3">
      <c r="L316" s="4">
        <v>1988.99999999583</v>
      </c>
      <c r="M316">
        <v>1989</v>
      </c>
      <c r="N316">
        <v>1</v>
      </c>
      <c r="O316">
        <v>35773</v>
      </c>
      <c r="P316" s="3">
        <f t="shared" si="14"/>
        <v>3.0852282157090563</v>
      </c>
      <c r="Q316" s="3">
        <f>STANDARDIZE(O316,I$5,J$5)</f>
        <v>3.6197393484692233</v>
      </c>
    </row>
    <row r="317" spans="12:17" x14ac:dyDescent="0.3">
      <c r="L317" s="4">
        <v>1988.9166666624701</v>
      </c>
      <c r="M317">
        <v>1988</v>
      </c>
      <c r="N317">
        <v>12</v>
      </c>
      <c r="O317">
        <v>48474</v>
      </c>
      <c r="P317" s="3">
        <f t="shared" si="14"/>
        <v>4.735690571868024</v>
      </c>
      <c r="Q317" s="3">
        <f>STANDARDIZE(O317,I$16,J$16)</f>
        <v>2.7534387471924195</v>
      </c>
    </row>
    <row r="318" spans="12:17" x14ac:dyDescent="0.3">
      <c r="L318" s="4">
        <v>1988.83333332911</v>
      </c>
      <c r="M318">
        <v>1988</v>
      </c>
      <c r="N318">
        <v>11</v>
      </c>
      <c r="O318">
        <v>44340</v>
      </c>
      <c r="P318" s="3">
        <f t="shared" si="14"/>
        <v>4.1984878807129045</v>
      </c>
      <c r="Q318" s="3">
        <f>STANDARDIZE(O318,I$15,J$15)</f>
        <v>2.6858863473657877</v>
      </c>
    </row>
    <row r="319" spans="12:17" x14ac:dyDescent="0.3">
      <c r="L319" s="4">
        <v>1988.7499999957499</v>
      </c>
      <c r="M319">
        <v>1988</v>
      </c>
      <c r="N319">
        <v>10</v>
      </c>
      <c r="O319">
        <v>43958</v>
      </c>
      <c r="P319" s="3">
        <f t="shared" si="14"/>
        <v>4.1488479610173901</v>
      </c>
      <c r="Q319" s="3">
        <f>STANDARDIZE(O319,I$14,J$14)</f>
        <v>3.4332788025187684</v>
      </c>
    </row>
    <row r="320" spans="12:17" x14ac:dyDescent="0.3">
      <c r="L320" s="4">
        <v>1988.6666666623901</v>
      </c>
      <c r="M320">
        <v>1988</v>
      </c>
      <c r="N320">
        <v>9</v>
      </c>
      <c r="O320">
        <v>33975</v>
      </c>
      <c r="P320" s="3">
        <f t="shared" si="14"/>
        <v>2.8515827298123693</v>
      </c>
      <c r="Q320" s="3">
        <f>STANDARDIZE(O320,I$13,J$13)</f>
        <v>3.0285358229811998</v>
      </c>
    </row>
    <row r="321" spans="12:17" x14ac:dyDescent="0.3">
      <c r="L321" s="4">
        <v>1988.58333332903</v>
      </c>
      <c r="M321">
        <v>1988</v>
      </c>
      <c r="N321">
        <v>8</v>
      </c>
      <c r="O321">
        <v>24646</v>
      </c>
      <c r="P321" s="3">
        <f t="shared" si="14"/>
        <v>1.6393031202850086</v>
      </c>
      <c r="Q321" s="3">
        <f>STANDARDIZE(O321,I$12,J$12)</f>
        <v>1.8332222991553153</v>
      </c>
    </row>
    <row r="322" spans="12:17" x14ac:dyDescent="0.3">
      <c r="L322" s="4">
        <v>1988.4999999956699</v>
      </c>
      <c r="M322">
        <v>1988</v>
      </c>
      <c r="N322">
        <v>7</v>
      </c>
      <c r="O322">
        <v>19620</v>
      </c>
      <c r="P322" s="3">
        <f t="shared" si="14"/>
        <v>0.98618731821785088</v>
      </c>
      <c r="Q322" s="3">
        <f>STANDARDIZE(O322,I$11,J$11)</f>
        <v>0.87865403084300486</v>
      </c>
    </row>
    <row r="323" spans="12:17" x14ac:dyDescent="0.3">
      <c r="L323" s="4">
        <v>1988.41666666231</v>
      </c>
      <c r="M323">
        <v>1988</v>
      </c>
      <c r="N323">
        <v>6</v>
      </c>
      <c r="O323">
        <v>10445</v>
      </c>
      <c r="P323" s="3">
        <f t="shared" si="14"/>
        <v>-0.20608038651079463</v>
      </c>
      <c r="Q323" s="3">
        <f>STANDARDIZE(O323,I$10,J$10)</f>
        <v>-0.53885965969815552</v>
      </c>
    </row>
    <row r="324" spans="12:17" x14ac:dyDescent="0.3">
      <c r="L324" s="4">
        <v>1988.3333333289499</v>
      </c>
      <c r="M324">
        <v>1988</v>
      </c>
      <c r="N324">
        <v>5</v>
      </c>
      <c r="O324">
        <v>8554</v>
      </c>
      <c r="P324" s="3">
        <f t="shared" si="14"/>
        <v>-0.4518109837469656</v>
      </c>
      <c r="Q324" s="3">
        <f>STANDARDIZE(O324,I$9,J$9)</f>
        <v>-0.47343051458856217</v>
      </c>
    </row>
    <row r="325" spans="12:17" x14ac:dyDescent="0.3">
      <c r="L325" s="4">
        <v>1988.2499999955901</v>
      </c>
      <c r="M325">
        <v>1988</v>
      </c>
      <c r="N325">
        <v>4</v>
      </c>
      <c r="O325">
        <v>5584</v>
      </c>
      <c r="P325" s="3">
        <f t="shared" ref="P325:P388" si="15">STANDARDIZE(O325,O$2,O$3)</f>
        <v>-0.83775486200790039</v>
      </c>
      <c r="Q325" s="3">
        <f>STANDARDIZE(O325,I$8,J$8)</f>
        <v>-0.17668089744309404</v>
      </c>
    </row>
    <row r="326" spans="12:17" x14ac:dyDescent="0.3">
      <c r="L326" s="4">
        <v>1988.16666666223</v>
      </c>
      <c r="M326">
        <v>1988</v>
      </c>
      <c r="N326">
        <v>3</v>
      </c>
      <c r="O326">
        <v>4462</v>
      </c>
      <c r="P326" s="3">
        <f t="shared" si="15"/>
        <v>-0.98355588268425354</v>
      </c>
      <c r="Q326" s="3">
        <f>STANDARDIZE(O326,I$7,J$7)</f>
        <v>-9.2376829564479568E-2</v>
      </c>
    </row>
    <row r="327" spans="12:17" x14ac:dyDescent="0.3">
      <c r="L327" s="4">
        <v>1988.0833333288699</v>
      </c>
      <c r="M327">
        <v>1988</v>
      </c>
      <c r="N327">
        <v>2</v>
      </c>
      <c r="O327">
        <v>4680</v>
      </c>
      <c r="P327" s="3">
        <f t="shared" si="15"/>
        <v>-0.95522734212503346</v>
      </c>
      <c r="Q327" s="3">
        <f>STANDARDIZE(O327,I$6,J$6)</f>
        <v>-4.4341974658922097E-2</v>
      </c>
    </row>
    <row r="328" spans="12:17" x14ac:dyDescent="0.3">
      <c r="L328" s="4">
        <v>1987.9999999955101</v>
      </c>
      <c r="M328">
        <v>1988</v>
      </c>
      <c r="N328">
        <v>1</v>
      </c>
      <c r="O328">
        <v>11614</v>
      </c>
      <c r="P328" s="3">
        <f t="shared" si="15"/>
        <v>-5.4171836447820608E-2</v>
      </c>
      <c r="Q328" s="3">
        <f>STANDARDIZE(O328,I$5,J$5)</f>
        <v>6.1221146370701446E-2</v>
      </c>
    </row>
    <row r="329" spans="12:17" x14ac:dyDescent="0.3">
      <c r="L329" s="4">
        <v>1987.91666666215</v>
      </c>
      <c r="M329">
        <v>1987</v>
      </c>
      <c r="N329">
        <v>12</v>
      </c>
      <c r="O329">
        <v>32778</v>
      </c>
      <c r="P329" s="3">
        <f t="shared" si="15"/>
        <v>2.6960356516041744</v>
      </c>
      <c r="Q329" s="3">
        <f>STANDARDIZE(O329,I$16,J$16)</f>
        <v>1.2214908161569782</v>
      </c>
    </row>
    <row r="330" spans="12:17" x14ac:dyDescent="0.3">
      <c r="L330" s="4">
        <v>1987.8333333287901</v>
      </c>
      <c r="M330">
        <v>1987</v>
      </c>
      <c r="N330">
        <v>11</v>
      </c>
      <c r="O330">
        <v>31425</v>
      </c>
      <c r="P330" s="3">
        <f t="shared" si="15"/>
        <v>2.5202167737297483</v>
      </c>
      <c r="Q330" s="3">
        <f>STANDARDIZE(O330,I$15,J$15)</f>
        <v>1.2976355699123459</v>
      </c>
    </row>
    <row r="331" spans="12:17" x14ac:dyDescent="0.3">
      <c r="L331" s="4">
        <v>1987.74999999543</v>
      </c>
      <c r="M331">
        <v>1987</v>
      </c>
      <c r="N331">
        <v>10</v>
      </c>
      <c r="O331">
        <v>21013</v>
      </c>
      <c r="P331" s="3">
        <f t="shared" si="15"/>
        <v>1.1672040934425925</v>
      </c>
      <c r="Q331" s="3">
        <f>STANDARDIZE(O331,I$14,J$14)</f>
        <v>0.61929262651871364</v>
      </c>
    </row>
    <row r="332" spans="12:17" x14ac:dyDescent="0.3">
      <c r="L332" s="4">
        <v>1987.6666666620599</v>
      </c>
      <c r="M332">
        <v>1987</v>
      </c>
      <c r="N332">
        <v>9</v>
      </c>
      <c r="O332">
        <v>14837</v>
      </c>
      <c r="P332" s="3">
        <f t="shared" si="15"/>
        <v>0.36464874255386054</v>
      </c>
      <c r="Q332" s="3">
        <f>STANDARDIZE(O332,I$13,J$13)</f>
        <v>0.34973124560169405</v>
      </c>
    </row>
    <row r="333" spans="12:17" x14ac:dyDescent="0.3">
      <c r="L333" s="4">
        <v>1987.5833333287001</v>
      </c>
      <c r="M333">
        <v>1987</v>
      </c>
      <c r="N333">
        <v>8</v>
      </c>
      <c r="O333">
        <v>15014</v>
      </c>
      <c r="P333" s="3">
        <f t="shared" si="15"/>
        <v>0.38764943832900717</v>
      </c>
      <c r="Q333" s="3">
        <f>STANDARDIZE(O333,I$12,J$12)</f>
        <v>0.42631080014346312</v>
      </c>
    </row>
    <row r="334" spans="12:17" x14ac:dyDescent="0.3">
      <c r="L334" s="4">
        <v>1987.49999999534</v>
      </c>
      <c r="M334">
        <v>1987</v>
      </c>
      <c r="N334">
        <v>7</v>
      </c>
      <c r="O334">
        <v>9210</v>
      </c>
      <c r="P334" s="3">
        <f t="shared" si="15"/>
        <v>-0.3665654672017894</v>
      </c>
      <c r="Q334" s="3">
        <f>STANDARDIZE(O334,I$11,J$11)</f>
        <v>-0.64853419834499404</v>
      </c>
    </row>
    <row r="335" spans="12:17" x14ac:dyDescent="0.3">
      <c r="L335" s="4">
        <v>1987.4166666619799</v>
      </c>
      <c r="M335">
        <v>1987</v>
      </c>
      <c r="N335">
        <v>6</v>
      </c>
      <c r="O335">
        <v>12357</v>
      </c>
      <c r="P335" s="3">
        <f t="shared" si="15"/>
        <v>4.2379106834292045E-2</v>
      </c>
      <c r="Q335" s="3">
        <f>STANDARDIZE(O335,I$10,J$10)</f>
        <v>-0.21859741032594382</v>
      </c>
    </row>
    <row r="336" spans="12:17" x14ac:dyDescent="0.3">
      <c r="L336" s="4">
        <v>1987.33333332862</v>
      </c>
      <c r="M336">
        <v>1987</v>
      </c>
      <c r="N336">
        <v>5</v>
      </c>
      <c r="O336">
        <v>9941</v>
      </c>
      <c r="P336" s="3">
        <f t="shared" si="15"/>
        <v>-0.27157389312477143</v>
      </c>
      <c r="Q336" s="3">
        <f>STANDARDIZE(O336,I$9,J$9)</f>
        <v>-0.17512937143423193</v>
      </c>
    </row>
    <row r="337" spans="12:17" x14ac:dyDescent="0.3">
      <c r="L337" s="4">
        <v>1987.2499999952599</v>
      </c>
      <c r="M337">
        <v>1987</v>
      </c>
      <c r="N337">
        <v>4</v>
      </c>
      <c r="O337">
        <v>4980</v>
      </c>
      <c r="P337" s="3">
        <f t="shared" si="15"/>
        <v>-0.91624311199766628</v>
      </c>
      <c r="Q337" s="3">
        <f>STANDARDIZE(O337,I$8,J$8)</f>
        <v>-0.39225666332212344</v>
      </c>
    </row>
    <row r="338" spans="12:17" x14ac:dyDescent="0.3">
      <c r="L338" s="4">
        <v>1987.1666666619001</v>
      </c>
      <c r="M338">
        <v>1987</v>
      </c>
      <c r="N338">
        <v>3</v>
      </c>
      <c r="O338">
        <v>4374</v>
      </c>
      <c r="P338" s="3">
        <f t="shared" si="15"/>
        <v>-0.99499125685494794</v>
      </c>
      <c r="Q338" s="3">
        <f>STANDARDIZE(O338,I$7,J$7)</f>
        <v>-0.12824206157444856</v>
      </c>
    </row>
    <row r="339" spans="12:17" x14ac:dyDescent="0.3">
      <c r="L339" s="4">
        <v>1987.08333332854</v>
      </c>
      <c r="M339">
        <v>1987</v>
      </c>
      <c r="N339">
        <v>2</v>
      </c>
      <c r="O339">
        <v>4163</v>
      </c>
      <c r="P339" s="3">
        <f t="shared" si="15"/>
        <v>-1.0224101653778628</v>
      </c>
      <c r="Q339" s="3">
        <f>STANDARDIZE(O339,I$6,J$6)</f>
        <v>-0.23296666597844218</v>
      </c>
    </row>
    <row r="340" spans="12:17" x14ac:dyDescent="0.3">
      <c r="L340" s="4">
        <v>1986.9999999951799</v>
      </c>
      <c r="M340">
        <v>1987</v>
      </c>
      <c r="N340">
        <v>1</v>
      </c>
      <c r="O340">
        <v>6813</v>
      </c>
      <c r="P340" s="3">
        <f t="shared" si="15"/>
        <v>-0.67804946591945303</v>
      </c>
      <c r="Q340" s="3">
        <f>STANDARDIZE(O340,I$5,J$5)</f>
        <v>-0.64594578472226605</v>
      </c>
    </row>
    <row r="341" spans="12:17" x14ac:dyDescent="0.3">
      <c r="L341" s="4">
        <v>1986.91666666182</v>
      </c>
      <c r="M341">
        <v>1986</v>
      </c>
      <c r="N341">
        <v>12</v>
      </c>
      <c r="O341">
        <v>22384</v>
      </c>
      <c r="P341" s="3">
        <f t="shared" si="15"/>
        <v>1.3453620251246603</v>
      </c>
      <c r="Q341" s="3">
        <f>STANDARDIZE(O341,I$16,J$16)</f>
        <v>0.20702427721824354</v>
      </c>
    </row>
    <row r="342" spans="12:17" x14ac:dyDescent="0.3">
      <c r="L342" s="4">
        <v>1986.83333332846</v>
      </c>
      <c r="M342">
        <v>1986</v>
      </c>
      <c r="N342">
        <v>11</v>
      </c>
      <c r="O342">
        <v>26260</v>
      </c>
      <c r="P342" s="3">
        <f t="shared" si="15"/>
        <v>1.8490382783702439</v>
      </c>
      <c r="Q342" s="3">
        <f>STANDARDIZE(O342,I$15,J$15)</f>
        <v>0.74244275028036555</v>
      </c>
    </row>
    <row r="343" spans="12:17" x14ac:dyDescent="0.3">
      <c r="L343" s="4">
        <v>1986.7499999951001</v>
      </c>
      <c r="M343">
        <v>1986</v>
      </c>
      <c r="N343">
        <v>10</v>
      </c>
      <c r="O343">
        <v>17170</v>
      </c>
      <c r="P343" s="3">
        <f t="shared" si="15"/>
        <v>0.66781610551101911</v>
      </c>
      <c r="Q343" s="3">
        <f>STANDARDIZE(O343,I$14,J$14)</f>
        <v>0.14798520118124542</v>
      </c>
    </row>
    <row r="344" spans="12:17" x14ac:dyDescent="0.3">
      <c r="L344" s="4">
        <v>1986.66666666174</v>
      </c>
      <c r="M344">
        <v>1986</v>
      </c>
      <c r="N344">
        <v>9</v>
      </c>
      <c r="O344">
        <v>8871</v>
      </c>
      <c r="P344" s="3">
        <f t="shared" si="15"/>
        <v>-0.41061764724571431</v>
      </c>
      <c r="Q344" s="3">
        <f>STANDARDIZE(O344,I$13,J$13)</f>
        <v>-0.48534807870837671</v>
      </c>
    </row>
    <row r="345" spans="12:17" x14ac:dyDescent="0.3">
      <c r="L345" s="4">
        <v>1986.5833333283799</v>
      </c>
      <c r="M345">
        <v>1986</v>
      </c>
      <c r="N345">
        <v>8</v>
      </c>
      <c r="O345">
        <v>9243</v>
      </c>
      <c r="P345" s="3">
        <f t="shared" si="15"/>
        <v>-0.36227720188777901</v>
      </c>
      <c r="Q345" s="3">
        <f>STANDARDIZE(O345,I$12,J$12)</f>
        <v>-0.41663835483965561</v>
      </c>
    </row>
    <row r="346" spans="12:17" x14ac:dyDescent="0.3">
      <c r="L346" s="4">
        <v>1986.4999999950201</v>
      </c>
      <c r="M346">
        <v>1986</v>
      </c>
      <c r="N346">
        <v>7</v>
      </c>
      <c r="O346">
        <v>18280</v>
      </c>
      <c r="P346" s="3">
        <f t="shared" si="15"/>
        <v>0.81205775698227756</v>
      </c>
      <c r="Q346" s="3">
        <f>STANDARDIZE(O346,I$11,J$11)</f>
        <v>0.68207072372370436</v>
      </c>
    </row>
    <row r="347" spans="12:17" x14ac:dyDescent="0.3">
      <c r="L347" s="4">
        <v>1986.41666666166</v>
      </c>
      <c r="M347">
        <v>1986</v>
      </c>
      <c r="N347">
        <v>6</v>
      </c>
      <c r="O347">
        <v>19769</v>
      </c>
      <c r="P347" s="3">
        <f t="shared" si="15"/>
        <v>1.0055494858477765</v>
      </c>
      <c r="Q347" s="3">
        <f>STANDARDIZE(O347,I$10,J$10)</f>
        <v>1.0229213095207261</v>
      </c>
    </row>
    <row r="348" spans="12:17" x14ac:dyDescent="0.3">
      <c r="L348" s="4">
        <v>1986.3333333282999</v>
      </c>
      <c r="M348">
        <v>1986</v>
      </c>
      <c r="N348">
        <v>5</v>
      </c>
      <c r="O348">
        <v>16694</v>
      </c>
      <c r="P348" s="3">
        <f t="shared" si="15"/>
        <v>0.60596112704226324</v>
      </c>
      <c r="Q348" s="3">
        <f>STANDARDIZE(O348,I$9,J$9)</f>
        <v>1.2772337285810473</v>
      </c>
    </row>
    <row r="349" spans="12:17" x14ac:dyDescent="0.3">
      <c r="L349" s="4">
        <v>1986.24999999494</v>
      </c>
      <c r="M349">
        <v>1986</v>
      </c>
      <c r="N349">
        <v>4</v>
      </c>
      <c r="O349">
        <v>10111</v>
      </c>
      <c r="P349" s="3">
        <f t="shared" si="15"/>
        <v>-0.24948282938593005</v>
      </c>
      <c r="Q349" s="3">
        <f>STANDARDIZE(O349,I$8,J$8)</f>
        <v>1.4390666060906248</v>
      </c>
    </row>
    <row r="350" spans="12:17" x14ac:dyDescent="0.3">
      <c r="L350" s="4">
        <v>1986.1666666615799</v>
      </c>
      <c r="M350">
        <v>1986</v>
      </c>
      <c r="N350">
        <v>3</v>
      </c>
      <c r="O350">
        <v>7676</v>
      </c>
      <c r="P350" s="3">
        <f t="shared" si="15"/>
        <v>-0.56590483058639351</v>
      </c>
      <c r="Q350" s="3">
        <f>STANDARDIZE(O350,I$7,J$7)</f>
        <v>1.2175192577087059</v>
      </c>
    </row>
    <row r="351" spans="12:17" x14ac:dyDescent="0.3">
      <c r="L351" s="4">
        <v>1986.0833333282201</v>
      </c>
      <c r="M351">
        <v>1986</v>
      </c>
      <c r="N351">
        <v>2</v>
      </c>
      <c r="O351">
        <v>5635</v>
      </c>
      <c r="P351" s="3">
        <f t="shared" si="15"/>
        <v>-0.83112754288624802</v>
      </c>
      <c r="Q351" s="3">
        <f>STANDARDIZE(O351,I$6,J$6)</f>
        <v>0.30408467951930163</v>
      </c>
    </row>
    <row r="352" spans="12:17" x14ac:dyDescent="0.3">
      <c r="L352" s="4">
        <v>1985.99999999486</v>
      </c>
      <c r="M352">
        <v>1986</v>
      </c>
      <c r="N352">
        <v>1</v>
      </c>
      <c r="O352">
        <v>10411</v>
      </c>
      <c r="P352" s="3">
        <f t="shared" si="15"/>
        <v>-0.2104985992585629</v>
      </c>
      <c r="Q352" s="3">
        <f>STANDARDIZE(O352,I$5,J$5)</f>
        <v>-0.11597564973528479</v>
      </c>
    </row>
    <row r="353" spans="12:17" x14ac:dyDescent="0.3">
      <c r="L353" s="4">
        <v>1985.9166666614999</v>
      </c>
      <c r="M353">
        <v>1985</v>
      </c>
      <c r="N353">
        <v>12</v>
      </c>
      <c r="O353">
        <v>14668</v>
      </c>
      <c r="P353" s="3">
        <f t="shared" si="15"/>
        <v>0.34268762624877702</v>
      </c>
      <c r="Q353" s="3">
        <f>STANDARDIZE(O353,I$16,J$16)</f>
        <v>-0.54606633413939321</v>
      </c>
    </row>
    <row r="354" spans="12:17" x14ac:dyDescent="0.3">
      <c r="L354" s="4">
        <v>1985.83333332814</v>
      </c>
      <c r="M354">
        <v>1985</v>
      </c>
      <c r="N354">
        <v>11</v>
      </c>
      <c r="O354">
        <v>14495</v>
      </c>
      <c r="P354" s="3">
        <f t="shared" si="15"/>
        <v>0.32020672020866198</v>
      </c>
      <c r="Q354" s="3">
        <f>STANDARDIZE(O354,I$15,J$15)</f>
        <v>-0.5221929753673108</v>
      </c>
    </row>
    <row r="355" spans="12:17" x14ac:dyDescent="0.3">
      <c r="L355" s="4">
        <v>1985.74999999478</v>
      </c>
      <c r="M355">
        <v>1985</v>
      </c>
      <c r="N355">
        <v>10</v>
      </c>
      <c r="O355">
        <v>13231</v>
      </c>
      <c r="P355" s="3">
        <f t="shared" si="15"/>
        <v>0.15595316393868836</v>
      </c>
      <c r="Q355" s="3">
        <f>STANDARDIZE(O355,I$14,J$14)</f>
        <v>-0.33509571175247499</v>
      </c>
    </row>
    <row r="356" spans="12:17" x14ac:dyDescent="0.3">
      <c r="L356" s="4">
        <v>1985.6666666614201</v>
      </c>
      <c r="M356">
        <v>1985</v>
      </c>
      <c r="N356">
        <v>9</v>
      </c>
      <c r="O356">
        <v>10361</v>
      </c>
      <c r="P356" s="3">
        <f t="shared" si="15"/>
        <v>-0.21699597094645742</v>
      </c>
      <c r="Q356" s="3">
        <f>STANDARDIZE(O356,I$13,J$13)</f>
        <v>-0.27678820723301545</v>
      </c>
    </row>
    <row r="357" spans="12:17" x14ac:dyDescent="0.3">
      <c r="L357" s="4">
        <v>1985.58333332806</v>
      </c>
      <c r="M357">
        <v>1985</v>
      </c>
      <c r="N357">
        <v>8</v>
      </c>
      <c r="O357">
        <v>7406</v>
      </c>
      <c r="P357" s="3">
        <f t="shared" si="15"/>
        <v>-0.6009906377010239</v>
      </c>
      <c r="Q357" s="3">
        <f>STANDARDIZE(O357,I$12,J$12)</f>
        <v>-0.68496231909264282</v>
      </c>
    </row>
    <row r="358" spans="12:17" x14ac:dyDescent="0.3">
      <c r="L358" s="4">
        <v>1985.4999999946999</v>
      </c>
      <c r="M358">
        <v>1985</v>
      </c>
      <c r="N358">
        <v>7</v>
      </c>
      <c r="O358">
        <v>5177</v>
      </c>
      <c r="P358" s="3">
        <f t="shared" si="15"/>
        <v>-0.8906434675473619</v>
      </c>
      <c r="Q358" s="3">
        <f>STANDARDIZE(O358,I$11,J$11)</f>
        <v>-1.2401912711898739</v>
      </c>
    </row>
    <row r="359" spans="12:17" x14ac:dyDescent="0.3">
      <c r="L359" s="4">
        <v>1985.4166666613401</v>
      </c>
      <c r="M359">
        <v>1985</v>
      </c>
      <c r="N359">
        <v>6</v>
      </c>
      <c r="O359">
        <v>7408</v>
      </c>
      <c r="P359" s="3">
        <f t="shared" si="15"/>
        <v>-0.60073074283350814</v>
      </c>
      <c r="Q359" s="3">
        <f>STANDARDIZE(O359,I$10,J$10)</f>
        <v>-1.0475607325765064</v>
      </c>
    </row>
    <row r="360" spans="12:17" x14ac:dyDescent="0.3">
      <c r="L360" s="4">
        <v>1985.33333332798</v>
      </c>
      <c r="M360">
        <v>1985</v>
      </c>
      <c r="N360">
        <v>5</v>
      </c>
      <c r="O360">
        <v>6468</v>
      </c>
      <c r="P360" s="3">
        <f t="shared" si="15"/>
        <v>-0.72288133056592518</v>
      </c>
      <c r="Q360" s="3">
        <f>STANDARDIZE(O360,I$9,J$9)</f>
        <v>-0.92206511056544238</v>
      </c>
    </row>
    <row r="361" spans="12:17" x14ac:dyDescent="0.3">
      <c r="L361" s="4">
        <v>1985.2499999946201</v>
      </c>
      <c r="M361">
        <v>1985</v>
      </c>
      <c r="N361">
        <v>4</v>
      </c>
      <c r="O361">
        <v>3908</v>
      </c>
      <c r="P361" s="3">
        <f t="shared" si="15"/>
        <v>-1.0555467609861249</v>
      </c>
      <c r="Q361" s="3">
        <f>STANDARDIZE(O361,I$8,J$8)</f>
        <v>-0.77486795640543393</v>
      </c>
    </row>
    <row r="362" spans="12:17" x14ac:dyDescent="0.3">
      <c r="L362" s="4">
        <v>1985.16666666126</v>
      </c>
      <c r="M362">
        <v>1985</v>
      </c>
      <c r="N362">
        <v>3</v>
      </c>
      <c r="O362">
        <v>2685</v>
      </c>
      <c r="P362" s="3">
        <f t="shared" si="15"/>
        <v>-1.2144724724720251</v>
      </c>
      <c r="Q362" s="3">
        <f>STANDARDIZE(O362,I$7,J$7)</f>
        <v>-0.81660998049305789</v>
      </c>
    </row>
    <row r="363" spans="12:17" x14ac:dyDescent="0.3">
      <c r="L363" s="4">
        <v>1985.0833333278999</v>
      </c>
      <c r="M363">
        <v>1985</v>
      </c>
      <c r="N363">
        <v>2</v>
      </c>
      <c r="O363">
        <v>3595</v>
      </c>
      <c r="P363" s="3">
        <f t="shared" si="15"/>
        <v>-1.0962203077523447</v>
      </c>
      <c r="Q363" s="3">
        <f>STANDARDIZE(O363,I$6,J$6)</f>
        <v>-0.44019843516507157</v>
      </c>
    </row>
    <row r="364" spans="12:17" x14ac:dyDescent="0.3">
      <c r="L364" s="4">
        <v>1984.9999999945401</v>
      </c>
      <c r="M364">
        <v>1985</v>
      </c>
      <c r="N364">
        <v>1</v>
      </c>
      <c r="O364">
        <v>11085</v>
      </c>
      <c r="P364" s="3">
        <f t="shared" si="15"/>
        <v>-0.1229140289057447</v>
      </c>
      <c r="Q364" s="3">
        <f>STANDARDIZE(O364,I$5,J$5)</f>
        <v>-1.6698309273576795E-2</v>
      </c>
    </row>
    <row r="365" spans="12:17" x14ac:dyDescent="0.3">
      <c r="L365" s="4">
        <v>1984.91666666118</v>
      </c>
      <c r="M365">
        <v>1984</v>
      </c>
      <c r="N365">
        <v>12</v>
      </c>
      <c r="O365">
        <v>20986</v>
      </c>
      <c r="P365" s="3">
        <f t="shared" si="15"/>
        <v>1.1636955127311293</v>
      </c>
      <c r="Q365" s="3">
        <f>STANDARDIZE(O365,I$16,J$16)</f>
        <v>7.0577844522808589E-2</v>
      </c>
    </row>
    <row r="366" spans="12:17" x14ac:dyDescent="0.3">
      <c r="L366" s="4">
        <v>1984.8333333278199</v>
      </c>
      <c r="M366">
        <v>1984</v>
      </c>
      <c r="N366">
        <v>11</v>
      </c>
      <c r="O366">
        <v>20887</v>
      </c>
      <c r="P366" s="3">
        <f t="shared" si="15"/>
        <v>1.1508307167890981</v>
      </c>
      <c r="Q366" s="3">
        <f>STANDARDIZE(O366,I$15,J$15)</f>
        <v>0.16489172997395118</v>
      </c>
    </row>
    <row r="367" spans="12:17" x14ac:dyDescent="0.3">
      <c r="L367" s="4">
        <v>1984.74999999446</v>
      </c>
      <c r="M367">
        <v>1984</v>
      </c>
      <c r="N367">
        <v>10</v>
      </c>
      <c r="O367">
        <v>18103</v>
      </c>
      <c r="P367" s="3">
        <f t="shared" si="15"/>
        <v>0.78905706120713093</v>
      </c>
      <c r="Q367" s="3">
        <f>STANDARDIZE(O367,I$14,J$14)</f>
        <v>0.26240878375732085</v>
      </c>
    </row>
    <row r="368" spans="12:17" x14ac:dyDescent="0.3">
      <c r="L368" s="4">
        <v>1984.6666666611</v>
      </c>
      <c r="M368">
        <v>1984</v>
      </c>
      <c r="N368">
        <v>9</v>
      </c>
      <c r="O368">
        <v>14932</v>
      </c>
      <c r="P368" s="3">
        <f t="shared" si="15"/>
        <v>0.37699374876086011</v>
      </c>
      <c r="Q368" s="3">
        <f>STANDARDIZE(O368,I$13,J$13)</f>
        <v>0.36302868707159963</v>
      </c>
    </row>
    <row r="369" spans="12:17" x14ac:dyDescent="0.3">
      <c r="L369" s="4">
        <v>1984.5833333277401</v>
      </c>
      <c r="M369">
        <v>1984</v>
      </c>
      <c r="N369">
        <v>8</v>
      </c>
      <c r="O369">
        <v>16099</v>
      </c>
      <c r="P369" s="3">
        <f t="shared" si="15"/>
        <v>0.52864240395631834</v>
      </c>
      <c r="Q369" s="3">
        <f>STANDARDIZE(O369,I$12,J$12)</f>
        <v>0.5847928367327343</v>
      </c>
    </row>
    <row r="370" spans="12:17" x14ac:dyDescent="0.3">
      <c r="L370" s="4">
        <v>1984.49999999438</v>
      </c>
      <c r="M370">
        <v>1984</v>
      </c>
      <c r="N370">
        <v>7</v>
      </c>
      <c r="O370">
        <v>16075</v>
      </c>
      <c r="P370" s="3">
        <f t="shared" si="15"/>
        <v>0.52552366554612895</v>
      </c>
      <c r="Q370" s="3">
        <f>STANDARDIZE(O370,I$11,J$11)</f>
        <v>0.3585884907400792</v>
      </c>
    </row>
    <row r="371" spans="12:17" x14ac:dyDescent="0.3">
      <c r="L371" s="4">
        <v>1984.4166666610199</v>
      </c>
      <c r="M371">
        <v>1984</v>
      </c>
      <c r="N371">
        <v>6</v>
      </c>
      <c r="O371">
        <v>12971</v>
      </c>
      <c r="P371" s="3">
        <f t="shared" si="15"/>
        <v>0.12216683116163682</v>
      </c>
      <c r="Q371" s="3">
        <f>STANDARDIZE(O371,I$10,J$10)</f>
        <v>-0.11575168798570432</v>
      </c>
    </row>
    <row r="372" spans="12:17" x14ac:dyDescent="0.3">
      <c r="L372" s="4">
        <v>1984.3333333276601</v>
      </c>
      <c r="M372">
        <v>1984</v>
      </c>
      <c r="N372">
        <v>5</v>
      </c>
      <c r="O372">
        <v>8713</v>
      </c>
      <c r="P372" s="3">
        <f t="shared" si="15"/>
        <v>-0.43114934177946102</v>
      </c>
      <c r="Q372" s="3">
        <f>STANDARDIZE(O372,I$9,J$9)</f>
        <v>-0.43923449313107227</v>
      </c>
    </row>
    <row r="373" spans="12:17" x14ac:dyDescent="0.3">
      <c r="L373" s="4">
        <v>1984.2499999943</v>
      </c>
      <c r="M373">
        <v>1984</v>
      </c>
      <c r="N373">
        <v>4</v>
      </c>
      <c r="O373">
        <v>4827</v>
      </c>
      <c r="P373" s="3">
        <f t="shared" si="15"/>
        <v>-0.93612506936262352</v>
      </c>
      <c r="Q373" s="3">
        <f>STANDARDIZE(O373,I$8,J$8)</f>
        <v>-0.44686443183121533</v>
      </c>
    </row>
    <row r="374" spans="12:17" x14ac:dyDescent="0.3">
      <c r="L374" s="4">
        <v>1984.1666666609401</v>
      </c>
      <c r="M374">
        <v>1984</v>
      </c>
      <c r="N374">
        <v>3</v>
      </c>
      <c r="O374">
        <v>5673</v>
      </c>
      <c r="P374" s="3">
        <f t="shared" si="15"/>
        <v>-0.82618954040344816</v>
      </c>
      <c r="Q374" s="3">
        <f>STANDARDIZE(O374,I$7,J$7)</f>
        <v>0.40117767002725274</v>
      </c>
    </row>
    <row r="375" spans="12:17" x14ac:dyDescent="0.3">
      <c r="L375" s="4">
        <v>1984.08333332758</v>
      </c>
      <c r="M375">
        <v>1984</v>
      </c>
      <c r="N375">
        <v>2</v>
      </c>
      <c r="O375">
        <v>6436</v>
      </c>
      <c r="P375" s="3">
        <f t="shared" si="15"/>
        <v>-0.72703964844617774</v>
      </c>
      <c r="Q375" s="3">
        <f>STANDARDIZE(O375,I$6,J$6)</f>
        <v>0.59632525543213644</v>
      </c>
    </row>
    <row r="376" spans="12:17" x14ac:dyDescent="0.3">
      <c r="L376" s="4">
        <v>1983.9999999942199</v>
      </c>
      <c r="M376">
        <v>1984</v>
      </c>
      <c r="N376">
        <v>1</v>
      </c>
      <c r="O376">
        <v>9188</v>
      </c>
      <c r="P376" s="3">
        <f t="shared" si="15"/>
        <v>-0.36942431074446302</v>
      </c>
      <c r="Q376" s="3">
        <f>STANDARDIZE(O376,I$5,J$5)</f>
        <v>-0.29611836098850275</v>
      </c>
    </row>
    <row r="377" spans="12:17" x14ac:dyDescent="0.3">
      <c r="L377" s="4">
        <v>1983.9166666608601</v>
      </c>
      <c r="M377">
        <v>1983</v>
      </c>
      <c r="N377">
        <v>12</v>
      </c>
      <c r="O377">
        <v>10014</v>
      </c>
      <c r="P377" s="3">
        <f t="shared" si="15"/>
        <v>-0.26208773046044542</v>
      </c>
      <c r="Q377" s="3">
        <f>STANDARDIZE(O377,I$16,J$16)</f>
        <v>-1.0003021694502332</v>
      </c>
    </row>
    <row r="378" spans="12:17" x14ac:dyDescent="0.3">
      <c r="L378" s="4">
        <v>1983.8333333275</v>
      </c>
      <c r="M378">
        <v>1983</v>
      </c>
      <c r="N378">
        <v>11</v>
      </c>
      <c r="O378">
        <v>10670</v>
      </c>
      <c r="P378" s="3">
        <f t="shared" si="15"/>
        <v>-0.17684221391526925</v>
      </c>
      <c r="Q378" s="3">
        <f>STANDARDIZE(O378,I$15,J$15)</f>
        <v>-0.9333473868082256</v>
      </c>
    </row>
    <row r="379" spans="12:17" x14ac:dyDescent="0.3">
      <c r="L379" s="4">
        <v>1983.7499999941399</v>
      </c>
      <c r="M379">
        <v>1983</v>
      </c>
      <c r="N379">
        <v>10</v>
      </c>
      <c r="O379">
        <v>9521</v>
      </c>
      <c r="P379" s="3">
        <f t="shared" si="15"/>
        <v>-0.32615181530308546</v>
      </c>
      <c r="Q379" s="3">
        <f>STANDARDIZE(O379,I$14,J$14)</f>
        <v>-0.7900919511493022</v>
      </c>
    </row>
    <row r="380" spans="12:17" x14ac:dyDescent="0.3">
      <c r="L380" s="4">
        <v>1983.66666666078</v>
      </c>
      <c r="M380">
        <v>1983</v>
      </c>
      <c r="N380">
        <v>9</v>
      </c>
      <c r="O380">
        <v>7864</v>
      </c>
      <c r="P380" s="3">
        <f t="shared" si="15"/>
        <v>-0.54147471303991002</v>
      </c>
      <c r="Q380" s="3">
        <f>STANDARDIZE(O380,I$13,J$13)</f>
        <v>-0.62630095828937593</v>
      </c>
    </row>
    <row r="381" spans="12:17" x14ac:dyDescent="0.3">
      <c r="L381" s="4">
        <v>1983.58333332742</v>
      </c>
      <c r="M381">
        <v>1983</v>
      </c>
      <c r="N381">
        <v>8</v>
      </c>
      <c r="O381">
        <v>6987</v>
      </c>
      <c r="P381" s="3">
        <f t="shared" si="15"/>
        <v>-0.65543861244557999</v>
      </c>
      <c r="Q381" s="3">
        <f>STANDARDIZE(O381,I$12,J$12)</f>
        <v>-0.74616413783080371</v>
      </c>
    </row>
    <row r="382" spans="12:17" x14ac:dyDescent="0.3">
      <c r="L382" s="4">
        <v>1983.4999999940601</v>
      </c>
      <c r="M382">
        <v>1983</v>
      </c>
      <c r="N382">
        <v>7</v>
      </c>
      <c r="O382">
        <v>7930</v>
      </c>
      <c r="P382" s="3">
        <f t="shared" si="15"/>
        <v>-0.53289818241188924</v>
      </c>
      <c r="Q382" s="3">
        <f>STANDARDIZE(O382,I$11,J$11)</f>
        <v>-0.83631526783208709</v>
      </c>
    </row>
    <row r="383" spans="12:17" x14ac:dyDescent="0.3">
      <c r="L383" s="4">
        <v>1983.4166666607</v>
      </c>
      <c r="M383">
        <v>1983</v>
      </c>
      <c r="N383">
        <v>6</v>
      </c>
      <c r="O383">
        <v>11051</v>
      </c>
      <c r="P383" s="3">
        <f t="shared" si="15"/>
        <v>-0.12733224165351298</v>
      </c>
      <c r="Q383" s="3">
        <f>STANDARDIZE(O383,I$10,J$10)</f>
        <v>-0.43735394676951517</v>
      </c>
    </row>
    <row r="384" spans="12:17" x14ac:dyDescent="0.3">
      <c r="L384" s="4">
        <v>1983.3333333273399</v>
      </c>
      <c r="M384">
        <v>1983</v>
      </c>
      <c r="N384">
        <v>5</v>
      </c>
      <c r="O384">
        <v>9694</v>
      </c>
      <c r="P384" s="3">
        <f t="shared" si="15"/>
        <v>-0.30367090926297041</v>
      </c>
      <c r="Q384" s="3">
        <f>STANDARDIZE(O384,I$9,J$9)</f>
        <v>-0.22825149281787976</v>
      </c>
    </row>
    <row r="385" spans="12:17" x14ac:dyDescent="0.3">
      <c r="L385" s="4">
        <v>1983.2499999939801</v>
      </c>
      <c r="M385">
        <v>1983</v>
      </c>
      <c r="N385">
        <v>4</v>
      </c>
      <c r="O385">
        <v>4736</v>
      </c>
      <c r="P385" s="3">
        <f t="shared" si="15"/>
        <v>-0.94795028583459162</v>
      </c>
      <c r="Q385" s="3">
        <f>STANDARDIZE(O385,I$8,J$8)</f>
        <v>-0.47934356212093665</v>
      </c>
    </row>
    <row r="386" spans="12:17" x14ac:dyDescent="0.3">
      <c r="L386" s="4">
        <v>1983.16666666062</v>
      </c>
      <c r="M386">
        <v>1983</v>
      </c>
      <c r="N386">
        <v>3</v>
      </c>
      <c r="O386">
        <v>2325</v>
      </c>
      <c r="P386" s="3">
        <f t="shared" si="15"/>
        <v>-1.2612535486248657</v>
      </c>
      <c r="Q386" s="3">
        <f>STANDARDIZE(O386,I$7,J$7)</f>
        <v>-0.9633313841702037</v>
      </c>
    </row>
    <row r="387" spans="12:17" x14ac:dyDescent="0.3">
      <c r="L387" s="4">
        <v>1983.0833333272601</v>
      </c>
      <c r="M387">
        <v>1983</v>
      </c>
      <c r="N387">
        <v>2</v>
      </c>
      <c r="O387">
        <v>1854</v>
      </c>
      <c r="P387" s="3">
        <f t="shared" si="15"/>
        <v>-1.3224587899248321</v>
      </c>
      <c r="Q387" s="3">
        <f>STANDARDIZE(O387,I$6,J$6)</f>
        <v>-1.0753929952952155</v>
      </c>
    </row>
    <row r="388" spans="12:17" x14ac:dyDescent="0.3">
      <c r="L388" s="4">
        <v>1982.9999999939</v>
      </c>
      <c r="M388">
        <v>1983</v>
      </c>
      <c r="N388">
        <v>1</v>
      </c>
      <c r="O388">
        <v>4809</v>
      </c>
      <c r="P388" s="3">
        <f t="shared" si="15"/>
        <v>-0.93846412317026562</v>
      </c>
      <c r="Q388" s="3">
        <f>STANDARDIZE(O388,I$5,J$5)</f>
        <v>-0.94112648247488162</v>
      </c>
    </row>
    <row r="389" spans="12:17" x14ac:dyDescent="0.3">
      <c r="L389" s="4">
        <v>1982.9166666605399</v>
      </c>
      <c r="M389">
        <v>1982</v>
      </c>
      <c r="N389">
        <v>12</v>
      </c>
      <c r="O389">
        <v>10222</v>
      </c>
      <c r="P389" s="3">
        <f t="shared" ref="P389:P452" si="16">STANDARDIZE(O389,O$2,O$3)</f>
        <v>-0.2350586642388042</v>
      </c>
      <c r="Q389" s="3">
        <f>STANDARDIZE(O389,I$16,J$16)</f>
        <v>-0.98000112653131288</v>
      </c>
    </row>
    <row r="390" spans="12:17" x14ac:dyDescent="0.3">
      <c r="L390" s="4">
        <v>1982.8333333271801</v>
      </c>
      <c r="M390">
        <v>1982</v>
      </c>
      <c r="N390">
        <v>11</v>
      </c>
      <c r="O390">
        <v>13438</v>
      </c>
      <c r="P390" s="3">
        <f t="shared" si="16"/>
        <v>0.1828522827265717</v>
      </c>
      <c r="Q390" s="3">
        <f>STANDARDIZE(O390,I$15,J$15)</f>
        <v>-0.63581133167921855</v>
      </c>
    </row>
    <row r="391" spans="12:17" x14ac:dyDescent="0.3">
      <c r="L391" s="4">
        <v>1982.74999999382</v>
      </c>
      <c r="M391">
        <v>1982</v>
      </c>
      <c r="N391">
        <v>10</v>
      </c>
      <c r="O391">
        <v>10474</v>
      </c>
      <c r="P391" s="3">
        <f t="shared" si="16"/>
        <v>-0.2023119109318158</v>
      </c>
      <c r="Q391" s="3">
        <f>STANDARDIZE(O391,I$14,J$14)</f>
        <v>-0.67321555865734095</v>
      </c>
    </row>
    <row r="392" spans="12:17" x14ac:dyDescent="0.3">
      <c r="L392" s="4">
        <v>1982.6666666604599</v>
      </c>
      <c r="M392">
        <v>1982</v>
      </c>
      <c r="N392">
        <v>9</v>
      </c>
      <c r="O392">
        <v>7095</v>
      </c>
      <c r="P392" s="3">
        <f t="shared" si="16"/>
        <v>-0.64140428959972784</v>
      </c>
      <c r="Q392" s="3">
        <f>STANDARDIZE(O392,I$13,J$13)</f>
        <v>-0.73394024766155896</v>
      </c>
    </row>
    <row r="393" spans="12:17" x14ac:dyDescent="0.3">
      <c r="L393" s="4">
        <v>1982.5833333271</v>
      </c>
      <c r="M393">
        <v>1982</v>
      </c>
      <c r="N393">
        <v>8</v>
      </c>
      <c r="O393">
        <v>8919</v>
      </c>
      <c r="P393" s="3">
        <f t="shared" si="16"/>
        <v>-0.40438017042533553</v>
      </c>
      <c r="Q393" s="3">
        <f>STANDARDIZE(O393,I$12,J$12)</f>
        <v>-0.46396386622668223</v>
      </c>
    </row>
    <row r="394" spans="12:17" x14ac:dyDescent="0.3">
      <c r="L394" s="4">
        <v>1982.4999999937399</v>
      </c>
      <c r="M394">
        <v>1982</v>
      </c>
      <c r="N394">
        <v>7</v>
      </c>
      <c r="O394">
        <v>14304</v>
      </c>
      <c r="P394" s="3">
        <f t="shared" si="16"/>
        <v>0.29538676036090489</v>
      </c>
      <c r="Q394" s="3">
        <f>STANDARDIZE(O394,I$11,J$11)</f>
        <v>9.877577662942158E-2</v>
      </c>
    </row>
    <row r="395" spans="12:17" x14ac:dyDescent="0.3">
      <c r="L395" s="4">
        <v>1982.4166666603801</v>
      </c>
      <c r="M395">
        <v>1982</v>
      </c>
      <c r="N395">
        <v>6</v>
      </c>
      <c r="O395">
        <v>17063</v>
      </c>
      <c r="P395" s="3">
        <f t="shared" si="16"/>
        <v>0.65391173009892478</v>
      </c>
      <c r="Q395" s="3">
        <f>STANDARDIZE(O395,I$10,J$10)</f>
        <v>0.56966312604729263</v>
      </c>
    </row>
    <row r="396" spans="12:17" x14ac:dyDescent="0.3">
      <c r="L396" s="4">
        <v>1982.33333332702</v>
      </c>
      <c r="M396">
        <v>1982</v>
      </c>
      <c r="N396">
        <v>5</v>
      </c>
      <c r="O396">
        <v>13127</v>
      </c>
      <c r="P396" s="3">
        <f t="shared" si="16"/>
        <v>0.14243863082786773</v>
      </c>
      <c r="Q396" s="3">
        <f>STANDARDIZE(O396,I$9,J$9)</f>
        <v>0.51008147361962253</v>
      </c>
    </row>
    <row r="397" spans="12:17" x14ac:dyDescent="0.3">
      <c r="L397" s="4">
        <v>1982.2499999936599</v>
      </c>
      <c r="M397">
        <v>1982</v>
      </c>
      <c r="N397">
        <v>4</v>
      </c>
      <c r="O397">
        <v>7727</v>
      </c>
      <c r="P397" s="3">
        <f t="shared" si="16"/>
        <v>-0.55927751146474103</v>
      </c>
      <c r="Q397" s="3">
        <f>STANDARDIZE(O397,I$8,J$8)</f>
        <v>0.5881847752038597</v>
      </c>
    </row>
    <row r="398" spans="12:17" x14ac:dyDescent="0.3">
      <c r="L398" s="4">
        <v>1982.1666666603001</v>
      </c>
      <c r="M398">
        <v>1982</v>
      </c>
      <c r="N398">
        <v>3</v>
      </c>
      <c r="O398">
        <v>5829</v>
      </c>
      <c r="P398" s="3">
        <f t="shared" si="16"/>
        <v>-0.80591774073721723</v>
      </c>
      <c r="Q398" s="3">
        <f>STANDARDIZE(O398,I$7,J$7)</f>
        <v>0.46475694495401598</v>
      </c>
    </row>
    <row r="399" spans="12:17" x14ac:dyDescent="0.3">
      <c r="L399" s="4">
        <v>1982.08333332694</v>
      </c>
      <c r="M399">
        <v>1982</v>
      </c>
      <c r="N399">
        <v>2</v>
      </c>
      <c r="O399">
        <v>6299</v>
      </c>
      <c r="P399" s="3">
        <f t="shared" si="16"/>
        <v>-0.74484244687100876</v>
      </c>
      <c r="Q399" s="3">
        <f>STANDARDIZE(O399,I$6,J$6)</f>
        <v>0.54634153645578387</v>
      </c>
    </row>
    <row r="400" spans="12:17" x14ac:dyDescent="0.3">
      <c r="L400" s="4">
        <v>1981.9999999935801</v>
      </c>
      <c r="M400">
        <v>1982</v>
      </c>
      <c r="N400">
        <v>1</v>
      </c>
      <c r="O400">
        <v>11683</v>
      </c>
      <c r="P400" s="3">
        <f t="shared" si="16"/>
        <v>-4.5205463518526161E-2</v>
      </c>
      <c r="Q400" s="3">
        <f>STANDARDIZE(O400,I$5,J$5)</f>
        <v>7.1384553628650774E-2</v>
      </c>
    </row>
    <row r="401" spans="12:17" x14ac:dyDescent="0.3">
      <c r="L401" s="4">
        <v>1981.91666666022</v>
      </c>
      <c r="M401">
        <v>1981</v>
      </c>
      <c r="N401">
        <v>12</v>
      </c>
      <c r="O401">
        <v>18756</v>
      </c>
      <c r="P401" s="3">
        <f t="shared" si="16"/>
        <v>0.87391273545103343</v>
      </c>
      <c r="Q401" s="3">
        <f>STANDARDIZE(O401,I$16,J$16)</f>
        <v>-0.14707275984830726</v>
      </c>
    </row>
    <row r="402" spans="12:17" x14ac:dyDescent="0.3">
      <c r="L402" s="4">
        <v>1981.8333333268599</v>
      </c>
      <c r="M402">
        <v>1981</v>
      </c>
      <c r="N402">
        <v>11</v>
      </c>
      <c r="O402">
        <v>17187</v>
      </c>
      <c r="P402" s="3">
        <f t="shared" si="16"/>
        <v>0.67002521188490327</v>
      </c>
      <c r="Q402" s="3">
        <f>STANDARDIZE(O402,I$15,J$15)</f>
        <v>-0.23282626279242388</v>
      </c>
    </row>
    <row r="403" spans="12:17" x14ac:dyDescent="0.3">
      <c r="L403" s="4">
        <v>1981.7499999935001</v>
      </c>
      <c r="M403">
        <v>1981</v>
      </c>
      <c r="N403">
        <v>10</v>
      </c>
      <c r="O403">
        <v>15022</v>
      </c>
      <c r="P403" s="3">
        <f t="shared" si="16"/>
        <v>0.38868901779907028</v>
      </c>
      <c r="Q403" s="3">
        <f>STANDARDIZE(O403,I$14,J$14)</f>
        <v>-0.11544658378489608</v>
      </c>
    </row>
    <row r="404" spans="12:17" x14ac:dyDescent="0.3">
      <c r="L404" s="4">
        <v>1981.66666666014</v>
      </c>
      <c r="M404">
        <v>1981</v>
      </c>
      <c r="N404">
        <v>9</v>
      </c>
      <c r="O404">
        <v>15424</v>
      </c>
      <c r="P404" s="3">
        <f t="shared" si="16"/>
        <v>0.44092788616974227</v>
      </c>
      <c r="Q404" s="3">
        <f>STANDARDIZE(O404,I$13,J$13)</f>
        <v>0.43189543657890012</v>
      </c>
    </row>
    <row r="405" spans="12:17" x14ac:dyDescent="0.3">
      <c r="L405" s="4">
        <v>1981.5833333267799</v>
      </c>
      <c r="M405">
        <v>1981</v>
      </c>
      <c r="N405">
        <v>8</v>
      </c>
      <c r="O405">
        <v>17108</v>
      </c>
      <c r="P405" s="3">
        <f t="shared" si="16"/>
        <v>0.65975936461802986</v>
      </c>
      <c r="Q405" s="3">
        <f>STANDARDIZE(O405,I$12,J$12)</f>
        <v>0.73217382744109794</v>
      </c>
    </row>
    <row r="406" spans="12:17" x14ac:dyDescent="0.3">
      <c r="L406" s="4">
        <v>1981.49999999342</v>
      </c>
      <c r="M406">
        <v>1981</v>
      </c>
      <c r="N406">
        <v>7</v>
      </c>
      <c r="O406">
        <v>23566</v>
      </c>
      <c r="P406" s="3">
        <f t="shared" si="16"/>
        <v>1.4989598918264868</v>
      </c>
      <c r="Q406" s="3">
        <f>STANDARDIZE(O406,I$11,J$11)</f>
        <v>1.4575478591211839</v>
      </c>
    </row>
    <row r="407" spans="12:17" x14ac:dyDescent="0.3">
      <c r="L407" s="4">
        <v>1981.4166666600599</v>
      </c>
      <c r="M407">
        <v>1981</v>
      </c>
      <c r="N407">
        <v>6</v>
      </c>
      <c r="O407">
        <v>22747</v>
      </c>
      <c r="P407" s="3">
        <f t="shared" si="16"/>
        <v>1.3925329435787746</v>
      </c>
      <c r="Q407" s="3">
        <f>STANDARDIZE(O407,I$10,J$10)</f>
        <v>1.5217398129885327</v>
      </c>
    </row>
    <row r="408" spans="12:17" x14ac:dyDescent="0.3">
      <c r="L408" s="4">
        <v>1981.3333333267001</v>
      </c>
      <c r="M408">
        <v>1981</v>
      </c>
      <c r="N408">
        <v>5</v>
      </c>
      <c r="O408">
        <v>14518</v>
      </c>
      <c r="P408" s="3">
        <f t="shared" si="16"/>
        <v>0.32319551118509343</v>
      </c>
      <c r="Q408" s="3">
        <f>STANDARDIZE(O408,I$9,J$9)</f>
        <v>0.80924289404332361</v>
      </c>
    </row>
    <row r="409" spans="12:17" x14ac:dyDescent="0.3">
      <c r="L409" s="4">
        <v>1981.24999999334</v>
      </c>
      <c r="M409">
        <v>1981</v>
      </c>
      <c r="N409">
        <v>4</v>
      </c>
      <c r="O409">
        <v>5555</v>
      </c>
      <c r="P409" s="3">
        <f t="shared" si="16"/>
        <v>-0.84152333758687925</v>
      </c>
      <c r="Q409" s="3">
        <f>STANDARDIZE(O409,I$8,J$8)</f>
        <v>-0.18703138951344478</v>
      </c>
    </row>
    <row r="410" spans="12:17" x14ac:dyDescent="0.3">
      <c r="L410" s="4">
        <v>1981.1666666599799</v>
      </c>
      <c r="M410">
        <v>1981</v>
      </c>
      <c r="N410">
        <v>3</v>
      </c>
      <c r="O410">
        <v>5562</v>
      </c>
      <c r="P410" s="3">
        <f t="shared" si="16"/>
        <v>-0.84061370555057402</v>
      </c>
      <c r="Q410" s="3">
        <f>STANDARDIZE(O410,I$7,J$7)</f>
        <v>0.35593857056013278</v>
      </c>
    </row>
    <row r="411" spans="12:17" x14ac:dyDescent="0.3">
      <c r="L411" s="4">
        <v>1981.08333332662</v>
      </c>
      <c r="M411">
        <v>1981</v>
      </c>
      <c r="N411">
        <v>2</v>
      </c>
      <c r="O411">
        <v>3408</v>
      </c>
      <c r="P411" s="3">
        <f t="shared" si="16"/>
        <v>-1.1205204778650701</v>
      </c>
      <c r="Q411" s="3">
        <f>STANDARDIZE(O411,I$6,J$6)</f>
        <v>-0.50842438734447248</v>
      </c>
    </row>
    <row r="412" spans="12:17" x14ac:dyDescent="0.3">
      <c r="L412" s="4">
        <v>1980.99999999326</v>
      </c>
      <c r="M412">
        <v>1981</v>
      </c>
      <c r="N412">
        <v>1</v>
      </c>
      <c r="O412">
        <v>8646</v>
      </c>
      <c r="P412" s="3">
        <f t="shared" si="16"/>
        <v>-0.43985581984123967</v>
      </c>
      <c r="Q412" s="3">
        <f>STANDARDIZE(O412,I$5,J$5)</f>
        <v>-0.37595266147848155</v>
      </c>
    </row>
    <row r="413" spans="12:17" x14ac:dyDescent="0.3">
      <c r="L413" s="4">
        <v>1980.9166666599001</v>
      </c>
      <c r="M413">
        <v>1980</v>
      </c>
      <c r="N413">
        <v>12</v>
      </c>
      <c r="O413">
        <v>12460</v>
      </c>
      <c r="P413" s="3">
        <f t="shared" si="16"/>
        <v>5.5763692511354768E-2</v>
      </c>
      <c r="Q413" s="3">
        <f>STANDARDIZE(O413,I$16,J$16)</f>
        <v>-0.76156971281716168</v>
      </c>
    </row>
    <row r="414" spans="12:17" x14ac:dyDescent="0.3">
      <c r="L414" s="4">
        <v>1980.83333332654</v>
      </c>
      <c r="M414">
        <v>1980</v>
      </c>
      <c r="N414">
        <v>11</v>
      </c>
      <c r="O414">
        <v>12703</v>
      </c>
      <c r="P414" s="3">
        <f t="shared" si="16"/>
        <v>8.734091891452217E-2</v>
      </c>
      <c r="Q414" s="3">
        <f>STANDARDIZE(O414,I$15,J$15)</f>
        <v>-0.71481747348551194</v>
      </c>
    </row>
    <row r="415" spans="12:17" x14ac:dyDescent="0.3">
      <c r="L415" s="4">
        <v>1980.7499999931799</v>
      </c>
      <c r="M415">
        <v>1980</v>
      </c>
      <c r="N415">
        <v>10</v>
      </c>
      <c r="O415">
        <v>11058</v>
      </c>
      <c r="P415" s="3">
        <f t="shared" si="16"/>
        <v>-0.12642260961720775</v>
      </c>
      <c r="Q415" s="3">
        <f>STANDARDIZE(O415,I$14,J$14)</f>
        <v>-0.60159350911347376</v>
      </c>
    </row>
    <row r="416" spans="12:17" x14ac:dyDescent="0.3">
      <c r="L416" s="4">
        <v>1980.6666666598201</v>
      </c>
      <c r="M416">
        <v>1980</v>
      </c>
      <c r="N416">
        <v>9</v>
      </c>
      <c r="O416">
        <v>7279</v>
      </c>
      <c r="P416" s="3">
        <f t="shared" si="16"/>
        <v>-0.61749396178827598</v>
      </c>
      <c r="Q416" s="3">
        <f>STANDARDIZE(O416,I$13,J$13)</f>
        <v>-0.70818520313037348</v>
      </c>
    </row>
    <row r="417" spans="12:17" x14ac:dyDescent="0.3">
      <c r="L417" s="4">
        <v>1980.58333332646</v>
      </c>
      <c r="M417">
        <v>1980</v>
      </c>
      <c r="N417">
        <v>8</v>
      </c>
      <c r="O417">
        <v>7734</v>
      </c>
      <c r="P417" s="3">
        <f t="shared" si="16"/>
        <v>-0.5583678794284358</v>
      </c>
      <c r="Q417" s="3">
        <f>STANDARDIZE(O417,I$12,J$12)</f>
        <v>-0.63705254213293683</v>
      </c>
    </row>
    <row r="418" spans="12:17" x14ac:dyDescent="0.3">
      <c r="L418" s="4">
        <v>1980.4999999930999</v>
      </c>
      <c r="M418">
        <v>1980</v>
      </c>
      <c r="N418">
        <v>7</v>
      </c>
      <c r="O418">
        <v>7106</v>
      </c>
      <c r="P418" s="3">
        <f t="shared" si="16"/>
        <v>-0.63997486782839108</v>
      </c>
      <c r="Q418" s="3">
        <f>STANDARDIZE(O418,I$11,J$11)</f>
        <v>-0.95719933131440327</v>
      </c>
    </row>
    <row r="419" spans="12:17" x14ac:dyDescent="0.3">
      <c r="L419" s="4">
        <v>1980.41666665974</v>
      </c>
      <c r="M419">
        <v>1980</v>
      </c>
      <c r="N419">
        <v>6</v>
      </c>
      <c r="O419">
        <v>8147</v>
      </c>
      <c r="P419" s="3">
        <f t="shared" si="16"/>
        <v>-0.504699589286427</v>
      </c>
      <c r="Q419" s="3">
        <f>STANDARDIZE(O419,I$10,J$10)</f>
        <v>-0.92377736318002912</v>
      </c>
    </row>
    <row r="420" spans="12:17" x14ac:dyDescent="0.3">
      <c r="L420" s="4">
        <v>1980.3333333263799</v>
      </c>
      <c r="M420">
        <v>1980</v>
      </c>
      <c r="N420">
        <v>5</v>
      </c>
      <c r="O420">
        <v>5833</v>
      </c>
      <c r="P420" s="3">
        <f t="shared" si="16"/>
        <v>-0.8053979510021857</v>
      </c>
      <c r="Q420" s="3">
        <f>STANDARDIZE(O420,I$9,J$9)</f>
        <v>-1.0586341270780595</v>
      </c>
    </row>
    <row r="421" spans="12:17" x14ac:dyDescent="0.3">
      <c r="L421" s="4">
        <v>1980.2499999930201</v>
      </c>
      <c r="M421">
        <v>1980</v>
      </c>
      <c r="N421">
        <v>4</v>
      </c>
      <c r="O421">
        <v>3056</v>
      </c>
      <c r="P421" s="3">
        <f t="shared" si="16"/>
        <v>-1.1662619745478477</v>
      </c>
      <c r="Q421" s="3">
        <f>STANDARDIZE(O421,I$8,J$8)</f>
        <v>-1.0789582751619455</v>
      </c>
    </row>
    <row r="422" spans="12:17" x14ac:dyDescent="0.3">
      <c r="L422" s="4">
        <v>1980.16666665966</v>
      </c>
      <c r="M422">
        <v>1980</v>
      </c>
      <c r="N422">
        <v>3</v>
      </c>
      <c r="O422">
        <v>2900</v>
      </c>
      <c r="P422" s="3">
        <f t="shared" si="16"/>
        <v>-1.1865337742140785</v>
      </c>
      <c r="Q422" s="3">
        <f>STANDARDIZE(O422,I$7,J$7)</f>
        <v>-0.72898469774142904</v>
      </c>
    </row>
    <row r="423" spans="12:17" x14ac:dyDescent="0.3">
      <c r="L423" s="4">
        <v>1980.0833333262999</v>
      </c>
      <c r="M423">
        <v>1980</v>
      </c>
      <c r="N423">
        <v>2</v>
      </c>
      <c r="O423">
        <v>4741</v>
      </c>
      <c r="P423" s="3">
        <f t="shared" si="16"/>
        <v>-0.94730054866580216</v>
      </c>
      <c r="Q423" s="3">
        <f>STANDARDIZE(O423,I$6,J$6)</f>
        <v>-2.2086450151203099E-2</v>
      </c>
    </row>
    <row r="424" spans="12:17" x14ac:dyDescent="0.3">
      <c r="L424" s="4">
        <v>1979.99999999294</v>
      </c>
      <c r="M424">
        <v>1980</v>
      </c>
      <c r="N424">
        <v>1</v>
      </c>
      <c r="O424">
        <v>10166</v>
      </c>
      <c r="P424" s="3">
        <f t="shared" si="16"/>
        <v>-0.24233572052924607</v>
      </c>
      <c r="Q424" s="3">
        <f>STANDARDIZE(O424,I$5,J$5)</f>
        <v>-0.15206311028887301</v>
      </c>
    </row>
    <row r="425" spans="12:17" x14ac:dyDescent="0.3">
      <c r="L425" s="4">
        <v>1979.91666665958</v>
      </c>
      <c r="M425">
        <v>1979</v>
      </c>
      <c r="N425">
        <v>12</v>
      </c>
      <c r="O425">
        <v>20599</v>
      </c>
      <c r="P425" s="3">
        <f t="shared" si="16"/>
        <v>1.1134058558668256</v>
      </c>
      <c r="Q425" s="3">
        <f>STANDARDIZE(O425,I$16,J$16)</f>
        <v>3.280619255347144E-2</v>
      </c>
    </row>
    <row r="426" spans="12:17" x14ac:dyDescent="0.3">
      <c r="L426" s="4">
        <v>1979.8333333262201</v>
      </c>
      <c r="M426">
        <v>1979</v>
      </c>
      <c r="N426">
        <v>11</v>
      </c>
      <c r="O426">
        <v>16581</v>
      </c>
      <c r="P426" s="3">
        <f t="shared" si="16"/>
        <v>0.59127706702762162</v>
      </c>
      <c r="Q426" s="3">
        <f>STANDARDIZE(O426,I$15,J$15)</f>
        <v>-0.29796602052659232</v>
      </c>
    </row>
    <row r="427" spans="12:17" x14ac:dyDescent="0.3">
      <c r="L427" s="4">
        <v>1979.74999999286</v>
      </c>
      <c r="M427">
        <v>1979</v>
      </c>
      <c r="N427">
        <v>10</v>
      </c>
      <c r="O427">
        <v>13337</v>
      </c>
      <c r="P427" s="3">
        <f t="shared" si="16"/>
        <v>0.16972759191702474</v>
      </c>
      <c r="Q427" s="3">
        <f>STANDARDIZE(O427,I$14,J$14)</f>
        <v>-0.3220958191982799</v>
      </c>
    </row>
    <row r="428" spans="12:17" x14ac:dyDescent="0.3">
      <c r="L428" s="4">
        <v>1979.6666666594999</v>
      </c>
      <c r="M428">
        <v>1979</v>
      </c>
      <c r="N428">
        <v>9</v>
      </c>
      <c r="O428">
        <v>11027</v>
      </c>
      <c r="P428" s="3">
        <f t="shared" si="16"/>
        <v>-0.13045098006370234</v>
      </c>
      <c r="Q428" s="3">
        <f>STANDARDIZE(O428,I$13,J$13)</f>
        <v>-0.18356614387557207</v>
      </c>
    </row>
    <row r="429" spans="12:17" x14ac:dyDescent="0.3">
      <c r="L429" s="4">
        <v>1979.5833333261401</v>
      </c>
      <c r="M429">
        <v>1979</v>
      </c>
      <c r="N429">
        <v>8</v>
      </c>
      <c r="O429">
        <v>8957</v>
      </c>
      <c r="P429" s="3">
        <f t="shared" si="16"/>
        <v>-0.39944216794253573</v>
      </c>
      <c r="Q429" s="3">
        <f>STANDARDIZE(O429,I$12,J$12)</f>
        <v>-0.45841334328622846</v>
      </c>
    </row>
    <row r="430" spans="12:17" x14ac:dyDescent="0.3">
      <c r="L430" s="4">
        <v>1979.49999999278</v>
      </c>
      <c r="M430">
        <v>1979</v>
      </c>
      <c r="N430">
        <v>7</v>
      </c>
      <c r="O430">
        <v>12617</v>
      </c>
      <c r="P430" s="3">
        <f t="shared" si="16"/>
        <v>7.6165439611343574E-2</v>
      </c>
      <c r="Q430" s="3">
        <f>STANDARDIZE(O430,I$11,J$11)</f>
        <v>-0.1487138047961456</v>
      </c>
    </row>
    <row r="431" spans="12:17" x14ac:dyDescent="0.3">
      <c r="L431" s="4">
        <v>1979.4166666594199</v>
      </c>
      <c r="M431">
        <v>1979</v>
      </c>
      <c r="N431">
        <v>6</v>
      </c>
      <c r="O431">
        <v>12284</v>
      </c>
      <c r="P431" s="3">
        <f t="shared" si="16"/>
        <v>3.2892944169966035E-2</v>
      </c>
      <c r="Q431" s="3">
        <f>STANDARDIZE(O431,I$10,J$10)</f>
        <v>-0.23082499620678665</v>
      </c>
    </row>
    <row r="432" spans="12:17" x14ac:dyDescent="0.3">
      <c r="L432" s="4">
        <v>1979.33333332606</v>
      </c>
      <c r="M432">
        <v>1979</v>
      </c>
      <c r="N432">
        <v>5</v>
      </c>
      <c r="O432">
        <v>9025</v>
      </c>
      <c r="P432" s="3">
        <f t="shared" si="16"/>
        <v>-0.39060574244699914</v>
      </c>
      <c r="Q432" s="3">
        <f>STANDARDIZE(O432,I$9,J$9)</f>
        <v>-0.37213286612014868</v>
      </c>
    </row>
    <row r="433" spans="12:17" x14ac:dyDescent="0.3">
      <c r="L433" s="4">
        <v>1979.2499999926999</v>
      </c>
      <c r="M433">
        <v>1979</v>
      </c>
      <c r="N433">
        <v>4</v>
      </c>
      <c r="O433">
        <v>4315</v>
      </c>
      <c r="P433" s="3">
        <f t="shared" si="16"/>
        <v>-1.0026581554466636</v>
      </c>
      <c r="Q433" s="3">
        <f>STANDARDIZE(O433,I$8,J$8)</f>
        <v>-0.62960415390085622</v>
      </c>
    </row>
    <row r="434" spans="12:17" x14ac:dyDescent="0.3">
      <c r="L434" s="4">
        <v>1979.1666666593401</v>
      </c>
      <c r="M434">
        <v>1979</v>
      </c>
      <c r="N434">
        <v>3</v>
      </c>
      <c r="O434">
        <v>3143</v>
      </c>
      <c r="P434" s="3">
        <f t="shared" si="16"/>
        <v>-1.1549565478109112</v>
      </c>
      <c r="Q434" s="3">
        <f>STANDARDIZE(O434,I$7,J$7)</f>
        <v>-0.62994775025935568</v>
      </c>
    </row>
    <row r="435" spans="12:17" x14ac:dyDescent="0.3">
      <c r="L435" s="4">
        <v>1979.08333332598</v>
      </c>
      <c r="M435">
        <v>1979</v>
      </c>
      <c r="N435">
        <v>2</v>
      </c>
      <c r="O435">
        <v>2232</v>
      </c>
      <c r="P435" s="3">
        <f t="shared" si="16"/>
        <v>-1.2733386599643495</v>
      </c>
      <c r="Q435" s="3">
        <f>STANDARDIZE(O435,I$6,J$6)</f>
        <v>-0.93748171228016997</v>
      </c>
    </row>
    <row r="436" spans="12:17" x14ac:dyDescent="0.3">
      <c r="L436" s="4">
        <v>1978.9999999926199</v>
      </c>
      <c r="M436">
        <v>1979</v>
      </c>
      <c r="N436">
        <v>1</v>
      </c>
      <c r="O436">
        <v>6510</v>
      </c>
      <c r="P436" s="3">
        <f t="shared" si="16"/>
        <v>-0.7174235383480938</v>
      </c>
      <c r="Q436" s="3">
        <f>STANDARDIZE(O436,I$5,J$5)</f>
        <v>-0.69057639920282621</v>
      </c>
    </row>
    <row r="437" spans="12:17" x14ac:dyDescent="0.3">
      <c r="L437" s="4">
        <v>1978.91666665926</v>
      </c>
      <c r="M437">
        <v>1978</v>
      </c>
      <c r="N437">
        <v>12</v>
      </c>
      <c r="O437">
        <v>13372</v>
      </c>
      <c r="P437" s="3">
        <f t="shared" si="16"/>
        <v>0.17427575209855092</v>
      </c>
      <c r="Q437" s="3">
        <f>STANDARDIZE(O437,I$16,J$16)</f>
        <v>-0.6725574477111268</v>
      </c>
    </row>
    <row r="438" spans="12:17" x14ac:dyDescent="0.3">
      <c r="L438" s="4">
        <v>1978.8333333259</v>
      </c>
      <c r="M438">
        <v>1978</v>
      </c>
      <c r="N438">
        <v>11</v>
      </c>
      <c r="O438">
        <v>13692</v>
      </c>
      <c r="P438" s="3">
        <f t="shared" si="16"/>
        <v>0.21585893090107588</v>
      </c>
      <c r="Q438" s="3">
        <f>STANDARDIZE(O438,I$15,J$15)</f>
        <v>-0.6085085289325538</v>
      </c>
    </row>
    <row r="439" spans="12:17" x14ac:dyDescent="0.3">
      <c r="L439" s="4">
        <v>1978.7499999925401</v>
      </c>
      <c r="M439">
        <v>1978</v>
      </c>
      <c r="N439">
        <v>10</v>
      </c>
      <c r="O439">
        <v>10883</v>
      </c>
      <c r="P439" s="3">
        <f t="shared" si="16"/>
        <v>-0.14916341052483859</v>
      </c>
      <c r="Q439" s="3">
        <f>STANDARDIZE(O439,I$14,J$14)</f>
        <v>-0.62305559587747505</v>
      </c>
    </row>
    <row r="440" spans="12:17" x14ac:dyDescent="0.3">
      <c r="L440" s="4">
        <v>1978.66666665918</v>
      </c>
      <c r="M440">
        <v>1978</v>
      </c>
      <c r="N440">
        <v>9</v>
      </c>
      <c r="O440">
        <v>7999</v>
      </c>
      <c r="P440" s="3">
        <f t="shared" si="16"/>
        <v>-0.52393180948259488</v>
      </c>
      <c r="Q440" s="3">
        <f>STANDARDIZE(O440,I$13,J$13)</f>
        <v>-0.60740459409529957</v>
      </c>
    </row>
    <row r="441" spans="12:17" x14ac:dyDescent="0.3">
      <c r="L441" s="4">
        <v>1978.5833333258199</v>
      </c>
      <c r="M441">
        <v>1978</v>
      </c>
      <c r="N441">
        <v>8</v>
      </c>
      <c r="O441">
        <v>9114</v>
      </c>
      <c r="P441" s="3">
        <f t="shared" si="16"/>
        <v>-0.37904042084254691</v>
      </c>
      <c r="Q441" s="3">
        <f>STANDARDIZE(O441,I$12,J$12)</f>
        <v>-0.43548091955856438</v>
      </c>
    </row>
    <row r="442" spans="12:17" x14ac:dyDescent="0.3">
      <c r="L442" s="4">
        <v>1978.4999999924601</v>
      </c>
      <c r="M442">
        <v>1978</v>
      </c>
      <c r="N442">
        <v>7</v>
      </c>
      <c r="O442">
        <v>12430</v>
      </c>
      <c r="P442" s="3">
        <f t="shared" si="16"/>
        <v>5.1865269498618055E-2</v>
      </c>
      <c r="Q442" s="3">
        <f>STANDARDIZE(O442,I$11,J$11)</f>
        <v>-0.17614744541652561</v>
      </c>
    </row>
    <row r="443" spans="12:17" x14ac:dyDescent="0.3">
      <c r="L443" s="4">
        <v>1978.4166666591</v>
      </c>
      <c r="M443">
        <v>1978</v>
      </c>
      <c r="N443">
        <v>6</v>
      </c>
      <c r="O443">
        <v>12694</v>
      </c>
      <c r="P443" s="3">
        <f t="shared" si="16"/>
        <v>8.6171392010701148E-2</v>
      </c>
      <c r="Q443" s="3">
        <f>STANDARDIZE(O443,I$10,J$10)</f>
        <v>-0.16214951386232701</v>
      </c>
    </row>
    <row r="444" spans="12:17" x14ac:dyDescent="0.3">
      <c r="L444" s="4">
        <v>1978.3333333257401</v>
      </c>
      <c r="M444">
        <v>1978</v>
      </c>
      <c r="N444">
        <v>5</v>
      </c>
      <c r="O444">
        <v>11764</v>
      </c>
      <c r="P444" s="3">
        <f t="shared" si="16"/>
        <v>-3.4679721384137031E-2</v>
      </c>
      <c r="Q444" s="3">
        <f>STANDARDIZE(O444,I$9,J$9)</f>
        <v>0.21694199408151721</v>
      </c>
    </row>
    <row r="445" spans="12:17" x14ac:dyDescent="0.3">
      <c r="L445" s="4">
        <v>1978.24999999238</v>
      </c>
      <c r="M445">
        <v>1978</v>
      </c>
      <c r="N445">
        <v>4</v>
      </c>
      <c r="O445">
        <v>6983</v>
      </c>
      <c r="P445" s="3">
        <f t="shared" si="16"/>
        <v>-0.65595840218061163</v>
      </c>
      <c r="Q445" s="3">
        <f>STANDARDIZE(O445,I$8,J$8)</f>
        <v>0.32264111657141281</v>
      </c>
    </row>
    <row r="446" spans="12:17" x14ac:dyDescent="0.3">
      <c r="L446" s="4">
        <v>1978.1666666590099</v>
      </c>
      <c r="M446">
        <v>1978</v>
      </c>
      <c r="N446">
        <v>3</v>
      </c>
      <c r="O446">
        <v>2316</v>
      </c>
      <c r="P446" s="3">
        <f t="shared" si="16"/>
        <v>-1.2624230755286867</v>
      </c>
      <c r="Q446" s="3">
        <f>STANDARDIZE(O446,I$7,J$7)</f>
        <v>-0.9669994192621324</v>
      </c>
    </row>
    <row r="447" spans="12:17" x14ac:dyDescent="0.3">
      <c r="L447" s="4">
        <v>1978.0833333256501</v>
      </c>
      <c r="M447">
        <v>1978</v>
      </c>
      <c r="N447">
        <v>2</v>
      </c>
      <c r="O447">
        <v>2178</v>
      </c>
      <c r="P447" s="3">
        <f t="shared" si="16"/>
        <v>-1.2803558213872754</v>
      </c>
      <c r="Q447" s="3">
        <f>STANDARDIZE(O447,I$6,J$6)</f>
        <v>-0.95718332413946217</v>
      </c>
    </row>
    <row r="448" spans="12:17" x14ac:dyDescent="0.3">
      <c r="L448" s="4">
        <v>1977.99999999229</v>
      </c>
      <c r="M448">
        <v>1978</v>
      </c>
      <c r="N448">
        <v>1</v>
      </c>
      <c r="O448">
        <v>5931</v>
      </c>
      <c r="P448" s="3">
        <f t="shared" si="16"/>
        <v>-0.79266310249391236</v>
      </c>
      <c r="Q448" s="3">
        <f>STANDARDIZE(O448,I$5,J$5)</f>
        <v>-0.77586064271518373</v>
      </c>
    </row>
    <row r="449" spans="12:17" x14ac:dyDescent="0.3">
      <c r="L449" s="4">
        <v>1977.9166666589299</v>
      </c>
      <c r="M449">
        <v>1977</v>
      </c>
      <c r="N449">
        <v>12</v>
      </c>
      <c r="O449">
        <v>15051</v>
      </c>
      <c r="P449" s="3">
        <f t="shared" si="16"/>
        <v>0.39245749337804908</v>
      </c>
      <c r="Q449" s="3">
        <f>STANDARDIZE(O449,I$16,J$16)</f>
        <v>-0.50868508684157376</v>
      </c>
    </row>
    <row r="450" spans="12:17" x14ac:dyDescent="0.3">
      <c r="L450" s="4">
        <v>1977.83333332557</v>
      </c>
      <c r="M450">
        <v>1977</v>
      </c>
      <c r="N450">
        <v>11</v>
      </c>
      <c r="O450">
        <v>15399</v>
      </c>
      <c r="P450" s="3">
        <f t="shared" si="16"/>
        <v>0.43767920032579499</v>
      </c>
      <c r="Q450" s="3">
        <f>STANDARDIZE(O450,I$15,J$15)</f>
        <v>-0.42502079551303973</v>
      </c>
    </row>
    <row r="451" spans="12:17" x14ac:dyDescent="0.3">
      <c r="L451" s="4">
        <v>1977.74999999221</v>
      </c>
      <c r="M451">
        <v>1977</v>
      </c>
      <c r="N451">
        <v>10</v>
      </c>
      <c r="O451">
        <v>11594</v>
      </c>
      <c r="P451" s="3">
        <f t="shared" si="16"/>
        <v>-5.6770785122978416E-2</v>
      </c>
      <c r="Q451" s="3">
        <f>STANDARDIZE(O451,I$14,J$14)</f>
        <v>-0.53585820336773271</v>
      </c>
    </row>
    <row r="452" spans="12:17" x14ac:dyDescent="0.3">
      <c r="L452" s="4">
        <v>1977.6666666588501</v>
      </c>
      <c r="M452">
        <v>1977</v>
      </c>
      <c r="N452">
        <v>9</v>
      </c>
      <c r="O452">
        <v>6601</v>
      </c>
      <c r="P452" s="3">
        <f t="shared" si="16"/>
        <v>-0.70559832187612581</v>
      </c>
      <c r="Q452" s="3">
        <f>STANDARDIZE(O452,I$13,J$13)</f>
        <v>-0.80308694330506802</v>
      </c>
    </row>
    <row r="453" spans="12:17" x14ac:dyDescent="0.3">
      <c r="L453" s="4">
        <v>1977.58333332549</v>
      </c>
      <c r="M453">
        <v>1977</v>
      </c>
      <c r="N453">
        <v>8</v>
      </c>
      <c r="O453">
        <v>7969</v>
      </c>
      <c r="P453" s="3">
        <f t="shared" ref="P453:P516" si="17">STANDARDIZE(O453,O$2,O$3)</f>
        <v>-0.52783023249533156</v>
      </c>
      <c r="Q453" s="3">
        <f>STANDARDIZE(O453,I$12,J$12)</f>
        <v>-0.6027269397380256</v>
      </c>
    </row>
    <row r="454" spans="12:17" x14ac:dyDescent="0.3">
      <c r="L454" s="4">
        <v>1977.4999999921299</v>
      </c>
      <c r="M454">
        <v>1977</v>
      </c>
      <c r="N454">
        <v>7</v>
      </c>
      <c r="O454">
        <v>7805</v>
      </c>
      <c r="P454" s="3">
        <f t="shared" si="17"/>
        <v>-0.54914161163162556</v>
      </c>
      <c r="Q454" s="3">
        <f>STANDARDIZE(O454,I$11,J$11)</f>
        <v>-0.85465326289918608</v>
      </c>
    </row>
    <row r="455" spans="12:17" x14ac:dyDescent="0.3">
      <c r="L455" s="4">
        <v>1977.4166666587701</v>
      </c>
      <c r="M455">
        <v>1977</v>
      </c>
      <c r="N455">
        <v>6</v>
      </c>
      <c r="O455">
        <v>8395</v>
      </c>
      <c r="P455" s="3">
        <f t="shared" si="17"/>
        <v>-0.47247262571447018</v>
      </c>
      <c r="Q455" s="3">
        <f>STANDARDIZE(O455,I$10,J$10)</f>
        <v>-0.8822370714204536</v>
      </c>
    </row>
    <row r="456" spans="12:17" x14ac:dyDescent="0.3">
      <c r="L456" s="4">
        <v>1977.33333332541</v>
      </c>
      <c r="M456">
        <v>1977</v>
      </c>
      <c r="N456">
        <v>5</v>
      </c>
      <c r="O456">
        <v>5257</v>
      </c>
      <c r="P456" s="3">
        <f t="shared" si="17"/>
        <v>-0.88024767284673067</v>
      </c>
      <c r="Q456" s="3">
        <f>STANDARDIZE(O456,I$9,J$9)</f>
        <v>-1.1825140538674568</v>
      </c>
    </row>
    <row r="457" spans="12:17" x14ac:dyDescent="0.3">
      <c r="L457" s="4">
        <v>1977.2499999920501</v>
      </c>
      <c r="M457">
        <v>1977</v>
      </c>
      <c r="N457">
        <v>4</v>
      </c>
      <c r="O457">
        <v>2541</v>
      </c>
      <c r="P457" s="3">
        <f t="shared" si="17"/>
        <v>-1.2331849029331612</v>
      </c>
      <c r="Q457" s="3">
        <f>STANDARDIZE(O457,I$8,J$8)</f>
        <v>-1.2627687377905883</v>
      </c>
    </row>
    <row r="458" spans="12:17" x14ac:dyDescent="0.3">
      <c r="L458" s="4">
        <v>1977.16666665869</v>
      </c>
      <c r="M458">
        <v>1977</v>
      </c>
      <c r="N458">
        <v>3</v>
      </c>
      <c r="O458">
        <v>1452</v>
      </c>
      <c r="P458" s="3">
        <f t="shared" si="17"/>
        <v>-1.3746976582955039</v>
      </c>
      <c r="Q458" s="3">
        <f>STANDARDIZE(O458,I$7,J$7)</f>
        <v>-1.3191307880872825</v>
      </c>
    </row>
    <row r="459" spans="12:17" x14ac:dyDescent="0.3">
      <c r="L459" s="4">
        <v>1977.0833333253299</v>
      </c>
      <c r="M459">
        <v>1977</v>
      </c>
      <c r="N459">
        <v>2</v>
      </c>
      <c r="O459">
        <v>1471</v>
      </c>
      <c r="P459" s="3">
        <f t="shared" si="17"/>
        <v>-1.372228657054104</v>
      </c>
      <c r="Q459" s="3">
        <f>STANDARDIZE(O459,I$6,J$6)</f>
        <v>-1.215128501630566</v>
      </c>
    </row>
    <row r="460" spans="12:17" x14ac:dyDescent="0.3">
      <c r="L460" s="4">
        <v>1976.9999999919701</v>
      </c>
      <c r="M460">
        <v>1977</v>
      </c>
      <c r="N460">
        <v>1</v>
      </c>
      <c r="O460">
        <v>2908</v>
      </c>
      <c r="P460" s="3">
        <f t="shared" si="17"/>
        <v>-1.1854941947440154</v>
      </c>
      <c r="Q460" s="3">
        <f>STANDARDIZE(O460,I$5,J$5)</f>
        <v>-1.2211357172192538</v>
      </c>
    </row>
    <row r="461" spans="12:17" x14ac:dyDescent="0.3">
      <c r="L461" s="4">
        <v>1976.91666665861</v>
      </c>
      <c r="M461">
        <v>1976</v>
      </c>
      <c r="N461">
        <v>12</v>
      </c>
      <c r="O461">
        <v>9052</v>
      </c>
      <c r="P461" s="3">
        <f t="shared" si="17"/>
        <v>-0.3870971617355361</v>
      </c>
      <c r="Q461" s="3">
        <f>STANDARDIZE(O461,I$16,J$16)</f>
        <v>-1.0941944929502392</v>
      </c>
    </row>
    <row r="462" spans="12:17" x14ac:dyDescent="0.3">
      <c r="L462" s="4">
        <v>1976.8333333252499</v>
      </c>
      <c r="M462">
        <v>1976</v>
      </c>
      <c r="N462">
        <v>11</v>
      </c>
      <c r="O462">
        <v>12712</v>
      </c>
      <c r="P462" s="3">
        <f t="shared" si="17"/>
        <v>8.8510445818343178E-2</v>
      </c>
      <c r="Q462" s="3">
        <f>STANDARDIZE(O462,I$15,J$15)</f>
        <v>-0.71385005134094504</v>
      </c>
    </row>
    <row r="463" spans="12:17" x14ac:dyDescent="0.3">
      <c r="L463" s="4">
        <v>1976.74999999189</v>
      </c>
      <c r="M463">
        <v>1976</v>
      </c>
      <c r="N463">
        <v>10</v>
      </c>
      <c r="O463">
        <v>9534</v>
      </c>
      <c r="P463" s="3">
        <f t="shared" si="17"/>
        <v>-0.32446249866423288</v>
      </c>
      <c r="Q463" s="3">
        <f>STANDARDIZE(O463,I$14,J$14)</f>
        <v>-0.78849762470397644</v>
      </c>
    </row>
    <row r="464" spans="12:17" x14ac:dyDescent="0.3">
      <c r="L464" s="4">
        <v>1976.6666666585299</v>
      </c>
      <c r="M464">
        <v>1976</v>
      </c>
      <c r="N464">
        <v>9</v>
      </c>
      <c r="O464">
        <v>4779</v>
      </c>
      <c r="P464" s="3">
        <f t="shared" si="17"/>
        <v>-0.9423625461830023</v>
      </c>
      <c r="Q464" s="3">
        <f>STANDARDIZE(O464,I$13,J$13)</f>
        <v>-1.0581178733910468</v>
      </c>
    </row>
    <row r="465" spans="12:17" x14ac:dyDescent="0.3">
      <c r="L465" s="4">
        <v>1976.5833333251701</v>
      </c>
      <c r="M465">
        <v>1976</v>
      </c>
      <c r="N465">
        <v>8</v>
      </c>
      <c r="O465">
        <v>6593</v>
      </c>
      <c r="P465" s="3">
        <f t="shared" si="17"/>
        <v>-0.70663790134618887</v>
      </c>
      <c r="Q465" s="3">
        <f>STANDARDIZE(O465,I$12,J$12)</f>
        <v>-0.80371429673971884</v>
      </c>
    </row>
    <row r="466" spans="12:17" x14ac:dyDescent="0.3">
      <c r="L466" s="4">
        <v>1976.49999999181</v>
      </c>
      <c r="M466">
        <v>1976</v>
      </c>
      <c r="N466">
        <v>7</v>
      </c>
      <c r="O466">
        <v>9901</v>
      </c>
      <c r="P466" s="3">
        <f t="shared" si="17"/>
        <v>-0.27677179047508704</v>
      </c>
      <c r="Q466" s="3">
        <f>STANDARDIZE(O466,I$11,J$11)</f>
        <v>-0.54716176161407115</v>
      </c>
    </row>
    <row r="467" spans="12:17" x14ac:dyDescent="0.3">
      <c r="L467" s="4">
        <v>1976.4166666584499</v>
      </c>
      <c r="M467">
        <v>1976</v>
      </c>
      <c r="N467">
        <v>6</v>
      </c>
      <c r="O467">
        <v>11249</v>
      </c>
      <c r="P467" s="3">
        <f t="shared" si="17"/>
        <v>-0.10160264976945065</v>
      </c>
      <c r="Q467" s="3">
        <f>STANDARDIZE(O467,I$10,J$10)</f>
        <v>-0.40418871383243471</v>
      </c>
    </row>
    <row r="468" spans="12:17" x14ac:dyDescent="0.3">
      <c r="L468" s="4">
        <v>1976.3333333250901</v>
      </c>
      <c r="M468">
        <v>1976</v>
      </c>
      <c r="N468">
        <v>5</v>
      </c>
      <c r="O468">
        <v>10810</v>
      </c>
      <c r="P468" s="3">
        <f t="shared" si="17"/>
        <v>-0.15864957318916459</v>
      </c>
      <c r="Q468" s="3">
        <f>STANDARDIZE(O468,I$9,J$9)</f>
        <v>1.1765865336577735E-2</v>
      </c>
    </row>
    <row r="469" spans="12:17" x14ac:dyDescent="0.3">
      <c r="L469" s="4">
        <v>1976.24999999173</v>
      </c>
      <c r="M469">
        <v>1976</v>
      </c>
      <c r="N469">
        <v>4</v>
      </c>
      <c r="O469">
        <v>7028</v>
      </c>
      <c r="P469" s="3">
        <f t="shared" si="17"/>
        <v>-0.65011076766150655</v>
      </c>
      <c r="Q469" s="3">
        <f>STANDARDIZE(O469,I$8,J$8)</f>
        <v>0.33870222495643987</v>
      </c>
    </row>
    <row r="470" spans="12:17" x14ac:dyDescent="0.3">
      <c r="L470" s="4">
        <v>1976.1666666583701</v>
      </c>
      <c r="M470">
        <v>1976</v>
      </c>
      <c r="N470">
        <v>3</v>
      </c>
      <c r="O470">
        <v>6282</v>
      </c>
      <c r="P470" s="3">
        <f t="shared" si="17"/>
        <v>-0.74705155324489281</v>
      </c>
      <c r="Q470" s="3">
        <f>STANDARDIZE(O470,I$7,J$7)</f>
        <v>0.64938137791442452</v>
      </c>
    </row>
    <row r="471" spans="12:17" x14ac:dyDescent="0.3">
      <c r="L471" s="4">
        <v>1976.08333332501</v>
      </c>
      <c r="M471">
        <v>1976</v>
      </c>
      <c r="N471">
        <v>2</v>
      </c>
      <c r="O471">
        <v>6925</v>
      </c>
      <c r="P471" s="3">
        <f t="shared" si="17"/>
        <v>-0.66349535333856924</v>
      </c>
      <c r="Q471" s="3">
        <f>STANDARDIZE(O471,I$6,J$6)</f>
        <v>0.77473429615794942</v>
      </c>
    </row>
    <row r="472" spans="12:17" x14ac:dyDescent="0.3">
      <c r="L472" s="4">
        <v>1975.9999999916499</v>
      </c>
      <c r="M472">
        <v>1976</v>
      </c>
      <c r="N472">
        <v>1</v>
      </c>
      <c r="O472">
        <v>16268</v>
      </c>
      <c r="P472" s="3">
        <f t="shared" si="17"/>
        <v>0.5506035202614018</v>
      </c>
      <c r="Q472" s="3">
        <f>STANDARDIZE(O472,I$5,J$5)</f>
        <v>0.74673560113151605</v>
      </c>
    </row>
    <row r="473" spans="12:17" x14ac:dyDescent="0.3">
      <c r="L473" s="4">
        <v>1975.9166666582901</v>
      </c>
      <c r="M473">
        <v>1975</v>
      </c>
      <c r="N473">
        <v>12</v>
      </c>
      <c r="O473">
        <v>28250</v>
      </c>
      <c r="P473" s="3">
        <f t="shared" si="17"/>
        <v>2.1076336715484461</v>
      </c>
      <c r="Q473" s="3">
        <f>STANDARDIZE(O473,I$16,J$16)</f>
        <v>0.77955272799894559</v>
      </c>
    </row>
    <row r="474" spans="12:17" x14ac:dyDescent="0.3">
      <c r="L474" s="4">
        <v>1975.83333332493</v>
      </c>
      <c r="M474">
        <v>1975</v>
      </c>
      <c r="N474">
        <v>11</v>
      </c>
      <c r="O474">
        <v>27350</v>
      </c>
      <c r="P474" s="3">
        <f t="shared" si="17"/>
        <v>1.9906809811663446</v>
      </c>
      <c r="Q474" s="3">
        <f>STANDARDIZE(O474,I$15,J$15)</f>
        <v>0.85960832112235175</v>
      </c>
    </row>
    <row r="475" spans="12:17" x14ac:dyDescent="0.3">
      <c r="L475" s="4">
        <v>1975.7499999915699</v>
      </c>
      <c r="M475">
        <v>1975</v>
      </c>
      <c r="N475">
        <v>10</v>
      </c>
      <c r="O475">
        <v>21437</v>
      </c>
      <c r="P475" s="3">
        <f t="shared" si="17"/>
        <v>1.222301805355938</v>
      </c>
      <c r="Q475" s="3">
        <f>STANDARDIZE(O475,I$14,J$14)</f>
        <v>0.6712921967354939</v>
      </c>
    </row>
    <row r="476" spans="12:17" x14ac:dyDescent="0.3">
      <c r="L476" s="4">
        <v>1975.66666665821</v>
      </c>
      <c r="M476">
        <v>1975</v>
      </c>
      <c r="N476">
        <v>9</v>
      </c>
      <c r="O476">
        <v>16201</v>
      </c>
      <c r="P476" s="3">
        <f t="shared" si="17"/>
        <v>0.5418970421996232</v>
      </c>
      <c r="Q476" s="3">
        <f>STANDARDIZE(O476,I$13,J$13)</f>
        <v>0.5406545104959174</v>
      </c>
    </row>
    <row r="477" spans="12:17" x14ac:dyDescent="0.3">
      <c r="L477" s="4">
        <v>1975.5833333248499</v>
      </c>
      <c r="M477">
        <v>1975</v>
      </c>
      <c r="N477">
        <v>8</v>
      </c>
      <c r="O477">
        <v>13448</v>
      </c>
      <c r="P477" s="3">
        <f t="shared" si="17"/>
        <v>0.1841517570641506</v>
      </c>
      <c r="Q477" s="3">
        <f>STANDARDIZE(O477,I$12,J$12)</f>
        <v>0.19757082843950124</v>
      </c>
    </row>
    <row r="478" spans="12:17" x14ac:dyDescent="0.3">
      <c r="L478" s="4">
        <v>1975.4999999914901</v>
      </c>
      <c r="M478">
        <v>1975</v>
      </c>
      <c r="N478">
        <v>7</v>
      </c>
      <c r="O478">
        <v>12456</v>
      </c>
      <c r="P478" s="3">
        <f t="shared" si="17"/>
        <v>5.5243902776323205E-2</v>
      </c>
      <c r="Q478" s="3">
        <f>STANDARDIZE(O478,I$11,J$11)</f>
        <v>-0.17233314244256903</v>
      </c>
    </row>
    <row r="479" spans="12:17" x14ac:dyDescent="0.3">
      <c r="L479" s="4">
        <v>1975.41666665813</v>
      </c>
      <c r="M479">
        <v>1975</v>
      </c>
      <c r="N479">
        <v>6</v>
      </c>
      <c r="O479">
        <v>10248</v>
      </c>
      <c r="P479" s="3">
        <f t="shared" si="17"/>
        <v>-0.23168003096109904</v>
      </c>
      <c r="Q479" s="3">
        <f>STANDARDIZE(O479,I$10,J$10)</f>
        <v>-0.57185739145878611</v>
      </c>
    </row>
    <row r="480" spans="12:17" x14ac:dyDescent="0.3">
      <c r="L480" s="4">
        <v>1975.3333333247699</v>
      </c>
      <c r="M480">
        <v>1975</v>
      </c>
      <c r="N480">
        <v>5</v>
      </c>
      <c r="O480">
        <v>7720</v>
      </c>
      <c r="P480" s="3">
        <f t="shared" si="17"/>
        <v>-0.56018714350104626</v>
      </c>
      <c r="Q480" s="3">
        <f>STANDARDIZE(O480,I$9,J$9)</f>
        <v>-0.65279832525237724</v>
      </c>
    </row>
    <row r="481" spans="12:17" x14ac:dyDescent="0.3">
      <c r="L481" s="4">
        <v>1975.24999999141</v>
      </c>
      <c r="M481">
        <v>1975</v>
      </c>
      <c r="N481">
        <v>4</v>
      </c>
      <c r="O481">
        <v>4285</v>
      </c>
      <c r="P481" s="3">
        <f t="shared" si="17"/>
        <v>-1.0065565784594002</v>
      </c>
      <c r="Q481" s="3">
        <f>STANDARDIZE(O481,I$8,J$8)</f>
        <v>-0.64031155949087415</v>
      </c>
    </row>
    <row r="482" spans="12:17" x14ac:dyDescent="0.3">
      <c r="L482" s="4">
        <v>1975.16666665805</v>
      </c>
      <c r="M482">
        <v>1975</v>
      </c>
      <c r="N482">
        <v>3</v>
      </c>
      <c r="O482">
        <v>5439</v>
      </c>
      <c r="P482" s="3">
        <f t="shared" si="17"/>
        <v>-0.85659723990279457</v>
      </c>
      <c r="Q482" s="3">
        <f>STANDARDIZE(O482,I$7,J$7)</f>
        <v>0.30580875763710796</v>
      </c>
    </row>
    <row r="483" spans="12:17" x14ac:dyDescent="0.3">
      <c r="L483" s="4">
        <v>1975.0833333246901</v>
      </c>
      <c r="M483">
        <v>1975</v>
      </c>
      <c r="N483">
        <v>2</v>
      </c>
      <c r="O483">
        <v>3510</v>
      </c>
      <c r="P483" s="3">
        <f t="shared" si="17"/>
        <v>-1.1072658396217654</v>
      </c>
      <c r="Q483" s="3">
        <f>STANDARDIZE(O483,I$6,J$6)</f>
        <v>-0.47121023161025377</v>
      </c>
    </row>
    <row r="484" spans="12:17" x14ac:dyDescent="0.3">
      <c r="L484" s="4">
        <v>1974.99999999133</v>
      </c>
      <c r="M484">
        <v>1975</v>
      </c>
      <c r="N484">
        <v>1</v>
      </c>
      <c r="O484">
        <v>9313</v>
      </c>
      <c r="P484" s="3">
        <f t="shared" si="17"/>
        <v>-0.35318088152472671</v>
      </c>
      <c r="Q484" s="3">
        <f>STANDARDIZE(O484,I$5,J$5)</f>
        <v>-0.27770639131830466</v>
      </c>
    </row>
    <row r="485" spans="12:17" x14ac:dyDescent="0.3">
      <c r="L485" s="4">
        <v>1974.9166666579699</v>
      </c>
      <c r="M485">
        <v>1974</v>
      </c>
      <c r="N485">
        <v>12</v>
      </c>
      <c r="O485">
        <v>25114</v>
      </c>
      <c r="P485" s="3">
        <f t="shared" si="17"/>
        <v>1.7001185192837014</v>
      </c>
      <c r="Q485" s="3">
        <f>STANDARDIZE(O485,I$16,J$16)</f>
        <v>0.47347546552907144</v>
      </c>
    </row>
    <row r="486" spans="12:17" x14ac:dyDescent="0.3">
      <c r="L486" s="4">
        <v>1974.8333333246101</v>
      </c>
      <c r="M486">
        <v>1974</v>
      </c>
      <c r="N486">
        <v>11</v>
      </c>
      <c r="O486">
        <v>25046</v>
      </c>
      <c r="P486" s="3">
        <f t="shared" si="17"/>
        <v>1.6912820937881647</v>
      </c>
      <c r="Q486" s="3">
        <f>STANDARDIZE(O486,I$15,J$15)</f>
        <v>0.611948252113236</v>
      </c>
    </row>
    <row r="487" spans="12:17" x14ac:dyDescent="0.3">
      <c r="L487" s="4">
        <v>1974.74999999125</v>
      </c>
      <c r="M487">
        <v>1974</v>
      </c>
      <c r="N487">
        <v>10</v>
      </c>
      <c r="O487">
        <v>16554</v>
      </c>
      <c r="P487" s="3">
        <f t="shared" si="17"/>
        <v>0.58776848631615852</v>
      </c>
      <c r="Q487" s="3">
        <f>STANDARDIZE(O487,I$14,J$14)</f>
        <v>7.2438655771960903E-2</v>
      </c>
    </row>
    <row r="488" spans="12:17" x14ac:dyDescent="0.3">
      <c r="L488" s="4">
        <v>1974.6666666578899</v>
      </c>
      <c r="M488">
        <v>1974</v>
      </c>
      <c r="N488">
        <v>9</v>
      </c>
      <c r="O488">
        <v>9388</v>
      </c>
      <c r="P488" s="3">
        <f t="shared" si="17"/>
        <v>-0.34343482399288489</v>
      </c>
      <c r="Q488" s="3">
        <f>STANDARDIZE(O488,I$13,J$13)</f>
        <v>-0.41298200249846945</v>
      </c>
    </row>
    <row r="489" spans="12:17" x14ac:dyDescent="0.3">
      <c r="L489" s="4">
        <v>1974.58333332453</v>
      </c>
      <c r="M489">
        <v>1974</v>
      </c>
      <c r="N489">
        <v>8</v>
      </c>
      <c r="O489">
        <v>9134</v>
      </c>
      <c r="P489" s="3">
        <f t="shared" si="17"/>
        <v>-0.3764414721673891</v>
      </c>
      <c r="Q489" s="3">
        <f>STANDARDIZE(O489,I$12,J$12)</f>
        <v>-0.43255959169516767</v>
      </c>
    </row>
    <row r="490" spans="12:17" x14ac:dyDescent="0.3">
      <c r="L490" s="4">
        <v>1974.4999999911699</v>
      </c>
      <c r="M490">
        <v>1974</v>
      </c>
      <c r="N490">
        <v>7</v>
      </c>
      <c r="O490">
        <v>9567</v>
      </c>
      <c r="P490" s="3">
        <f t="shared" si="17"/>
        <v>-0.32017423335022249</v>
      </c>
      <c r="Q490" s="3">
        <f>STANDARDIZE(O490,I$11,J$11)</f>
        <v>-0.59616088443335946</v>
      </c>
    </row>
    <row r="491" spans="12:17" x14ac:dyDescent="0.3">
      <c r="L491" s="4">
        <v>1974.4166666578101</v>
      </c>
      <c r="M491">
        <v>1974</v>
      </c>
      <c r="N491">
        <v>6</v>
      </c>
      <c r="O491">
        <v>10574</v>
      </c>
      <c r="P491" s="3">
        <f t="shared" si="17"/>
        <v>-0.18931716755602673</v>
      </c>
      <c r="Q491" s="3">
        <f>STANDARDIZE(O491,I$10,J$10)</f>
        <v>-0.51725200793611825</v>
      </c>
    </row>
    <row r="492" spans="12:17" x14ac:dyDescent="0.3">
      <c r="L492" s="4">
        <v>1974.33333332445</v>
      </c>
      <c r="M492">
        <v>1974</v>
      </c>
      <c r="N492">
        <v>5</v>
      </c>
      <c r="O492">
        <v>10353</v>
      </c>
      <c r="P492" s="3">
        <f t="shared" si="17"/>
        <v>-0.21803555041652056</v>
      </c>
      <c r="Q492" s="3">
        <f>STANDARDIZE(O492,I$9,J$9)</f>
        <v>-8.6520812689037926E-2</v>
      </c>
    </row>
    <row r="493" spans="12:17" x14ac:dyDescent="0.3">
      <c r="L493" s="4">
        <v>1974.2499999910899</v>
      </c>
      <c r="M493">
        <v>1974</v>
      </c>
      <c r="N493">
        <v>4</v>
      </c>
      <c r="O493">
        <v>7395</v>
      </c>
      <c r="P493" s="3">
        <f t="shared" si="17"/>
        <v>-0.60242005947236066</v>
      </c>
      <c r="Q493" s="3">
        <f>STANDARDIZE(O493,I$8,J$8)</f>
        <v>0.46968948667432692</v>
      </c>
    </row>
    <row r="494" spans="12:17" x14ac:dyDescent="0.3">
      <c r="L494" s="4">
        <v>1974.16666665773</v>
      </c>
      <c r="M494">
        <v>1974</v>
      </c>
      <c r="N494">
        <v>3</v>
      </c>
      <c r="O494">
        <v>8075</v>
      </c>
      <c r="P494" s="3">
        <f t="shared" si="17"/>
        <v>-0.51405580451699517</v>
      </c>
      <c r="Q494" s="3">
        <f>STANDARDIZE(O494,I$7,J$7)</f>
        <v>1.3801354801175427</v>
      </c>
    </row>
    <row r="495" spans="12:17" x14ac:dyDescent="0.3">
      <c r="L495" s="4">
        <v>1974.08333332437</v>
      </c>
      <c r="M495">
        <v>1974</v>
      </c>
      <c r="N495">
        <v>2</v>
      </c>
      <c r="O495">
        <v>8708</v>
      </c>
      <c r="P495" s="3">
        <f t="shared" si="17"/>
        <v>-0.43179907894825043</v>
      </c>
      <c r="Q495" s="3">
        <f>STANDARDIZE(O495,I$6,J$6)</f>
        <v>1.4252523321786539</v>
      </c>
    </row>
    <row r="496" spans="12:17" x14ac:dyDescent="0.3">
      <c r="L496" s="4">
        <v>1973.9999999910101</v>
      </c>
      <c r="M496">
        <v>1974</v>
      </c>
      <c r="N496">
        <v>1</v>
      </c>
      <c r="O496">
        <v>16332</v>
      </c>
      <c r="P496" s="3">
        <f t="shared" si="17"/>
        <v>0.55892015602190681</v>
      </c>
      <c r="Q496" s="3">
        <f>STANDARDIZE(O496,I$5,J$5)</f>
        <v>0.75616252960265751</v>
      </c>
    </row>
    <row r="497" spans="12:17" x14ac:dyDescent="0.3">
      <c r="L497" s="4">
        <v>1973.91666665765</v>
      </c>
      <c r="M497">
        <v>1973</v>
      </c>
      <c r="N497">
        <v>12</v>
      </c>
      <c r="O497">
        <v>21496</v>
      </c>
      <c r="P497" s="3">
        <f t="shared" si="17"/>
        <v>1.2299687039476535</v>
      </c>
      <c r="Q497" s="3">
        <f>STANDARDIZE(O497,I$16,J$16)</f>
        <v>0.1203544401413149</v>
      </c>
    </row>
    <row r="498" spans="12:17" x14ac:dyDescent="0.3">
      <c r="L498" s="4">
        <v>1973.8333333242899</v>
      </c>
      <c r="M498">
        <v>1973</v>
      </c>
      <c r="N498">
        <v>11</v>
      </c>
      <c r="O498">
        <v>20016</v>
      </c>
      <c r="P498" s="3">
        <f t="shared" si="17"/>
        <v>1.0376465019859755</v>
      </c>
      <c r="Q498" s="3">
        <f>STANDARDIZE(O498,I$15,J$15)</f>
        <v>7.1266764649758563E-2</v>
      </c>
    </row>
    <row r="499" spans="12:17" x14ac:dyDescent="0.3">
      <c r="L499" s="4">
        <v>1973.7499999909301</v>
      </c>
      <c r="M499">
        <v>1973</v>
      </c>
      <c r="N499">
        <v>10</v>
      </c>
      <c r="O499">
        <v>18298</v>
      </c>
      <c r="P499" s="3">
        <f t="shared" si="17"/>
        <v>0.81439681078991966</v>
      </c>
      <c r="Q499" s="3">
        <f>STANDARDIZE(O499,I$14,J$14)</f>
        <v>0.28632368043720802</v>
      </c>
    </row>
    <row r="500" spans="12:17" x14ac:dyDescent="0.3">
      <c r="L500" s="4">
        <v>1973.66666665757</v>
      </c>
      <c r="M500">
        <v>1973</v>
      </c>
      <c r="N500">
        <v>9</v>
      </c>
      <c r="O500">
        <v>12900</v>
      </c>
      <c r="P500" s="3">
        <f t="shared" si="17"/>
        <v>0.11294056336482659</v>
      </c>
      <c r="Q500" s="3">
        <f>STANDARDIZE(O500,I$13,J$13)</f>
        <v>7.8603412683724366E-2</v>
      </c>
    </row>
    <row r="501" spans="12:17" x14ac:dyDescent="0.3">
      <c r="L501" s="4">
        <v>1973.5833333242099</v>
      </c>
      <c r="M501">
        <v>1973</v>
      </c>
      <c r="N501">
        <v>8</v>
      </c>
      <c r="O501">
        <v>9879</v>
      </c>
      <c r="P501" s="3">
        <f t="shared" si="17"/>
        <v>-0.27963063401776067</v>
      </c>
      <c r="Q501" s="3">
        <f>STANDARDIZE(O501,I$12,J$12)</f>
        <v>-0.32374012878364045</v>
      </c>
    </row>
    <row r="502" spans="12:17" x14ac:dyDescent="0.3">
      <c r="L502" s="4">
        <v>1973.49999999085</v>
      </c>
      <c r="M502">
        <v>1973</v>
      </c>
      <c r="N502">
        <v>7</v>
      </c>
      <c r="O502">
        <v>8250</v>
      </c>
      <c r="P502" s="3">
        <f t="shared" si="17"/>
        <v>-0.49131500360936431</v>
      </c>
      <c r="Q502" s="3">
        <f>STANDARDIZE(O502,I$11,J$11)</f>
        <v>-0.7893700004603138</v>
      </c>
    </row>
    <row r="503" spans="12:17" x14ac:dyDescent="0.3">
      <c r="L503" s="4">
        <v>1973.4166666574899</v>
      </c>
      <c r="M503">
        <v>1973</v>
      </c>
      <c r="N503">
        <v>6</v>
      </c>
      <c r="O503">
        <v>6141</v>
      </c>
      <c r="P503" s="3">
        <f t="shared" si="17"/>
        <v>-0.76537414140475546</v>
      </c>
      <c r="Q503" s="3">
        <f>STANDARDIZE(O503,I$10,J$10)</f>
        <v>-1.2597847231385315</v>
      </c>
    </row>
    <row r="504" spans="12:17" x14ac:dyDescent="0.3">
      <c r="L504" s="4">
        <v>1973.3333333241301</v>
      </c>
      <c r="M504">
        <v>1973</v>
      </c>
      <c r="N504">
        <v>5</v>
      </c>
      <c r="O504">
        <v>4871</v>
      </c>
      <c r="P504" s="3">
        <f t="shared" si="17"/>
        <v>-0.93040738227727637</v>
      </c>
      <c r="Q504" s="3">
        <f>STANDARDIZE(O504,I$9,J$9)</f>
        <v>-1.2655308103617404</v>
      </c>
    </row>
    <row r="505" spans="12:17" x14ac:dyDescent="0.3">
      <c r="L505" s="4">
        <v>1973.24999999077</v>
      </c>
      <c r="M505">
        <v>1973</v>
      </c>
      <c r="N505">
        <v>4</v>
      </c>
      <c r="O505">
        <v>2567</v>
      </c>
      <c r="P505" s="3">
        <f t="shared" si="17"/>
        <v>-1.2298062696554561</v>
      </c>
      <c r="Q505" s="3">
        <f>STANDARDIZE(O505,I$8,J$8)</f>
        <v>-1.2534889862792393</v>
      </c>
    </row>
    <row r="506" spans="12:17" x14ac:dyDescent="0.3">
      <c r="L506" s="4">
        <v>1973.1666666574099</v>
      </c>
      <c r="M506">
        <v>1973</v>
      </c>
      <c r="N506">
        <v>3</v>
      </c>
      <c r="O506">
        <v>1846</v>
      </c>
      <c r="P506" s="3">
        <f t="shared" si="17"/>
        <v>-1.3234983693948952</v>
      </c>
      <c r="Q506" s="3">
        <f>STANDARDIZE(O506,I$7,J$7)</f>
        <v>-1.1585523629517396</v>
      </c>
    </row>
    <row r="507" spans="12:17" x14ac:dyDescent="0.3">
      <c r="L507" s="4">
        <v>1973.08333332405</v>
      </c>
      <c r="M507">
        <v>1973</v>
      </c>
      <c r="N507">
        <v>2</v>
      </c>
      <c r="O507">
        <v>1802</v>
      </c>
      <c r="P507" s="3">
        <f t="shared" si="17"/>
        <v>-1.3292160564802424</v>
      </c>
      <c r="Q507" s="3">
        <f>STANDARDIZE(O507,I$6,J$6)</f>
        <v>-1.0943649178263859</v>
      </c>
    </row>
    <row r="508" spans="12:17" x14ac:dyDescent="0.3">
      <c r="L508" s="4">
        <v>1972.99999999069</v>
      </c>
      <c r="M508">
        <v>1973</v>
      </c>
      <c r="N508">
        <v>1</v>
      </c>
      <c r="O508">
        <v>4356</v>
      </c>
      <c r="P508" s="3">
        <f t="shared" si="17"/>
        <v>-0.99733031066258993</v>
      </c>
      <c r="Q508" s="3">
        <f>STANDARDIZE(O508,I$5,J$5)</f>
        <v>-1.0078514605596793</v>
      </c>
    </row>
    <row r="509" spans="12:17" x14ac:dyDescent="0.3">
      <c r="L509" s="4">
        <v>1972.9166666573401</v>
      </c>
      <c r="M509">
        <v>1972</v>
      </c>
      <c r="N509">
        <v>12</v>
      </c>
      <c r="O509">
        <v>10156</v>
      </c>
      <c r="P509" s="3">
        <f t="shared" si="17"/>
        <v>-0.24363519486682497</v>
      </c>
      <c r="Q509" s="3">
        <f>STANDARDIZE(O509,I$16,J$16)</f>
        <v>-0.98644280361135495</v>
      </c>
    </row>
    <row r="510" spans="12:17" x14ac:dyDescent="0.3">
      <c r="L510" s="4">
        <v>1972.83333332398</v>
      </c>
      <c r="M510">
        <v>1972</v>
      </c>
      <c r="N510">
        <v>11</v>
      </c>
      <c r="O510">
        <v>10729</v>
      </c>
      <c r="P510" s="3">
        <f t="shared" si="17"/>
        <v>-0.1691753153235537</v>
      </c>
      <c r="Q510" s="3">
        <f>STANDARDIZE(O510,I$15,J$15)</f>
        <v>-0.92700539719384289</v>
      </c>
    </row>
    <row r="511" spans="12:17" x14ac:dyDescent="0.3">
      <c r="L511" s="4">
        <v>1972.7499999906199</v>
      </c>
      <c r="M511">
        <v>1972</v>
      </c>
      <c r="N511">
        <v>10</v>
      </c>
      <c r="O511">
        <v>9184</v>
      </c>
      <c r="P511" s="3">
        <f t="shared" si="17"/>
        <v>-0.36994410047949455</v>
      </c>
      <c r="Q511" s="3">
        <f>STANDARDIZE(O511,I$14,J$14)</f>
        <v>-0.83142179823197904</v>
      </c>
    </row>
    <row r="512" spans="12:17" x14ac:dyDescent="0.3">
      <c r="L512" s="4">
        <v>1972.6666666572601</v>
      </c>
      <c r="M512">
        <v>1972</v>
      </c>
      <c r="N512">
        <v>9</v>
      </c>
      <c r="O512">
        <v>8061</v>
      </c>
      <c r="P512" s="3">
        <f t="shared" si="17"/>
        <v>-0.51587506858960563</v>
      </c>
      <c r="Q512" s="3">
        <f>STANDARDIZE(O512,I$13,J$13)</f>
        <v>-0.5987262638728349</v>
      </c>
    </row>
    <row r="513" spans="12:17" x14ac:dyDescent="0.3">
      <c r="L513" s="4">
        <v>1972.5833333239</v>
      </c>
      <c r="M513">
        <v>1972</v>
      </c>
      <c r="N513">
        <v>8</v>
      </c>
      <c r="O513">
        <v>8281</v>
      </c>
      <c r="P513" s="3">
        <f t="shared" si="17"/>
        <v>-0.48728663316286969</v>
      </c>
      <c r="Q513" s="3">
        <f>STANDARDIZE(O513,I$12,J$12)</f>
        <v>-0.557154225069037</v>
      </c>
    </row>
    <row r="514" spans="12:17" x14ac:dyDescent="0.3">
      <c r="L514" s="4">
        <v>1972.4999999905399</v>
      </c>
      <c r="M514">
        <v>1972</v>
      </c>
      <c r="N514">
        <v>7</v>
      </c>
      <c r="O514">
        <v>14206</v>
      </c>
      <c r="P514" s="3">
        <f t="shared" si="17"/>
        <v>0.28265191185263161</v>
      </c>
      <c r="Q514" s="3">
        <f>STANDARDIZE(O514,I$11,J$11)</f>
        <v>8.4398788496816007E-2</v>
      </c>
    </row>
    <row r="515" spans="12:17" x14ac:dyDescent="0.3">
      <c r="L515" s="4">
        <v>1972.41666665718</v>
      </c>
      <c r="M515">
        <v>1972</v>
      </c>
      <c r="N515">
        <v>6</v>
      </c>
      <c r="O515">
        <v>14463</v>
      </c>
      <c r="P515" s="3">
        <f t="shared" si="17"/>
        <v>0.31604840232840947</v>
      </c>
      <c r="Q515" s="3">
        <f>STANDARDIZE(O515,I$10,J$10)</f>
        <v>0.13416006727754873</v>
      </c>
    </row>
    <row r="516" spans="12:17" x14ac:dyDescent="0.3">
      <c r="L516" s="4">
        <v>1972.3333333238199</v>
      </c>
      <c r="M516">
        <v>1972</v>
      </c>
      <c r="N516">
        <v>5</v>
      </c>
      <c r="O516">
        <v>10971</v>
      </c>
      <c r="P516" s="3">
        <f t="shared" si="17"/>
        <v>-0.13772803635414421</v>
      </c>
      <c r="Q516" s="3">
        <f>STANDARDIZE(O516,I$9,J$9)</f>
        <v>4.6392025428753057E-2</v>
      </c>
    </row>
    <row r="517" spans="12:17" x14ac:dyDescent="0.3">
      <c r="L517" s="4">
        <v>1972.2499999904601</v>
      </c>
      <c r="M517">
        <v>1972</v>
      </c>
      <c r="N517">
        <v>4</v>
      </c>
      <c r="O517">
        <v>6112</v>
      </c>
      <c r="P517" s="3">
        <f t="shared" ref="P517:P520" si="18">STANDARDIZE(O517,O$2,O$3)</f>
        <v>-0.76914261698373421</v>
      </c>
      <c r="Q517" s="3">
        <f>STANDARDIZE(O517,I$8,J$8)</f>
        <v>1.1769440941223064E-2</v>
      </c>
    </row>
    <row r="518" spans="12:17" x14ac:dyDescent="0.3">
      <c r="L518" s="4">
        <v>1972.1666666571</v>
      </c>
      <c r="M518">
        <v>1972</v>
      </c>
      <c r="N518">
        <v>3</v>
      </c>
      <c r="O518">
        <v>4586</v>
      </c>
      <c r="P518" s="3">
        <f t="shared" si="18"/>
        <v>-0.96744240089827516</v>
      </c>
      <c r="Q518" s="3">
        <f>STANDARDIZE(O518,I$7,J$7)</f>
        <v>-4.1839457186795992E-2</v>
      </c>
    </row>
    <row r="519" spans="12:17" x14ac:dyDescent="0.3">
      <c r="L519" s="4">
        <v>1972.0833333237399</v>
      </c>
      <c r="M519">
        <v>1972</v>
      </c>
      <c r="N519">
        <v>2</v>
      </c>
      <c r="O519">
        <v>6683</v>
      </c>
      <c r="P519" s="3">
        <f t="shared" si="18"/>
        <v>-0.6949426323079787</v>
      </c>
      <c r="Q519" s="3">
        <f>STANDARDIZE(O519,I$6,J$6)</f>
        <v>0.6864418874551953</v>
      </c>
    </row>
    <row r="520" spans="12:17" x14ac:dyDescent="0.3">
      <c r="L520" s="4">
        <v>1971.99999999038</v>
      </c>
      <c r="M520">
        <v>1972</v>
      </c>
      <c r="N520" s="6">
        <v>1</v>
      </c>
      <c r="O520">
        <v>9515</v>
      </c>
      <c r="P520" s="3">
        <f t="shared" si="18"/>
        <v>-0.32693149990563281</v>
      </c>
      <c r="Q520" s="3">
        <f>STANDARDIZE(O520,I$5,J$5)</f>
        <v>-0.24795264833126457</v>
      </c>
    </row>
  </sheetData>
  <autoFilter ref="B4:F4" xr:uid="{00000000-0009-0000-0000-000003000000}">
    <sortState xmlns:xlrd2="http://schemas.microsoft.com/office/spreadsheetml/2017/richdata2" ref="B5:F49">
      <sortCondition descending="1" ref="B4"/>
    </sortState>
  </autoFilter>
  <sortState xmlns:xlrd2="http://schemas.microsoft.com/office/spreadsheetml/2017/richdata2" ref="B5:F47">
    <sortCondition descending="1" ref="B5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6"/>
  <sheetViews>
    <sheetView zoomScale="85" zoomScaleNormal="85" workbookViewId="0">
      <selection activeCell="I26" sqref="I26"/>
    </sheetView>
  </sheetViews>
  <sheetFormatPr baseColWidth="10" defaultRowHeight="14.4" x14ac:dyDescent="0.3"/>
  <cols>
    <col min="2" max="2" width="8.33203125" customWidth="1"/>
    <col min="3" max="3" width="9.6640625" customWidth="1"/>
    <col min="4" max="5" width="13.5546875" customWidth="1"/>
    <col min="6" max="6" width="10" customWidth="1"/>
    <col min="7" max="7" width="5.6640625" customWidth="1"/>
    <col min="9" max="9" width="8.5546875" customWidth="1"/>
    <col min="10" max="10" width="8" customWidth="1"/>
    <col min="11" max="11" width="6.33203125" customWidth="1"/>
    <col min="12" max="12" width="8.33203125" customWidth="1"/>
    <col min="13" max="13" width="9.33203125" customWidth="1"/>
    <col min="14" max="14" width="8.33203125" customWidth="1"/>
  </cols>
  <sheetData>
    <row r="1" spans="1:14" x14ac:dyDescent="0.3">
      <c r="A1" s="10" t="s">
        <v>203</v>
      </c>
      <c r="B1" s="10"/>
      <c r="C1" s="10"/>
      <c r="D1" s="10"/>
      <c r="E1" s="10"/>
      <c r="F1" s="10"/>
    </row>
    <row r="2" spans="1:14" x14ac:dyDescent="0.3">
      <c r="A2" s="16" t="s">
        <v>175</v>
      </c>
      <c r="B2" s="16"/>
      <c r="C2" s="16"/>
      <c r="D2" s="16"/>
      <c r="E2" s="12"/>
      <c r="F2" s="12"/>
    </row>
    <row r="3" spans="1:14" x14ac:dyDescent="0.3">
      <c r="A3" s="17" t="s">
        <v>176</v>
      </c>
      <c r="B3" s="17"/>
      <c r="C3" s="17"/>
      <c r="D3" s="17"/>
      <c r="E3" s="2"/>
      <c r="F3" s="2"/>
    </row>
    <row r="4" spans="1:14" x14ac:dyDescent="0.3">
      <c r="A4" s="17" t="s">
        <v>177</v>
      </c>
      <c r="B4" s="17"/>
      <c r="C4" s="17"/>
      <c r="D4" s="17"/>
      <c r="E4" s="2" t="s">
        <v>198</v>
      </c>
      <c r="F4" s="14">
        <f>AVERAGE(D8:D775)</f>
        <v>74.65945945945947</v>
      </c>
    </row>
    <row r="5" spans="1:14" x14ac:dyDescent="0.3">
      <c r="A5" s="18" t="s">
        <v>178</v>
      </c>
      <c r="B5" s="18"/>
      <c r="C5" s="18"/>
      <c r="D5" s="18"/>
      <c r="E5" s="13" t="s">
        <v>149</v>
      </c>
      <c r="F5" s="14">
        <f>_xlfn.STDEV.S(D8:D775)</f>
        <v>87.578193610608224</v>
      </c>
      <c r="L5" s="2" t="s">
        <v>198</v>
      </c>
      <c r="M5" s="4">
        <f>AVERAGE(M8:M76)</f>
        <v>746.50535714285718</v>
      </c>
    </row>
    <row r="6" spans="1:14" x14ac:dyDescent="0.3">
      <c r="A6" s="6" t="s">
        <v>179</v>
      </c>
      <c r="D6" s="6" t="s">
        <v>180</v>
      </c>
      <c r="E6" s="6"/>
      <c r="F6" s="6"/>
      <c r="H6" s="19" t="s">
        <v>201</v>
      </c>
      <c r="I6" s="19"/>
      <c r="J6" s="19"/>
      <c r="L6" s="13" t="s">
        <v>149</v>
      </c>
      <c r="M6" s="4">
        <f>_xlfn.STDEV.S(M8:M76)</f>
        <v>436.82362590935656</v>
      </c>
    </row>
    <row r="7" spans="1:14" ht="30.75" customHeight="1" x14ac:dyDescent="0.3">
      <c r="A7" s="7" t="s">
        <v>181</v>
      </c>
      <c r="B7" s="2" t="s">
        <v>182</v>
      </c>
      <c r="C7" s="2" t="s">
        <v>195</v>
      </c>
      <c r="D7" s="11" t="s">
        <v>202</v>
      </c>
      <c r="E7" s="11" t="s">
        <v>196</v>
      </c>
      <c r="F7" s="11" t="s">
        <v>197</v>
      </c>
      <c r="H7" s="7" t="s">
        <v>144</v>
      </c>
      <c r="I7" s="7" t="s">
        <v>148</v>
      </c>
      <c r="J7" s="7" t="s">
        <v>149</v>
      </c>
      <c r="L7" s="7" t="s">
        <v>137</v>
      </c>
      <c r="M7" s="7" t="s">
        <v>204</v>
      </c>
    </row>
    <row r="8" spans="1:14" x14ac:dyDescent="0.3">
      <c r="A8" t="s">
        <v>194</v>
      </c>
      <c r="B8">
        <v>2013</v>
      </c>
      <c r="C8" s="4">
        <v>2013.9166666666599</v>
      </c>
      <c r="D8">
        <v>39.200000000000003</v>
      </c>
      <c r="E8" s="8">
        <f>STANDARDIZE(D8,F$4,F$5)</f>
        <v>-0.40488913960842771</v>
      </c>
      <c r="F8" s="3">
        <f>STANDARDIZE(D8,I$19,J$19)</f>
        <v>4.4450256304801788E-2</v>
      </c>
      <c r="H8" t="s">
        <v>183</v>
      </c>
      <c r="I8" s="3">
        <f>AVERAGEIFS(D$8:D$775,A$8:A$775,H8)</f>
        <v>3.0170212765957456</v>
      </c>
      <c r="J8" s="3">
        <f t="array" ref="J8">_xlfn.STDEV.S(IF(A$8:A$775=H8,D$8:D$775))</f>
        <v>11.45579798790475</v>
      </c>
      <c r="L8">
        <v>2013</v>
      </c>
      <c r="M8" s="4">
        <f>SUMIF(B$8:B$811,L8,D$8:D$811)</f>
        <v>749.4</v>
      </c>
      <c r="N8" s="3">
        <f>STANDARDIZE(M8,M$5,M$6)</f>
        <v>6.6265711959074616E-3</v>
      </c>
    </row>
    <row r="9" spans="1:14" x14ac:dyDescent="0.3">
      <c r="A9" t="s">
        <v>193</v>
      </c>
      <c r="B9">
        <v>2013</v>
      </c>
      <c r="C9" s="4">
        <v>2013.8333333333301</v>
      </c>
      <c r="D9">
        <v>70</v>
      </c>
      <c r="E9" s="8">
        <f t="shared" ref="E9:E72" si="0">STANDARDIZE(D9,F$4,F$5)</f>
        <v>-5.3203420479034355E-2</v>
      </c>
      <c r="F9" s="3">
        <f>STANDARDIZE(D9,I$18,J$18)</f>
        <v>-0.48792281359187611</v>
      </c>
      <c r="H9" t="s">
        <v>184</v>
      </c>
      <c r="I9" s="3">
        <f>AVERAGEIFS(D$8:D$775,A$8:A$775,H9)</f>
        <v>0.23750000000000002</v>
      </c>
      <c r="J9" s="3">
        <f t="array" ref="J9">_xlfn.STDEV.S(IF(A$8:A$775=H9,D$8:D$775))</f>
        <v>1.1785744348206006</v>
      </c>
      <c r="L9">
        <v>2012</v>
      </c>
      <c r="M9" s="4">
        <f t="shared" ref="M9:M30" si="1">SUMIF(B$8:B$811,L9,D$8:D$811)</f>
        <v>1002.4999999999999</v>
      </c>
      <c r="N9" s="3">
        <f t="shared" ref="N9:N68" si="2">STANDARDIZE(M9,M$5,M$6)</f>
        <v>0.58603662364696152</v>
      </c>
    </row>
    <row r="10" spans="1:14" x14ac:dyDescent="0.3">
      <c r="A10" t="s">
        <v>192</v>
      </c>
      <c r="B10">
        <v>2013</v>
      </c>
      <c r="C10" s="4">
        <v>2013.75</v>
      </c>
      <c r="D10">
        <v>127.8</v>
      </c>
      <c r="E10" s="8">
        <f t="shared" si="0"/>
        <v>0.60677822126378833</v>
      </c>
      <c r="F10" s="3">
        <f>STANDARDIZE(D10,I$17,J$17)</f>
        <v>-0.47960795155976249</v>
      </c>
      <c r="H10" t="s">
        <v>185</v>
      </c>
      <c r="I10" s="3">
        <f t="shared" ref="I10:I19" si="3">AVERAGEIFS(D$8:D$775,A$8:A$775,H10)</f>
        <v>1.9369565217391298</v>
      </c>
      <c r="J10" s="3">
        <f t="array" ref="J10">_xlfn.STDEV.S(IF(A$8:A$775=H10,D$8:D$775))</f>
        <v>4.1062980929028736</v>
      </c>
      <c r="L10">
        <v>2011</v>
      </c>
      <c r="M10" s="4">
        <f t="shared" si="1"/>
        <v>1847.8000000000002</v>
      </c>
      <c r="N10" s="3">
        <f t="shared" si="2"/>
        <v>2.5211425791462756</v>
      </c>
    </row>
    <row r="11" spans="1:14" x14ac:dyDescent="0.3">
      <c r="A11" t="s">
        <v>191</v>
      </c>
      <c r="B11">
        <v>2013</v>
      </c>
      <c r="C11" s="4">
        <v>2013.6666666666599</v>
      </c>
      <c r="D11">
        <v>97.8</v>
      </c>
      <c r="E11" s="8">
        <f>STANDARDIZE(D11,F$4,F$5)</f>
        <v>0.26422719613775575</v>
      </c>
      <c r="F11" s="3">
        <f>STANDARDIZE(D11,I$16,J$16)</f>
        <v>-0.33611519096898501</v>
      </c>
      <c r="H11" t="s">
        <v>186</v>
      </c>
      <c r="I11" s="3">
        <f t="shared" si="3"/>
        <v>22.58444444444444</v>
      </c>
      <c r="J11" s="3">
        <f t="array" ref="J11">_xlfn.STDEV.S(IF(A$8:A$775=H11,D$8:D$775))</f>
        <v>21.140731615394177</v>
      </c>
      <c r="L11">
        <v>2010</v>
      </c>
      <c r="M11" s="4">
        <f t="shared" si="1"/>
        <v>2443.9999999999995</v>
      </c>
      <c r="N11" s="3">
        <f t="shared" si="2"/>
        <v>3.885995496061796</v>
      </c>
    </row>
    <row r="12" spans="1:14" x14ac:dyDescent="0.3">
      <c r="A12" t="s">
        <v>190</v>
      </c>
      <c r="B12">
        <v>2013</v>
      </c>
      <c r="C12" s="4">
        <v>2013.5833333333301</v>
      </c>
      <c r="D12">
        <v>131</v>
      </c>
      <c r="E12" s="8">
        <f t="shared" si="0"/>
        <v>0.64331699727723179</v>
      </c>
      <c r="F12" s="3">
        <f>STANDARDIZE(D12,I$15,J$15)</f>
        <v>0.33506590700812239</v>
      </c>
      <c r="H12" t="s">
        <v>187</v>
      </c>
      <c r="I12" s="3">
        <f t="shared" si="3"/>
        <v>89.915555555555557</v>
      </c>
      <c r="J12" s="3">
        <f t="array" ref="J12">_xlfn.STDEV.S(IF(A$8:A$775=H12,D$8:D$775))</f>
        <v>66.078953421777655</v>
      </c>
      <c r="L12">
        <v>2009</v>
      </c>
      <c r="M12" s="4">
        <f t="shared" si="1"/>
        <v>609.70000000000005</v>
      </c>
      <c r="N12" s="3">
        <f t="shared" si="2"/>
        <v>-0.31318213811824602</v>
      </c>
    </row>
    <row r="13" spans="1:14" x14ac:dyDescent="0.3">
      <c r="A13" t="s">
        <v>189</v>
      </c>
      <c r="B13">
        <v>2013</v>
      </c>
      <c r="C13" s="4">
        <v>2013.5</v>
      </c>
      <c r="D13">
        <v>75</v>
      </c>
      <c r="E13" s="8">
        <f t="shared" si="0"/>
        <v>3.8884170419710646E-3</v>
      </c>
      <c r="F13" s="3">
        <f>STANDARDIZE(D13,I$14,J$14)</f>
        <v>-0.27395343996711191</v>
      </c>
      <c r="H13" t="s">
        <v>188</v>
      </c>
      <c r="I13" s="3">
        <f t="shared" si="3"/>
        <v>95.002127659574455</v>
      </c>
      <c r="J13" s="3">
        <f t="array" ref="J13">_xlfn.STDEV.S(IF(A$8:A$775=H13,D$8:D$775))</f>
        <v>64.238308934944968</v>
      </c>
      <c r="L13">
        <v>2008</v>
      </c>
      <c r="M13" s="4">
        <f t="shared" si="1"/>
        <v>992.6</v>
      </c>
      <c r="N13" s="3">
        <f t="shared" si="2"/>
        <v>0.56337301432548637</v>
      </c>
    </row>
    <row r="14" spans="1:14" x14ac:dyDescent="0.3">
      <c r="A14" t="s">
        <v>188</v>
      </c>
      <c r="B14">
        <v>2013</v>
      </c>
      <c r="C14" s="4">
        <v>2013.4166666666599</v>
      </c>
      <c r="D14">
        <v>115.6</v>
      </c>
      <c r="E14" s="8">
        <f t="shared" si="0"/>
        <v>0.46747413771253504</v>
      </c>
      <c r="F14" s="3">
        <f>STANDARDIZE(D14,I$13,J$13)</f>
        <v>0.3206477985166965</v>
      </c>
      <c r="H14" t="s">
        <v>189</v>
      </c>
      <c r="I14" s="3">
        <f t="shared" si="3"/>
        <v>97.856521739130429</v>
      </c>
      <c r="J14" s="3">
        <f t="array" ref="J14">_xlfn.STDEV.S(IF(A$8:A$775=H14,D$8:D$775))</f>
        <v>83.432139935437036</v>
      </c>
      <c r="L14">
        <v>2007</v>
      </c>
      <c r="M14" s="4">
        <f t="shared" si="1"/>
        <v>1133.4000000000001</v>
      </c>
      <c r="N14" s="3">
        <f t="shared" si="2"/>
        <v>0.88569990245313746</v>
      </c>
    </row>
    <row r="15" spans="1:14" x14ac:dyDescent="0.3">
      <c r="A15" t="s">
        <v>187</v>
      </c>
      <c r="B15">
        <v>2013</v>
      </c>
      <c r="C15" s="4">
        <v>2013.3333333333301</v>
      </c>
      <c r="D15">
        <v>93</v>
      </c>
      <c r="E15" s="8">
        <f t="shared" si="0"/>
        <v>0.20941903211759058</v>
      </c>
      <c r="F15" s="3">
        <f>STANDARDIZE(D15,I$12,J$12)</f>
        <v>4.667816732442228E-2</v>
      </c>
      <c r="H15" t="s">
        <v>190</v>
      </c>
      <c r="I15" s="3">
        <f t="shared" si="3"/>
        <v>104.56326530612246</v>
      </c>
      <c r="J15" s="3">
        <f t="array" ref="J15">_xlfn.STDEV.S(IF(A$8:A$775=H15,D$8:D$775))</f>
        <v>78.900103355596499</v>
      </c>
      <c r="L15">
        <v>2006</v>
      </c>
      <c r="M15" s="4">
        <f t="shared" si="1"/>
        <v>841.40000000000009</v>
      </c>
      <c r="N15" s="3">
        <f t="shared" si="2"/>
        <v>0.21723789014295233</v>
      </c>
    </row>
    <row r="16" spans="1:14" x14ac:dyDescent="0.3">
      <c r="A16" t="s">
        <v>186</v>
      </c>
      <c r="B16">
        <v>2013</v>
      </c>
      <c r="C16" s="4">
        <v>2013.25</v>
      </c>
      <c r="D16">
        <v>0</v>
      </c>
      <c r="E16" s="8">
        <f t="shared" si="0"/>
        <v>-0.8524891457731103</v>
      </c>
      <c r="F16" s="3">
        <f>STANDARDIZE(D16,I$11,J$11)</f>
        <v>-1.0682905802559353</v>
      </c>
      <c r="H16" t="s">
        <v>191</v>
      </c>
      <c r="I16" s="3">
        <f t="shared" si="3"/>
        <v>123.14999999999998</v>
      </c>
      <c r="J16" s="3">
        <f t="array" ref="J16">_xlfn.STDEV.S(IF(A$8:A$775=H16,D$8:D$775))</f>
        <v>75.420572116715633</v>
      </c>
      <c r="L16">
        <v>2005</v>
      </c>
      <c r="M16" s="4">
        <f t="shared" si="1"/>
        <v>743.3</v>
      </c>
      <c r="N16" s="3">
        <f t="shared" si="2"/>
        <v>-7.3378749516683746E-3</v>
      </c>
    </row>
    <row r="17" spans="1:14" x14ac:dyDescent="0.3">
      <c r="A17" t="s">
        <v>185</v>
      </c>
      <c r="B17">
        <v>2013</v>
      </c>
      <c r="C17" s="4">
        <v>2013.1666666666599</v>
      </c>
      <c r="D17">
        <v>0</v>
      </c>
      <c r="E17" s="8">
        <f t="shared" si="0"/>
        <v>-0.8524891457731103</v>
      </c>
      <c r="F17" s="3">
        <f>STANDARDIZE(D17,I$10,J$10)</f>
        <v>-0.47170382615107059</v>
      </c>
      <c r="H17" t="s">
        <v>192</v>
      </c>
      <c r="I17" s="3">
        <f t="shared" si="3"/>
        <v>187.00212765957443</v>
      </c>
      <c r="J17" s="3">
        <f t="array" ref="J17">_xlfn.STDEV.S(IF(A$8:A$775=H17,D$8:D$775))</f>
        <v>123.43858659356992</v>
      </c>
      <c r="L17">
        <v>2004</v>
      </c>
      <c r="M17" s="4">
        <f t="shared" si="1"/>
        <v>1307.1000000000001</v>
      </c>
      <c r="N17" s="3">
        <f t="shared" si="2"/>
        <v>1.283343229639025</v>
      </c>
    </row>
    <row r="18" spans="1:14" x14ac:dyDescent="0.3">
      <c r="A18" t="s">
        <v>184</v>
      </c>
      <c r="B18">
        <v>2013</v>
      </c>
      <c r="C18" s="4">
        <v>2013.0833333333301</v>
      </c>
      <c r="D18">
        <v>0</v>
      </c>
      <c r="E18" s="8">
        <f t="shared" si="0"/>
        <v>-0.8524891457731103</v>
      </c>
      <c r="F18" s="3">
        <f>STANDARDIZE(D18,I$9,J$9)</f>
        <v>-0.20151463750030485</v>
      </c>
      <c r="H18" t="s">
        <v>193</v>
      </c>
      <c r="I18" s="3">
        <f t="shared" si="3"/>
        <v>124.89148936170214</v>
      </c>
      <c r="J18" s="3">
        <f t="array" ref="J18">_xlfn.STDEV.S(IF(A$8:A$775=H18,D$8:D$775))</f>
        <v>112.50035422122366</v>
      </c>
      <c r="L18">
        <v>2003</v>
      </c>
      <c r="M18" s="4">
        <f t="shared" si="1"/>
        <v>1004.9000000000002</v>
      </c>
      <c r="N18" s="3">
        <f t="shared" si="2"/>
        <v>0.59153083196731993</v>
      </c>
    </row>
    <row r="19" spans="1:14" x14ac:dyDescent="0.3">
      <c r="A19" t="s">
        <v>183</v>
      </c>
      <c r="B19">
        <v>2013</v>
      </c>
      <c r="C19" s="4">
        <v>2013</v>
      </c>
      <c r="D19">
        <v>0</v>
      </c>
      <c r="E19" s="8">
        <f t="shared" si="0"/>
        <v>-0.8524891457731103</v>
      </c>
      <c r="F19" s="3">
        <f>STANDARDIZE(D19,I$8,J$8)</f>
        <v>-0.26336194822754155</v>
      </c>
      <c r="H19" t="s">
        <v>194</v>
      </c>
      <c r="I19" s="3">
        <f t="shared" si="3"/>
        <v>36.772499999999994</v>
      </c>
      <c r="J19" s="3">
        <f t="array" ref="J19">_xlfn.STDEV.S(IF(A$8:A$775=H19,D$8:D$775))</f>
        <v>54.611608611529547</v>
      </c>
      <c r="L19">
        <v>2002</v>
      </c>
      <c r="M19" s="4">
        <f t="shared" si="1"/>
        <v>663.6</v>
      </c>
      <c r="N19" s="3">
        <f t="shared" si="2"/>
        <v>-0.1897913762568797</v>
      </c>
    </row>
    <row r="20" spans="1:14" x14ac:dyDescent="0.3">
      <c r="A20" t="s">
        <v>194</v>
      </c>
      <c r="B20">
        <v>2012</v>
      </c>
      <c r="C20" s="4">
        <v>2012.9166666666599</v>
      </c>
      <c r="D20">
        <v>2.5</v>
      </c>
      <c r="E20" s="8">
        <f t="shared" si="0"/>
        <v>-0.82394322701260758</v>
      </c>
      <c r="F20" s="3">
        <f>STANDARDIZE(D20,I$19,J$19)</f>
        <v>-0.62756803674822381</v>
      </c>
      <c r="L20">
        <v>2001</v>
      </c>
      <c r="M20" s="4">
        <f t="shared" si="1"/>
        <v>682.30000000000007</v>
      </c>
      <c r="N20" s="3">
        <f t="shared" si="2"/>
        <v>-0.14698233642742597</v>
      </c>
    </row>
    <row r="21" spans="1:14" x14ac:dyDescent="0.3">
      <c r="A21" t="s">
        <v>193</v>
      </c>
      <c r="B21">
        <v>2012</v>
      </c>
      <c r="C21" s="4">
        <v>2012.8333333333301</v>
      </c>
      <c r="D21">
        <v>87.3</v>
      </c>
      <c r="E21" s="8">
        <f t="shared" si="0"/>
        <v>0.14433433734364437</v>
      </c>
      <c r="F21" s="3">
        <f>STANDARDIZE(D21,I$18,J$18)</f>
        <v>-0.33414552000237485</v>
      </c>
      <c r="L21">
        <v>2000</v>
      </c>
      <c r="M21" s="4">
        <f t="shared" si="1"/>
        <v>787.80000000000007</v>
      </c>
      <c r="N21" s="3">
        <f t="shared" si="2"/>
        <v>9.4533904321630641E-2</v>
      </c>
    </row>
    <row r="22" spans="1:14" x14ac:dyDescent="0.3">
      <c r="A22" t="s">
        <v>192</v>
      </c>
      <c r="B22">
        <v>2012</v>
      </c>
      <c r="C22" s="4">
        <v>2012.75</v>
      </c>
      <c r="D22">
        <v>249.8</v>
      </c>
      <c r="E22" s="8">
        <f t="shared" si="0"/>
        <v>1.9998190567763208</v>
      </c>
      <c r="F22" s="3">
        <f>STANDARDIZE(D22,I$17,J$17)</f>
        <v>0.50873777862664549</v>
      </c>
      <c r="L22">
        <v>1999</v>
      </c>
      <c r="M22" s="4">
        <f t="shared" si="1"/>
        <v>1485.3</v>
      </c>
      <c r="N22" s="3">
        <f t="shared" si="2"/>
        <v>1.6912881974255829</v>
      </c>
    </row>
    <row r="23" spans="1:14" x14ac:dyDescent="0.3">
      <c r="A23" t="s">
        <v>191</v>
      </c>
      <c r="B23">
        <v>2012</v>
      </c>
      <c r="C23" s="4">
        <v>2012.6666666666599</v>
      </c>
      <c r="D23">
        <v>187.9</v>
      </c>
      <c r="E23" s="8">
        <f t="shared" si="0"/>
        <v>1.2930221082662736</v>
      </c>
      <c r="F23" s="3">
        <f>STANDARDIZE(D23,I$16,J$16)</f>
        <v>0.85851907752433154</v>
      </c>
      <c r="L23">
        <v>1998</v>
      </c>
      <c r="M23" s="4">
        <f t="shared" si="1"/>
        <v>863.9</v>
      </c>
      <c r="N23" s="3">
        <f t="shared" si="2"/>
        <v>0.26874609314630538</v>
      </c>
    </row>
    <row r="24" spans="1:14" x14ac:dyDescent="0.3">
      <c r="A24" t="s">
        <v>190</v>
      </c>
      <c r="B24">
        <v>2012</v>
      </c>
      <c r="C24" s="4">
        <v>2012.5833333333301</v>
      </c>
      <c r="D24">
        <v>191.3</v>
      </c>
      <c r="E24" s="8">
        <f t="shared" si="0"/>
        <v>1.3318445577805573</v>
      </c>
      <c r="F24" s="3">
        <f>STANDARDIZE(D24,I$15,J$15)</f>
        <v>1.0993234609967744</v>
      </c>
      <c r="L24">
        <v>1997</v>
      </c>
      <c r="M24" s="4">
        <f t="shared" si="1"/>
        <v>969.7</v>
      </c>
      <c r="N24" s="3">
        <f t="shared" si="2"/>
        <v>0.51094910993540688</v>
      </c>
    </row>
    <row r="25" spans="1:14" x14ac:dyDescent="0.3">
      <c r="A25" t="s">
        <v>189</v>
      </c>
      <c r="B25">
        <v>2012</v>
      </c>
      <c r="C25" s="4">
        <v>2012.5</v>
      </c>
      <c r="D25">
        <v>55.2</v>
      </c>
      <c r="E25" s="8">
        <f t="shared" si="0"/>
        <v>-0.22219525954121039</v>
      </c>
      <c r="F25" s="3">
        <f>STANDARDIZE(D25,I$14,J$14)</f>
        <v>-0.51127205621406413</v>
      </c>
      <c r="L25">
        <v>1996</v>
      </c>
      <c r="M25" s="4">
        <f t="shared" si="1"/>
        <v>903.99999999999989</v>
      </c>
      <c r="N25" s="3">
        <f t="shared" si="2"/>
        <v>0.36054515716561486</v>
      </c>
    </row>
    <row r="26" spans="1:14" x14ac:dyDescent="0.3">
      <c r="A26" t="s">
        <v>188</v>
      </c>
      <c r="B26">
        <v>2012</v>
      </c>
      <c r="C26" s="4">
        <v>2012.4166666666599</v>
      </c>
      <c r="D26">
        <v>85.9</v>
      </c>
      <c r="E26" s="8">
        <f t="shared" si="0"/>
        <v>0.12834862283776294</v>
      </c>
      <c r="F26" s="3">
        <f>STANDARDIZE(D26,I$13,J$13)</f>
        <v>-0.14169313935073075</v>
      </c>
      <c r="L26">
        <v>1995</v>
      </c>
      <c r="M26" s="4">
        <f t="shared" si="1"/>
        <v>1275.0999999999999</v>
      </c>
      <c r="N26" s="3">
        <f t="shared" si="2"/>
        <v>1.2100871187009221</v>
      </c>
    </row>
    <row r="27" spans="1:14" x14ac:dyDescent="0.3">
      <c r="A27" t="s">
        <v>187</v>
      </c>
      <c r="B27">
        <v>2012</v>
      </c>
      <c r="C27" s="4">
        <v>2012.3333333333301</v>
      </c>
      <c r="D27">
        <v>126.3</v>
      </c>
      <c r="E27" s="8">
        <f t="shared" si="0"/>
        <v>0.58965067000748672</v>
      </c>
      <c r="F27" s="3">
        <f>STANDARDIZE(D27,I$12,J$12)</f>
        <v>0.55062077348902461</v>
      </c>
      <c r="L27">
        <v>1994</v>
      </c>
      <c r="M27" s="4">
        <f t="shared" si="1"/>
        <v>814.19999999999982</v>
      </c>
      <c r="N27" s="3">
        <f t="shared" si="2"/>
        <v>0.15497019584556462</v>
      </c>
    </row>
    <row r="28" spans="1:14" x14ac:dyDescent="0.3">
      <c r="A28" t="s">
        <v>186</v>
      </c>
      <c r="B28">
        <v>2012</v>
      </c>
      <c r="C28" s="4">
        <v>2012.24999999999</v>
      </c>
      <c r="D28">
        <v>16.3</v>
      </c>
      <c r="E28" s="8">
        <f t="shared" si="0"/>
        <v>-0.66636975545463262</v>
      </c>
      <c r="F28" s="3">
        <f>STANDARDIZE(D28,I$11,J$11)</f>
        <v>-0.29726712200765354</v>
      </c>
      <c r="L28">
        <v>1993</v>
      </c>
      <c r="M28" s="4">
        <f t="shared" si="1"/>
        <v>750.8</v>
      </c>
      <c r="N28" s="3">
        <f t="shared" si="2"/>
        <v>9.8315260494493927E-3</v>
      </c>
    </row>
    <row r="29" spans="1:14" x14ac:dyDescent="0.3">
      <c r="A29" t="s">
        <v>185</v>
      </c>
      <c r="B29">
        <v>2012</v>
      </c>
      <c r="C29" s="4">
        <v>2012.1666666666599</v>
      </c>
      <c r="D29">
        <v>0</v>
      </c>
      <c r="E29" s="8">
        <f t="shared" si="0"/>
        <v>-0.8524891457731103</v>
      </c>
      <c r="F29" s="3">
        <f>STANDARDIZE(D29,I$10,J$10)</f>
        <v>-0.47170382615107059</v>
      </c>
      <c r="L29">
        <v>1992</v>
      </c>
      <c r="M29" s="4">
        <f t="shared" si="1"/>
        <v>245.50000000000003</v>
      </c>
      <c r="N29" s="3">
        <f t="shared" si="2"/>
        <v>-1.1469282507325249</v>
      </c>
    </row>
    <row r="30" spans="1:14" x14ac:dyDescent="0.3">
      <c r="A30" t="s">
        <v>184</v>
      </c>
      <c r="B30">
        <v>2012</v>
      </c>
      <c r="C30" s="4">
        <v>2012.0833333333301</v>
      </c>
      <c r="D30">
        <v>0</v>
      </c>
      <c r="E30" s="8">
        <f t="shared" si="0"/>
        <v>-0.8524891457731103</v>
      </c>
      <c r="F30" s="3">
        <f>STANDARDIZE(D30,I$9,J$9)</f>
        <v>-0.20151463750030485</v>
      </c>
      <c r="L30">
        <v>1991</v>
      </c>
      <c r="M30" s="4">
        <f t="shared" si="1"/>
        <v>359.4</v>
      </c>
      <c r="N30" s="3">
        <f t="shared" si="2"/>
        <v>-0.88618228086221651</v>
      </c>
    </row>
    <row r="31" spans="1:14" x14ac:dyDescent="0.3">
      <c r="A31" t="s">
        <v>183</v>
      </c>
      <c r="B31">
        <v>2012</v>
      </c>
      <c r="C31" s="4">
        <v>2012</v>
      </c>
      <c r="D31">
        <v>0</v>
      </c>
      <c r="E31" s="8">
        <f t="shared" si="0"/>
        <v>-0.8524891457731103</v>
      </c>
      <c r="F31" s="3">
        <f>STANDARDIZE(D31,I$8,J$8)</f>
        <v>-0.26336194822754155</v>
      </c>
      <c r="L31">
        <v>1990</v>
      </c>
      <c r="M31" s="4"/>
      <c r="N31" s="3"/>
    </row>
    <row r="32" spans="1:14" x14ac:dyDescent="0.3">
      <c r="A32" t="s">
        <v>194</v>
      </c>
      <c r="B32">
        <v>2011</v>
      </c>
      <c r="C32" s="4">
        <v>2011.9166666666599</v>
      </c>
      <c r="D32">
        <v>177.8</v>
      </c>
      <c r="E32" s="8">
        <f t="shared" si="0"/>
        <v>1.1776965964738426</v>
      </c>
      <c r="F32" s="3">
        <f>STANDARDIZE(D32,I$19,J$19)</f>
        <v>2.5823722022761739</v>
      </c>
      <c r="L32">
        <v>1989</v>
      </c>
      <c r="M32" s="4"/>
      <c r="N32" s="3"/>
    </row>
    <row r="33" spans="1:14" x14ac:dyDescent="0.3">
      <c r="A33" t="s">
        <v>193</v>
      </c>
      <c r="B33">
        <v>2011</v>
      </c>
      <c r="C33" s="4">
        <v>2011.8333333333301</v>
      </c>
      <c r="D33">
        <v>257.7</v>
      </c>
      <c r="E33" s="8">
        <f t="shared" si="0"/>
        <v>2.0900241600595093</v>
      </c>
      <c r="F33" s="3">
        <f>STANDARDIZE(D33,I$18,J$18)</f>
        <v>1.180516377549707</v>
      </c>
      <c r="L33">
        <v>1988</v>
      </c>
      <c r="M33" s="4"/>
      <c r="N33" s="3"/>
    </row>
    <row r="34" spans="1:14" x14ac:dyDescent="0.3">
      <c r="A34" t="s">
        <v>192</v>
      </c>
      <c r="B34">
        <v>2011</v>
      </c>
      <c r="C34" s="4">
        <v>2011.74999999999</v>
      </c>
      <c r="D34">
        <v>540.29999999999995</v>
      </c>
      <c r="E34" s="8">
        <f t="shared" si="0"/>
        <v>5.3168548167467353</v>
      </c>
      <c r="F34" s="3">
        <f>STANDARDIZE(D34,I$17,J$17)</f>
        <v>2.8621347837016575</v>
      </c>
      <c r="L34">
        <v>1987</v>
      </c>
      <c r="M34" s="4">
        <f t="shared" ref="M34:M40" si="4">SUMIF(B$8:B$811,L34,D$8:D$811)</f>
        <v>336.09999999999997</v>
      </c>
      <c r="N34" s="3">
        <f t="shared" si="2"/>
        <v>-0.93952188663902236</v>
      </c>
    </row>
    <row r="35" spans="1:14" x14ac:dyDescent="0.3">
      <c r="A35" t="s">
        <v>191</v>
      </c>
      <c r="B35">
        <v>2011</v>
      </c>
      <c r="C35" s="4">
        <v>2011.6666666666599</v>
      </c>
      <c r="D35">
        <v>275</v>
      </c>
      <c r="E35" s="8">
        <f t="shared" si="0"/>
        <v>2.2875619178821878</v>
      </c>
      <c r="F35" s="3">
        <f>STANDARDIZE(D35,I$16,J$16)</f>
        <v>2.013376400340845</v>
      </c>
      <c r="L35">
        <v>1986</v>
      </c>
      <c r="M35" s="4">
        <f t="shared" si="4"/>
        <v>411.5</v>
      </c>
      <c r="N35" s="3">
        <f t="shared" si="2"/>
        <v>-0.76691217524111832</v>
      </c>
    </row>
    <row r="36" spans="1:14" x14ac:dyDescent="0.3">
      <c r="A36" t="s">
        <v>190</v>
      </c>
      <c r="B36">
        <v>2011</v>
      </c>
      <c r="C36" s="4">
        <v>2011.5833333333301</v>
      </c>
      <c r="D36">
        <v>97.2</v>
      </c>
      <c r="E36" s="8">
        <f t="shared" si="0"/>
        <v>0.25737617563523518</v>
      </c>
      <c r="F36" s="3">
        <f>STANDARDIZE(D36,I$15,J$15)</f>
        <v>-9.3323899373576297E-2</v>
      </c>
      <c r="L36">
        <v>1985</v>
      </c>
      <c r="M36" s="4">
        <f t="shared" si="4"/>
        <v>871.69999999999993</v>
      </c>
      <c r="N36" s="3">
        <f t="shared" si="2"/>
        <v>0.28660227018746776</v>
      </c>
    </row>
    <row r="37" spans="1:14" x14ac:dyDescent="0.3">
      <c r="A37" t="s">
        <v>189</v>
      </c>
      <c r="B37">
        <v>2011</v>
      </c>
      <c r="C37" s="4">
        <v>2011.49999999999</v>
      </c>
      <c r="D37">
        <v>258.89999999999998</v>
      </c>
      <c r="E37" s="8">
        <f t="shared" si="0"/>
        <v>2.1037262010645503</v>
      </c>
      <c r="F37" s="3">
        <f>STANDARDIZE(D37,I$14,J$14)</f>
        <v>1.9302331018417018</v>
      </c>
      <c r="L37">
        <v>1984</v>
      </c>
      <c r="M37" s="4">
        <f t="shared" si="4"/>
        <v>772.09999999999991</v>
      </c>
      <c r="N37" s="3">
        <f t="shared" si="2"/>
        <v>5.8592624892623749E-2</v>
      </c>
    </row>
    <row r="38" spans="1:14" x14ac:dyDescent="0.3">
      <c r="A38" t="s">
        <v>188</v>
      </c>
      <c r="B38">
        <v>2011</v>
      </c>
      <c r="C38" s="4">
        <v>2011.4166666666599</v>
      </c>
      <c r="D38">
        <v>155.6</v>
      </c>
      <c r="E38" s="8">
        <f t="shared" si="0"/>
        <v>0.92420883788057839</v>
      </c>
      <c r="F38" s="3">
        <f>STANDARDIZE(D38,I$13,J$13)</f>
        <v>0.94332919631794554</v>
      </c>
      <c r="L38">
        <v>1983</v>
      </c>
      <c r="M38" s="4">
        <f t="shared" si="4"/>
        <v>333.70000000000005</v>
      </c>
      <c r="N38" s="3">
        <f t="shared" si="2"/>
        <v>-0.94501609495937988</v>
      </c>
    </row>
    <row r="39" spans="1:14" x14ac:dyDescent="0.3">
      <c r="A39" t="s">
        <v>187</v>
      </c>
      <c r="B39">
        <v>2011</v>
      </c>
      <c r="C39" s="4">
        <v>2011.3333333333301</v>
      </c>
      <c r="D39">
        <v>55.4</v>
      </c>
      <c r="E39" s="8">
        <f t="shared" si="0"/>
        <v>-0.2199115860403702</v>
      </c>
      <c r="F39" s="3">
        <f>STANDARDIZE(D39,I$12,J$12)</f>
        <v>-0.52233810870527886</v>
      </c>
      <c r="L39">
        <v>1982</v>
      </c>
      <c r="M39" s="4">
        <f t="shared" si="4"/>
        <v>113.89999999999999</v>
      </c>
      <c r="N39" s="3">
        <f t="shared" si="2"/>
        <v>-1.4481940069654715</v>
      </c>
    </row>
    <row r="40" spans="1:14" x14ac:dyDescent="0.3">
      <c r="A40" t="s">
        <v>186</v>
      </c>
      <c r="B40">
        <v>2011</v>
      </c>
      <c r="C40" s="4">
        <v>2011.24999999999</v>
      </c>
      <c r="D40">
        <v>29.9</v>
      </c>
      <c r="E40" s="8">
        <f t="shared" si="0"/>
        <v>-0.5110799573974979</v>
      </c>
      <c r="F40" s="3">
        <f>STANDARDIZE(D40,I$11,J$11)</f>
        <v>0.34604079407680222</v>
      </c>
      <c r="L40">
        <v>1981</v>
      </c>
      <c r="M40" s="4">
        <f t="shared" si="4"/>
        <v>1179.2</v>
      </c>
      <c r="N40" s="3">
        <f t="shared" si="2"/>
        <v>0.99054771123329655</v>
      </c>
    </row>
    <row r="41" spans="1:14" x14ac:dyDescent="0.3">
      <c r="A41" t="s">
        <v>185</v>
      </c>
      <c r="B41">
        <v>2011</v>
      </c>
      <c r="C41" s="4">
        <v>2011.1666666666599</v>
      </c>
      <c r="D41">
        <v>0</v>
      </c>
      <c r="E41" s="8">
        <f t="shared" si="0"/>
        <v>-0.8524891457731103</v>
      </c>
      <c r="F41" s="3">
        <f>STANDARDIZE(D41,I$10,J$10)</f>
        <v>-0.47170382615107059</v>
      </c>
      <c r="L41">
        <v>1980</v>
      </c>
      <c r="M41" s="4"/>
      <c r="N41" s="3"/>
    </row>
    <row r="42" spans="1:14" x14ac:dyDescent="0.3">
      <c r="A42" t="s">
        <v>184</v>
      </c>
      <c r="B42">
        <v>2011</v>
      </c>
      <c r="C42" s="4">
        <v>2011.0833333333301</v>
      </c>
      <c r="D42">
        <v>0</v>
      </c>
      <c r="E42" s="8">
        <f t="shared" si="0"/>
        <v>-0.8524891457731103</v>
      </c>
      <c r="F42" s="3">
        <f>STANDARDIZE(D42,I$9,J$9)</f>
        <v>-0.20151463750030485</v>
      </c>
      <c r="L42">
        <v>1979</v>
      </c>
      <c r="M42" s="4"/>
      <c r="N42" s="3"/>
    </row>
    <row r="43" spans="1:14" x14ac:dyDescent="0.3">
      <c r="A43" t="s">
        <v>183</v>
      </c>
      <c r="B43">
        <v>2011</v>
      </c>
      <c r="C43" s="4">
        <v>2011</v>
      </c>
      <c r="D43">
        <v>0</v>
      </c>
      <c r="E43" s="8">
        <f t="shared" si="0"/>
        <v>-0.8524891457731103</v>
      </c>
      <c r="F43" s="3">
        <f>STANDARDIZE(D43,I$8,J$8)</f>
        <v>-0.26336194822754155</v>
      </c>
      <c r="L43">
        <v>1978</v>
      </c>
      <c r="M43" s="4"/>
      <c r="N43" s="3"/>
    </row>
    <row r="44" spans="1:14" x14ac:dyDescent="0.3">
      <c r="A44" t="s">
        <v>194</v>
      </c>
      <c r="B44">
        <v>2010</v>
      </c>
      <c r="C44" s="4">
        <v>2010.9166666666599</v>
      </c>
      <c r="D44">
        <v>259.60000000000002</v>
      </c>
      <c r="E44" s="8">
        <f t="shared" si="0"/>
        <v>2.1117190583174916</v>
      </c>
      <c r="F44" s="3">
        <f>STANDARDIZE(D44,I$19,J$19)</f>
        <v>4.0802222396532182</v>
      </c>
      <c r="L44">
        <v>1977</v>
      </c>
      <c r="M44" s="4">
        <f t="shared" ref="M44:M68" si="5">SUMIF(B$8:B$811,L44,D$8:D$811)</f>
        <v>430.40000000000003</v>
      </c>
      <c r="N44" s="3">
        <f t="shared" si="2"/>
        <v>-0.72364528471830147</v>
      </c>
    </row>
    <row r="45" spans="1:14" x14ac:dyDescent="0.3">
      <c r="A45" t="s">
        <v>193</v>
      </c>
      <c r="B45">
        <v>2010</v>
      </c>
      <c r="C45" s="4">
        <v>2010.8333333333301</v>
      </c>
      <c r="D45">
        <v>549.29999999999995</v>
      </c>
      <c r="E45" s="8">
        <f>STANDARDIZE(D45,F$4,F$5)</f>
        <v>5.4196201242845445</v>
      </c>
      <c r="F45" s="3">
        <f>STANDARDIZE(D45,I$18,J$18)</f>
        <v>3.77250821631841</v>
      </c>
      <c r="L45">
        <v>1976</v>
      </c>
      <c r="M45" s="4">
        <f t="shared" si="5"/>
        <v>623.59999999999991</v>
      </c>
      <c r="N45" s="3">
        <f t="shared" si="2"/>
        <v>-0.28136151492950806</v>
      </c>
    </row>
    <row r="46" spans="1:14" x14ac:dyDescent="0.3">
      <c r="A46" t="s">
        <v>192</v>
      </c>
      <c r="B46">
        <v>2010</v>
      </c>
      <c r="C46" s="4">
        <v>2010.74999999999</v>
      </c>
      <c r="D46">
        <v>330.1</v>
      </c>
      <c r="E46" s="8">
        <f t="shared" si="0"/>
        <v>2.9167139673636679</v>
      </c>
      <c r="F46" s="3">
        <f>STANDARDIZE(D46,I$17,J$17)</f>
        <v>1.1592636977575352</v>
      </c>
      <c r="L46">
        <v>1975</v>
      </c>
      <c r="M46" s="4">
        <f t="shared" si="5"/>
        <v>842.9</v>
      </c>
      <c r="N46" s="3">
        <f t="shared" si="2"/>
        <v>0.22067177034317564</v>
      </c>
    </row>
    <row r="47" spans="1:14" x14ac:dyDescent="0.3">
      <c r="A47" t="s">
        <v>191</v>
      </c>
      <c r="B47">
        <v>2010</v>
      </c>
      <c r="C47" s="4">
        <v>2010.6666666666599</v>
      </c>
      <c r="D47">
        <v>145.80000000000001</v>
      </c>
      <c r="E47" s="8">
        <f t="shared" si="0"/>
        <v>0.81230883633940798</v>
      </c>
      <c r="F47" s="3">
        <f>STANDARDIZE(D47,I$16,J$16)</f>
        <v>0.30031593985986305</v>
      </c>
      <c r="L47">
        <v>1974</v>
      </c>
      <c r="M47" s="4">
        <f t="shared" si="5"/>
        <v>621.9</v>
      </c>
      <c r="N47" s="3">
        <f t="shared" si="2"/>
        <v>-0.28525324582309458</v>
      </c>
    </row>
    <row r="48" spans="1:14" x14ac:dyDescent="0.3">
      <c r="A48" t="s">
        <v>190</v>
      </c>
      <c r="B48">
        <v>2010</v>
      </c>
      <c r="C48" s="4">
        <v>2010.5833333333301</v>
      </c>
      <c r="D48">
        <v>301.3</v>
      </c>
      <c r="E48" s="8">
        <f t="shared" si="0"/>
        <v>2.5878649832426768</v>
      </c>
      <c r="F48" s="3">
        <f>STANDARDIZE(D48,I$15,J$15)</f>
        <v>2.4934914699312967</v>
      </c>
      <c r="L48">
        <v>1973</v>
      </c>
      <c r="M48" s="4">
        <f t="shared" si="5"/>
        <v>150.70000000000002</v>
      </c>
      <c r="N48" s="3">
        <f t="shared" si="2"/>
        <v>-1.3639494793866533</v>
      </c>
    </row>
    <row r="49" spans="1:14" x14ac:dyDescent="0.3">
      <c r="A49" t="s">
        <v>189</v>
      </c>
      <c r="B49">
        <v>2010</v>
      </c>
      <c r="C49" s="4">
        <v>2010.49999999999</v>
      </c>
      <c r="D49">
        <v>334.3</v>
      </c>
      <c r="E49" s="8">
        <f t="shared" si="0"/>
        <v>2.9646711108813126</v>
      </c>
      <c r="F49" s="3">
        <f>STANDARDIZE(D49,I$14,J$14)</f>
        <v>2.8339615697720153</v>
      </c>
      <c r="L49">
        <v>1972</v>
      </c>
      <c r="M49" s="4">
        <f t="shared" si="5"/>
        <v>714</v>
      </c>
      <c r="N49" s="3">
        <f t="shared" si="2"/>
        <v>-7.4413001529368347E-2</v>
      </c>
    </row>
    <row r="50" spans="1:14" x14ac:dyDescent="0.3">
      <c r="A50" t="s">
        <v>188</v>
      </c>
      <c r="B50">
        <v>2010</v>
      </c>
      <c r="C50" s="4">
        <v>2010.4166666666599</v>
      </c>
      <c r="D50">
        <v>284.7</v>
      </c>
      <c r="E50" s="8">
        <f t="shared" si="0"/>
        <v>2.3983200826729383</v>
      </c>
      <c r="F50" s="3">
        <f>STANDARDIZE(D50,I$13,J$13)</f>
        <v>2.953033407721477</v>
      </c>
      <c r="L50">
        <v>1971</v>
      </c>
      <c r="M50" s="4">
        <f t="shared" si="5"/>
        <v>79.8</v>
      </c>
      <c r="N50" s="3">
        <f t="shared" si="2"/>
        <v>-1.5262575501838869</v>
      </c>
    </row>
    <row r="51" spans="1:14" x14ac:dyDescent="0.3">
      <c r="A51" t="s">
        <v>187</v>
      </c>
      <c r="B51">
        <v>2010</v>
      </c>
      <c r="C51" s="4">
        <v>2010.3333333333201</v>
      </c>
      <c r="D51">
        <v>180.7</v>
      </c>
      <c r="E51" s="8">
        <f t="shared" si="0"/>
        <v>1.2108098622360255</v>
      </c>
      <c r="F51" s="3">
        <f>STANDARDIZE(D51,I$12,J$12)</f>
        <v>1.373878364340507</v>
      </c>
      <c r="L51">
        <v>1970</v>
      </c>
      <c r="M51" s="4">
        <f t="shared" si="5"/>
        <v>1301.7</v>
      </c>
      <c r="N51" s="3">
        <f t="shared" si="2"/>
        <v>1.2709812609182201</v>
      </c>
    </row>
    <row r="52" spans="1:14" x14ac:dyDescent="0.3">
      <c r="A52" t="s">
        <v>186</v>
      </c>
      <c r="B52">
        <v>2010</v>
      </c>
      <c r="C52" s="4">
        <v>2010.24999999999</v>
      </c>
      <c r="D52">
        <v>39.200000000000003</v>
      </c>
      <c r="E52" s="8">
        <f t="shared" si="0"/>
        <v>-0.40488913960842771</v>
      </c>
      <c r="F52" s="3">
        <f>STANDARDIZE(D52,I$11,J$11)</f>
        <v>0.78594988375220232</v>
      </c>
      <c r="L52">
        <v>1969</v>
      </c>
      <c r="M52" s="4">
        <f t="shared" si="5"/>
        <v>700.6</v>
      </c>
      <c r="N52" s="3">
        <f t="shared" si="2"/>
        <v>-0.10508899798469871</v>
      </c>
    </row>
    <row r="53" spans="1:14" x14ac:dyDescent="0.3">
      <c r="A53" t="s">
        <v>185</v>
      </c>
      <c r="B53">
        <v>2010</v>
      </c>
      <c r="C53" s="4">
        <v>2010.1666666666599</v>
      </c>
      <c r="D53">
        <v>19</v>
      </c>
      <c r="E53" s="8">
        <f t="shared" si="0"/>
        <v>-0.63554016319328965</v>
      </c>
      <c r="F53" s="3">
        <f>STANDARDIZE(D53,I$10,J$10)</f>
        <v>4.1553348276764916</v>
      </c>
      <c r="L53">
        <v>1968</v>
      </c>
      <c r="M53" s="4">
        <f t="shared" si="5"/>
        <v>613</v>
      </c>
      <c r="N53" s="3">
        <f t="shared" si="2"/>
        <v>-0.30562760167775427</v>
      </c>
    </row>
    <row r="54" spans="1:14" x14ac:dyDescent="0.3">
      <c r="A54" t="s">
        <v>184</v>
      </c>
      <c r="B54">
        <v>2010</v>
      </c>
      <c r="C54" s="4">
        <v>2010.0833333333201</v>
      </c>
      <c r="D54">
        <v>0</v>
      </c>
      <c r="E54" s="8">
        <f t="shared" si="0"/>
        <v>-0.8524891457731103</v>
      </c>
      <c r="F54" s="3">
        <f>STANDARDIZE(D54,I$9,J$9)</f>
        <v>-0.20151463750030485</v>
      </c>
      <c r="L54">
        <v>1967</v>
      </c>
      <c r="M54" s="4">
        <f t="shared" si="5"/>
        <v>654.9</v>
      </c>
      <c r="N54" s="3">
        <f t="shared" si="2"/>
        <v>-0.20970788141817642</v>
      </c>
    </row>
    <row r="55" spans="1:14" x14ac:dyDescent="0.3">
      <c r="A55" t="s">
        <v>183</v>
      </c>
      <c r="B55">
        <v>2010</v>
      </c>
      <c r="C55" s="4">
        <v>2010</v>
      </c>
      <c r="D55">
        <v>0</v>
      </c>
      <c r="E55" s="8">
        <f t="shared" si="0"/>
        <v>-0.8524891457731103</v>
      </c>
      <c r="F55" s="3">
        <f>STANDARDIZE(D55,I$8,J$8)</f>
        <v>-0.26336194822754155</v>
      </c>
      <c r="L55">
        <v>1966</v>
      </c>
      <c r="M55" s="4">
        <f t="shared" si="5"/>
        <v>704.60000000000014</v>
      </c>
      <c r="N55" s="3">
        <f t="shared" si="2"/>
        <v>-9.5931984117435642E-2</v>
      </c>
    </row>
    <row r="56" spans="1:14" x14ac:dyDescent="0.3">
      <c r="A56" t="s">
        <v>194</v>
      </c>
      <c r="B56">
        <v>2009</v>
      </c>
      <c r="C56" s="4">
        <v>2009.9166666666599</v>
      </c>
      <c r="D56">
        <v>0</v>
      </c>
      <c r="E56" s="8">
        <f t="shared" si="0"/>
        <v>-0.8524891457731103</v>
      </c>
      <c r="F56" s="3">
        <f>STANDARDIZE(D56,I$19,J$19)</f>
        <v>-0.67334584962649535</v>
      </c>
      <c r="L56">
        <v>1965</v>
      </c>
      <c r="M56" s="4">
        <f t="shared" si="5"/>
        <v>839.3</v>
      </c>
      <c r="N56" s="3">
        <f t="shared" si="2"/>
        <v>0.21243045786263906</v>
      </c>
    </row>
    <row r="57" spans="1:14" x14ac:dyDescent="0.3">
      <c r="A57" t="s">
        <v>193</v>
      </c>
      <c r="B57">
        <v>2009</v>
      </c>
      <c r="C57" s="4">
        <v>2009.8333333333201</v>
      </c>
      <c r="D57">
        <v>82.4</v>
      </c>
      <c r="E57" s="8">
        <f t="shared" si="0"/>
        <v>8.838433657305915E-2</v>
      </c>
      <c r="F57" s="3">
        <f>STANDARDIZE(D57,I$18,J$18)</f>
        <v>-0.37770093841789826</v>
      </c>
      <c r="L57">
        <v>1964</v>
      </c>
      <c r="M57" s="4">
        <f t="shared" si="5"/>
        <v>993.8</v>
      </c>
      <c r="N57" s="3">
        <f t="shared" si="2"/>
        <v>0.56612011848566512</v>
      </c>
    </row>
    <row r="58" spans="1:14" x14ac:dyDescent="0.3">
      <c r="A58" t="s">
        <v>192</v>
      </c>
      <c r="B58">
        <v>2009</v>
      </c>
      <c r="C58" s="4">
        <v>2009.74999999999</v>
      </c>
      <c r="D58">
        <v>217.1</v>
      </c>
      <c r="E58" s="8">
        <f t="shared" si="0"/>
        <v>1.6264384393889451</v>
      </c>
      <c r="F58" s="3">
        <f>STANDARDIZE(D58,I$17,J$17)</f>
        <v>0.24382871815864915</v>
      </c>
      <c r="L58">
        <v>1963</v>
      </c>
      <c r="M58" s="4">
        <f t="shared" si="5"/>
        <v>848.8</v>
      </c>
      <c r="N58" s="3">
        <f t="shared" si="2"/>
        <v>0.23417836579738824</v>
      </c>
    </row>
    <row r="59" spans="1:14" x14ac:dyDescent="0.3">
      <c r="A59" t="s">
        <v>191</v>
      </c>
      <c r="B59">
        <v>2009</v>
      </c>
      <c r="C59" s="4">
        <v>2009.6666666666599</v>
      </c>
      <c r="D59">
        <v>30.3</v>
      </c>
      <c r="E59" s="8">
        <f t="shared" si="0"/>
        <v>-0.50651261039581741</v>
      </c>
      <c r="F59" s="3">
        <f>STANDARDIZE(D59,I$16,J$16)</f>
        <v>-1.2310964686970522</v>
      </c>
      <c r="L59">
        <v>1962</v>
      </c>
      <c r="M59" s="4"/>
      <c r="N59" s="3"/>
    </row>
    <row r="60" spans="1:14" x14ac:dyDescent="0.3">
      <c r="A60" t="s">
        <v>190</v>
      </c>
      <c r="B60">
        <v>2009</v>
      </c>
      <c r="C60" s="4">
        <v>2009.5833333333201</v>
      </c>
      <c r="D60">
        <v>65.3</v>
      </c>
      <c r="E60" s="8">
        <f t="shared" si="0"/>
        <v>-0.10686974774877948</v>
      </c>
      <c r="F60" s="3">
        <f>STANDARDIZE(D60,I$15,J$15)</f>
        <v>-0.49763262196458785</v>
      </c>
      <c r="L60">
        <v>1961</v>
      </c>
      <c r="M60" s="4">
        <f t="shared" si="5"/>
        <v>599.70000000000005</v>
      </c>
      <c r="N60" s="3">
        <f t="shared" si="2"/>
        <v>-0.33607467278640302</v>
      </c>
    </row>
    <row r="61" spans="1:14" x14ac:dyDescent="0.3">
      <c r="A61" t="s">
        <v>189</v>
      </c>
      <c r="B61">
        <v>2009</v>
      </c>
      <c r="C61" s="4">
        <v>2009.49999999999</v>
      </c>
      <c r="D61">
        <v>100.4</v>
      </c>
      <c r="E61" s="8">
        <f t="shared" si="0"/>
        <v>0.2939149516486787</v>
      </c>
      <c r="F61" s="3">
        <f>STANDARDIZE(D61,I$14,J$14)</f>
        <v>3.048559299615013E-2</v>
      </c>
      <c r="L61">
        <v>1960</v>
      </c>
      <c r="M61" s="4">
        <f t="shared" si="5"/>
        <v>976.39999999999986</v>
      </c>
      <c r="N61" s="3">
        <f t="shared" si="2"/>
        <v>0.52628710816307167</v>
      </c>
    </row>
    <row r="62" spans="1:14" x14ac:dyDescent="0.3">
      <c r="A62" t="s">
        <v>188</v>
      </c>
      <c r="B62">
        <v>2009</v>
      </c>
      <c r="C62" s="4">
        <v>2009.4166666666599</v>
      </c>
      <c r="D62">
        <v>97.1</v>
      </c>
      <c r="E62" s="8">
        <f t="shared" si="0"/>
        <v>0.25623433888481495</v>
      </c>
      <c r="F62" s="3">
        <f>STANDARDIZE(D62,I$13,J$13)</f>
        <v>3.2657652033618811E-2</v>
      </c>
      <c r="L62">
        <v>1959</v>
      </c>
      <c r="M62" s="4">
        <f t="shared" si="5"/>
        <v>102.5</v>
      </c>
      <c r="N62" s="3">
        <f t="shared" si="2"/>
        <v>-1.4742914964871703</v>
      </c>
    </row>
    <row r="63" spans="1:14" x14ac:dyDescent="0.3">
      <c r="A63" t="s">
        <v>187</v>
      </c>
      <c r="B63">
        <v>2009</v>
      </c>
      <c r="C63" s="4">
        <v>2009.3333333333201</v>
      </c>
      <c r="D63">
        <v>16.2</v>
      </c>
      <c r="E63" s="8">
        <f t="shared" si="0"/>
        <v>-0.66751159220505263</v>
      </c>
      <c r="F63" s="3">
        <f>STANDARDIZE(D63,I$12,J$12)</f>
        <v>-1.1155678432894354</v>
      </c>
      <c r="L63">
        <v>1958</v>
      </c>
      <c r="M63" s="4">
        <f t="shared" si="5"/>
        <v>495</v>
      </c>
      <c r="N63" s="3">
        <f t="shared" si="2"/>
        <v>-0.57575951076200715</v>
      </c>
    </row>
    <row r="64" spans="1:14" x14ac:dyDescent="0.3">
      <c r="A64" t="s">
        <v>186</v>
      </c>
      <c r="B64">
        <v>2009</v>
      </c>
      <c r="C64" s="4">
        <v>2009.24999999999</v>
      </c>
      <c r="D64">
        <v>0</v>
      </c>
      <c r="E64" s="8">
        <f t="shared" si="0"/>
        <v>-0.8524891457731103</v>
      </c>
      <c r="F64" s="3">
        <f>STANDARDIZE(D64,I$11,J$11)</f>
        <v>-1.0682905802559353</v>
      </c>
      <c r="L64">
        <v>1957</v>
      </c>
      <c r="M64" s="4">
        <f t="shared" si="5"/>
        <v>226.6</v>
      </c>
      <c r="N64" s="3">
        <f t="shared" si="2"/>
        <v>-1.1901951412553418</v>
      </c>
    </row>
    <row r="65" spans="1:14" x14ac:dyDescent="0.3">
      <c r="A65" t="s">
        <v>185</v>
      </c>
      <c r="B65">
        <v>2009</v>
      </c>
      <c r="C65" s="4">
        <v>2009.1666666666599</v>
      </c>
      <c r="D65">
        <v>0.9</v>
      </c>
      <c r="E65" s="8">
        <f t="shared" si="0"/>
        <v>-0.8422126150193292</v>
      </c>
      <c r="F65" s="3">
        <f>STANDARDIZE(D65,I$10,J$10)</f>
        <v>-0.25252831096976497</v>
      </c>
      <c r="L65">
        <v>1956</v>
      </c>
      <c r="M65" s="4">
        <f t="shared" si="5"/>
        <v>449</v>
      </c>
      <c r="N65" s="3">
        <f t="shared" si="2"/>
        <v>-0.68106517023552948</v>
      </c>
    </row>
    <row r="66" spans="1:14" x14ac:dyDescent="0.3">
      <c r="A66" t="s">
        <v>184</v>
      </c>
      <c r="B66">
        <v>2009</v>
      </c>
      <c r="C66" s="4">
        <v>2009.0833333333201</v>
      </c>
      <c r="D66">
        <v>0</v>
      </c>
      <c r="E66" s="8">
        <f t="shared" si="0"/>
        <v>-0.8524891457731103</v>
      </c>
      <c r="F66" s="3">
        <f>STANDARDIZE(D66,I$9,J$9)</f>
        <v>-0.20151463750030485</v>
      </c>
      <c r="L66">
        <v>1955</v>
      </c>
      <c r="M66" s="4">
        <f t="shared" si="5"/>
        <v>636.9</v>
      </c>
      <c r="N66" s="3">
        <f t="shared" si="2"/>
        <v>-0.25091444382085903</v>
      </c>
    </row>
    <row r="67" spans="1:14" x14ac:dyDescent="0.3">
      <c r="A67" t="s">
        <v>183</v>
      </c>
      <c r="B67">
        <v>2009</v>
      </c>
      <c r="C67" s="4">
        <v>2009</v>
      </c>
      <c r="D67">
        <v>0</v>
      </c>
      <c r="E67" s="8">
        <f t="shared" si="0"/>
        <v>-0.8524891457731103</v>
      </c>
      <c r="F67" s="3">
        <f>STANDARDIZE(D67,I$8,J$8)</f>
        <v>-0.26336194822754155</v>
      </c>
      <c r="L67">
        <v>1954</v>
      </c>
      <c r="M67" s="4">
        <f t="shared" si="5"/>
        <v>1107.3999999999999</v>
      </c>
      <c r="N67" s="3">
        <f t="shared" si="2"/>
        <v>0.82617931231592867</v>
      </c>
    </row>
    <row r="68" spans="1:14" x14ac:dyDescent="0.3">
      <c r="A68" t="s">
        <v>194</v>
      </c>
      <c r="B68">
        <v>2008</v>
      </c>
      <c r="C68" s="4">
        <v>2008.9166666666599</v>
      </c>
      <c r="D68">
        <v>0.3</v>
      </c>
      <c r="E68" s="8">
        <f t="shared" si="0"/>
        <v>-0.84906363552184994</v>
      </c>
      <c r="F68" s="3">
        <f>STANDARDIZE(D68,I$19,J$19)</f>
        <v>-0.66785251208110286</v>
      </c>
      <c r="L68">
        <v>1953</v>
      </c>
      <c r="M68" s="4">
        <f t="shared" si="5"/>
        <v>226.60000000000002</v>
      </c>
      <c r="N68" s="3">
        <f t="shared" si="2"/>
        <v>-1.1901951412553418</v>
      </c>
    </row>
    <row r="69" spans="1:14" x14ac:dyDescent="0.3">
      <c r="A69" t="s">
        <v>193</v>
      </c>
      <c r="B69">
        <v>2008</v>
      </c>
      <c r="C69" s="4">
        <v>2008.8333333333201</v>
      </c>
      <c r="D69">
        <v>190.4</v>
      </c>
      <c r="E69" s="8">
        <f t="shared" si="0"/>
        <v>1.3215680270267762</v>
      </c>
      <c r="F69" s="3">
        <f>STANDARDIZE(D69,I$18,J$18)</f>
        <v>0.58229603890384385</v>
      </c>
      <c r="L69">
        <v>1952</v>
      </c>
      <c r="M69" s="4"/>
      <c r="N69" s="3"/>
    </row>
    <row r="70" spans="1:14" x14ac:dyDescent="0.3">
      <c r="A70" t="s">
        <v>192</v>
      </c>
      <c r="B70">
        <v>2008</v>
      </c>
      <c r="C70" s="4">
        <v>2008.74999999999</v>
      </c>
      <c r="D70">
        <v>100.9</v>
      </c>
      <c r="E70" s="8">
        <f t="shared" si="0"/>
        <v>0.2996241354007792</v>
      </c>
      <c r="F70" s="3">
        <f>STANDARDIZE(D70,I$17,J$17)</f>
        <v>-0.69753008387135562</v>
      </c>
      <c r="L70">
        <v>1951</v>
      </c>
      <c r="M70" s="4"/>
      <c r="N70" s="3"/>
    </row>
    <row r="71" spans="1:14" x14ac:dyDescent="0.3">
      <c r="A71" t="s">
        <v>191</v>
      </c>
      <c r="B71">
        <v>2008</v>
      </c>
      <c r="C71" s="4">
        <v>2008.6666666666599</v>
      </c>
      <c r="D71">
        <v>196.1</v>
      </c>
      <c r="E71" s="8">
        <f t="shared" si="0"/>
        <v>1.3866527218007223</v>
      </c>
      <c r="F71" s="3">
        <f>STANDARDIZE(D71,I$16,J$16)</f>
        <v>0.96724272904092623</v>
      </c>
      <c r="L71">
        <v>1950</v>
      </c>
      <c r="M71" s="4"/>
      <c r="N71" s="3"/>
    </row>
    <row r="72" spans="1:14" x14ac:dyDescent="0.3">
      <c r="A72" t="s">
        <v>190</v>
      </c>
      <c r="B72">
        <v>2008</v>
      </c>
      <c r="C72" s="4">
        <v>2008.5833333333201</v>
      </c>
      <c r="D72">
        <v>243.2</v>
      </c>
      <c r="E72" s="8">
        <f t="shared" si="0"/>
        <v>1.9244578312485934</v>
      </c>
      <c r="F72" s="3">
        <f>STANDARDIZE(D72,I$15,J$15)</f>
        <v>1.7571172761213352</v>
      </c>
      <c r="L72">
        <v>1949</v>
      </c>
      <c r="M72" s="4"/>
      <c r="N72" s="3"/>
    </row>
    <row r="73" spans="1:14" x14ac:dyDescent="0.3">
      <c r="A73" t="s">
        <v>189</v>
      </c>
      <c r="B73">
        <v>2008</v>
      </c>
      <c r="C73" s="4">
        <v>2008.49999999999</v>
      </c>
      <c r="D73">
        <v>86.8</v>
      </c>
      <c r="E73" s="8">
        <f t="shared" ref="E73:E136" si="6">STANDARDIZE(D73,F$4,F$5)</f>
        <v>0.13862515359154384</v>
      </c>
      <c r="F73" s="3">
        <f>STANDARDIZE(D73,I$14,J$14)</f>
        <v>-0.13252113331488788</v>
      </c>
      <c r="L73">
        <v>1948</v>
      </c>
      <c r="M73" s="4">
        <f t="shared" ref="M73:M74" si="7">SUMIF(B$8:B$811,L73,D$8:D$811)</f>
        <v>100.10000000000001</v>
      </c>
      <c r="N73" s="3">
        <f t="shared" ref="N73:N74" si="8">STANDARDIZE(M73,M$5,M$6)</f>
        <v>-1.479785704807528</v>
      </c>
    </row>
    <row r="74" spans="1:14" x14ac:dyDescent="0.3">
      <c r="A74" t="s">
        <v>188</v>
      </c>
      <c r="B74">
        <v>2008</v>
      </c>
      <c r="C74" s="4">
        <v>2008.4166666666499</v>
      </c>
      <c r="D74">
        <v>92</v>
      </c>
      <c r="E74" s="8">
        <f t="shared" si="6"/>
        <v>0.1980006646133895</v>
      </c>
      <c r="F74" s="3">
        <f>STANDARDIZE(D74,I$13,J$13)</f>
        <v>-4.6734226186040354E-2</v>
      </c>
      <c r="L74">
        <v>1947</v>
      </c>
      <c r="M74" s="4">
        <f t="shared" si="7"/>
        <v>268.2</v>
      </c>
      <c r="N74" s="3">
        <f t="shared" si="8"/>
        <v>-1.0949621970358085</v>
      </c>
    </row>
    <row r="75" spans="1:14" x14ac:dyDescent="0.3">
      <c r="A75" t="s">
        <v>187</v>
      </c>
      <c r="B75">
        <v>2008</v>
      </c>
      <c r="C75" s="4">
        <v>2008.3333333333201</v>
      </c>
      <c r="D75">
        <v>64.099999999999994</v>
      </c>
      <c r="E75" s="8">
        <f t="shared" si="6"/>
        <v>-0.12057178875382082</v>
      </c>
      <c r="F75" s="3">
        <f>STANDARDIZE(D75,I$12,J$12)</f>
        <v>-0.39067742781542791</v>
      </c>
      <c r="L75">
        <v>1946</v>
      </c>
      <c r="M75" s="4"/>
      <c r="N75" s="3"/>
    </row>
    <row r="76" spans="1:14" x14ac:dyDescent="0.3">
      <c r="A76" t="s">
        <v>186</v>
      </c>
      <c r="B76">
        <v>2008</v>
      </c>
      <c r="C76" s="4">
        <v>2008.24999999999</v>
      </c>
      <c r="D76">
        <v>18.8</v>
      </c>
      <c r="E76" s="8">
        <f t="shared" si="6"/>
        <v>-0.6378238366941299</v>
      </c>
      <c r="F76" s="3">
        <f>STANDARDIZE(D76,I$11,J$11)</f>
        <v>-0.17901199037448151</v>
      </c>
      <c r="L76">
        <v>1945</v>
      </c>
      <c r="M76" s="4"/>
      <c r="N76" s="3"/>
    </row>
    <row r="77" spans="1:14" x14ac:dyDescent="0.3">
      <c r="A77" t="s">
        <v>185</v>
      </c>
      <c r="B77">
        <v>2008</v>
      </c>
      <c r="C77" s="4">
        <v>2008.1666666666499</v>
      </c>
      <c r="D77">
        <v>0</v>
      </c>
      <c r="E77" s="8">
        <f t="shared" si="6"/>
        <v>-0.8524891457731103</v>
      </c>
      <c r="F77" s="3">
        <f>STANDARDIZE(D77,I$10,J$10)</f>
        <v>-0.47170382615107059</v>
      </c>
    </row>
    <row r="78" spans="1:14" x14ac:dyDescent="0.3">
      <c r="A78" t="s">
        <v>184</v>
      </c>
      <c r="B78">
        <v>2008</v>
      </c>
      <c r="C78" s="4">
        <v>2008.0833333333201</v>
      </c>
      <c r="D78">
        <v>0</v>
      </c>
      <c r="E78" s="8">
        <f t="shared" si="6"/>
        <v>-0.8524891457731103</v>
      </c>
      <c r="F78" s="3">
        <f>STANDARDIZE(D78,I$9,J$9)</f>
        <v>-0.20151463750030485</v>
      </c>
    </row>
    <row r="79" spans="1:14" x14ac:dyDescent="0.3">
      <c r="A79" t="s">
        <v>183</v>
      </c>
      <c r="B79">
        <v>2008</v>
      </c>
      <c r="C79" s="4">
        <v>2008</v>
      </c>
      <c r="D79">
        <v>0</v>
      </c>
      <c r="E79" s="8">
        <f t="shared" si="6"/>
        <v>-0.8524891457731103</v>
      </c>
      <c r="F79" s="3">
        <f>STANDARDIZE(D79,I$8,J$8)</f>
        <v>-0.26336194822754155</v>
      </c>
    </row>
    <row r="80" spans="1:14" x14ac:dyDescent="0.3">
      <c r="A80" t="s">
        <v>194</v>
      </c>
      <c r="B80">
        <v>2007</v>
      </c>
      <c r="C80" s="4">
        <v>2007.9166666666499</v>
      </c>
      <c r="D80">
        <v>0</v>
      </c>
      <c r="E80" s="8">
        <f t="shared" si="6"/>
        <v>-0.8524891457731103</v>
      </c>
      <c r="F80" s="3">
        <f>STANDARDIZE(D80,I$19,J$19)</f>
        <v>-0.67334584962649535</v>
      </c>
    </row>
    <row r="81" spans="1:6" x14ac:dyDescent="0.3">
      <c r="A81" t="s">
        <v>193</v>
      </c>
      <c r="B81">
        <v>2007</v>
      </c>
      <c r="C81" s="4">
        <v>2007.8333333333201</v>
      </c>
      <c r="D81">
        <v>53.9</v>
      </c>
      <c r="E81" s="8">
        <f t="shared" si="6"/>
        <v>-0.23703913729667184</v>
      </c>
      <c r="F81" s="3">
        <f>STANDARDIZE(D81,I$18,J$18)</f>
        <v>-0.63103347410002475</v>
      </c>
    </row>
    <row r="82" spans="1:6" x14ac:dyDescent="0.3">
      <c r="A82" t="s">
        <v>192</v>
      </c>
      <c r="B82">
        <v>2007</v>
      </c>
      <c r="C82" s="4">
        <v>2007.74999999999</v>
      </c>
      <c r="D82">
        <v>271.8</v>
      </c>
      <c r="E82" s="8">
        <f t="shared" si="6"/>
        <v>2.2510231418687447</v>
      </c>
      <c r="F82" s="3">
        <f>STANDARDIZE(D82,I$17,J$17)</f>
        <v>0.68696405784058789</v>
      </c>
    </row>
    <row r="83" spans="1:6" x14ac:dyDescent="0.3">
      <c r="A83" t="s">
        <v>191</v>
      </c>
      <c r="B83">
        <v>2007</v>
      </c>
      <c r="C83" s="4">
        <v>2007.6666666666499</v>
      </c>
      <c r="D83">
        <v>192.4</v>
      </c>
      <c r="E83" s="8">
        <f t="shared" si="6"/>
        <v>1.3444047620351784</v>
      </c>
      <c r="F83" s="3">
        <f>STANDARDIZE(D83,I$16,J$16)</f>
        <v>0.918184496039536</v>
      </c>
    </row>
    <row r="84" spans="1:6" x14ac:dyDescent="0.3">
      <c r="A84" t="s">
        <v>190</v>
      </c>
      <c r="B84">
        <v>2007</v>
      </c>
      <c r="C84" s="4">
        <v>2007.5833333333201</v>
      </c>
      <c r="D84">
        <v>180.8</v>
      </c>
      <c r="E84" s="8">
        <f t="shared" si="6"/>
        <v>1.2119516989864458</v>
      </c>
      <c r="F84" s="3">
        <f>STANDARDIZE(D84,I$15,J$15)</f>
        <v>0.96624378741666084</v>
      </c>
    </row>
    <row r="85" spans="1:6" x14ac:dyDescent="0.3">
      <c r="A85" t="s">
        <v>189</v>
      </c>
      <c r="B85">
        <v>2007</v>
      </c>
      <c r="C85" s="4">
        <v>2007.49999999999</v>
      </c>
      <c r="D85">
        <v>127.5</v>
      </c>
      <c r="E85" s="8">
        <f t="shared" si="6"/>
        <v>0.60335271101252796</v>
      </c>
      <c r="F85" s="3">
        <f>STANDARDIZE(D85,I$14,J$14)</f>
        <v>0.35530046674829174</v>
      </c>
    </row>
    <row r="86" spans="1:6" x14ac:dyDescent="0.3">
      <c r="A86" t="s">
        <v>188</v>
      </c>
      <c r="B86">
        <v>2007</v>
      </c>
      <c r="C86" s="4">
        <v>2007.4166666666499</v>
      </c>
      <c r="D86">
        <v>26.2</v>
      </c>
      <c r="E86" s="8">
        <f t="shared" si="6"/>
        <v>-0.55332791716304186</v>
      </c>
      <c r="F86" s="3">
        <f>STANDARDIZE(D86,I$13,J$13)</f>
        <v>-1.0710451255690949</v>
      </c>
    </row>
    <row r="87" spans="1:6" x14ac:dyDescent="0.3">
      <c r="A87" t="s">
        <v>187</v>
      </c>
      <c r="B87">
        <v>2007</v>
      </c>
      <c r="C87" s="4">
        <v>2007.3333333333201</v>
      </c>
      <c r="D87">
        <v>185</v>
      </c>
      <c r="E87" s="8">
        <f t="shared" si="6"/>
        <v>1.2599088425040903</v>
      </c>
      <c r="F87" s="3">
        <f>STANDARDIZE(D87,I$12,J$12)</f>
        <v>1.4389520342056059</v>
      </c>
    </row>
    <row r="88" spans="1:6" x14ac:dyDescent="0.3">
      <c r="A88" t="s">
        <v>186</v>
      </c>
      <c r="B88">
        <v>2007</v>
      </c>
      <c r="C88" s="4">
        <v>2007.24999999999</v>
      </c>
      <c r="D88">
        <v>95.8</v>
      </c>
      <c r="E88" s="8">
        <f t="shared" si="6"/>
        <v>0.24139046112935358</v>
      </c>
      <c r="F88" s="3">
        <f>STANDARDIZE(D88,I$11,J$11)</f>
        <v>3.4632460639272167</v>
      </c>
    </row>
    <row r="89" spans="1:6" x14ac:dyDescent="0.3">
      <c r="A89" t="s">
        <v>185</v>
      </c>
      <c r="B89">
        <v>2007</v>
      </c>
      <c r="C89" s="4">
        <v>2007.1666666666499</v>
      </c>
      <c r="D89">
        <v>0</v>
      </c>
      <c r="E89" s="8">
        <f t="shared" si="6"/>
        <v>-0.8524891457731103</v>
      </c>
      <c r="F89" s="3">
        <f>STANDARDIZE(D89,I$10,J$10)</f>
        <v>-0.47170382615107059</v>
      </c>
    </row>
    <row r="90" spans="1:6" x14ac:dyDescent="0.3">
      <c r="A90" t="s">
        <v>184</v>
      </c>
      <c r="B90">
        <v>2007</v>
      </c>
      <c r="C90" s="4">
        <v>2007.0833333333201</v>
      </c>
      <c r="D90">
        <v>0</v>
      </c>
      <c r="E90" s="8">
        <f t="shared" si="6"/>
        <v>-0.8524891457731103</v>
      </c>
      <c r="F90" s="3">
        <f>STANDARDIZE(D90,I$9,J$9)</f>
        <v>-0.20151463750030485</v>
      </c>
    </row>
    <row r="91" spans="1:6" x14ac:dyDescent="0.3">
      <c r="A91" t="s">
        <v>183</v>
      </c>
      <c r="B91">
        <v>2007</v>
      </c>
      <c r="C91" s="4">
        <v>2007</v>
      </c>
      <c r="D91">
        <v>0</v>
      </c>
      <c r="E91" s="8">
        <f t="shared" si="6"/>
        <v>-0.8524891457731103</v>
      </c>
      <c r="F91" s="3">
        <f>STANDARDIZE(D91,I$8,J$8)</f>
        <v>-0.26336194822754155</v>
      </c>
    </row>
    <row r="92" spans="1:6" x14ac:dyDescent="0.3">
      <c r="A92" t="s">
        <v>194</v>
      </c>
      <c r="B92">
        <v>2006</v>
      </c>
      <c r="C92" s="4">
        <v>2006.9166666666499</v>
      </c>
      <c r="D92">
        <v>13</v>
      </c>
      <c r="E92" s="8">
        <f t="shared" si="6"/>
        <v>-0.7040503682184962</v>
      </c>
      <c r="F92" s="3">
        <f>STANDARDIZE(D92,I$19,J$19)</f>
        <v>-0.43530122265948357</v>
      </c>
    </row>
    <row r="93" spans="1:6" x14ac:dyDescent="0.3">
      <c r="A93" t="s">
        <v>193</v>
      </c>
      <c r="B93">
        <v>2006</v>
      </c>
      <c r="C93" s="4">
        <v>2006.8333333333201</v>
      </c>
      <c r="D93">
        <v>107.8</v>
      </c>
      <c r="E93" s="8">
        <f t="shared" si="6"/>
        <v>0.37841087117976663</v>
      </c>
      <c r="F93" s="3">
        <f>STANDARDIZE(D93,I$18,J$18)</f>
        <v>-0.1519238715292664</v>
      </c>
    </row>
    <row r="94" spans="1:6" x14ac:dyDescent="0.3">
      <c r="A94" t="s">
        <v>192</v>
      </c>
      <c r="B94">
        <v>2006</v>
      </c>
      <c r="C94" s="4">
        <v>2006.74999999998</v>
      </c>
      <c r="D94">
        <v>216.2</v>
      </c>
      <c r="E94" s="8">
        <f t="shared" si="6"/>
        <v>1.6161619086351642</v>
      </c>
      <c r="F94" s="3">
        <f>STANDARDIZE(D94,I$17,J$17)</f>
        <v>0.23653764309989692</v>
      </c>
    </row>
    <row r="95" spans="1:6" x14ac:dyDescent="0.3">
      <c r="A95" t="s">
        <v>191</v>
      </c>
      <c r="B95">
        <v>2006</v>
      </c>
      <c r="C95" s="4">
        <v>2006.6666666666499</v>
      </c>
      <c r="D95">
        <v>32.700000000000003</v>
      </c>
      <c r="E95" s="8">
        <f t="shared" si="6"/>
        <v>-0.47910852838573476</v>
      </c>
      <c r="F95" s="3">
        <f>STANDARDIZE(D95,I$16,J$16)</f>
        <v>-1.1992749121556099</v>
      </c>
    </row>
    <row r="96" spans="1:6" x14ac:dyDescent="0.3">
      <c r="A96" t="s">
        <v>190</v>
      </c>
      <c r="B96">
        <v>2006</v>
      </c>
      <c r="C96" s="4">
        <v>2006.5833333333201</v>
      </c>
      <c r="D96">
        <v>180</v>
      </c>
      <c r="E96" s="8">
        <f t="shared" si="6"/>
        <v>1.2028170049830849</v>
      </c>
      <c r="F96" s="3">
        <f>STANDARDIZE(D96,I$15,J$15)</f>
        <v>0.9561043837153187</v>
      </c>
    </row>
    <row r="97" spans="1:6" x14ac:dyDescent="0.3">
      <c r="A97" t="s">
        <v>189</v>
      </c>
      <c r="B97">
        <v>2006</v>
      </c>
      <c r="C97" s="4">
        <v>2006.49999999998</v>
      </c>
      <c r="D97">
        <v>141.80000000000001</v>
      </c>
      <c r="E97" s="8">
        <f t="shared" si="6"/>
        <v>0.76663536632260365</v>
      </c>
      <c r="F97" s="3">
        <f>STANDARDIZE(D97,I$14,J$14)</f>
        <v>0.52669724514886851</v>
      </c>
    </row>
    <row r="98" spans="1:6" x14ac:dyDescent="0.3">
      <c r="A98" t="s">
        <v>188</v>
      </c>
      <c r="B98">
        <v>2006</v>
      </c>
      <c r="C98" s="4">
        <v>2006.4166666666499</v>
      </c>
      <c r="D98">
        <v>101.7</v>
      </c>
      <c r="E98" s="8">
        <f t="shared" si="6"/>
        <v>0.30875882940414007</v>
      </c>
      <c r="F98" s="3">
        <f>STANDARDIZE(D98,I$13,J$13)</f>
        <v>0.10426601278076258</v>
      </c>
    </row>
    <row r="99" spans="1:6" x14ac:dyDescent="0.3">
      <c r="A99" t="s">
        <v>187</v>
      </c>
      <c r="B99">
        <v>2006</v>
      </c>
      <c r="C99" s="4">
        <v>2006.3333333333201</v>
      </c>
      <c r="E99" s="8"/>
      <c r="F99" s="3"/>
    </row>
    <row r="100" spans="1:6" x14ac:dyDescent="0.3">
      <c r="A100" t="s">
        <v>186</v>
      </c>
      <c r="B100">
        <v>2006</v>
      </c>
      <c r="C100" s="4">
        <v>2006.24999999998</v>
      </c>
      <c r="D100">
        <v>28.2</v>
      </c>
      <c r="E100" s="8">
        <f t="shared" si="6"/>
        <v>-0.53049118215463964</v>
      </c>
      <c r="F100" s="3">
        <f>STANDARDIZE(D100,I$11,J$11)</f>
        <v>0.26562730456624528</v>
      </c>
    </row>
    <row r="101" spans="1:6" x14ac:dyDescent="0.3">
      <c r="A101" t="s">
        <v>185</v>
      </c>
      <c r="B101">
        <v>2006</v>
      </c>
      <c r="C101" s="4">
        <v>2006.1666666666499</v>
      </c>
      <c r="D101">
        <v>20</v>
      </c>
      <c r="E101" s="8">
        <f t="shared" si="6"/>
        <v>-0.62412179568908854</v>
      </c>
      <c r="F101" s="3">
        <f>STANDARDIZE(D101,I$10,J$10)</f>
        <v>4.3988631778779421</v>
      </c>
    </row>
    <row r="102" spans="1:6" x14ac:dyDescent="0.3">
      <c r="A102" t="s">
        <v>184</v>
      </c>
      <c r="B102">
        <v>2006</v>
      </c>
      <c r="C102" s="4">
        <v>2006.0833333333201</v>
      </c>
      <c r="D102">
        <v>0</v>
      </c>
      <c r="E102" s="8">
        <f t="shared" si="6"/>
        <v>-0.8524891457731103</v>
      </c>
      <c r="F102" s="3">
        <f>STANDARDIZE(D102,I$9,J$9)</f>
        <v>-0.20151463750030485</v>
      </c>
    </row>
    <row r="103" spans="1:6" x14ac:dyDescent="0.3">
      <c r="A103" t="s">
        <v>183</v>
      </c>
      <c r="B103">
        <v>2006</v>
      </c>
      <c r="C103" s="4">
        <v>2006</v>
      </c>
      <c r="D103">
        <v>0</v>
      </c>
      <c r="E103" s="8">
        <f t="shared" si="6"/>
        <v>-0.8524891457731103</v>
      </c>
      <c r="F103" s="3">
        <f>STANDARDIZE(D103,I$8,J$8)</f>
        <v>-0.26336194822754155</v>
      </c>
    </row>
    <row r="104" spans="1:6" x14ac:dyDescent="0.3">
      <c r="A104" t="s">
        <v>194</v>
      </c>
      <c r="B104">
        <v>2005</v>
      </c>
      <c r="C104" s="4">
        <v>2005.9166666666499</v>
      </c>
      <c r="E104" s="8"/>
      <c r="F104" s="3"/>
    </row>
    <row r="105" spans="1:6" x14ac:dyDescent="0.3">
      <c r="A105" t="s">
        <v>193</v>
      </c>
      <c r="B105">
        <v>2005</v>
      </c>
      <c r="C105" s="4">
        <v>2005.8333333333201</v>
      </c>
      <c r="E105" s="8"/>
      <c r="F105" s="3"/>
    </row>
    <row r="106" spans="1:6" x14ac:dyDescent="0.3">
      <c r="A106" t="s">
        <v>192</v>
      </c>
      <c r="B106">
        <v>2005</v>
      </c>
      <c r="C106" s="4">
        <v>2005.74999999998</v>
      </c>
      <c r="D106">
        <v>150.80000000000001</v>
      </c>
      <c r="E106" s="8">
        <f t="shared" si="6"/>
        <v>0.86940067386041342</v>
      </c>
      <c r="F106" s="3">
        <f>STANDARDIZE(D106,I$17,J$17)</f>
        <v>-0.29328047783609529</v>
      </c>
    </row>
    <row r="107" spans="1:6" x14ac:dyDescent="0.3">
      <c r="A107" t="s">
        <v>191</v>
      </c>
      <c r="B107">
        <v>2005</v>
      </c>
      <c r="C107" s="4">
        <v>2005.6666666666499</v>
      </c>
      <c r="D107">
        <v>132.69999999999999</v>
      </c>
      <c r="E107" s="8">
        <f t="shared" si="6"/>
        <v>0.66272822203437354</v>
      </c>
      <c r="F107" s="3">
        <f>STANDARDIZE(D107,I$16,J$16)</f>
        <v>0.12662327707115634</v>
      </c>
    </row>
    <row r="108" spans="1:6" x14ac:dyDescent="0.3">
      <c r="A108" t="s">
        <v>190</v>
      </c>
      <c r="B108">
        <v>2005</v>
      </c>
      <c r="C108" s="4">
        <v>2005.5833333333201</v>
      </c>
      <c r="D108">
        <v>67.400000000000006</v>
      </c>
      <c r="E108" s="8">
        <f t="shared" si="6"/>
        <v>-8.2891175989957114E-2</v>
      </c>
      <c r="F108" s="3">
        <f>STANDARDIZE(D108,I$15,J$15)</f>
        <v>-0.47101668724856505</v>
      </c>
    </row>
    <row r="109" spans="1:6" x14ac:dyDescent="0.3">
      <c r="A109" t="s">
        <v>189</v>
      </c>
      <c r="B109">
        <v>2005</v>
      </c>
      <c r="C109" s="4">
        <v>2005.49999999998</v>
      </c>
      <c r="D109">
        <v>30.7</v>
      </c>
      <c r="E109" s="8">
        <f t="shared" si="6"/>
        <v>-0.50194526339413692</v>
      </c>
      <c r="F109" s="3">
        <f>STANDARDIZE(D109,I$14,J$14)</f>
        <v>-0.80492387934791909</v>
      </c>
    </row>
    <row r="110" spans="1:6" x14ac:dyDescent="0.3">
      <c r="A110" t="s">
        <v>188</v>
      </c>
      <c r="B110">
        <v>2005</v>
      </c>
      <c r="C110" s="4">
        <v>2005.4166666666499</v>
      </c>
      <c r="D110">
        <v>131.9</v>
      </c>
      <c r="E110" s="8">
        <f t="shared" si="6"/>
        <v>0.65359352803101289</v>
      </c>
      <c r="F110" s="3">
        <f>STANDARDIZE(D110,I$13,J$13)</f>
        <v>0.57439046812070571</v>
      </c>
    </row>
    <row r="111" spans="1:6" x14ac:dyDescent="0.3">
      <c r="A111" t="s">
        <v>187</v>
      </c>
      <c r="B111">
        <v>2005</v>
      </c>
      <c r="C111" s="4">
        <v>2005.3333333333201</v>
      </c>
      <c r="D111">
        <v>229.8</v>
      </c>
      <c r="E111" s="8">
        <f t="shared" si="6"/>
        <v>1.771451706692299</v>
      </c>
      <c r="F111" s="3">
        <f>STANDARDIZE(D111,I$12,J$12)</f>
        <v>2.1169288737303567</v>
      </c>
    </row>
    <row r="112" spans="1:6" x14ac:dyDescent="0.3">
      <c r="A112" t="s">
        <v>186</v>
      </c>
      <c r="B112">
        <v>2005</v>
      </c>
      <c r="C112" s="4">
        <v>2005.24999999998</v>
      </c>
      <c r="D112">
        <v>0</v>
      </c>
      <c r="E112" s="8">
        <f t="shared" si="6"/>
        <v>-0.8524891457731103</v>
      </c>
      <c r="F112" s="3">
        <f>STANDARDIZE(D112,I$11,J$11)</f>
        <v>-1.0682905802559353</v>
      </c>
    </row>
    <row r="113" spans="1:6" x14ac:dyDescent="0.3">
      <c r="A113" t="s">
        <v>185</v>
      </c>
      <c r="B113">
        <v>2005</v>
      </c>
      <c r="C113" s="4">
        <v>2005.1666666666499</v>
      </c>
      <c r="D113">
        <v>0</v>
      </c>
      <c r="E113" s="8">
        <f t="shared" si="6"/>
        <v>-0.8524891457731103</v>
      </c>
      <c r="F113" s="3">
        <f>STANDARDIZE(D113,I$10,J$10)</f>
        <v>-0.47170382615107059</v>
      </c>
    </row>
    <row r="114" spans="1:6" x14ac:dyDescent="0.3">
      <c r="A114" t="s">
        <v>184</v>
      </c>
      <c r="B114">
        <v>2005</v>
      </c>
      <c r="C114" s="4">
        <v>2005.0833333333201</v>
      </c>
      <c r="D114">
        <v>0</v>
      </c>
      <c r="E114" s="8">
        <f t="shared" si="6"/>
        <v>-0.8524891457731103</v>
      </c>
      <c r="F114" s="3">
        <f>STANDARDIZE(D114,I$9,J$9)</f>
        <v>-0.20151463750030485</v>
      </c>
    </row>
    <row r="115" spans="1:6" x14ac:dyDescent="0.3">
      <c r="A115" t="s">
        <v>183</v>
      </c>
      <c r="B115">
        <v>2005</v>
      </c>
      <c r="C115" s="4">
        <v>2005</v>
      </c>
      <c r="D115">
        <v>0</v>
      </c>
      <c r="E115" s="8">
        <f t="shared" si="6"/>
        <v>-0.8524891457731103</v>
      </c>
      <c r="F115" s="3">
        <f>STANDARDIZE(D115,I$8,J$8)</f>
        <v>-0.26336194822754155</v>
      </c>
    </row>
    <row r="116" spans="1:6" x14ac:dyDescent="0.3">
      <c r="A116" t="s">
        <v>194</v>
      </c>
      <c r="B116">
        <v>2004</v>
      </c>
      <c r="C116" s="4">
        <v>2004.9166666666499</v>
      </c>
      <c r="D116">
        <v>0</v>
      </c>
      <c r="E116" s="8">
        <f t="shared" si="6"/>
        <v>-0.8524891457731103</v>
      </c>
      <c r="F116" s="3">
        <f>STANDARDIZE(D116,I$19,J$19)</f>
        <v>-0.67334584962649535</v>
      </c>
    </row>
    <row r="117" spans="1:6" x14ac:dyDescent="0.3">
      <c r="A117" t="s">
        <v>193</v>
      </c>
      <c r="B117">
        <v>2004</v>
      </c>
      <c r="C117" s="4">
        <v>2004.8333333333101</v>
      </c>
      <c r="D117">
        <v>412.2</v>
      </c>
      <c r="E117" s="8">
        <f t="shared" si="6"/>
        <v>3.8541619394585767</v>
      </c>
      <c r="F117" s="3">
        <f>STANDARDIZE(D117,I$18,J$18)</f>
        <v>2.5538453867738657</v>
      </c>
    </row>
    <row r="118" spans="1:6" x14ac:dyDescent="0.3">
      <c r="A118" t="s">
        <v>192</v>
      </c>
      <c r="B118">
        <v>2004</v>
      </c>
      <c r="C118" s="4">
        <v>2004.74999999998</v>
      </c>
      <c r="D118">
        <v>231.5</v>
      </c>
      <c r="E118" s="8">
        <f t="shared" si="6"/>
        <v>1.7908629314494409</v>
      </c>
      <c r="F118" s="3">
        <f>STANDARDIZE(D118,I$17,J$17)</f>
        <v>0.36048591909868422</v>
      </c>
    </row>
    <row r="119" spans="1:6" x14ac:dyDescent="0.3">
      <c r="A119" t="s">
        <v>191</v>
      </c>
      <c r="B119">
        <v>2004</v>
      </c>
      <c r="C119" s="4">
        <v>2004.6666666666499</v>
      </c>
      <c r="D119">
        <v>194.9</v>
      </c>
      <c r="E119" s="8">
        <f t="shared" si="6"/>
        <v>1.3729506807956813</v>
      </c>
      <c r="F119" s="3">
        <f>STANDARDIZE(D119,I$16,J$16)</f>
        <v>0.95133195077020527</v>
      </c>
    </row>
    <row r="120" spans="1:6" x14ac:dyDescent="0.3">
      <c r="A120" t="s">
        <v>190</v>
      </c>
      <c r="B120">
        <v>2004</v>
      </c>
      <c r="C120" s="4">
        <v>2004.5833333333101</v>
      </c>
      <c r="D120">
        <v>110.4</v>
      </c>
      <c r="E120" s="8">
        <f t="shared" si="6"/>
        <v>0.40809862669068953</v>
      </c>
      <c r="F120" s="3">
        <f>STANDARDIZE(D120,I$15,J$15)</f>
        <v>7.3976261698566428E-2</v>
      </c>
    </row>
    <row r="121" spans="1:6" x14ac:dyDescent="0.3">
      <c r="A121" t="s">
        <v>189</v>
      </c>
      <c r="B121">
        <v>2004</v>
      </c>
      <c r="C121" s="4">
        <v>2004.49999999998</v>
      </c>
      <c r="D121">
        <v>126.2</v>
      </c>
      <c r="E121" s="8">
        <f t="shared" si="6"/>
        <v>0.5885088332570666</v>
      </c>
      <c r="F121" s="3">
        <f>STANDARDIZE(D121,I$14,J$14)</f>
        <v>0.33971894143914844</v>
      </c>
    </row>
    <row r="122" spans="1:6" x14ac:dyDescent="0.3">
      <c r="A122" t="s">
        <v>188</v>
      </c>
      <c r="B122">
        <v>2004</v>
      </c>
      <c r="C122" s="4">
        <v>2004.4166666666499</v>
      </c>
      <c r="D122">
        <v>76.400000000000006</v>
      </c>
      <c r="E122" s="8">
        <f t="shared" si="6"/>
        <v>1.9874131547852648E-2</v>
      </c>
      <c r="F122" s="3">
        <f>STANDARDIZE(D122,I$13,J$13)</f>
        <v>-0.28957997132852742</v>
      </c>
    </row>
    <row r="123" spans="1:6" x14ac:dyDescent="0.3">
      <c r="A123" t="s">
        <v>187</v>
      </c>
      <c r="B123">
        <v>2004</v>
      </c>
      <c r="C123" s="4">
        <v>2004.3333333333101</v>
      </c>
      <c r="D123">
        <v>155.5</v>
      </c>
      <c r="E123" s="8">
        <f t="shared" si="6"/>
        <v>0.92306700113015838</v>
      </c>
      <c r="F123" s="3">
        <f>STANDARDIZE(D123,I$12,J$12)</f>
        <v>0.99251639210783515</v>
      </c>
    </row>
    <row r="124" spans="1:6" x14ac:dyDescent="0.3">
      <c r="A124" t="s">
        <v>186</v>
      </c>
      <c r="B124">
        <v>2004</v>
      </c>
      <c r="C124" s="4">
        <v>2004.24999999998</v>
      </c>
      <c r="E124" s="8"/>
      <c r="F124" s="3"/>
    </row>
    <row r="125" spans="1:6" x14ac:dyDescent="0.3">
      <c r="A125" t="s">
        <v>185</v>
      </c>
      <c r="B125">
        <v>2004</v>
      </c>
      <c r="C125" s="4">
        <v>2004.1666666666499</v>
      </c>
      <c r="E125" s="8"/>
      <c r="F125" s="3"/>
    </row>
    <row r="126" spans="1:6" x14ac:dyDescent="0.3">
      <c r="A126" t="s">
        <v>184</v>
      </c>
      <c r="B126">
        <v>2004</v>
      </c>
      <c r="C126" s="4">
        <v>2004.0833333333101</v>
      </c>
      <c r="E126" s="8"/>
      <c r="F126" s="3"/>
    </row>
    <row r="127" spans="1:6" x14ac:dyDescent="0.3">
      <c r="A127" t="s">
        <v>183</v>
      </c>
      <c r="B127">
        <v>2004</v>
      </c>
      <c r="C127" s="4">
        <v>2004</v>
      </c>
      <c r="E127" s="8"/>
      <c r="F127" s="3"/>
    </row>
    <row r="128" spans="1:6" x14ac:dyDescent="0.3">
      <c r="A128" t="s">
        <v>194</v>
      </c>
      <c r="B128">
        <v>2003</v>
      </c>
      <c r="C128" s="4">
        <v>2003.9166666666499</v>
      </c>
      <c r="D128">
        <v>106</v>
      </c>
      <c r="E128" s="8">
        <f t="shared" si="6"/>
        <v>0.35785780967220471</v>
      </c>
      <c r="F128" s="3">
        <f>STANDARDIZE(D128,I$19,J$19)</f>
        <v>1.2676334164122163</v>
      </c>
    </row>
    <row r="129" spans="1:6" x14ac:dyDescent="0.3">
      <c r="A129" t="s">
        <v>193</v>
      </c>
      <c r="B129">
        <v>2003</v>
      </c>
      <c r="C129" s="4">
        <v>2003.8333333333101</v>
      </c>
      <c r="D129">
        <v>132.6</v>
      </c>
      <c r="E129" s="8">
        <f t="shared" si="6"/>
        <v>0.66158638528395342</v>
      </c>
      <c r="F129" s="3">
        <f>STANDARDIZE(D129,I$18,J$18)</f>
        <v>6.8519878818689178E-2</v>
      </c>
    </row>
    <row r="130" spans="1:6" x14ac:dyDescent="0.3">
      <c r="A130" t="s">
        <v>192</v>
      </c>
      <c r="B130">
        <v>2003</v>
      </c>
      <c r="C130" s="4">
        <v>2003.74999999998</v>
      </c>
      <c r="D130">
        <v>121.5</v>
      </c>
      <c r="E130" s="8">
        <f t="shared" si="6"/>
        <v>0.53484250598732153</v>
      </c>
      <c r="F130" s="3">
        <f>STANDARDIZE(D130,I$17,J$17)</f>
        <v>-0.53064547697102782</v>
      </c>
    </row>
    <row r="131" spans="1:6" x14ac:dyDescent="0.3">
      <c r="A131" t="s">
        <v>191</v>
      </c>
      <c r="B131">
        <v>2003</v>
      </c>
      <c r="C131" s="4">
        <v>2003.6666666666499</v>
      </c>
      <c r="D131">
        <v>152.80000000000001</v>
      </c>
      <c r="E131" s="8">
        <f t="shared" si="6"/>
        <v>0.89223740886881553</v>
      </c>
      <c r="F131" s="3">
        <f>STANDARDIZE(D131,I$16,J$16)</f>
        <v>0.39312881310573666</v>
      </c>
    </row>
    <row r="132" spans="1:6" x14ac:dyDescent="0.3">
      <c r="A132" t="s">
        <v>190</v>
      </c>
      <c r="B132">
        <v>2003</v>
      </c>
      <c r="C132" s="4">
        <v>2003.5833333333101</v>
      </c>
      <c r="D132">
        <v>31</v>
      </c>
      <c r="E132" s="8">
        <f t="shared" si="6"/>
        <v>-0.49851975314287666</v>
      </c>
      <c r="F132" s="3">
        <f>STANDARDIZE(D132,I$15,J$15)</f>
        <v>-0.93235955565962525</v>
      </c>
    </row>
    <row r="133" spans="1:6" x14ac:dyDescent="0.3">
      <c r="A133" t="s">
        <v>189</v>
      </c>
      <c r="B133">
        <v>2003</v>
      </c>
      <c r="C133" s="4">
        <v>2003.49999999998</v>
      </c>
      <c r="D133">
        <v>91.1</v>
      </c>
      <c r="E133" s="8">
        <f t="shared" si="6"/>
        <v>0.18772413385960846</v>
      </c>
      <c r="F133" s="3">
        <f>STANDARDIZE(D133,I$14,J$14)</f>
        <v>-8.0982241907721506E-2</v>
      </c>
    </row>
    <row r="134" spans="1:6" x14ac:dyDescent="0.3">
      <c r="A134" t="s">
        <v>188</v>
      </c>
      <c r="B134">
        <v>2003</v>
      </c>
      <c r="C134" s="4">
        <v>2003.4166666666499</v>
      </c>
      <c r="D134">
        <v>260.10000000000002</v>
      </c>
      <c r="E134" s="8">
        <f t="shared" si="6"/>
        <v>2.1174282420695922</v>
      </c>
      <c r="F134" s="3">
        <f>STANDARDIZE(D134,I$13,J$13)</f>
        <v>2.5700843480737094</v>
      </c>
    </row>
    <row r="135" spans="1:6" x14ac:dyDescent="0.3">
      <c r="A135" t="s">
        <v>187</v>
      </c>
      <c r="B135">
        <v>2003</v>
      </c>
      <c r="C135" s="4">
        <v>2003.3333333333101</v>
      </c>
      <c r="D135">
        <v>71.599999999999994</v>
      </c>
      <c r="E135" s="8">
        <f t="shared" si="6"/>
        <v>-3.4934032472312686E-2</v>
      </c>
      <c r="F135" s="3">
        <f>STANDARDIZE(D135,I$12,J$12)</f>
        <v>-0.27717684084141836</v>
      </c>
    </row>
    <row r="136" spans="1:6" x14ac:dyDescent="0.3">
      <c r="A136" t="s">
        <v>186</v>
      </c>
      <c r="B136">
        <v>2003</v>
      </c>
      <c r="C136" s="4">
        <v>2003.24999999998</v>
      </c>
      <c r="D136">
        <v>38.200000000000003</v>
      </c>
      <c r="E136" s="8">
        <f t="shared" si="6"/>
        <v>-0.41630750711262882</v>
      </c>
      <c r="F136" s="3">
        <f>STANDARDIZE(D136,I$11,J$11)</f>
        <v>0.7386478310989335</v>
      </c>
    </row>
    <row r="137" spans="1:6" x14ac:dyDescent="0.3">
      <c r="A137" t="s">
        <v>185</v>
      </c>
      <c r="B137">
        <v>2003</v>
      </c>
      <c r="C137" s="4">
        <v>2003.1666666666499</v>
      </c>
      <c r="D137">
        <v>0</v>
      </c>
      <c r="E137" s="8">
        <f t="shared" ref="E137:E200" si="9">STANDARDIZE(D137,F$4,F$5)</f>
        <v>-0.8524891457731103</v>
      </c>
      <c r="F137" s="3">
        <f>STANDARDIZE(D137,I$10,J$10)</f>
        <v>-0.47170382615107059</v>
      </c>
    </row>
    <row r="138" spans="1:6" x14ac:dyDescent="0.3">
      <c r="A138" t="s">
        <v>184</v>
      </c>
      <c r="B138">
        <v>2003</v>
      </c>
      <c r="C138" s="4">
        <v>2003.0833333333101</v>
      </c>
      <c r="D138">
        <v>0</v>
      </c>
      <c r="E138" s="8">
        <f t="shared" si="9"/>
        <v>-0.8524891457731103</v>
      </c>
      <c r="F138" s="3">
        <f>STANDARDIZE(D138,I$9,J$9)</f>
        <v>-0.20151463750030485</v>
      </c>
    </row>
    <row r="139" spans="1:6" x14ac:dyDescent="0.3">
      <c r="A139" t="s">
        <v>183</v>
      </c>
      <c r="B139">
        <v>2003</v>
      </c>
      <c r="C139" s="4">
        <v>2003</v>
      </c>
      <c r="D139">
        <v>0</v>
      </c>
      <c r="E139" s="8">
        <f t="shared" si="9"/>
        <v>-0.8524891457731103</v>
      </c>
      <c r="F139" s="3">
        <f>STANDARDIZE(D139,I$8,J$8)</f>
        <v>-0.26336194822754155</v>
      </c>
    </row>
    <row r="140" spans="1:6" x14ac:dyDescent="0.3">
      <c r="A140" t="s">
        <v>194</v>
      </c>
      <c r="B140">
        <v>2002</v>
      </c>
      <c r="C140" s="4">
        <v>2002.9166666666399</v>
      </c>
      <c r="D140">
        <v>0</v>
      </c>
      <c r="E140" s="8">
        <f t="shared" si="9"/>
        <v>-0.8524891457731103</v>
      </c>
      <c r="F140" s="3">
        <f>STANDARDIZE(D140,I$19,J$19)</f>
        <v>-0.67334584962649535</v>
      </c>
    </row>
    <row r="141" spans="1:6" x14ac:dyDescent="0.3">
      <c r="A141" t="s">
        <v>193</v>
      </c>
      <c r="B141">
        <v>2002</v>
      </c>
      <c r="C141" s="4">
        <v>2002.8333333333101</v>
      </c>
      <c r="D141">
        <v>52</v>
      </c>
      <c r="E141" s="8">
        <f t="shared" si="9"/>
        <v>-0.25873403555465391</v>
      </c>
      <c r="F141" s="3">
        <f>STANDARDIZE(D141,I$18,J$18)</f>
        <v>-0.64792230981216647</v>
      </c>
    </row>
    <row r="142" spans="1:6" x14ac:dyDescent="0.3">
      <c r="A142" t="s">
        <v>192</v>
      </c>
      <c r="B142">
        <v>2002</v>
      </c>
      <c r="C142" s="4">
        <v>2002.74999999998</v>
      </c>
      <c r="D142">
        <v>106.5</v>
      </c>
      <c r="E142" s="8">
        <f t="shared" si="9"/>
        <v>0.36356699342430521</v>
      </c>
      <c r="F142" s="3">
        <f>STANDARDIZE(D142,I$17,J$17)</f>
        <v>-0.65216339461689765</v>
      </c>
    </row>
    <row r="143" spans="1:6" x14ac:dyDescent="0.3">
      <c r="A143" t="s">
        <v>191</v>
      </c>
      <c r="B143">
        <v>2002</v>
      </c>
      <c r="C143" s="4">
        <v>2002.6666666666399</v>
      </c>
      <c r="D143">
        <v>51.5</v>
      </c>
      <c r="E143" s="8">
        <f t="shared" si="9"/>
        <v>-0.26444321930675441</v>
      </c>
      <c r="F143" s="3">
        <f>STANDARDIZE(D143,I$16,J$16)</f>
        <v>-0.95000605258097781</v>
      </c>
    </row>
    <row r="144" spans="1:6" x14ac:dyDescent="0.3">
      <c r="A144" t="s">
        <v>190</v>
      </c>
      <c r="B144">
        <v>2002</v>
      </c>
      <c r="C144" s="4">
        <v>2002.5833333333101</v>
      </c>
      <c r="D144">
        <v>65.7</v>
      </c>
      <c r="E144" s="8">
        <f t="shared" si="9"/>
        <v>-0.102302400747099</v>
      </c>
      <c r="F144" s="3">
        <f>STANDARDIZE(D144,I$15,J$15)</f>
        <v>-0.49256292011391678</v>
      </c>
    </row>
    <row r="145" spans="1:6" x14ac:dyDescent="0.3">
      <c r="A145" t="s">
        <v>189</v>
      </c>
      <c r="B145">
        <v>2002</v>
      </c>
      <c r="C145" s="4">
        <v>2002.49999999998</v>
      </c>
      <c r="D145">
        <v>178.5</v>
      </c>
      <c r="E145" s="8">
        <f t="shared" si="9"/>
        <v>1.1856894537267832</v>
      </c>
      <c r="F145" s="3">
        <f>STANDARDIZE(D145,I$14,J$14)</f>
        <v>0.96657569041468383</v>
      </c>
    </row>
    <row r="146" spans="1:6" x14ac:dyDescent="0.3">
      <c r="A146" t="s">
        <v>188</v>
      </c>
      <c r="B146">
        <v>2002</v>
      </c>
      <c r="C146" s="4">
        <v>2002.4166666666399</v>
      </c>
      <c r="D146">
        <v>92.9</v>
      </c>
      <c r="E146" s="8">
        <f t="shared" si="9"/>
        <v>0.20827719536717054</v>
      </c>
      <c r="F146" s="3">
        <f>STANDARDIZE(D146,I$13,J$13)</f>
        <v>-3.2723894735512161E-2</v>
      </c>
    </row>
    <row r="147" spans="1:6" x14ac:dyDescent="0.3">
      <c r="A147" t="s">
        <v>187</v>
      </c>
      <c r="B147">
        <v>2002</v>
      </c>
      <c r="C147" s="4">
        <v>2002.3333333333101</v>
      </c>
      <c r="D147">
        <v>94.5</v>
      </c>
      <c r="E147" s="8">
        <f t="shared" si="9"/>
        <v>0.22654658337389222</v>
      </c>
      <c r="F147" s="3">
        <f>STANDARDIZE(D147,I$12,J$12)</f>
        <v>6.9378284719224192E-2</v>
      </c>
    </row>
    <row r="148" spans="1:6" x14ac:dyDescent="0.3">
      <c r="A148" t="s">
        <v>186</v>
      </c>
      <c r="B148">
        <v>2002</v>
      </c>
      <c r="C148" s="4">
        <v>2002.24999999998</v>
      </c>
      <c r="D148">
        <v>22</v>
      </c>
      <c r="E148" s="8">
        <f t="shared" si="9"/>
        <v>-0.60128506068068643</v>
      </c>
      <c r="F148" s="3">
        <f>STANDARDIZE(D148,I$11,J$11)</f>
        <v>-2.7645421884021335E-2</v>
      </c>
    </row>
    <row r="149" spans="1:6" x14ac:dyDescent="0.3">
      <c r="A149" t="s">
        <v>185</v>
      </c>
      <c r="B149">
        <v>2002</v>
      </c>
      <c r="C149" s="4">
        <v>2002.1666666666399</v>
      </c>
      <c r="D149">
        <v>0</v>
      </c>
      <c r="E149" s="8">
        <f t="shared" si="9"/>
        <v>-0.8524891457731103</v>
      </c>
      <c r="F149" s="3">
        <f>STANDARDIZE(D149,I$10,J$10)</f>
        <v>-0.47170382615107059</v>
      </c>
    </row>
    <row r="150" spans="1:6" x14ac:dyDescent="0.3">
      <c r="A150" t="s">
        <v>184</v>
      </c>
      <c r="B150">
        <v>2002</v>
      </c>
      <c r="C150" s="4">
        <v>2002.0833333333101</v>
      </c>
      <c r="D150">
        <v>0</v>
      </c>
      <c r="E150" s="8">
        <f t="shared" si="9"/>
        <v>-0.8524891457731103</v>
      </c>
      <c r="F150" s="3">
        <f>STANDARDIZE(D150,I$9,J$9)</f>
        <v>-0.20151463750030485</v>
      </c>
    </row>
    <row r="151" spans="1:6" x14ac:dyDescent="0.3">
      <c r="A151" t="s">
        <v>183</v>
      </c>
      <c r="B151">
        <v>2002</v>
      </c>
      <c r="C151" s="4">
        <v>2002</v>
      </c>
      <c r="D151">
        <v>0</v>
      </c>
      <c r="E151" s="8">
        <f t="shared" si="9"/>
        <v>-0.8524891457731103</v>
      </c>
      <c r="F151" s="3">
        <f>STANDARDIZE(D151,I$8,J$8)</f>
        <v>-0.26336194822754155</v>
      </c>
    </row>
    <row r="152" spans="1:6" x14ac:dyDescent="0.3">
      <c r="A152" t="s">
        <v>194</v>
      </c>
      <c r="B152">
        <v>2001</v>
      </c>
      <c r="C152" s="4">
        <v>2001.9166666666399</v>
      </c>
      <c r="D152">
        <v>48</v>
      </c>
      <c r="E152" s="8">
        <f t="shared" si="9"/>
        <v>-0.30440750557145824</v>
      </c>
      <c r="F152" s="3">
        <f>STANDARDIZE(D152,I$19,J$19)</f>
        <v>0.20558815763631741</v>
      </c>
    </row>
    <row r="153" spans="1:6" x14ac:dyDescent="0.3">
      <c r="A153" t="s">
        <v>193</v>
      </c>
      <c r="B153">
        <v>2001</v>
      </c>
      <c r="C153" s="4">
        <v>2001.8333333333101</v>
      </c>
      <c r="D153">
        <v>132.6</v>
      </c>
      <c r="E153" s="8">
        <f t="shared" si="9"/>
        <v>0.66158638528395342</v>
      </c>
      <c r="F153" s="3">
        <f>STANDARDIZE(D153,I$18,J$18)</f>
        <v>6.8519878818689178E-2</v>
      </c>
    </row>
    <row r="154" spans="1:6" x14ac:dyDescent="0.3">
      <c r="A154" t="s">
        <v>192</v>
      </c>
      <c r="B154">
        <v>2001</v>
      </c>
      <c r="C154" s="4">
        <v>2001.74999999998</v>
      </c>
      <c r="D154">
        <v>216.2</v>
      </c>
      <c r="E154" s="8">
        <f t="shared" si="9"/>
        <v>1.6161619086351642</v>
      </c>
      <c r="F154" s="3">
        <f>STANDARDIZE(D154,I$17,J$17)</f>
        <v>0.23653764309989692</v>
      </c>
    </row>
    <row r="155" spans="1:6" x14ac:dyDescent="0.3">
      <c r="A155" t="s">
        <v>191</v>
      </c>
      <c r="B155">
        <v>2001</v>
      </c>
      <c r="C155" s="4">
        <v>2001.6666666666399</v>
      </c>
      <c r="D155">
        <v>69.8</v>
      </c>
      <c r="E155" s="8">
        <f t="shared" si="9"/>
        <v>-5.5487093979874606E-2</v>
      </c>
      <c r="F155" s="3">
        <f>STANDARDIZE(D155,I$16,J$16)</f>
        <v>-0.70736668395247959</v>
      </c>
    </row>
    <row r="156" spans="1:6" x14ac:dyDescent="0.3">
      <c r="A156" t="s">
        <v>190</v>
      </c>
      <c r="B156">
        <v>2001</v>
      </c>
      <c r="C156" s="4">
        <v>2001.5833333333101</v>
      </c>
      <c r="D156">
        <v>60.8</v>
      </c>
      <c r="E156" s="8">
        <f t="shared" si="9"/>
        <v>-0.15825240151768438</v>
      </c>
      <c r="F156" s="3">
        <f>STANDARDIZE(D156,I$15,J$15)</f>
        <v>-0.55466676778463653</v>
      </c>
    </row>
    <row r="157" spans="1:6" x14ac:dyDescent="0.3">
      <c r="A157" t="s">
        <v>189</v>
      </c>
      <c r="B157">
        <v>2001</v>
      </c>
      <c r="C157" s="4">
        <v>2001.49999999998</v>
      </c>
      <c r="D157">
        <v>77</v>
      </c>
      <c r="E157" s="8">
        <f t="shared" si="9"/>
        <v>2.6725152050373232E-2</v>
      </c>
      <c r="F157" s="3">
        <f>STANDARDIZE(D157,I$14,J$14)</f>
        <v>-0.24998186256842986</v>
      </c>
    </row>
    <row r="158" spans="1:6" x14ac:dyDescent="0.3">
      <c r="A158" t="s">
        <v>188</v>
      </c>
      <c r="B158">
        <v>2001</v>
      </c>
      <c r="C158" s="4">
        <v>2001.4166666666399</v>
      </c>
      <c r="D158">
        <v>37.9</v>
      </c>
      <c r="E158" s="8">
        <f t="shared" si="9"/>
        <v>-0.41973301736388918</v>
      </c>
      <c r="F158" s="3">
        <f>STANDARDIZE(D158,I$13,J$13)</f>
        <v>-0.88891081671222971</v>
      </c>
    </row>
    <row r="159" spans="1:6" x14ac:dyDescent="0.3">
      <c r="A159" t="s">
        <v>187</v>
      </c>
      <c r="B159">
        <v>2001</v>
      </c>
      <c r="C159" s="4">
        <v>2001.3333333333101</v>
      </c>
      <c r="D159">
        <v>31.2</v>
      </c>
      <c r="E159" s="8">
        <f t="shared" si="9"/>
        <v>-0.49623607964203642</v>
      </c>
      <c r="F159" s="3">
        <f>STANDARDIZE(D159,I$12,J$12)</f>
        <v>-0.88856666934141626</v>
      </c>
    </row>
    <row r="160" spans="1:6" x14ac:dyDescent="0.3">
      <c r="A160" t="s">
        <v>186</v>
      </c>
      <c r="B160">
        <v>2001</v>
      </c>
      <c r="C160" s="4">
        <v>2001.24999999997</v>
      </c>
      <c r="D160">
        <v>6.2</v>
      </c>
      <c r="E160" s="8">
        <f t="shared" si="9"/>
        <v>-0.78169526724706351</v>
      </c>
      <c r="F160" s="3">
        <f>STANDARDIZE(D160,I$11,J$11)</f>
        <v>-0.77501785380566857</v>
      </c>
    </row>
    <row r="161" spans="1:6" x14ac:dyDescent="0.3">
      <c r="A161" t="s">
        <v>185</v>
      </c>
      <c r="B161">
        <v>2001</v>
      </c>
      <c r="C161" s="4">
        <v>2001.1666666666399</v>
      </c>
      <c r="D161">
        <v>0</v>
      </c>
      <c r="E161" s="8">
        <f t="shared" si="9"/>
        <v>-0.8524891457731103</v>
      </c>
      <c r="F161" s="3">
        <f>STANDARDIZE(D161,I$10,J$10)</f>
        <v>-0.47170382615107059</v>
      </c>
    </row>
    <row r="162" spans="1:6" x14ac:dyDescent="0.3">
      <c r="A162" t="s">
        <v>184</v>
      </c>
      <c r="B162">
        <v>2001</v>
      </c>
      <c r="C162" s="4">
        <v>2001.0833333333101</v>
      </c>
      <c r="D162">
        <v>0</v>
      </c>
      <c r="E162" s="8">
        <f t="shared" si="9"/>
        <v>-0.8524891457731103</v>
      </c>
      <c r="F162" s="3">
        <f>STANDARDIZE(D162,I$9,J$9)</f>
        <v>-0.20151463750030485</v>
      </c>
    </row>
    <row r="163" spans="1:6" x14ac:dyDescent="0.3">
      <c r="A163" t="s">
        <v>183</v>
      </c>
      <c r="B163">
        <v>2001</v>
      </c>
      <c r="C163" s="4">
        <v>2001</v>
      </c>
      <c r="D163">
        <v>2.6</v>
      </c>
      <c r="E163" s="8">
        <f t="shared" si="9"/>
        <v>-0.82280139026218757</v>
      </c>
      <c r="F163" s="3">
        <f>STANDARDIZE(D163,I$8,J$8)</f>
        <v>-3.6402638824117227E-2</v>
      </c>
    </row>
    <row r="164" spans="1:6" x14ac:dyDescent="0.3">
      <c r="A164" t="s">
        <v>194</v>
      </c>
      <c r="B164">
        <v>2000</v>
      </c>
      <c r="C164" s="4">
        <v>2000.9166666666399</v>
      </c>
      <c r="D164">
        <v>19.8</v>
      </c>
      <c r="E164" s="8">
        <f t="shared" si="9"/>
        <v>-0.62640546918992879</v>
      </c>
      <c r="F164" s="3">
        <f>STANDARDIZE(D164,I$19,J$19)</f>
        <v>-0.31078557163058507</v>
      </c>
    </row>
    <row r="165" spans="1:6" x14ac:dyDescent="0.3">
      <c r="A165" t="s">
        <v>193</v>
      </c>
      <c r="B165">
        <v>2000</v>
      </c>
      <c r="C165" s="4">
        <v>2000.8333333333101</v>
      </c>
      <c r="D165">
        <v>35</v>
      </c>
      <c r="E165" s="8">
        <f t="shared" si="9"/>
        <v>-0.45284628312607234</v>
      </c>
      <c r="F165" s="3">
        <f>STANDARDIZE(D165,I$18,J$18)</f>
        <v>-0.7990329451313295</v>
      </c>
    </row>
    <row r="166" spans="1:6" x14ac:dyDescent="0.3">
      <c r="A166" t="s">
        <v>192</v>
      </c>
      <c r="B166">
        <v>2000</v>
      </c>
      <c r="C166" s="4">
        <v>2000.74999999997</v>
      </c>
      <c r="D166">
        <v>104.2</v>
      </c>
      <c r="E166" s="8">
        <f t="shared" si="9"/>
        <v>0.33730474816464279</v>
      </c>
      <c r="F166" s="3">
        <f>STANDARDIZE(D166,I$17,J$17)</f>
        <v>-0.67079614198926429</v>
      </c>
    </row>
    <row r="167" spans="1:6" x14ac:dyDescent="0.3">
      <c r="A167" t="s">
        <v>191</v>
      </c>
      <c r="B167">
        <v>2000</v>
      </c>
      <c r="C167" s="4">
        <v>2000.6666666666399</v>
      </c>
      <c r="D167">
        <v>99</v>
      </c>
      <c r="E167" s="8">
        <f t="shared" si="9"/>
        <v>0.2779292371427971</v>
      </c>
      <c r="F167" s="3">
        <f>STANDARDIZE(D167,I$16,J$16)</f>
        <v>-0.32020441269826377</v>
      </c>
    </row>
    <row r="168" spans="1:6" x14ac:dyDescent="0.3">
      <c r="A168" t="s">
        <v>190</v>
      </c>
      <c r="B168">
        <v>2000</v>
      </c>
      <c r="C168" s="4">
        <v>2000.5833333333101</v>
      </c>
      <c r="D168">
        <v>66</v>
      </c>
      <c r="E168" s="8">
        <f t="shared" si="9"/>
        <v>-9.8876890495838698E-2</v>
      </c>
      <c r="F168" s="3">
        <f>STANDARDIZE(D168,I$15,J$15)</f>
        <v>-0.4887606437259136</v>
      </c>
    </row>
    <row r="169" spans="1:6" x14ac:dyDescent="0.3">
      <c r="A169" t="s">
        <v>189</v>
      </c>
      <c r="B169">
        <v>2000</v>
      </c>
      <c r="C169" s="4">
        <v>2000.49999999997</v>
      </c>
      <c r="D169">
        <v>242.1</v>
      </c>
      <c r="E169" s="8">
        <f t="shared" si="9"/>
        <v>1.9118976269939723</v>
      </c>
      <c r="F169" s="3">
        <f>STANDARDIZE(D169,I$14,J$14)</f>
        <v>1.7288718516927726</v>
      </c>
    </row>
    <row r="170" spans="1:6" x14ac:dyDescent="0.3">
      <c r="A170" t="s">
        <v>188</v>
      </c>
      <c r="B170">
        <v>2000</v>
      </c>
      <c r="C170" s="4">
        <v>2000.4166666666399</v>
      </c>
      <c r="D170">
        <v>157.4</v>
      </c>
      <c r="E170" s="8">
        <f t="shared" si="9"/>
        <v>0.94476189938814048</v>
      </c>
      <c r="F170" s="3">
        <f>STANDARDIZE(D170,I$13,J$13)</f>
        <v>0.97134985921900197</v>
      </c>
    </row>
    <row r="171" spans="1:6" x14ac:dyDescent="0.3">
      <c r="A171" t="s">
        <v>187</v>
      </c>
      <c r="B171">
        <v>2000</v>
      </c>
      <c r="C171" s="4">
        <v>2000.3333333333101</v>
      </c>
      <c r="D171">
        <v>57.6</v>
      </c>
      <c r="E171" s="8">
        <f t="shared" si="9"/>
        <v>-0.19479117753112779</v>
      </c>
      <c r="F171" s="3">
        <f>STANDARDIZE(D171,I$12,J$12)</f>
        <v>-0.48904460319290272</v>
      </c>
    </row>
    <row r="172" spans="1:6" x14ac:dyDescent="0.3">
      <c r="A172" t="s">
        <v>186</v>
      </c>
      <c r="B172">
        <v>2000</v>
      </c>
      <c r="C172" s="4">
        <v>2000.24999999997</v>
      </c>
      <c r="D172">
        <v>5.7</v>
      </c>
      <c r="E172" s="8">
        <f t="shared" si="9"/>
        <v>-0.78740445099916412</v>
      </c>
      <c r="F172" s="3">
        <f>STANDARDIZE(D172,I$11,J$11)</f>
        <v>-0.79866888013230297</v>
      </c>
    </row>
    <row r="173" spans="1:6" x14ac:dyDescent="0.3">
      <c r="A173" t="s">
        <v>185</v>
      </c>
      <c r="B173">
        <v>2000</v>
      </c>
      <c r="C173" s="4">
        <v>2000.1666666666399</v>
      </c>
      <c r="D173">
        <v>0</v>
      </c>
      <c r="E173" s="8">
        <f t="shared" si="9"/>
        <v>-0.8524891457731103</v>
      </c>
      <c r="F173" s="3">
        <f>STANDARDIZE(D173,I$10,J$10)</f>
        <v>-0.47170382615107059</v>
      </c>
    </row>
    <row r="174" spans="1:6" x14ac:dyDescent="0.3">
      <c r="A174" t="s">
        <v>184</v>
      </c>
      <c r="B174">
        <v>2000</v>
      </c>
      <c r="C174" s="4">
        <v>2000.0833333333101</v>
      </c>
      <c r="D174">
        <v>0</v>
      </c>
      <c r="E174" s="8">
        <f t="shared" si="9"/>
        <v>-0.8524891457731103</v>
      </c>
      <c r="F174" s="3">
        <f>STANDARDIZE(D174,I$9,J$9)</f>
        <v>-0.20151463750030485</v>
      </c>
    </row>
    <row r="175" spans="1:6" x14ac:dyDescent="0.3">
      <c r="A175" t="s">
        <v>183</v>
      </c>
      <c r="B175">
        <v>2000</v>
      </c>
      <c r="C175" s="4">
        <v>2000</v>
      </c>
      <c r="D175">
        <v>1</v>
      </c>
      <c r="E175" s="8">
        <f t="shared" si="9"/>
        <v>-0.84107077826890919</v>
      </c>
      <c r="F175" s="3">
        <f>STANDARDIZE(D175,I$8,J$8)</f>
        <v>-0.17606990614930143</v>
      </c>
    </row>
    <row r="176" spans="1:6" x14ac:dyDescent="0.3">
      <c r="A176" t="s">
        <v>194</v>
      </c>
      <c r="B176">
        <v>1999</v>
      </c>
      <c r="C176" s="4">
        <v>1999.9166666660001</v>
      </c>
      <c r="D176">
        <v>191.7</v>
      </c>
      <c r="E176" s="8">
        <f t="shared" si="9"/>
        <v>1.3364119047822376</v>
      </c>
      <c r="F176" s="3">
        <f>STANDARDIZE(D176,I$19,J$19)</f>
        <v>2.8368968418793634</v>
      </c>
    </row>
    <row r="177" spans="1:6" x14ac:dyDescent="0.3">
      <c r="A177" t="s">
        <v>193</v>
      </c>
      <c r="B177">
        <v>1999</v>
      </c>
      <c r="C177" s="4">
        <v>1999.83333333264</v>
      </c>
      <c r="D177">
        <v>194.3</v>
      </c>
      <c r="E177" s="8">
        <f t="shared" si="9"/>
        <v>1.3660996602931605</v>
      </c>
      <c r="F177" s="3">
        <f>STANDARDIZE(D177,I$18,J$18)</f>
        <v>0.61696259641824014</v>
      </c>
    </row>
    <row r="178" spans="1:6" x14ac:dyDescent="0.3">
      <c r="A178" t="s">
        <v>192</v>
      </c>
      <c r="B178">
        <v>1999</v>
      </c>
      <c r="C178" s="4">
        <v>1999.7499999992799</v>
      </c>
      <c r="D178">
        <v>299.5</v>
      </c>
      <c r="E178" s="8">
        <f t="shared" si="9"/>
        <v>2.5673119217351146</v>
      </c>
      <c r="F178" s="3">
        <f>STANDARDIZE(D178,I$17,J$17)</f>
        <v>0.9113671457599607</v>
      </c>
    </row>
    <row r="179" spans="1:6" x14ac:dyDescent="0.3">
      <c r="A179" t="s">
        <v>191</v>
      </c>
      <c r="B179">
        <v>1999</v>
      </c>
      <c r="C179" s="4">
        <v>1999.66666666592</v>
      </c>
      <c r="D179">
        <v>156.19999999999999</v>
      </c>
      <c r="E179" s="8">
        <f t="shared" si="9"/>
        <v>0.93105985838309901</v>
      </c>
      <c r="F179" s="3">
        <f>STANDARDIZE(D179,I$16,J$16)</f>
        <v>0.4382093515394464</v>
      </c>
    </row>
    <row r="180" spans="1:6" x14ac:dyDescent="0.3">
      <c r="A180" t="s">
        <v>190</v>
      </c>
      <c r="B180">
        <v>1999</v>
      </c>
      <c r="C180" s="4">
        <v>1999.58333333256</v>
      </c>
      <c r="D180">
        <v>267.10000000000002</v>
      </c>
      <c r="E180" s="8">
        <f t="shared" si="9"/>
        <v>2.1973568145989995</v>
      </c>
      <c r="F180" s="3">
        <f>STANDARDIZE(D180,I$15,J$15)</f>
        <v>2.0600319616989275</v>
      </c>
    </row>
    <row r="181" spans="1:6" x14ac:dyDescent="0.3">
      <c r="A181" t="s">
        <v>189</v>
      </c>
      <c r="B181">
        <v>1999</v>
      </c>
      <c r="C181" s="4">
        <v>1999.4999999992001</v>
      </c>
      <c r="D181">
        <v>85.6</v>
      </c>
      <c r="E181" s="8">
        <f t="shared" si="9"/>
        <v>0.1249231125865025</v>
      </c>
      <c r="F181" s="3">
        <f>STANDARDIZE(D181,I$14,J$14)</f>
        <v>-0.14690407975409714</v>
      </c>
    </row>
    <row r="182" spans="1:6" x14ac:dyDescent="0.3">
      <c r="A182" t="s">
        <v>188</v>
      </c>
      <c r="B182">
        <v>1999</v>
      </c>
      <c r="C182" s="4">
        <v>1999.41666666584</v>
      </c>
      <c r="D182">
        <v>98.1</v>
      </c>
      <c r="E182" s="8">
        <f t="shared" si="9"/>
        <v>0.26765270638901606</v>
      </c>
      <c r="F182" s="3">
        <f>STANDARDIZE(D182,I$13,J$13)</f>
        <v>4.8224686978650039E-2</v>
      </c>
    </row>
    <row r="183" spans="1:6" x14ac:dyDescent="0.3">
      <c r="A183" t="s">
        <v>187</v>
      </c>
      <c r="B183">
        <v>1999</v>
      </c>
      <c r="C183" s="4">
        <v>1999.3333333324799</v>
      </c>
      <c r="D183">
        <v>160.1</v>
      </c>
      <c r="E183" s="8">
        <f t="shared" si="9"/>
        <v>0.97559149164948333</v>
      </c>
      <c r="F183" s="3">
        <f>STANDARDIZE(D183,I$12,J$12)</f>
        <v>1.0621300854518942</v>
      </c>
    </row>
    <row r="184" spans="1:6" x14ac:dyDescent="0.3">
      <c r="A184" t="s">
        <v>186</v>
      </c>
      <c r="B184">
        <v>1999</v>
      </c>
      <c r="C184" s="4">
        <v>1999.2499999991201</v>
      </c>
      <c r="D184">
        <v>29.6</v>
      </c>
      <c r="E184" s="8">
        <f t="shared" si="9"/>
        <v>-0.51450546764875815</v>
      </c>
      <c r="F184" s="3">
        <f>STANDARDIZE(D184,I$11,J$11)</f>
        <v>0.33185017828082169</v>
      </c>
    </row>
    <row r="185" spans="1:6" x14ac:dyDescent="0.3">
      <c r="A185" t="s">
        <v>185</v>
      </c>
      <c r="B185">
        <v>1999</v>
      </c>
      <c r="C185" s="4">
        <v>1999.16666666576</v>
      </c>
      <c r="D185">
        <v>1.4</v>
      </c>
      <c r="E185" s="8">
        <f t="shared" si="9"/>
        <v>-0.8365034312672287</v>
      </c>
      <c r="F185" s="3">
        <f>STANDARDIZE(D185,I$10,J$10)</f>
        <v>-0.13076413586903968</v>
      </c>
    </row>
    <row r="186" spans="1:6" x14ac:dyDescent="0.3">
      <c r="A186" t="s">
        <v>184</v>
      </c>
      <c r="B186">
        <v>1999</v>
      </c>
      <c r="C186" s="4">
        <v>1999.0833333323999</v>
      </c>
      <c r="D186">
        <v>1.7</v>
      </c>
      <c r="E186" s="8">
        <f t="shared" si="9"/>
        <v>-0.83307792101596845</v>
      </c>
      <c r="F186" s="3">
        <f>STANDARDIZE(D186,I$9,J$9)</f>
        <v>1.2409059256597719</v>
      </c>
    </row>
    <row r="187" spans="1:6" x14ac:dyDescent="0.3">
      <c r="A187" t="s">
        <v>183</v>
      </c>
      <c r="B187">
        <v>1999</v>
      </c>
      <c r="C187" s="4">
        <v>1998.99999999904</v>
      </c>
      <c r="D187">
        <v>0</v>
      </c>
      <c r="E187" s="8">
        <f t="shared" si="9"/>
        <v>-0.8524891457731103</v>
      </c>
      <c r="F187" s="3">
        <f>STANDARDIZE(D187,I$8,J$8)</f>
        <v>-0.26336194822754155</v>
      </c>
    </row>
    <row r="188" spans="1:6" x14ac:dyDescent="0.3">
      <c r="A188" t="s">
        <v>194</v>
      </c>
      <c r="B188">
        <v>1998</v>
      </c>
      <c r="C188" s="4">
        <v>1998.9166666656799</v>
      </c>
      <c r="E188" s="8"/>
      <c r="F188" s="3"/>
    </row>
    <row r="189" spans="1:6" x14ac:dyDescent="0.3">
      <c r="A189" t="s">
        <v>193</v>
      </c>
      <c r="B189">
        <v>1998</v>
      </c>
      <c r="C189" s="4">
        <v>1998.8333333323201</v>
      </c>
      <c r="E189" s="8"/>
      <c r="F189" s="3"/>
    </row>
    <row r="190" spans="1:6" x14ac:dyDescent="0.3">
      <c r="A190" t="s">
        <v>192</v>
      </c>
      <c r="B190">
        <v>1998</v>
      </c>
      <c r="C190" s="4">
        <v>1998.74999999896</v>
      </c>
      <c r="D190">
        <v>133.30000000000001</v>
      </c>
      <c r="E190" s="8">
        <f t="shared" si="9"/>
        <v>0.66957924253689438</v>
      </c>
      <c r="F190" s="3">
        <f>STANDARDIZE(D190,I$17,J$17)</f>
        <v>-0.43505138175627678</v>
      </c>
    </row>
    <row r="191" spans="1:6" x14ac:dyDescent="0.3">
      <c r="A191" t="s">
        <v>191</v>
      </c>
      <c r="B191">
        <v>1998</v>
      </c>
      <c r="C191" s="4">
        <v>1998.6666666655999</v>
      </c>
      <c r="D191">
        <v>195.6</v>
      </c>
      <c r="E191" s="8">
        <f t="shared" si="9"/>
        <v>1.3809435380486217</v>
      </c>
      <c r="F191" s="3">
        <f>STANDARDIZE(D191,I$16,J$16)</f>
        <v>0.96061323809479238</v>
      </c>
    </row>
    <row r="192" spans="1:6" x14ac:dyDescent="0.3">
      <c r="A192" t="s">
        <v>190</v>
      </c>
      <c r="B192">
        <v>1998</v>
      </c>
      <c r="C192" s="4">
        <v>1998.58333333224</v>
      </c>
      <c r="D192">
        <v>244.8</v>
      </c>
      <c r="E192" s="8">
        <f t="shared" si="9"/>
        <v>1.9427272192553153</v>
      </c>
      <c r="F192" s="3">
        <f>STANDARDIZE(D192,I$15,J$15)</f>
        <v>1.7773960835240195</v>
      </c>
    </row>
    <row r="193" spans="1:6" x14ac:dyDescent="0.3">
      <c r="A193" t="s">
        <v>189</v>
      </c>
      <c r="B193">
        <v>1998</v>
      </c>
      <c r="C193" s="4">
        <v>1998.49999999888</v>
      </c>
      <c r="D193">
        <v>84</v>
      </c>
      <c r="E193" s="8">
        <f t="shared" si="9"/>
        <v>0.10665372457978083</v>
      </c>
      <c r="F193" s="3">
        <f>STANDARDIZE(D193,I$14,J$14)</f>
        <v>-0.1660813416730427</v>
      </c>
    </row>
    <row r="194" spans="1:6" x14ac:dyDescent="0.3">
      <c r="A194" t="s">
        <v>188</v>
      </c>
      <c r="B194">
        <v>1998</v>
      </c>
      <c r="C194" s="4">
        <v>1998.4166666655201</v>
      </c>
      <c r="D194">
        <v>60.9</v>
      </c>
      <c r="E194" s="8">
        <f t="shared" si="9"/>
        <v>-0.15711056476726423</v>
      </c>
      <c r="F194" s="3">
        <f>STANDARDIZE(D194,I$13,J$13)</f>
        <v>-0.53086901297651157</v>
      </c>
    </row>
    <row r="195" spans="1:6" x14ac:dyDescent="0.3">
      <c r="A195" t="s">
        <v>187</v>
      </c>
      <c r="B195">
        <v>1998</v>
      </c>
      <c r="C195" s="4">
        <v>1998.33333333216</v>
      </c>
      <c r="D195">
        <v>119.5</v>
      </c>
      <c r="E195" s="8">
        <f t="shared" si="9"/>
        <v>0.51200577097891931</v>
      </c>
      <c r="F195" s="3">
        <f>STANDARDIZE(D195,I$12,J$12)</f>
        <v>0.44771357463258932</v>
      </c>
    </row>
    <row r="196" spans="1:6" x14ac:dyDescent="0.3">
      <c r="A196" t="s">
        <v>186</v>
      </c>
      <c r="B196">
        <v>1998</v>
      </c>
      <c r="C196" s="4">
        <v>1998.2499999987999</v>
      </c>
      <c r="D196">
        <v>25</v>
      </c>
      <c r="E196" s="8">
        <f t="shared" si="9"/>
        <v>-0.56702995816808321</v>
      </c>
      <c r="F196" s="3">
        <f>STANDARDIZE(D196,I$11,J$11)</f>
        <v>0.1142607360757851</v>
      </c>
    </row>
    <row r="197" spans="1:6" x14ac:dyDescent="0.3">
      <c r="A197" t="s">
        <v>185</v>
      </c>
      <c r="B197">
        <v>1998</v>
      </c>
      <c r="C197" s="4">
        <v>1998.1666666654401</v>
      </c>
      <c r="D197">
        <v>0.8</v>
      </c>
      <c r="E197" s="8">
        <f t="shared" si="9"/>
        <v>-0.84335445176974944</v>
      </c>
      <c r="F197" s="3">
        <f>STANDARDIZE(D197,I$10,J$10)</f>
        <v>-0.27688114598991004</v>
      </c>
    </row>
    <row r="198" spans="1:6" x14ac:dyDescent="0.3">
      <c r="A198" t="s">
        <v>184</v>
      </c>
      <c r="B198">
        <v>1998</v>
      </c>
      <c r="C198" s="4">
        <v>1998.08333333208</v>
      </c>
      <c r="D198">
        <v>0</v>
      </c>
      <c r="E198" s="8">
        <f t="shared" si="9"/>
        <v>-0.8524891457731103</v>
      </c>
      <c r="F198" s="3">
        <f>STANDARDIZE(D198,I$9,J$9)</f>
        <v>-0.20151463750030485</v>
      </c>
    </row>
    <row r="199" spans="1:6" x14ac:dyDescent="0.3">
      <c r="A199" t="s">
        <v>183</v>
      </c>
      <c r="B199">
        <v>1998</v>
      </c>
      <c r="C199" s="4">
        <v>1997.9999999987201</v>
      </c>
      <c r="D199">
        <v>0</v>
      </c>
      <c r="E199" s="8">
        <f t="shared" si="9"/>
        <v>-0.8524891457731103</v>
      </c>
      <c r="F199" s="3">
        <f>STANDARDIZE(D199,I$8,J$8)</f>
        <v>-0.26336194822754155</v>
      </c>
    </row>
    <row r="200" spans="1:6" x14ac:dyDescent="0.3">
      <c r="A200" t="s">
        <v>194</v>
      </c>
      <c r="B200">
        <v>1997</v>
      </c>
      <c r="C200" s="4">
        <v>1997.91666666536</v>
      </c>
      <c r="D200">
        <v>0</v>
      </c>
      <c r="E200" s="8">
        <f t="shared" si="9"/>
        <v>-0.8524891457731103</v>
      </c>
      <c r="F200" s="3">
        <f>STANDARDIZE(D200,I$19,J$19)</f>
        <v>-0.67334584962649535</v>
      </c>
    </row>
    <row r="201" spans="1:6" x14ac:dyDescent="0.3">
      <c r="A201" t="s">
        <v>193</v>
      </c>
      <c r="B201">
        <v>1997</v>
      </c>
      <c r="C201" s="4">
        <v>1997.8333333319999</v>
      </c>
      <c r="D201">
        <v>356.7</v>
      </c>
      <c r="E201" s="8">
        <f t="shared" ref="E201:E264" si="10">STANDARDIZE(D201,F$4,F$5)</f>
        <v>3.2204425429754164</v>
      </c>
      <c r="F201" s="3">
        <f>STANDARDIZE(D201,I$18,J$18)</f>
        <v>2.0605136067613037</v>
      </c>
    </row>
    <row r="202" spans="1:6" x14ac:dyDescent="0.3">
      <c r="A202" t="s">
        <v>192</v>
      </c>
      <c r="B202">
        <v>1997</v>
      </c>
      <c r="C202" s="4">
        <v>1997.7499999986401</v>
      </c>
      <c r="D202">
        <v>167.6</v>
      </c>
      <c r="E202" s="8">
        <f t="shared" si="10"/>
        <v>1.0612292479309915</v>
      </c>
      <c r="F202" s="3">
        <f>STANDARDIZE(D202,I$17,J$17)</f>
        <v>-0.15718041007272127</v>
      </c>
    </row>
    <row r="203" spans="1:6" x14ac:dyDescent="0.3">
      <c r="A203" t="s">
        <v>191</v>
      </c>
      <c r="B203">
        <v>1997</v>
      </c>
      <c r="C203" s="4">
        <v>1997.66666666528</v>
      </c>
      <c r="D203">
        <v>126.2</v>
      </c>
      <c r="E203" s="8">
        <f t="shared" si="10"/>
        <v>0.5885088332570666</v>
      </c>
      <c r="F203" s="3">
        <f>STANDARDIZE(D203,I$16,J$16)</f>
        <v>4.0439894771416712E-2</v>
      </c>
    </row>
    <row r="204" spans="1:6" x14ac:dyDescent="0.3">
      <c r="A204" t="s">
        <v>190</v>
      </c>
      <c r="B204">
        <v>1997</v>
      </c>
      <c r="C204" s="4">
        <v>1997.5833333319199</v>
      </c>
      <c r="D204">
        <v>52.6</v>
      </c>
      <c r="E204" s="8">
        <f t="shared" si="10"/>
        <v>-0.25188301505213323</v>
      </c>
      <c r="F204" s="3">
        <f>STANDARDIZE(D204,I$15,J$15)</f>
        <v>-0.65859565572339174</v>
      </c>
    </row>
    <row r="205" spans="1:6" x14ac:dyDescent="0.3">
      <c r="A205" t="s">
        <v>189</v>
      </c>
      <c r="B205">
        <v>1997</v>
      </c>
      <c r="C205" s="4">
        <v>1997.49999999856</v>
      </c>
      <c r="D205">
        <v>19.899999999999999</v>
      </c>
      <c r="E205" s="8">
        <f t="shared" si="10"/>
        <v>-0.62526363243950867</v>
      </c>
      <c r="F205" s="3">
        <f>STANDARDIZE(D205,I$14,J$14)</f>
        <v>-0.93437039730080229</v>
      </c>
    </row>
    <row r="206" spans="1:6" x14ac:dyDescent="0.3">
      <c r="A206" t="s">
        <v>188</v>
      </c>
      <c r="B206">
        <v>1997</v>
      </c>
      <c r="C206" s="4">
        <v>1997.4166666652</v>
      </c>
      <c r="D206">
        <v>202</v>
      </c>
      <c r="E206" s="8">
        <f t="shared" si="10"/>
        <v>1.4540210900755088</v>
      </c>
      <c r="F206" s="3">
        <f>STANDARDIZE(D206,I$13,J$13)</f>
        <v>1.6656396177673947</v>
      </c>
    </row>
    <row r="207" spans="1:6" x14ac:dyDescent="0.3">
      <c r="A207" t="s">
        <v>187</v>
      </c>
      <c r="B207">
        <v>1997</v>
      </c>
      <c r="C207" s="4">
        <v>1997.3333333318401</v>
      </c>
      <c r="D207">
        <v>21.7</v>
      </c>
      <c r="E207" s="8">
        <f t="shared" si="10"/>
        <v>-0.60471057093194669</v>
      </c>
      <c r="F207" s="3">
        <f>STANDARDIZE(D207,I$12,J$12)</f>
        <v>-1.032334079508495</v>
      </c>
    </row>
    <row r="208" spans="1:6" x14ac:dyDescent="0.3">
      <c r="A208" t="s">
        <v>186</v>
      </c>
      <c r="B208">
        <v>1997</v>
      </c>
      <c r="C208" s="4">
        <v>1997.24999999848</v>
      </c>
      <c r="D208">
        <v>13.7</v>
      </c>
      <c r="E208" s="8">
        <f t="shared" si="10"/>
        <v>-0.69605751096555535</v>
      </c>
      <c r="F208" s="3">
        <f>STANDARDIZE(D208,I$11,J$11)</f>
        <v>-0.42025245890615254</v>
      </c>
    </row>
    <row r="209" spans="1:6" x14ac:dyDescent="0.3">
      <c r="A209" t="s">
        <v>185</v>
      </c>
      <c r="B209">
        <v>1997</v>
      </c>
      <c r="C209" s="4">
        <v>1997.1666666651099</v>
      </c>
      <c r="D209">
        <v>0</v>
      </c>
      <c r="E209" s="8">
        <f t="shared" si="10"/>
        <v>-0.8524891457731103</v>
      </c>
      <c r="F209" s="3">
        <f>STANDARDIZE(D209,I$10,J$10)</f>
        <v>-0.47170382615107059</v>
      </c>
    </row>
    <row r="210" spans="1:6" x14ac:dyDescent="0.3">
      <c r="A210" t="s">
        <v>184</v>
      </c>
      <c r="B210">
        <v>1997</v>
      </c>
      <c r="C210" s="4">
        <v>1997.0833333317501</v>
      </c>
      <c r="D210">
        <v>9.3000000000000007</v>
      </c>
      <c r="E210" s="8">
        <f t="shared" si="10"/>
        <v>-0.74629832798404028</v>
      </c>
      <c r="F210" s="3">
        <f>STANDARDIZE(D210,I$9,J$9)</f>
        <v>7.6893743256695268</v>
      </c>
    </row>
    <row r="211" spans="1:6" x14ac:dyDescent="0.3">
      <c r="A211" t="s">
        <v>183</v>
      </c>
      <c r="B211">
        <v>1997</v>
      </c>
      <c r="C211" s="4">
        <v>1996.99999999839</v>
      </c>
      <c r="D211">
        <v>0</v>
      </c>
      <c r="E211" s="8">
        <f t="shared" si="10"/>
        <v>-0.8524891457731103</v>
      </c>
      <c r="F211" s="3">
        <f>STANDARDIZE(D211,I$8,J$8)</f>
        <v>-0.26336194822754155</v>
      </c>
    </row>
    <row r="212" spans="1:6" x14ac:dyDescent="0.3">
      <c r="A212" t="s">
        <v>194</v>
      </c>
      <c r="B212">
        <v>1996</v>
      </c>
      <c r="C212" s="4">
        <v>1996.9166666650301</v>
      </c>
      <c r="D212">
        <v>0</v>
      </c>
      <c r="E212" s="8">
        <f t="shared" si="10"/>
        <v>-0.8524891457731103</v>
      </c>
      <c r="F212" s="3">
        <f>STANDARDIZE(D212,I$19,J$19)</f>
        <v>-0.67334584962649535</v>
      </c>
    </row>
    <row r="213" spans="1:6" x14ac:dyDescent="0.3">
      <c r="A213" t="s">
        <v>193</v>
      </c>
      <c r="B213">
        <v>1996</v>
      </c>
      <c r="C213" s="4">
        <v>1996.83333333167</v>
      </c>
      <c r="D213">
        <v>119.2</v>
      </c>
      <c r="E213" s="8">
        <f t="shared" si="10"/>
        <v>0.50858026072765905</v>
      </c>
      <c r="F213" s="3">
        <f>STANDARDIZE(D213,I$18,J$18)</f>
        <v>-5.0590857256415787E-2</v>
      </c>
    </row>
    <row r="214" spans="1:6" x14ac:dyDescent="0.3">
      <c r="A214" t="s">
        <v>192</v>
      </c>
      <c r="B214">
        <v>1996</v>
      </c>
      <c r="C214" s="4">
        <v>1996.7499999983099</v>
      </c>
      <c r="D214">
        <v>171.3</v>
      </c>
      <c r="E214" s="8">
        <f t="shared" si="10"/>
        <v>1.1034772076965356</v>
      </c>
      <c r="F214" s="3">
        <f>STANDARDIZE(D214,I$17,J$17)</f>
        <v>-0.12720599038673988</v>
      </c>
    </row>
    <row r="215" spans="1:6" x14ac:dyDescent="0.3">
      <c r="A215" t="s">
        <v>191</v>
      </c>
      <c r="B215">
        <v>1996</v>
      </c>
      <c r="C215" s="4">
        <v>1996.6666666649501</v>
      </c>
      <c r="D215">
        <v>108.9</v>
      </c>
      <c r="E215" s="8">
        <f t="shared" si="10"/>
        <v>0.39097107543438792</v>
      </c>
      <c r="F215" s="3">
        <f>STANDARDIZE(D215,I$16,J$16)</f>
        <v>-0.18894049196481383</v>
      </c>
    </row>
    <row r="216" spans="1:6" x14ac:dyDescent="0.3">
      <c r="A216" t="s">
        <v>190</v>
      </c>
      <c r="B216">
        <v>1996</v>
      </c>
      <c r="C216" s="4">
        <v>1996.58333333159</v>
      </c>
      <c r="D216">
        <v>113.6</v>
      </c>
      <c r="E216" s="8">
        <f t="shared" si="10"/>
        <v>0.44463740270413288</v>
      </c>
      <c r="F216" s="3">
        <f>STANDARDIZE(D216,I$15,J$15)</f>
        <v>0.11453387650393421</v>
      </c>
    </row>
    <row r="217" spans="1:6" x14ac:dyDescent="0.3">
      <c r="A217" t="s">
        <v>189</v>
      </c>
      <c r="B217">
        <v>1996</v>
      </c>
      <c r="C217" s="4">
        <v>1996.4999999982299</v>
      </c>
      <c r="D217">
        <v>115.6</v>
      </c>
      <c r="E217" s="8">
        <f t="shared" si="10"/>
        <v>0.46747413771253504</v>
      </c>
      <c r="F217" s="3">
        <f>STANDARDIZE(D217,I$14,J$14)</f>
        <v>0.21266958122613352</v>
      </c>
    </row>
    <row r="218" spans="1:6" x14ac:dyDescent="0.3">
      <c r="A218" t="s">
        <v>188</v>
      </c>
      <c r="B218">
        <v>1996</v>
      </c>
      <c r="C218" s="4">
        <v>1996.41666666487</v>
      </c>
      <c r="D218">
        <v>78.8</v>
      </c>
      <c r="E218" s="8">
        <f t="shared" si="10"/>
        <v>4.7278213557935156E-2</v>
      </c>
      <c r="F218" s="3">
        <f>STANDARDIZE(D218,I$13,J$13)</f>
        <v>-0.25221908746045257</v>
      </c>
    </row>
    <row r="219" spans="1:6" x14ac:dyDescent="0.3">
      <c r="A219" t="s">
        <v>187</v>
      </c>
      <c r="B219">
        <v>1996</v>
      </c>
      <c r="C219" s="4">
        <v>1996.3333333315099</v>
      </c>
      <c r="D219">
        <v>185.5</v>
      </c>
      <c r="E219" s="8">
        <f t="shared" si="10"/>
        <v>1.2656180262561909</v>
      </c>
      <c r="F219" s="3">
        <f>STANDARDIZE(D219,I$12,J$12)</f>
        <v>1.4465187400038733</v>
      </c>
    </row>
    <row r="220" spans="1:6" x14ac:dyDescent="0.3">
      <c r="A220" t="s">
        <v>186</v>
      </c>
      <c r="B220">
        <v>1996</v>
      </c>
      <c r="C220" s="4">
        <v>1996.2499999981501</v>
      </c>
      <c r="D220">
        <v>6.3</v>
      </c>
      <c r="E220" s="8">
        <f t="shared" si="10"/>
        <v>-0.7805534304966435</v>
      </c>
      <c r="F220" s="3">
        <f>STANDARDIZE(D220,I$11,J$11)</f>
        <v>-0.77028764854034171</v>
      </c>
    </row>
    <row r="221" spans="1:6" x14ac:dyDescent="0.3">
      <c r="A221" t="s">
        <v>185</v>
      </c>
      <c r="B221">
        <v>1996</v>
      </c>
      <c r="C221" s="4">
        <v>1996.16666666479</v>
      </c>
      <c r="D221">
        <v>4.8</v>
      </c>
      <c r="E221" s="8">
        <f t="shared" si="10"/>
        <v>-0.79768098175294511</v>
      </c>
      <c r="F221" s="3">
        <f>STANDARDIZE(D221,I$10,J$10)</f>
        <v>0.69723225481589257</v>
      </c>
    </row>
    <row r="222" spans="1:6" x14ac:dyDescent="0.3">
      <c r="A222" t="s">
        <v>184</v>
      </c>
      <c r="B222">
        <v>1996</v>
      </c>
      <c r="C222" s="4">
        <v>1996.0833333314299</v>
      </c>
      <c r="D222">
        <v>0</v>
      </c>
      <c r="E222" s="8">
        <f t="shared" si="10"/>
        <v>-0.8524891457731103</v>
      </c>
      <c r="F222" s="3">
        <f>STANDARDIZE(D222,I$9,J$9)</f>
        <v>-0.20151463750030485</v>
      </c>
    </row>
    <row r="223" spans="1:6" x14ac:dyDescent="0.3">
      <c r="A223" t="s">
        <v>183</v>
      </c>
      <c r="B223">
        <v>1996</v>
      </c>
      <c r="C223" s="4">
        <v>1995.9999999980701</v>
      </c>
      <c r="D223">
        <v>0</v>
      </c>
      <c r="E223" s="8">
        <f t="shared" si="10"/>
        <v>-0.8524891457731103</v>
      </c>
      <c r="F223" s="3">
        <f>STANDARDIZE(D223,I$8,J$8)</f>
        <v>-0.26336194822754155</v>
      </c>
    </row>
    <row r="224" spans="1:6" x14ac:dyDescent="0.3">
      <c r="A224" t="s">
        <v>194</v>
      </c>
      <c r="B224">
        <v>1995</v>
      </c>
      <c r="C224" s="4">
        <v>1995.91666666471</v>
      </c>
      <c r="D224">
        <v>1.4</v>
      </c>
      <c r="E224" s="8">
        <f t="shared" si="10"/>
        <v>-0.8365034312672287</v>
      </c>
      <c r="F224" s="3">
        <f>STANDARDIZE(D224,I$19,J$19)</f>
        <v>-0.64771027441466333</v>
      </c>
    </row>
    <row r="225" spans="1:6" x14ac:dyDescent="0.3">
      <c r="A225" t="s">
        <v>193</v>
      </c>
      <c r="B225">
        <v>1995</v>
      </c>
      <c r="C225" s="4">
        <v>1995.8333333313501</v>
      </c>
      <c r="D225">
        <v>80.099999999999994</v>
      </c>
      <c r="E225" s="8">
        <f t="shared" si="10"/>
        <v>6.2122091313396528E-2</v>
      </c>
      <c r="F225" s="3">
        <f>STANDARDIZE(D225,I$18,J$18)</f>
        <v>-0.39814531849049101</v>
      </c>
    </row>
    <row r="226" spans="1:6" x14ac:dyDescent="0.3">
      <c r="A226" t="s">
        <v>192</v>
      </c>
      <c r="B226">
        <v>1995</v>
      </c>
      <c r="C226" s="4">
        <v>1995.74999999799</v>
      </c>
      <c r="D226">
        <v>260.5</v>
      </c>
      <c r="E226" s="8">
        <f t="shared" si="10"/>
        <v>2.1219955890712723</v>
      </c>
      <c r="F226" s="3">
        <f>STANDARDIZE(D226,I$17,J$17)</f>
        <v>0.5954205598806992</v>
      </c>
    </row>
    <row r="227" spans="1:6" x14ac:dyDescent="0.3">
      <c r="A227" t="s">
        <v>191</v>
      </c>
      <c r="B227">
        <v>1995</v>
      </c>
      <c r="C227" s="4">
        <v>1995.6666666646299</v>
      </c>
      <c r="D227">
        <v>44.3</v>
      </c>
      <c r="E227" s="8">
        <f t="shared" si="10"/>
        <v>-0.34665546533700226</v>
      </c>
      <c r="F227" s="3">
        <f>STANDARDIZE(D227,I$16,J$16)</f>
        <v>-1.045470722205305</v>
      </c>
    </row>
    <row r="228" spans="1:6" x14ac:dyDescent="0.3">
      <c r="A228" t="s">
        <v>190</v>
      </c>
      <c r="B228">
        <v>1995</v>
      </c>
      <c r="C228" s="4">
        <v>1995.5833333312701</v>
      </c>
      <c r="D228">
        <v>250.5</v>
      </c>
      <c r="E228" s="8">
        <f t="shared" si="10"/>
        <v>2.0078119140292614</v>
      </c>
      <c r="F228" s="3">
        <f>STANDARDIZE(D228,I$15,J$15)</f>
        <v>1.8496393348960809</v>
      </c>
    </row>
    <row r="229" spans="1:6" x14ac:dyDescent="0.3">
      <c r="A229" t="s">
        <v>189</v>
      </c>
      <c r="B229">
        <v>1995</v>
      </c>
      <c r="C229" s="4">
        <v>1995.49999999791</v>
      </c>
      <c r="D229">
        <v>383</v>
      </c>
      <c r="E229" s="8">
        <f t="shared" si="10"/>
        <v>3.520745608335905</v>
      </c>
      <c r="F229" s="3">
        <f>STANDARDIZE(D229,I$14,J$14)</f>
        <v>3.4176694794299229</v>
      </c>
    </row>
    <row r="230" spans="1:6" x14ac:dyDescent="0.3">
      <c r="A230" t="s">
        <v>188</v>
      </c>
      <c r="B230">
        <v>1995</v>
      </c>
      <c r="C230" s="4">
        <v>1995.4166666645499</v>
      </c>
      <c r="D230">
        <v>74.400000000000006</v>
      </c>
      <c r="E230" s="8">
        <f t="shared" si="10"/>
        <v>-2.9626034605495215E-3</v>
      </c>
      <c r="F230" s="3">
        <f>STANDARDIZE(D230,I$13,J$13)</f>
        <v>-0.32071404121858987</v>
      </c>
    </row>
    <row r="231" spans="1:6" x14ac:dyDescent="0.3">
      <c r="A231" t="s">
        <v>187</v>
      </c>
      <c r="B231">
        <v>1995</v>
      </c>
      <c r="C231" s="4">
        <v>1995.33333333119</v>
      </c>
      <c r="D231">
        <v>123.8</v>
      </c>
      <c r="E231" s="8">
        <f t="shared" si="10"/>
        <v>0.561104751246984</v>
      </c>
      <c r="F231" s="3">
        <f>STANDARDIZE(D231,I$12,J$12)</f>
        <v>0.51278724449768809</v>
      </c>
    </row>
    <row r="232" spans="1:6" x14ac:dyDescent="0.3">
      <c r="A232" t="s">
        <v>186</v>
      </c>
      <c r="B232">
        <v>1995</v>
      </c>
      <c r="C232" s="4">
        <v>1995.2499999978299</v>
      </c>
      <c r="D232">
        <v>57.1</v>
      </c>
      <c r="E232" s="8">
        <f t="shared" si="10"/>
        <v>-0.20050036128322835</v>
      </c>
      <c r="F232" s="3">
        <f>STANDARDIZE(D232,I$11,J$11)</f>
        <v>1.6326566262457143</v>
      </c>
    </row>
    <row r="233" spans="1:6" x14ac:dyDescent="0.3">
      <c r="A233" t="s">
        <v>185</v>
      </c>
      <c r="B233">
        <v>1995</v>
      </c>
      <c r="C233" s="4">
        <v>1995.1666666644701</v>
      </c>
      <c r="D233">
        <v>0</v>
      </c>
      <c r="E233" s="8">
        <f t="shared" si="10"/>
        <v>-0.8524891457731103</v>
      </c>
      <c r="F233" s="3">
        <f>STANDARDIZE(D233,I$10,J$10)</f>
        <v>-0.47170382615107059</v>
      </c>
    </row>
    <row r="234" spans="1:6" x14ac:dyDescent="0.3">
      <c r="A234" t="s">
        <v>184</v>
      </c>
      <c r="B234">
        <v>1995</v>
      </c>
      <c r="C234" s="4">
        <v>1995.08333333111</v>
      </c>
      <c r="D234">
        <v>0</v>
      </c>
      <c r="E234" s="8">
        <f t="shared" si="10"/>
        <v>-0.8524891457731103</v>
      </c>
      <c r="F234" s="3">
        <f>STANDARDIZE(D234,I$9,J$9)</f>
        <v>-0.20151463750030485</v>
      </c>
    </row>
    <row r="235" spans="1:6" x14ac:dyDescent="0.3">
      <c r="A235" t="s">
        <v>183</v>
      </c>
      <c r="B235">
        <v>1995</v>
      </c>
      <c r="C235" s="4">
        <v>1994.9999999977499</v>
      </c>
      <c r="D235">
        <v>0</v>
      </c>
      <c r="E235" s="8">
        <f t="shared" si="10"/>
        <v>-0.8524891457731103</v>
      </c>
      <c r="F235" s="3">
        <f>STANDARDIZE(D235,I$8,J$8)</f>
        <v>-0.26336194822754155</v>
      </c>
    </row>
    <row r="236" spans="1:6" x14ac:dyDescent="0.3">
      <c r="A236" t="s">
        <v>194</v>
      </c>
      <c r="B236">
        <v>1994</v>
      </c>
      <c r="C236" s="4">
        <v>1994.91666666439</v>
      </c>
      <c r="D236">
        <v>2.2999999999999998</v>
      </c>
      <c r="E236" s="8">
        <f t="shared" si="10"/>
        <v>-0.82622690051344783</v>
      </c>
      <c r="F236" s="3">
        <f>STANDARDIZE(D236,I$19,J$19)</f>
        <v>-0.63123026177848562</v>
      </c>
    </row>
    <row r="237" spans="1:6" x14ac:dyDescent="0.3">
      <c r="A237" t="s">
        <v>193</v>
      </c>
      <c r="B237">
        <v>1994</v>
      </c>
      <c r="C237" s="4">
        <v>1994.83333333103</v>
      </c>
      <c r="D237">
        <v>225.4</v>
      </c>
      <c r="E237" s="8">
        <f t="shared" si="10"/>
        <v>1.7212108896738143</v>
      </c>
      <c r="F237" s="3">
        <f>STANDARDIZE(D237,I$18,J$18)</f>
        <v>0.89340617044329729</v>
      </c>
    </row>
    <row r="238" spans="1:6" x14ac:dyDescent="0.3">
      <c r="A238" t="s">
        <v>192</v>
      </c>
      <c r="B238">
        <v>1994</v>
      </c>
      <c r="C238" s="4">
        <v>1994.7499999976701</v>
      </c>
      <c r="D238">
        <v>215.1</v>
      </c>
      <c r="E238" s="8">
        <f t="shared" si="10"/>
        <v>1.6036017043805431</v>
      </c>
      <c r="F238" s="3">
        <f>STANDARDIZE(D238,I$17,J$17)</f>
        <v>0.22762632913919983</v>
      </c>
    </row>
    <row r="239" spans="1:6" x14ac:dyDescent="0.3">
      <c r="A239" t="s">
        <v>191</v>
      </c>
      <c r="B239">
        <v>1994</v>
      </c>
      <c r="C239" s="4">
        <v>1994.66666666431</v>
      </c>
      <c r="D239">
        <v>145.69999999999999</v>
      </c>
      <c r="E239" s="8">
        <f t="shared" si="10"/>
        <v>0.81116699958898764</v>
      </c>
      <c r="F239" s="3">
        <f>STANDARDIZE(D239,I$16,J$16)</f>
        <v>0.29899004167063598</v>
      </c>
    </row>
    <row r="240" spans="1:6" x14ac:dyDescent="0.3">
      <c r="A240" t="s">
        <v>190</v>
      </c>
      <c r="B240">
        <v>1994</v>
      </c>
      <c r="C240" s="4">
        <v>1994.5833333309499</v>
      </c>
      <c r="D240">
        <v>48.9</v>
      </c>
      <c r="E240" s="8">
        <f t="shared" si="10"/>
        <v>-0.29413097481767725</v>
      </c>
      <c r="F240" s="3">
        <f>STANDARDIZE(D240,I$15,J$15)</f>
        <v>-0.70549039784209844</v>
      </c>
    </row>
    <row r="241" spans="1:6" x14ac:dyDescent="0.3">
      <c r="A241" t="s">
        <v>189</v>
      </c>
      <c r="B241">
        <v>1994</v>
      </c>
      <c r="C241" s="4">
        <v>1994.4999999975901</v>
      </c>
      <c r="D241">
        <v>54.3</v>
      </c>
      <c r="E241" s="8">
        <f t="shared" si="10"/>
        <v>-0.23247179029499143</v>
      </c>
      <c r="F241" s="3">
        <f>STANDARDIZE(D241,I$14,J$14)</f>
        <v>-0.52205926604347108</v>
      </c>
    </row>
    <row r="242" spans="1:6" x14ac:dyDescent="0.3">
      <c r="A242" t="s">
        <v>188</v>
      </c>
      <c r="B242">
        <v>1994</v>
      </c>
      <c r="C242" s="4">
        <v>1994.41666666423</v>
      </c>
      <c r="D242">
        <v>8</v>
      </c>
      <c r="E242" s="8">
        <f t="shared" si="10"/>
        <v>-0.76114220573950164</v>
      </c>
      <c r="F242" s="3">
        <f>STANDARDIZE(D242,I$13,J$13)</f>
        <v>-1.3543651615686634</v>
      </c>
    </row>
    <row r="243" spans="1:6" x14ac:dyDescent="0.3">
      <c r="A243" t="s">
        <v>187</v>
      </c>
      <c r="B243">
        <v>1994</v>
      </c>
      <c r="C243" s="4">
        <v>1994.3333333308699</v>
      </c>
      <c r="D243">
        <v>102.3</v>
      </c>
      <c r="E243" s="8">
        <f t="shared" si="10"/>
        <v>0.31560984990666063</v>
      </c>
      <c r="F243" s="3">
        <f>STANDARDIZE(D243,I$12,J$12)</f>
        <v>0.18741889517219407</v>
      </c>
    </row>
    <row r="244" spans="1:6" x14ac:dyDescent="0.3">
      <c r="A244" t="s">
        <v>186</v>
      </c>
      <c r="B244">
        <v>1994</v>
      </c>
      <c r="C244" s="4">
        <v>1994.24999999751</v>
      </c>
      <c r="D244">
        <v>8.8000000000000007</v>
      </c>
      <c r="E244" s="8">
        <f t="shared" si="10"/>
        <v>-0.75200751173614078</v>
      </c>
      <c r="F244" s="3">
        <f>STANDARDIZE(D244,I$11,J$11)</f>
        <v>-0.65203251690716957</v>
      </c>
    </row>
    <row r="245" spans="1:6" x14ac:dyDescent="0.3">
      <c r="A245" t="s">
        <v>185</v>
      </c>
      <c r="B245">
        <v>1994</v>
      </c>
      <c r="C245" s="4">
        <v>1994.1666666641499</v>
      </c>
      <c r="D245">
        <v>3.4</v>
      </c>
      <c r="E245" s="8">
        <f t="shared" si="10"/>
        <v>-0.81366669625882648</v>
      </c>
      <c r="F245" s="3">
        <f>STANDARDIZE(D245,I$10,J$10)</f>
        <v>0.35629256453386166</v>
      </c>
    </row>
    <row r="246" spans="1:6" x14ac:dyDescent="0.3">
      <c r="A246" t="s">
        <v>184</v>
      </c>
      <c r="B246">
        <v>1994</v>
      </c>
      <c r="C246" s="4">
        <v>1994.0833333307901</v>
      </c>
      <c r="D246">
        <v>0</v>
      </c>
      <c r="E246" s="8">
        <f t="shared" si="10"/>
        <v>-0.8524891457731103</v>
      </c>
      <c r="F246" s="3">
        <f>STANDARDIZE(D246,I$9,J$9)</f>
        <v>-0.20151463750030485</v>
      </c>
    </row>
    <row r="247" spans="1:6" x14ac:dyDescent="0.3">
      <c r="A247" t="s">
        <v>183</v>
      </c>
      <c r="B247">
        <v>1994</v>
      </c>
      <c r="C247" s="4">
        <v>1993.99999999743</v>
      </c>
      <c r="D247">
        <v>0</v>
      </c>
      <c r="E247" s="8">
        <f t="shared" si="10"/>
        <v>-0.8524891457731103</v>
      </c>
      <c r="F247" s="3">
        <f>STANDARDIZE(D247,I$8,J$8)</f>
        <v>-0.26336194822754155</v>
      </c>
    </row>
    <row r="248" spans="1:6" x14ac:dyDescent="0.3">
      <c r="A248" t="s">
        <v>194</v>
      </c>
      <c r="B248">
        <v>1993</v>
      </c>
      <c r="C248" s="4">
        <v>1993.9166666640699</v>
      </c>
      <c r="D248">
        <v>13.3</v>
      </c>
      <c r="E248" s="8">
        <f t="shared" si="10"/>
        <v>-0.70062485796723584</v>
      </c>
      <c r="F248" s="3">
        <f>STANDARDIZE(D248,I$19,J$19)</f>
        <v>-0.42980788511409096</v>
      </c>
    </row>
    <row r="249" spans="1:6" x14ac:dyDescent="0.3">
      <c r="A249" t="s">
        <v>193</v>
      </c>
      <c r="B249">
        <v>1993</v>
      </c>
      <c r="C249" s="4">
        <v>1993.83333333071</v>
      </c>
      <c r="D249">
        <v>146.5</v>
      </c>
      <c r="E249" s="8">
        <f t="shared" si="10"/>
        <v>0.82030169359234861</v>
      </c>
      <c r="F249" s="3">
        <f>STANDARDIZE(D249,I$18,J$18)</f>
        <v>0.19207504534435788</v>
      </c>
    </row>
    <row r="250" spans="1:6" x14ac:dyDescent="0.3">
      <c r="A250" t="s">
        <v>192</v>
      </c>
      <c r="B250">
        <v>1993</v>
      </c>
      <c r="C250" s="4">
        <v>1993.74999999735</v>
      </c>
      <c r="D250">
        <v>73.900000000000006</v>
      </c>
      <c r="E250" s="8">
        <f t="shared" si="10"/>
        <v>-8.6717872126500645E-3</v>
      </c>
      <c r="F250" s="3">
        <f>STANDARDIZE(D250,I$17,J$17)</f>
        <v>-0.91626233563392123</v>
      </c>
    </row>
    <row r="251" spans="1:6" x14ac:dyDescent="0.3">
      <c r="A251" t="s">
        <v>191</v>
      </c>
      <c r="B251">
        <v>1993</v>
      </c>
      <c r="C251" s="4">
        <v>1993.6666666639901</v>
      </c>
      <c r="D251">
        <v>189.1</v>
      </c>
      <c r="E251" s="8">
        <f t="shared" si="10"/>
        <v>1.3067241492713146</v>
      </c>
      <c r="F251" s="3">
        <f>STANDARDIZE(D251,I$16,J$16)</f>
        <v>0.87442985579505261</v>
      </c>
    </row>
    <row r="252" spans="1:6" x14ac:dyDescent="0.3">
      <c r="A252" t="s">
        <v>190</v>
      </c>
      <c r="B252">
        <v>1993</v>
      </c>
      <c r="C252" s="4">
        <v>1993.58333333063</v>
      </c>
      <c r="D252">
        <v>26.4</v>
      </c>
      <c r="E252" s="8">
        <f t="shared" si="10"/>
        <v>-0.55104424366220162</v>
      </c>
      <c r="F252" s="3">
        <f>STANDARDIZE(D252,I$15,J$15)</f>
        <v>-0.99066112694234176</v>
      </c>
    </row>
    <row r="253" spans="1:6" x14ac:dyDescent="0.3">
      <c r="A253" t="s">
        <v>189</v>
      </c>
      <c r="B253">
        <v>1993</v>
      </c>
      <c r="C253" s="4">
        <v>1993.4999999972699</v>
      </c>
      <c r="D253">
        <v>37.1</v>
      </c>
      <c r="E253" s="8">
        <f t="shared" si="10"/>
        <v>-0.42886771136725005</v>
      </c>
      <c r="F253" s="3">
        <f>STANDARDIZE(D253,I$14,J$14)</f>
        <v>-0.72821483167213663</v>
      </c>
    </row>
    <row r="254" spans="1:6" x14ac:dyDescent="0.3">
      <c r="A254" t="s">
        <v>188</v>
      </c>
      <c r="B254">
        <v>1993</v>
      </c>
      <c r="C254" s="4">
        <v>1993.4166666639101</v>
      </c>
      <c r="D254">
        <v>69.2</v>
      </c>
      <c r="E254" s="8">
        <f t="shared" si="10"/>
        <v>-6.2338114482395193E-2</v>
      </c>
      <c r="F254" s="3">
        <f>STANDARDIZE(D254,I$13,J$13)</f>
        <v>-0.40166262293275229</v>
      </c>
    </row>
    <row r="255" spans="1:6" x14ac:dyDescent="0.3">
      <c r="A255" t="s">
        <v>187</v>
      </c>
      <c r="B255">
        <v>1993</v>
      </c>
      <c r="C255" s="4">
        <v>1993.33333333055</v>
      </c>
      <c r="D255">
        <v>169.2</v>
      </c>
      <c r="E255" s="8">
        <f t="shared" si="10"/>
        <v>1.079498635937713</v>
      </c>
      <c r="F255" s="3">
        <f>STANDARDIZE(D255,I$12,J$12)</f>
        <v>1.1998441309803591</v>
      </c>
    </row>
    <row r="256" spans="1:6" x14ac:dyDescent="0.3">
      <c r="A256" t="s">
        <v>186</v>
      </c>
      <c r="B256">
        <v>1993</v>
      </c>
      <c r="C256" s="4">
        <v>1993.2499999971899</v>
      </c>
      <c r="D256">
        <v>8.8000000000000007</v>
      </c>
      <c r="E256" s="8">
        <f t="shared" si="10"/>
        <v>-0.75200751173614078</v>
      </c>
      <c r="F256" s="3">
        <f>STANDARDIZE(D256,I$11,J$11)</f>
        <v>-0.65203251690716957</v>
      </c>
    </row>
    <row r="257" spans="1:6" x14ac:dyDescent="0.3">
      <c r="A257" t="s">
        <v>185</v>
      </c>
      <c r="B257">
        <v>1993</v>
      </c>
      <c r="C257" s="4">
        <v>1993.16666666383</v>
      </c>
      <c r="D257">
        <v>0</v>
      </c>
      <c r="E257" s="8">
        <f t="shared" si="10"/>
        <v>-0.8524891457731103</v>
      </c>
      <c r="F257" s="3">
        <f>STANDARDIZE(D257,I$10,J$10)</f>
        <v>-0.47170382615107059</v>
      </c>
    </row>
    <row r="258" spans="1:6" x14ac:dyDescent="0.3">
      <c r="A258" t="s">
        <v>184</v>
      </c>
      <c r="B258">
        <v>1993</v>
      </c>
      <c r="C258" s="4">
        <v>1993.0833333304699</v>
      </c>
      <c r="D258">
        <v>0</v>
      </c>
      <c r="E258" s="8">
        <f t="shared" si="10"/>
        <v>-0.8524891457731103</v>
      </c>
      <c r="F258" s="3">
        <f>STANDARDIZE(D258,I$9,J$9)</f>
        <v>-0.20151463750030485</v>
      </c>
    </row>
    <row r="259" spans="1:6" x14ac:dyDescent="0.3">
      <c r="A259" t="s">
        <v>183</v>
      </c>
      <c r="B259">
        <v>1993</v>
      </c>
      <c r="C259" s="4">
        <v>1992.9999999971101</v>
      </c>
      <c r="D259">
        <v>17.3</v>
      </c>
      <c r="E259" s="8">
        <f t="shared" si="10"/>
        <v>-0.65495138795043151</v>
      </c>
      <c r="F259" s="3">
        <f>STANDARDIZE(D259,I$8,J$8)</f>
        <v>1.2467903797260127</v>
      </c>
    </row>
    <row r="260" spans="1:6" x14ac:dyDescent="0.3">
      <c r="A260" t="s">
        <v>194</v>
      </c>
      <c r="B260">
        <v>1992</v>
      </c>
      <c r="C260" s="4">
        <v>1992.91666666375</v>
      </c>
      <c r="D260">
        <v>5.6</v>
      </c>
      <c r="E260" s="8">
        <f t="shared" si="10"/>
        <v>-0.78854628774958424</v>
      </c>
      <c r="F260" s="3">
        <f>STANDARDIZE(D260,I$19,J$19)</f>
        <v>-0.57080354877916717</v>
      </c>
    </row>
    <row r="261" spans="1:6" x14ac:dyDescent="0.3">
      <c r="A261" t="s">
        <v>193</v>
      </c>
      <c r="B261">
        <v>1992</v>
      </c>
      <c r="C261" s="4">
        <v>1992.8333333303899</v>
      </c>
      <c r="D261">
        <v>28.1</v>
      </c>
      <c r="E261" s="8">
        <f t="shared" si="10"/>
        <v>-0.53163301890505976</v>
      </c>
      <c r="F261" s="3">
        <f>STANDARDIZE(D261,I$18,J$18)</f>
        <v>-0.86036608534910741</v>
      </c>
    </row>
    <row r="262" spans="1:6" x14ac:dyDescent="0.3">
      <c r="A262" t="s">
        <v>192</v>
      </c>
      <c r="B262">
        <v>1992</v>
      </c>
      <c r="C262" s="4">
        <v>1992.74999999703</v>
      </c>
      <c r="D262">
        <v>9.9</v>
      </c>
      <c r="E262" s="8">
        <f t="shared" si="10"/>
        <v>-0.73944730748151943</v>
      </c>
      <c r="F262" s="3">
        <f>STANDARDIZE(D262,I$17,J$17)</f>
        <v>-1.4347387842562991</v>
      </c>
    </row>
    <row r="263" spans="1:6" x14ac:dyDescent="0.3">
      <c r="A263" t="s">
        <v>191</v>
      </c>
      <c r="B263">
        <v>1992</v>
      </c>
      <c r="C263" s="4">
        <v>1992.66666666367</v>
      </c>
      <c r="D263">
        <v>10.1</v>
      </c>
      <c r="E263" s="8">
        <f t="shared" si="10"/>
        <v>-0.73716363398067941</v>
      </c>
      <c r="F263" s="3">
        <f>STANDARDIZE(D263,I$16,J$16)</f>
        <v>-1.4989279029208591</v>
      </c>
    </row>
    <row r="264" spans="1:6" x14ac:dyDescent="0.3">
      <c r="A264" t="s">
        <v>190</v>
      </c>
      <c r="B264">
        <v>1992</v>
      </c>
      <c r="C264" s="4">
        <v>1992.5833333303101</v>
      </c>
      <c r="D264">
        <v>12.8</v>
      </c>
      <c r="E264" s="8">
        <f t="shared" si="10"/>
        <v>-0.70633404171933645</v>
      </c>
      <c r="F264" s="3">
        <f>STANDARDIZE(D264,I$15,J$15)</f>
        <v>-1.1630309898651554</v>
      </c>
    </row>
    <row r="265" spans="1:6" x14ac:dyDescent="0.3">
      <c r="A265" t="s">
        <v>189</v>
      </c>
      <c r="B265">
        <v>1992</v>
      </c>
      <c r="C265" s="4">
        <v>1992.49999999695</v>
      </c>
      <c r="D265">
        <v>11</v>
      </c>
      <c r="E265" s="8">
        <f t="shared" ref="E265:E364" si="11">STANDARDIZE(D265,F$4,F$5)</f>
        <v>-0.72688710322689831</v>
      </c>
      <c r="F265" s="3">
        <f>STANDARDIZE(D265,I$14,J$14)</f>
        <v>-1.0410439167249372</v>
      </c>
    </row>
    <row r="266" spans="1:6" x14ac:dyDescent="0.3">
      <c r="A266" t="s">
        <v>188</v>
      </c>
      <c r="B266">
        <v>1992</v>
      </c>
      <c r="C266" s="4">
        <v>1992.4166666635899</v>
      </c>
      <c r="D266">
        <v>103.3</v>
      </c>
      <c r="E266" s="8">
        <f t="shared" si="11"/>
        <v>0.32702821741086174</v>
      </c>
      <c r="F266" s="3">
        <f>STANDARDIZE(D266,I$13,J$13)</f>
        <v>0.12917326869281245</v>
      </c>
    </row>
    <row r="267" spans="1:6" x14ac:dyDescent="0.3">
      <c r="A267" t="s">
        <v>187</v>
      </c>
      <c r="B267">
        <v>1992</v>
      </c>
      <c r="C267" s="4">
        <v>1992.3333333302301</v>
      </c>
      <c r="D267">
        <v>61.9</v>
      </c>
      <c r="E267" s="8">
        <f t="shared" si="11"/>
        <v>-0.14569219726306315</v>
      </c>
      <c r="F267" s="3">
        <f>STANDARDIZE(D267,I$12,J$12)</f>
        <v>-0.42397093332780394</v>
      </c>
    </row>
    <row r="268" spans="1:6" x14ac:dyDescent="0.3">
      <c r="A268" t="s">
        <v>186</v>
      </c>
      <c r="B268">
        <v>1992</v>
      </c>
      <c r="C268" s="4">
        <v>1992.24999999687</v>
      </c>
      <c r="D268">
        <v>2.8</v>
      </c>
      <c r="E268" s="8">
        <f t="shared" si="11"/>
        <v>-0.82051771676134733</v>
      </c>
      <c r="F268" s="3">
        <f>STANDARDIZE(D268,I$11,J$11)</f>
        <v>-0.93584483282678255</v>
      </c>
    </row>
    <row r="269" spans="1:6" x14ac:dyDescent="0.3">
      <c r="A269" t="s">
        <v>185</v>
      </c>
      <c r="B269">
        <v>1992</v>
      </c>
      <c r="C269" s="4">
        <v>1992.1666666635101</v>
      </c>
      <c r="D269">
        <v>0</v>
      </c>
      <c r="E269" s="8">
        <f t="shared" si="11"/>
        <v>-0.8524891457731103</v>
      </c>
      <c r="F269" s="3">
        <f>STANDARDIZE(D269,I$10,J$10)</f>
        <v>-0.47170382615107059</v>
      </c>
    </row>
    <row r="270" spans="1:6" x14ac:dyDescent="0.3">
      <c r="A270" t="s">
        <v>184</v>
      </c>
      <c r="B270">
        <v>1992</v>
      </c>
      <c r="C270" s="4">
        <v>1992.08333333015</v>
      </c>
      <c r="D270">
        <v>0</v>
      </c>
      <c r="E270" s="8">
        <f t="shared" si="11"/>
        <v>-0.8524891457731103</v>
      </c>
      <c r="F270" s="3">
        <f>STANDARDIZE(D270,I$9,J$9)</f>
        <v>-0.20151463750030485</v>
      </c>
    </row>
    <row r="271" spans="1:6" x14ac:dyDescent="0.3">
      <c r="A271" t="s">
        <v>183</v>
      </c>
      <c r="B271">
        <v>1992</v>
      </c>
      <c r="C271" s="4">
        <v>1991.9999999967899</v>
      </c>
      <c r="E271" s="8"/>
      <c r="F271" s="3"/>
    </row>
    <row r="272" spans="1:6" x14ac:dyDescent="0.3">
      <c r="A272" t="s">
        <v>194</v>
      </c>
      <c r="B272">
        <v>1991</v>
      </c>
      <c r="C272" s="4">
        <v>1991.9166666634301</v>
      </c>
      <c r="E272" s="8"/>
      <c r="F272" s="3"/>
    </row>
    <row r="273" spans="1:6" x14ac:dyDescent="0.3">
      <c r="A273" t="s">
        <v>193</v>
      </c>
      <c r="B273">
        <v>1991</v>
      </c>
      <c r="C273" s="4">
        <v>1991.83333333007</v>
      </c>
      <c r="D273">
        <v>117.1</v>
      </c>
      <c r="E273" s="8">
        <f t="shared" si="11"/>
        <v>0.48460168896883665</v>
      </c>
      <c r="F273" s="3">
        <f>STANDARDIZE(D273,I$18,J$18)</f>
        <v>-6.9257465148783073E-2</v>
      </c>
    </row>
    <row r="274" spans="1:6" x14ac:dyDescent="0.3">
      <c r="A274" t="s">
        <v>192</v>
      </c>
      <c r="B274">
        <v>1991</v>
      </c>
      <c r="C274" s="4">
        <v>1991.7499999967099</v>
      </c>
      <c r="D274">
        <v>43.9</v>
      </c>
      <c r="E274" s="8">
        <f t="shared" si="11"/>
        <v>-0.35122281233868269</v>
      </c>
      <c r="F274" s="3">
        <f>STANDARDIZE(D274,I$17,J$17)</f>
        <v>-1.1592981709256609</v>
      </c>
    </row>
    <row r="275" spans="1:6" x14ac:dyDescent="0.3">
      <c r="A275" t="s">
        <v>191</v>
      </c>
      <c r="B275">
        <v>1991</v>
      </c>
      <c r="C275" s="4">
        <v>1991.66666666335</v>
      </c>
      <c r="D275">
        <v>163.19999999999999</v>
      </c>
      <c r="E275" s="8">
        <f t="shared" si="11"/>
        <v>1.0109884309125066</v>
      </c>
      <c r="F275" s="3">
        <f>STANDARDIZE(D275,I$16,J$16)</f>
        <v>0.53102222478532002</v>
      </c>
    </row>
    <row r="276" spans="1:6" x14ac:dyDescent="0.3">
      <c r="A276" t="s">
        <v>190</v>
      </c>
      <c r="B276">
        <v>1991</v>
      </c>
      <c r="C276" s="4">
        <v>1991.58333332999</v>
      </c>
      <c r="D276">
        <v>18.8</v>
      </c>
      <c r="E276" s="8">
        <f t="shared" si="11"/>
        <v>-0.6378238366941299</v>
      </c>
      <c r="F276" s="3">
        <f>STANDARDIZE(D276,I$15,J$15)</f>
        <v>-1.0869854621050905</v>
      </c>
    </row>
    <row r="277" spans="1:6" x14ac:dyDescent="0.3">
      <c r="A277" t="s">
        <v>189</v>
      </c>
      <c r="B277">
        <v>1991</v>
      </c>
      <c r="C277" s="4">
        <v>1991.4999999966301</v>
      </c>
      <c r="D277">
        <v>16.399999999999999</v>
      </c>
      <c r="E277" s="8">
        <f t="shared" si="11"/>
        <v>-0.6652279187042125</v>
      </c>
      <c r="F277" s="3">
        <f>STANDARDIZE(D277,I$14,J$14)</f>
        <v>-0.97632065774849586</v>
      </c>
    </row>
    <row r="278" spans="1:6" x14ac:dyDescent="0.3">
      <c r="A278" t="s">
        <v>188</v>
      </c>
      <c r="B278">
        <v>1991</v>
      </c>
      <c r="C278" s="4">
        <v>1991.41666666327</v>
      </c>
      <c r="E278" s="8"/>
      <c r="F278" s="3"/>
    </row>
    <row r="279" spans="1:6" x14ac:dyDescent="0.3">
      <c r="A279" t="s">
        <v>187</v>
      </c>
      <c r="B279">
        <v>1991</v>
      </c>
      <c r="C279" s="4">
        <v>1991.3333333299099</v>
      </c>
      <c r="E279" s="8"/>
      <c r="F279" s="3"/>
    </row>
    <row r="280" spans="1:6" x14ac:dyDescent="0.3">
      <c r="A280" t="s">
        <v>186</v>
      </c>
      <c r="B280">
        <v>1991</v>
      </c>
      <c r="C280" s="4">
        <v>1991.2499999965501</v>
      </c>
      <c r="E280" s="8"/>
      <c r="F280" s="3"/>
    </row>
    <row r="281" spans="1:6" x14ac:dyDescent="0.3">
      <c r="A281" t="s">
        <v>185</v>
      </c>
      <c r="B281">
        <v>1991</v>
      </c>
      <c r="C281" s="4">
        <v>1991.16666666319</v>
      </c>
      <c r="E281" s="8"/>
      <c r="F281" s="3"/>
    </row>
    <row r="282" spans="1:6" x14ac:dyDescent="0.3">
      <c r="A282" t="s">
        <v>184</v>
      </c>
      <c r="B282">
        <v>1991</v>
      </c>
      <c r="C282" s="4">
        <v>1991.0833333298301</v>
      </c>
      <c r="E282" s="8"/>
      <c r="F282" s="3"/>
    </row>
    <row r="283" spans="1:6" x14ac:dyDescent="0.3">
      <c r="A283" t="s">
        <v>183</v>
      </c>
      <c r="B283">
        <v>1991</v>
      </c>
      <c r="C283" s="4">
        <v>1990.9999999964698</v>
      </c>
      <c r="E283" s="8"/>
      <c r="F283" s="3"/>
    </row>
    <row r="284" spans="1:6" x14ac:dyDescent="0.3">
      <c r="A284" t="s">
        <v>194</v>
      </c>
      <c r="B284">
        <v>1990</v>
      </c>
      <c r="C284" s="4">
        <v>1990.9166666631099</v>
      </c>
      <c r="E284" s="8"/>
      <c r="F284" s="3"/>
    </row>
    <row r="285" spans="1:6" x14ac:dyDescent="0.3">
      <c r="A285" t="s">
        <v>193</v>
      </c>
      <c r="B285">
        <v>1990</v>
      </c>
      <c r="C285" s="4">
        <v>1990.8333333297498</v>
      </c>
      <c r="E285" s="8"/>
      <c r="F285" s="3"/>
    </row>
    <row r="286" spans="1:6" x14ac:dyDescent="0.3">
      <c r="A286" t="s">
        <v>192</v>
      </c>
      <c r="B286">
        <v>1990</v>
      </c>
      <c r="C286" s="4">
        <v>1990.74999999639</v>
      </c>
      <c r="E286" s="8"/>
      <c r="F286" s="3"/>
    </row>
    <row r="287" spans="1:6" x14ac:dyDescent="0.3">
      <c r="A287" t="s">
        <v>191</v>
      </c>
      <c r="B287">
        <v>1990</v>
      </c>
      <c r="C287" s="4">
        <v>1990.6666666630299</v>
      </c>
      <c r="E287" s="8"/>
      <c r="F287" s="3"/>
    </row>
    <row r="288" spans="1:6" x14ac:dyDescent="0.3">
      <c r="A288" t="s">
        <v>190</v>
      </c>
      <c r="B288">
        <v>1990</v>
      </c>
      <c r="C288" s="4">
        <v>1990.5833333296698</v>
      </c>
      <c r="E288" s="8"/>
      <c r="F288" s="3"/>
    </row>
    <row r="289" spans="1:6" x14ac:dyDescent="0.3">
      <c r="A289" t="s">
        <v>189</v>
      </c>
      <c r="B289">
        <v>1990</v>
      </c>
      <c r="C289" s="4">
        <v>1990.49999999631</v>
      </c>
      <c r="E289" s="8"/>
      <c r="F289" s="3"/>
    </row>
    <row r="290" spans="1:6" x14ac:dyDescent="0.3">
      <c r="A290" t="s">
        <v>188</v>
      </c>
      <c r="B290">
        <v>1990</v>
      </c>
      <c r="C290" s="4">
        <v>1990.4166666629499</v>
      </c>
      <c r="E290" s="8"/>
      <c r="F290" s="3"/>
    </row>
    <row r="291" spans="1:6" x14ac:dyDescent="0.3">
      <c r="A291" t="s">
        <v>187</v>
      </c>
      <c r="B291">
        <v>1990</v>
      </c>
      <c r="C291" s="4">
        <v>1990.3333333295898</v>
      </c>
      <c r="E291" s="8"/>
      <c r="F291" s="3"/>
    </row>
    <row r="292" spans="1:6" x14ac:dyDescent="0.3">
      <c r="A292" t="s">
        <v>186</v>
      </c>
      <c r="B292">
        <v>1990</v>
      </c>
      <c r="C292" s="4">
        <v>1990.2499999962299</v>
      </c>
      <c r="E292" s="8"/>
      <c r="F292" s="3"/>
    </row>
    <row r="293" spans="1:6" x14ac:dyDescent="0.3">
      <c r="A293" t="s">
        <v>185</v>
      </c>
      <c r="B293">
        <v>1990</v>
      </c>
      <c r="C293" s="4">
        <v>1990.1666666628698</v>
      </c>
      <c r="E293" s="8"/>
      <c r="F293" s="3"/>
    </row>
    <row r="294" spans="1:6" x14ac:dyDescent="0.3">
      <c r="A294" t="s">
        <v>184</v>
      </c>
      <c r="B294">
        <v>1990</v>
      </c>
      <c r="C294" s="4">
        <v>1990.08333332951</v>
      </c>
      <c r="E294" s="8"/>
      <c r="F294" s="3"/>
    </row>
    <row r="295" spans="1:6" x14ac:dyDescent="0.3">
      <c r="A295" t="s">
        <v>183</v>
      </c>
      <c r="B295">
        <v>1990</v>
      </c>
      <c r="C295" s="4">
        <v>1989.9999999961499</v>
      </c>
      <c r="E295" s="8"/>
      <c r="F295" s="3"/>
    </row>
    <row r="296" spans="1:6" x14ac:dyDescent="0.3">
      <c r="A296" t="s">
        <v>194</v>
      </c>
      <c r="B296">
        <v>1989</v>
      </c>
      <c r="C296" s="4">
        <v>1989.9166666627898</v>
      </c>
      <c r="E296" s="8"/>
      <c r="F296" s="3"/>
    </row>
    <row r="297" spans="1:6" x14ac:dyDescent="0.3">
      <c r="A297" t="s">
        <v>193</v>
      </c>
      <c r="B297">
        <v>1989</v>
      </c>
      <c r="C297" s="4">
        <v>1989.8333333294299</v>
      </c>
      <c r="E297" s="8"/>
      <c r="F297" s="3"/>
    </row>
    <row r="298" spans="1:6" x14ac:dyDescent="0.3">
      <c r="A298" t="s">
        <v>192</v>
      </c>
      <c r="B298">
        <v>1989</v>
      </c>
      <c r="C298" s="4">
        <v>1989.7499999960698</v>
      </c>
      <c r="E298" s="8"/>
      <c r="F298" s="3"/>
    </row>
    <row r="299" spans="1:6" x14ac:dyDescent="0.3">
      <c r="A299" t="s">
        <v>191</v>
      </c>
      <c r="B299">
        <v>1989</v>
      </c>
      <c r="C299" s="4">
        <v>1989.6666666627098</v>
      </c>
      <c r="E299" s="8"/>
      <c r="F299" s="3"/>
    </row>
    <row r="300" spans="1:6" x14ac:dyDescent="0.3">
      <c r="A300" t="s">
        <v>190</v>
      </c>
      <c r="B300">
        <v>1989</v>
      </c>
      <c r="C300" s="4">
        <v>1989.5833333293499</v>
      </c>
      <c r="E300" s="8"/>
      <c r="F300" s="3"/>
    </row>
    <row r="301" spans="1:6" x14ac:dyDescent="0.3">
      <c r="A301" t="s">
        <v>189</v>
      </c>
      <c r="B301">
        <v>1989</v>
      </c>
      <c r="C301" s="4">
        <v>1989.4999999959898</v>
      </c>
      <c r="E301" s="8"/>
      <c r="F301" s="3"/>
    </row>
    <row r="302" spans="1:6" x14ac:dyDescent="0.3">
      <c r="A302" t="s">
        <v>188</v>
      </c>
      <c r="B302">
        <v>1989</v>
      </c>
      <c r="C302" s="4">
        <v>1989.41666666263</v>
      </c>
      <c r="E302" s="8"/>
      <c r="F302" s="3"/>
    </row>
    <row r="303" spans="1:6" x14ac:dyDescent="0.3">
      <c r="A303" t="s">
        <v>187</v>
      </c>
      <c r="B303">
        <v>1989</v>
      </c>
      <c r="C303" s="4">
        <v>1989.3333333292699</v>
      </c>
      <c r="E303" s="8"/>
      <c r="F303" s="3"/>
    </row>
    <row r="304" spans="1:6" x14ac:dyDescent="0.3">
      <c r="A304" t="s">
        <v>186</v>
      </c>
      <c r="B304">
        <v>1989</v>
      </c>
      <c r="C304" s="4">
        <v>1989.2499999959098</v>
      </c>
      <c r="E304" s="8"/>
      <c r="F304" s="3"/>
    </row>
    <row r="305" spans="1:6" x14ac:dyDescent="0.3">
      <c r="A305" t="s">
        <v>185</v>
      </c>
      <c r="B305">
        <v>1989</v>
      </c>
      <c r="C305" s="4">
        <v>1989.1666666625499</v>
      </c>
      <c r="E305" s="8"/>
      <c r="F305" s="3"/>
    </row>
    <row r="306" spans="1:6" x14ac:dyDescent="0.3">
      <c r="A306" t="s">
        <v>184</v>
      </c>
      <c r="B306">
        <v>1989</v>
      </c>
      <c r="C306" s="4">
        <v>1989.0833333291898</v>
      </c>
      <c r="E306" s="8"/>
      <c r="F306" s="3"/>
    </row>
    <row r="307" spans="1:6" x14ac:dyDescent="0.3">
      <c r="A307" t="s">
        <v>183</v>
      </c>
      <c r="B307">
        <v>1989</v>
      </c>
      <c r="C307" s="4">
        <v>1988.9999999958297</v>
      </c>
      <c r="E307" s="8"/>
      <c r="F307" s="3"/>
    </row>
    <row r="308" spans="1:6" x14ac:dyDescent="0.3">
      <c r="A308" t="s">
        <v>194</v>
      </c>
      <c r="B308">
        <v>1988</v>
      </c>
      <c r="C308" s="4">
        <v>1988.9166666624699</v>
      </c>
      <c r="E308" s="8"/>
      <c r="F308" s="3"/>
    </row>
    <row r="309" spans="1:6" x14ac:dyDescent="0.3">
      <c r="A309" t="s">
        <v>193</v>
      </c>
      <c r="B309">
        <v>1988</v>
      </c>
      <c r="C309" s="4">
        <v>1988.8333333291098</v>
      </c>
      <c r="E309" s="8"/>
      <c r="F309" s="3"/>
    </row>
    <row r="310" spans="1:6" x14ac:dyDescent="0.3">
      <c r="A310" t="s">
        <v>192</v>
      </c>
      <c r="B310">
        <v>1988</v>
      </c>
      <c r="C310" s="4">
        <v>1988.7499999957499</v>
      </c>
      <c r="E310" s="8"/>
      <c r="F310" s="3"/>
    </row>
    <row r="311" spans="1:6" x14ac:dyDescent="0.3">
      <c r="A311" t="s">
        <v>191</v>
      </c>
      <c r="B311">
        <v>1988</v>
      </c>
      <c r="C311" s="4">
        <v>1988.6666666623898</v>
      </c>
      <c r="E311" s="8"/>
      <c r="F311" s="3"/>
    </row>
    <row r="312" spans="1:6" x14ac:dyDescent="0.3">
      <c r="A312" t="s">
        <v>190</v>
      </c>
      <c r="B312">
        <v>1988</v>
      </c>
      <c r="C312" s="4">
        <v>1988.5833333290298</v>
      </c>
      <c r="E312" s="8"/>
      <c r="F312" s="3"/>
    </row>
    <row r="313" spans="1:6" x14ac:dyDescent="0.3">
      <c r="A313" t="s">
        <v>189</v>
      </c>
      <c r="B313">
        <v>1988</v>
      </c>
      <c r="C313" s="4">
        <v>1988.4999999956699</v>
      </c>
      <c r="E313" s="8"/>
      <c r="F313" s="3"/>
    </row>
    <row r="314" spans="1:6" x14ac:dyDescent="0.3">
      <c r="A314" t="s">
        <v>188</v>
      </c>
      <c r="B314">
        <v>1988</v>
      </c>
      <c r="C314" s="4">
        <v>1988.4166666623098</v>
      </c>
      <c r="E314" s="8"/>
      <c r="F314" s="3"/>
    </row>
    <row r="315" spans="1:6" x14ac:dyDescent="0.3">
      <c r="A315" t="s">
        <v>187</v>
      </c>
      <c r="B315">
        <v>1988</v>
      </c>
      <c r="C315" s="4">
        <v>1988.3333333289497</v>
      </c>
      <c r="E315" s="8"/>
      <c r="F315" s="3"/>
    </row>
    <row r="316" spans="1:6" x14ac:dyDescent="0.3">
      <c r="A316" t="s">
        <v>186</v>
      </c>
      <c r="B316">
        <v>1988</v>
      </c>
      <c r="C316" s="4">
        <v>1988.2499999955899</v>
      </c>
      <c r="E316" s="8"/>
      <c r="F316" s="3"/>
    </row>
    <row r="317" spans="1:6" x14ac:dyDescent="0.3">
      <c r="A317" t="s">
        <v>185</v>
      </c>
      <c r="B317">
        <v>1988</v>
      </c>
      <c r="C317" s="4">
        <v>1988.1666666622298</v>
      </c>
      <c r="E317" s="8"/>
      <c r="F317" s="3"/>
    </row>
    <row r="318" spans="1:6" x14ac:dyDescent="0.3">
      <c r="A318" t="s">
        <v>184</v>
      </c>
      <c r="B318">
        <v>1988</v>
      </c>
      <c r="C318" s="4">
        <v>1988.0833333288699</v>
      </c>
      <c r="E318" s="8"/>
      <c r="F318" s="3"/>
    </row>
    <row r="319" spans="1:6" x14ac:dyDescent="0.3">
      <c r="A319" t="s">
        <v>183</v>
      </c>
      <c r="B319">
        <v>1988</v>
      </c>
      <c r="C319" s="4">
        <v>1987.9999999955098</v>
      </c>
      <c r="E319" s="8"/>
      <c r="F319" s="3"/>
    </row>
    <row r="320" spans="1:6" x14ac:dyDescent="0.3">
      <c r="A320" t="s">
        <v>194</v>
      </c>
      <c r="B320">
        <v>1987</v>
      </c>
      <c r="C320" s="4">
        <v>1987.9166666621497</v>
      </c>
      <c r="E320" s="8"/>
      <c r="F320" s="3"/>
    </row>
    <row r="321" spans="1:6" x14ac:dyDescent="0.3">
      <c r="A321" t="s">
        <v>193</v>
      </c>
      <c r="B321">
        <v>1987</v>
      </c>
      <c r="C321" s="4">
        <v>1987.8333333287901</v>
      </c>
      <c r="E321" s="8"/>
      <c r="F321" s="3"/>
    </row>
    <row r="322" spans="1:6" x14ac:dyDescent="0.3">
      <c r="A322" t="s">
        <v>192</v>
      </c>
      <c r="B322">
        <v>1987</v>
      </c>
      <c r="C322" s="4">
        <v>1987.74999999543</v>
      </c>
      <c r="E322" s="8"/>
      <c r="F322" s="3"/>
    </row>
    <row r="323" spans="1:6" x14ac:dyDescent="0.3">
      <c r="A323" t="s">
        <v>191</v>
      </c>
      <c r="B323">
        <v>1987</v>
      </c>
      <c r="C323" s="4">
        <v>1987.6666666620599</v>
      </c>
      <c r="E323" s="8"/>
      <c r="F323" s="3"/>
    </row>
    <row r="324" spans="1:6" x14ac:dyDescent="0.3">
      <c r="A324" t="s">
        <v>190</v>
      </c>
      <c r="B324">
        <v>1987</v>
      </c>
      <c r="C324" s="4">
        <v>1987.5833333287001</v>
      </c>
      <c r="D324" s="6"/>
      <c r="E324" s="8"/>
      <c r="F324" s="3"/>
    </row>
    <row r="325" spans="1:6" x14ac:dyDescent="0.3">
      <c r="A325" t="s">
        <v>189</v>
      </c>
      <c r="B325">
        <v>1987</v>
      </c>
      <c r="C325" s="4">
        <v>1987.49999999534</v>
      </c>
      <c r="D325">
        <v>42</v>
      </c>
      <c r="E325" s="8">
        <f t="shared" si="11"/>
        <v>-0.37291771059666473</v>
      </c>
      <c r="F325" s="3">
        <f>STANDARDIZE(D325,I$14,J$14)</f>
        <v>-0.66948446704536557</v>
      </c>
    </row>
    <row r="326" spans="1:6" x14ac:dyDescent="0.3">
      <c r="A326" t="s">
        <v>188</v>
      </c>
      <c r="B326">
        <v>1987</v>
      </c>
      <c r="C326" s="4">
        <v>1987.4166666619799</v>
      </c>
      <c r="D326">
        <v>81.099999999999994</v>
      </c>
      <c r="E326" s="8">
        <f t="shared" si="11"/>
        <v>7.3540458817597618E-2</v>
      </c>
      <c r="F326" s="3">
        <f>STANDARDIZE(D326,I$13,J$13)</f>
        <v>-0.21641490708688083</v>
      </c>
    </row>
    <row r="327" spans="1:6" x14ac:dyDescent="0.3">
      <c r="A327" t="s">
        <v>187</v>
      </c>
      <c r="B327">
        <v>1987</v>
      </c>
      <c r="C327" s="4">
        <v>1987.33333332862</v>
      </c>
      <c r="D327">
        <v>168.8</v>
      </c>
      <c r="E327" s="8">
        <f t="shared" si="11"/>
        <v>1.074931288936033</v>
      </c>
      <c r="F327" s="3">
        <f>STANDARDIZE(D327,I$12,J$12)</f>
        <v>1.1937907663417455</v>
      </c>
    </row>
    <row r="328" spans="1:6" x14ac:dyDescent="0.3">
      <c r="A328" t="s">
        <v>186</v>
      </c>
      <c r="B328">
        <v>1987</v>
      </c>
      <c r="C328" s="4">
        <v>1987.2499999952599</v>
      </c>
      <c r="D328">
        <v>41.4</v>
      </c>
      <c r="E328" s="8">
        <f t="shared" si="11"/>
        <v>-0.37976873109918541</v>
      </c>
      <c r="F328" s="3">
        <f>STANDARDIZE(D328,I$11,J$11)</f>
        <v>0.89001439958939355</v>
      </c>
    </row>
    <row r="329" spans="1:6" x14ac:dyDescent="0.3">
      <c r="A329" t="s">
        <v>185</v>
      </c>
      <c r="B329">
        <v>1987</v>
      </c>
      <c r="C329" s="4">
        <v>1987.1666666619001</v>
      </c>
      <c r="D329">
        <v>0</v>
      </c>
      <c r="E329" s="8">
        <f t="shared" si="11"/>
        <v>-0.8524891457731103</v>
      </c>
      <c r="F329" s="3">
        <f>STANDARDIZE(D329,I$10,J$10)</f>
        <v>-0.47170382615107059</v>
      </c>
    </row>
    <row r="330" spans="1:6" x14ac:dyDescent="0.3">
      <c r="A330" t="s">
        <v>184</v>
      </c>
      <c r="B330">
        <v>1987</v>
      </c>
      <c r="C330" s="4">
        <v>1987.08333332854</v>
      </c>
      <c r="D330">
        <v>0</v>
      </c>
      <c r="E330" s="8">
        <f t="shared" si="11"/>
        <v>-0.8524891457731103</v>
      </c>
      <c r="F330" s="3">
        <f>STANDARDIZE(D330,I$9,J$9)</f>
        <v>-0.20151463750030485</v>
      </c>
    </row>
    <row r="331" spans="1:6" x14ac:dyDescent="0.3">
      <c r="A331" t="s">
        <v>183</v>
      </c>
      <c r="B331">
        <v>1987</v>
      </c>
      <c r="C331" s="4">
        <v>1986.9999999951799</v>
      </c>
      <c r="D331">
        <v>2.8</v>
      </c>
      <c r="E331" s="8">
        <f t="shared" si="11"/>
        <v>-0.82051771676134733</v>
      </c>
      <c r="F331" s="3">
        <f>STANDARDIZE(D331,I$8,J$8)</f>
        <v>-1.8944230408469227E-2</v>
      </c>
    </row>
    <row r="332" spans="1:6" x14ac:dyDescent="0.3">
      <c r="A332" t="s">
        <v>194</v>
      </c>
      <c r="B332">
        <v>1986</v>
      </c>
      <c r="C332" s="4">
        <v>1986.91666666182</v>
      </c>
      <c r="D332">
        <v>48.8</v>
      </c>
      <c r="E332" s="8">
        <f t="shared" si="11"/>
        <v>-0.29527281156809737</v>
      </c>
      <c r="F332" s="3">
        <f>STANDARDIZE(D332,I$19,J$19)</f>
        <v>0.22023705775736424</v>
      </c>
    </row>
    <row r="333" spans="1:6" x14ac:dyDescent="0.3">
      <c r="A333" t="s">
        <v>193</v>
      </c>
      <c r="B333">
        <v>1986</v>
      </c>
      <c r="C333" s="4">
        <v>1986.83333332846</v>
      </c>
      <c r="D333">
        <v>23.4</v>
      </c>
      <c r="E333" s="8">
        <f t="shared" si="11"/>
        <v>-0.58529934617480495</v>
      </c>
      <c r="F333" s="3">
        <f>STANDARDIZE(D333,I$18,J$18)</f>
        <v>-0.90214373158440564</v>
      </c>
    </row>
    <row r="334" spans="1:6" x14ac:dyDescent="0.3">
      <c r="A334" t="s">
        <v>192</v>
      </c>
      <c r="B334">
        <v>1986</v>
      </c>
      <c r="C334" s="4">
        <v>1986.7499999951001</v>
      </c>
      <c r="D334">
        <v>154.30000000000001</v>
      </c>
      <c r="E334" s="8">
        <f t="shared" si="11"/>
        <v>0.90936496012511725</v>
      </c>
      <c r="F334" s="3">
        <f>STANDARDIZE(D334,I$17,J$17)</f>
        <v>-0.264926297052059</v>
      </c>
    </row>
    <row r="335" spans="1:6" x14ac:dyDescent="0.3">
      <c r="A335" t="s">
        <v>191</v>
      </c>
      <c r="B335">
        <v>1986</v>
      </c>
      <c r="C335" s="4">
        <v>1986.66666666174</v>
      </c>
      <c r="D335">
        <v>17.899999999999999</v>
      </c>
      <c r="E335" s="8">
        <f t="shared" si="11"/>
        <v>-0.64810036744791089</v>
      </c>
      <c r="F335" s="3">
        <f>STANDARDIZE(D335,I$16,J$16)</f>
        <v>-1.3955078441611712</v>
      </c>
    </row>
    <row r="336" spans="1:6" x14ac:dyDescent="0.3">
      <c r="A336" t="s">
        <v>190</v>
      </c>
      <c r="B336">
        <v>1986</v>
      </c>
      <c r="C336" s="4">
        <v>1986.5833333283799</v>
      </c>
      <c r="D336">
        <v>45.8</v>
      </c>
      <c r="E336" s="8">
        <f t="shared" si="11"/>
        <v>-0.32952791408070065</v>
      </c>
      <c r="F336" s="3">
        <f>STANDARDIZE(D336,I$15,J$15)</f>
        <v>-0.74478058718479867</v>
      </c>
    </row>
    <row r="337" spans="1:6" x14ac:dyDescent="0.3">
      <c r="A337" t="s">
        <v>189</v>
      </c>
      <c r="B337">
        <v>1986</v>
      </c>
      <c r="C337" s="4">
        <v>1986.4999999950201</v>
      </c>
      <c r="D337">
        <v>32</v>
      </c>
      <c r="E337" s="8">
        <f t="shared" si="11"/>
        <v>-0.48710138563867555</v>
      </c>
      <c r="F337" s="3">
        <f>STANDARDIZE(D337,I$14,J$14)</f>
        <v>-0.78934235403877584</v>
      </c>
    </row>
    <row r="338" spans="1:6" x14ac:dyDescent="0.3">
      <c r="A338" t="s">
        <v>188</v>
      </c>
      <c r="B338">
        <v>1986</v>
      </c>
      <c r="C338" s="4">
        <v>1986.41666666166</v>
      </c>
      <c r="D338">
        <v>59.2</v>
      </c>
      <c r="E338" s="8">
        <f t="shared" si="11"/>
        <v>-0.17652178952440603</v>
      </c>
      <c r="F338" s="3">
        <f>STANDARDIZE(D338,I$13,J$13)</f>
        <v>-0.55733297238306456</v>
      </c>
    </row>
    <row r="339" spans="1:6" x14ac:dyDescent="0.3">
      <c r="A339" t="s">
        <v>187</v>
      </c>
      <c r="B339">
        <v>1986</v>
      </c>
      <c r="C339" s="4">
        <v>1986.3333333282999</v>
      </c>
      <c r="D339">
        <v>23</v>
      </c>
      <c r="E339" s="8">
        <f t="shared" si="11"/>
        <v>-0.58986669317648532</v>
      </c>
      <c r="F339" s="3">
        <f>STANDARDIZE(D339,I$12,J$12)</f>
        <v>-1.0126606444330002</v>
      </c>
    </row>
    <row r="340" spans="1:6" x14ac:dyDescent="0.3">
      <c r="A340" t="s">
        <v>186</v>
      </c>
      <c r="B340">
        <v>1986</v>
      </c>
      <c r="C340" s="4">
        <v>1986.24999999494</v>
      </c>
      <c r="D340">
        <v>7.1</v>
      </c>
      <c r="E340" s="8">
        <f t="shared" si="11"/>
        <v>-0.77141873649328263</v>
      </c>
      <c r="F340" s="3">
        <f>STANDARDIZE(D340,I$11,J$11)</f>
        <v>-0.73244600641772661</v>
      </c>
    </row>
    <row r="341" spans="1:6" x14ac:dyDescent="0.3">
      <c r="A341" t="s">
        <v>185</v>
      </c>
      <c r="B341">
        <v>1986</v>
      </c>
      <c r="C341" s="4">
        <v>1986.1666666615799</v>
      </c>
      <c r="D341">
        <v>0</v>
      </c>
      <c r="E341" s="8">
        <f t="shared" si="11"/>
        <v>-0.8524891457731103</v>
      </c>
      <c r="F341" s="3">
        <f>STANDARDIZE(D341,I$10,J$10)</f>
        <v>-0.47170382615107059</v>
      </c>
    </row>
    <row r="342" spans="1:6" x14ac:dyDescent="0.3">
      <c r="A342" t="s">
        <v>184</v>
      </c>
      <c r="B342">
        <v>1986</v>
      </c>
      <c r="C342" s="4">
        <v>1986.0833333282201</v>
      </c>
      <c r="D342">
        <v>0</v>
      </c>
      <c r="E342" s="8">
        <f t="shared" si="11"/>
        <v>-0.8524891457731103</v>
      </c>
      <c r="F342" s="3">
        <f>STANDARDIZE(D342,I$9,J$9)</f>
        <v>-0.20151463750030485</v>
      </c>
    </row>
    <row r="343" spans="1:6" x14ac:dyDescent="0.3">
      <c r="A343" t="s">
        <v>183</v>
      </c>
      <c r="B343">
        <v>1986</v>
      </c>
      <c r="C343" s="4">
        <v>1985.99999999486</v>
      </c>
      <c r="D343">
        <v>0</v>
      </c>
      <c r="E343" s="8">
        <f t="shared" si="11"/>
        <v>-0.8524891457731103</v>
      </c>
      <c r="F343" s="3">
        <f>STANDARDIZE(D343,I$8,J$8)</f>
        <v>-0.26336194822754155</v>
      </c>
    </row>
    <row r="344" spans="1:6" x14ac:dyDescent="0.3">
      <c r="A344" t="s">
        <v>194</v>
      </c>
      <c r="B344">
        <v>1985</v>
      </c>
      <c r="C344" s="4">
        <v>1985.9166666614999</v>
      </c>
      <c r="D344">
        <v>171.1</v>
      </c>
      <c r="E344" s="8">
        <f t="shared" si="11"/>
        <v>1.1011935341956953</v>
      </c>
      <c r="F344" s="3">
        <f>STANDARDIZE(D344,I$19,J$19)</f>
        <v>2.4596876637624057</v>
      </c>
    </row>
    <row r="345" spans="1:6" x14ac:dyDescent="0.3">
      <c r="A345" t="s">
        <v>193</v>
      </c>
      <c r="B345">
        <v>1985</v>
      </c>
      <c r="C345" s="4">
        <v>1985.83333332814</v>
      </c>
      <c r="D345">
        <v>16.5</v>
      </c>
      <c r="E345" s="8">
        <f t="shared" si="11"/>
        <v>-0.66408608195379237</v>
      </c>
      <c r="F345" s="3">
        <f>STANDARDIZE(D345,I$18,J$18)</f>
        <v>-0.96347687180218355</v>
      </c>
    </row>
    <row r="346" spans="1:6" x14ac:dyDescent="0.3">
      <c r="A346" t="s">
        <v>192</v>
      </c>
      <c r="B346">
        <v>1985</v>
      </c>
      <c r="C346" s="4">
        <v>1985.74999999478</v>
      </c>
      <c r="D346">
        <v>165.8</v>
      </c>
      <c r="E346" s="8">
        <f t="shared" si="11"/>
        <v>1.0406761864234297</v>
      </c>
      <c r="F346" s="3">
        <f>STANDARDIZE(D346,I$17,J$17)</f>
        <v>-0.17176256019022548</v>
      </c>
    </row>
    <row r="347" spans="1:6" x14ac:dyDescent="0.3">
      <c r="A347" t="s">
        <v>191</v>
      </c>
      <c r="B347">
        <v>1985</v>
      </c>
      <c r="C347" s="4">
        <v>1985.6666666614201</v>
      </c>
      <c r="D347">
        <v>114</v>
      </c>
      <c r="E347" s="8">
        <f t="shared" si="11"/>
        <v>0.44920474970581337</v>
      </c>
      <c r="F347" s="3">
        <f>STANDARDIZE(D347,I$16,J$16)</f>
        <v>-0.12131968431424882</v>
      </c>
    </row>
    <row r="348" spans="1:6" x14ac:dyDescent="0.3">
      <c r="A348" t="s">
        <v>190</v>
      </c>
      <c r="B348">
        <v>1985</v>
      </c>
      <c r="C348" s="4">
        <v>1985.58333332806</v>
      </c>
      <c r="D348">
        <v>166.6</v>
      </c>
      <c r="E348" s="8">
        <f t="shared" si="11"/>
        <v>1.0498108804267903</v>
      </c>
      <c r="F348" s="3">
        <f>STANDARDIZE(D348,I$15,J$15)</f>
        <v>0.78626937171784039</v>
      </c>
    </row>
    <row r="349" spans="1:6" x14ac:dyDescent="0.3">
      <c r="A349" t="s">
        <v>189</v>
      </c>
      <c r="B349">
        <v>1985</v>
      </c>
      <c r="C349" s="4">
        <v>1985.4999999946999</v>
      </c>
      <c r="D349">
        <v>134.80000000000001</v>
      </c>
      <c r="E349" s="8">
        <f t="shared" si="11"/>
        <v>0.6867067937931961</v>
      </c>
      <c r="F349" s="3">
        <f>STANDARDIZE(D349,I$14,J$14)</f>
        <v>0.44279672425348138</v>
      </c>
    </row>
    <row r="350" spans="1:6" x14ac:dyDescent="0.3">
      <c r="A350" t="s">
        <v>188</v>
      </c>
      <c r="B350">
        <v>1985</v>
      </c>
      <c r="C350" s="4">
        <v>1985.4166666613401</v>
      </c>
      <c r="D350">
        <v>60.5</v>
      </c>
      <c r="E350" s="8">
        <f t="shared" si="11"/>
        <v>-0.16167791176894467</v>
      </c>
      <c r="F350" s="3">
        <f>STANDARDIZE(D350,I$13,J$13)</f>
        <v>-0.53709582695452396</v>
      </c>
    </row>
    <row r="351" spans="1:6" x14ac:dyDescent="0.3">
      <c r="A351" t="s">
        <v>187</v>
      </c>
      <c r="B351">
        <v>1985</v>
      </c>
      <c r="C351" s="4">
        <v>1985.33333332798</v>
      </c>
      <c r="D351">
        <v>42.4</v>
      </c>
      <c r="E351" s="8">
        <f t="shared" si="11"/>
        <v>-0.3683503635949843</v>
      </c>
      <c r="F351" s="3">
        <f>STANDARDIZE(D351,I$12,J$12)</f>
        <v>-0.7190724594602288</v>
      </c>
    </row>
    <row r="352" spans="1:6" x14ac:dyDescent="0.3">
      <c r="A352" t="s">
        <v>186</v>
      </c>
      <c r="B352">
        <v>1985</v>
      </c>
      <c r="C352" s="4">
        <v>1985.2499999946201</v>
      </c>
      <c r="D352">
        <v>0</v>
      </c>
      <c r="E352" s="8">
        <f t="shared" si="11"/>
        <v>-0.8524891457731103</v>
      </c>
      <c r="F352" s="3">
        <f>STANDARDIZE(D352,I$11,J$11)</f>
        <v>-1.0682905802559353</v>
      </c>
    </row>
    <row r="353" spans="1:6" x14ac:dyDescent="0.3">
      <c r="A353" t="s">
        <v>185</v>
      </c>
      <c r="B353">
        <v>1985</v>
      </c>
      <c r="C353" s="4">
        <v>1985.16666666126</v>
      </c>
      <c r="D353">
        <v>0</v>
      </c>
      <c r="E353" s="8">
        <f t="shared" si="11"/>
        <v>-0.8524891457731103</v>
      </c>
      <c r="F353" s="3">
        <f>STANDARDIZE(D353,I$10,J$10)</f>
        <v>-0.47170382615107059</v>
      </c>
    </row>
    <row r="354" spans="1:6" x14ac:dyDescent="0.3">
      <c r="A354" t="s">
        <v>184</v>
      </c>
      <c r="B354">
        <v>1985</v>
      </c>
      <c r="C354" s="4">
        <v>1985.0833333278999</v>
      </c>
      <c r="D354">
        <v>0</v>
      </c>
      <c r="E354" s="8">
        <f t="shared" si="11"/>
        <v>-0.8524891457731103</v>
      </c>
      <c r="F354" s="3">
        <f>STANDARDIZE(D354,I$9,J$9)</f>
        <v>-0.20151463750030485</v>
      </c>
    </row>
    <row r="355" spans="1:6" x14ac:dyDescent="0.3">
      <c r="A355" t="s">
        <v>183</v>
      </c>
      <c r="B355">
        <v>1985</v>
      </c>
      <c r="C355" s="4">
        <v>1984.9999999945401</v>
      </c>
      <c r="D355">
        <v>0</v>
      </c>
      <c r="E355" s="8">
        <f t="shared" si="11"/>
        <v>-0.8524891457731103</v>
      </c>
      <c r="F355" s="3">
        <f>STANDARDIZE(D355,I$8,J$8)</f>
        <v>-0.26336194822754155</v>
      </c>
    </row>
    <row r="356" spans="1:6" x14ac:dyDescent="0.3">
      <c r="A356" t="s">
        <v>194</v>
      </c>
      <c r="B356">
        <v>1984</v>
      </c>
      <c r="C356" s="4">
        <v>1984.91666666118</v>
      </c>
      <c r="D356">
        <v>0</v>
      </c>
      <c r="E356" s="8">
        <f t="shared" si="11"/>
        <v>-0.8524891457731103</v>
      </c>
      <c r="F356" s="3">
        <f>STANDARDIZE(D356,I$19,J$19)</f>
        <v>-0.67334584962649535</v>
      </c>
    </row>
    <row r="357" spans="1:6" x14ac:dyDescent="0.3">
      <c r="A357" t="s">
        <v>193</v>
      </c>
      <c r="B357">
        <v>1984</v>
      </c>
      <c r="C357" s="4">
        <v>1984.8333333278199</v>
      </c>
      <c r="D357">
        <v>82.9</v>
      </c>
      <c r="E357" s="8">
        <f t="shared" si="11"/>
        <v>9.4093520325159691E-2</v>
      </c>
      <c r="F357" s="3">
        <f>STANDARDIZE(D357,I$18,J$18)</f>
        <v>-0.37325650796733462</v>
      </c>
    </row>
    <row r="358" spans="1:6" x14ac:dyDescent="0.3">
      <c r="A358" t="s">
        <v>192</v>
      </c>
      <c r="B358">
        <v>1984</v>
      </c>
      <c r="C358" s="4">
        <v>1984.74999999446</v>
      </c>
      <c r="D358">
        <v>149</v>
      </c>
      <c r="E358" s="8">
        <f t="shared" si="11"/>
        <v>0.84884761235285133</v>
      </c>
      <c r="F358" s="3">
        <f>STANDARDIZE(D358,I$17,J$17)</f>
        <v>-0.30786262795359975</v>
      </c>
    </row>
    <row r="359" spans="1:6" x14ac:dyDescent="0.3">
      <c r="A359" t="s">
        <v>191</v>
      </c>
      <c r="B359">
        <v>1984</v>
      </c>
      <c r="C359" s="4">
        <v>1984.6666666611</v>
      </c>
      <c r="D359">
        <v>120.5</v>
      </c>
      <c r="E359" s="8">
        <f t="shared" si="11"/>
        <v>0.52342413848312042</v>
      </c>
      <c r="F359" s="3">
        <f>STANDARDIZE(D359,I$16,J$16)</f>
        <v>-3.5136302014509006E-2</v>
      </c>
    </row>
    <row r="360" spans="1:6" x14ac:dyDescent="0.3">
      <c r="A360" t="s">
        <v>190</v>
      </c>
      <c r="B360">
        <v>1984</v>
      </c>
      <c r="C360" s="4">
        <v>1984.5833333277401</v>
      </c>
      <c r="D360">
        <v>101.3</v>
      </c>
      <c r="E360" s="8">
        <f t="shared" si="11"/>
        <v>0.30419148240245958</v>
      </c>
      <c r="F360" s="3">
        <f>STANDARDIZE(D360,I$15,J$15)</f>
        <v>-4.1359455404198719E-2</v>
      </c>
    </row>
    <row r="361" spans="1:6" x14ac:dyDescent="0.3">
      <c r="A361" t="s">
        <v>189</v>
      </c>
      <c r="B361">
        <v>1984</v>
      </c>
      <c r="C361" s="4">
        <v>1984.49999999438</v>
      </c>
      <c r="D361">
        <v>141.19999999999999</v>
      </c>
      <c r="E361" s="8">
        <f t="shared" si="11"/>
        <v>0.7597843458200827</v>
      </c>
      <c r="F361" s="3">
        <f>STANDARDIZE(D361,I$14,J$14)</f>
        <v>0.51950577192926362</v>
      </c>
    </row>
    <row r="362" spans="1:6" x14ac:dyDescent="0.3">
      <c r="A362" t="s">
        <v>188</v>
      </c>
      <c r="B362">
        <v>1984</v>
      </c>
      <c r="C362" s="4">
        <v>1984.4166666610199</v>
      </c>
      <c r="D362">
        <v>86.3</v>
      </c>
      <c r="E362" s="8">
        <f t="shared" si="11"/>
        <v>0.13291596983944329</v>
      </c>
      <c r="F362" s="3">
        <f>STANDARDIZE(D362,I$13,J$13)</f>
        <v>-0.13546632537271838</v>
      </c>
    </row>
    <row r="363" spans="1:6" x14ac:dyDescent="0.3">
      <c r="A363" t="s">
        <v>187</v>
      </c>
      <c r="B363">
        <v>1984</v>
      </c>
      <c r="C363" s="4">
        <v>1984.3333333276601</v>
      </c>
      <c r="D363">
        <v>84.5</v>
      </c>
      <c r="E363" s="8">
        <f t="shared" si="11"/>
        <v>0.11236290833188137</v>
      </c>
      <c r="F363" s="3">
        <f>STANDARDIZE(D363,I$12,J$12)</f>
        <v>-8.1955831246121866E-2</v>
      </c>
    </row>
    <row r="364" spans="1:6" x14ac:dyDescent="0.3">
      <c r="A364" t="s">
        <v>186</v>
      </c>
      <c r="B364">
        <v>1984</v>
      </c>
      <c r="C364" s="4">
        <v>1984.2499999943</v>
      </c>
      <c r="D364">
        <v>6.4</v>
      </c>
      <c r="E364" s="8">
        <f t="shared" si="11"/>
        <v>-0.77941159374622326</v>
      </c>
      <c r="F364" s="3">
        <f>STANDARDIZE(D364,I$11,J$11)</f>
        <v>-0.76555744327501474</v>
      </c>
    </row>
    <row r="365" spans="1:6" x14ac:dyDescent="0.3">
      <c r="A365" t="s">
        <v>185</v>
      </c>
      <c r="B365">
        <v>1984</v>
      </c>
      <c r="C365" s="4">
        <v>1984.1666666609401</v>
      </c>
      <c r="D365">
        <v>0</v>
      </c>
      <c r="E365" s="8">
        <f t="shared" ref="E365:E464" si="12">STANDARDIZE(D365,F$4,F$5)</f>
        <v>-0.8524891457731103</v>
      </c>
      <c r="F365" s="3">
        <f>STANDARDIZE(D365,I$10,J$10)</f>
        <v>-0.47170382615107059</v>
      </c>
    </row>
    <row r="366" spans="1:6" x14ac:dyDescent="0.3">
      <c r="A366" t="s">
        <v>184</v>
      </c>
      <c r="B366">
        <v>1984</v>
      </c>
      <c r="C366" s="4">
        <v>1984.08333332758</v>
      </c>
      <c r="D366">
        <v>0</v>
      </c>
      <c r="E366" s="8">
        <f t="shared" si="12"/>
        <v>-0.8524891457731103</v>
      </c>
      <c r="F366" s="3">
        <f>STANDARDIZE(D366,I$9,J$9)</f>
        <v>-0.20151463750030485</v>
      </c>
    </row>
    <row r="367" spans="1:6" x14ac:dyDescent="0.3">
      <c r="A367" t="s">
        <v>183</v>
      </c>
      <c r="B367">
        <v>1984</v>
      </c>
      <c r="C367" s="4">
        <v>1983.9999999942199</v>
      </c>
      <c r="D367">
        <v>0</v>
      </c>
      <c r="E367" s="8">
        <f t="shared" si="12"/>
        <v>-0.8524891457731103</v>
      </c>
      <c r="F367" s="3">
        <f>STANDARDIZE(D367,I$8,J$8)</f>
        <v>-0.26336194822754155</v>
      </c>
    </row>
    <row r="368" spans="1:6" x14ac:dyDescent="0.3">
      <c r="A368" t="s">
        <v>194</v>
      </c>
      <c r="B368">
        <v>1983</v>
      </c>
      <c r="C368" s="4">
        <v>1983.9166666608601</v>
      </c>
      <c r="D368">
        <v>4.0999999999999996</v>
      </c>
      <c r="E368" s="8">
        <f t="shared" si="12"/>
        <v>-0.80567383900588585</v>
      </c>
      <c r="F368" s="3">
        <f>STANDARDIZE(D368,I$19,J$19)</f>
        <v>-0.59827023650613009</v>
      </c>
    </row>
    <row r="369" spans="1:6" x14ac:dyDescent="0.3">
      <c r="A369" t="s">
        <v>193</v>
      </c>
      <c r="B369">
        <v>1983</v>
      </c>
      <c r="C369" s="4">
        <v>1983.8333333275</v>
      </c>
      <c r="D369">
        <v>24.5</v>
      </c>
      <c r="E369" s="8">
        <f t="shared" si="12"/>
        <v>-0.57273914192018371</v>
      </c>
      <c r="F369" s="3">
        <f>STANDARDIZE(D369,I$18,J$18)</f>
        <v>-0.89236598459316563</v>
      </c>
    </row>
    <row r="370" spans="1:6" x14ac:dyDescent="0.3">
      <c r="A370" t="s">
        <v>192</v>
      </c>
      <c r="B370">
        <v>1983</v>
      </c>
      <c r="C370" s="4">
        <v>1983.7499999941399</v>
      </c>
      <c r="D370">
        <v>1.6</v>
      </c>
      <c r="E370" s="8">
        <f t="shared" si="12"/>
        <v>-0.83421975776638857</v>
      </c>
      <c r="F370" s="3">
        <f>STANDARDIZE(D370,I$17,J$17)</f>
        <v>-1.5019786986870138</v>
      </c>
    </row>
    <row r="371" spans="1:6" x14ac:dyDescent="0.3">
      <c r="A371" t="s">
        <v>191</v>
      </c>
      <c r="B371">
        <v>1983</v>
      </c>
      <c r="C371" s="4">
        <v>1983.66666666078</v>
      </c>
      <c r="D371">
        <v>141.30000000000001</v>
      </c>
      <c r="E371" s="8">
        <f t="shared" si="12"/>
        <v>0.76092618257050315</v>
      </c>
      <c r="F371" s="3">
        <f>STANDARDIZE(D371,I$16,J$16)</f>
        <v>0.24065052134465853</v>
      </c>
    </row>
    <row r="372" spans="1:6" x14ac:dyDescent="0.3">
      <c r="A372" t="s">
        <v>190</v>
      </c>
      <c r="B372">
        <v>1983</v>
      </c>
      <c r="C372" s="4">
        <v>1983.58333332742</v>
      </c>
      <c r="D372">
        <v>25</v>
      </c>
      <c r="E372" s="8">
        <f t="shared" si="12"/>
        <v>-0.56702995816808321</v>
      </c>
      <c r="F372" s="3">
        <f>STANDARDIZE(D372,I$15,J$15)</f>
        <v>-1.00840508341969</v>
      </c>
    </row>
    <row r="373" spans="1:6" x14ac:dyDescent="0.3">
      <c r="A373" t="s">
        <v>189</v>
      </c>
      <c r="B373">
        <v>1983</v>
      </c>
      <c r="C373" s="4">
        <v>1983.4999999940601</v>
      </c>
      <c r="D373">
        <v>42.1</v>
      </c>
      <c r="E373" s="8">
        <f t="shared" si="12"/>
        <v>-0.37177587384624461</v>
      </c>
      <c r="F373" s="3">
        <f>STANDARDIZE(D373,I$14,J$14)</f>
        <v>-0.66828588817543155</v>
      </c>
    </row>
    <row r="374" spans="1:6" x14ac:dyDescent="0.3">
      <c r="A374" t="s">
        <v>188</v>
      </c>
      <c r="B374">
        <v>1983</v>
      </c>
      <c r="C374" s="4">
        <v>1983.4166666607</v>
      </c>
      <c r="D374">
        <v>54.5</v>
      </c>
      <c r="E374" s="8">
        <f t="shared" si="12"/>
        <v>-0.23018811679415116</v>
      </c>
      <c r="F374" s="3">
        <f>STANDARDIZE(D374,I$13,J$13)</f>
        <v>-0.63049803662471138</v>
      </c>
    </row>
    <row r="375" spans="1:6" x14ac:dyDescent="0.3">
      <c r="A375" t="s">
        <v>187</v>
      </c>
      <c r="B375">
        <v>1983</v>
      </c>
      <c r="C375" s="4">
        <v>1983.3333333273399</v>
      </c>
      <c r="D375">
        <v>23.3</v>
      </c>
      <c r="E375" s="8">
        <f t="shared" si="12"/>
        <v>-0.58644118292522507</v>
      </c>
      <c r="F375" s="3">
        <f>STANDARDIZE(D375,I$12,J$12)</f>
        <v>-1.0081206209540396</v>
      </c>
    </row>
    <row r="376" spans="1:6" x14ac:dyDescent="0.3">
      <c r="A376" t="s">
        <v>186</v>
      </c>
      <c r="B376">
        <v>1983</v>
      </c>
      <c r="C376" s="4">
        <v>1983.2499999939801</v>
      </c>
      <c r="D376">
        <v>17.3</v>
      </c>
      <c r="E376" s="8">
        <f t="shared" si="12"/>
        <v>-0.65495138795043151</v>
      </c>
      <c r="F376" s="3">
        <f>STANDARDIZE(D376,I$11,J$11)</f>
        <v>-0.24996506935438473</v>
      </c>
    </row>
    <row r="377" spans="1:6" x14ac:dyDescent="0.3">
      <c r="A377" t="s">
        <v>185</v>
      </c>
      <c r="B377">
        <v>1983</v>
      </c>
      <c r="C377" s="4">
        <v>1983.16666666062</v>
      </c>
      <c r="D377">
        <v>0</v>
      </c>
      <c r="E377" s="8">
        <f t="shared" si="12"/>
        <v>-0.8524891457731103</v>
      </c>
      <c r="F377" s="3">
        <f>STANDARDIZE(D377,I$10,J$10)</f>
        <v>-0.47170382615107059</v>
      </c>
    </row>
    <row r="378" spans="1:6" x14ac:dyDescent="0.3">
      <c r="A378" t="s">
        <v>184</v>
      </c>
      <c r="B378">
        <v>1983</v>
      </c>
      <c r="C378" s="4">
        <v>1983.0833333272601</v>
      </c>
      <c r="D378">
        <v>0</v>
      </c>
      <c r="E378" s="8">
        <f t="shared" si="12"/>
        <v>-0.8524891457731103</v>
      </c>
      <c r="F378" s="3">
        <f>STANDARDIZE(D378,I$9,J$9)</f>
        <v>-0.20151463750030485</v>
      </c>
    </row>
    <row r="379" spans="1:6" x14ac:dyDescent="0.3">
      <c r="A379" t="s">
        <v>183</v>
      </c>
      <c r="B379">
        <v>1983</v>
      </c>
      <c r="C379" s="4">
        <v>1982.9999999939</v>
      </c>
      <c r="D379">
        <v>0</v>
      </c>
      <c r="E379" s="8">
        <f t="shared" si="12"/>
        <v>-0.8524891457731103</v>
      </c>
      <c r="F379" s="3">
        <f>STANDARDIZE(D379,I$8,J$8)</f>
        <v>-0.26336194822754155</v>
      </c>
    </row>
    <row r="380" spans="1:6" x14ac:dyDescent="0.3">
      <c r="A380" t="s">
        <v>194</v>
      </c>
      <c r="B380">
        <v>1982</v>
      </c>
      <c r="C380" s="4">
        <v>1982.9166666605399</v>
      </c>
      <c r="E380" s="8"/>
      <c r="F380" s="3"/>
    </row>
    <row r="381" spans="1:6" x14ac:dyDescent="0.3">
      <c r="A381" t="s">
        <v>193</v>
      </c>
      <c r="B381">
        <v>1982</v>
      </c>
      <c r="C381" s="4">
        <v>1982.8333333271801</v>
      </c>
      <c r="E381" s="8"/>
      <c r="F381" s="3"/>
    </row>
    <row r="382" spans="1:6" x14ac:dyDescent="0.3">
      <c r="A382" t="s">
        <v>192</v>
      </c>
      <c r="B382">
        <v>1982</v>
      </c>
      <c r="C382" s="4">
        <v>1982.74999999382</v>
      </c>
      <c r="E382" s="8"/>
      <c r="F382" s="3"/>
    </row>
    <row r="383" spans="1:6" x14ac:dyDescent="0.3">
      <c r="A383" t="s">
        <v>191</v>
      </c>
      <c r="B383">
        <v>1982</v>
      </c>
      <c r="C383" s="4">
        <v>1982.6666666604599</v>
      </c>
      <c r="E383" s="8"/>
      <c r="F383" s="3"/>
    </row>
    <row r="384" spans="1:6" x14ac:dyDescent="0.3">
      <c r="A384" t="s">
        <v>190</v>
      </c>
      <c r="B384">
        <v>1982</v>
      </c>
      <c r="C384" s="4">
        <v>1982.5833333271</v>
      </c>
      <c r="E384" s="8"/>
      <c r="F384" s="3"/>
    </row>
    <row r="385" spans="1:6" x14ac:dyDescent="0.3">
      <c r="A385" t="s">
        <v>189</v>
      </c>
      <c r="B385">
        <v>1982</v>
      </c>
      <c r="C385" s="4">
        <v>1982.4999999937399</v>
      </c>
      <c r="E385" s="8"/>
      <c r="F385" s="3"/>
    </row>
    <row r="386" spans="1:6" x14ac:dyDescent="0.3">
      <c r="A386" t="s">
        <v>188</v>
      </c>
      <c r="B386">
        <v>1982</v>
      </c>
      <c r="C386" s="4">
        <v>1982.4166666603801</v>
      </c>
      <c r="E386" s="8"/>
      <c r="F386" s="3"/>
    </row>
    <row r="387" spans="1:6" x14ac:dyDescent="0.3">
      <c r="A387" t="s">
        <v>187</v>
      </c>
      <c r="B387">
        <v>1982</v>
      </c>
      <c r="C387" s="4">
        <v>1982.33333332702</v>
      </c>
      <c r="E387" s="8"/>
      <c r="F387" s="3"/>
    </row>
    <row r="388" spans="1:6" x14ac:dyDescent="0.3">
      <c r="A388" t="s">
        <v>186</v>
      </c>
      <c r="B388">
        <v>1982</v>
      </c>
      <c r="C388" s="4">
        <v>1982.2499999936599</v>
      </c>
      <c r="D388">
        <v>25.3</v>
      </c>
      <c r="E388" s="8">
        <f t="shared" si="12"/>
        <v>-0.56360444791682285</v>
      </c>
      <c r="F388" s="3">
        <f>STANDARDIZE(D388,I$11,J$11)</f>
        <v>0.12845135187176579</v>
      </c>
    </row>
    <row r="389" spans="1:6" x14ac:dyDescent="0.3">
      <c r="A389" t="s">
        <v>185</v>
      </c>
      <c r="B389">
        <v>1982</v>
      </c>
      <c r="C389" s="4">
        <v>1982.1666666603001</v>
      </c>
      <c r="D389">
        <v>0</v>
      </c>
      <c r="E389" s="8">
        <f t="shared" si="12"/>
        <v>-0.8524891457731103</v>
      </c>
      <c r="F389" s="3">
        <f>STANDARDIZE(D389,I$10,J$10)</f>
        <v>-0.47170382615107059</v>
      </c>
    </row>
    <row r="390" spans="1:6" x14ac:dyDescent="0.3">
      <c r="A390" t="s">
        <v>184</v>
      </c>
      <c r="B390">
        <v>1982</v>
      </c>
      <c r="C390" s="4">
        <v>1982.08333332694</v>
      </c>
      <c r="D390">
        <v>0</v>
      </c>
      <c r="E390" s="8">
        <f t="shared" si="12"/>
        <v>-0.8524891457731103</v>
      </c>
      <c r="F390" s="3">
        <f>STANDARDIZE(D390,I$9,J$9)</f>
        <v>-0.20151463750030485</v>
      </c>
    </row>
    <row r="391" spans="1:6" x14ac:dyDescent="0.3">
      <c r="A391" t="s">
        <v>183</v>
      </c>
      <c r="B391">
        <v>1982</v>
      </c>
      <c r="C391" s="4">
        <v>1981.9999999935801</v>
      </c>
      <c r="D391">
        <v>88.6</v>
      </c>
      <c r="E391" s="8">
        <f t="shared" si="12"/>
        <v>0.15917821509910576</v>
      </c>
      <c r="F391" s="3">
        <f>STANDARDIZE(D391,I$8,J$8)</f>
        <v>7.4707129799045333</v>
      </c>
    </row>
    <row r="392" spans="1:6" x14ac:dyDescent="0.3">
      <c r="A392" t="s">
        <v>194</v>
      </c>
      <c r="B392">
        <v>1981</v>
      </c>
      <c r="C392" s="4">
        <v>1981.91666666022</v>
      </c>
      <c r="D392">
        <v>73.2</v>
      </c>
      <c r="E392" s="8">
        <f t="shared" si="12"/>
        <v>-1.6664644465590857E-2</v>
      </c>
      <c r="F392" s="3">
        <f>STANDARDIZE(D392,I$19,J$19)</f>
        <v>0.6670285114492942</v>
      </c>
    </row>
    <row r="393" spans="1:6" x14ac:dyDescent="0.3">
      <c r="A393" t="s">
        <v>193</v>
      </c>
      <c r="B393">
        <v>1981</v>
      </c>
      <c r="C393" s="4">
        <v>1981.8333333268599</v>
      </c>
      <c r="D393">
        <v>42.8</v>
      </c>
      <c r="E393" s="8">
        <f t="shared" si="12"/>
        <v>-0.36378301659330387</v>
      </c>
      <c r="F393" s="3">
        <f>STANDARDIZE(D393,I$18,J$18)</f>
        <v>-0.72969983010253703</v>
      </c>
    </row>
    <row r="394" spans="1:6" x14ac:dyDescent="0.3">
      <c r="A394" t="s">
        <v>192</v>
      </c>
      <c r="B394">
        <v>1981</v>
      </c>
      <c r="C394" s="4">
        <v>1981.7499999935001</v>
      </c>
      <c r="D394">
        <v>321.89999999999998</v>
      </c>
      <c r="E394" s="8">
        <f t="shared" si="12"/>
        <v>2.8230833538292184</v>
      </c>
      <c r="F394" s="3">
        <f>STANDARDIZE(D394,I$17,J$17)</f>
        <v>1.0928339027777927</v>
      </c>
    </row>
    <row r="395" spans="1:6" x14ac:dyDescent="0.3">
      <c r="A395" t="s">
        <v>191</v>
      </c>
      <c r="B395">
        <v>1981</v>
      </c>
      <c r="C395" s="4">
        <v>1981.66666666014</v>
      </c>
      <c r="D395">
        <v>169.6</v>
      </c>
      <c r="E395" s="8">
        <f t="shared" si="12"/>
        <v>1.0840659829393935</v>
      </c>
      <c r="F395" s="3">
        <f>STANDARDIZE(D395,I$16,J$16)</f>
        <v>0.61587970889583321</v>
      </c>
    </row>
    <row r="396" spans="1:6" x14ac:dyDescent="0.3">
      <c r="A396" t="s">
        <v>190</v>
      </c>
      <c r="B396">
        <v>1981</v>
      </c>
      <c r="C396" s="4">
        <v>1981.5833333267799</v>
      </c>
      <c r="D396">
        <v>147</v>
      </c>
      <c r="E396" s="8">
        <f t="shared" si="12"/>
        <v>0.82601087734444911</v>
      </c>
      <c r="F396" s="3">
        <f>STANDARDIZE(D396,I$15,J$15)</f>
        <v>0.53785398103496196</v>
      </c>
    </row>
    <row r="397" spans="1:6" x14ac:dyDescent="0.3">
      <c r="A397" t="s">
        <v>189</v>
      </c>
      <c r="B397">
        <v>1981</v>
      </c>
      <c r="C397" s="4">
        <v>1981.49999999342</v>
      </c>
      <c r="D397">
        <v>149.30000000000001</v>
      </c>
      <c r="E397" s="8">
        <f t="shared" si="12"/>
        <v>0.85227312260411181</v>
      </c>
      <c r="F397" s="3">
        <f>STANDARDIZE(D397,I$14,J$14)</f>
        <v>0.61659066039392618</v>
      </c>
    </row>
    <row r="398" spans="1:6" x14ac:dyDescent="0.3">
      <c r="A398" t="s">
        <v>188</v>
      </c>
      <c r="B398">
        <v>1981</v>
      </c>
      <c r="C398" s="4">
        <v>1981.4166666600599</v>
      </c>
      <c r="D398">
        <v>105.9</v>
      </c>
      <c r="E398" s="8">
        <f t="shared" si="12"/>
        <v>0.35671597292178464</v>
      </c>
      <c r="F398" s="3">
        <f>STANDARDIZE(D398,I$13,J$13)</f>
        <v>0.16964755954989377</v>
      </c>
    </row>
    <row r="399" spans="1:6" x14ac:dyDescent="0.3">
      <c r="A399" t="s">
        <v>187</v>
      </c>
      <c r="B399">
        <v>1981</v>
      </c>
      <c r="C399" s="4">
        <v>1981.3333333267001</v>
      </c>
      <c r="D399">
        <v>97.3</v>
      </c>
      <c r="E399" s="8">
        <f t="shared" si="12"/>
        <v>0.25851801238565519</v>
      </c>
      <c r="F399" s="3">
        <f>STANDARDIZE(D399,I$12,J$12)</f>
        <v>0.11175183718952104</v>
      </c>
    </row>
    <row r="400" spans="1:6" x14ac:dyDescent="0.3">
      <c r="A400" t="s">
        <v>186</v>
      </c>
      <c r="B400">
        <v>1981</v>
      </c>
      <c r="C400" s="4">
        <v>1981.24999999334</v>
      </c>
      <c r="D400">
        <v>46.4</v>
      </c>
      <c r="E400" s="8">
        <f t="shared" si="12"/>
        <v>-0.32267689357817997</v>
      </c>
      <c r="F400" s="3">
        <f>STANDARDIZE(D400,I$11,J$11)</f>
        <v>1.1265246628557377</v>
      </c>
    </row>
    <row r="401" spans="1:6" x14ac:dyDescent="0.3">
      <c r="A401" t="s">
        <v>185</v>
      </c>
      <c r="B401">
        <v>1981</v>
      </c>
      <c r="C401" s="4">
        <v>1981.1666666599799</v>
      </c>
      <c r="D401">
        <v>7</v>
      </c>
      <c r="E401" s="8">
        <f t="shared" si="12"/>
        <v>-0.77256057324370264</v>
      </c>
      <c r="F401" s="3">
        <f>STANDARDIZE(D401,I$10,J$10)</f>
        <v>1.2329946252590842</v>
      </c>
    </row>
    <row r="402" spans="1:6" x14ac:dyDescent="0.3">
      <c r="A402" t="s">
        <v>184</v>
      </c>
      <c r="B402">
        <v>1981</v>
      </c>
      <c r="C402" s="4">
        <v>1981.08333332662</v>
      </c>
      <c r="D402">
        <v>0</v>
      </c>
      <c r="E402" s="8">
        <f t="shared" si="12"/>
        <v>-0.8524891457731103</v>
      </c>
      <c r="F402" s="3">
        <f>STANDARDIZE(D402,I$9,J$9)</f>
        <v>-0.20151463750030485</v>
      </c>
    </row>
    <row r="403" spans="1:6" x14ac:dyDescent="0.3">
      <c r="A403" t="s">
        <v>183</v>
      </c>
      <c r="B403">
        <v>1981</v>
      </c>
      <c r="C403" s="4">
        <v>1980.9999999932597</v>
      </c>
      <c r="D403">
        <v>18.8</v>
      </c>
      <c r="E403" s="8">
        <f t="shared" si="12"/>
        <v>-0.6378238366941299</v>
      </c>
      <c r="F403" s="3">
        <f>STANDARDIZE(D403,I$8,J$8)</f>
        <v>1.3777284428433729</v>
      </c>
    </row>
    <row r="404" spans="1:6" x14ac:dyDescent="0.3">
      <c r="A404" t="s">
        <v>194</v>
      </c>
      <c r="B404">
        <v>1980</v>
      </c>
      <c r="C404" s="4">
        <v>1980.9166666598994</v>
      </c>
      <c r="E404" s="8"/>
      <c r="F404" s="3"/>
    </row>
    <row r="405" spans="1:6" x14ac:dyDescent="0.3">
      <c r="A405" t="s">
        <v>193</v>
      </c>
      <c r="B405">
        <v>1980</v>
      </c>
      <c r="C405" s="4">
        <v>1980.8333333265393</v>
      </c>
      <c r="E405" s="8"/>
      <c r="F405" s="3"/>
    </row>
    <row r="406" spans="1:6" x14ac:dyDescent="0.3">
      <c r="A406" t="s">
        <v>192</v>
      </c>
      <c r="B406">
        <v>1980</v>
      </c>
      <c r="C406" s="4">
        <v>1980.749999993179</v>
      </c>
      <c r="E406" s="8"/>
      <c r="F406" s="3"/>
    </row>
    <row r="407" spans="1:6" x14ac:dyDescent="0.3">
      <c r="A407" t="s">
        <v>191</v>
      </c>
      <c r="B407">
        <v>1980</v>
      </c>
      <c r="C407" s="4">
        <v>1980.6666666598187</v>
      </c>
      <c r="E407" s="8"/>
      <c r="F407" s="3"/>
    </row>
    <row r="408" spans="1:6" x14ac:dyDescent="0.3">
      <c r="A408" t="s">
        <v>190</v>
      </c>
      <c r="B408">
        <v>1980</v>
      </c>
      <c r="C408" s="4">
        <v>1980.5833333264584</v>
      </c>
      <c r="E408" s="8"/>
      <c r="F408" s="3"/>
    </row>
    <row r="409" spans="1:6" x14ac:dyDescent="0.3">
      <c r="A409" t="s">
        <v>189</v>
      </c>
      <c r="B409">
        <v>1980</v>
      </c>
      <c r="C409" s="4">
        <v>1980.4999999930981</v>
      </c>
      <c r="E409" s="8"/>
      <c r="F409" s="3"/>
    </row>
    <row r="410" spans="1:6" x14ac:dyDescent="0.3">
      <c r="A410" t="s">
        <v>188</v>
      </c>
      <c r="B410">
        <v>1980</v>
      </c>
      <c r="C410" s="4">
        <v>1980.416666659738</v>
      </c>
      <c r="E410" s="8"/>
      <c r="F410" s="3"/>
    </row>
    <row r="411" spans="1:6" x14ac:dyDescent="0.3">
      <c r="A411" t="s">
        <v>187</v>
      </c>
      <c r="B411">
        <v>1980</v>
      </c>
      <c r="C411" s="4">
        <v>1980.3333333263777</v>
      </c>
      <c r="E411" s="8"/>
      <c r="F411" s="3"/>
    </row>
    <row r="412" spans="1:6" x14ac:dyDescent="0.3">
      <c r="A412" t="s">
        <v>186</v>
      </c>
      <c r="B412">
        <v>1980</v>
      </c>
      <c r="C412" s="4">
        <v>1980.2499999930174</v>
      </c>
      <c r="E412" s="8"/>
      <c r="F412" s="3"/>
    </row>
    <row r="413" spans="1:6" x14ac:dyDescent="0.3">
      <c r="A413" t="s">
        <v>185</v>
      </c>
      <c r="B413">
        <v>1980</v>
      </c>
      <c r="C413" s="4">
        <v>1980.166666659657</v>
      </c>
      <c r="E413" s="8"/>
      <c r="F413" s="3"/>
    </row>
    <row r="414" spans="1:6" x14ac:dyDescent="0.3">
      <c r="A414" t="s">
        <v>184</v>
      </c>
      <c r="B414">
        <v>1980</v>
      </c>
      <c r="C414" s="4">
        <v>1980.0833333262967</v>
      </c>
      <c r="E414" s="8"/>
      <c r="F414" s="3"/>
    </row>
    <row r="415" spans="1:6" x14ac:dyDescent="0.3">
      <c r="A415" t="s">
        <v>183</v>
      </c>
      <c r="B415">
        <v>1980</v>
      </c>
      <c r="C415" s="4">
        <v>1979.9999999929364</v>
      </c>
      <c r="E415" s="8"/>
      <c r="F415" s="3"/>
    </row>
    <row r="416" spans="1:6" x14ac:dyDescent="0.3">
      <c r="A416" t="s">
        <v>194</v>
      </c>
      <c r="B416">
        <v>1979</v>
      </c>
      <c r="C416" s="4">
        <v>1979.9166666595763</v>
      </c>
      <c r="E416" s="8"/>
      <c r="F416" s="3"/>
    </row>
    <row r="417" spans="1:6" x14ac:dyDescent="0.3">
      <c r="A417" t="s">
        <v>193</v>
      </c>
      <c r="B417">
        <v>1979</v>
      </c>
      <c r="C417" s="4">
        <v>1979.833333326216</v>
      </c>
      <c r="E417" s="8"/>
      <c r="F417" s="3"/>
    </row>
    <row r="418" spans="1:6" x14ac:dyDescent="0.3">
      <c r="A418" t="s">
        <v>192</v>
      </c>
      <c r="B418">
        <v>1979</v>
      </c>
      <c r="C418" s="4">
        <v>1979.7499999928557</v>
      </c>
      <c r="E418" s="8"/>
      <c r="F418" s="3"/>
    </row>
    <row r="419" spans="1:6" x14ac:dyDescent="0.3">
      <c r="A419" t="s">
        <v>191</v>
      </c>
      <c r="B419">
        <v>1979</v>
      </c>
      <c r="C419" s="4">
        <v>1979.6666666594954</v>
      </c>
      <c r="E419" s="8"/>
      <c r="F419" s="3"/>
    </row>
    <row r="420" spans="1:6" x14ac:dyDescent="0.3">
      <c r="A420" t="s">
        <v>190</v>
      </c>
      <c r="B420">
        <v>1979</v>
      </c>
      <c r="C420" s="4">
        <v>1979.5833333261351</v>
      </c>
      <c r="E420" s="8"/>
      <c r="F420" s="3"/>
    </row>
    <row r="421" spans="1:6" x14ac:dyDescent="0.3">
      <c r="A421" t="s">
        <v>189</v>
      </c>
      <c r="B421">
        <v>1979</v>
      </c>
      <c r="C421" s="4">
        <v>1979.499999992775</v>
      </c>
      <c r="E421" s="8"/>
      <c r="F421" s="3"/>
    </row>
    <row r="422" spans="1:6" x14ac:dyDescent="0.3">
      <c r="A422" t="s">
        <v>188</v>
      </c>
      <c r="B422">
        <v>1979</v>
      </c>
      <c r="C422" s="4">
        <v>1979.4166666594147</v>
      </c>
      <c r="E422" s="8"/>
      <c r="F422" s="3"/>
    </row>
    <row r="423" spans="1:6" x14ac:dyDescent="0.3">
      <c r="A423" t="s">
        <v>187</v>
      </c>
      <c r="B423">
        <v>1979</v>
      </c>
      <c r="C423" s="4">
        <v>1979.3333333260543</v>
      </c>
      <c r="E423" s="8"/>
      <c r="F423" s="3"/>
    </row>
    <row r="424" spans="1:6" x14ac:dyDescent="0.3">
      <c r="A424" t="s">
        <v>186</v>
      </c>
      <c r="B424">
        <v>1979</v>
      </c>
      <c r="C424" s="4">
        <v>1979.249999992694</v>
      </c>
      <c r="E424" s="8"/>
      <c r="F424" s="3"/>
    </row>
    <row r="425" spans="1:6" x14ac:dyDescent="0.3">
      <c r="A425" t="s">
        <v>185</v>
      </c>
      <c r="B425">
        <v>1979</v>
      </c>
      <c r="C425" s="4">
        <v>1979.1666666593337</v>
      </c>
      <c r="E425" s="8"/>
      <c r="F425" s="3"/>
    </row>
    <row r="426" spans="1:6" x14ac:dyDescent="0.3">
      <c r="A426" t="s">
        <v>184</v>
      </c>
      <c r="B426">
        <v>1979</v>
      </c>
      <c r="C426" s="4">
        <v>1979.0833333259736</v>
      </c>
      <c r="E426" s="8"/>
      <c r="F426" s="3"/>
    </row>
    <row r="427" spans="1:6" x14ac:dyDescent="0.3">
      <c r="A427" t="s">
        <v>183</v>
      </c>
      <c r="B427">
        <v>1979</v>
      </c>
      <c r="C427" s="4">
        <v>1978.9999999926133</v>
      </c>
      <c r="E427" s="8"/>
      <c r="F427" s="3"/>
    </row>
    <row r="428" spans="1:6" x14ac:dyDescent="0.3">
      <c r="A428" t="s">
        <v>194</v>
      </c>
      <c r="B428">
        <v>1978</v>
      </c>
      <c r="C428" s="4">
        <v>1978.916666659253</v>
      </c>
      <c r="E428" s="8"/>
      <c r="F428" s="3"/>
    </row>
    <row r="429" spans="1:6" x14ac:dyDescent="0.3">
      <c r="A429" t="s">
        <v>193</v>
      </c>
      <c r="B429">
        <v>1978</v>
      </c>
      <c r="C429" s="4">
        <v>1978.8333333258927</v>
      </c>
      <c r="E429" s="8"/>
      <c r="F429" s="3"/>
    </row>
    <row r="430" spans="1:6" x14ac:dyDescent="0.3">
      <c r="A430" t="s">
        <v>192</v>
      </c>
      <c r="B430">
        <v>1978</v>
      </c>
      <c r="C430" s="4">
        <v>1978.7499999925324</v>
      </c>
      <c r="E430" s="8"/>
      <c r="F430" s="3"/>
    </row>
    <row r="431" spans="1:6" x14ac:dyDescent="0.3">
      <c r="A431" t="s">
        <v>191</v>
      </c>
      <c r="B431">
        <v>1978</v>
      </c>
      <c r="C431" s="4">
        <v>1978.6666666591721</v>
      </c>
      <c r="E431" s="8"/>
      <c r="F431" s="3"/>
    </row>
    <row r="432" spans="1:6" x14ac:dyDescent="0.3">
      <c r="A432" t="s">
        <v>190</v>
      </c>
      <c r="B432">
        <v>1978</v>
      </c>
      <c r="C432" s="4">
        <v>1978.583333325812</v>
      </c>
      <c r="E432" s="8"/>
      <c r="F432" s="3"/>
    </row>
    <row r="433" spans="1:6" x14ac:dyDescent="0.3">
      <c r="A433" t="s">
        <v>189</v>
      </c>
      <c r="B433">
        <v>1978</v>
      </c>
      <c r="C433" s="4">
        <v>1978.4999999924516</v>
      </c>
      <c r="E433" s="8"/>
      <c r="F433" s="3"/>
    </row>
    <row r="434" spans="1:6" x14ac:dyDescent="0.3">
      <c r="A434" t="s">
        <v>188</v>
      </c>
      <c r="B434">
        <v>1978</v>
      </c>
      <c r="C434" s="4">
        <v>1978.4166666590913</v>
      </c>
      <c r="E434" s="8"/>
      <c r="F434" s="3"/>
    </row>
    <row r="435" spans="1:6" x14ac:dyDescent="0.3">
      <c r="A435" t="s">
        <v>187</v>
      </c>
      <c r="B435">
        <v>1978</v>
      </c>
      <c r="C435" s="4">
        <v>1978.333333325731</v>
      </c>
      <c r="E435" s="8"/>
      <c r="F435" s="3"/>
    </row>
    <row r="436" spans="1:6" x14ac:dyDescent="0.3">
      <c r="A436" t="s">
        <v>186</v>
      </c>
      <c r="B436">
        <v>1978</v>
      </c>
      <c r="C436" s="4">
        <v>1978.2499999923707</v>
      </c>
      <c r="E436" s="8"/>
      <c r="F436" s="3"/>
    </row>
    <row r="437" spans="1:6" x14ac:dyDescent="0.3">
      <c r="A437" t="s">
        <v>185</v>
      </c>
      <c r="B437">
        <v>1978</v>
      </c>
      <c r="C437" s="4">
        <v>1978.1666666590106</v>
      </c>
      <c r="E437" s="8"/>
      <c r="F437" s="3"/>
    </row>
    <row r="438" spans="1:6" x14ac:dyDescent="0.3">
      <c r="A438" t="s">
        <v>184</v>
      </c>
      <c r="B438">
        <v>1978</v>
      </c>
      <c r="C438" s="4">
        <v>1978.0833333256503</v>
      </c>
      <c r="E438" s="8"/>
      <c r="F438" s="3"/>
    </row>
    <row r="439" spans="1:6" x14ac:dyDescent="0.3">
      <c r="A439" t="s">
        <v>183</v>
      </c>
      <c r="B439">
        <v>1978</v>
      </c>
      <c r="C439" s="4">
        <v>1977.99999999229</v>
      </c>
      <c r="E439" s="8"/>
      <c r="F439" s="3"/>
    </row>
    <row r="440" spans="1:6" x14ac:dyDescent="0.3">
      <c r="A440" t="s">
        <v>194</v>
      </c>
      <c r="B440">
        <v>1977</v>
      </c>
      <c r="C440" s="4">
        <v>1977.9166666589297</v>
      </c>
      <c r="E440" s="8"/>
      <c r="F440" s="3"/>
    </row>
    <row r="441" spans="1:6" x14ac:dyDescent="0.3">
      <c r="A441" t="s">
        <v>193</v>
      </c>
      <c r="B441">
        <v>1977</v>
      </c>
      <c r="C441" s="4">
        <v>1977.83333332557</v>
      </c>
      <c r="D441">
        <v>100.2</v>
      </c>
      <c r="E441" s="8">
        <f t="shared" si="12"/>
        <v>0.2916312781478384</v>
      </c>
      <c r="F441" s="3">
        <f>STANDARDIZE(D441,I$18,J$18)</f>
        <v>-0.21947921437783338</v>
      </c>
    </row>
    <row r="442" spans="1:6" x14ac:dyDescent="0.3">
      <c r="A442" t="s">
        <v>192</v>
      </c>
      <c r="B442">
        <v>1977</v>
      </c>
      <c r="C442" s="4">
        <v>1977.74999999221</v>
      </c>
      <c r="E442" s="8"/>
      <c r="F442" s="3"/>
    </row>
    <row r="443" spans="1:6" x14ac:dyDescent="0.3">
      <c r="A443" t="s">
        <v>191</v>
      </c>
      <c r="B443">
        <v>1977</v>
      </c>
      <c r="C443" s="4">
        <v>1977.6666666588501</v>
      </c>
      <c r="D443">
        <v>37.5</v>
      </c>
      <c r="E443" s="8">
        <f t="shared" si="12"/>
        <v>-0.42430036436556962</v>
      </c>
      <c r="F443" s="3">
        <f>STANDARDIZE(D443,I$16,J$16)</f>
        <v>-1.1356317990727252</v>
      </c>
    </row>
    <row r="444" spans="1:6" x14ac:dyDescent="0.3">
      <c r="A444" t="s">
        <v>190</v>
      </c>
      <c r="B444">
        <v>1977</v>
      </c>
      <c r="C444" s="4">
        <v>1977.58333332549</v>
      </c>
      <c r="D444">
        <v>96.4</v>
      </c>
      <c r="E444" s="8">
        <f t="shared" si="12"/>
        <v>0.24824148163187434</v>
      </c>
      <c r="F444" s="3">
        <f>STANDARDIZE(D444,I$15,J$15)</f>
        <v>-0.10346330307491824</v>
      </c>
    </row>
    <row r="445" spans="1:6" x14ac:dyDescent="0.3">
      <c r="A445" t="s">
        <v>189</v>
      </c>
      <c r="B445">
        <v>1977</v>
      </c>
      <c r="C445" s="4">
        <v>1977.4999999921299</v>
      </c>
      <c r="D445">
        <v>21.5</v>
      </c>
      <c r="E445" s="8">
        <f t="shared" si="12"/>
        <v>-0.60699424443278693</v>
      </c>
      <c r="F445" s="3">
        <f>STANDARDIZE(D445,I$14,J$14)</f>
        <v>-0.91519313538185654</v>
      </c>
    </row>
    <row r="446" spans="1:6" x14ac:dyDescent="0.3">
      <c r="A446" t="s">
        <v>188</v>
      </c>
      <c r="B446">
        <v>1977</v>
      </c>
      <c r="C446" s="4">
        <v>1977.4166666587701</v>
      </c>
      <c r="D446">
        <v>72.5</v>
      </c>
      <c r="E446" s="8">
        <f t="shared" si="12"/>
        <v>-2.4657501718531646E-2</v>
      </c>
      <c r="F446" s="3">
        <f>STANDARDIZE(D446,I$13,J$13)</f>
        <v>-0.35029140761414929</v>
      </c>
    </row>
    <row r="447" spans="1:6" x14ac:dyDescent="0.3">
      <c r="A447" t="s">
        <v>187</v>
      </c>
      <c r="B447">
        <v>1977</v>
      </c>
      <c r="C447" s="4">
        <v>1977.33333332541</v>
      </c>
      <c r="D447">
        <v>73.3</v>
      </c>
      <c r="E447" s="8">
        <f t="shared" si="12"/>
        <v>-1.5522807715170811E-2</v>
      </c>
      <c r="F447" s="3">
        <f>STANDARDIZE(D447,I$12,J$12)</f>
        <v>-0.25145004112730951</v>
      </c>
    </row>
    <row r="448" spans="1:6" x14ac:dyDescent="0.3">
      <c r="A448" t="s">
        <v>186</v>
      </c>
      <c r="B448">
        <v>1977</v>
      </c>
      <c r="C448" s="4">
        <v>1977.2499999920501</v>
      </c>
      <c r="D448">
        <v>13</v>
      </c>
      <c r="E448" s="8">
        <f t="shared" si="12"/>
        <v>-0.7040503682184962</v>
      </c>
      <c r="F448" s="3">
        <f>STANDARDIZE(D448,I$11,J$11)</f>
        <v>-0.45336389576344066</v>
      </c>
    </row>
    <row r="449" spans="1:6" x14ac:dyDescent="0.3">
      <c r="A449" t="s">
        <v>185</v>
      </c>
      <c r="B449">
        <v>1977</v>
      </c>
      <c r="C449" s="4">
        <v>1977.16666665869</v>
      </c>
      <c r="D449">
        <v>16</v>
      </c>
      <c r="E449" s="8">
        <f t="shared" si="12"/>
        <v>-0.66979526570589287</v>
      </c>
      <c r="F449" s="3">
        <f>STANDARDIZE(D449,I$10,J$10)</f>
        <v>3.4247497770721398</v>
      </c>
    </row>
    <row r="450" spans="1:6" x14ac:dyDescent="0.3">
      <c r="A450" t="s">
        <v>184</v>
      </c>
      <c r="B450">
        <v>1977</v>
      </c>
      <c r="C450" s="4">
        <v>1977.0833333253299</v>
      </c>
      <c r="D450">
        <v>0</v>
      </c>
      <c r="E450" s="8">
        <f t="shared" si="12"/>
        <v>-0.8524891457731103</v>
      </c>
      <c r="F450" s="3">
        <f>STANDARDIZE(D450,I$9,J$9)</f>
        <v>-0.20151463750030485</v>
      </c>
    </row>
    <row r="451" spans="1:6" x14ac:dyDescent="0.3">
      <c r="A451" t="s">
        <v>183</v>
      </c>
      <c r="B451">
        <v>1977</v>
      </c>
      <c r="C451" s="4">
        <v>1976.9999999919701</v>
      </c>
      <c r="D451">
        <v>0</v>
      </c>
      <c r="E451" s="8">
        <f t="shared" si="12"/>
        <v>-0.8524891457731103</v>
      </c>
      <c r="F451" s="3">
        <f>STANDARDIZE(D451,I$8,J$8)</f>
        <v>-0.26336194822754155</v>
      </c>
    </row>
    <row r="452" spans="1:6" x14ac:dyDescent="0.3">
      <c r="A452" t="s">
        <v>194</v>
      </c>
      <c r="B452">
        <v>1976</v>
      </c>
      <c r="C452" s="4">
        <v>1976.91666665861</v>
      </c>
      <c r="D452">
        <v>0</v>
      </c>
      <c r="E452" s="8">
        <f t="shared" si="12"/>
        <v>-0.8524891457731103</v>
      </c>
      <c r="F452" s="3">
        <f>STANDARDIZE(D452,I$19,J$19)</f>
        <v>-0.67334584962649535</v>
      </c>
    </row>
    <row r="453" spans="1:6" x14ac:dyDescent="0.3">
      <c r="A453" t="s">
        <v>193</v>
      </c>
      <c r="B453">
        <v>1976</v>
      </c>
      <c r="C453" s="4">
        <v>1976.8333333252499</v>
      </c>
      <c r="D453">
        <v>38.200000000000003</v>
      </c>
      <c r="E453" s="8">
        <f t="shared" si="12"/>
        <v>-0.41630750711262882</v>
      </c>
      <c r="F453" s="3">
        <f>STANDARDIZE(D453,I$18,J$18)</f>
        <v>-0.7705885902477223</v>
      </c>
    </row>
    <row r="454" spans="1:6" x14ac:dyDescent="0.3">
      <c r="A454" t="s">
        <v>192</v>
      </c>
      <c r="B454">
        <v>1976</v>
      </c>
      <c r="C454" s="4">
        <v>1976.74999999189</v>
      </c>
      <c r="D454">
        <v>207.8</v>
      </c>
      <c r="E454" s="8">
        <f t="shared" si="12"/>
        <v>1.5202476215998753</v>
      </c>
      <c r="F454" s="3">
        <f>STANDARDIZE(D454,I$17,J$17)</f>
        <v>0.16848760921820999</v>
      </c>
    </row>
    <row r="455" spans="1:6" x14ac:dyDescent="0.3">
      <c r="A455" t="s">
        <v>191</v>
      </c>
      <c r="B455">
        <v>1976</v>
      </c>
      <c r="C455" s="4">
        <v>1976.6666666585299</v>
      </c>
      <c r="D455">
        <v>164.5</v>
      </c>
      <c r="E455" s="8">
        <f t="shared" si="12"/>
        <v>1.0258323086679682</v>
      </c>
      <c r="F455" s="3">
        <f>STANDARDIZE(D455,I$16,J$16)</f>
        <v>0.54825890124526822</v>
      </c>
    </row>
    <row r="456" spans="1:6" x14ac:dyDescent="0.3">
      <c r="A456" t="s">
        <v>190</v>
      </c>
      <c r="B456">
        <v>1976</v>
      </c>
      <c r="C456" s="4">
        <v>1976.5833333251701</v>
      </c>
      <c r="D456">
        <v>67.3</v>
      </c>
      <c r="E456" s="8">
        <f t="shared" si="12"/>
        <v>-8.4033012740377319E-2</v>
      </c>
      <c r="F456" s="3">
        <f>STANDARDIZE(D456,I$15,J$15)</f>
        <v>-0.47228411271123288</v>
      </c>
    </row>
    <row r="457" spans="1:6" x14ac:dyDescent="0.3">
      <c r="A457" t="s">
        <v>189</v>
      </c>
      <c r="B457">
        <v>1976</v>
      </c>
      <c r="C457" s="4">
        <v>1976.49999999181</v>
      </c>
      <c r="D457">
        <v>3.3</v>
      </c>
      <c r="E457" s="8">
        <f t="shared" si="12"/>
        <v>-0.81480853300924672</v>
      </c>
      <c r="F457" s="3">
        <f>STANDARDIZE(D457,I$14,J$14)</f>
        <v>-1.1333344897098632</v>
      </c>
    </row>
    <row r="458" spans="1:6" x14ac:dyDescent="0.3">
      <c r="A458" t="s">
        <v>188</v>
      </c>
      <c r="B458">
        <v>1976</v>
      </c>
      <c r="C458" s="4">
        <v>1976.4166666584499</v>
      </c>
      <c r="D458">
        <v>66.8</v>
      </c>
      <c r="E458" s="8">
        <f t="shared" si="12"/>
        <v>-8.974219649247786E-2</v>
      </c>
      <c r="F458" s="3">
        <f>STANDARDIZE(D458,I$13,J$13)</f>
        <v>-0.4390235068008273</v>
      </c>
    </row>
    <row r="459" spans="1:6" x14ac:dyDescent="0.3">
      <c r="A459" t="s">
        <v>187</v>
      </c>
      <c r="B459">
        <v>1976</v>
      </c>
      <c r="C459" s="4">
        <v>1976.3333333250901</v>
      </c>
      <c r="D459">
        <v>59.8</v>
      </c>
      <c r="E459" s="8">
        <f t="shared" si="12"/>
        <v>-0.16967076902188546</v>
      </c>
      <c r="F459" s="3">
        <f>STANDARDIZE(D459,I$12,J$12)</f>
        <v>-0.45575109768052668</v>
      </c>
    </row>
    <row r="460" spans="1:6" x14ac:dyDescent="0.3">
      <c r="A460" t="s">
        <v>186</v>
      </c>
      <c r="B460">
        <v>1976</v>
      </c>
      <c r="C460" s="4">
        <v>1976.24999999173</v>
      </c>
      <c r="D460">
        <v>15.9</v>
      </c>
      <c r="E460" s="8">
        <f t="shared" si="12"/>
        <v>-0.67093710245631299</v>
      </c>
      <c r="F460" s="3">
        <f>STANDARDIZE(D460,I$11,J$11)</f>
        <v>-0.31618794306896109</v>
      </c>
    </row>
    <row r="461" spans="1:6" x14ac:dyDescent="0.3">
      <c r="A461" t="s">
        <v>185</v>
      </c>
      <c r="B461">
        <v>1976</v>
      </c>
      <c r="C461" s="4">
        <v>1976.1666666583701</v>
      </c>
      <c r="D461">
        <v>0</v>
      </c>
      <c r="E461" s="8">
        <f t="shared" si="12"/>
        <v>-0.8524891457731103</v>
      </c>
      <c r="F461" s="3">
        <f>STANDARDIZE(D461,I$10,J$10)</f>
        <v>-0.47170382615107059</v>
      </c>
    </row>
    <row r="462" spans="1:6" x14ac:dyDescent="0.3">
      <c r="A462" t="s">
        <v>184</v>
      </c>
      <c r="B462">
        <v>1976</v>
      </c>
      <c r="C462" s="4">
        <v>1976.08333332501</v>
      </c>
      <c r="D462">
        <v>0</v>
      </c>
      <c r="E462" s="8">
        <f t="shared" si="12"/>
        <v>-0.8524891457731103</v>
      </c>
      <c r="F462" s="3">
        <f>STANDARDIZE(D462,I$9,J$9)</f>
        <v>-0.20151463750030485</v>
      </c>
    </row>
    <row r="463" spans="1:6" x14ac:dyDescent="0.3">
      <c r="A463" t="s">
        <v>183</v>
      </c>
      <c r="B463">
        <v>1976</v>
      </c>
      <c r="C463" s="4">
        <v>1975.9999999916499</v>
      </c>
      <c r="D463">
        <v>0</v>
      </c>
      <c r="E463" s="8">
        <f t="shared" si="12"/>
        <v>-0.8524891457731103</v>
      </c>
      <c r="F463" s="3">
        <f>STANDARDIZE(D463,I$8,J$8)</f>
        <v>-0.26336194822754155</v>
      </c>
    </row>
    <row r="464" spans="1:6" x14ac:dyDescent="0.3">
      <c r="A464" t="s">
        <v>194</v>
      </c>
      <c r="B464">
        <v>1975</v>
      </c>
      <c r="C464" s="4">
        <v>1975.9166666582901</v>
      </c>
      <c r="D464">
        <v>44.6</v>
      </c>
      <c r="E464" s="8">
        <f t="shared" si="12"/>
        <v>-0.34322995508574189</v>
      </c>
      <c r="F464" s="3">
        <f>STANDARDIZE(D464,I$19,J$19)</f>
        <v>0.14333033212186821</v>
      </c>
    </row>
    <row r="465" spans="1:6" x14ac:dyDescent="0.3">
      <c r="A465" t="s">
        <v>193</v>
      </c>
      <c r="B465">
        <v>1975</v>
      </c>
      <c r="C465" s="4">
        <v>1975.83333332493</v>
      </c>
      <c r="D465">
        <v>179.6</v>
      </c>
      <c r="E465" s="8">
        <f t="shared" ref="E465:E528" si="13">STANDARDIZE(D465,F$4,F$5)</f>
        <v>1.1982496579814044</v>
      </c>
      <c r="F465" s="3">
        <f>STANDARDIZE(D465,I$18,J$18)</f>
        <v>0.48629634117166953</v>
      </c>
    </row>
    <row r="466" spans="1:6" x14ac:dyDescent="0.3">
      <c r="A466" t="s">
        <v>192</v>
      </c>
      <c r="B466">
        <v>1975</v>
      </c>
      <c r="C466" s="4">
        <v>1975.7499999915699</v>
      </c>
      <c r="D466">
        <v>280.5</v>
      </c>
      <c r="E466" s="8">
        <f t="shared" si="13"/>
        <v>2.350362939155294</v>
      </c>
      <c r="F466" s="3">
        <f>STANDARDIZE(D466,I$17,J$17)</f>
        <v>0.75744445007519223</v>
      </c>
    </row>
    <row r="467" spans="1:6" x14ac:dyDescent="0.3">
      <c r="A467" t="s">
        <v>191</v>
      </c>
      <c r="B467">
        <v>1975</v>
      </c>
      <c r="C467" s="4">
        <v>1975.66666665821</v>
      </c>
      <c r="D467">
        <v>144.30000000000001</v>
      </c>
      <c r="E467" s="8">
        <f t="shared" si="13"/>
        <v>0.79518128508310637</v>
      </c>
      <c r="F467" s="3">
        <f>STANDARDIZE(D467,I$16,J$16)</f>
        <v>0.28042746702146154</v>
      </c>
    </row>
    <row r="468" spans="1:6" x14ac:dyDescent="0.3">
      <c r="A468" t="s">
        <v>190</v>
      </c>
      <c r="B468">
        <v>1975</v>
      </c>
      <c r="C468" s="4">
        <v>1975.5833333248499</v>
      </c>
      <c r="D468">
        <v>161.80000000000001</v>
      </c>
      <c r="E468" s="8">
        <f t="shared" si="13"/>
        <v>0.9950027164066253</v>
      </c>
      <c r="F468" s="3">
        <f>STANDARDIZE(D468,I$15,J$15)</f>
        <v>0.72543294950978876</v>
      </c>
    </row>
    <row r="469" spans="1:6" x14ac:dyDescent="0.3">
      <c r="A469" t="s">
        <v>189</v>
      </c>
      <c r="B469">
        <v>1975</v>
      </c>
      <c r="C469" s="4">
        <v>1975.4999999914901</v>
      </c>
      <c r="E469" s="8"/>
      <c r="F469" s="3"/>
    </row>
    <row r="470" spans="1:6" x14ac:dyDescent="0.3">
      <c r="A470" t="s">
        <v>188</v>
      </c>
      <c r="B470">
        <v>1975</v>
      </c>
      <c r="C470" s="4">
        <v>1975.41666665813</v>
      </c>
      <c r="D470">
        <v>31.6</v>
      </c>
      <c r="E470" s="8">
        <f t="shared" si="13"/>
        <v>-0.49166873264035599</v>
      </c>
      <c r="F470" s="3">
        <f>STANDARDIZE(D470,I$13,J$13)</f>
        <v>-0.98698313686592642</v>
      </c>
    </row>
    <row r="471" spans="1:6" x14ac:dyDescent="0.3">
      <c r="A471" t="s">
        <v>187</v>
      </c>
      <c r="B471">
        <v>1975</v>
      </c>
      <c r="C471" s="4">
        <v>1975.3333333247699</v>
      </c>
      <c r="E471" s="8"/>
      <c r="F471" s="3"/>
    </row>
    <row r="472" spans="1:6" x14ac:dyDescent="0.3">
      <c r="A472" t="s">
        <v>186</v>
      </c>
      <c r="B472">
        <v>1975</v>
      </c>
      <c r="C472" s="4">
        <v>1975.24999999141</v>
      </c>
      <c r="E472" s="8"/>
      <c r="F472" s="3"/>
    </row>
    <row r="473" spans="1:6" x14ac:dyDescent="0.3">
      <c r="A473" t="s">
        <v>185</v>
      </c>
      <c r="B473">
        <v>1975</v>
      </c>
      <c r="C473" s="4">
        <v>1975.16666665805</v>
      </c>
      <c r="D473">
        <v>0.5</v>
      </c>
      <c r="E473" s="8">
        <f t="shared" si="13"/>
        <v>-0.84677996202100969</v>
      </c>
      <c r="F473" s="3">
        <f>STANDARDIZE(D473,I$10,J$10)</f>
        <v>-0.34993965105034525</v>
      </c>
    </row>
    <row r="474" spans="1:6" x14ac:dyDescent="0.3">
      <c r="A474" t="s">
        <v>184</v>
      </c>
      <c r="B474">
        <v>1975</v>
      </c>
      <c r="C474" s="4">
        <v>1975.0833333246901</v>
      </c>
      <c r="D474">
        <v>0</v>
      </c>
      <c r="E474" s="8">
        <f t="shared" si="13"/>
        <v>-0.8524891457731103</v>
      </c>
      <c r="F474" s="3">
        <f>STANDARDIZE(D474,I$9,J$9)</f>
        <v>-0.20151463750030485</v>
      </c>
    </row>
    <row r="475" spans="1:6" x14ac:dyDescent="0.3">
      <c r="A475" t="s">
        <v>183</v>
      </c>
      <c r="B475">
        <v>1975</v>
      </c>
      <c r="C475" s="4">
        <v>1974.99999999133</v>
      </c>
      <c r="E475" s="8"/>
      <c r="F475" s="3"/>
    </row>
    <row r="476" spans="1:6" x14ac:dyDescent="0.3">
      <c r="A476" t="s">
        <v>194</v>
      </c>
      <c r="B476">
        <v>1974</v>
      </c>
      <c r="C476" s="4">
        <v>1974.9166666579699</v>
      </c>
      <c r="E476" s="8"/>
      <c r="F476" s="3"/>
    </row>
    <row r="477" spans="1:6" x14ac:dyDescent="0.3">
      <c r="A477" t="s">
        <v>193</v>
      </c>
      <c r="B477">
        <v>1974</v>
      </c>
      <c r="C477" s="4">
        <v>1974.8333333246101</v>
      </c>
      <c r="D477">
        <v>41.7</v>
      </c>
      <c r="E477" s="8">
        <f t="shared" si="13"/>
        <v>-0.37634322084792504</v>
      </c>
      <c r="F477" s="3">
        <f>STANDARDIZE(D477,I$18,J$18)</f>
        <v>-0.73947757709377704</v>
      </c>
    </row>
    <row r="478" spans="1:6" x14ac:dyDescent="0.3">
      <c r="A478" t="s">
        <v>192</v>
      </c>
      <c r="B478">
        <v>1974</v>
      </c>
      <c r="C478" s="4">
        <v>1974.74999999125</v>
      </c>
      <c r="D478">
        <v>344.9</v>
      </c>
      <c r="E478" s="8">
        <f t="shared" si="13"/>
        <v>3.0857058064258434</v>
      </c>
      <c r="F478" s="3">
        <f>STANDARDIZE(D478,I$17,J$17)</f>
        <v>1.2791613765014598</v>
      </c>
    </row>
    <row r="479" spans="1:6" x14ac:dyDescent="0.3">
      <c r="A479" t="s">
        <v>191</v>
      </c>
      <c r="B479">
        <v>1974</v>
      </c>
      <c r="C479" s="4">
        <v>1974.6666666578899</v>
      </c>
      <c r="D479">
        <v>82.8</v>
      </c>
      <c r="E479" s="8">
        <f t="shared" si="13"/>
        <v>9.2951683574739485E-2</v>
      </c>
      <c r="F479" s="3">
        <f>STANDARDIZE(D479,I$16,J$16)</f>
        <v>-0.53499991935299995</v>
      </c>
    </row>
    <row r="480" spans="1:6" x14ac:dyDescent="0.3">
      <c r="A480" t="s">
        <v>190</v>
      </c>
      <c r="B480">
        <v>1974</v>
      </c>
      <c r="C480" s="4">
        <v>1974.58333332453</v>
      </c>
      <c r="D480">
        <v>39</v>
      </c>
      <c r="E480" s="8">
        <f t="shared" si="13"/>
        <v>-0.40717281310926801</v>
      </c>
      <c r="F480" s="3">
        <f>STANDARDIZE(D480,I$15,J$15)</f>
        <v>-0.83096551864620549</v>
      </c>
    </row>
    <row r="481" spans="1:6" x14ac:dyDescent="0.3">
      <c r="A481" t="s">
        <v>189</v>
      </c>
      <c r="B481">
        <v>1974</v>
      </c>
      <c r="C481" s="4">
        <v>1974.4999999911699</v>
      </c>
      <c r="D481">
        <v>81.900000000000006</v>
      </c>
      <c r="E481" s="8">
        <f t="shared" si="13"/>
        <v>8.2675152820958608E-2</v>
      </c>
      <c r="F481" s="3">
        <f>STANDARDIZE(D481,I$14,J$14)</f>
        <v>-0.19125149794165877</v>
      </c>
    </row>
    <row r="482" spans="1:6" x14ac:dyDescent="0.3">
      <c r="A482" t="s">
        <v>188</v>
      </c>
      <c r="B482">
        <v>1974</v>
      </c>
      <c r="C482" s="4">
        <v>1974.4166666578101</v>
      </c>
      <c r="D482">
        <v>31.6</v>
      </c>
      <c r="E482" s="8">
        <f t="shared" si="13"/>
        <v>-0.49166873264035599</v>
      </c>
      <c r="F482" s="3">
        <f>STANDARDIZE(D482,I$13,J$13)</f>
        <v>-0.98698313686592642</v>
      </c>
    </row>
    <row r="483" spans="1:6" x14ac:dyDescent="0.3">
      <c r="A483" t="s">
        <v>187</v>
      </c>
      <c r="B483">
        <v>1974</v>
      </c>
      <c r="C483" s="4">
        <v>1974.33333332445</v>
      </c>
      <c r="E483" s="8"/>
      <c r="F483" s="3"/>
    </row>
    <row r="484" spans="1:6" x14ac:dyDescent="0.3">
      <c r="A484" t="s">
        <v>186</v>
      </c>
      <c r="B484">
        <v>1974</v>
      </c>
      <c r="C484" s="4">
        <v>1974.2499999910899</v>
      </c>
      <c r="E484" s="8"/>
      <c r="F484" s="3"/>
    </row>
    <row r="485" spans="1:6" x14ac:dyDescent="0.3">
      <c r="A485" t="s">
        <v>185</v>
      </c>
      <c r="B485">
        <v>1974</v>
      </c>
      <c r="C485" s="4">
        <v>1974.16666665773</v>
      </c>
      <c r="E485" s="8"/>
      <c r="F485" s="3"/>
    </row>
    <row r="486" spans="1:6" x14ac:dyDescent="0.3">
      <c r="A486" t="s">
        <v>184</v>
      </c>
      <c r="B486">
        <v>1974</v>
      </c>
      <c r="C486" s="4">
        <v>1974.08333332437</v>
      </c>
      <c r="E486" s="8"/>
      <c r="F486" s="3"/>
    </row>
    <row r="487" spans="1:6" x14ac:dyDescent="0.3">
      <c r="A487" t="s">
        <v>183</v>
      </c>
      <c r="B487">
        <v>1974</v>
      </c>
      <c r="C487" s="4">
        <v>1973.9999999910101</v>
      </c>
      <c r="E487" s="8"/>
      <c r="F487" s="3"/>
    </row>
    <row r="488" spans="1:6" x14ac:dyDescent="0.3">
      <c r="A488" t="s">
        <v>194</v>
      </c>
      <c r="B488">
        <v>1973</v>
      </c>
      <c r="C488" s="4">
        <v>1973.91666665765</v>
      </c>
      <c r="E488" s="8"/>
      <c r="F488" s="3"/>
    </row>
    <row r="489" spans="1:6" x14ac:dyDescent="0.3">
      <c r="A489" t="s">
        <v>193</v>
      </c>
      <c r="B489">
        <v>1973</v>
      </c>
      <c r="C489" s="4">
        <v>1973.8333333242899</v>
      </c>
      <c r="E489" s="8"/>
      <c r="F489" s="3"/>
    </row>
    <row r="490" spans="1:6" x14ac:dyDescent="0.3">
      <c r="A490" t="s">
        <v>192</v>
      </c>
      <c r="B490">
        <v>1973</v>
      </c>
      <c r="C490" s="4">
        <v>1973.7499999909301</v>
      </c>
      <c r="E490" s="8"/>
      <c r="F490" s="3"/>
    </row>
    <row r="491" spans="1:6" x14ac:dyDescent="0.3">
      <c r="A491" t="s">
        <v>191</v>
      </c>
      <c r="B491">
        <v>1973</v>
      </c>
      <c r="C491" s="4">
        <v>1973.66666665757</v>
      </c>
      <c r="E491" s="8"/>
      <c r="F491" s="3"/>
    </row>
    <row r="492" spans="1:6" x14ac:dyDescent="0.3">
      <c r="A492" t="s">
        <v>190</v>
      </c>
      <c r="B492">
        <v>1973</v>
      </c>
      <c r="C492" s="4">
        <v>1973.5833333242099</v>
      </c>
      <c r="E492" s="8"/>
      <c r="F492" s="3"/>
    </row>
    <row r="493" spans="1:6" x14ac:dyDescent="0.3">
      <c r="A493" t="s">
        <v>189</v>
      </c>
      <c r="B493">
        <v>1973</v>
      </c>
      <c r="C493" s="4">
        <v>1973.49999999085</v>
      </c>
      <c r="E493" s="8"/>
      <c r="F493" s="3"/>
    </row>
    <row r="494" spans="1:6" x14ac:dyDescent="0.3">
      <c r="A494" t="s">
        <v>188</v>
      </c>
      <c r="B494">
        <v>1973</v>
      </c>
      <c r="C494" s="4">
        <v>1973.4166666574899</v>
      </c>
      <c r="E494" s="8"/>
      <c r="F494" s="3"/>
    </row>
    <row r="495" spans="1:6" x14ac:dyDescent="0.3">
      <c r="A495" t="s">
        <v>187</v>
      </c>
      <c r="B495">
        <v>1973</v>
      </c>
      <c r="C495" s="4">
        <v>1973.3333333241301</v>
      </c>
      <c r="D495">
        <v>99</v>
      </c>
      <c r="E495" s="8">
        <f t="shared" si="13"/>
        <v>0.2779292371427971</v>
      </c>
      <c r="F495" s="3">
        <f>STANDARDIZE(D495,I$12,J$12)</f>
        <v>0.13747863690362991</v>
      </c>
    </row>
    <row r="496" spans="1:6" x14ac:dyDescent="0.3">
      <c r="A496" t="s">
        <v>186</v>
      </c>
      <c r="B496">
        <v>1973</v>
      </c>
      <c r="C496" s="4">
        <v>1973.24999999077</v>
      </c>
      <c r="D496">
        <v>50.4</v>
      </c>
      <c r="E496" s="8">
        <f t="shared" si="13"/>
        <v>-0.27700342356137564</v>
      </c>
      <c r="F496" s="3">
        <f>STANDARDIZE(D496,I$11,J$11)</f>
        <v>1.315732873468813</v>
      </c>
    </row>
    <row r="497" spans="1:6" x14ac:dyDescent="0.3">
      <c r="A497" t="s">
        <v>185</v>
      </c>
      <c r="B497">
        <v>1973</v>
      </c>
      <c r="C497" s="4">
        <v>1973.1666666574099</v>
      </c>
      <c r="D497">
        <v>0.6</v>
      </c>
      <c r="E497" s="8">
        <f t="shared" si="13"/>
        <v>-0.84563812527058968</v>
      </c>
      <c r="F497" s="3">
        <f>STANDARDIZE(D497,I$10,J$10)</f>
        <v>-0.32558681603020023</v>
      </c>
    </row>
    <row r="498" spans="1:6" x14ac:dyDescent="0.3">
      <c r="A498" t="s">
        <v>184</v>
      </c>
      <c r="B498">
        <v>1973</v>
      </c>
      <c r="C498" s="4">
        <v>1973.08333332405</v>
      </c>
      <c r="D498">
        <v>0.4</v>
      </c>
      <c r="E498" s="8">
        <f t="shared" si="13"/>
        <v>-0.84792179877142981</v>
      </c>
      <c r="F498" s="3">
        <f>STANDARDIZE(D498,I$9,J$9)</f>
        <v>0.13787843618441911</v>
      </c>
    </row>
    <row r="499" spans="1:6" x14ac:dyDescent="0.3">
      <c r="A499" t="s">
        <v>183</v>
      </c>
      <c r="B499">
        <v>1973</v>
      </c>
      <c r="C499" s="4">
        <v>1972.99999999069</v>
      </c>
      <c r="D499">
        <v>0.3</v>
      </c>
      <c r="E499" s="8">
        <f t="shared" si="13"/>
        <v>-0.84906363552184994</v>
      </c>
      <c r="F499" s="3">
        <f>STANDARDIZE(D499,I$8,J$8)</f>
        <v>-0.23717433560406953</v>
      </c>
    </row>
    <row r="500" spans="1:6" x14ac:dyDescent="0.3">
      <c r="A500" t="s">
        <v>194</v>
      </c>
      <c r="B500">
        <v>1972</v>
      </c>
      <c r="C500" s="4">
        <v>1972.9166666573301</v>
      </c>
      <c r="D500">
        <v>0.3</v>
      </c>
      <c r="E500" s="8">
        <f t="shared" si="13"/>
        <v>-0.84906363552184994</v>
      </c>
      <c r="F500" s="3">
        <f>STANDARDIZE(D500,I$19,J$19)</f>
        <v>-0.66785251208110286</v>
      </c>
    </row>
    <row r="501" spans="1:6" x14ac:dyDescent="0.3">
      <c r="A501" t="s">
        <v>193</v>
      </c>
      <c r="B501">
        <v>1972</v>
      </c>
      <c r="C501" s="4">
        <v>1972.83333332397</v>
      </c>
      <c r="D501">
        <v>81.2</v>
      </c>
      <c r="E501" s="8">
        <f t="shared" si="13"/>
        <v>7.4682295568017823E-2</v>
      </c>
      <c r="F501" s="3">
        <f>STANDARDIZE(D501,I$18,J$18)</f>
        <v>-0.38836757149925094</v>
      </c>
    </row>
    <row r="502" spans="1:6" x14ac:dyDescent="0.3">
      <c r="A502" t="s">
        <v>192</v>
      </c>
      <c r="B502">
        <v>1972</v>
      </c>
      <c r="C502" s="4">
        <v>1972.7499999906099</v>
      </c>
      <c r="D502">
        <v>161</v>
      </c>
      <c r="E502" s="8">
        <f t="shared" si="13"/>
        <v>0.98586802240326432</v>
      </c>
      <c r="F502" s="3">
        <f>STANDARDIZE(D502,I$17,J$17)</f>
        <v>-0.21064829383690392</v>
      </c>
    </row>
    <row r="503" spans="1:6" x14ac:dyDescent="0.3">
      <c r="A503" t="s">
        <v>191</v>
      </c>
      <c r="B503">
        <v>1972</v>
      </c>
      <c r="C503" s="4">
        <v>1972.6666666572501</v>
      </c>
      <c r="D503">
        <v>155.6</v>
      </c>
      <c r="E503" s="8">
        <f t="shared" si="13"/>
        <v>0.92420883788057839</v>
      </c>
      <c r="F503" s="3">
        <f>STANDARDIZE(D503,I$16,J$16)</f>
        <v>0.43025396240408592</v>
      </c>
    </row>
    <row r="504" spans="1:6" x14ac:dyDescent="0.3">
      <c r="A504" t="s">
        <v>190</v>
      </c>
      <c r="B504">
        <v>1972</v>
      </c>
      <c r="C504" s="4">
        <v>1972.58333332389</v>
      </c>
      <c r="D504">
        <v>25.4</v>
      </c>
      <c r="E504" s="8">
        <f t="shared" si="13"/>
        <v>-0.56246261116640273</v>
      </c>
      <c r="F504" s="3">
        <f>STANDARDIZE(D504,I$15,J$15)</f>
        <v>-1.0033353815690191</v>
      </c>
    </row>
    <row r="505" spans="1:6" x14ac:dyDescent="0.3">
      <c r="A505" t="s">
        <v>189</v>
      </c>
      <c r="B505">
        <v>1972</v>
      </c>
      <c r="C505" s="4">
        <v>1972.4999999905299</v>
      </c>
      <c r="D505">
        <v>11.2</v>
      </c>
      <c r="E505" s="8">
        <f t="shared" si="13"/>
        <v>-0.72460342972605807</v>
      </c>
      <c r="F505" s="3">
        <f>STANDARDIZE(D505,I$14,J$14)</f>
        <v>-1.038646758985069</v>
      </c>
    </row>
    <row r="506" spans="1:6" x14ac:dyDescent="0.3">
      <c r="A506" t="s">
        <v>188</v>
      </c>
      <c r="B506">
        <v>1972</v>
      </c>
      <c r="C506" s="4">
        <v>1972.41666665717</v>
      </c>
      <c r="D506">
        <v>69.099999999999994</v>
      </c>
      <c r="E506" s="8">
        <f t="shared" si="13"/>
        <v>-6.3479951232815399E-2</v>
      </c>
      <c r="F506" s="3">
        <f>STANDARDIZE(D506,I$13,J$13)</f>
        <v>-0.40321932642725555</v>
      </c>
    </row>
    <row r="507" spans="1:6" x14ac:dyDescent="0.3">
      <c r="A507" t="s">
        <v>187</v>
      </c>
      <c r="B507">
        <v>1972</v>
      </c>
      <c r="C507" s="4">
        <v>1972.3333333238099</v>
      </c>
      <c r="D507">
        <v>144.69999999999999</v>
      </c>
      <c r="E507" s="8">
        <f t="shared" si="13"/>
        <v>0.79974863208478653</v>
      </c>
      <c r="F507" s="3">
        <f>STANDARDIZE(D507,I$12,J$12)</f>
        <v>0.82907554686526119</v>
      </c>
    </row>
    <row r="508" spans="1:6" x14ac:dyDescent="0.3">
      <c r="A508" t="s">
        <v>186</v>
      </c>
      <c r="B508">
        <v>1972</v>
      </c>
      <c r="C508" s="4">
        <v>1972.2499999904501</v>
      </c>
      <c r="D508">
        <v>58.4</v>
      </c>
      <c r="E508" s="8">
        <f t="shared" si="13"/>
        <v>-0.18565648352776695</v>
      </c>
      <c r="F508" s="3">
        <f>STANDARDIZE(D508,I$11,J$11)</f>
        <v>1.6941492946949634</v>
      </c>
    </row>
    <row r="509" spans="1:6" x14ac:dyDescent="0.3">
      <c r="A509" t="s">
        <v>185</v>
      </c>
      <c r="B509">
        <v>1972</v>
      </c>
      <c r="C509" s="4">
        <v>1972.16666665709</v>
      </c>
      <c r="D509">
        <v>7.1</v>
      </c>
      <c r="E509" s="8">
        <f t="shared" si="13"/>
        <v>-0.77141873649328263</v>
      </c>
      <c r="F509" s="3">
        <f>STANDARDIZE(D509,I$10,J$10)</f>
        <v>1.2573474602792292</v>
      </c>
    </row>
    <row r="510" spans="1:6" x14ac:dyDescent="0.3">
      <c r="A510" t="s">
        <v>184</v>
      </c>
      <c r="B510">
        <v>1972</v>
      </c>
      <c r="C510" s="4">
        <v>1972.0833333237299</v>
      </c>
      <c r="D510">
        <v>0</v>
      </c>
      <c r="E510" s="8">
        <f t="shared" si="13"/>
        <v>-0.8524891457731103</v>
      </c>
      <c r="F510" s="3">
        <f>STANDARDIZE(D510,I$9,J$9)</f>
        <v>-0.20151463750030485</v>
      </c>
    </row>
    <row r="511" spans="1:6" x14ac:dyDescent="0.3">
      <c r="A511" t="s">
        <v>183</v>
      </c>
      <c r="B511">
        <v>1972</v>
      </c>
      <c r="C511" s="4">
        <v>1971.99999999037</v>
      </c>
      <c r="D511">
        <v>0</v>
      </c>
      <c r="E511" s="8">
        <f t="shared" si="13"/>
        <v>-0.8524891457731103</v>
      </c>
      <c r="F511" s="3">
        <f>STANDARDIZE(D511,I$8,J$8)</f>
        <v>-0.26336194822754155</v>
      </c>
    </row>
    <row r="512" spans="1:6" x14ac:dyDescent="0.3">
      <c r="A512" t="s">
        <v>194</v>
      </c>
      <c r="B512">
        <v>1971</v>
      </c>
      <c r="C512" s="4">
        <v>1971.91666665701</v>
      </c>
      <c r="E512" s="8"/>
      <c r="F512" s="3"/>
    </row>
    <row r="513" spans="1:6" x14ac:dyDescent="0.3">
      <c r="A513" t="s">
        <v>193</v>
      </c>
      <c r="B513">
        <v>1971</v>
      </c>
      <c r="C513" s="4">
        <v>1971.8333333236501</v>
      </c>
      <c r="E513" s="8"/>
      <c r="F513" s="3"/>
    </row>
    <row r="514" spans="1:6" x14ac:dyDescent="0.3">
      <c r="A514" t="s">
        <v>192</v>
      </c>
      <c r="B514">
        <v>1971</v>
      </c>
      <c r="C514" s="4">
        <v>1971.74999999029</v>
      </c>
      <c r="E514" s="8"/>
      <c r="F514" s="3"/>
    </row>
    <row r="515" spans="1:6" x14ac:dyDescent="0.3">
      <c r="A515" t="s">
        <v>191</v>
      </c>
      <c r="B515">
        <v>1971</v>
      </c>
      <c r="C515" s="4">
        <v>1971.6666666569299</v>
      </c>
      <c r="E515" s="8"/>
      <c r="F515" s="3"/>
    </row>
    <row r="516" spans="1:6" x14ac:dyDescent="0.3">
      <c r="A516" t="s">
        <v>190</v>
      </c>
      <c r="B516">
        <v>1971</v>
      </c>
      <c r="C516" s="4">
        <v>1971.5833333235701</v>
      </c>
      <c r="E516" s="8"/>
      <c r="F516" s="3"/>
    </row>
    <row r="517" spans="1:6" x14ac:dyDescent="0.3">
      <c r="A517" t="s">
        <v>189</v>
      </c>
      <c r="B517">
        <v>1971</v>
      </c>
      <c r="C517" s="4">
        <v>1971.49999999021</v>
      </c>
      <c r="E517" s="8"/>
      <c r="F517" s="3"/>
    </row>
    <row r="518" spans="1:6" x14ac:dyDescent="0.3">
      <c r="A518" t="s">
        <v>188</v>
      </c>
      <c r="B518">
        <v>1971</v>
      </c>
      <c r="C518" s="4">
        <v>1971.4166666568501</v>
      </c>
      <c r="D518">
        <v>78.5</v>
      </c>
      <c r="E518" s="8">
        <f t="shared" si="13"/>
        <v>4.3852703306674859E-2</v>
      </c>
      <c r="F518" s="3">
        <f>STANDARDIZE(D518,I$13,J$13)</f>
        <v>-0.25688919794396192</v>
      </c>
    </row>
    <row r="519" spans="1:6" x14ac:dyDescent="0.3">
      <c r="A519" t="s">
        <v>187</v>
      </c>
      <c r="B519">
        <v>1971</v>
      </c>
      <c r="C519" s="4">
        <v>1971.33333332349</v>
      </c>
      <c r="E519" s="8"/>
      <c r="F519" s="3"/>
    </row>
    <row r="520" spans="1:6" x14ac:dyDescent="0.3">
      <c r="A520" t="s">
        <v>186</v>
      </c>
      <c r="B520">
        <v>1971</v>
      </c>
      <c r="C520" s="4">
        <v>1971.2499999901299</v>
      </c>
      <c r="E520" s="8"/>
      <c r="F520" s="3"/>
    </row>
    <row r="521" spans="1:6" x14ac:dyDescent="0.3">
      <c r="A521" t="s">
        <v>185</v>
      </c>
      <c r="B521">
        <v>1971</v>
      </c>
      <c r="C521" s="4">
        <v>1971.1666666567701</v>
      </c>
      <c r="D521">
        <v>0</v>
      </c>
      <c r="E521" s="8">
        <f t="shared" si="13"/>
        <v>-0.8524891457731103</v>
      </c>
      <c r="F521" s="3">
        <f>STANDARDIZE(D521,I$10,J$10)</f>
        <v>-0.47170382615107059</v>
      </c>
    </row>
    <row r="522" spans="1:6" x14ac:dyDescent="0.3">
      <c r="A522" t="s">
        <v>184</v>
      </c>
      <c r="B522">
        <v>1971</v>
      </c>
      <c r="C522" s="4">
        <v>1971.08333332341</v>
      </c>
      <c r="E522" s="8"/>
      <c r="F522" s="3"/>
    </row>
    <row r="523" spans="1:6" x14ac:dyDescent="0.3">
      <c r="A523" t="s">
        <v>183</v>
      </c>
      <c r="B523">
        <v>1971</v>
      </c>
      <c r="C523" s="4">
        <v>1970.9999999900499</v>
      </c>
      <c r="D523">
        <v>1.3</v>
      </c>
      <c r="E523" s="8">
        <f t="shared" si="13"/>
        <v>-0.83764526801764894</v>
      </c>
      <c r="F523" s="3">
        <f>STANDARDIZE(D523,I$8,J$8)</f>
        <v>-0.14988229352582938</v>
      </c>
    </row>
    <row r="524" spans="1:6" x14ac:dyDescent="0.3">
      <c r="A524" t="s">
        <v>194</v>
      </c>
      <c r="B524">
        <v>1970</v>
      </c>
      <c r="C524" s="4">
        <v>1970.91666665669</v>
      </c>
      <c r="D524">
        <v>167</v>
      </c>
      <c r="E524" s="8">
        <f t="shared" si="13"/>
        <v>1.0543782274284708</v>
      </c>
      <c r="F524" s="3">
        <f>STANDARDIZE(D524,I$19,J$19)</f>
        <v>2.384612050642041</v>
      </c>
    </row>
    <row r="525" spans="1:6" x14ac:dyDescent="0.3">
      <c r="A525" t="s">
        <v>193</v>
      </c>
      <c r="B525">
        <v>1970</v>
      </c>
      <c r="C525" s="4">
        <v>1970.83333332333</v>
      </c>
      <c r="D525">
        <v>67.599999999999994</v>
      </c>
      <c r="E525" s="8">
        <f t="shared" si="13"/>
        <v>-8.0607502489117022E-2</v>
      </c>
      <c r="F525" s="3">
        <f>STANDARDIZE(D525,I$18,J$18)</f>
        <v>-0.50925607975458154</v>
      </c>
    </row>
    <row r="526" spans="1:6" x14ac:dyDescent="0.3">
      <c r="A526" t="s">
        <v>192</v>
      </c>
      <c r="B526">
        <v>1970</v>
      </c>
      <c r="C526" s="4">
        <v>1970.7499999899701</v>
      </c>
      <c r="D526">
        <v>315.60000000000002</v>
      </c>
      <c r="E526" s="8">
        <f t="shared" si="13"/>
        <v>2.7511476385527525</v>
      </c>
      <c r="F526" s="3">
        <f>STANDARDIZE(D526,I$17,J$17)</f>
        <v>1.0417963773665277</v>
      </c>
    </row>
    <row r="527" spans="1:6" x14ac:dyDescent="0.3">
      <c r="A527" t="s">
        <v>191</v>
      </c>
      <c r="B527">
        <v>1970</v>
      </c>
      <c r="C527" s="4">
        <v>1970.66666665661</v>
      </c>
      <c r="D527">
        <v>240.2</v>
      </c>
      <c r="E527" s="8">
        <f t="shared" si="13"/>
        <v>1.8902027287359902</v>
      </c>
      <c r="F527" s="3">
        <f>STANDARDIZE(D527,I$16,J$16)</f>
        <v>1.5519638304899301</v>
      </c>
    </row>
    <row r="528" spans="1:6" x14ac:dyDescent="0.3">
      <c r="A528" t="s">
        <v>190</v>
      </c>
      <c r="B528">
        <v>1970</v>
      </c>
      <c r="C528" s="4">
        <v>1970.5833333232499</v>
      </c>
      <c r="D528">
        <v>127.1</v>
      </c>
      <c r="E528" s="8">
        <f t="shared" si="13"/>
        <v>0.59878536401084748</v>
      </c>
      <c r="F528" s="3">
        <f>STANDARDIZE(D528,I$15,J$15)</f>
        <v>0.28563631396408012</v>
      </c>
    </row>
    <row r="529" spans="1:6" x14ac:dyDescent="0.3">
      <c r="A529" t="s">
        <v>189</v>
      </c>
      <c r="B529">
        <v>1970</v>
      </c>
      <c r="C529" s="4">
        <v>1970.4999999898901</v>
      </c>
      <c r="D529">
        <v>127.2</v>
      </c>
      <c r="E529" s="8">
        <f t="shared" ref="E529:E592" si="14">STANDARDIZE(D529,F$4,F$5)</f>
        <v>0.59992720076126771</v>
      </c>
      <c r="F529" s="3">
        <f>STANDARDIZE(D529,I$14,J$14)</f>
        <v>0.35170473013848946</v>
      </c>
    </row>
    <row r="530" spans="1:6" x14ac:dyDescent="0.3">
      <c r="A530" t="s">
        <v>188</v>
      </c>
      <c r="B530">
        <v>1970</v>
      </c>
      <c r="C530" s="4">
        <v>1970.41666665653</v>
      </c>
      <c r="D530">
        <v>146.69999999999999</v>
      </c>
      <c r="E530" s="8">
        <f t="shared" si="14"/>
        <v>0.82258536709318875</v>
      </c>
      <c r="F530" s="3">
        <f>STANDARDIZE(D530,I$13,J$13)</f>
        <v>0.80478258530716762</v>
      </c>
    </row>
    <row r="531" spans="1:6" x14ac:dyDescent="0.3">
      <c r="A531" t="s">
        <v>187</v>
      </c>
      <c r="B531">
        <v>1970</v>
      </c>
      <c r="C531" s="4">
        <v>1970.3333333231701</v>
      </c>
      <c r="D531">
        <v>86.5</v>
      </c>
      <c r="E531" s="8">
        <f t="shared" si="14"/>
        <v>0.13519964334028353</v>
      </c>
      <c r="F531" s="3">
        <f>STANDARDIZE(D531,I$12,J$12)</f>
        <v>-5.1689008053052654E-2</v>
      </c>
    </row>
    <row r="532" spans="1:6" x14ac:dyDescent="0.3">
      <c r="A532" t="s">
        <v>186</v>
      </c>
      <c r="B532">
        <v>1970</v>
      </c>
      <c r="C532" s="4">
        <v>1970.24999998981</v>
      </c>
      <c r="D532">
        <v>10.6</v>
      </c>
      <c r="E532" s="8">
        <f t="shared" si="14"/>
        <v>-0.7314544502285788</v>
      </c>
      <c r="F532" s="3">
        <f>STANDARDIZE(D532,I$11,J$11)</f>
        <v>-0.56688882213128577</v>
      </c>
    </row>
    <row r="533" spans="1:6" x14ac:dyDescent="0.3">
      <c r="A533" t="s">
        <v>185</v>
      </c>
      <c r="B533">
        <v>1970</v>
      </c>
      <c r="C533" s="4">
        <v>1970.1666666564499</v>
      </c>
      <c r="D533">
        <v>5.4</v>
      </c>
      <c r="E533" s="8">
        <f t="shared" si="14"/>
        <v>-0.79082996125042437</v>
      </c>
      <c r="F533" s="3">
        <f>STANDARDIZE(D533,I$10,J$10)</f>
        <v>0.8433492649367631</v>
      </c>
    </row>
    <row r="534" spans="1:6" x14ac:dyDescent="0.3">
      <c r="A534" t="s">
        <v>184</v>
      </c>
      <c r="B534">
        <v>1970</v>
      </c>
      <c r="C534" s="4">
        <v>1970.0833333230901</v>
      </c>
      <c r="D534">
        <v>0</v>
      </c>
      <c r="E534" s="8">
        <f t="shared" si="14"/>
        <v>-0.8524891457731103</v>
      </c>
      <c r="F534" s="3">
        <f>STANDARDIZE(D534,I$9,J$9)</f>
        <v>-0.20151463750030485</v>
      </c>
    </row>
    <row r="535" spans="1:6" x14ac:dyDescent="0.3">
      <c r="A535" t="s">
        <v>183</v>
      </c>
      <c r="B535">
        <v>1970</v>
      </c>
      <c r="C535" s="4">
        <v>1969.99999998973</v>
      </c>
      <c r="D535">
        <v>7.8</v>
      </c>
      <c r="E535" s="8">
        <f t="shared" si="14"/>
        <v>-0.76342587924034189</v>
      </c>
      <c r="F535" s="3">
        <f>STANDARDIZE(D535,I$8,J$8)</f>
        <v>0.41751597998273132</v>
      </c>
    </row>
    <row r="536" spans="1:6" x14ac:dyDescent="0.3">
      <c r="A536" t="s">
        <v>194</v>
      </c>
      <c r="B536">
        <v>1969</v>
      </c>
      <c r="C536" s="4">
        <v>1969.9166666563699</v>
      </c>
      <c r="E536" s="8"/>
      <c r="F536" s="3"/>
    </row>
    <row r="537" spans="1:6" x14ac:dyDescent="0.3">
      <c r="A537" t="s">
        <v>193</v>
      </c>
      <c r="B537">
        <v>1969</v>
      </c>
      <c r="C537" s="4">
        <v>1969.83333332301</v>
      </c>
      <c r="D537">
        <v>280</v>
      </c>
      <c r="E537" s="8">
        <f t="shared" si="14"/>
        <v>2.3446537554031934</v>
      </c>
      <c r="F537" s="3">
        <f>STANDARDIZE(D537,I$18,J$18)</f>
        <v>1.3787379756448446</v>
      </c>
    </row>
    <row r="538" spans="1:6" x14ac:dyDescent="0.3">
      <c r="A538" t="s">
        <v>192</v>
      </c>
      <c r="B538">
        <v>1969</v>
      </c>
      <c r="C538" s="4">
        <v>1969.74999998965</v>
      </c>
      <c r="E538" s="8"/>
      <c r="F538" s="3"/>
    </row>
    <row r="539" spans="1:6" x14ac:dyDescent="0.3">
      <c r="A539" t="s">
        <v>191</v>
      </c>
      <c r="B539">
        <v>1969</v>
      </c>
      <c r="C539" s="4">
        <v>1969.6666666562901</v>
      </c>
      <c r="E539" s="8"/>
      <c r="F539" s="3"/>
    </row>
    <row r="540" spans="1:6" x14ac:dyDescent="0.3">
      <c r="A540" t="s">
        <v>190</v>
      </c>
      <c r="B540">
        <v>1969</v>
      </c>
      <c r="C540" s="4">
        <v>1969.58333332293</v>
      </c>
      <c r="D540">
        <v>85.9</v>
      </c>
      <c r="E540" s="8">
        <f t="shared" si="14"/>
        <v>0.12834862283776294</v>
      </c>
      <c r="F540" s="3">
        <f>STANDARDIZE(D540,I$15,J$15)</f>
        <v>-0.23654297665503174</v>
      </c>
    </row>
    <row r="541" spans="1:6" x14ac:dyDescent="0.3">
      <c r="A541" t="s">
        <v>189</v>
      </c>
      <c r="B541">
        <v>1969</v>
      </c>
      <c r="C541" s="4">
        <v>1969.4999999895699</v>
      </c>
      <c r="D541">
        <v>112.2</v>
      </c>
      <c r="E541" s="8">
        <f t="shared" si="14"/>
        <v>0.42865168819825145</v>
      </c>
      <c r="F541" s="3">
        <f>STANDARDIZE(D541,I$14,J$14)</f>
        <v>0.17191789964837415</v>
      </c>
    </row>
    <row r="542" spans="1:6" x14ac:dyDescent="0.3">
      <c r="A542" t="s">
        <v>188</v>
      </c>
      <c r="B542">
        <v>1969</v>
      </c>
      <c r="C542" s="4">
        <v>1969.4166666562101</v>
      </c>
      <c r="D542">
        <v>120.7</v>
      </c>
      <c r="E542" s="8">
        <f t="shared" si="14"/>
        <v>0.52570781198396066</v>
      </c>
      <c r="F542" s="3">
        <f>STANDARDIZE(D542,I$13,J$13)</f>
        <v>0.40003967673635588</v>
      </c>
    </row>
    <row r="543" spans="1:6" x14ac:dyDescent="0.3">
      <c r="A543" t="s">
        <v>187</v>
      </c>
      <c r="B543">
        <v>1969</v>
      </c>
      <c r="C543" s="4">
        <v>1969.33333332285</v>
      </c>
      <c r="D543">
        <v>44.7</v>
      </c>
      <c r="E543" s="8">
        <f t="shared" si="14"/>
        <v>-0.34208811833532177</v>
      </c>
      <c r="F543" s="3">
        <f>STANDARDIZE(D543,I$12,J$12)</f>
        <v>-0.68426561278819908</v>
      </c>
    </row>
    <row r="544" spans="1:6" x14ac:dyDescent="0.3">
      <c r="A544" t="s">
        <v>186</v>
      </c>
      <c r="B544">
        <v>1969</v>
      </c>
      <c r="C544" s="4">
        <v>1969.2499999894901</v>
      </c>
      <c r="D544">
        <v>57.1</v>
      </c>
      <c r="E544" s="8">
        <f t="shared" si="14"/>
        <v>-0.20050036128322835</v>
      </c>
      <c r="F544" s="3">
        <f>STANDARDIZE(D544,I$11,J$11)</f>
        <v>1.6326566262457143</v>
      </c>
    </row>
    <row r="545" spans="1:6" x14ac:dyDescent="0.3">
      <c r="A545" t="s">
        <v>185</v>
      </c>
      <c r="B545">
        <v>1969</v>
      </c>
      <c r="C545" s="4">
        <v>1969.16666665613</v>
      </c>
      <c r="E545" s="8"/>
      <c r="F545" s="3"/>
    </row>
    <row r="546" spans="1:6" x14ac:dyDescent="0.3">
      <c r="A546" t="s">
        <v>184</v>
      </c>
      <c r="B546">
        <v>1969</v>
      </c>
      <c r="C546" s="4">
        <v>1969.0833333227699</v>
      </c>
      <c r="D546">
        <v>0</v>
      </c>
      <c r="E546" s="8">
        <f t="shared" si="14"/>
        <v>-0.8524891457731103</v>
      </c>
      <c r="F546" s="3">
        <f>STANDARDIZE(D546,I$9,J$9)</f>
        <v>-0.20151463750030485</v>
      </c>
    </row>
    <row r="547" spans="1:6" x14ac:dyDescent="0.3">
      <c r="A547" t="s">
        <v>183</v>
      </c>
      <c r="B547">
        <v>1969</v>
      </c>
      <c r="C547" s="4">
        <v>1968.9999999894101</v>
      </c>
      <c r="D547">
        <v>0</v>
      </c>
      <c r="E547" s="8">
        <f t="shared" si="14"/>
        <v>-0.8524891457731103</v>
      </c>
      <c r="F547" s="3">
        <f>STANDARDIZE(D547,I$8,J$8)</f>
        <v>-0.26336194822754155</v>
      </c>
    </row>
    <row r="548" spans="1:6" x14ac:dyDescent="0.3">
      <c r="A548" t="s">
        <v>194</v>
      </c>
      <c r="B548">
        <v>1968</v>
      </c>
      <c r="C548" s="4">
        <v>1968.91666665605</v>
      </c>
      <c r="D548">
        <v>11.6</v>
      </c>
      <c r="E548" s="8">
        <f t="shared" si="14"/>
        <v>-0.72003608272437769</v>
      </c>
      <c r="F548" s="3">
        <f>STANDARDIZE(D548,I$19,J$19)</f>
        <v>-0.46093679787131558</v>
      </c>
    </row>
    <row r="549" spans="1:6" x14ac:dyDescent="0.3">
      <c r="A549" t="s">
        <v>193</v>
      </c>
      <c r="B549">
        <v>1968</v>
      </c>
      <c r="C549" s="4">
        <v>1968.8333333226899</v>
      </c>
      <c r="D549">
        <v>50.7</v>
      </c>
      <c r="E549" s="8">
        <f t="shared" si="14"/>
        <v>-0.27357791331011527</v>
      </c>
      <c r="F549" s="3">
        <f>STANDARDIZE(D549,I$18,J$18)</f>
        <v>-0.65947782898363183</v>
      </c>
    </row>
    <row r="550" spans="1:6" x14ac:dyDescent="0.3">
      <c r="A550" t="s">
        <v>192</v>
      </c>
      <c r="B550">
        <v>1968</v>
      </c>
      <c r="C550" s="4">
        <v>1968.74999998933</v>
      </c>
      <c r="D550">
        <v>185.1</v>
      </c>
      <c r="E550" s="8">
        <f t="shared" si="14"/>
        <v>1.2610506792545104</v>
      </c>
      <c r="F550" s="3">
        <f>STANDARDIZE(D550,I$17,J$17)</f>
        <v>-1.54095061525398E-2</v>
      </c>
    </row>
    <row r="551" spans="1:6" x14ac:dyDescent="0.3">
      <c r="A551" t="s">
        <v>191</v>
      </c>
      <c r="B551">
        <v>1968</v>
      </c>
      <c r="C551" s="4">
        <v>1968.6666666559599</v>
      </c>
      <c r="D551">
        <v>108.3</v>
      </c>
      <c r="E551" s="8">
        <f t="shared" si="14"/>
        <v>0.38412005493186713</v>
      </c>
      <c r="F551" s="3">
        <f>STANDARDIZE(D551,I$16,J$16)</f>
        <v>-0.19689588110017453</v>
      </c>
    </row>
    <row r="552" spans="1:6" x14ac:dyDescent="0.3">
      <c r="A552" t="s">
        <v>190</v>
      </c>
      <c r="B552">
        <v>1968</v>
      </c>
      <c r="C552" s="4">
        <v>1968.5833333226001</v>
      </c>
      <c r="D552">
        <v>133.9</v>
      </c>
      <c r="E552" s="8">
        <f t="shared" si="14"/>
        <v>0.676430263039415</v>
      </c>
      <c r="F552" s="3">
        <f>STANDARDIZE(D552,I$15,J$15)</f>
        <v>0.37182124542548711</v>
      </c>
    </row>
    <row r="553" spans="1:6" x14ac:dyDescent="0.3">
      <c r="A553" t="s">
        <v>189</v>
      </c>
      <c r="B553">
        <v>1968</v>
      </c>
      <c r="C553" s="4">
        <v>1968.49999998924</v>
      </c>
      <c r="D553">
        <v>5.4</v>
      </c>
      <c r="E553" s="8">
        <f t="shared" si="14"/>
        <v>-0.79082996125042437</v>
      </c>
      <c r="F553" s="3">
        <f>STANDARDIZE(D553,I$14,J$14)</f>
        <v>-1.108164333441247</v>
      </c>
    </row>
    <row r="554" spans="1:6" x14ac:dyDescent="0.3">
      <c r="A554" t="s">
        <v>188</v>
      </c>
      <c r="B554">
        <v>1968</v>
      </c>
      <c r="C554" s="4">
        <v>1968.4166666558799</v>
      </c>
      <c r="D554">
        <v>69.599999999999994</v>
      </c>
      <c r="E554" s="8">
        <f t="shared" si="14"/>
        <v>-5.7770767480714857E-2</v>
      </c>
      <c r="F554" s="3">
        <f>STANDARDIZE(D554,I$13,J$13)</f>
        <v>-0.3954358089547399</v>
      </c>
    </row>
    <row r="555" spans="1:6" x14ac:dyDescent="0.3">
      <c r="A555" t="s">
        <v>187</v>
      </c>
      <c r="B555">
        <v>1968</v>
      </c>
      <c r="C555" s="4">
        <v>1968.33333332252</v>
      </c>
      <c r="D555">
        <v>48.4</v>
      </c>
      <c r="E555" s="8">
        <f t="shared" si="14"/>
        <v>-0.2998401585697778</v>
      </c>
      <c r="F555" s="3">
        <f>STANDARDIZE(D555,I$12,J$12)</f>
        <v>-0.62827198988102118</v>
      </c>
    </row>
    <row r="556" spans="1:6" x14ac:dyDescent="0.3">
      <c r="A556" t="s">
        <v>186</v>
      </c>
      <c r="B556">
        <v>1968</v>
      </c>
      <c r="C556" s="4">
        <v>1968.24999998916</v>
      </c>
      <c r="D556">
        <v>0</v>
      </c>
      <c r="E556" s="8">
        <f t="shared" si="14"/>
        <v>-0.8524891457731103</v>
      </c>
      <c r="F556" s="3">
        <f>STANDARDIZE(D556,I$11,J$11)</f>
        <v>-1.0682905802559353</v>
      </c>
    </row>
    <row r="557" spans="1:6" x14ac:dyDescent="0.3">
      <c r="A557" t="s">
        <v>185</v>
      </c>
      <c r="B557">
        <v>1968</v>
      </c>
      <c r="C557" s="4">
        <v>1968.1666666558001</v>
      </c>
      <c r="E557" s="8"/>
      <c r="F557" s="3"/>
    </row>
    <row r="558" spans="1:6" x14ac:dyDescent="0.3">
      <c r="A558" t="s">
        <v>184</v>
      </c>
      <c r="B558">
        <v>1968</v>
      </c>
      <c r="C558" s="4">
        <v>1968.08333332244</v>
      </c>
      <c r="D558">
        <v>0</v>
      </c>
      <c r="E558" s="8">
        <f t="shared" si="14"/>
        <v>-0.8524891457731103</v>
      </c>
      <c r="F558" s="3">
        <f>STANDARDIZE(D558,I$9,J$9)</f>
        <v>-0.20151463750030485</v>
      </c>
    </row>
    <row r="559" spans="1:6" x14ac:dyDescent="0.3">
      <c r="A559" t="s">
        <v>183</v>
      </c>
      <c r="B559">
        <v>1968</v>
      </c>
      <c r="C559" s="4">
        <v>1967.9999999890799</v>
      </c>
      <c r="D559">
        <v>0</v>
      </c>
      <c r="E559" s="8">
        <f t="shared" si="14"/>
        <v>-0.8524891457731103</v>
      </c>
      <c r="F559" s="3">
        <f>STANDARDIZE(D559,I$8,J$8)</f>
        <v>-0.26336194822754155</v>
      </c>
    </row>
    <row r="560" spans="1:6" x14ac:dyDescent="0.3">
      <c r="A560" t="s">
        <v>194</v>
      </c>
      <c r="B560">
        <v>1967</v>
      </c>
      <c r="C560" s="4">
        <v>1967.9166666557201</v>
      </c>
      <c r="D560">
        <v>6</v>
      </c>
      <c r="E560" s="8">
        <f t="shared" si="14"/>
        <v>-0.78397894074790375</v>
      </c>
      <c r="F560" s="3">
        <f>STANDARDIZE(D560,I$19,J$19)</f>
        <v>-0.56347909871864377</v>
      </c>
    </row>
    <row r="561" spans="1:6" x14ac:dyDescent="0.3">
      <c r="A561" t="s">
        <v>193</v>
      </c>
      <c r="B561">
        <v>1967</v>
      </c>
      <c r="C561" s="4">
        <v>1967.83333332236</v>
      </c>
      <c r="D561">
        <v>49.9</v>
      </c>
      <c r="E561" s="8">
        <f t="shared" si="14"/>
        <v>-0.28271260731347619</v>
      </c>
      <c r="F561" s="3">
        <f>STANDARDIZE(D561,I$18,J$18)</f>
        <v>-0.66658891770453377</v>
      </c>
    </row>
    <row r="562" spans="1:6" x14ac:dyDescent="0.3">
      <c r="A562" t="s">
        <v>192</v>
      </c>
      <c r="B562">
        <v>1967</v>
      </c>
      <c r="C562" s="4">
        <v>1967.7499999889999</v>
      </c>
      <c r="D562">
        <v>212</v>
      </c>
      <c r="E562" s="8">
        <f t="shared" si="14"/>
        <v>1.5682047651175197</v>
      </c>
      <c r="F562" s="3">
        <f>STANDARDIZE(D562,I$17,J$17)</f>
        <v>0.20251262615905347</v>
      </c>
    </row>
    <row r="563" spans="1:6" x14ac:dyDescent="0.3">
      <c r="A563" t="s">
        <v>191</v>
      </c>
      <c r="B563">
        <v>1967</v>
      </c>
      <c r="C563" s="4">
        <v>1967.66666665564</v>
      </c>
      <c r="D563">
        <v>205</v>
      </c>
      <c r="E563" s="8">
        <f t="shared" si="14"/>
        <v>1.4882761925881121</v>
      </c>
      <c r="F563" s="3">
        <f>STANDARDIZE(D563,I$16,J$16)</f>
        <v>1.0852476678821086</v>
      </c>
    </row>
    <row r="564" spans="1:6" x14ac:dyDescent="0.3">
      <c r="A564" t="s">
        <v>190</v>
      </c>
      <c r="B564">
        <v>1967</v>
      </c>
      <c r="C564" s="4">
        <v>1967.5833333222799</v>
      </c>
      <c r="D564">
        <v>182</v>
      </c>
      <c r="E564" s="8">
        <f t="shared" si="14"/>
        <v>1.2256537399914871</v>
      </c>
      <c r="F564" s="3">
        <f>STANDARDIZE(D564,I$15,J$15)</f>
        <v>0.98145289296867366</v>
      </c>
    </row>
    <row r="565" spans="1:6" x14ac:dyDescent="0.3">
      <c r="A565" t="s">
        <v>189</v>
      </c>
      <c r="B565">
        <v>1967</v>
      </c>
      <c r="C565" s="4">
        <v>1967.4999999889201</v>
      </c>
      <c r="E565" s="8"/>
      <c r="F565" s="3"/>
    </row>
    <row r="566" spans="1:6" x14ac:dyDescent="0.3">
      <c r="A566" t="s">
        <v>188</v>
      </c>
      <c r="B566">
        <v>1967</v>
      </c>
      <c r="C566" s="4">
        <v>1967.41666665556</v>
      </c>
      <c r="E566" s="8"/>
      <c r="F566" s="3"/>
    </row>
    <row r="567" spans="1:6" x14ac:dyDescent="0.3">
      <c r="A567" t="s">
        <v>187</v>
      </c>
      <c r="B567">
        <v>1967</v>
      </c>
      <c r="C567" s="4">
        <v>1967.3333333221999</v>
      </c>
      <c r="E567" s="8"/>
      <c r="F567" s="3"/>
    </row>
    <row r="568" spans="1:6" x14ac:dyDescent="0.3">
      <c r="A568" t="s">
        <v>186</v>
      </c>
      <c r="B568">
        <v>1967</v>
      </c>
      <c r="C568" s="4">
        <v>1967.24999998884</v>
      </c>
      <c r="E568" s="8"/>
      <c r="F568" s="3"/>
    </row>
    <row r="569" spans="1:6" x14ac:dyDescent="0.3">
      <c r="A569" t="s">
        <v>185</v>
      </c>
      <c r="B569">
        <v>1967</v>
      </c>
      <c r="C569" s="4">
        <v>1967.16666665548</v>
      </c>
      <c r="E569" s="8"/>
      <c r="F569" s="3"/>
    </row>
    <row r="570" spans="1:6" x14ac:dyDescent="0.3">
      <c r="A570" t="s">
        <v>184</v>
      </c>
      <c r="B570">
        <v>1967</v>
      </c>
      <c r="C570" s="4">
        <v>1967.0833333221201</v>
      </c>
      <c r="D570">
        <v>0</v>
      </c>
      <c r="E570" s="8">
        <f t="shared" si="14"/>
        <v>-0.8524891457731103</v>
      </c>
      <c r="F570" s="3">
        <f>STANDARDIZE(D570,I$9,J$9)</f>
        <v>-0.20151463750030485</v>
      </c>
    </row>
    <row r="571" spans="1:6" x14ac:dyDescent="0.3">
      <c r="A571" t="s">
        <v>183</v>
      </c>
      <c r="B571">
        <v>1967</v>
      </c>
      <c r="C571" s="4">
        <v>1966.99999998876</v>
      </c>
      <c r="D571">
        <v>0</v>
      </c>
      <c r="E571" s="8">
        <f t="shared" si="14"/>
        <v>-0.8524891457731103</v>
      </c>
      <c r="F571" s="3">
        <f>STANDARDIZE(D571,I$8,J$8)</f>
        <v>-0.26336194822754155</v>
      </c>
    </row>
    <row r="572" spans="1:6" x14ac:dyDescent="0.3">
      <c r="A572" t="s">
        <v>194</v>
      </c>
      <c r="B572">
        <v>1966</v>
      </c>
      <c r="C572" s="4">
        <v>1966.9166666553999</v>
      </c>
      <c r="D572">
        <v>9.4</v>
      </c>
      <c r="E572" s="8">
        <f t="shared" si="14"/>
        <v>-0.74515649123362004</v>
      </c>
      <c r="F572" s="3">
        <f>STANDARDIZE(D572,I$19,J$19)</f>
        <v>-0.50122127320419452</v>
      </c>
    </row>
    <row r="573" spans="1:6" x14ac:dyDescent="0.3">
      <c r="A573" t="s">
        <v>193</v>
      </c>
      <c r="B573">
        <v>1966</v>
      </c>
      <c r="C573" s="4">
        <v>1966.8333333220401</v>
      </c>
      <c r="D573">
        <v>85.2</v>
      </c>
      <c r="E573" s="8">
        <f t="shared" si="14"/>
        <v>0.12035576558482217</v>
      </c>
      <c r="F573" s="3">
        <f>STANDARDIZE(D573,I$18,J$18)</f>
        <v>-0.35281212789474198</v>
      </c>
    </row>
    <row r="574" spans="1:6" x14ac:dyDescent="0.3">
      <c r="A574" t="s">
        <v>192</v>
      </c>
      <c r="B574">
        <v>1966</v>
      </c>
      <c r="C574" s="4">
        <v>1966.74999998868</v>
      </c>
      <c r="D574">
        <v>114.7</v>
      </c>
      <c r="E574" s="8">
        <f t="shared" si="14"/>
        <v>0.45719760695875417</v>
      </c>
      <c r="F574" s="3">
        <f>STANDARDIZE(D574,I$17,J$17)</f>
        <v>-0.58573359963715543</v>
      </c>
    </row>
    <row r="575" spans="1:6" x14ac:dyDescent="0.3">
      <c r="A575" t="s">
        <v>191</v>
      </c>
      <c r="B575">
        <v>1966</v>
      </c>
      <c r="C575" s="4">
        <v>1966.6666666553199</v>
      </c>
      <c r="D575">
        <v>120.5</v>
      </c>
      <c r="E575" s="8">
        <f t="shared" si="14"/>
        <v>0.52342413848312042</v>
      </c>
      <c r="F575" s="3">
        <f>STANDARDIZE(D575,I$16,J$16)</f>
        <v>-3.5136302014509006E-2</v>
      </c>
    </row>
    <row r="576" spans="1:6" x14ac:dyDescent="0.3">
      <c r="A576" t="s">
        <v>190</v>
      </c>
      <c r="B576">
        <v>1966</v>
      </c>
      <c r="C576" s="4">
        <v>1966.58333332196</v>
      </c>
      <c r="D576">
        <v>175.5</v>
      </c>
      <c r="E576" s="8">
        <f t="shared" si="14"/>
        <v>1.15143435121418</v>
      </c>
      <c r="F576" s="3">
        <f>STANDARDIZE(D576,I$15,J$15)</f>
        <v>0.89907023789527007</v>
      </c>
    </row>
    <row r="577" spans="1:6" x14ac:dyDescent="0.3">
      <c r="A577" t="s">
        <v>189</v>
      </c>
      <c r="B577">
        <v>1966</v>
      </c>
      <c r="C577" s="4">
        <v>1966.4999999885999</v>
      </c>
      <c r="D577">
        <v>68.3</v>
      </c>
      <c r="E577" s="8">
        <f t="shared" si="14"/>
        <v>-7.2614645236176237E-2</v>
      </c>
      <c r="F577" s="3">
        <f>STANDARDIZE(D577,I$14,J$14)</f>
        <v>-0.35425822425269676</v>
      </c>
    </row>
    <row r="578" spans="1:6" x14ac:dyDescent="0.3">
      <c r="A578" t="s">
        <v>188</v>
      </c>
      <c r="B578">
        <v>1966</v>
      </c>
      <c r="C578" s="4">
        <v>1966.4166666552401</v>
      </c>
      <c r="D578">
        <v>82.7</v>
      </c>
      <c r="E578" s="8">
        <f t="shared" si="14"/>
        <v>9.1809846824319447E-2</v>
      </c>
      <c r="F578" s="3">
        <f>STANDARDIZE(D578,I$13,J$13)</f>
        <v>-0.19150765117483073</v>
      </c>
    </row>
    <row r="579" spans="1:6" x14ac:dyDescent="0.3">
      <c r="A579" t="s">
        <v>187</v>
      </c>
      <c r="B579">
        <v>1966</v>
      </c>
      <c r="C579" s="4">
        <v>1966.33333332188</v>
      </c>
      <c r="D579">
        <v>34.700000000000003</v>
      </c>
      <c r="E579" s="8">
        <f t="shared" si="14"/>
        <v>-0.45627179337733259</v>
      </c>
      <c r="F579" s="3">
        <f>STANDARDIZE(D579,I$12,J$12)</f>
        <v>-0.83559972875354516</v>
      </c>
    </row>
    <row r="580" spans="1:6" x14ac:dyDescent="0.3">
      <c r="A580" t="s">
        <v>186</v>
      </c>
      <c r="B580">
        <v>1966</v>
      </c>
      <c r="C580" s="4">
        <v>1966.2499999885199</v>
      </c>
      <c r="D580">
        <v>13.6</v>
      </c>
      <c r="E580" s="8">
        <f t="shared" si="14"/>
        <v>-0.69719934771597547</v>
      </c>
      <c r="F580" s="3">
        <f>STANDARDIZE(D580,I$11,J$11)</f>
        <v>-0.4249826641714794</v>
      </c>
    </row>
    <row r="581" spans="1:6" x14ac:dyDescent="0.3">
      <c r="A581" t="s">
        <v>185</v>
      </c>
      <c r="B581">
        <v>1966</v>
      </c>
      <c r="C581" s="4">
        <v>1966.16666665516</v>
      </c>
      <c r="D581">
        <v>0</v>
      </c>
      <c r="E581" s="8">
        <f t="shared" si="14"/>
        <v>-0.8524891457731103</v>
      </c>
      <c r="F581" s="3">
        <f>STANDARDIZE(D581,I$10,J$10)</f>
        <v>-0.47170382615107059</v>
      </c>
    </row>
    <row r="582" spans="1:6" x14ac:dyDescent="0.3">
      <c r="A582" t="s">
        <v>184</v>
      </c>
      <c r="B582">
        <v>1966</v>
      </c>
      <c r="C582" s="4">
        <v>1966.0833333218</v>
      </c>
      <c r="D582">
        <v>0</v>
      </c>
      <c r="E582" s="8">
        <f t="shared" si="14"/>
        <v>-0.8524891457731103</v>
      </c>
      <c r="F582" s="3">
        <f>STANDARDIZE(D582,I$9,J$9)</f>
        <v>-0.20151463750030485</v>
      </c>
    </row>
    <row r="583" spans="1:6" x14ac:dyDescent="0.3">
      <c r="A583" t="s">
        <v>183</v>
      </c>
      <c r="B583">
        <v>1966</v>
      </c>
      <c r="C583" s="4">
        <v>1965.9999999884401</v>
      </c>
      <c r="D583">
        <v>0</v>
      </c>
      <c r="E583" s="8">
        <f t="shared" si="14"/>
        <v>-0.8524891457731103</v>
      </c>
      <c r="F583" s="3">
        <f>STANDARDIZE(D583,I$8,J$8)</f>
        <v>-0.26336194822754155</v>
      </c>
    </row>
    <row r="584" spans="1:6" x14ac:dyDescent="0.3">
      <c r="A584" t="s">
        <v>194</v>
      </c>
      <c r="B584">
        <v>1965</v>
      </c>
      <c r="C584" s="4">
        <v>1965.91666665508</v>
      </c>
      <c r="D584">
        <v>0</v>
      </c>
      <c r="E584" s="8">
        <f t="shared" si="14"/>
        <v>-0.8524891457731103</v>
      </c>
      <c r="F584" s="3">
        <f>STANDARDIZE(D584,I$19,J$19)</f>
        <v>-0.67334584962649535</v>
      </c>
    </row>
    <row r="585" spans="1:6" x14ac:dyDescent="0.3">
      <c r="A585" t="s">
        <v>193</v>
      </c>
      <c r="B585">
        <v>1965</v>
      </c>
      <c r="C585" s="4">
        <v>1965.8333333217199</v>
      </c>
      <c r="D585">
        <v>225.2</v>
      </c>
      <c r="E585" s="8">
        <f t="shared" si="14"/>
        <v>1.7189272161729738</v>
      </c>
      <c r="F585" s="3">
        <f>STANDARDIZE(D585,I$18,J$18)</f>
        <v>0.89162839826307172</v>
      </c>
    </row>
    <row r="586" spans="1:6" x14ac:dyDescent="0.3">
      <c r="A586" t="s">
        <v>192</v>
      </c>
      <c r="B586">
        <v>1965</v>
      </c>
      <c r="C586" s="4">
        <v>1965.7499999883601</v>
      </c>
      <c r="D586">
        <v>284.60000000000002</v>
      </c>
      <c r="E586" s="8">
        <f t="shared" si="14"/>
        <v>2.3971782459225186</v>
      </c>
      <c r="F586" s="3">
        <f>STANDARDIZE(D586,I$17,J$17)</f>
        <v>0.79065934756506351</v>
      </c>
    </row>
    <row r="587" spans="1:6" x14ac:dyDescent="0.3">
      <c r="A587" t="s">
        <v>191</v>
      </c>
      <c r="B587">
        <v>1965</v>
      </c>
      <c r="C587" s="4">
        <v>1965.666666655</v>
      </c>
      <c r="D587">
        <v>113.7</v>
      </c>
      <c r="E587" s="8">
        <f t="shared" si="14"/>
        <v>0.44577923945455306</v>
      </c>
      <c r="F587" s="3">
        <f>STANDARDIZE(D587,I$16,J$16)</f>
        <v>-0.12529737888192907</v>
      </c>
    </row>
    <row r="588" spans="1:6" x14ac:dyDescent="0.3">
      <c r="A588" t="s">
        <v>190</v>
      </c>
      <c r="B588">
        <v>1965</v>
      </c>
      <c r="C588" s="4">
        <v>1965.5833333216401</v>
      </c>
      <c r="D588">
        <v>70.7</v>
      </c>
      <c r="E588" s="8">
        <f t="shared" si="14"/>
        <v>-4.521056322609357E-2</v>
      </c>
      <c r="F588" s="3">
        <f>STANDARDIZE(D588,I$15,J$15)</f>
        <v>-0.42919164698052942</v>
      </c>
    </row>
    <row r="589" spans="1:6" x14ac:dyDescent="0.3">
      <c r="A589" t="s">
        <v>189</v>
      </c>
      <c r="B589">
        <v>1965</v>
      </c>
      <c r="C589" s="4">
        <v>1965.49999998828</v>
      </c>
      <c r="D589">
        <v>4.9000000000000004</v>
      </c>
      <c r="E589" s="8">
        <f t="shared" si="14"/>
        <v>-0.79653914500252487</v>
      </c>
      <c r="F589" s="3">
        <f>STANDARDIZE(D589,I$14,J$14)</f>
        <v>-1.1141572277909175</v>
      </c>
    </row>
    <row r="590" spans="1:6" x14ac:dyDescent="0.3">
      <c r="A590" t="s">
        <v>188</v>
      </c>
      <c r="B590">
        <v>1965</v>
      </c>
      <c r="C590" s="4">
        <v>1965.4166666549199</v>
      </c>
      <c r="D590">
        <v>55.6</v>
      </c>
      <c r="E590" s="8">
        <f t="shared" si="14"/>
        <v>-0.21762791253952996</v>
      </c>
      <c r="F590" s="3">
        <f>STANDARDIZE(D590,I$13,J$13)</f>
        <v>-0.61337429818517697</v>
      </c>
    </row>
    <row r="591" spans="1:6" x14ac:dyDescent="0.3">
      <c r="A591" t="s">
        <v>187</v>
      </c>
      <c r="B591">
        <v>1965</v>
      </c>
      <c r="C591" s="4">
        <v>1965.3333333215601</v>
      </c>
      <c r="D591">
        <v>84</v>
      </c>
      <c r="E591" s="8">
        <f t="shared" si="14"/>
        <v>0.10665372457978083</v>
      </c>
      <c r="F591" s="3">
        <f>STANDARDIZE(D591,I$12,J$12)</f>
        <v>-8.9522537044389172E-2</v>
      </c>
    </row>
    <row r="592" spans="1:6" x14ac:dyDescent="0.3">
      <c r="A592" t="s">
        <v>186</v>
      </c>
      <c r="B592">
        <v>1965</v>
      </c>
      <c r="C592" s="4">
        <v>1965.2499999882</v>
      </c>
      <c r="D592">
        <v>0</v>
      </c>
      <c r="E592" s="8">
        <f t="shared" si="14"/>
        <v>-0.8524891457731103</v>
      </c>
      <c r="F592" s="3">
        <f>STANDARDIZE(D592,I$11,J$11)</f>
        <v>-1.0682905802559353</v>
      </c>
    </row>
    <row r="593" spans="1:6" x14ac:dyDescent="0.3">
      <c r="A593" t="s">
        <v>185</v>
      </c>
      <c r="B593">
        <v>1965</v>
      </c>
      <c r="C593" s="4">
        <v>1965.1666666548399</v>
      </c>
      <c r="D593">
        <v>0.3</v>
      </c>
      <c r="E593" s="8">
        <f t="shared" ref="E593:E668" si="15">STANDARDIZE(D593,F$4,F$5)</f>
        <v>-0.84906363552184994</v>
      </c>
      <c r="F593" s="3">
        <f>STANDARDIZE(D593,I$10,J$10)</f>
        <v>-0.39864532109063539</v>
      </c>
    </row>
    <row r="594" spans="1:6" x14ac:dyDescent="0.3">
      <c r="A594" t="s">
        <v>184</v>
      </c>
      <c r="B594">
        <v>1965</v>
      </c>
      <c r="C594" s="4">
        <v>1965.08333332148</v>
      </c>
      <c r="D594">
        <v>0</v>
      </c>
      <c r="E594" s="8">
        <f t="shared" si="15"/>
        <v>-0.8524891457731103</v>
      </c>
      <c r="F594" s="3">
        <f>STANDARDIZE(D594,I$9,J$9)</f>
        <v>-0.20151463750030485</v>
      </c>
    </row>
    <row r="595" spans="1:6" x14ac:dyDescent="0.3">
      <c r="A595" t="s">
        <v>183</v>
      </c>
      <c r="B595">
        <v>1965</v>
      </c>
      <c r="C595" s="4">
        <v>1964.99999998812</v>
      </c>
      <c r="D595">
        <v>0.3</v>
      </c>
      <c r="E595" s="8">
        <f t="shared" si="15"/>
        <v>-0.84906363552184994</v>
      </c>
      <c r="F595" s="3">
        <f>STANDARDIZE(D595,I$8,J$8)</f>
        <v>-0.23717433560406953</v>
      </c>
    </row>
    <row r="596" spans="1:6" x14ac:dyDescent="0.3">
      <c r="A596" t="s">
        <v>194</v>
      </c>
      <c r="B596">
        <v>1964</v>
      </c>
      <c r="C596" s="4">
        <v>1964.9166666547601</v>
      </c>
      <c r="D596">
        <v>0</v>
      </c>
      <c r="E596" s="8">
        <f t="shared" si="15"/>
        <v>-0.8524891457731103</v>
      </c>
      <c r="F596" s="3">
        <f>STANDARDIZE(D596,I$19,J$19)</f>
        <v>-0.67334584962649535</v>
      </c>
    </row>
    <row r="597" spans="1:6" x14ac:dyDescent="0.3">
      <c r="A597" t="s">
        <v>193</v>
      </c>
      <c r="B597">
        <v>1964</v>
      </c>
      <c r="C597" s="4">
        <v>1964.8333333214</v>
      </c>
      <c r="D597">
        <v>25.1</v>
      </c>
      <c r="E597" s="8">
        <f t="shared" si="15"/>
        <v>-0.56588812141766309</v>
      </c>
      <c r="F597" s="3">
        <f>STANDARDIZE(D597,I$18,J$18)</f>
        <v>-0.88703266805248915</v>
      </c>
    </row>
    <row r="598" spans="1:6" x14ac:dyDescent="0.3">
      <c r="A598" t="s">
        <v>192</v>
      </c>
      <c r="B598">
        <v>1964</v>
      </c>
      <c r="C598" s="4">
        <v>1964.7499999880399</v>
      </c>
      <c r="D598">
        <v>259.2</v>
      </c>
      <c r="E598" s="8">
        <f t="shared" si="15"/>
        <v>2.1071517113158107</v>
      </c>
      <c r="F598" s="3">
        <f>STANDARDIZE(D598,I$17,J$17)</f>
        <v>0.58488900701805702</v>
      </c>
    </row>
    <row r="599" spans="1:6" x14ac:dyDescent="0.3">
      <c r="A599" t="s">
        <v>191</v>
      </c>
      <c r="B599">
        <v>1964</v>
      </c>
      <c r="C599" s="4">
        <v>1964.6666666546801</v>
      </c>
      <c r="D599">
        <v>51.5</v>
      </c>
      <c r="E599" s="8">
        <f t="shared" si="15"/>
        <v>-0.26444321930675441</v>
      </c>
      <c r="F599" s="3">
        <f>STANDARDIZE(D599,I$16,J$16)</f>
        <v>-0.95000605258097781</v>
      </c>
    </row>
    <row r="600" spans="1:6" x14ac:dyDescent="0.3">
      <c r="A600" t="s">
        <v>190</v>
      </c>
      <c r="B600">
        <v>1964</v>
      </c>
      <c r="C600" s="4">
        <v>1964.58333332132</v>
      </c>
      <c r="D600">
        <v>118.1</v>
      </c>
      <c r="E600" s="8">
        <f t="shared" si="15"/>
        <v>0.49602005647303776</v>
      </c>
      <c r="F600" s="3">
        <f>STANDARDIZE(D600,I$15,J$15)</f>
        <v>0.17156802232398286</v>
      </c>
    </row>
    <row r="601" spans="1:6" x14ac:dyDescent="0.3">
      <c r="A601" t="s">
        <v>189</v>
      </c>
      <c r="B601">
        <v>1964</v>
      </c>
      <c r="C601" s="4">
        <v>1964.4999999879601</v>
      </c>
      <c r="D601">
        <v>222.6</v>
      </c>
      <c r="E601" s="8">
        <f t="shared" si="15"/>
        <v>1.6892394606620511</v>
      </c>
      <c r="F601" s="3">
        <f>STANDARDIZE(D601,I$14,J$14)</f>
        <v>1.4951489720556228</v>
      </c>
    </row>
    <row r="602" spans="1:6" x14ac:dyDescent="0.3">
      <c r="A602" t="s">
        <v>188</v>
      </c>
      <c r="B602">
        <v>1964</v>
      </c>
      <c r="C602" s="4">
        <v>1964.4166666546</v>
      </c>
      <c r="D602">
        <v>166.8</v>
      </c>
      <c r="E602" s="8">
        <f t="shared" si="15"/>
        <v>1.0520945539276307</v>
      </c>
      <c r="F602" s="3">
        <f>STANDARDIZE(D602,I$13,J$13)</f>
        <v>1.1176799877022956</v>
      </c>
    </row>
    <row r="603" spans="1:6" x14ac:dyDescent="0.3">
      <c r="A603" t="s">
        <v>187</v>
      </c>
      <c r="B603">
        <v>1964</v>
      </c>
      <c r="C603" s="4">
        <v>1964.3333333212399</v>
      </c>
      <c r="D603">
        <v>106.6</v>
      </c>
      <c r="E603" s="8">
        <f t="shared" si="15"/>
        <v>0.36470883017472527</v>
      </c>
      <c r="F603" s="3">
        <f>STANDARDIZE(D603,I$12,J$12)</f>
        <v>0.25249256503729284</v>
      </c>
    </row>
    <row r="604" spans="1:6" x14ac:dyDescent="0.3">
      <c r="A604" t="s">
        <v>186</v>
      </c>
      <c r="B604">
        <v>1964</v>
      </c>
      <c r="C604" s="4">
        <v>1964.2499999878801</v>
      </c>
      <c r="D604">
        <v>43.9</v>
      </c>
      <c r="E604" s="8">
        <f t="shared" si="15"/>
        <v>-0.35122281233868269</v>
      </c>
      <c r="F604" s="3">
        <f>STANDARDIZE(D604,I$11,J$11)</f>
        <v>1.0082695312225656</v>
      </c>
    </row>
    <row r="605" spans="1:6" x14ac:dyDescent="0.3">
      <c r="A605" t="s">
        <v>185</v>
      </c>
      <c r="B605">
        <v>1964</v>
      </c>
      <c r="C605" s="4">
        <v>1964.16666665452</v>
      </c>
      <c r="D605">
        <v>0</v>
      </c>
      <c r="E605" s="8">
        <f t="shared" si="15"/>
        <v>-0.8524891457731103</v>
      </c>
      <c r="F605" s="3">
        <f>STANDARDIZE(D605,I$10,J$10)</f>
        <v>-0.47170382615107059</v>
      </c>
    </row>
    <row r="606" spans="1:6" x14ac:dyDescent="0.3">
      <c r="A606" t="s">
        <v>184</v>
      </c>
      <c r="B606">
        <v>1964</v>
      </c>
      <c r="C606" s="4">
        <v>1964.0833333211599</v>
      </c>
      <c r="D606">
        <v>0</v>
      </c>
      <c r="E606" s="8">
        <f t="shared" si="15"/>
        <v>-0.8524891457731103</v>
      </c>
      <c r="F606" s="3">
        <f>STANDARDIZE(D606,I$9,J$9)</f>
        <v>-0.20151463750030485</v>
      </c>
    </row>
    <row r="607" spans="1:6" x14ac:dyDescent="0.3">
      <c r="A607" t="s">
        <v>183</v>
      </c>
      <c r="B607">
        <v>1964</v>
      </c>
      <c r="C607" s="4">
        <v>1963.9999999878</v>
      </c>
      <c r="D607">
        <v>0</v>
      </c>
      <c r="E607" s="8">
        <f t="shared" si="15"/>
        <v>-0.8524891457731103</v>
      </c>
      <c r="F607" s="3">
        <f>STANDARDIZE(D607,I$8,J$8)</f>
        <v>-0.26336194822754155</v>
      </c>
    </row>
    <row r="608" spans="1:6" x14ac:dyDescent="0.3">
      <c r="A608" t="s">
        <v>194</v>
      </c>
      <c r="B608">
        <v>1963</v>
      </c>
      <c r="C608" s="4">
        <v>1963.91666665444</v>
      </c>
      <c r="E608" s="8"/>
      <c r="F608" s="3"/>
    </row>
    <row r="609" spans="1:6" x14ac:dyDescent="0.3">
      <c r="A609" t="s">
        <v>193</v>
      </c>
      <c r="B609">
        <v>1963</v>
      </c>
      <c r="C609" s="4">
        <v>1963.8333333210801</v>
      </c>
      <c r="D609">
        <v>345</v>
      </c>
      <c r="E609" s="8">
        <f t="shared" si="15"/>
        <v>3.0868476431762639</v>
      </c>
      <c r="F609" s="3">
        <f>STANDARDIZE(D609,I$18,J$18)</f>
        <v>1.9565139342181153</v>
      </c>
    </row>
    <row r="610" spans="1:6" x14ac:dyDescent="0.3">
      <c r="A610" t="s">
        <v>192</v>
      </c>
      <c r="B610">
        <v>1963</v>
      </c>
      <c r="C610" s="4">
        <v>1963.74999998772</v>
      </c>
      <c r="D610">
        <v>49</v>
      </c>
      <c r="E610" s="8">
        <f t="shared" si="15"/>
        <v>-0.29298913806725713</v>
      </c>
      <c r="F610" s="3">
        <f>STANDARDIZE(D610,I$17,J$17)</f>
        <v>-1.1179820789260653</v>
      </c>
    </row>
    <row r="611" spans="1:6" x14ac:dyDescent="0.3">
      <c r="A611" t="s">
        <v>191</v>
      </c>
      <c r="B611">
        <v>1963</v>
      </c>
      <c r="C611" s="4">
        <v>1963.6666666543599</v>
      </c>
      <c r="D611">
        <v>157</v>
      </c>
      <c r="E611" s="8">
        <f t="shared" si="15"/>
        <v>0.94019455238645999</v>
      </c>
      <c r="F611" s="3">
        <f>STANDARDIZE(D611,I$16,J$16)</f>
        <v>0.44881653705326069</v>
      </c>
    </row>
    <row r="612" spans="1:6" x14ac:dyDescent="0.3">
      <c r="A612" t="s">
        <v>190</v>
      </c>
      <c r="B612">
        <v>1963</v>
      </c>
      <c r="C612" s="4">
        <v>1963.5833333210001</v>
      </c>
      <c r="D612">
        <v>19</v>
      </c>
      <c r="E612" s="8">
        <f t="shared" si="15"/>
        <v>-0.63554016319328965</v>
      </c>
      <c r="F612" s="3">
        <f>STANDARDIZE(D612,I$15,J$15)</f>
        <v>-1.0844506111797549</v>
      </c>
    </row>
    <row r="613" spans="1:6" x14ac:dyDescent="0.3">
      <c r="A613" t="s">
        <v>189</v>
      </c>
      <c r="B613">
        <v>1963</v>
      </c>
      <c r="C613" s="4">
        <v>1963.49999998764</v>
      </c>
      <c r="D613">
        <v>158</v>
      </c>
      <c r="E613" s="8">
        <f t="shared" si="15"/>
        <v>0.9516129198906611</v>
      </c>
      <c r="F613" s="3">
        <f>STANDARDIZE(D613,I$14,J$14)</f>
        <v>0.72086702207819298</v>
      </c>
    </row>
    <row r="614" spans="1:6" x14ac:dyDescent="0.3">
      <c r="A614" t="s">
        <v>188</v>
      </c>
      <c r="B614">
        <v>1963</v>
      </c>
      <c r="C614" s="4">
        <v>1963.4166666542801</v>
      </c>
      <c r="D614">
        <v>50.5</v>
      </c>
      <c r="E614" s="8">
        <f t="shared" si="15"/>
        <v>-0.27586158681095552</v>
      </c>
      <c r="F614" s="3">
        <f>STANDARDIZE(D614,I$13,J$13)</f>
        <v>-0.69276617640483629</v>
      </c>
    </row>
    <row r="615" spans="1:6" x14ac:dyDescent="0.3">
      <c r="A615" t="s">
        <v>187</v>
      </c>
      <c r="B615">
        <v>1963</v>
      </c>
      <c r="C615" s="4">
        <v>1963.33333332092</v>
      </c>
      <c r="D615">
        <v>25.3</v>
      </c>
      <c r="E615" s="8">
        <f t="shared" si="15"/>
        <v>-0.56360444791682285</v>
      </c>
      <c r="F615" s="3">
        <f>STANDARDIZE(D615,I$12,J$12)</f>
        <v>-0.97785379776097059</v>
      </c>
    </row>
    <row r="616" spans="1:6" x14ac:dyDescent="0.3">
      <c r="A616" t="s">
        <v>186</v>
      </c>
      <c r="B616">
        <v>1963</v>
      </c>
      <c r="C616" s="4">
        <v>1963.2499999875599</v>
      </c>
      <c r="D616">
        <v>45</v>
      </c>
      <c r="E616" s="8">
        <f t="shared" si="15"/>
        <v>-0.33866260808406146</v>
      </c>
      <c r="F616" s="3">
        <f>STANDARDIZE(D616,I$11,J$11)</f>
        <v>1.0603017891411612</v>
      </c>
    </row>
    <row r="617" spans="1:6" x14ac:dyDescent="0.3">
      <c r="A617" t="s">
        <v>185</v>
      </c>
      <c r="B617">
        <v>1963</v>
      </c>
      <c r="C617" s="4">
        <v>1963.1666666542001</v>
      </c>
      <c r="D617">
        <v>0</v>
      </c>
      <c r="E617" s="8">
        <f t="shared" si="15"/>
        <v>-0.8524891457731103</v>
      </c>
      <c r="F617" s="3">
        <f>STANDARDIZE(D617,I$10,J$10)</f>
        <v>-0.47170382615107059</v>
      </c>
    </row>
    <row r="618" spans="1:6" x14ac:dyDescent="0.3">
      <c r="A618" t="s">
        <v>184</v>
      </c>
      <c r="B618">
        <v>1963</v>
      </c>
      <c r="C618" s="4">
        <v>1963.08333332084</v>
      </c>
      <c r="D618">
        <v>0</v>
      </c>
      <c r="E618" s="8">
        <f t="shared" si="15"/>
        <v>-0.8524891457731103</v>
      </c>
      <c r="F618" s="3">
        <f>STANDARDIZE(D618,I$9,J$9)</f>
        <v>-0.20151463750030485</v>
      </c>
    </row>
    <row r="619" spans="1:6" x14ac:dyDescent="0.3">
      <c r="A619" t="s">
        <v>183</v>
      </c>
      <c r="B619">
        <v>1963</v>
      </c>
      <c r="C619" s="4">
        <v>1962.9999999874799</v>
      </c>
      <c r="D619">
        <v>0</v>
      </c>
      <c r="E619" s="8">
        <f t="shared" si="15"/>
        <v>-0.8524891457731103</v>
      </c>
      <c r="F619" s="3">
        <f>STANDARDIZE(D619,I$8,J$8)</f>
        <v>-0.26336194822754155</v>
      </c>
    </row>
    <row r="620" spans="1:6" x14ac:dyDescent="0.3">
      <c r="A620" t="s">
        <v>194</v>
      </c>
      <c r="B620">
        <v>1962</v>
      </c>
      <c r="C620" s="4">
        <v>1962.91666665412</v>
      </c>
      <c r="E620" s="8"/>
      <c r="F620" s="3"/>
    </row>
    <row r="621" spans="1:6" x14ac:dyDescent="0.3">
      <c r="A621" t="s">
        <v>193</v>
      </c>
      <c r="B621">
        <v>1962</v>
      </c>
      <c r="C621" s="4">
        <v>1962.8333333207599</v>
      </c>
      <c r="E621" s="8"/>
      <c r="F621" s="3"/>
    </row>
    <row r="622" spans="1:6" x14ac:dyDescent="0.3">
      <c r="A622" t="s">
        <v>192</v>
      </c>
      <c r="B622">
        <v>1962</v>
      </c>
      <c r="C622" s="4">
        <v>1962.7499999874001</v>
      </c>
      <c r="E622" s="8"/>
      <c r="F622" s="3"/>
    </row>
    <row r="623" spans="1:6" x14ac:dyDescent="0.3">
      <c r="A623" t="s">
        <v>191</v>
      </c>
      <c r="B623">
        <v>1962</v>
      </c>
      <c r="C623" s="4">
        <v>1962.66666665404</v>
      </c>
      <c r="E623" s="8"/>
      <c r="F623" s="3"/>
    </row>
    <row r="624" spans="1:6" x14ac:dyDescent="0.3">
      <c r="A624" t="s">
        <v>190</v>
      </c>
      <c r="B624">
        <v>1962</v>
      </c>
      <c r="C624" s="4">
        <v>1962.5833333206799</v>
      </c>
      <c r="E624" s="8"/>
      <c r="F624" s="3"/>
    </row>
    <row r="625" spans="1:6" x14ac:dyDescent="0.3">
      <c r="A625" t="s">
        <v>189</v>
      </c>
      <c r="B625">
        <v>1962</v>
      </c>
      <c r="C625" s="4">
        <v>1962.4999999873201</v>
      </c>
      <c r="E625" s="8"/>
      <c r="F625" s="3"/>
    </row>
    <row r="626" spans="1:6" x14ac:dyDescent="0.3">
      <c r="A626" t="s">
        <v>188</v>
      </c>
      <c r="B626">
        <v>1962</v>
      </c>
      <c r="C626" s="4">
        <v>1962.41666665396</v>
      </c>
      <c r="E626" s="8"/>
      <c r="F626" s="3"/>
    </row>
    <row r="627" spans="1:6" x14ac:dyDescent="0.3">
      <c r="A627" t="s">
        <v>187</v>
      </c>
      <c r="B627">
        <v>1962</v>
      </c>
      <c r="C627" s="4">
        <v>1962.3333333205999</v>
      </c>
      <c r="E627" s="8"/>
      <c r="F627" s="3"/>
    </row>
    <row r="628" spans="1:6" x14ac:dyDescent="0.3">
      <c r="A628" t="s">
        <v>186</v>
      </c>
      <c r="B628">
        <v>1962</v>
      </c>
      <c r="C628" s="4">
        <v>1962.24999998724</v>
      </c>
      <c r="E628" s="8"/>
      <c r="F628" s="3"/>
    </row>
    <row r="629" spans="1:6" x14ac:dyDescent="0.3">
      <c r="A629" t="s">
        <v>185</v>
      </c>
      <c r="B629">
        <v>1962</v>
      </c>
      <c r="C629" s="4">
        <v>1962.1666666538799</v>
      </c>
      <c r="E629" s="8"/>
      <c r="F629" s="3"/>
    </row>
    <row r="630" spans="1:6" x14ac:dyDescent="0.3">
      <c r="A630" t="s">
        <v>184</v>
      </c>
      <c r="B630">
        <v>1962</v>
      </c>
      <c r="C630" s="4">
        <v>1962.0833333205201</v>
      </c>
      <c r="E630" s="8"/>
      <c r="F630" s="3"/>
    </row>
    <row r="631" spans="1:6" x14ac:dyDescent="0.3">
      <c r="A631" t="s">
        <v>183</v>
      </c>
      <c r="B631">
        <v>1962</v>
      </c>
      <c r="C631" s="4">
        <v>1961.99999998716</v>
      </c>
      <c r="E631" s="8"/>
      <c r="F631" s="3"/>
    </row>
    <row r="632" spans="1:6" x14ac:dyDescent="0.3">
      <c r="A632" t="s">
        <v>194</v>
      </c>
      <c r="B632">
        <v>1961</v>
      </c>
      <c r="C632" s="4">
        <v>1961.9166666537999</v>
      </c>
      <c r="E632" s="8"/>
      <c r="F632" s="3"/>
    </row>
    <row r="633" spans="1:6" x14ac:dyDescent="0.3">
      <c r="A633" t="s">
        <v>193</v>
      </c>
      <c r="B633">
        <v>1961</v>
      </c>
      <c r="C633" s="4">
        <v>1961.83333332044</v>
      </c>
      <c r="D633">
        <v>108</v>
      </c>
      <c r="E633" s="8">
        <f t="shared" si="15"/>
        <v>0.38069454468060687</v>
      </c>
      <c r="F633" s="3">
        <f>STANDARDIZE(D633,I$18,J$18)</f>
        <v>-0.15014609934904091</v>
      </c>
    </row>
    <row r="634" spans="1:6" x14ac:dyDescent="0.3">
      <c r="A634" t="s">
        <v>192</v>
      </c>
      <c r="B634">
        <v>1961</v>
      </c>
      <c r="C634" s="4">
        <v>1961.7499999870799</v>
      </c>
      <c r="D634">
        <v>140.5</v>
      </c>
      <c r="E634" s="8">
        <f t="shared" si="15"/>
        <v>0.75179148856714206</v>
      </c>
      <c r="F634" s="3">
        <f>STANDARDIZE(D634,I$17,J$17)</f>
        <v>-0.37672278128625936</v>
      </c>
    </row>
    <row r="635" spans="1:6" x14ac:dyDescent="0.3">
      <c r="A635" t="s">
        <v>191</v>
      </c>
      <c r="B635">
        <v>1961</v>
      </c>
      <c r="C635" s="4">
        <v>1961.6666666537201</v>
      </c>
      <c r="D635">
        <v>159</v>
      </c>
      <c r="E635" s="8">
        <f t="shared" si="15"/>
        <v>0.96303128739486221</v>
      </c>
      <c r="F635" s="3">
        <f>STANDARDIZE(D635,I$16,J$16)</f>
        <v>0.47533450083779605</v>
      </c>
    </row>
    <row r="636" spans="1:6" x14ac:dyDescent="0.3">
      <c r="A636" t="s">
        <v>190</v>
      </c>
      <c r="B636">
        <v>1961</v>
      </c>
      <c r="C636" s="4">
        <v>1961.58333332036</v>
      </c>
      <c r="D636">
        <v>95.4</v>
      </c>
      <c r="E636" s="8">
        <f t="shared" si="15"/>
        <v>0.23682311412767326</v>
      </c>
      <c r="F636" s="3">
        <f>STANDARDIZE(D636,I$15,J$15)</f>
        <v>-0.11613755770159571</v>
      </c>
    </row>
    <row r="637" spans="1:6" x14ac:dyDescent="0.3">
      <c r="A637" t="s">
        <v>189</v>
      </c>
      <c r="B637">
        <v>1961</v>
      </c>
      <c r="C637" s="4">
        <v>1961.4999999869999</v>
      </c>
      <c r="D637">
        <v>40.6</v>
      </c>
      <c r="E637" s="8">
        <f t="shared" si="15"/>
        <v>-0.38890342510254622</v>
      </c>
      <c r="F637" s="3">
        <f>STANDARDIZE(D637,I$14,J$14)</f>
        <v>-0.68626457122444307</v>
      </c>
    </row>
    <row r="638" spans="1:6" x14ac:dyDescent="0.3">
      <c r="A638" t="s">
        <v>188</v>
      </c>
      <c r="B638">
        <v>1961</v>
      </c>
      <c r="C638" s="4">
        <v>1961.41666665364</v>
      </c>
      <c r="D638">
        <v>56.2</v>
      </c>
      <c r="E638" s="8">
        <f t="shared" si="15"/>
        <v>-0.21077689203700931</v>
      </c>
      <c r="F638" s="3">
        <f>STANDARDIZE(D638,I$13,J$13)</f>
        <v>-0.60403407721815827</v>
      </c>
    </row>
    <row r="639" spans="1:6" x14ac:dyDescent="0.3">
      <c r="A639" t="s">
        <v>187</v>
      </c>
      <c r="B639">
        <v>1961</v>
      </c>
      <c r="C639" s="4">
        <v>1961.33333332028</v>
      </c>
      <c r="D639">
        <v>0</v>
      </c>
      <c r="E639" s="8">
        <f t="shared" si="15"/>
        <v>-0.8524891457731103</v>
      </c>
      <c r="F639" s="3">
        <f>STANDARDIZE(D639,I$12,J$12)</f>
        <v>-1.360729111153296</v>
      </c>
    </row>
    <row r="640" spans="1:6" x14ac:dyDescent="0.3">
      <c r="A640" t="s">
        <v>186</v>
      </c>
      <c r="B640">
        <v>1961</v>
      </c>
      <c r="C640" s="4">
        <v>1961.2499999869201</v>
      </c>
      <c r="E640" s="8"/>
      <c r="F640" s="3"/>
    </row>
    <row r="641" spans="1:6" x14ac:dyDescent="0.3">
      <c r="A641" t="s">
        <v>185</v>
      </c>
      <c r="B641">
        <v>1961</v>
      </c>
      <c r="C641" s="4">
        <v>1961.16666665356</v>
      </c>
      <c r="D641">
        <v>0</v>
      </c>
      <c r="E641" s="8">
        <f t="shared" si="15"/>
        <v>-0.8524891457731103</v>
      </c>
      <c r="F641" s="3">
        <f>STANDARDIZE(D641,I$10,J$10)</f>
        <v>-0.47170382615107059</v>
      </c>
    </row>
    <row r="642" spans="1:6" x14ac:dyDescent="0.3">
      <c r="A642" t="s">
        <v>184</v>
      </c>
      <c r="B642">
        <v>1961</v>
      </c>
      <c r="C642" s="4">
        <v>1961.0833333201999</v>
      </c>
      <c r="D642">
        <v>0</v>
      </c>
      <c r="E642" s="8">
        <f t="shared" si="15"/>
        <v>-0.8524891457731103</v>
      </c>
      <c r="F642" s="3">
        <f>STANDARDIZE(D642,I$9,J$9)</f>
        <v>-0.20151463750030485</v>
      </c>
    </row>
    <row r="643" spans="1:6" x14ac:dyDescent="0.3">
      <c r="A643" t="s">
        <v>183</v>
      </c>
      <c r="B643">
        <v>1961</v>
      </c>
      <c r="C643" s="4">
        <v>1960.9999999868401</v>
      </c>
      <c r="D643">
        <v>0</v>
      </c>
      <c r="E643" s="8">
        <f t="shared" si="15"/>
        <v>-0.8524891457731103</v>
      </c>
      <c r="F643" s="3">
        <f>STANDARDIZE(D643,I$8,J$8)</f>
        <v>-0.26336194822754155</v>
      </c>
    </row>
    <row r="644" spans="1:6" x14ac:dyDescent="0.3">
      <c r="A644" t="s">
        <v>194</v>
      </c>
      <c r="B644">
        <v>1960</v>
      </c>
      <c r="C644" s="4">
        <v>1960.91666665348</v>
      </c>
      <c r="D644">
        <v>54</v>
      </c>
      <c r="E644" s="8">
        <f t="shared" si="15"/>
        <v>-0.23589730054625171</v>
      </c>
      <c r="F644" s="3">
        <f>STANDARDIZE(D644,I$19,J$19)</f>
        <v>0.31545490854416902</v>
      </c>
    </row>
    <row r="645" spans="1:6" x14ac:dyDescent="0.3">
      <c r="A645" t="s">
        <v>193</v>
      </c>
      <c r="B645">
        <v>1960</v>
      </c>
      <c r="C645" s="4">
        <v>1960.8333333201199</v>
      </c>
      <c r="D645">
        <v>195.6</v>
      </c>
      <c r="E645" s="8">
        <f t="shared" si="15"/>
        <v>1.3809435380486217</v>
      </c>
      <c r="F645" s="3">
        <f>STANDARDIZE(D645,I$18,J$18)</f>
        <v>0.62851811558970538</v>
      </c>
    </row>
    <row r="646" spans="1:6" x14ac:dyDescent="0.3">
      <c r="A646" t="s">
        <v>192</v>
      </c>
      <c r="B646">
        <v>1960</v>
      </c>
      <c r="C646" s="4">
        <v>1960.74999998676</v>
      </c>
      <c r="D646">
        <v>104.4</v>
      </c>
      <c r="E646" s="8">
        <f t="shared" si="15"/>
        <v>0.33958842166548303</v>
      </c>
      <c r="F646" s="3">
        <f>STANDARDIZE(D646,I$17,J$17)</f>
        <v>-0.66917590308731933</v>
      </c>
    </row>
    <row r="647" spans="1:6" x14ac:dyDescent="0.3">
      <c r="A647" t="s">
        <v>191</v>
      </c>
      <c r="B647">
        <v>1960</v>
      </c>
      <c r="C647" s="4">
        <v>1960.6666666533999</v>
      </c>
      <c r="D647">
        <v>130.4</v>
      </c>
      <c r="E647" s="8">
        <f t="shared" si="15"/>
        <v>0.63646597677471117</v>
      </c>
      <c r="F647" s="3">
        <f>STANDARDIZE(D647,I$16,J$16)</f>
        <v>9.6127618718940933E-2</v>
      </c>
    </row>
    <row r="648" spans="1:6" x14ac:dyDescent="0.3">
      <c r="A648" t="s">
        <v>190</v>
      </c>
      <c r="B648">
        <v>1960</v>
      </c>
      <c r="C648" s="4">
        <v>1960.5833333200401</v>
      </c>
      <c r="D648">
        <v>121.4</v>
      </c>
      <c r="E648" s="8">
        <f t="shared" si="15"/>
        <v>0.5337006692369014</v>
      </c>
      <c r="F648" s="3">
        <f>STANDARDIZE(D648,I$15,J$15)</f>
        <v>0.21339306259201865</v>
      </c>
    </row>
    <row r="649" spans="1:6" x14ac:dyDescent="0.3">
      <c r="A649" t="s">
        <v>189</v>
      </c>
      <c r="B649">
        <v>1960</v>
      </c>
      <c r="C649" s="4">
        <v>1960.49999998668</v>
      </c>
      <c r="D649">
        <v>114</v>
      </c>
      <c r="E649" s="8">
        <f t="shared" si="15"/>
        <v>0.44920474970581337</v>
      </c>
      <c r="F649" s="3">
        <f>STANDARDIZE(D649,I$14,J$14)</f>
        <v>0.19349231930718797</v>
      </c>
    </row>
    <row r="650" spans="1:6" x14ac:dyDescent="0.3">
      <c r="A650" t="s">
        <v>188</v>
      </c>
      <c r="B650">
        <v>1960</v>
      </c>
      <c r="C650" s="4">
        <v>1960.4166666533199</v>
      </c>
      <c r="D650">
        <v>100.3</v>
      </c>
      <c r="E650" s="8">
        <f t="shared" si="15"/>
        <v>0.29277311489825847</v>
      </c>
      <c r="F650" s="3">
        <f>STANDARDIZE(D650,I$13,J$13)</f>
        <v>8.2472163857718786E-2</v>
      </c>
    </row>
    <row r="651" spans="1:6" x14ac:dyDescent="0.3">
      <c r="A651" t="s">
        <v>187</v>
      </c>
      <c r="B651">
        <v>1960</v>
      </c>
      <c r="C651" s="4">
        <v>1960.33333331996</v>
      </c>
      <c r="D651">
        <v>98.4</v>
      </c>
      <c r="E651" s="8">
        <f t="shared" si="15"/>
        <v>0.27107821664027648</v>
      </c>
      <c r="F651" s="3">
        <f>STANDARDIZE(D651,I$12,J$12)</f>
        <v>0.12839858994570924</v>
      </c>
    </row>
    <row r="652" spans="1:6" x14ac:dyDescent="0.3">
      <c r="A652" t="s">
        <v>186</v>
      </c>
      <c r="B652">
        <v>1960</v>
      </c>
      <c r="C652" s="4">
        <v>1960.2499999866</v>
      </c>
      <c r="D652">
        <v>56.9</v>
      </c>
      <c r="E652" s="8">
        <f t="shared" si="15"/>
        <v>-0.20278403478406859</v>
      </c>
      <c r="F652" s="3">
        <f>STANDARDIZE(D652,I$11,J$11)</f>
        <v>1.6231962157150603</v>
      </c>
    </row>
    <row r="653" spans="1:6" x14ac:dyDescent="0.3">
      <c r="A653" t="s">
        <v>185</v>
      </c>
      <c r="B653">
        <v>1960</v>
      </c>
      <c r="C653" s="4">
        <v>1960.1666666532401</v>
      </c>
      <c r="D653">
        <v>0</v>
      </c>
      <c r="E653" s="8">
        <f t="shared" si="15"/>
        <v>-0.8524891457731103</v>
      </c>
      <c r="F653" s="3">
        <f>STANDARDIZE(D653,I$10,J$10)</f>
        <v>-0.47170382615107059</v>
      </c>
    </row>
    <row r="654" spans="1:6" x14ac:dyDescent="0.3">
      <c r="A654" t="s">
        <v>184</v>
      </c>
      <c r="B654">
        <v>1960</v>
      </c>
      <c r="C654" s="4">
        <v>1960.08333331988</v>
      </c>
      <c r="D654">
        <v>0</v>
      </c>
      <c r="E654" s="8">
        <f t="shared" si="15"/>
        <v>-0.8524891457731103</v>
      </c>
      <c r="F654" s="3">
        <f>STANDARDIZE(D654,I$9,J$9)</f>
        <v>-0.20151463750030485</v>
      </c>
    </row>
    <row r="655" spans="1:6" x14ac:dyDescent="0.3">
      <c r="A655" t="s">
        <v>183</v>
      </c>
      <c r="B655">
        <v>1960</v>
      </c>
      <c r="C655" s="4">
        <v>1959.9999999865199</v>
      </c>
      <c r="D655">
        <v>1</v>
      </c>
      <c r="E655" s="8">
        <f t="shared" si="15"/>
        <v>-0.84107077826890919</v>
      </c>
      <c r="F655" s="3">
        <f>STANDARDIZE(D655,I$8,J$8)</f>
        <v>-0.17606990614930143</v>
      </c>
    </row>
    <row r="656" spans="1:6" x14ac:dyDescent="0.3">
      <c r="A656" t="s">
        <v>194</v>
      </c>
      <c r="B656">
        <v>1959</v>
      </c>
      <c r="C656" s="4">
        <v>1959.9166666531601</v>
      </c>
      <c r="E656" s="8"/>
      <c r="F656" s="3"/>
    </row>
    <row r="657" spans="1:6" x14ac:dyDescent="0.3">
      <c r="A657" t="s">
        <v>193</v>
      </c>
      <c r="B657">
        <v>1959</v>
      </c>
      <c r="C657" s="4">
        <v>1959.8333333198</v>
      </c>
      <c r="E657" s="8"/>
      <c r="F657" s="3"/>
    </row>
    <row r="658" spans="1:6" x14ac:dyDescent="0.3">
      <c r="A658" t="s">
        <v>192</v>
      </c>
      <c r="B658">
        <v>1959</v>
      </c>
      <c r="C658" s="4">
        <v>1959.7499999864399</v>
      </c>
      <c r="E658" s="8"/>
      <c r="F658" s="3"/>
    </row>
    <row r="659" spans="1:6" x14ac:dyDescent="0.3">
      <c r="A659" t="s">
        <v>191</v>
      </c>
      <c r="B659">
        <v>1959</v>
      </c>
      <c r="C659" s="4">
        <v>1959.66666665308</v>
      </c>
      <c r="E659" s="8"/>
      <c r="F659" s="3"/>
    </row>
    <row r="660" spans="1:6" x14ac:dyDescent="0.3">
      <c r="A660" t="s">
        <v>190</v>
      </c>
      <c r="B660">
        <v>1959</v>
      </c>
      <c r="C660" s="4">
        <v>1959.5833333197199</v>
      </c>
      <c r="E660" s="8"/>
      <c r="F660" s="3"/>
    </row>
    <row r="661" spans="1:6" x14ac:dyDescent="0.3">
      <c r="A661" t="s">
        <v>189</v>
      </c>
      <c r="B661">
        <v>1959</v>
      </c>
      <c r="C661" s="4">
        <v>1959.4999999863601</v>
      </c>
      <c r="E661" s="8"/>
      <c r="F661" s="3"/>
    </row>
    <row r="662" spans="1:6" x14ac:dyDescent="0.3">
      <c r="A662" t="s">
        <v>188</v>
      </c>
      <c r="B662">
        <v>1959</v>
      </c>
      <c r="C662" s="4">
        <v>1959.416666653</v>
      </c>
      <c r="E662" s="8"/>
      <c r="F662" s="3"/>
    </row>
    <row r="663" spans="1:6" x14ac:dyDescent="0.3">
      <c r="A663" t="s">
        <v>187</v>
      </c>
      <c r="B663">
        <v>1959</v>
      </c>
      <c r="C663" s="4">
        <v>1959.3333333196399</v>
      </c>
      <c r="D663">
        <v>57.5</v>
      </c>
      <c r="E663" s="8">
        <f t="shared" si="15"/>
        <v>-0.19593301428154791</v>
      </c>
      <c r="F663" s="3">
        <f>STANDARDIZE(D663,I$12,J$12)</f>
        <v>-0.49055794435255623</v>
      </c>
    </row>
    <row r="664" spans="1:6" x14ac:dyDescent="0.3">
      <c r="A664" t="s">
        <v>186</v>
      </c>
      <c r="B664">
        <v>1959</v>
      </c>
      <c r="C664" s="4">
        <v>1959.24999998628</v>
      </c>
      <c r="D664">
        <v>45</v>
      </c>
      <c r="E664" s="8">
        <f t="shared" si="15"/>
        <v>-0.33866260808406146</v>
      </c>
      <c r="F664" s="3">
        <f>STANDARDIZE(D664,I$11,J$11)</f>
        <v>1.0603017891411612</v>
      </c>
    </row>
    <row r="665" spans="1:6" x14ac:dyDescent="0.3">
      <c r="A665" t="s">
        <v>185</v>
      </c>
      <c r="B665">
        <v>1959</v>
      </c>
      <c r="C665" s="4">
        <v>1959.16666665291</v>
      </c>
      <c r="D665">
        <v>0</v>
      </c>
      <c r="E665" s="8">
        <f t="shared" si="15"/>
        <v>-0.8524891457731103</v>
      </c>
      <c r="F665" s="3">
        <f>STANDARDIZE(D665,I$10,J$10)</f>
        <v>-0.47170382615107059</v>
      </c>
    </row>
    <row r="666" spans="1:6" x14ac:dyDescent="0.3">
      <c r="A666" t="s">
        <v>184</v>
      </c>
      <c r="B666">
        <v>1959</v>
      </c>
      <c r="C666" s="4">
        <v>1959.0833333195501</v>
      </c>
      <c r="D666">
        <v>0</v>
      </c>
      <c r="E666" s="8">
        <f t="shared" si="15"/>
        <v>-0.8524891457731103</v>
      </c>
      <c r="F666" s="3">
        <f>STANDARDIZE(D666,I$9,J$9)</f>
        <v>-0.20151463750030485</v>
      </c>
    </row>
    <row r="667" spans="1:6" x14ac:dyDescent="0.3">
      <c r="A667" t="s">
        <v>183</v>
      </c>
      <c r="B667">
        <v>1959</v>
      </c>
      <c r="C667" s="4">
        <v>1958.99999998619</v>
      </c>
      <c r="D667">
        <v>0</v>
      </c>
      <c r="E667" s="8">
        <f t="shared" si="15"/>
        <v>-0.8524891457731103</v>
      </c>
      <c r="F667" s="3">
        <f>STANDARDIZE(D667,I$8,J$8)</f>
        <v>-0.26336194822754155</v>
      </c>
    </row>
    <row r="668" spans="1:6" x14ac:dyDescent="0.3">
      <c r="A668" t="s">
        <v>194</v>
      </c>
      <c r="B668">
        <v>1958</v>
      </c>
      <c r="C668" s="4">
        <v>1958.9166666528299</v>
      </c>
      <c r="D668">
        <v>0</v>
      </c>
      <c r="E668" s="8">
        <f t="shared" si="15"/>
        <v>-0.8524891457731103</v>
      </c>
      <c r="F668" s="3">
        <f>STANDARDIZE(D668,I$19,J$19)</f>
        <v>-0.67334584962649535</v>
      </c>
    </row>
    <row r="669" spans="1:6" x14ac:dyDescent="0.3">
      <c r="A669" t="s">
        <v>193</v>
      </c>
      <c r="B669">
        <v>1958</v>
      </c>
      <c r="C669" s="4">
        <v>1958.8333333194701</v>
      </c>
      <c r="D669">
        <v>15.1</v>
      </c>
      <c r="E669" s="8">
        <f t="shared" ref="E669:E732" si="16">STANDARDIZE(D669,F$4,F$5)</f>
        <v>-0.68007179645967386</v>
      </c>
      <c r="F669" s="3">
        <f>STANDARDIZE(D669,I$18,J$18)</f>
        <v>-0.97592127706376175</v>
      </c>
    </row>
    <row r="670" spans="1:6" x14ac:dyDescent="0.3">
      <c r="A670" t="s">
        <v>192</v>
      </c>
      <c r="B670">
        <v>1958</v>
      </c>
      <c r="C670" s="4">
        <v>1958.74999998611</v>
      </c>
      <c r="D670">
        <v>165.9</v>
      </c>
      <c r="E670" s="8">
        <f t="shared" si="16"/>
        <v>1.0418180231738496</v>
      </c>
      <c r="F670" s="3">
        <f>STANDARDIZE(D670,I$17,J$17)</f>
        <v>-0.17095244073925309</v>
      </c>
    </row>
    <row r="671" spans="1:6" x14ac:dyDescent="0.3">
      <c r="A671" t="s">
        <v>191</v>
      </c>
      <c r="B671">
        <v>1958</v>
      </c>
      <c r="C671" s="4">
        <v>1958.6666666527501</v>
      </c>
      <c r="D671">
        <v>93</v>
      </c>
      <c r="E671" s="8">
        <f t="shared" si="16"/>
        <v>0.20941903211759058</v>
      </c>
      <c r="F671" s="3">
        <f>STANDARDIZE(D671,I$16,J$16)</f>
        <v>-0.39975830405186974</v>
      </c>
    </row>
    <row r="672" spans="1:6" x14ac:dyDescent="0.3">
      <c r="A672" t="s">
        <v>190</v>
      </c>
      <c r="B672">
        <v>1958</v>
      </c>
      <c r="C672" s="4">
        <v>1958.58333331939</v>
      </c>
      <c r="D672">
        <v>127.5</v>
      </c>
      <c r="E672" s="8">
        <f t="shared" si="16"/>
        <v>0.60335271101252796</v>
      </c>
      <c r="F672" s="3">
        <f>STANDARDIZE(D672,I$15,J$15)</f>
        <v>0.2907060158147512</v>
      </c>
    </row>
    <row r="673" spans="1:6" x14ac:dyDescent="0.3">
      <c r="A673" t="s">
        <v>189</v>
      </c>
      <c r="B673">
        <v>1958</v>
      </c>
      <c r="C673" s="4">
        <v>1958.4999999860299</v>
      </c>
      <c r="D673">
        <v>93.5</v>
      </c>
      <c r="E673" s="8">
        <f t="shared" si="16"/>
        <v>0.21512821586969114</v>
      </c>
      <c r="F673" s="3">
        <f>STANDARDIZE(D673,I$14,J$14)</f>
        <v>-5.2216349029302986E-2</v>
      </c>
    </row>
    <row r="674" spans="1:6" x14ac:dyDescent="0.3">
      <c r="A674" t="s">
        <v>188</v>
      </c>
      <c r="B674">
        <v>1958</v>
      </c>
      <c r="C674" s="4">
        <v>1958.4166666526701</v>
      </c>
      <c r="E674" s="8"/>
      <c r="F674" s="3"/>
    </row>
    <row r="675" spans="1:6" x14ac:dyDescent="0.3">
      <c r="A675" t="s">
        <v>187</v>
      </c>
      <c r="B675">
        <v>1958</v>
      </c>
      <c r="C675" s="4">
        <v>1958.33333331931</v>
      </c>
      <c r="E675" s="8"/>
      <c r="F675" s="3"/>
    </row>
    <row r="676" spans="1:6" x14ac:dyDescent="0.3">
      <c r="A676" t="s">
        <v>186</v>
      </c>
      <c r="B676">
        <v>1958</v>
      </c>
      <c r="C676" s="4">
        <v>1958.2499999859499</v>
      </c>
      <c r="E676" s="8"/>
      <c r="F676" s="3"/>
    </row>
    <row r="677" spans="1:6" x14ac:dyDescent="0.3">
      <c r="A677" t="s">
        <v>185</v>
      </c>
      <c r="B677">
        <v>1958</v>
      </c>
      <c r="C677" s="4">
        <v>1958.16666665259</v>
      </c>
      <c r="E677" s="8"/>
      <c r="F677" s="3"/>
    </row>
    <row r="678" spans="1:6" x14ac:dyDescent="0.3">
      <c r="A678" t="s">
        <v>184</v>
      </c>
      <c r="B678">
        <v>1958</v>
      </c>
      <c r="C678" s="4">
        <v>1958.08333331923</v>
      </c>
      <c r="E678" s="8"/>
      <c r="F678" s="3"/>
    </row>
    <row r="679" spans="1:6" x14ac:dyDescent="0.3">
      <c r="A679" t="s">
        <v>183</v>
      </c>
      <c r="B679">
        <v>1958</v>
      </c>
      <c r="C679" s="4">
        <v>1957.9999999858701</v>
      </c>
      <c r="E679" s="8"/>
      <c r="F679" s="3"/>
    </row>
    <row r="680" spans="1:6" x14ac:dyDescent="0.3">
      <c r="A680" t="s">
        <v>194</v>
      </c>
      <c r="B680">
        <v>1957</v>
      </c>
      <c r="C680" s="4">
        <v>1957.91666665251</v>
      </c>
      <c r="D680">
        <v>0</v>
      </c>
      <c r="E680" s="8">
        <f t="shared" si="16"/>
        <v>-0.8524891457731103</v>
      </c>
      <c r="F680" s="3">
        <f>STANDARDIZE(D680,I$19,J$19)</f>
        <v>-0.67334584962649535</v>
      </c>
    </row>
    <row r="681" spans="1:6" x14ac:dyDescent="0.3">
      <c r="A681" t="s">
        <v>193</v>
      </c>
      <c r="B681">
        <v>1957</v>
      </c>
      <c r="C681" s="4">
        <v>1957.8333333191499</v>
      </c>
      <c r="D681">
        <v>33.299999999999997</v>
      </c>
      <c r="E681" s="8">
        <f t="shared" si="16"/>
        <v>-0.47225750788321419</v>
      </c>
      <c r="F681" s="3">
        <f>STANDARDIZE(D681,I$18,J$18)</f>
        <v>-0.81414400866324588</v>
      </c>
    </row>
    <row r="682" spans="1:6" x14ac:dyDescent="0.3">
      <c r="A682" t="s">
        <v>192</v>
      </c>
      <c r="B682">
        <v>1957</v>
      </c>
      <c r="C682" s="4">
        <v>1957.7499999857901</v>
      </c>
      <c r="D682">
        <v>47.9</v>
      </c>
      <c r="E682" s="8">
        <f t="shared" si="16"/>
        <v>-0.30554934232187836</v>
      </c>
      <c r="F682" s="3">
        <f>STANDARDIZE(D682,I$17,J$17)</f>
        <v>-1.1268933928867624</v>
      </c>
    </row>
    <row r="683" spans="1:6" x14ac:dyDescent="0.3">
      <c r="A683" t="s">
        <v>191</v>
      </c>
      <c r="B683">
        <v>1957</v>
      </c>
      <c r="C683" s="4">
        <v>1957.66666665243</v>
      </c>
      <c r="D683">
        <v>17.7</v>
      </c>
      <c r="E683" s="8">
        <f t="shared" si="16"/>
        <v>-0.65038404094875102</v>
      </c>
      <c r="F683" s="3">
        <f>STANDARDIZE(D683,I$16,J$16)</f>
        <v>-1.3981596405396248</v>
      </c>
    </row>
    <row r="684" spans="1:6" x14ac:dyDescent="0.3">
      <c r="A684" t="s">
        <v>190</v>
      </c>
      <c r="B684">
        <v>1957</v>
      </c>
      <c r="C684" s="4">
        <v>1957.5833333190701</v>
      </c>
      <c r="D684">
        <v>46</v>
      </c>
      <c r="E684" s="8">
        <f t="shared" si="16"/>
        <v>-0.3272442405798604</v>
      </c>
      <c r="F684" s="3">
        <f>STANDARDIZE(D684,I$15,J$15)</f>
        <v>-0.74224573625946311</v>
      </c>
    </row>
    <row r="685" spans="1:6" x14ac:dyDescent="0.3">
      <c r="A685" t="s">
        <v>189</v>
      </c>
      <c r="B685">
        <v>1957</v>
      </c>
      <c r="C685" s="4">
        <v>1957.49999998571</v>
      </c>
      <c r="D685">
        <v>47.9</v>
      </c>
      <c r="E685" s="8">
        <f t="shared" si="16"/>
        <v>-0.30554934232187836</v>
      </c>
      <c r="F685" s="3">
        <f>STANDARDIZE(D685,I$14,J$14)</f>
        <v>-0.59876831371925365</v>
      </c>
    </row>
    <row r="686" spans="1:6" x14ac:dyDescent="0.3">
      <c r="A686" t="s">
        <v>188</v>
      </c>
      <c r="B686">
        <v>1957</v>
      </c>
      <c r="C686" s="4">
        <v>1957.4166666523499</v>
      </c>
      <c r="D686">
        <v>16</v>
      </c>
      <c r="E686" s="8">
        <f t="shared" si="16"/>
        <v>-0.66979526570589287</v>
      </c>
      <c r="F686" s="3">
        <f>STANDARDIZE(D686,I$13,J$13)</f>
        <v>-1.2298288820084136</v>
      </c>
    </row>
    <row r="687" spans="1:6" x14ac:dyDescent="0.3">
      <c r="A687" t="s">
        <v>187</v>
      </c>
      <c r="B687">
        <v>1957</v>
      </c>
      <c r="C687" s="4">
        <v>1957.3333333189901</v>
      </c>
      <c r="D687">
        <v>16.899999999999999</v>
      </c>
      <c r="E687" s="8">
        <f t="shared" si="16"/>
        <v>-0.659518734952112</v>
      </c>
      <c r="F687" s="3">
        <f>STANDARDIZE(D687,I$12,J$12)</f>
        <v>-1.104974455171861</v>
      </c>
    </row>
    <row r="688" spans="1:6" x14ac:dyDescent="0.3">
      <c r="A688" t="s">
        <v>186</v>
      </c>
      <c r="B688">
        <v>1957</v>
      </c>
      <c r="C688" s="4">
        <v>1957.24999998563</v>
      </c>
      <c r="D688">
        <v>0.9</v>
      </c>
      <c r="E688" s="8">
        <f t="shared" si="16"/>
        <v>-0.8422126150193292</v>
      </c>
      <c r="F688" s="3">
        <f>STANDARDIZE(D688,I$11,J$11)</f>
        <v>-1.0257187328679933</v>
      </c>
    </row>
    <row r="689" spans="1:6" x14ac:dyDescent="0.3">
      <c r="A689" t="s">
        <v>185</v>
      </c>
      <c r="B689">
        <v>1957</v>
      </c>
      <c r="C689" s="4">
        <v>1957.1666666522699</v>
      </c>
      <c r="D689">
        <v>0</v>
      </c>
      <c r="E689" s="8">
        <f t="shared" si="16"/>
        <v>-0.8524891457731103</v>
      </c>
      <c r="F689" s="3">
        <f>STANDARDIZE(D689,I$10,J$10)</f>
        <v>-0.47170382615107059</v>
      </c>
    </row>
    <row r="690" spans="1:6" x14ac:dyDescent="0.3">
      <c r="A690" t="s">
        <v>184</v>
      </c>
      <c r="B690">
        <v>1957</v>
      </c>
      <c r="C690" s="4">
        <v>1957.08333331891</v>
      </c>
      <c r="D690">
        <v>0</v>
      </c>
      <c r="E690" s="8">
        <f t="shared" si="16"/>
        <v>-0.8524891457731103</v>
      </c>
      <c r="F690" s="3">
        <f>STANDARDIZE(D690,I$9,J$9)</f>
        <v>-0.20151463750030485</v>
      </c>
    </row>
    <row r="691" spans="1:6" x14ac:dyDescent="0.3">
      <c r="A691" t="s">
        <v>183</v>
      </c>
      <c r="B691">
        <v>1957</v>
      </c>
      <c r="C691" s="4">
        <v>1956.9999999855499</v>
      </c>
      <c r="D691">
        <v>0</v>
      </c>
      <c r="E691" s="8">
        <f t="shared" si="16"/>
        <v>-0.8524891457731103</v>
      </c>
      <c r="F691" s="3">
        <f>STANDARDIZE(D691,I$8,J$8)</f>
        <v>-0.26336194822754155</v>
      </c>
    </row>
    <row r="692" spans="1:6" x14ac:dyDescent="0.3">
      <c r="A692" t="s">
        <v>194</v>
      </c>
      <c r="B692">
        <v>1956</v>
      </c>
      <c r="C692" s="4">
        <v>1956.9166666521901</v>
      </c>
      <c r="D692">
        <v>0</v>
      </c>
      <c r="E692" s="8">
        <f t="shared" si="16"/>
        <v>-0.8524891457731103</v>
      </c>
      <c r="F692" s="3">
        <f>STANDARDIZE(D692,I$19,J$19)</f>
        <v>-0.67334584962649535</v>
      </c>
    </row>
    <row r="693" spans="1:6" x14ac:dyDescent="0.3">
      <c r="A693" t="s">
        <v>193</v>
      </c>
      <c r="B693">
        <v>1956</v>
      </c>
      <c r="C693" s="4">
        <v>1956.83333331883</v>
      </c>
      <c r="D693">
        <v>58.8</v>
      </c>
      <c r="E693" s="8">
        <f t="shared" si="16"/>
        <v>-0.18108913652608655</v>
      </c>
      <c r="F693" s="3">
        <f>STANDARDIZE(D693,I$18,J$18)</f>
        <v>-0.58747805568450118</v>
      </c>
    </row>
    <row r="694" spans="1:6" x14ac:dyDescent="0.3">
      <c r="A694" t="s">
        <v>192</v>
      </c>
      <c r="B694">
        <v>1956</v>
      </c>
      <c r="C694" s="4">
        <v>1956.7499999854699</v>
      </c>
      <c r="D694">
        <v>26.3</v>
      </c>
      <c r="E694" s="8">
        <f t="shared" si="16"/>
        <v>-0.55218608041262174</v>
      </c>
      <c r="F694" s="3">
        <f>STANDARDIZE(D694,I$17,J$17)</f>
        <v>-1.3018791942968149</v>
      </c>
    </row>
    <row r="695" spans="1:6" x14ac:dyDescent="0.3">
      <c r="A695" t="s">
        <v>191</v>
      </c>
      <c r="B695">
        <v>1956</v>
      </c>
      <c r="C695" s="4">
        <v>1956.6666666521101</v>
      </c>
      <c r="D695">
        <v>89.6</v>
      </c>
      <c r="E695" s="8">
        <f t="shared" si="16"/>
        <v>0.17059658260330685</v>
      </c>
      <c r="F695" s="3">
        <f>STANDARDIZE(D695,I$16,J$16)</f>
        <v>-0.44483884248557987</v>
      </c>
    </row>
    <row r="696" spans="1:6" x14ac:dyDescent="0.3">
      <c r="A696" t="s">
        <v>190</v>
      </c>
      <c r="B696">
        <v>1956</v>
      </c>
      <c r="C696" s="4">
        <v>1956.58333331875</v>
      </c>
      <c r="D696">
        <v>28</v>
      </c>
      <c r="E696" s="8">
        <f t="shared" si="16"/>
        <v>-0.53277485565547988</v>
      </c>
      <c r="F696" s="3">
        <f>STANDARDIZE(D696,I$15,J$15)</f>
        <v>-0.9703823195396577</v>
      </c>
    </row>
    <row r="697" spans="1:6" x14ac:dyDescent="0.3">
      <c r="A697" t="s">
        <v>189</v>
      </c>
      <c r="B697">
        <v>1956</v>
      </c>
      <c r="C697" s="4">
        <v>1956.4999999853901</v>
      </c>
      <c r="D697">
        <v>60.3</v>
      </c>
      <c r="E697" s="8">
        <f t="shared" si="16"/>
        <v>-0.16396158526978491</v>
      </c>
      <c r="F697" s="3">
        <f>STANDARDIZE(D697,I$14,J$14)</f>
        <v>-0.45014453384742498</v>
      </c>
    </row>
    <row r="698" spans="1:6" x14ac:dyDescent="0.3">
      <c r="A698" t="s">
        <v>188</v>
      </c>
      <c r="B698">
        <v>1956</v>
      </c>
      <c r="C698" s="4">
        <v>1956.41666665203</v>
      </c>
      <c r="D698">
        <v>150.4</v>
      </c>
      <c r="E698" s="8">
        <f t="shared" si="16"/>
        <v>0.86483332685873293</v>
      </c>
      <c r="F698" s="3">
        <f>STANDARDIZE(D698,I$13,J$13)</f>
        <v>0.86238061460378335</v>
      </c>
    </row>
    <row r="699" spans="1:6" x14ac:dyDescent="0.3">
      <c r="A699" t="s">
        <v>187</v>
      </c>
      <c r="B699">
        <v>1956</v>
      </c>
      <c r="C699" s="4">
        <v>1956.3333333186699</v>
      </c>
      <c r="D699">
        <v>26.5</v>
      </c>
      <c r="E699" s="8">
        <f t="shared" si="16"/>
        <v>-0.54990240691178149</v>
      </c>
      <c r="F699" s="3">
        <f>STANDARDIZE(D699,I$12,J$12)</f>
        <v>-0.95969370384512898</v>
      </c>
    </row>
    <row r="700" spans="1:6" x14ac:dyDescent="0.3">
      <c r="A700" t="s">
        <v>186</v>
      </c>
      <c r="B700">
        <v>1956</v>
      </c>
      <c r="C700" s="4">
        <v>1956.2499999853101</v>
      </c>
      <c r="D700">
        <v>7.8</v>
      </c>
      <c r="E700" s="8">
        <f t="shared" si="16"/>
        <v>-0.76342587924034189</v>
      </c>
      <c r="F700" s="3">
        <f>STANDARDIZE(D700,I$11,J$11)</f>
        <v>-0.69933456956043849</v>
      </c>
    </row>
    <row r="701" spans="1:6" x14ac:dyDescent="0.3">
      <c r="A701" t="s">
        <v>185</v>
      </c>
      <c r="B701">
        <v>1956</v>
      </c>
      <c r="C701" s="4">
        <v>1956.16666665195</v>
      </c>
      <c r="D701">
        <v>1.3</v>
      </c>
      <c r="E701" s="8">
        <f t="shared" si="16"/>
        <v>-0.83764526801764894</v>
      </c>
      <c r="F701" s="3">
        <f>STANDARDIZE(D701,I$10,J$10)</f>
        <v>-0.15511697088918472</v>
      </c>
    </row>
    <row r="702" spans="1:6" x14ac:dyDescent="0.3">
      <c r="A702" t="s">
        <v>184</v>
      </c>
      <c r="B702">
        <v>1956</v>
      </c>
      <c r="C702" s="4">
        <v>1956.0833333185899</v>
      </c>
      <c r="D702">
        <v>0</v>
      </c>
      <c r="E702" s="8">
        <f t="shared" si="16"/>
        <v>-0.8524891457731103</v>
      </c>
      <c r="F702" s="3">
        <f>STANDARDIZE(D702,I$9,J$9)</f>
        <v>-0.20151463750030485</v>
      </c>
    </row>
    <row r="703" spans="1:6" x14ac:dyDescent="0.3">
      <c r="A703" t="s">
        <v>183</v>
      </c>
      <c r="B703">
        <v>1956</v>
      </c>
      <c r="C703" s="4">
        <v>1955.99999998523</v>
      </c>
      <c r="D703">
        <v>0</v>
      </c>
      <c r="E703" s="8">
        <f t="shared" si="16"/>
        <v>-0.8524891457731103</v>
      </c>
      <c r="F703" s="3">
        <f>STANDARDIZE(D703,I$8,J$8)</f>
        <v>-0.26336194822754155</v>
      </c>
    </row>
    <row r="704" spans="1:6" x14ac:dyDescent="0.3">
      <c r="A704" t="s">
        <v>194</v>
      </c>
      <c r="B704">
        <v>1955</v>
      </c>
      <c r="C704" s="4">
        <v>1955.9166666518699</v>
      </c>
      <c r="D704">
        <v>0</v>
      </c>
      <c r="E704" s="8">
        <f t="shared" si="16"/>
        <v>-0.8524891457731103</v>
      </c>
      <c r="F704" s="3">
        <f>STANDARDIZE(D704,I$19,J$19)</f>
        <v>-0.67334584962649535</v>
      </c>
    </row>
    <row r="705" spans="1:6" x14ac:dyDescent="0.3">
      <c r="A705" t="s">
        <v>193</v>
      </c>
      <c r="B705">
        <v>1955</v>
      </c>
      <c r="C705" s="4">
        <v>1955.8333333185101</v>
      </c>
      <c r="D705">
        <v>40.1</v>
      </c>
      <c r="E705" s="8">
        <f t="shared" si="16"/>
        <v>-0.39461260885464677</v>
      </c>
      <c r="F705" s="3">
        <f>STANDARDIZE(D705,I$18,J$18)</f>
        <v>-0.75369975453558058</v>
      </c>
    </row>
    <row r="706" spans="1:6" x14ac:dyDescent="0.3">
      <c r="A706" t="s">
        <v>192</v>
      </c>
      <c r="B706">
        <v>1955</v>
      </c>
      <c r="C706" s="4">
        <v>1955.74999998515</v>
      </c>
      <c r="D706">
        <v>271.60000000000002</v>
      </c>
      <c r="E706" s="8">
        <f t="shared" si="16"/>
        <v>2.2487394683679045</v>
      </c>
      <c r="F706" s="3">
        <f>STANDARDIZE(D706,I$17,J$17)</f>
        <v>0.68534381893864305</v>
      </c>
    </row>
    <row r="707" spans="1:6" x14ac:dyDescent="0.3">
      <c r="A707" t="s">
        <v>191</v>
      </c>
      <c r="B707">
        <v>1955</v>
      </c>
      <c r="C707" s="4">
        <v>1955.6666666517899</v>
      </c>
      <c r="D707">
        <v>144</v>
      </c>
      <c r="E707" s="8">
        <f t="shared" si="16"/>
        <v>0.79175577483184589</v>
      </c>
      <c r="F707" s="3">
        <f>STANDARDIZE(D707,I$16,J$16)</f>
        <v>0.27644977245378111</v>
      </c>
    </row>
    <row r="708" spans="1:6" x14ac:dyDescent="0.3">
      <c r="A708" t="s">
        <v>190</v>
      </c>
      <c r="B708">
        <v>1955</v>
      </c>
      <c r="C708" s="4">
        <v>1955.58333331843</v>
      </c>
      <c r="D708">
        <v>20.399999999999999</v>
      </c>
      <c r="E708" s="8">
        <f t="shared" si="16"/>
        <v>-0.61955444868740817</v>
      </c>
      <c r="F708" s="3">
        <f>STANDARDIZE(D708,I$15,J$15)</f>
        <v>-1.0667066547024067</v>
      </c>
    </row>
    <row r="709" spans="1:6" x14ac:dyDescent="0.3">
      <c r="A709" t="s">
        <v>189</v>
      </c>
      <c r="B709">
        <v>1955</v>
      </c>
      <c r="C709" s="4">
        <v>1955.49999998507</v>
      </c>
      <c r="D709">
        <v>54.8</v>
      </c>
      <c r="E709" s="8">
        <f t="shared" si="16"/>
        <v>-0.22676260654289088</v>
      </c>
      <c r="F709" s="3">
        <f>STANDARDIZE(D709,I$14,J$14)</f>
        <v>-0.51606637169380054</v>
      </c>
    </row>
    <row r="710" spans="1:6" x14ac:dyDescent="0.3">
      <c r="A710" t="s">
        <v>188</v>
      </c>
      <c r="B710">
        <v>1955</v>
      </c>
      <c r="C710" s="4">
        <v>1955.4166666517101</v>
      </c>
      <c r="D710">
        <v>71.900000000000006</v>
      </c>
      <c r="E710" s="8">
        <f t="shared" si="16"/>
        <v>-3.1508522221052236E-2</v>
      </c>
      <c r="F710" s="3">
        <f>STANDARDIZE(D710,I$13,J$13)</f>
        <v>-0.35963162858116793</v>
      </c>
    </row>
    <row r="711" spans="1:6" x14ac:dyDescent="0.3">
      <c r="A711" t="s">
        <v>187</v>
      </c>
      <c r="B711">
        <v>1955</v>
      </c>
      <c r="C711" s="4">
        <v>1955.33333331835</v>
      </c>
      <c r="D711">
        <v>33.5</v>
      </c>
      <c r="E711" s="8">
        <f t="shared" si="16"/>
        <v>-0.46997383438237395</v>
      </c>
      <c r="F711" s="3">
        <f>STANDARDIZE(D711,I$12,J$12)</f>
        <v>-0.85375982266938677</v>
      </c>
    </row>
    <row r="712" spans="1:6" x14ac:dyDescent="0.3">
      <c r="A712" t="s">
        <v>186</v>
      </c>
      <c r="B712">
        <v>1955</v>
      </c>
      <c r="C712" s="4">
        <v>1955.2499999849899</v>
      </c>
      <c r="D712">
        <v>0</v>
      </c>
      <c r="E712" s="8">
        <f t="shared" si="16"/>
        <v>-0.8524891457731103</v>
      </c>
      <c r="F712" s="3">
        <f>STANDARDIZE(D712,I$11,J$11)</f>
        <v>-1.0682905802559353</v>
      </c>
    </row>
    <row r="713" spans="1:6" x14ac:dyDescent="0.3">
      <c r="A713" t="s">
        <v>185</v>
      </c>
      <c r="B713">
        <v>1955</v>
      </c>
      <c r="C713" s="4">
        <v>1955.1666666516301</v>
      </c>
      <c r="D713">
        <v>0.6</v>
      </c>
      <c r="E713" s="8">
        <f t="shared" si="16"/>
        <v>-0.84563812527058968</v>
      </c>
      <c r="F713" s="3">
        <f>STANDARDIZE(D713,I$10,J$10)</f>
        <v>-0.32558681603020023</v>
      </c>
    </row>
    <row r="714" spans="1:6" x14ac:dyDescent="0.3">
      <c r="A714" t="s">
        <v>184</v>
      </c>
      <c r="B714">
        <v>1955</v>
      </c>
      <c r="C714" s="4">
        <v>1955.08333331827</v>
      </c>
      <c r="D714">
        <v>0</v>
      </c>
      <c r="E714" s="8">
        <f t="shared" si="16"/>
        <v>-0.8524891457731103</v>
      </c>
      <c r="F714" s="3">
        <f>STANDARDIZE(D714,I$9,J$9)</f>
        <v>-0.20151463750030485</v>
      </c>
    </row>
    <row r="715" spans="1:6" x14ac:dyDescent="0.3">
      <c r="A715" t="s">
        <v>183</v>
      </c>
      <c r="B715">
        <v>1955</v>
      </c>
      <c r="C715" s="4">
        <v>1954.9999999849099</v>
      </c>
      <c r="D715">
        <v>0</v>
      </c>
      <c r="E715" s="8">
        <f t="shared" si="16"/>
        <v>-0.8524891457731103</v>
      </c>
      <c r="F715" s="3">
        <f>STANDARDIZE(D715,I$8,J$8)</f>
        <v>-0.26336194822754155</v>
      </c>
    </row>
    <row r="716" spans="1:6" x14ac:dyDescent="0.3">
      <c r="A716" t="s">
        <v>194</v>
      </c>
      <c r="B716">
        <v>1954</v>
      </c>
      <c r="C716" s="4">
        <v>1954.91666665155</v>
      </c>
      <c r="E716" s="8"/>
      <c r="F716" s="3"/>
    </row>
    <row r="717" spans="1:6" x14ac:dyDescent="0.3">
      <c r="A717" t="s">
        <v>193</v>
      </c>
      <c r="B717">
        <v>1954</v>
      </c>
      <c r="C717" s="4">
        <v>1954.8333333181899</v>
      </c>
      <c r="D717">
        <v>168</v>
      </c>
      <c r="E717" s="8">
        <f t="shared" si="16"/>
        <v>1.065796594932672</v>
      </c>
      <c r="F717" s="3">
        <f>STANDARDIZE(D717,I$18,J$18)</f>
        <v>0.38318555471859356</v>
      </c>
    </row>
    <row r="718" spans="1:6" x14ac:dyDescent="0.3">
      <c r="A718" t="s">
        <v>192</v>
      </c>
      <c r="B718">
        <v>1954</v>
      </c>
      <c r="C718" s="4">
        <v>1954.7499999848301</v>
      </c>
      <c r="D718">
        <v>361.4</v>
      </c>
      <c r="E718" s="8">
        <f t="shared" si="16"/>
        <v>3.2741088702451613</v>
      </c>
      <c r="F718" s="3">
        <f>STANDARDIZE(D718,I$17,J$17)</f>
        <v>1.4128310859119166</v>
      </c>
    </row>
    <row r="719" spans="1:6" x14ac:dyDescent="0.3">
      <c r="A719" t="s">
        <v>191</v>
      </c>
      <c r="B719">
        <v>1954</v>
      </c>
      <c r="C719" s="4">
        <v>1954.66666665147</v>
      </c>
      <c r="D719">
        <v>82.4</v>
      </c>
      <c r="E719" s="8">
        <f t="shared" si="16"/>
        <v>8.838433657305915E-2</v>
      </c>
      <c r="F719" s="3">
        <f>STANDARDIZE(D719,I$16,J$16)</f>
        <v>-0.5403035121099069</v>
      </c>
    </row>
    <row r="720" spans="1:6" x14ac:dyDescent="0.3">
      <c r="A720" t="s">
        <v>190</v>
      </c>
      <c r="B720">
        <v>1954</v>
      </c>
      <c r="C720" s="4">
        <v>1954.5833333181099</v>
      </c>
      <c r="D720">
        <v>61.9</v>
      </c>
      <c r="E720" s="8">
        <f t="shared" si="16"/>
        <v>-0.14569219726306315</v>
      </c>
      <c r="F720" s="3">
        <f>STANDARDIZE(D720,I$15,J$15)</f>
        <v>-0.54072508769529126</v>
      </c>
    </row>
    <row r="721" spans="1:6" x14ac:dyDescent="0.3">
      <c r="A721" t="s">
        <v>189</v>
      </c>
      <c r="B721">
        <v>1954</v>
      </c>
      <c r="C721" s="4">
        <v>1954.49999998475</v>
      </c>
      <c r="E721" s="8"/>
      <c r="F721" s="3"/>
    </row>
    <row r="722" spans="1:6" x14ac:dyDescent="0.3">
      <c r="A722" t="s">
        <v>188</v>
      </c>
      <c r="B722">
        <v>1954</v>
      </c>
      <c r="C722" s="4">
        <v>1954.41666665139</v>
      </c>
      <c r="D722">
        <v>170</v>
      </c>
      <c r="E722" s="8">
        <f t="shared" si="16"/>
        <v>1.0886333299410742</v>
      </c>
      <c r="F722" s="3">
        <f>STANDARDIZE(D722,I$13,J$13)</f>
        <v>1.1674944995263954</v>
      </c>
    </row>
    <row r="723" spans="1:6" x14ac:dyDescent="0.3">
      <c r="A723" t="s">
        <v>187</v>
      </c>
      <c r="B723">
        <v>1954</v>
      </c>
      <c r="C723" s="4">
        <v>1954.3333333180301</v>
      </c>
      <c r="D723">
        <v>262.2</v>
      </c>
      <c r="E723" s="8">
        <f t="shared" si="16"/>
        <v>2.1414068138284139</v>
      </c>
      <c r="F723" s="3">
        <f>STANDARDIZE(D723,I$12,J$12)</f>
        <v>2.6072514094580774</v>
      </c>
    </row>
    <row r="724" spans="1:6" x14ac:dyDescent="0.3">
      <c r="A724" t="s">
        <v>186</v>
      </c>
      <c r="B724">
        <v>1954</v>
      </c>
      <c r="C724" s="4">
        <v>1954.24999998467</v>
      </c>
      <c r="D724">
        <v>1.5</v>
      </c>
      <c r="E724" s="8">
        <f t="shared" si="16"/>
        <v>-0.83536159451680869</v>
      </c>
      <c r="F724" s="3">
        <f>STANDARDIZE(D724,I$11,J$11)</f>
        <v>-0.99733750127603193</v>
      </c>
    </row>
    <row r="725" spans="1:6" x14ac:dyDescent="0.3">
      <c r="A725" t="s">
        <v>185</v>
      </c>
      <c r="B725">
        <v>1954</v>
      </c>
      <c r="C725" s="4">
        <v>1954.1666666513099</v>
      </c>
      <c r="D725">
        <v>0</v>
      </c>
      <c r="E725" s="8">
        <f t="shared" si="16"/>
        <v>-0.8524891457731103</v>
      </c>
      <c r="F725" s="3">
        <f>STANDARDIZE(D725,I$10,J$10)</f>
        <v>-0.47170382615107059</v>
      </c>
    </row>
    <row r="726" spans="1:6" x14ac:dyDescent="0.3">
      <c r="A726" t="s">
        <v>184</v>
      </c>
      <c r="B726">
        <v>1954</v>
      </c>
      <c r="C726" s="4">
        <v>1954.0833333179501</v>
      </c>
      <c r="D726">
        <v>0</v>
      </c>
      <c r="E726" s="8">
        <f t="shared" si="16"/>
        <v>-0.8524891457731103</v>
      </c>
      <c r="F726" s="3">
        <f>STANDARDIZE(D726,I$9,J$9)</f>
        <v>-0.20151463750030485</v>
      </c>
    </row>
    <row r="727" spans="1:6" x14ac:dyDescent="0.3">
      <c r="A727" t="s">
        <v>183</v>
      </c>
      <c r="B727">
        <v>1954</v>
      </c>
      <c r="C727" s="4">
        <v>1953.99999998459</v>
      </c>
      <c r="D727">
        <v>0</v>
      </c>
      <c r="E727" s="8">
        <f t="shared" si="16"/>
        <v>-0.8524891457731103</v>
      </c>
      <c r="F727" s="3">
        <f>STANDARDIZE(D727,I$8,J$8)</f>
        <v>-0.26336194822754155</v>
      </c>
    </row>
    <row r="728" spans="1:6" x14ac:dyDescent="0.3">
      <c r="A728" t="s">
        <v>194</v>
      </c>
      <c r="B728">
        <v>1953</v>
      </c>
      <c r="C728" s="4">
        <v>1953.9166666512299</v>
      </c>
      <c r="D728">
        <v>0.3</v>
      </c>
      <c r="E728" s="8">
        <f t="shared" si="16"/>
        <v>-0.84906363552184994</v>
      </c>
      <c r="F728" s="3">
        <f>STANDARDIZE(D728,I$19,J$19)</f>
        <v>-0.66785251208110286</v>
      </c>
    </row>
    <row r="729" spans="1:6" x14ac:dyDescent="0.3">
      <c r="A729" t="s">
        <v>193</v>
      </c>
      <c r="B729">
        <v>1953</v>
      </c>
      <c r="C729" s="4">
        <v>1953.83333331787</v>
      </c>
      <c r="D729">
        <v>60.7</v>
      </c>
      <c r="E729" s="8">
        <f t="shared" si="16"/>
        <v>-0.15939423826810442</v>
      </c>
      <c r="F729" s="3">
        <f>STANDARDIZE(D729,I$18,J$18)</f>
        <v>-0.57058921997235945</v>
      </c>
    </row>
    <row r="730" spans="1:6" x14ac:dyDescent="0.3">
      <c r="A730" t="s">
        <v>192</v>
      </c>
      <c r="B730">
        <v>1953</v>
      </c>
      <c r="C730" s="4">
        <v>1953.7499999845099</v>
      </c>
      <c r="D730">
        <v>104.4</v>
      </c>
      <c r="E730" s="8">
        <f t="shared" si="16"/>
        <v>0.33958842166548303</v>
      </c>
      <c r="F730" s="3">
        <f>STANDARDIZE(D730,I$17,J$17)</f>
        <v>-0.66917590308731933</v>
      </c>
    </row>
    <row r="731" spans="1:6" x14ac:dyDescent="0.3">
      <c r="A731" t="s">
        <v>191</v>
      </c>
      <c r="B731">
        <v>1953</v>
      </c>
      <c r="C731" s="4">
        <v>1953.6666666511501</v>
      </c>
      <c r="D731">
        <v>52.9</v>
      </c>
      <c r="E731" s="8">
        <f t="shared" si="16"/>
        <v>-0.24845750480087292</v>
      </c>
      <c r="F731" s="3">
        <f>STANDARDIZE(D731,I$16,J$16)</f>
        <v>-0.93144347793180293</v>
      </c>
    </row>
    <row r="732" spans="1:6" x14ac:dyDescent="0.3">
      <c r="A732" t="s">
        <v>190</v>
      </c>
      <c r="B732">
        <v>1953</v>
      </c>
      <c r="C732" s="4">
        <v>1953.58333331779</v>
      </c>
      <c r="D732">
        <v>8.3000000000000007</v>
      </c>
      <c r="E732" s="8">
        <f t="shared" si="16"/>
        <v>-0.75771669548824128</v>
      </c>
      <c r="F732" s="3">
        <f>STANDARDIZE(D732,I$15,J$15)</f>
        <v>-1.2200651356852039</v>
      </c>
    </row>
    <row r="733" spans="1:6" x14ac:dyDescent="0.3">
      <c r="A733" t="s">
        <v>189</v>
      </c>
      <c r="B733">
        <v>1953</v>
      </c>
      <c r="C733" s="4">
        <v>1953.4999999844299</v>
      </c>
      <c r="E733" s="8"/>
      <c r="F733" s="3"/>
    </row>
    <row r="734" spans="1:6" x14ac:dyDescent="0.3">
      <c r="A734" t="s">
        <v>188</v>
      </c>
      <c r="B734">
        <v>1953</v>
      </c>
      <c r="C734" s="4">
        <v>1953.41666665107</v>
      </c>
      <c r="E734" s="8"/>
      <c r="F734" s="3"/>
    </row>
    <row r="735" spans="1:6" x14ac:dyDescent="0.3">
      <c r="A735" t="s">
        <v>187</v>
      </c>
      <c r="B735">
        <v>1953</v>
      </c>
      <c r="C735" s="4">
        <v>1953.33333331771</v>
      </c>
      <c r="E735" s="8"/>
      <c r="F735" s="3"/>
    </row>
    <row r="736" spans="1:6" x14ac:dyDescent="0.3">
      <c r="A736" t="s">
        <v>186</v>
      </c>
      <c r="B736">
        <v>1953</v>
      </c>
      <c r="C736" s="4">
        <v>1953.2499999843501</v>
      </c>
      <c r="E736" s="8"/>
      <c r="F736" s="3"/>
    </row>
    <row r="737" spans="1:6" x14ac:dyDescent="0.3">
      <c r="A737" t="s">
        <v>185</v>
      </c>
      <c r="B737">
        <v>1953</v>
      </c>
      <c r="C737" s="4">
        <v>1953.16666665099</v>
      </c>
      <c r="E737" s="8"/>
      <c r="F737" s="3"/>
    </row>
    <row r="738" spans="1:6" x14ac:dyDescent="0.3">
      <c r="A738" t="s">
        <v>184</v>
      </c>
      <c r="B738">
        <v>1953</v>
      </c>
      <c r="C738" s="4">
        <v>1953.0833333176299</v>
      </c>
      <c r="E738" s="8"/>
      <c r="F738" s="3"/>
    </row>
    <row r="739" spans="1:6" x14ac:dyDescent="0.3">
      <c r="A739" t="s">
        <v>183</v>
      </c>
      <c r="B739">
        <v>1953</v>
      </c>
      <c r="C739" s="4">
        <v>1952.9999999842701</v>
      </c>
      <c r="E739" s="8"/>
      <c r="F739" s="3"/>
    </row>
    <row r="740" spans="1:6" x14ac:dyDescent="0.3">
      <c r="A740" t="s">
        <v>194</v>
      </c>
      <c r="B740">
        <v>1952</v>
      </c>
      <c r="C740" s="4">
        <v>1952.91666665091</v>
      </c>
      <c r="E740" s="8"/>
      <c r="F740" s="3"/>
    </row>
    <row r="741" spans="1:6" x14ac:dyDescent="0.3">
      <c r="A741" t="s">
        <v>193</v>
      </c>
      <c r="B741">
        <v>1952</v>
      </c>
      <c r="C741" s="4">
        <v>1952.8333333175497</v>
      </c>
      <c r="E741" s="8"/>
      <c r="F741" s="3"/>
    </row>
    <row r="742" spans="1:6" x14ac:dyDescent="0.3">
      <c r="A742" t="s">
        <v>192</v>
      </c>
      <c r="B742">
        <v>1952</v>
      </c>
      <c r="C742" s="4">
        <v>1952.7499999841896</v>
      </c>
      <c r="E742" s="8"/>
      <c r="F742" s="3"/>
    </row>
    <row r="743" spans="1:6" x14ac:dyDescent="0.3">
      <c r="A743" t="s">
        <v>191</v>
      </c>
      <c r="B743">
        <v>1952</v>
      </c>
      <c r="C743" s="4">
        <v>1952.6666666508293</v>
      </c>
      <c r="E743" s="8"/>
      <c r="F743" s="3"/>
    </row>
    <row r="744" spans="1:6" x14ac:dyDescent="0.3">
      <c r="A744" t="s">
        <v>190</v>
      </c>
      <c r="B744">
        <v>1952</v>
      </c>
      <c r="C744" s="4">
        <v>1952.5833333174692</v>
      </c>
      <c r="E744" s="8"/>
      <c r="F744" s="3"/>
    </row>
    <row r="745" spans="1:6" x14ac:dyDescent="0.3">
      <c r="A745" t="s">
        <v>189</v>
      </c>
      <c r="B745">
        <v>1952</v>
      </c>
      <c r="C745" s="4">
        <v>1952.4999999841089</v>
      </c>
      <c r="E745" s="8"/>
      <c r="F745" s="3"/>
    </row>
    <row r="746" spans="1:6" x14ac:dyDescent="0.3">
      <c r="A746" t="s">
        <v>188</v>
      </c>
      <c r="B746">
        <v>1952</v>
      </c>
      <c r="C746" s="4">
        <v>1952.4166666507488</v>
      </c>
      <c r="E746" s="8"/>
      <c r="F746" s="3"/>
    </row>
    <row r="747" spans="1:6" x14ac:dyDescent="0.3">
      <c r="A747" t="s">
        <v>187</v>
      </c>
      <c r="B747">
        <v>1952</v>
      </c>
      <c r="C747" s="4">
        <v>1952.3333333173885</v>
      </c>
      <c r="E747" s="8"/>
      <c r="F747" s="3"/>
    </row>
    <row r="748" spans="1:6" x14ac:dyDescent="0.3">
      <c r="A748" t="s">
        <v>186</v>
      </c>
      <c r="B748">
        <v>1952</v>
      </c>
      <c r="C748" s="4">
        <v>1952.2499999840284</v>
      </c>
      <c r="E748" s="8"/>
      <c r="F748" s="3"/>
    </row>
    <row r="749" spans="1:6" x14ac:dyDescent="0.3">
      <c r="A749" t="s">
        <v>185</v>
      </c>
      <c r="B749">
        <v>1952</v>
      </c>
      <c r="C749" s="4">
        <v>1952.166666650668</v>
      </c>
      <c r="E749" s="8"/>
      <c r="F749" s="3"/>
    </row>
    <row r="750" spans="1:6" x14ac:dyDescent="0.3">
      <c r="A750" t="s">
        <v>184</v>
      </c>
      <c r="B750">
        <v>1952</v>
      </c>
      <c r="C750" s="4">
        <v>1952.083333317308</v>
      </c>
      <c r="E750" s="8"/>
      <c r="F750" s="3"/>
    </row>
    <row r="751" spans="1:6" x14ac:dyDescent="0.3">
      <c r="A751" t="s">
        <v>183</v>
      </c>
      <c r="B751">
        <v>1952</v>
      </c>
      <c r="C751" s="4">
        <v>1951.9999999839476</v>
      </c>
      <c r="E751" s="8"/>
      <c r="F751" s="3"/>
    </row>
    <row r="752" spans="1:6" x14ac:dyDescent="0.3">
      <c r="A752" t="s">
        <v>194</v>
      </c>
      <c r="B752">
        <v>1951</v>
      </c>
      <c r="C752" s="4">
        <v>1951.9166666505876</v>
      </c>
      <c r="E752" s="8"/>
      <c r="F752" s="3"/>
    </row>
    <row r="753" spans="1:6" x14ac:dyDescent="0.3">
      <c r="A753" t="s">
        <v>193</v>
      </c>
      <c r="B753">
        <v>1951</v>
      </c>
      <c r="C753" s="4">
        <v>1951.8333333172272</v>
      </c>
      <c r="E753" s="8"/>
      <c r="F753" s="3"/>
    </row>
    <row r="754" spans="1:6" x14ac:dyDescent="0.3">
      <c r="A754" t="s">
        <v>192</v>
      </c>
      <c r="B754">
        <v>1951</v>
      </c>
      <c r="C754" s="4">
        <v>1951.7499999838672</v>
      </c>
      <c r="E754" s="8"/>
      <c r="F754" s="3"/>
    </row>
    <row r="755" spans="1:6" x14ac:dyDescent="0.3">
      <c r="A755" t="s">
        <v>191</v>
      </c>
      <c r="B755">
        <v>1951</v>
      </c>
      <c r="C755" s="4">
        <v>1951.6666666505068</v>
      </c>
      <c r="E755" s="8"/>
      <c r="F755" s="3"/>
    </row>
    <row r="756" spans="1:6" x14ac:dyDescent="0.3">
      <c r="A756" t="s">
        <v>190</v>
      </c>
      <c r="B756">
        <v>1951</v>
      </c>
      <c r="C756" s="4">
        <v>1951.5833333171468</v>
      </c>
      <c r="E756" s="8"/>
      <c r="F756" s="3"/>
    </row>
    <row r="757" spans="1:6" x14ac:dyDescent="0.3">
      <c r="A757" t="s">
        <v>189</v>
      </c>
      <c r="B757">
        <v>1951</v>
      </c>
      <c r="C757" s="4">
        <v>1951.4999999837864</v>
      </c>
      <c r="E757" s="8"/>
      <c r="F757" s="3"/>
    </row>
    <row r="758" spans="1:6" x14ac:dyDescent="0.3">
      <c r="A758" t="s">
        <v>188</v>
      </c>
      <c r="B758">
        <v>1951</v>
      </c>
      <c r="C758" s="4">
        <v>1951.4166666504264</v>
      </c>
      <c r="E758" s="8"/>
      <c r="F758" s="3"/>
    </row>
    <row r="759" spans="1:6" x14ac:dyDescent="0.3">
      <c r="A759" t="s">
        <v>187</v>
      </c>
      <c r="B759">
        <v>1951</v>
      </c>
      <c r="C759" s="4">
        <v>1951.333333317066</v>
      </c>
      <c r="E759" s="8"/>
      <c r="F759" s="3"/>
    </row>
    <row r="760" spans="1:6" x14ac:dyDescent="0.3">
      <c r="A760" t="s">
        <v>186</v>
      </c>
      <c r="B760">
        <v>1951</v>
      </c>
      <c r="C760" s="4">
        <v>1951.2499999837059</v>
      </c>
      <c r="E760" s="8"/>
      <c r="F760" s="3"/>
    </row>
    <row r="761" spans="1:6" x14ac:dyDescent="0.3">
      <c r="A761" t="s">
        <v>185</v>
      </c>
      <c r="B761">
        <v>1951</v>
      </c>
      <c r="C761" s="4">
        <v>1951.1666666503456</v>
      </c>
      <c r="E761" s="8"/>
      <c r="F761" s="3"/>
    </row>
    <row r="762" spans="1:6" x14ac:dyDescent="0.3">
      <c r="A762" t="s">
        <v>184</v>
      </c>
      <c r="B762">
        <v>1951</v>
      </c>
      <c r="C762" s="4">
        <v>1951.0833333169855</v>
      </c>
      <c r="E762" s="8"/>
      <c r="F762" s="3"/>
    </row>
    <row r="763" spans="1:6" x14ac:dyDescent="0.3">
      <c r="A763" t="s">
        <v>183</v>
      </c>
      <c r="B763">
        <v>1951</v>
      </c>
      <c r="C763" s="4">
        <v>1950.9999999836252</v>
      </c>
      <c r="E763" s="8"/>
      <c r="F763" s="3"/>
    </row>
    <row r="764" spans="1:6" x14ac:dyDescent="0.3">
      <c r="A764" t="s">
        <v>194</v>
      </c>
      <c r="B764">
        <v>1950</v>
      </c>
      <c r="C764" s="4">
        <v>1950.9166666502651</v>
      </c>
      <c r="E764" s="8"/>
      <c r="F764" s="3"/>
    </row>
    <row r="765" spans="1:6" x14ac:dyDescent="0.3">
      <c r="A765" t="s">
        <v>193</v>
      </c>
      <c r="B765">
        <v>1950</v>
      </c>
      <c r="C765" s="4">
        <v>1950.8333333169048</v>
      </c>
      <c r="E765" s="8"/>
      <c r="F765" s="3"/>
    </row>
    <row r="766" spans="1:6" x14ac:dyDescent="0.3">
      <c r="A766" t="s">
        <v>192</v>
      </c>
      <c r="B766">
        <v>1950</v>
      </c>
      <c r="C766" s="4">
        <v>1950.7499999835447</v>
      </c>
      <c r="E766" s="8"/>
      <c r="F766" s="3"/>
    </row>
    <row r="767" spans="1:6" x14ac:dyDescent="0.3">
      <c r="A767" t="s">
        <v>191</v>
      </c>
      <c r="B767">
        <v>1950</v>
      </c>
      <c r="C767" s="4">
        <v>1950.6666666501844</v>
      </c>
      <c r="E767" s="8"/>
      <c r="F767" s="3"/>
    </row>
    <row r="768" spans="1:6" x14ac:dyDescent="0.3">
      <c r="A768" t="s">
        <v>190</v>
      </c>
      <c r="B768">
        <v>1950</v>
      </c>
      <c r="C768" s="4">
        <v>1950.5833333168243</v>
      </c>
      <c r="E768" s="8"/>
      <c r="F768" s="3"/>
    </row>
    <row r="769" spans="1:6" x14ac:dyDescent="0.3">
      <c r="A769" t="s">
        <v>189</v>
      </c>
      <c r="B769">
        <v>1950</v>
      </c>
      <c r="C769" s="4">
        <v>1950.499999983464</v>
      </c>
      <c r="E769" s="8"/>
      <c r="F769" s="3"/>
    </row>
    <row r="770" spans="1:6" x14ac:dyDescent="0.3">
      <c r="A770" t="s">
        <v>188</v>
      </c>
      <c r="B770">
        <v>1950</v>
      </c>
      <c r="C770" s="4">
        <v>1950.4166666501039</v>
      </c>
      <c r="E770" s="8"/>
      <c r="F770" s="3"/>
    </row>
    <row r="771" spans="1:6" x14ac:dyDescent="0.3">
      <c r="A771" t="s">
        <v>187</v>
      </c>
      <c r="B771">
        <v>1950</v>
      </c>
      <c r="C771" s="4">
        <v>1950.3333333167436</v>
      </c>
      <c r="E771" s="8"/>
      <c r="F771" s="3"/>
    </row>
    <row r="772" spans="1:6" x14ac:dyDescent="0.3">
      <c r="A772" t="s">
        <v>186</v>
      </c>
      <c r="B772">
        <v>1950</v>
      </c>
      <c r="C772" s="4">
        <v>1950.2499999833835</v>
      </c>
      <c r="E772" s="8"/>
      <c r="F772" s="3"/>
    </row>
    <row r="773" spans="1:6" x14ac:dyDescent="0.3">
      <c r="A773" t="s">
        <v>185</v>
      </c>
      <c r="B773">
        <v>1950</v>
      </c>
      <c r="C773" s="4">
        <v>1950.1666666500232</v>
      </c>
      <c r="E773" s="8"/>
      <c r="F773" s="3"/>
    </row>
    <row r="774" spans="1:6" x14ac:dyDescent="0.3">
      <c r="A774" t="s">
        <v>184</v>
      </c>
      <c r="B774">
        <v>1950</v>
      </c>
      <c r="C774" s="4">
        <v>1950.0833333166631</v>
      </c>
      <c r="E774" s="8"/>
      <c r="F774" s="3"/>
    </row>
    <row r="775" spans="1:6" x14ac:dyDescent="0.3">
      <c r="A775" t="s">
        <v>183</v>
      </c>
      <c r="B775">
        <v>1950</v>
      </c>
      <c r="C775" s="4">
        <v>1949.9999999833028</v>
      </c>
      <c r="E775" s="8"/>
      <c r="F775" s="3"/>
    </row>
    <row r="776" spans="1:6" x14ac:dyDescent="0.3">
      <c r="A776" t="s">
        <v>194</v>
      </c>
      <c r="B776">
        <v>1949</v>
      </c>
      <c r="C776" s="4">
        <v>1949.9166666499427</v>
      </c>
      <c r="E776" s="8"/>
      <c r="F776" s="3"/>
    </row>
    <row r="777" spans="1:6" x14ac:dyDescent="0.3">
      <c r="A777" t="s">
        <v>193</v>
      </c>
      <c r="B777">
        <v>1949</v>
      </c>
      <c r="C777" s="4">
        <v>1949.8333333165824</v>
      </c>
      <c r="E777" s="8"/>
      <c r="F777" s="3"/>
    </row>
    <row r="778" spans="1:6" x14ac:dyDescent="0.3">
      <c r="A778" t="s">
        <v>192</v>
      </c>
      <c r="B778">
        <v>1949</v>
      </c>
      <c r="C778" s="4">
        <v>1949.7499999832223</v>
      </c>
      <c r="E778" s="8"/>
      <c r="F778" s="3"/>
    </row>
    <row r="779" spans="1:6" x14ac:dyDescent="0.3">
      <c r="A779" t="s">
        <v>191</v>
      </c>
      <c r="B779">
        <v>1949</v>
      </c>
      <c r="C779" s="4">
        <v>1949.666666649862</v>
      </c>
      <c r="E779" s="8"/>
      <c r="F779" s="3"/>
    </row>
    <row r="780" spans="1:6" x14ac:dyDescent="0.3">
      <c r="A780" t="s">
        <v>190</v>
      </c>
      <c r="B780">
        <v>1949</v>
      </c>
      <c r="C780" s="4">
        <v>1949.5833333165019</v>
      </c>
      <c r="E780" s="8"/>
      <c r="F780" s="3"/>
    </row>
    <row r="781" spans="1:6" x14ac:dyDescent="0.3">
      <c r="A781" t="s">
        <v>189</v>
      </c>
      <c r="B781">
        <v>1949</v>
      </c>
      <c r="C781" s="4">
        <v>1949.4999999831416</v>
      </c>
      <c r="E781" s="8"/>
      <c r="F781" s="3"/>
    </row>
    <row r="782" spans="1:6" x14ac:dyDescent="0.3">
      <c r="A782" t="s">
        <v>188</v>
      </c>
      <c r="B782">
        <v>1949</v>
      </c>
      <c r="C782" s="4">
        <v>1949.4166666497815</v>
      </c>
      <c r="E782" s="8"/>
      <c r="F782" s="3"/>
    </row>
    <row r="783" spans="1:6" x14ac:dyDescent="0.3">
      <c r="A783" t="s">
        <v>187</v>
      </c>
      <c r="B783">
        <v>1949</v>
      </c>
      <c r="C783" s="4">
        <v>1949.3333333164212</v>
      </c>
      <c r="E783" s="8"/>
      <c r="F783" s="3"/>
    </row>
    <row r="784" spans="1:6" x14ac:dyDescent="0.3">
      <c r="A784" t="s">
        <v>186</v>
      </c>
      <c r="B784">
        <v>1949</v>
      </c>
      <c r="C784" s="4">
        <v>1949.2499999830611</v>
      </c>
      <c r="E784" s="8"/>
      <c r="F784" s="3"/>
    </row>
    <row r="785" spans="1:6" x14ac:dyDescent="0.3">
      <c r="A785" t="s">
        <v>185</v>
      </c>
      <c r="B785">
        <v>1949</v>
      </c>
      <c r="C785" s="4">
        <v>1949.1666666497008</v>
      </c>
      <c r="E785" s="8"/>
      <c r="F785" s="3"/>
    </row>
    <row r="786" spans="1:6" x14ac:dyDescent="0.3">
      <c r="A786" t="s">
        <v>184</v>
      </c>
      <c r="B786">
        <v>1949</v>
      </c>
      <c r="C786" s="4">
        <v>1949.0833333163407</v>
      </c>
      <c r="E786" s="8"/>
      <c r="F786" s="3"/>
    </row>
    <row r="787" spans="1:6" x14ac:dyDescent="0.3">
      <c r="A787" t="s">
        <v>183</v>
      </c>
      <c r="B787">
        <v>1949</v>
      </c>
      <c r="C787" s="4">
        <v>1948.9999999829804</v>
      </c>
      <c r="E787" s="8"/>
      <c r="F787" s="3"/>
    </row>
    <row r="788" spans="1:6" x14ac:dyDescent="0.3">
      <c r="A788" t="s">
        <v>194</v>
      </c>
      <c r="B788">
        <v>1948</v>
      </c>
      <c r="C788" s="4">
        <v>1948.9166666496201</v>
      </c>
      <c r="E788" s="8"/>
      <c r="F788" s="3"/>
    </row>
    <row r="789" spans="1:6" x14ac:dyDescent="0.3">
      <c r="A789" t="s">
        <v>193</v>
      </c>
      <c r="B789">
        <v>1948</v>
      </c>
      <c r="C789" s="4">
        <v>1948.83333331626</v>
      </c>
      <c r="E789" s="8"/>
      <c r="F789" s="3"/>
    </row>
    <row r="790" spans="1:6" x14ac:dyDescent="0.3">
      <c r="A790" t="s">
        <v>192</v>
      </c>
      <c r="B790">
        <v>1948</v>
      </c>
      <c r="C790" s="4">
        <v>1948.7499999828999</v>
      </c>
      <c r="E790" s="8"/>
      <c r="F790" s="3"/>
    </row>
    <row r="791" spans="1:6" x14ac:dyDescent="0.3">
      <c r="A791" t="s">
        <v>191</v>
      </c>
      <c r="B791">
        <v>1948</v>
      </c>
      <c r="C791" s="4">
        <v>1948.66666664954</v>
      </c>
      <c r="D791">
        <v>58.2</v>
      </c>
      <c r="E791" s="8">
        <f t="shared" ref="E791:E809" si="17">STANDARDIZE(D791,F$4,F$5)</f>
        <v>-0.18794015702860711</v>
      </c>
      <c r="F791" s="3">
        <f>STANDARDIZE(D791,I$16,J$16)</f>
        <v>-0.86117087390278435</v>
      </c>
    </row>
    <row r="792" spans="1:6" x14ac:dyDescent="0.3">
      <c r="A792" t="s">
        <v>190</v>
      </c>
      <c r="B792">
        <v>1948</v>
      </c>
      <c r="C792" s="4">
        <v>1948.58333331618</v>
      </c>
      <c r="D792">
        <v>0.7</v>
      </c>
      <c r="E792" s="8">
        <f t="shared" si="17"/>
        <v>-0.84449628852016945</v>
      </c>
      <c r="F792" s="3">
        <f>STANDARDIZE(D792,I$15,J$15)</f>
        <v>-1.3163894708479527</v>
      </c>
    </row>
    <row r="793" spans="1:6" x14ac:dyDescent="0.3">
      <c r="A793" t="s">
        <v>189</v>
      </c>
      <c r="B793">
        <v>1948</v>
      </c>
      <c r="C793" s="4">
        <v>1948.4999999828201</v>
      </c>
      <c r="D793">
        <v>13</v>
      </c>
      <c r="E793" s="8">
        <f t="shared" si="17"/>
        <v>-0.7040503682184962</v>
      </c>
      <c r="F793" s="3">
        <f>STANDARDIZE(D793,I$14,J$14)</f>
        <v>-1.0170723393262553</v>
      </c>
    </row>
    <row r="794" spans="1:6" x14ac:dyDescent="0.3">
      <c r="A794" t="s">
        <v>188</v>
      </c>
      <c r="B794">
        <v>1948</v>
      </c>
      <c r="C794" s="4">
        <v>1948.41666664946</v>
      </c>
      <c r="D794">
        <v>18.899999999999999</v>
      </c>
      <c r="E794" s="8">
        <f t="shared" si="17"/>
        <v>-0.63668199994370978</v>
      </c>
      <c r="F794" s="3">
        <f>STANDARDIZE(D794,I$13,J$13)</f>
        <v>-1.1846844806678229</v>
      </c>
    </row>
    <row r="795" spans="1:6" x14ac:dyDescent="0.3">
      <c r="A795" t="s">
        <v>187</v>
      </c>
      <c r="B795">
        <v>1948</v>
      </c>
      <c r="C795" s="4">
        <v>1948.3333333160999</v>
      </c>
      <c r="D795">
        <v>9.3000000000000007</v>
      </c>
      <c r="E795" s="8">
        <f t="shared" si="17"/>
        <v>-0.74629832798404028</v>
      </c>
      <c r="F795" s="3">
        <f>STANDARDIZE(D795,I$12,J$12)</f>
        <v>-1.2199883833055243</v>
      </c>
    </row>
    <row r="796" spans="1:6" x14ac:dyDescent="0.3">
      <c r="A796" t="s">
        <v>186</v>
      </c>
      <c r="B796">
        <v>1948</v>
      </c>
      <c r="C796" s="4">
        <v>1948.2499999827401</v>
      </c>
      <c r="D796" s="6"/>
      <c r="E796" s="8"/>
      <c r="F796" s="3"/>
    </row>
    <row r="797" spans="1:6" x14ac:dyDescent="0.3">
      <c r="A797" t="s">
        <v>185</v>
      </c>
      <c r="B797">
        <v>1948</v>
      </c>
      <c r="C797" s="4">
        <v>1948.16666664938</v>
      </c>
      <c r="D797">
        <v>0</v>
      </c>
      <c r="E797" s="8">
        <f t="shared" si="17"/>
        <v>-0.8524891457731103</v>
      </c>
      <c r="F797" s="3">
        <f>STANDARDIZE(D797,I$10,J$10)</f>
        <v>-0.47170382615107059</v>
      </c>
    </row>
    <row r="798" spans="1:6" x14ac:dyDescent="0.3">
      <c r="A798" t="s">
        <v>184</v>
      </c>
      <c r="B798">
        <v>1948</v>
      </c>
      <c r="C798" s="4">
        <v>1948.0833333160199</v>
      </c>
      <c r="D798">
        <v>0</v>
      </c>
      <c r="E798" s="8">
        <f t="shared" si="17"/>
        <v>-0.8524891457731103</v>
      </c>
      <c r="F798" s="3">
        <f>STANDARDIZE(D798,I$9,J$9)</f>
        <v>-0.20151463750030485</v>
      </c>
    </row>
    <row r="799" spans="1:6" x14ac:dyDescent="0.3">
      <c r="A799" t="s">
        <v>183</v>
      </c>
      <c r="B799">
        <v>1948</v>
      </c>
      <c r="C799" s="4">
        <v>1947.99999998266</v>
      </c>
      <c r="E799" s="8"/>
      <c r="F799" s="3"/>
    </row>
    <row r="800" spans="1:6" x14ac:dyDescent="0.3">
      <c r="A800" t="s">
        <v>194</v>
      </c>
      <c r="B800">
        <v>1947</v>
      </c>
      <c r="C800" s="4">
        <v>1947.9166666492999</v>
      </c>
      <c r="E800" s="8"/>
      <c r="F800" s="3"/>
    </row>
    <row r="801" spans="1:6" x14ac:dyDescent="0.3">
      <c r="A801" t="s">
        <v>193</v>
      </c>
      <c r="B801">
        <v>1947</v>
      </c>
      <c r="C801" s="4">
        <v>1947.8333333159401</v>
      </c>
      <c r="E801" s="8"/>
      <c r="F801" s="3"/>
    </row>
    <row r="802" spans="1:6" x14ac:dyDescent="0.3">
      <c r="A802" t="s">
        <v>192</v>
      </c>
      <c r="B802">
        <v>1947</v>
      </c>
      <c r="C802" s="4">
        <v>1947.74999998258</v>
      </c>
      <c r="D802">
        <v>91.8</v>
      </c>
      <c r="E802" s="8">
        <f t="shared" si="17"/>
        <v>0.19571699111254925</v>
      </c>
      <c r="F802" s="3">
        <f>STANDARDIZE(D802,I$17,J$17)</f>
        <v>-0.77125095390984999</v>
      </c>
    </row>
    <row r="803" spans="1:6" x14ac:dyDescent="0.3">
      <c r="A803" t="s">
        <v>191</v>
      </c>
      <c r="B803">
        <v>1947</v>
      </c>
      <c r="C803" s="4">
        <v>1947.6666666492199</v>
      </c>
      <c r="D803">
        <v>41.2</v>
      </c>
      <c r="E803" s="8">
        <f t="shared" si="17"/>
        <v>-0.38205240460002554</v>
      </c>
      <c r="F803" s="3">
        <f>STANDARDIZE(D803,I$16,J$16)</f>
        <v>-1.0865735660713347</v>
      </c>
    </row>
    <row r="804" spans="1:6" x14ac:dyDescent="0.3">
      <c r="A804" t="s">
        <v>190</v>
      </c>
      <c r="B804">
        <v>1947</v>
      </c>
      <c r="C804" s="4">
        <v>1947.58333331586</v>
      </c>
      <c r="E804" s="8"/>
      <c r="F804" s="3"/>
    </row>
    <row r="805" spans="1:6" x14ac:dyDescent="0.3">
      <c r="A805" t="s">
        <v>189</v>
      </c>
      <c r="B805">
        <v>1947</v>
      </c>
      <c r="C805" s="4">
        <v>1947.4999999825</v>
      </c>
      <c r="D805">
        <v>30.5</v>
      </c>
      <c r="E805" s="8">
        <f t="shared" si="17"/>
        <v>-0.50422893689497716</v>
      </c>
      <c r="F805" s="3">
        <f>STANDARDIZE(D805,I$14,J$14)</f>
        <v>-0.80732103708778735</v>
      </c>
    </row>
    <row r="806" spans="1:6" x14ac:dyDescent="0.3">
      <c r="A806" t="s">
        <v>188</v>
      </c>
      <c r="B806">
        <v>1947</v>
      </c>
      <c r="C806" s="4">
        <v>1947.4166666491401</v>
      </c>
      <c r="D806">
        <v>97.9</v>
      </c>
      <c r="E806" s="8">
        <f t="shared" si="17"/>
        <v>0.26536903288817598</v>
      </c>
      <c r="F806" s="3">
        <f>STANDARDIZE(D806,I$13,J$13)</f>
        <v>4.5111279989643968E-2</v>
      </c>
    </row>
    <row r="807" spans="1:6" x14ac:dyDescent="0.3">
      <c r="A807" t="s">
        <v>187</v>
      </c>
      <c r="B807">
        <v>1947</v>
      </c>
      <c r="C807" s="4">
        <v>1947.33333331578</v>
      </c>
      <c r="D807">
        <v>0.3</v>
      </c>
      <c r="E807" s="8">
        <f t="shared" si="17"/>
        <v>-0.84906363552184994</v>
      </c>
      <c r="F807" s="3">
        <f>STANDARDIZE(D807,I$12,J$12)</f>
        <v>-1.3561890876743357</v>
      </c>
    </row>
    <row r="808" spans="1:6" x14ac:dyDescent="0.3">
      <c r="A808" t="s">
        <v>186</v>
      </c>
      <c r="B808">
        <v>1947</v>
      </c>
      <c r="C808" s="4">
        <v>1947.2499999824199</v>
      </c>
      <c r="D808">
        <v>1</v>
      </c>
      <c r="E808" s="8">
        <f t="shared" si="17"/>
        <v>-0.84107077826890919</v>
      </c>
      <c r="F808" s="3">
        <f>STANDARDIZE(D808,I$11,J$11)</f>
        <v>-1.0209885276026665</v>
      </c>
    </row>
    <row r="809" spans="1:6" x14ac:dyDescent="0.3">
      <c r="A809" t="s">
        <v>185</v>
      </c>
      <c r="B809">
        <v>1947</v>
      </c>
      <c r="C809" s="4">
        <v>1947.1666666490601</v>
      </c>
      <c r="D809">
        <v>5.5</v>
      </c>
      <c r="E809" s="8">
        <f t="shared" si="17"/>
        <v>-0.78968812450000436</v>
      </c>
      <c r="F809" s="3">
        <f>STANDARDIZE(D809,I$10,J$10)</f>
        <v>0.86770209995690817</v>
      </c>
    </row>
    <row r="810" spans="1:6" x14ac:dyDescent="0.3">
      <c r="A810" t="s">
        <v>184</v>
      </c>
      <c r="B810">
        <v>1947</v>
      </c>
      <c r="C810" s="4">
        <v>1947.0833333157</v>
      </c>
      <c r="E810" s="8"/>
      <c r="F810" s="3"/>
    </row>
    <row r="811" spans="1:6" x14ac:dyDescent="0.3">
      <c r="A811" t="s">
        <v>183</v>
      </c>
      <c r="B811">
        <v>1947</v>
      </c>
      <c r="C811" s="4">
        <v>1946.9999999823399</v>
      </c>
      <c r="E811" s="8"/>
      <c r="F811" s="3"/>
    </row>
    <row r="812" spans="1:6" x14ac:dyDescent="0.3">
      <c r="C812" s="4"/>
    </row>
    <row r="813" spans="1:6" x14ac:dyDescent="0.3">
      <c r="C813" s="4"/>
    </row>
    <row r="814" spans="1:6" x14ac:dyDescent="0.3">
      <c r="C814" s="4"/>
    </row>
    <row r="815" spans="1:6" x14ac:dyDescent="0.3">
      <c r="C815" s="4"/>
    </row>
    <row r="816" spans="1:6" x14ac:dyDescent="0.3">
      <c r="C816" s="4"/>
    </row>
    <row r="817" spans="3:3" x14ac:dyDescent="0.3">
      <c r="C817" s="4"/>
    </row>
    <row r="818" spans="3:3" x14ac:dyDescent="0.3">
      <c r="C818" s="4"/>
    </row>
    <row r="819" spans="3:3" x14ac:dyDescent="0.3">
      <c r="C819" s="4"/>
    </row>
    <row r="820" spans="3:3" x14ac:dyDescent="0.3">
      <c r="C820" s="4"/>
    </row>
    <row r="821" spans="3:3" x14ac:dyDescent="0.3">
      <c r="C821" s="4"/>
    </row>
    <row r="822" spans="3:3" x14ac:dyDescent="0.3">
      <c r="C822" s="4"/>
    </row>
    <row r="823" spans="3:3" x14ac:dyDescent="0.3">
      <c r="C823" s="4"/>
    </row>
    <row r="824" spans="3:3" x14ac:dyDescent="0.3">
      <c r="C824" s="4"/>
    </row>
    <row r="825" spans="3:3" x14ac:dyDescent="0.3">
      <c r="C825" s="4"/>
    </row>
    <row r="826" spans="3:3" x14ac:dyDescent="0.3">
      <c r="C826" s="4"/>
    </row>
    <row r="827" spans="3:3" x14ac:dyDescent="0.3">
      <c r="C827" s="4"/>
    </row>
    <row r="828" spans="3:3" x14ac:dyDescent="0.3">
      <c r="C828" s="4"/>
    </row>
    <row r="829" spans="3:3" x14ac:dyDescent="0.3">
      <c r="C829" s="4"/>
    </row>
    <row r="830" spans="3:3" x14ac:dyDescent="0.3">
      <c r="C830" s="4"/>
    </row>
    <row r="831" spans="3:3" x14ac:dyDescent="0.3">
      <c r="C831" s="4"/>
    </row>
    <row r="832" spans="3:3" x14ac:dyDescent="0.3">
      <c r="C832" s="4"/>
    </row>
    <row r="833" spans="3:3" x14ac:dyDescent="0.3">
      <c r="C833" s="4"/>
    </row>
    <row r="834" spans="3:3" x14ac:dyDescent="0.3">
      <c r="C834" s="4"/>
    </row>
    <row r="835" spans="3:3" x14ac:dyDescent="0.3">
      <c r="C835" s="4"/>
    </row>
    <row r="836" spans="3:3" x14ac:dyDescent="0.3">
      <c r="C836" s="4"/>
    </row>
  </sheetData>
  <autoFilter ref="A7:F811" xr:uid="{00000000-0009-0000-0000-000004000000}">
    <sortState xmlns:xlrd2="http://schemas.microsoft.com/office/spreadsheetml/2017/richdata2" ref="A8:E679">
      <sortCondition descending="1" ref="C7"/>
    </sortState>
  </autoFilter>
  <sortState xmlns:xlrd2="http://schemas.microsoft.com/office/spreadsheetml/2017/richdata2" ref="C8:C836">
    <sortCondition ref="C8"/>
  </sortState>
  <mergeCells count="5">
    <mergeCell ref="A2:D2"/>
    <mergeCell ref="A3:D3"/>
    <mergeCell ref="A4:D4"/>
    <mergeCell ref="A5:D5"/>
    <mergeCell ref="H6:J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Calamar completo</vt:lpstr>
      <vt:lpstr>Caudales</vt:lpstr>
      <vt:lpstr>Nivel</vt:lpstr>
      <vt:lpstr>Transporte</vt:lpstr>
      <vt:lpstr>Precipitacion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</dc:creator>
  <cp:lastModifiedBy>Luis D. Lizcano</cp:lastModifiedBy>
  <dcterms:created xsi:type="dcterms:W3CDTF">2017-09-11T15:54:53Z</dcterms:created>
  <dcterms:modified xsi:type="dcterms:W3CDTF">2024-09-11T14:52:32Z</dcterms:modified>
</cp:coreProperties>
</file>